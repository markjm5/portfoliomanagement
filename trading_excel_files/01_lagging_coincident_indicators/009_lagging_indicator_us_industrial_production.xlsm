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'Industrial Production'!$B$343:$B$620</f>
              <numCache>
                <formatCode>0.0</formatCode>
                <ptCount val="278"/>
                <pt idx="0">
                  <v>91.4251</v>
                </pt>
                <pt idx="1">
                  <v>91.73569999999999</v>
                </pt>
                <pt idx="2">
                  <v>92.0933</v>
                </pt>
                <pt idx="3">
                  <v>92.68380000000001</v>
                </pt>
                <pt idx="4">
                  <v>92.9376</v>
                </pt>
                <pt idx="5">
                  <v>93.0076</v>
                </pt>
                <pt idx="6">
                  <v>92.8458</v>
                </pt>
                <pt idx="7">
                  <v>92.5972</v>
                </pt>
                <pt idx="8">
                  <v>92.9653</v>
                </pt>
                <pt idx="9">
                  <v>92.6418</v>
                </pt>
                <pt idx="10">
                  <v>92.6618</v>
                </pt>
                <pt idx="11">
                  <v>92.3459</v>
                </pt>
                <pt idx="12">
                  <v>91.8903</v>
                </pt>
                <pt idx="13">
                  <v>91.2915</v>
                </pt>
                <pt idx="14">
                  <v>91.0526</v>
                </pt>
                <pt idx="15">
                  <v>90.72929999999999</v>
                </pt>
                <pt idx="16">
                  <v>90.2577</v>
                </pt>
                <pt idx="17">
                  <v>89.7677</v>
                </pt>
                <pt idx="18">
                  <v>89.226</v>
                </pt>
                <pt idx="19">
                  <v>89.1326</v>
                </pt>
                <pt idx="20">
                  <v>88.6679</v>
                </pt>
                <pt idx="21">
                  <v>88.3926</v>
                </pt>
                <pt idx="22">
                  <v>87.87739999999999</v>
                </pt>
                <pt idx="23">
                  <v>87.8344</v>
                </pt>
                <pt idx="24">
                  <v>88.4665</v>
                </pt>
                <pt idx="25">
                  <v>88.4661</v>
                </pt>
                <pt idx="26">
                  <v>89.1228</v>
                </pt>
                <pt idx="27">
                  <v>89.5532</v>
                </pt>
                <pt idx="28">
                  <v>89.934</v>
                </pt>
                <pt idx="29">
                  <v>90.6769</v>
                </pt>
                <pt idx="30">
                  <v>90.6455</v>
                </pt>
                <pt idx="31">
                  <v>90.5475</v>
                </pt>
                <pt idx="32">
                  <v>90.63809999999999</v>
                </pt>
                <pt idx="33">
                  <v>90.4041</v>
                </pt>
                <pt idx="34">
                  <v>90.8985</v>
                </pt>
                <pt idx="35">
                  <v>90.389</v>
                </pt>
                <pt idx="36">
                  <v>91.13549999999999</v>
                </pt>
                <pt idx="37">
                  <v>91.25020000000001</v>
                </pt>
                <pt idx="38">
                  <v>91.0059</v>
                </pt>
                <pt idx="39">
                  <v>90.4281</v>
                </pt>
                <pt idx="40">
                  <v>90.40730000000001</v>
                </pt>
                <pt idx="41">
                  <v>90.5218</v>
                </pt>
                <pt idx="42">
                  <v>90.9896</v>
                </pt>
                <pt idx="43">
                  <v>90.78579999999999</v>
                </pt>
                <pt idx="44">
                  <v>91.38290000000001</v>
                </pt>
                <pt idx="45">
                  <v>91.5005</v>
                </pt>
                <pt idx="46">
                  <v>92.12649999999999</v>
                </pt>
                <pt idx="47">
                  <v>92.1722</v>
                </pt>
                <pt idx="48">
                  <v>92.327</v>
                </pt>
                <pt idx="49">
                  <v>92.8873</v>
                </pt>
                <pt idx="50">
                  <v>92.5325</v>
                </pt>
                <pt idx="51">
                  <v>92.9096</v>
                </pt>
                <pt idx="52">
                  <v>93.5838</v>
                </pt>
                <pt idx="53">
                  <v>92.8621</v>
                </pt>
                <pt idx="54">
                  <v>93.55110000000001</v>
                </pt>
                <pt idx="55">
                  <v>93.6328</v>
                </pt>
                <pt idx="56">
                  <v>93.7418</v>
                </pt>
                <pt idx="57">
                  <v>94.5671</v>
                </pt>
                <pt idx="58">
                  <v>94.8</v>
                </pt>
                <pt idx="59">
                  <v>95.54259999999999</v>
                </pt>
                <pt idx="60">
                  <v>95.8831</v>
                </pt>
                <pt idx="61">
                  <v>96.5616</v>
                </pt>
                <pt idx="62">
                  <v>96.4371</v>
                </pt>
                <pt idx="63">
                  <v>96.628</v>
                </pt>
                <pt idx="64">
                  <v>96.7306</v>
                </pt>
                <pt idx="65">
                  <v>97.14879999999999</v>
                </pt>
                <pt idx="66">
                  <v>96.8383</v>
                </pt>
                <pt idx="67">
                  <v>97.16030000000001</v>
                </pt>
                <pt idx="68">
                  <v>95.27290000000001</v>
                </pt>
                <pt idx="69">
                  <v>96.4383</v>
                </pt>
                <pt idx="70">
                  <v>97.49509999999999</v>
                </pt>
                <pt idx="71">
                  <v>97.97880000000001</v>
                </pt>
                <pt idx="72">
                  <v>98.1305</v>
                </pt>
                <pt idx="73">
                  <v>98.17789999999999</v>
                </pt>
                <pt idx="74">
                  <v>98.38979999999999</v>
                </pt>
                <pt idx="75">
                  <v>98.6769</v>
                </pt>
                <pt idx="76">
                  <v>98.7052</v>
                </pt>
                <pt idx="77">
                  <v>99.0427</v>
                </pt>
                <pt idx="78">
                  <v>98.9804</v>
                </pt>
                <pt idx="79">
                  <v>99.4106</v>
                </pt>
                <pt idx="80">
                  <v>99.22069999999999</v>
                </pt>
                <pt idx="81">
                  <v>99.1253</v>
                </pt>
                <pt idx="82">
                  <v>99.09690000000001</v>
                </pt>
                <pt idx="83">
                  <v>100.1122</v>
                </pt>
                <pt idx="84">
                  <v>99.75709999999999</v>
                </pt>
                <pt idx="85">
                  <v>100.7275</v>
                </pt>
                <pt idx="86">
                  <v>100.9023</v>
                </pt>
                <pt idx="87">
                  <v>101.5874</v>
                </pt>
                <pt idx="88">
                  <v>101.6299</v>
                </pt>
                <pt idx="89">
                  <v>101.6482</v>
                </pt>
                <pt idx="90">
                  <v>101.4925</v>
                </pt>
                <pt idx="91">
                  <v>101.6874</v>
                </pt>
                <pt idx="92">
                  <v>101.9398</v>
                </pt>
                <pt idx="93">
                  <v>101.6345</v>
                </pt>
                <pt idx="94">
                  <v>102.2068</v>
                </pt>
                <pt idx="95">
                  <v>102.2604</v>
                </pt>
                <pt idx="96">
                  <v>102.14</v>
                </pt>
                <pt idx="97">
                  <v>101.7671</v>
                </pt>
                <pt idx="98">
                  <v>101.4355</v>
                </pt>
                <pt idx="99">
                  <v>100.7424</v>
                </pt>
                <pt idx="100">
                  <v>100.132</v>
                </pt>
                <pt idx="101">
                  <v>99.8651</v>
                </pt>
                <pt idx="102">
                  <v>99.42140000000001</v>
                </pt>
                <pt idx="103">
                  <v>97.84480000000001</v>
                </pt>
                <pt idx="104">
                  <v>93.559</v>
                </pt>
                <pt idx="105">
                  <v>94.4956</v>
                </pt>
                <pt idx="106">
                  <v>93.2689</v>
                </pt>
                <pt idx="107">
                  <v>90.628</v>
                </pt>
                <pt idx="108">
                  <v>88.3811</v>
                </pt>
                <pt idx="109">
                  <v>87.8412</v>
                </pt>
                <pt idx="110">
                  <v>86.4794</v>
                </pt>
                <pt idx="111">
                  <v>85.78830000000001</v>
                </pt>
                <pt idx="112">
                  <v>84.9516</v>
                </pt>
                <pt idx="113">
                  <v>84.69280000000001</v>
                </pt>
                <pt idx="114">
                  <v>85.70440000000001</v>
                </pt>
                <pt idx="115">
                  <v>86.6617</v>
                </pt>
                <pt idx="116">
                  <v>87.4033</v>
                </pt>
                <pt idx="117">
                  <v>87.6035</v>
                </pt>
                <pt idx="118">
                  <v>87.9559</v>
                </pt>
                <pt idx="119">
                  <v>88.24679999999999</v>
                </pt>
                <pt idx="120">
                  <v>89.19110000000001</v>
                </pt>
                <pt idx="121">
                  <v>89.49720000000001</v>
                </pt>
                <pt idx="122">
                  <v>90.14190000000001</v>
                </pt>
                <pt idx="123">
                  <v>90.45910000000001</v>
                </pt>
                <pt idx="124">
                  <v>91.702</v>
                </pt>
                <pt idx="125">
                  <v>91.8997</v>
                </pt>
                <pt idx="126">
                  <v>92.2522</v>
                </pt>
                <pt idx="127">
                  <v>92.5899</v>
                </pt>
                <pt idx="128">
                  <v>92.85639999999999</v>
                </pt>
                <pt idx="129">
                  <v>92.6037</v>
                </pt>
                <pt idx="130">
                  <v>92.6773</v>
                </pt>
                <pt idx="131">
                  <v>93.5851</v>
                </pt>
                <pt idx="132">
                  <v>93.3944</v>
                </pt>
                <pt idx="133">
                  <v>92.99299999999999</v>
                </pt>
                <pt idx="134">
                  <v>93.982</v>
                </pt>
                <pt idx="135">
                  <v>93.6525</v>
                </pt>
                <pt idx="136">
                  <v>93.7775</v>
                </pt>
                <pt idx="137">
                  <v>94.0467</v>
                </pt>
                <pt idx="138">
                  <v>94.4931</v>
                </pt>
                <pt idx="139">
                  <v>95.09690000000001</v>
                </pt>
                <pt idx="140">
                  <v>95.02809999999999</v>
                </pt>
                <pt idx="141">
                  <v>95.69240000000001</v>
                </pt>
                <pt idx="142">
                  <v>95.6913</v>
                </pt>
                <pt idx="143">
                  <v>96.1938</v>
                </pt>
                <pt idx="144">
                  <v>96.779</v>
                </pt>
                <pt idx="145">
                  <v>97.0959</v>
                </pt>
                <pt idx="146">
                  <v>96.5919</v>
                </pt>
                <pt idx="147">
                  <v>97.2942</v>
                </pt>
                <pt idx="148">
                  <v>97.4853</v>
                </pt>
                <pt idx="149">
                  <v>97.49590000000001</v>
                </pt>
                <pt idx="150">
                  <v>97.6922</v>
                </pt>
                <pt idx="151">
                  <v>97.3061</v>
                </pt>
                <pt idx="152">
                  <v>97.2383</v>
                </pt>
                <pt idx="153">
                  <v>97.5425</v>
                </pt>
                <pt idx="154">
                  <v>97.934</v>
                </pt>
                <pt idx="155">
                  <v>98.19840000000001</v>
                </pt>
                <pt idx="156">
                  <v>98.2029</v>
                </pt>
                <pt idx="157">
                  <v>98.6733</v>
                </pt>
                <pt idx="158">
                  <v>99.0788</v>
                </pt>
                <pt idx="159">
                  <v>98.9658</v>
                </pt>
                <pt idx="160">
                  <v>99.05670000000001</v>
                </pt>
                <pt idx="161">
                  <v>99.2424</v>
                </pt>
                <pt idx="162">
                  <v>98.9258</v>
                </pt>
                <pt idx="163">
                  <v>99.5059</v>
                </pt>
                <pt idx="164">
                  <v>100.0391</v>
                </pt>
                <pt idx="165">
                  <v>99.9203</v>
                </pt>
                <pt idx="166">
                  <v>100.1661</v>
                </pt>
                <pt idx="167">
                  <v>100.3777</v>
                </pt>
                <pt idx="168">
                  <v>99.999</v>
                </pt>
                <pt idx="169">
                  <v>100.7583</v>
                </pt>
                <pt idx="170">
                  <v>101.7767</v>
                </pt>
                <pt idx="171">
                  <v>101.8425</v>
                </pt>
                <pt idx="172">
                  <v>102.2594</v>
                </pt>
                <pt idx="173">
                  <v>102.5986</v>
                </pt>
                <pt idx="174">
                  <v>102.8163</v>
                </pt>
                <pt idx="175">
                  <v>102.6562</v>
                </pt>
                <pt idx="176">
                  <v>102.9776</v>
                </pt>
                <pt idx="177">
                  <v>102.9892</v>
                </pt>
                <pt idx="178">
                  <v>103.6402</v>
                </pt>
                <pt idx="179">
                  <v>103.6345</v>
                </pt>
                <pt idx="180">
                  <v>102.8239</v>
                </pt>
                <pt idx="181">
                  <v>102.1513</v>
                </pt>
                <pt idx="182">
                  <v>101.824</v>
                </pt>
                <pt idx="183">
                  <v>101.244</v>
                </pt>
                <pt idx="184">
                  <v>100.783</v>
                </pt>
                <pt idx="185">
                  <v>100.4781</v>
                </pt>
                <pt idx="186">
                  <v>101.1052</v>
                </pt>
                <pt idx="187">
                  <v>100.9442</v>
                </pt>
                <pt idx="188">
                  <v>100.6507</v>
                </pt>
                <pt idx="189">
                  <v>100.1871</v>
                </pt>
                <pt idx="190">
                  <v>99.43819999999999</v>
                </pt>
                <pt idx="191">
                  <v>98.93899999999999</v>
                </pt>
                <pt idx="192">
                  <v>99.4558</v>
                </pt>
                <pt idx="193">
                  <v>98.9136</v>
                </pt>
                <pt idx="194">
                  <v>98.19070000000001</v>
                </pt>
                <pt idx="195">
                  <v>98.4669</v>
                </pt>
                <pt idx="196">
                  <v>98.2518</v>
                </pt>
                <pt idx="197">
                  <v>98.72750000000001</v>
                </pt>
                <pt idx="198">
                  <v>98.836</v>
                </pt>
                <pt idx="199">
                  <v>98.75539999999999</v>
                </pt>
                <pt idx="200">
                  <v>98.6596</v>
                </pt>
                <pt idx="201">
                  <v>98.73220000000001</v>
                </pt>
                <pt idx="202">
                  <v>98.34520000000001</v>
                </pt>
                <pt idx="203">
                  <v>99.0314</v>
                </pt>
                <pt idx="204">
                  <v>98.7987</v>
                </pt>
                <pt idx="205">
                  <v>98.43219999999999</v>
                </pt>
                <pt idx="206">
                  <v>99.0663</v>
                </pt>
                <pt idx="207">
                  <v>100.0082</v>
                </pt>
                <pt idx="208">
                  <v>100.1286</v>
                </pt>
                <pt idx="209">
                  <v>100.3233</v>
                </pt>
                <pt idx="210">
                  <v>100.0947</v>
                </pt>
                <pt idx="211">
                  <v>99.66419999999999</v>
                </pt>
                <pt idx="212">
                  <v>99.76860000000001</v>
                </pt>
                <pt idx="213">
                  <v>100.9981</v>
                </pt>
                <pt idx="214">
                  <v>101.2597</v>
                </pt>
                <pt idx="215">
                  <v>101.4573</v>
                </pt>
                <pt idx="216">
                  <v>101.3939</v>
                </pt>
                <pt idx="217">
                  <v>101.7656</v>
                </pt>
                <pt idx="218">
                  <v>102.2441</v>
                </pt>
                <pt idx="219">
                  <v>103.3468</v>
                </pt>
                <pt idx="220">
                  <v>102.3911</v>
                </pt>
                <pt idx="221">
                  <v>103.1924</v>
                </pt>
                <pt idx="222">
                  <v>103.3334</v>
                </pt>
                <pt idx="223">
                  <v>104.0807</v>
                </pt>
                <pt idx="224">
                  <v>104.1181</v>
                </pt>
                <pt idx="225">
                  <v>103.9397</v>
                </pt>
                <pt idx="226">
                  <v>104.0007</v>
                </pt>
                <pt idx="227">
                  <v>103.9946</v>
                </pt>
                <pt idx="228">
                  <v>103.373</v>
                </pt>
                <pt idx="229">
                  <v>102.8292</v>
                </pt>
                <pt idx="230">
                  <v>102.8286</v>
                </pt>
                <pt idx="231">
                  <v>102.2481</v>
                </pt>
                <pt idx="232">
                  <v>102.4192</v>
                </pt>
                <pt idx="233">
                  <v>102.4893</v>
                </pt>
                <pt idx="234">
                  <v>102.0236</v>
                </pt>
                <pt idx="235">
                  <v>102.7754</v>
                </pt>
                <pt idx="236">
                  <v>102.5315</v>
                </pt>
                <pt idx="237">
                  <v>101.6022</v>
                </pt>
                <pt idx="238">
                  <v>102.148</v>
                </pt>
                <pt idx="239">
                  <v>101.884</v>
                </pt>
                <pt idx="240">
                  <v>101.3768</v>
                </pt>
                <pt idx="241">
                  <v>101.633</v>
                </pt>
                <pt idx="242">
                  <v>97.66719999999999</v>
                </pt>
                <pt idx="243">
                  <v>84.5979</v>
                </pt>
                <pt idx="244">
                  <v>85.97320000000001</v>
                </pt>
                <pt idx="245">
                  <v>91.5625</v>
                </pt>
                <pt idx="246">
                  <v>95.01439999999999</v>
                </pt>
                <pt idx="247">
                  <v>95.88809999999999</v>
                </pt>
                <pt idx="248">
                  <v>95.84439999999999</v>
                </pt>
                <pt idx="249">
                  <v>96.42919999999999</v>
                </pt>
                <pt idx="250">
                  <v>96.85639999999999</v>
                </pt>
                <pt idx="251">
                  <v>97.97539999999999</v>
                </pt>
                <pt idx="252">
                  <v>98.78360000000001</v>
                </pt>
                <pt idx="253">
                  <v>95.37439999999999</v>
                </pt>
                <pt idx="254">
                  <v>98.13509999999999</v>
                </pt>
                <pt idx="255">
                  <v>98.2886</v>
                </pt>
                <pt idx="256">
                  <v>99.1508</v>
                </pt>
                <pt idx="257">
                  <v>99.50960000000001</v>
                </pt>
                <pt idx="258">
                  <v>100.1231</v>
                </pt>
                <pt idx="259">
                  <v>100.1255</v>
                </pt>
                <pt idx="260">
                  <v>99.06140000000001</v>
                </pt>
                <pt idx="261">
                  <v>100.3045</v>
                </pt>
                <pt idx="262">
                  <v>101.1971</v>
                </pt>
                <pt idx="263">
                  <v>100.886</v>
                </pt>
                <pt idx="264">
                  <v>101.0227</v>
                </pt>
                <pt idx="265">
                  <v>101.6766</v>
                </pt>
                <pt idx="266">
                  <v>102.478</v>
                </pt>
                <pt idx="267">
                  <v>102.7953</v>
                </pt>
                <pt idx="268">
                  <v>102.7769</v>
                </pt>
                <pt idx="269">
                  <v>102.6863</v>
                </pt>
                <pt idx="270">
                  <v>103.1328</v>
                </pt>
                <pt idx="271">
                  <v>103.2344</v>
                </pt>
                <pt idx="272">
                  <v>103.5283</v>
                </pt>
                <pt idx="273">
                  <v>103.4114</v>
                </pt>
                <pt idx="274">
                  <v>103.0719</v>
                </pt>
                <pt idx="275">
                  <v>101.4761</v>
                </pt>
                <pt idx="276">
                  <v>102.4257</v>
                </pt>
                <pt idx="277">
                  <v>102.639</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start'!$A$1099:$A$1260</f>
              <numCache>
                <formatCode>m/d/yyyy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'IP from start'!$B$1099:$B$1260</f>
              <numCache>
                <formatCode>General</formatCode>
                <ptCount val="162"/>
                <pt idx="0">
                  <v>89.19110000000001</v>
                </pt>
                <pt idx="1">
                  <v>89.49720000000001</v>
                </pt>
                <pt idx="2">
                  <v>90.14190000000001</v>
                </pt>
                <pt idx="3">
                  <v>90.45910000000001</v>
                </pt>
                <pt idx="4">
                  <v>91.702</v>
                </pt>
                <pt idx="5">
                  <v>91.8997</v>
                </pt>
                <pt idx="6">
                  <v>92.2522</v>
                </pt>
                <pt idx="7">
                  <v>92.5899</v>
                </pt>
                <pt idx="8">
                  <v>92.85639999999999</v>
                </pt>
                <pt idx="9">
                  <v>92.6037</v>
                </pt>
                <pt idx="10">
                  <v>92.6773</v>
                </pt>
                <pt idx="11">
                  <v>93.5851</v>
                </pt>
                <pt idx="12">
                  <v>93.3944</v>
                </pt>
                <pt idx="13">
                  <v>92.99299999999999</v>
                </pt>
                <pt idx="14">
                  <v>93.982</v>
                </pt>
                <pt idx="15">
                  <v>93.6525</v>
                </pt>
                <pt idx="16">
                  <v>93.7775</v>
                </pt>
                <pt idx="17">
                  <v>94.0467</v>
                </pt>
                <pt idx="18">
                  <v>94.4931</v>
                </pt>
                <pt idx="19">
                  <v>95.09690000000001</v>
                </pt>
                <pt idx="20">
                  <v>95.02809999999999</v>
                </pt>
                <pt idx="21">
                  <v>95.69240000000001</v>
                </pt>
                <pt idx="22">
                  <v>95.6913</v>
                </pt>
                <pt idx="23">
                  <v>96.1938</v>
                </pt>
                <pt idx="24">
                  <v>96.779</v>
                </pt>
                <pt idx="25">
                  <v>97.0959</v>
                </pt>
                <pt idx="26">
                  <v>96.5919</v>
                </pt>
                <pt idx="27">
                  <v>97.2942</v>
                </pt>
                <pt idx="28">
                  <v>97.4853</v>
                </pt>
                <pt idx="29">
                  <v>97.49590000000001</v>
                </pt>
                <pt idx="30">
                  <v>97.6922</v>
                </pt>
                <pt idx="31">
                  <v>97.3061</v>
                </pt>
                <pt idx="32">
                  <v>97.2383</v>
                </pt>
                <pt idx="33">
                  <v>97.5425</v>
                </pt>
                <pt idx="34">
                  <v>97.934</v>
                </pt>
                <pt idx="35">
                  <v>98.19840000000001</v>
                </pt>
                <pt idx="36">
                  <v>98.2029</v>
                </pt>
                <pt idx="37">
                  <v>98.6733</v>
                </pt>
                <pt idx="38">
                  <v>99.0788</v>
                </pt>
                <pt idx="39">
                  <v>98.9658</v>
                </pt>
                <pt idx="40">
                  <v>99.05670000000001</v>
                </pt>
                <pt idx="41">
                  <v>99.2424</v>
                </pt>
                <pt idx="42">
                  <v>98.9258</v>
                </pt>
                <pt idx="43">
                  <v>99.5059</v>
                </pt>
                <pt idx="44">
                  <v>100.0391</v>
                </pt>
                <pt idx="45">
                  <v>99.9203</v>
                </pt>
                <pt idx="46">
                  <v>100.1661</v>
                </pt>
                <pt idx="47">
                  <v>100.3777</v>
                </pt>
                <pt idx="48">
                  <v>99.999</v>
                </pt>
                <pt idx="49">
                  <v>100.7583</v>
                </pt>
                <pt idx="50">
                  <v>101.7767</v>
                </pt>
                <pt idx="51">
                  <v>101.8425</v>
                </pt>
                <pt idx="52">
                  <v>102.2594</v>
                </pt>
                <pt idx="53">
                  <v>102.5986</v>
                </pt>
                <pt idx="54">
                  <v>102.8163</v>
                </pt>
                <pt idx="55">
                  <v>102.6562</v>
                </pt>
                <pt idx="56">
                  <v>102.9776</v>
                </pt>
                <pt idx="57">
                  <v>102.9892</v>
                </pt>
                <pt idx="58">
                  <v>103.6402</v>
                </pt>
                <pt idx="59">
                  <v>103.6345</v>
                </pt>
                <pt idx="60">
                  <v>102.8239</v>
                </pt>
                <pt idx="61">
                  <v>102.1513</v>
                </pt>
                <pt idx="62">
                  <v>101.824</v>
                </pt>
                <pt idx="63">
                  <v>101.244</v>
                </pt>
                <pt idx="64">
                  <v>100.783</v>
                </pt>
                <pt idx="65">
                  <v>100.4781</v>
                </pt>
                <pt idx="66">
                  <v>101.1052</v>
                </pt>
                <pt idx="67">
                  <v>100.9442</v>
                </pt>
                <pt idx="68">
                  <v>100.6507</v>
                </pt>
                <pt idx="69">
                  <v>100.1871</v>
                </pt>
                <pt idx="70">
                  <v>99.43819999999999</v>
                </pt>
                <pt idx="71">
                  <v>98.93899999999999</v>
                </pt>
                <pt idx="72">
                  <v>99.4558</v>
                </pt>
                <pt idx="73">
                  <v>98.9136</v>
                </pt>
                <pt idx="74">
                  <v>98.19070000000001</v>
                </pt>
                <pt idx="75">
                  <v>98.4669</v>
                </pt>
                <pt idx="76">
                  <v>98.2518</v>
                </pt>
                <pt idx="77">
                  <v>98.72750000000001</v>
                </pt>
                <pt idx="78">
                  <v>98.836</v>
                </pt>
                <pt idx="79">
                  <v>98.75539999999999</v>
                </pt>
                <pt idx="80">
                  <v>98.6596</v>
                </pt>
                <pt idx="81">
                  <v>98.73220000000001</v>
                </pt>
                <pt idx="82">
                  <v>98.34520000000001</v>
                </pt>
                <pt idx="83">
                  <v>99.0314</v>
                </pt>
                <pt idx="84">
                  <v>98.7987</v>
                </pt>
                <pt idx="85">
                  <v>98.43219999999999</v>
                </pt>
                <pt idx="86">
                  <v>99.0663</v>
                </pt>
                <pt idx="87">
                  <v>100.0082</v>
                </pt>
                <pt idx="88">
                  <v>100.1286</v>
                </pt>
                <pt idx="89">
                  <v>100.3233</v>
                </pt>
                <pt idx="90">
                  <v>100.0947</v>
                </pt>
                <pt idx="91">
                  <v>99.66419999999999</v>
                </pt>
                <pt idx="92">
                  <v>99.76860000000001</v>
                </pt>
                <pt idx="93">
                  <v>100.9981</v>
                </pt>
                <pt idx="94">
                  <v>101.2597</v>
                </pt>
                <pt idx="95">
                  <v>101.4573</v>
                </pt>
                <pt idx="96">
                  <v>101.3939</v>
                </pt>
                <pt idx="97">
                  <v>101.7656</v>
                </pt>
                <pt idx="98">
                  <v>102.2441</v>
                </pt>
                <pt idx="99">
                  <v>103.3468</v>
                </pt>
                <pt idx="100">
                  <v>102.3911</v>
                </pt>
                <pt idx="101">
                  <v>103.1924</v>
                </pt>
                <pt idx="102">
                  <v>103.3334</v>
                </pt>
                <pt idx="103">
                  <v>104.0807</v>
                </pt>
                <pt idx="104">
                  <v>104.1181</v>
                </pt>
                <pt idx="105">
                  <v>103.9397</v>
                </pt>
                <pt idx="106">
                  <v>104.0007</v>
                </pt>
                <pt idx="107">
                  <v>103.9946</v>
                </pt>
                <pt idx="108">
                  <v>103.373</v>
                </pt>
                <pt idx="109">
                  <v>102.8292</v>
                </pt>
                <pt idx="110">
                  <v>102.8286</v>
                </pt>
                <pt idx="111">
                  <v>102.2481</v>
                </pt>
                <pt idx="112">
                  <v>102.4192</v>
                </pt>
                <pt idx="113">
                  <v>102.4893</v>
                </pt>
                <pt idx="114">
                  <v>102.0236</v>
                </pt>
                <pt idx="115">
                  <v>102.7754</v>
                </pt>
                <pt idx="116">
                  <v>102.5315</v>
                </pt>
                <pt idx="117">
                  <v>101.6022</v>
                </pt>
                <pt idx="118">
                  <v>102.148</v>
                </pt>
                <pt idx="119">
                  <v>101.884</v>
                </pt>
                <pt idx="120">
                  <v>101.3768</v>
                </pt>
                <pt idx="121">
                  <v>101.633</v>
                </pt>
                <pt idx="122">
                  <v>97.66719999999999</v>
                </pt>
                <pt idx="123">
                  <v>84.5979</v>
                </pt>
                <pt idx="124">
                  <v>85.97320000000001</v>
                </pt>
                <pt idx="125">
                  <v>91.5625</v>
                </pt>
                <pt idx="126">
                  <v>95.01439999999999</v>
                </pt>
                <pt idx="127">
                  <v>95.88809999999999</v>
                </pt>
                <pt idx="128">
                  <v>95.84439999999999</v>
                </pt>
                <pt idx="129">
                  <v>96.42919999999999</v>
                </pt>
                <pt idx="130">
                  <v>96.85639999999999</v>
                </pt>
                <pt idx="131">
                  <v>97.97539999999999</v>
                </pt>
                <pt idx="132">
                  <v>98.78360000000001</v>
                </pt>
                <pt idx="133">
                  <v>95.37439999999999</v>
                </pt>
                <pt idx="134">
                  <v>98.13509999999999</v>
                </pt>
                <pt idx="135">
                  <v>98.2886</v>
                </pt>
                <pt idx="136">
                  <v>99.1508</v>
                </pt>
                <pt idx="137">
                  <v>99.50960000000001</v>
                </pt>
                <pt idx="138">
                  <v>100.1231</v>
                </pt>
                <pt idx="139">
                  <v>100.1255</v>
                </pt>
                <pt idx="140">
                  <v>99.06140000000001</v>
                </pt>
                <pt idx="141">
                  <v>100.3045</v>
                </pt>
                <pt idx="142">
                  <v>101.1971</v>
                </pt>
                <pt idx="143">
                  <v>100.886</v>
                </pt>
                <pt idx="144">
                  <v>101.0227</v>
                </pt>
                <pt idx="145">
                  <v>101.6766</v>
                </pt>
                <pt idx="146">
                  <v>102.478</v>
                </pt>
                <pt idx="147">
                  <v>102.7953</v>
                </pt>
                <pt idx="148">
                  <v>102.7769</v>
                </pt>
                <pt idx="149">
                  <v>102.6863</v>
                </pt>
                <pt idx="150">
                  <v>103.1328</v>
                </pt>
                <pt idx="151">
                  <v>103.2344</v>
                </pt>
                <pt idx="152">
                  <v>103.5283</v>
                </pt>
                <pt idx="153">
                  <v>103.4114</v>
                </pt>
                <pt idx="154">
                  <v>103.0719</v>
                </pt>
                <pt idx="155">
                  <v>101.4761</v>
                </pt>
                <pt idx="156">
                  <v>102.4257</v>
                </pt>
                <pt idx="157">
                  <v>102.639</v>
                </pt>
                <pt idx="158">
                  <v>103.0258</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start'!$A$1099:$A$1262</f>
              <numCache>
                <formatCode>m/d/yyyy</formatCode>
                <ptCount val="16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'IP from start'!$C$1099:$C$1262</f>
              <numCache>
                <formatCode>0.00%</formatCode>
                <ptCount val="164"/>
                <pt idx="0">
                  <v>0.009164855381976488</v>
                </pt>
                <pt idx="1">
                  <v>0.01885220147265754</v>
                </pt>
                <pt idx="2">
                  <v>0.04235112639541912</v>
                </pt>
                <pt idx="3">
                  <v>0.05444565284543463</v>
                </pt>
                <pt idx="4">
                  <v>0.07946171702475291</v>
                </pt>
                <pt idx="5">
                  <v>0.0850946007216669</v>
                </pt>
                <pt idx="6">
                  <v>0.07639981144491992</v>
                </pt>
                <pt idx="7">
                  <v>0.0684062278953679</v>
                </pt>
                <pt idx="8">
                  <v>0.06239009282258212</v>
                </pt>
                <pt idx="9">
                  <v>0.05707762817695648</v>
                </pt>
                <pt idx="10">
                  <v>0.05367917331298984</v>
                </pt>
                <pt idx="11">
                  <v>0.06049284506633673</v>
                </pt>
                <pt idx="12">
                  <v>0.04712689943279092</v>
                </pt>
                <pt idx="13">
                  <v>0.03906043987968325</v>
                </pt>
                <pt idx="14">
                  <v>0.04260061081472647</v>
                </pt>
                <pt idx="15">
                  <v>0.03530214207304734</v>
                </pt>
                <pt idx="16">
                  <v>0.02263309415279934</v>
                </pt>
                <pt idx="17">
                  <v>0.02336242664557127</v>
                </pt>
                <pt idx="18">
                  <v>0.02429101961796029</v>
                </pt>
                <pt idx="19">
                  <v>0.02707638738134511</v>
                </pt>
                <pt idx="20">
                  <v>0.02338772556334298</v>
                </pt>
                <pt idx="21">
                  <v>0.03335395885909529</v>
                </pt>
                <pt idx="22">
                  <v>0.03252144807843987</v>
                </pt>
                <pt idx="23">
                  <v>0.02787516388826853</v>
                </pt>
                <pt idx="24">
                  <v>0.03623986020575101</v>
                </pt>
                <pt idx="25">
                  <v>0.04412052520082162</v>
                </pt>
                <pt idx="26">
                  <v>0.02777021131706067</v>
                </pt>
                <pt idx="27">
                  <v>0.03888524065027629</v>
                </pt>
                <pt idx="28">
                  <v>0.03953826877449273</v>
                </pt>
                <pt idx="29">
                  <v>0.03667539637222789</v>
                </pt>
                <pt idx="30">
                  <v>0.03385538203318551</v>
                </pt>
                <pt idx="31">
                  <v>0.02323104118010151</v>
                </pt>
                <pt idx="32">
                  <v>0.02325838357285898</v>
                </pt>
                <pt idx="33">
                  <v>0.01933382379373908</v>
                </pt>
                <pt idx="34">
                  <v>0.02343682236525159</v>
                </pt>
                <pt idx="35">
                  <v>0.02083918090355107</v>
                </pt>
                <pt idx="36">
                  <v>0.01471290259250461</v>
                </pt>
                <pt idx="37">
                  <v>0.01624579410665123</v>
                </pt>
                <pt idx="38">
                  <v>0.02574646528332092</v>
                </pt>
                <pt idx="39">
                  <v>0.01718088025802153</v>
                </pt>
                <pt idx="40">
                  <v>0.01611935337943271</v>
                </pt>
                <pt idx="41">
                  <v>0.01791357380156496</v>
                </pt>
                <pt idx="42">
                  <v>0.01262741549478869</v>
                </pt>
                <pt idx="43">
                  <v>0.02260701024910048</v>
                </pt>
                <pt idx="44">
                  <v>0.028803465301224</v>
                </pt>
                <pt idx="45">
                  <v>0.02437706640695075</v>
                </pt>
                <pt idx="46">
                  <v>0.02279188024587991</v>
                </pt>
                <pt idx="47">
                  <v>0.02219282595235765</v>
                </pt>
                <pt idx="48">
                  <v>0.01828968390953827</v>
                </pt>
                <pt idx="49">
                  <v>0.02113033616996703</v>
                </pt>
                <pt idx="50">
                  <v>0.02722984129803756</v>
                </pt>
                <pt idx="51">
                  <v>0.02906761729809691</v>
                </pt>
                <pt idx="52">
                  <v>0.03233198763940241</v>
                </pt>
                <pt idx="53">
                  <v>0.03381820673421845</v>
                </pt>
                <pt idx="54">
                  <v>0.03932745552727401</v>
                </pt>
                <pt idx="55">
                  <v>0.03165942923987423</v>
                </pt>
                <pt idx="56">
                  <v>0.02937351495565224</v>
                </pt>
                <pt idx="57">
                  <v>0.03071347864247805</v>
                </pt>
                <pt idx="58">
                  <v>0.0346833908877354</v>
                </pt>
                <pt idx="59">
                  <v>0.03244545352204721</v>
                </pt>
                <pt idx="60">
                  <v>0.02824928249282492</v>
                </pt>
                <pt idx="61">
                  <v>0.01382516378303326</v>
                </pt>
                <pt idx="62">
                  <v>0.0004647429126705109</v>
                </pt>
                <pt idx="63">
                  <v>-0.005876721408056571</v>
                </pt>
                <pt idx="64">
                  <v>-0.01443779251589583</v>
                </pt>
                <pt idx="65">
                  <v>-0.02066792334398332</v>
                </pt>
                <pt idx="66">
                  <v>-0.01664230282552476</v>
                </pt>
                <pt idx="67">
                  <v>-0.01667702486552204</v>
                </pt>
                <pt idx="68">
                  <v>-0.02259617625580704</v>
                </pt>
                <pt idx="69">
                  <v>-0.02720770721590221</v>
                </pt>
                <pt idx="70">
                  <v>-0.04054411319159938</v>
                </pt>
                <pt idx="71">
                  <v>-0.04530827089434512</v>
                </pt>
                <pt idx="72">
                  <v>-0.03275600322493116</v>
                </pt>
                <pt idx="73">
                  <v>-0.03169514240151622</v>
                </pt>
                <pt idx="74">
                  <v>-0.03568215744814573</v>
                </pt>
                <pt idx="75">
                  <v>-0.02742977361621434</v>
                </pt>
                <pt idx="76">
                  <v>-0.02511534683428751</v>
                </pt>
                <pt idx="77">
                  <v>-0.01742270206144415</v>
                </pt>
                <pt idx="78">
                  <v>-0.02244394947045254</v>
                </pt>
                <pt idx="79">
                  <v>-0.02168326659679309</v>
                </pt>
                <pt idx="80">
                  <v>-0.01978227672534819</v>
                </pt>
                <pt idx="81">
                  <v>-0.01452182965671224</v>
                </pt>
                <pt idx="82">
                  <v>-0.01099175166083044</v>
                </pt>
                <pt idx="83">
                  <v>0.0009339087720718022</v>
                </pt>
                <pt idx="84">
                  <v>-0.006606955049378718</v>
                </pt>
                <pt idx="85">
                  <v>-0.004866873716051259</v>
                </pt>
                <pt idx="86">
                  <v>0.008917341459017925</v>
                </pt>
                <pt idx="87">
                  <v>0.01565297577155376</v>
                </pt>
                <pt idx="88">
                  <v>0.01910194011712765</v>
                </pt>
                <pt idx="89">
                  <v>0.0161636828644501</v>
                </pt>
                <pt idx="90">
                  <v>0.01273523817232592</v>
                </pt>
                <pt idx="91">
                  <v>0.009202534747466969</v>
                </pt>
                <pt idx="92">
                  <v>0.01124066993987416</v>
                </pt>
                <pt idx="93">
                  <v>0.02294995958765213</v>
                </pt>
                <pt idx="94">
                  <v>0.02963540671024096</v>
                </pt>
                <pt idx="95">
                  <v>0.02449627087974116</v>
                </pt>
                <pt idx="96">
                  <v>0.02626755210341842</v>
                </pt>
                <pt idx="97">
                  <v>0.03386493444218469</v>
                </pt>
                <pt idx="98">
                  <v>0.03207750768929499</v>
                </pt>
                <pt idx="99">
                  <v>0.03338326257246906</v>
                </pt>
                <pt idx="100">
                  <v>0.02259594161907775</v>
                </pt>
                <pt idx="101">
                  <v>0.02859854091721467</v>
                </pt>
                <pt idx="102">
                  <v>0.03235635852847348</v>
                </pt>
                <pt idx="103">
                  <v>0.04431380575974121</v>
                </pt>
                <pt idx="104">
                  <v>0.04359588086832923</v>
                </pt>
                <pt idx="105">
                  <v>0.02912530037693787</v>
                </pt>
                <pt idx="106">
                  <v>0.0270690116601175</v>
                </pt>
                <pt idx="107">
                  <v>0.02500855039509234</v>
                </pt>
                <pt idx="108">
                  <v>0.01951892569474103</v>
                </pt>
                <pt idx="109">
                  <v>0.01045146886570701</v>
                </pt>
                <pt idx="110">
                  <v>0.005716711282117906</v>
                </pt>
                <pt idx="111">
                  <v>-0.01063119516037273</v>
                </pt>
                <pt idx="112">
                  <v>0.000274437915014187</v>
                </pt>
                <pt idx="113">
                  <v>-0.006813486264492407</v>
                </pt>
                <pt idx="114">
                  <v>-0.01267547569324145</v>
                </pt>
                <pt idx="115">
                  <v>-0.01254123002631601</v>
                </pt>
                <pt idx="116">
                  <v>-0.01523846478181992</v>
                </pt>
                <pt idx="117">
                  <v>-0.02248900083413754</v>
                </pt>
                <pt idx="118">
                  <v>-0.0178143031729594</v>
                </pt>
                <pt idx="119">
                  <v>-0.02029528456285235</v>
                </pt>
                <pt idx="120">
                  <v>-0.0193106517175665</v>
                </pt>
                <pt idx="121">
                  <v>-0.01163288248863168</v>
                </pt>
                <pt idx="122">
                  <v>-0.05019420667012874</v>
                </pt>
                <pt idx="123">
                  <v>-0.172621300542504</v>
                </pt>
                <pt idx="124">
                  <v>-0.1605753608698369</v>
                </pt>
                <pt idx="125">
                  <v>-0.1066140562966085</v>
                </pt>
                <pt idx="126">
                  <v>-0.06870175135948944</v>
                </pt>
                <pt idx="127">
                  <v>-0.0670131179251067</v>
                </pt>
                <pt idx="128">
                  <v>-0.06521995679376583</v>
                </pt>
                <pt idx="129">
                  <v>-0.05091425185675115</v>
                </pt>
                <pt idx="130">
                  <v>-0.05180326584955166</v>
                </pt>
                <pt idx="131">
                  <v>-0.03836323662204082</v>
                </pt>
                <pt idx="132">
                  <v>-0.02557981707846367</v>
                </pt>
                <pt idx="133">
                  <v>-0.06158039219544834</v>
                </pt>
                <pt idx="134">
                  <v>0.004790758821794832</v>
                </pt>
                <pt idx="135">
                  <v>0.1618326223227764</v>
                </pt>
                <pt idx="136">
                  <v>0.1532756719535855</v>
                </pt>
                <pt idx="137">
                  <v>0.08679426621160416</v>
                </pt>
                <pt idx="138">
                  <v>0.05376763943149669</v>
                </pt>
                <pt idx="139">
                  <v>0.04419109357678386</v>
                </pt>
                <pt idx="140">
                  <v>0.03356481964517503</v>
                </pt>
                <pt idx="141">
                  <v>0.0401880343298504</v>
                </pt>
                <pt idx="142">
                  <v>0.04481583044589735</v>
                </pt>
                <pt idx="143">
                  <v>0.02970745717802635</v>
                </pt>
                <pt idx="144">
                  <v>0.0226667179572317</v>
                </pt>
                <pt idx="145">
                  <v>0.06607852841013941</v>
                </pt>
                <pt idx="146">
                  <v>0.04425429841106801</v>
                </pt>
                <pt idx="147">
                  <v>0.04585170609816393</v>
                </pt>
                <pt idx="148">
                  <v>0.03657156573623202</v>
                </pt>
                <pt idx="149">
                  <v>0.03192355310442406</v>
                </pt>
                <pt idx="150">
                  <v>0.03005999614474591</v>
                </pt>
                <pt idx="151">
                  <v>0.03105003220957689</v>
                </pt>
                <pt idx="152">
                  <v>0.0450922357245102</v>
                </pt>
                <pt idx="153">
                  <v>0.03097468209302669</v>
                </pt>
                <pt idx="154">
                  <v>0.01852622258938243</v>
                </pt>
                <pt idx="155">
                  <v>0.005849176297999789</v>
                </pt>
                <pt idx="156">
                  <v>0.01388796775378213</v>
                </pt>
                <pt idx="157">
                  <v>0.009465304701376742</v>
                </pt>
                <pt idx="158">
                  <v>0.005345537578797493</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'Industrial Production'!$V$1</f>
          <strCache>
            <ptCount val="1"/>
            <pt idx="0">
              <v xml:space="preserve">Industrial Production Index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Production'!$A$8:$A$627</f>
              <numCache>
                <formatCode>mmm\-yy</formatCode>
                <ptCount val="62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pt idx="611">
                  <v>44927</v>
                </pt>
                <pt idx="612">
                  <v>44958</v>
                </pt>
                <pt idx="613">
                  <v>44986</v>
                </pt>
              </numCache>
            </numRef>
          </cat>
          <val>
            <numRef>
              <f>'Industrial Production'!$B$8:$B$627</f>
              <numCache>
                <formatCode>0.0</formatCode>
                <ptCount val="620"/>
                <pt idx="0">
                  <v>40.485</v>
                </pt>
                <pt idx="1">
                  <v>40.7718</v>
                </pt>
                <pt idx="2">
                  <v>41.1759</v>
                </pt>
                <pt idx="3">
                  <v>41.1792</v>
                </pt>
                <pt idx="4">
                  <v>41.2864</v>
                </pt>
                <pt idx="5">
                  <v>41.2475</v>
                </pt>
                <pt idx="6">
                  <v>41.8173</v>
                </pt>
                <pt idx="7">
                  <v>42.1375</v>
                </pt>
                <pt idx="8">
                  <v>42.6806</v>
                </pt>
                <pt idx="9">
                  <v>43.1838</v>
                </pt>
                <pt idx="10">
                  <v>43.669</v>
                </pt>
                <pt idx="11">
                  <v>43.9874</v>
                </pt>
                <pt idx="12">
                  <v>44.6275</v>
                </pt>
                <pt idx="13">
                  <v>44.6439</v>
                </pt>
                <pt idx="14">
                  <v>44.5779</v>
                </pt>
                <pt idx="15">
                  <v>44.8726</v>
                </pt>
                <pt idx="16">
                  <v>44.9269</v>
                </pt>
                <pt idx="17">
                  <v>45.0921</v>
                </pt>
                <pt idx="18">
                  <v>45.0305</v>
                </pt>
                <pt idx="19">
                  <v>45.3912</v>
                </pt>
                <pt idx="20">
                  <v>45.7542</v>
                </pt>
                <pt idx="21">
                  <v>45.9606</v>
                </pt>
                <pt idx="22">
                  <v>45.8321</v>
                </pt>
                <pt idx="23">
                  <v>45.5297</v>
                </pt>
                <pt idx="24">
                  <v>45.3982</v>
                </pt>
                <pt idx="25">
                  <v>45.3907</v>
                </pt>
                <pt idx="26">
                  <v>45.253</v>
                </pt>
                <pt idx="27">
                  <v>45.6185</v>
                </pt>
                <pt idx="28">
                  <v>45.5354</v>
                </pt>
                <pt idx="29">
                  <v>45.6196</v>
                </pt>
                <pt idx="30">
                  <v>45.1411</v>
                </pt>
                <pt idx="31">
                  <v>45.1475</v>
                </pt>
                <pt idx="32">
                  <v>45.0063</v>
                </pt>
                <pt idx="33">
                  <v>43.5222</v>
                </pt>
                <pt idx="34">
                  <v>41.9572</v>
                </pt>
                <pt idx="35">
                  <v>41.3766</v>
                </pt>
                <pt idx="36">
                  <v>40.4317</v>
                </pt>
                <pt idx="37">
                  <v>39.9919</v>
                </pt>
                <pt idx="38">
                  <v>40.066</v>
                </pt>
                <pt idx="39">
                  <v>39.9521</v>
                </pt>
                <pt idx="40">
                  <v>40.2049</v>
                </pt>
                <pt idx="41">
                  <v>40.6187</v>
                </pt>
                <pt idx="42">
                  <v>41.0204</v>
                </pt>
                <pt idx="43">
                  <v>41.5526</v>
                </pt>
                <pt idx="44">
                  <v>41.7303</v>
                </pt>
                <pt idx="45">
                  <v>41.7882</v>
                </pt>
                <pt idx="46">
                  <v>42.3527</v>
                </pt>
                <pt idx="47">
                  <v>42.9179</v>
                </pt>
                <pt idx="48">
                  <v>43.3469</v>
                </pt>
                <pt idx="49">
                  <v>43.4396</v>
                </pt>
                <pt idx="50">
                  <v>43.6562</v>
                </pt>
                <pt idx="51">
                  <v>43.842</v>
                </pt>
                <pt idx="52">
                  <v>43.8892</v>
                </pt>
                <pt idx="53">
                  <v>44.1328</v>
                </pt>
                <pt idx="54">
                  <v>44.4373</v>
                </pt>
                <pt idx="55">
                  <v>44.5848</v>
                </pt>
                <pt idx="56">
                  <v>44.5707</v>
                </pt>
                <pt idx="57">
                  <v>45.2543</v>
                </pt>
                <pt idx="58">
                  <v>45.7422</v>
                </pt>
                <pt idx="59">
                  <v>45.4293</v>
                </pt>
                <pt idx="60">
                  <v>46.1459</v>
                </pt>
                <pt idx="61">
                  <v>46.7314</v>
                </pt>
                <pt idx="62">
                  <v>47.188</v>
                </pt>
                <pt idx="63">
                  <v>47.552</v>
                </pt>
                <pt idx="64">
                  <v>47.9155</v>
                </pt>
                <pt idx="65">
                  <v>47.9773</v>
                </pt>
                <pt idx="66">
                  <v>48.0266</v>
                </pt>
                <pt idx="67">
                  <v>48.2179</v>
                </pt>
                <pt idx="68">
                  <v>48.295</v>
                </pt>
                <pt idx="69">
                  <v>48.3823</v>
                </pt>
                <pt idx="70">
                  <v>48.4679</v>
                </pt>
                <pt idx="71">
                  <v>47.7604</v>
                </pt>
                <pt idx="72">
                  <v>48.0271</v>
                </pt>
                <pt idx="73">
                  <v>48.9459</v>
                </pt>
                <pt idx="74">
                  <v>49.9198</v>
                </pt>
                <pt idx="75">
                  <v>50.1602</v>
                </pt>
                <pt idx="76">
                  <v>50.4826</v>
                </pt>
                <pt idx="77">
                  <v>50.4464</v>
                </pt>
                <pt idx="78">
                  <v>50.6531</v>
                </pt>
                <pt idx="79">
                  <v>50.7724</v>
                </pt>
                <pt idx="80">
                  <v>51.1649</v>
                </pt>
                <pt idx="81">
                  <v>51.5582</v>
                </pt>
                <pt idx="82">
                  <v>51.8153</v>
                </pt>
                <pt idx="83">
                  <v>51.5359</v>
                </pt>
                <pt idx="84">
                  <v>51.7994</v>
                </pt>
                <pt idx="85">
                  <v>51.9544</v>
                </pt>
                <pt idx="86">
                  <v>51.334</v>
                </pt>
                <pt idx="87">
                  <v>51.7922</v>
                </pt>
                <pt idx="88">
                  <v>51.7961</v>
                </pt>
                <pt idx="89">
                  <v>51.7124</v>
                </pt>
                <pt idx="90">
                  <v>51.3766</v>
                </pt>
                <pt idx="91">
                  <v>51.3741</v>
                </pt>
                <pt idx="92">
                  <v>51.7268</v>
                </pt>
                <pt idx="93">
                  <v>51.6422</v>
                </pt>
                <pt idx="94">
                  <v>51.6763</v>
                </pt>
                <pt idx="95">
                  <v>51.9545</v>
                </pt>
                <pt idx="96">
                  <v>51.9779</v>
                </pt>
                <pt idx="97">
                  <v>51.7565</v>
                </pt>
                <pt idx="98">
                  <v>50.7369</v>
                </pt>
                <pt idx="99">
                  <v>49.49</v>
                </pt>
                <pt idx="100">
                  <v>48.8505</v>
                </pt>
                <pt idx="101">
                  <v>48.4997</v>
                </pt>
                <pt idx="102">
                  <v>48.6554</v>
                </pt>
                <pt idx="103">
                  <v>49.4677</v>
                </pt>
                <pt idx="104">
                  <v>50.0947</v>
                </pt>
                <pt idx="105">
                  <v>50.9311</v>
                </pt>
                <pt idx="106">
                  <v>51.2644</v>
                </pt>
                <pt idx="107">
                  <v>50.9453</v>
                </pt>
                <pt idx="108">
                  <v>50.7332</v>
                </pt>
                <pt idx="109">
                  <v>50.9922</v>
                </pt>
                <pt idx="110">
                  <v>50.778</v>
                </pt>
                <pt idx="111">
                  <v>51.0667</v>
                </pt>
                <pt idx="112">
                  <v>51.3355</v>
                </pt>
                <pt idx="113">
                  <v>51.6646</v>
                </pt>
                <pt idx="114">
                  <v>51.6049</v>
                </pt>
                <pt idx="115">
                  <v>51.3527</v>
                </pt>
                <pt idx="116">
                  <v>50.9581</v>
                </pt>
                <pt idx="117">
                  <v>50.3634</v>
                </pt>
                <pt idx="118">
                  <v>49.8181</v>
                </pt>
                <pt idx="119">
                  <v>48.7979</v>
                </pt>
                <pt idx="120">
                  <v>49.7942</v>
                </pt>
                <pt idx="121">
                  <v>49.459</v>
                </pt>
                <pt idx="122">
                  <v>49.0072</v>
                </pt>
                <pt idx="123">
                  <v>48.6784</v>
                </pt>
                <pt idx="124">
                  <v>48.5529</v>
                </pt>
                <pt idx="125">
                  <v>48.3859</v>
                </pt>
                <pt idx="126">
                  <v>47.9495</v>
                </pt>
                <pt idx="127">
                  <v>47.8258</v>
                </pt>
                <pt idx="128">
                  <v>47.3656</v>
                </pt>
                <pt idx="129">
                  <v>47.2148</v>
                </pt>
                <pt idx="130">
                  <v>46.8797</v>
                </pt>
                <pt idx="131">
                  <v>47.7491</v>
                </pt>
                <pt idx="132">
                  <v>47.4548</v>
                </pt>
                <pt idx="133">
                  <v>47.8516</v>
                </pt>
                <pt idx="134">
                  <v>48.4511</v>
                </pt>
                <pt idx="135">
                  <v>48.7542</v>
                </pt>
                <pt idx="136">
                  <v>49.0496</v>
                </pt>
                <pt idx="137">
                  <v>49.7773</v>
                </pt>
                <pt idx="138">
                  <v>50.3727</v>
                </pt>
                <pt idx="139">
                  <v>51.098</v>
                </pt>
                <pt idx="140">
                  <v>51.4993</v>
                </pt>
                <pt idx="141">
                  <v>51.727</v>
                </pt>
                <pt idx="142">
                  <v>51.9886</v>
                </pt>
                <pt idx="143">
                  <v>53.0175</v>
                </pt>
                <pt idx="144">
                  <v>53.2651</v>
                </pt>
                <pt idx="145">
                  <v>53.5145</v>
                </pt>
                <pt idx="146">
                  <v>53.8319</v>
                </pt>
                <pt idx="147">
                  <v>54.1204</v>
                </pt>
                <pt idx="148">
                  <v>54.3133</v>
                </pt>
                <pt idx="149">
                  <v>54.4644</v>
                </pt>
                <pt idx="150">
                  <v>54.53</v>
                </pt>
                <pt idx="151">
                  <v>54.3775</v>
                </pt>
                <pt idx="152">
                  <v>54.3528</v>
                </pt>
                <pt idx="153">
                  <v>54.5344</v>
                </pt>
                <pt idx="154">
                  <v>54.5608</v>
                </pt>
                <pt idx="155">
                  <v>54.5342</v>
                </pt>
                <pt idx="156">
                  <v>54.7019</v>
                </pt>
                <pt idx="157">
                  <v>54.7739</v>
                </pt>
                <pt idx="158">
                  <v>54.6662</v>
                </pt>
                <pt idx="159">
                  <v>54.7472</v>
                </pt>
                <pt idx="160">
                  <v>54.7211</v>
                </pt>
                <pt idx="161">
                  <v>54.4381</v>
                </pt>
                <pt idx="162">
                  <v>54.619</v>
                </pt>
                <pt idx="163">
                  <v>54.82</v>
                </pt>
                <pt idx="164">
                  <v>54.6304</v>
                </pt>
                <pt idx="165">
                  <v>54.8176</v>
                </pt>
                <pt idx="166">
                  <v>55.3596</v>
                </pt>
                <pt idx="167">
                  <v>55.6511</v>
                </pt>
                <pt idx="168">
                  <v>55.27</v>
                </pt>
                <pt idx="169">
                  <v>54.8828</v>
                </pt>
                <pt idx="170">
                  <v>54.9456</v>
                </pt>
                <pt idx="171">
                  <v>55.0535</v>
                </pt>
                <pt idx="172">
                  <v>54.837</v>
                </pt>
                <pt idx="173">
                  <v>55.1716</v>
                </pt>
                <pt idx="174">
                  <v>55.0792</v>
                </pt>
                <pt idx="175">
                  <v>55.2317</v>
                </pt>
                <pt idx="176">
                  <v>55.4645</v>
                </pt>
                <pt idx="177">
                  <v>55.6854</v>
                </pt>
                <pt idx="178">
                  <v>56.212</v>
                </pt>
                <pt idx="179">
                  <v>56.0012</v>
                </pt>
                <pt idx="180">
                  <v>56.7438</v>
                </pt>
                <pt idx="181">
                  <v>56.8235</v>
                </pt>
                <pt idx="182">
                  <v>57.1954</v>
                </pt>
                <pt idx="183">
                  <v>57.5498</v>
                </pt>
                <pt idx="184">
                  <v>57.8603</v>
                </pt>
                <pt idx="185">
                  <v>58.2501</v>
                </pt>
                <pt idx="186">
                  <v>58.6889</v>
                </pt>
                <pt idx="187">
                  <v>58.9137</v>
                </pt>
                <pt idx="188">
                  <v>59.7083</v>
                </pt>
                <pt idx="189">
                  <v>60.0022</v>
                </pt>
                <pt idx="190">
                  <v>60.3336</v>
                </pt>
                <pt idx="191">
                  <v>60.3186</v>
                </pt>
                <pt idx="192">
                  <v>60.6209</v>
                </pt>
                <pt idx="193">
                  <v>60.7591</v>
                </pt>
                <pt idx="194">
                  <v>61.1144</v>
                </pt>
                <pt idx="195">
                  <v>60.9952</v>
                </pt>
                <pt idx="196">
                  <v>61.1697</v>
                </pt>
                <pt idx="197">
                  <v>61.1749</v>
                </pt>
                <pt idx="198">
                  <v>61.4851</v>
                </pt>
                <pt idx="199">
                  <v>61.2844</v>
                </pt>
                <pt idx="200">
                  <v>61.5595</v>
                </pt>
                <pt idx="201">
                  <v>61.7128</v>
                </pt>
                <pt idx="202">
                  <v>61.9983</v>
                </pt>
                <pt idx="203">
                  <v>62.1789</v>
                </pt>
                <pt idx="204">
                  <v>61.9074</v>
                </pt>
                <pt idx="205">
                  <v>62.0592</v>
                </pt>
                <pt idx="206">
                  <v>62.0424</v>
                </pt>
                <pt idx="207">
                  <v>61.6948</v>
                </pt>
                <pt idx="208">
                  <v>61.6915</v>
                </pt>
                <pt idx="209">
                  <v>61.0978</v>
                </pt>
                <pt idx="210">
                  <v>61.6949</v>
                </pt>
                <pt idx="211">
                  <v>61.4839</v>
                </pt>
                <pt idx="212">
                  <v>61.4105</v>
                </pt>
                <pt idx="213">
                  <v>61.6172</v>
                </pt>
                <pt idx="214">
                  <v>61.9635</v>
                </pt>
                <pt idx="215">
                  <v>61.644</v>
                </pt>
                <pt idx="216">
                  <v>62.2108</v>
                </pt>
                <pt idx="217">
                  <v>62.5068</v>
                </pt>
                <pt idx="218">
                  <v>62.3597</v>
                </pt>
                <pt idx="219">
                  <v>62.5474</v>
                </pt>
                <pt idx="220">
                  <v>62.7541</v>
                </pt>
                <pt idx="221">
                  <v>62.6497</v>
                </pt>
                <pt idx="222">
                  <v>62.8761</v>
                </pt>
                <pt idx="223">
                  <v>62.896</v>
                </pt>
                <pt idx="224">
                  <v>62.506</v>
                </pt>
                <pt idx="225">
                  <v>61.7271</v>
                </pt>
                <pt idx="226">
                  <v>61.2939</v>
                </pt>
                <pt idx="227">
                  <v>61.0931</v>
                </pt>
                <pt idx="228">
                  <v>60.6522</v>
                </pt>
                <pt idx="229">
                  <v>60.3069</v>
                </pt>
                <pt idx="230">
                  <v>60.4658</v>
                </pt>
                <pt idx="231">
                  <v>61.0671</v>
                </pt>
                <pt idx="232">
                  <v>61.5611</v>
                </pt>
                <pt idx="233">
                  <v>61.723</v>
                </pt>
                <pt idx="234">
                  <v>61.736</v>
                </pt>
                <pt idx="235">
                  <v>62.2464</v>
                </pt>
                <pt idx="236">
                  <v>62.1825</v>
                </pt>
                <pt idx="237">
                  <v>62.0983</v>
                </pt>
                <pt idx="238">
                  <v>61.8108</v>
                </pt>
                <pt idx="239">
                  <v>61.4898</v>
                </pt>
                <pt idx="240">
                  <v>61.9299</v>
                </pt>
                <pt idx="241">
                  <v>62.449</v>
                </pt>
                <pt idx="242">
                  <v>62.9312</v>
                </pt>
                <pt idx="243">
                  <v>63.1359</v>
                </pt>
                <pt idx="244">
                  <v>63.1736</v>
                </pt>
                <pt idx="245">
                  <v>63.7408</v>
                </pt>
                <pt idx="246">
                  <v>63.3917</v>
                </pt>
                <pt idx="247">
                  <v>63.5927</v>
                </pt>
                <pt idx="248">
                  <v>64.0282</v>
                </pt>
                <pt idx="249">
                  <v>64.2732</v>
                </pt>
                <pt idx="250">
                  <v>64.3668</v>
                </pt>
                <pt idx="251">
                  <v>64.62560000000001</v>
                </pt>
                <pt idx="252">
                  <v>64.929</v>
                </pt>
                <pt idx="253">
                  <v>64.872</v>
                </pt>
                <pt idx="254">
                  <v>65.0611</v>
                </pt>
                <pt idx="255">
                  <v>64.8104</v>
                </pt>
                <pt idx="256">
                  <v>64.95529999999999</v>
                </pt>
                <pt idx="257">
                  <v>65.1198</v>
                </pt>
                <pt idx="258">
                  <v>65.04940000000001</v>
                </pt>
                <pt idx="259">
                  <v>65.3882</v>
                </pt>
                <pt idx="260">
                  <v>65.8702</v>
                </pt>
                <pt idx="261">
                  <v>66.17789999999999</v>
                </pt>
                <pt idx="262">
                  <v>66.56019999999999</v>
                </pt>
                <pt idx="263">
                  <v>66.7722</v>
                </pt>
                <pt idx="264">
                  <v>66.8068</v>
                </pt>
                <pt idx="265">
                  <v>67.4832</v>
                </pt>
                <pt idx="266">
                  <v>67.8771</v>
                </pt>
                <pt idx="267">
                  <v>68.1961</v>
                </pt>
                <pt idx="268">
                  <v>68.65260000000001</v>
                </pt>
                <pt idx="269">
                  <v>68.7353</v>
                </pt>
                <pt idx="270">
                  <v>69.19540000000001</v>
                </pt>
                <pt idx="271">
                  <v>69.40170000000001</v>
                </pt>
                <pt idx="272">
                  <v>69.96899999999999</v>
                </pt>
                <pt idx="273">
                  <v>70.4367</v>
                </pt>
                <pt idx="274">
                  <v>71.1413</v>
                </pt>
                <pt idx="275">
                  <v>71.2762</v>
                </pt>
                <pt idx="276">
                  <v>71.1904</v>
                </pt>
                <pt idx="277">
                  <v>71.2891</v>
                </pt>
                <pt idx="278">
                  <v>71.1623</v>
                </pt>
                <pt idx="279">
                  <v>71.5044</v>
                </pt>
                <pt idx="280">
                  <v>71.74299999999999</v>
                </pt>
                <pt idx="281">
                  <v>71.44589999999999</v>
                </pt>
                <pt idx="282">
                  <v>72.38</v>
                </pt>
                <pt idx="283">
                  <v>72.6601</v>
                </pt>
                <pt idx="284">
                  <v>72.5428</v>
                </pt>
                <pt idx="285">
                  <v>72.7178</v>
                </pt>
                <pt idx="286">
                  <v>72.96720000000001</v>
                </pt>
                <pt idx="287">
                  <v>72.5866</v>
                </pt>
                <pt idx="288">
                  <v>73.63890000000001</v>
                </pt>
                <pt idx="289">
                  <v>73.5202</v>
                </pt>
                <pt idx="290">
                  <v>74.2664</v>
                </pt>
                <pt idx="291">
                  <v>74.8145</v>
                </pt>
                <pt idx="292">
                  <v>75.3779</v>
                </pt>
                <pt idx="293">
                  <v>75.3754</v>
                </pt>
                <pt idx="294">
                  <v>75.7568</v>
                </pt>
                <pt idx="295">
                  <v>76.2304</v>
                </pt>
                <pt idx="296">
                  <v>76.2193</v>
                </pt>
                <pt idx="297">
                  <v>76.89409999999999</v>
                </pt>
                <pt idx="298">
                  <v>77.37309999999999</v>
                </pt>
                <pt idx="299">
                  <v>77.5138</v>
                </pt>
                <pt idx="300">
                  <v>78.4246</v>
                </pt>
                <pt idx="301">
                  <v>78.92659999999999</v>
                </pt>
                <pt idx="302">
                  <v>78.9924</v>
                </pt>
                <pt idx="303">
                  <v>79.44110000000001</v>
                </pt>
                <pt idx="304">
                  <v>79.8048</v>
                </pt>
                <pt idx="305">
                  <v>80.48</v>
                </pt>
                <pt idx="306">
                  <v>81.28619999999999</v>
                </pt>
                <pt idx="307">
                  <v>82.038</v>
                </pt>
                <pt idx="308">
                  <v>82.7657</v>
                </pt>
                <pt idx="309">
                  <v>83.43210000000001</v>
                </pt>
                <pt idx="310">
                  <v>83.7826</v>
                </pt>
                <pt idx="311">
                  <v>84.1656</v>
                </pt>
                <pt idx="312">
                  <v>84.3048</v>
                </pt>
                <pt idx="313">
                  <v>84.3416</v>
                </pt>
                <pt idx="314">
                  <v>84.6263</v>
                </pt>
                <pt idx="315">
                  <v>85.18389999999999</v>
                </pt>
                <pt idx="316">
                  <v>84.68089999999999</v>
                </pt>
                <pt idx="317">
                  <v>84.34480000000001</v>
                </pt>
                <pt idx="318">
                  <v>86.08459999999999</v>
                </pt>
                <pt idx="319">
                  <v>85.9945</v>
                </pt>
                <pt idx="320">
                  <v>86.5967</v>
                </pt>
                <pt idx="321">
                  <v>86.51139999999999</v>
                </pt>
                <pt idx="322">
                  <v>86.8608</v>
                </pt>
                <pt idx="323">
                  <v>87.2277</v>
                </pt>
                <pt idx="324">
                  <v>87.7266</v>
                </pt>
                <pt idx="325">
                  <v>87.9203</v>
                </pt>
                <pt idx="326">
                  <v>88.1153</v>
                </pt>
                <pt idx="327">
                  <v>88.6554</v>
                </pt>
                <pt idx="328">
                  <v>88.5958</v>
                </pt>
                <pt idx="329">
                  <v>89.12350000000001</v>
                </pt>
                <pt idx="330">
                  <v>89.5116</v>
                </pt>
                <pt idx="331">
                  <v>89.1361</v>
                </pt>
                <pt idx="332">
                  <v>90.2842</v>
                </pt>
                <pt idx="333">
                  <v>90.76309999999999</v>
                </pt>
                <pt idx="334">
                  <v>91.4926</v>
                </pt>
                <pt idx="335">
                  <v>91.4251</v>
                </pt>
                <pt idx="336">
                  <v>91.73569999999999</v>
                </pt>
                <pt idx="337">
                  <v>92.0933</v>
                </pt>
                <pt idx="338">
                  <v>92.68380000000001</v>
                </pt>
                <pt idx="339">
                  <v>92.9376</v>
                </pt>
                <pt idx="340">
                  <v>93.0076</v>
                </pt>
                <pt idx="341">
                  <v>92.8458</v>
                </pt>
                <pt idx="342">
                  <v>92.5972</v>
                </pt>
                <pt idx="343">
                  <v>92.9653</v>
                </pt>
                <pt idx="344">
                  <v>92.6418</v>
                </pt>
                <pt idx="345">
                  <v>92.6618</v>
                </pt>
                <pt idx="346">
                  <v>92.3459</v>
                </pt>
                <pt idx="347">
                  <v>91.8903</v>
                </pt>
                <pt idx="348">
                  <v>91.2915</v>
                </pt>
                <pt idx="349">
                  <v>91.0526</v>
                </pt>
                <pt idx="350">
                  <v>90.72929999999999</v>
                </pt>
                <pt idx="351">
                  <v>90.2577</v>
                </pt>
                <pt idx="352">
                  <v>89.7677</v>
                </pt>
                <pt idx="353">
                  <v>89.226</v>
                </pt>
                <pt idx="354">
                  <v>89.1326</v>
                </pt>
                <pt idx="355">
                  <v>88.6679</v>
                </pt>
                <pt idx="356">
                  <v>88.3926</v>
                </pt>
                <pt idx="357">
                  <v>87.87739999999999</v>
                </pt>
                <pt idx="358">
                  <v>87.8344</v>
                </pt>
                <pt idx="359">
                  <v>88.4665</v>
                </pt>
                <pt idx="360">
                  <v>88.4661</v>
                </pt>
                <pt idx="361">
                  <v>89.1228</v>
                </pt>
                <pt idx="362">
                  <v>89.5532</v>
                </pt>
                <pt idx="363">
                  <v>89.934</v>
                </pt>
                <pt idx="364">
                  <v>90.6769</v>
                </pt>
                <pt idx="365">
                  <v>90.6455</v>
                </pt>
                <pt idx="366">
                  <v>90.5475</v>
                </pt>
                <pt idx="367">
                  <v>90.63809999999999</v>
                </pt>
                <pt idx="368">
                  <v>90.4041</v>
                </pt>
                <pt idx="369">
                  <v>90.8985</v>
                </pt>
                <pt idx="370">
                  <v>90.389</v>
                </pt>
                <pt idx="371">
                  <v>91.13549999999999</v>
                </pt>
                <pt idx="372">
                  <v>91.25020000000001</v>
                </pt>
                <pt idx="373">
                  <v>91.0059</v>
                </pt>
                <pt idx="374">
                  <v>90.4281</v>
                </pt>
                <pt idx="375">
                  <v>90.40730000000001</v>
                </pt>
                <pt idx="376">
                  <v>90.5218</v>
                </pt>
                <pt idx="377">
                  <v>90.9896</v>
                </pt>
                <pt idx="378">
                  <v>90.78579999999999</v>
                </pt>
                <pt idx="379">
                  <v>91.38290000000001</v>
                </pt>
                <pt idx="380">
                  <v>91.5005</v>
                </pt>
                <pt idx="381">
                  <v>92.12649999999999</v>
                </pt>
                <pt idx="382">
                  <v>92.1722</v>
                </pt>
                <pt idx="383">
                  <v>92.327</v>
                </pt>
                <pt idx="384">
                  <v>92.8873</v>
                </pt>
                <pt idx="385">
                  <v>92.5325</v>
                </pt>
                <pt idx="386">
                  <v>92.9096</v>
                </pt>
                <pt idx="387">
                  <v>93.5838</v>
                </pt>
                <pt idx="388">
                  <v>92.8621</v>
                </pt>
                <pt idx="389">
                  <v>93.55110000000001</v>
                </pt>
                <pt idx="390">
                  <v>93.6328</v>
                </pt>
                <pt idx="391">
                  <v>93.7418</v>
                </pt>
                <pt idx="392">
                  <v>94.5671</v>
                </pt>
                <pt idx="393">
                  <v>94.8</v>
                </pt>
                <pt idx="394">
                  <v>95.54259999999999</v>
                </pt>
                <pt idx="395">
                  <v>95.8831</v>
                </pt>
                <pt idx="396">
                  <v>96.5616</v>
                </pt>
                <pt idx="397">
                  <v>96.4371</v>
                </pt>
                <pt idx="398">
                  <v>96.628</v>
                </pt>
                <pt idx="399">
                  <v>96.7306</v>
                </pt>
                <pt idx="400">
                  <v>97.14879999999999</v>
                </pt>
                <pt idx="401">
                  <v>96.8383</v>
                </pt>
                <pt idx="402">
                  <v>97.16030000000001</v>
                </pt>
                <pt idx="403">
                  <v>95.27290000000001</v>
                </pt>
                <pt idx="404">
                  <v>96.4383</v>
                </pt>
                <pt idx="405">
                  <v>97.49509999999999</v>
                </pt>
                <pt idx="406">
                  <v>97.97880000000001</v>
                </pt>
                <pt idx="407">
                  <v>98.1305</v>
                </pt>
                <pt idx="408">
                  <v>98.17789999999999</v>
                </pt>
                <pt idx="409">
                  <v>98.38979999999999</v>
                </pt>
                <pt idx="410">
                  <v>98.6769</v>
                </pt>
                <pt idx="411">
                  <v>98.7052</v>
                </pt>
                <pt idx="412">
                  <v>99.0427</v>
                </pt>
                <pt idx="413">
                  <v>98.9804</v>
                </pt>
                <pt idx="414">
                  <v>99.4106</v>
                </pt>
                <pt idx="415">
                  <v>99.22069999999999</v>
                </pt>
                <pt idx="416">
                  <v>99.1253</v>
                </pt>
                <pt idx="417">
                  <v>99.09690000000001</v>
                </pt>
                <pt idx="418">
                  <v>100.1122</v>
                </pt>
                <pt idx="419">
                  <v>99.75709999999999</v>
                </pt>
                <pt idx="420">
                  <v>100.7275</v>
                </pt>
                <pt idx="421">
                  <v>100.9023</v>
                </pt>
                <pt idx="422">
                  <v>101.5874</v>
                </pt>
                <pt idx="423">
                  <v>101.6299</v>
                </pt>
                <pt idx="424">
                  <v>101.6482</v>
                </pt>
                <pt idx="425">
                  <v>101.4925</v>
                </pt>
                <pt idx="426">
                  <v>101.6874</v>
                </pt>
                <pt idx="427">
                  <v>101.9398</v>
                </pt>
                <pt idx="428">
                  <v>101.6345</v>
                </pt>
                <pt idx="429">
                  <v>102.2068</v>
                </pt>
                <pt idx="430">
                  <v>102.2604</v>
                </pt>
                <pt idx="431">
                  <v>102.14</v>
                </pt>
                <pt idx="432">
                  <v>101.7671</v>
                </pt>
                <pt idx="433">
                  <v>101.4355</v>
                </pt>
                <pt idx="434">
                  <v>100.7424</v>
                </pt>
                <pt idx="435">
                  <v>100.132</v>
                </pt>
                <pt idx="436">
                  <v>99.8651</v>
                </pt>
                <pt idx="437">
                  <v>99.42140000000001</v>
                </pt>
                <pt idx="438">
                  <v>97.84480000000001</v>
                </pt>
                <pt idx="439">
                  <v>93.559</v>
                </pt>
                <pt idx="440">
                  <v>94.4956</v>
                </pt>
                <pt idx="441">
                  <v>93.2689</v>
                </pt>
                <pt idx="442">
                  <v>90.628</v>
                </pt>
                <pt idx="443">
                  <v>88.3811</v>
                </pt>
                <pt idx="444">
                  <v>87.8412</v>
                </pt>
                <pt idx="445">
                  <v>86.4794</v>
                </pt>
                <pt idx="446">
                  <v>85.78830000000001</v>
                </pt>
                <pt idx="447">
                  <v>84.9516</v>
                </pt>
                <pt idx="448">
                  <v>84.69280000000001</v>
                </pt>
                <pt idx="449">
                  <v>85.70440000000001</v>
                </pt>
                <pt idx="450">
                  <v>86.6617</v>
                </pt>
                <pt idx="451">
                  <v>87.4033</v>
                </pt>
                <pt idx="452">
                  <v>87.6035</v>
                </pt>
                <pt idx="453">
                  <v>87.9559</v>
                </pt>
                <pt idx="454">
                  <v>88.24679999999999</v>
                </pt>
                <pt idx="455">
                  <v>89.19110000000001</v>
                </pt>
                <pt idx="456">
                  <v>89.49720000000001</v>
                </pt>
                <pt idx="457">
                  <v>90.14190000000001</v>
                </pt>
                <pt idx="458">
                  <v>90.45910000000001</v>
                </pt>
                <pt idx="459">
                  <v>91.702</v>
                </pt>
                <pt idx="460">
                  <v>91.8997</v>
                </pt>
                <pt idx="461">
                  <v>92.2522</v>
                </pt>
                <pt idx="462">
                  <v>92.5899</v>
                </pt>
                <pt idx="463">
                  <v>92.85639999999999</v>
                </pt>
                <pt idx="464">
                  <v>92.6037</v>
                </pt>
                <pt idx="465">
                  <v>92.6773</v>
                </pt>
                <pt idx="466">
                  <v>93.5851</v>
                </pt>
                <pt idx="467">
                  <v>93.3944</v>
                </pt>
                <pt idx="468">
                  <v>92.99299999999999</v>
                </pt>
                <pt idx="469">
                  <v>93.982</v>
                </pt>
                <pt idx="470">
                  <v>93.6525</v>
                </pt>
                <pt idx="471">
                  <v>93.7775</v>
                </pt>
                <pt idx="472">
                  <v>94.0467</v>
                </pt>
                <pt idx="473">
                  <v>94.4931</v>
                </pt>
                <pt idx="474">
                  <v>95.09690000000001</v>
                </pt>
                <pt idx="475">
                  <v>95.02809999999999</v>
                </pt>
                <pt idx="476">
                  <v>95.69240000000001</v>
                </pt>
                <pt idx="477">
                  <v>95.6913</v>
                </pt>
                <pt idx="478">
                  <v>96.1938</v>
                </pt>
                <pt idx="479">
                  <v>96.779</v>
                </pt>
                <pt idx="480">
                  <v>97.0959</v>
                </pt>
                <pt idx="481">
                  <v>96.5919</v>
                </pt>
                <pt idx="482">
                  <v>97.2942</v>
                </pt>
                <pt idx="483">
                  <v>97.4853</v>
                </pt>
                <pt idx="484">
                  <v>97.49590000000001</v>
                </pt>
                <pt idx="485">
                  <v>97.6922</v>
                </pt>
                <pt idx="486">
                  <v>97.3061</v>
                </pt>
                <pt idx="487">
                  <v>97.2383</v>
                </pt>
                <pt idx="488">
                  <v>97.5425</v>
                </pt>
                <pt idx="489">
                  <v>97.934</v>
                </pt>
                <pt idx="490">
                  <v>98.19840000000001</v>
                </pt>
                <pt idx="491">
                  <v>98.2029</v>
                </pt>
                <pt idx="492">
                  <v>98.6733</v>
                </pt>
                <pt idx="493">
                  <v>99.0788</v>
                </pt>
                <pt idx="494">
                  <v>98.9658</v>
                </pt>
                <pt idx="495">
                  <v>99.05670000000001</v>
                </pt>
                <pt idx="496">
                  <v>99.2424</v>
                </pt>
                <pt idx="497">
                  <v>98.9258</v>
                </pt>
                <pt idx="498">
                  <v>99.5059</v>
                </pt>
                <pt idx="499">
                  <v>100.0391</v>
                </pt>
                <pt idx="500">
                  <v>99.9203</v>
                </pt>
                <pt idx="501">
                  <v>100.1661</v>
                </pt>
                <pt idx="502">
                  <v>100.3777</v>
                </pt>
                <pt idx="503">
                  <v>99.999</v>
                </pt>
                <pt idx="504">
                  <v>100.7583</v>
                </pt>
                <pt idx="505">
                  <v>101.7767</v>
                </pt>
                <pt idx="506">
                  <v>101.8425</v>
                </pt>
                <pt idx="507">
                  <v>102.2594</v>
                </pt>
                <pt idx="508">
                  <v>102.5986</v>
                </pt>
                <pt idx="509">
                  <v>102.8163</v>
                </pt>
                <pt idx="510">
                  <v>102.6562</v>
                </pt>
                <pt idx="511">
                  <v>102.9776</v>
                </pt>
                <pt idx="512">
                  <v>102.9892</v>
                </pt>
                <pt idx="513">
                  <v>103.6402</v>
                </pt>
                <pt idx="514">
                  <v>103.6345</v>
                </pt>
                <pt idx="515">
                  <v>102.8239</v>
                </pt>
                <pt idx="516">
                  <v>102.1513</v>
                </pt>
                <pt idx="517">
                  <v>101.824</v>
                </pt>
                <pt idx="518">
                  <v>101.244</v>
                </pt>
                <pt idx="519">
                  <v>100.783</v>
                </pt>
                <pt idx="520">
                  <v>100.4781</v>
                </pt>
                <pt idx="521">
                  <v>101.1052</v>
                </pt>
                <pt idx="522">
                  <v>100.9442</v>
                </pt>
                <pt idx="523">
                  <v>100.6507</v>
                </pt>
                <pt idx="524">
                  <v>100.1871</v>
                </pt>
                <pt idx="525">
                  <v>99.43819999999999</v>
                </pt>
                <pt idx="526">
                  <v>98.93899999999999</v>
                </pt>
                <pt idx="527">
                  <v>99.4558</v>
                </pt>
                <pt idx="528">
                  <v>98.9136</v>
                </pt>
                <pt idx="529">
                  <v>98.19070000000001</v>
                </pt>
                <pt idx="530">
                  <v>98.4669</v>
                </pt>
                <pt idx="531">
                  <v>98.2518</v>
                </pt>
                <pt idx="532">
                  <v>98.72750000000001</v>
                </pt>
                <pt idx="533">
                  <v>98.836</v>
                </pt>
                <pt idx="534">
                  <v>98.75539999999999</v>
                </pt>
                <pt idx="535">
                  <v>98.6596</v>
                </pt>
                <pt idx="536">
                  <v>98.73220000000001</v>
                </pt>
                <pt idx="537">
                  <v>98.34520000000001</v>
                </pt>
                <pt idx="538">
                  <v>99.0314</v>
                </pt>
                <pt idx="539">
                  <v>98.7987</v>
                </pt>
                <pt idx="540">
                  <v>98.43219999999999</v>
                </pt>
                <pt idx="541">
                  <v>99.0663</v>
                </pt>
                <pt idx="542">
                  <v>100.0082</v>
                </pt>
                <pt idx="543">
                  <v>100.1286</v>
                </pt>
                <pt idx="544">
                  <v>100.3233</v>
                </pt>
                <pt idx="545">
                  <v>100.0947</v>
                </pt>
                <pt idx="546">
                  <v>99.66419999999999</v>
                </pt>
                <pt idx="547">
                  <v>99.76860000000001</v>
                </pt>
                <pt idx="548">
                  <v>100.9981</v>
                </pt>
                <pt idx="549">
                  <v>101.2597</v>
                </pt>
                <pt idx="550">
                  <v>101.4573</v>
                </pt>
                <pt idx="551">
                  <v>101.3939</v>
                </pt>
                <pt idx="552">
                  <v>101.7656</v>
                </pt>
                <pt idx="553">
                  <v>102.2441</v>
                </pt>
                <pt idx="554">
                  <v>103.3468</v>
                </pt>
                <pt idx="555">
                  <v>102.3911</v>
                </pt>
                <pt idx="556">
                  <v>103.1924</v>
                </pt>
                <pt idx="557">
                  <v>103.3334</v>
                </pt>
                <pt idx="558">
                  <v>104.0807</v>
                </pt>
                <pt idx="559">
                  <v>104.1181</v>
                </pt>
                <pt idx="560">
                  <v>103.9397</v>
                </pt>
                <pt idx="561">
                  <v>104.0007</v>
                </pt>
                <pt idx="562">
                  <v>103.9946</v>
                </pt>
                <pt idx="563">
                  <v>103.373</v>
                </pt>
                <pt idx="564">
                  <v>102.8292</v>
                </pt>
                <pt idx="565">
                  <v>102.8286</v>
                </pt>
                <pt idx="566">
                  <v>102.2481</v>
                </pt>
                <pt idx="567">
                  <v>102.4192</v>
                </pt>
                <pt idx="568">
                  <v>102.4893</v>
                </pt>
                <pt idx="569">
                  <v>102.0236</v>
                </pt>
                <pt idx="570">
                  <v>102.7754</v>
                </pt>
                <pt idx="571">
                  <v>102.5315</v>
                </pt>
                <pt idx="572">
                  <v>101.6022</v>
                </pt>
                <pt idx="573">
                  <v>102.148</v>
                </pt>
                <pt idx="574">
                  <v>101.884</v>
                </pt>
                <pt idx="575">
                  <v>101.3768</v>
                </pt>
                <pt idx="576">
                  <v>101.633</v>
                </pt>
                <pt idx="577">
                  <v>97.66719999999999</v>
                </pt>
                <pt idx="578">
                  <v>84.5979</v>
                </pt>
                <pt idx="579">
                  <v>85.97320000000001</v>
                </pt>
                <pt idx="580">
                  <v>91.5625</v>
                </pt>
                <pt idx="581">
                  <v>95.01439999999999</v>
                </pt>
                <pt idx="582">
                  <v>95.88809999999999</v>
                </pt>
                <pt idx="583">
                  <v>95.84439999999999</v>
                </pt>
                <pt idx="584">
                  <v>96.42919999999999</v>
                </pt>
                <pt idx="585">
                  <v>96.85639999999999</v>
                </pt>
                <pt idx="586">
                  <v>97.97539999999999</v>
                </pt>
                <pt idx="587">
                  <v>98.78360000000001</v>
                </pt>
                <pt idx="588">
                  <v>95.37439999999999</v>
                </pt>
                <pt idx="589">
                  <v>98.13509999999999</v>
                </pt>
                <pt idx="590">
                  <v>98.2886</v>
                </pt>
                <pt idx="591">
                  <v>99.1508</v>
                </pt>
                <pt idx="592">
                  <v>99.50960000000001</v>
                </pt>
                <pt idx="593">
                  <v>100.1231</v>
                </pt>
                <pt idx="594">
                  <v>100.1255</v>
                </pt>
                <pt idx="595">
                  <v>99.06140000000001</v>
                </pt>
                <pt idx="596">
                  <v>100.3045</v>
                </pt>
                <pt idx="597">
                  <v>101.1971</v>
                </pt>
                <pt idx="598">
                  <v>100.886</v>
                </pt>
                <pt idx="599">
                  <v>101.0227</v>
                </pt>
                <pt idx="600">
                  <v>101.6766</v>
                </pt>
                <pt idx="601">
                  <v>102.478</v>
                </pt>
                <pt idx="602">
                  <v>102.7953</v>
                </pt>
                <pt idx="603">
                  <v>102.7769</v>
                </pt>
                <pt idx="604">
                  <v>102.6863</v>
                </pt>
                <pt idx="605">
                  <v>103.1328</v>
                </pt>
                <pt idx="606">
                  <v>103.2344</v>
                </pt>
                <pt idx="607">
                  <v>103.5283</v>
                </pt>
                <pt idx="608">
                  <v>103.4114</v>
                </pt>
                <pt idx="609">
                  <v>103.0719</v>
                </pt>
                <pt idx="610">
                  <v>101.4761</v>
                </pt>
                <pt idx="611">
                  <v>102.4257</v>
                </pt>
                <pt idx="612">
                  <v>102.639</v>
                </pt>
                <pt idx="613">
                  <v>103.0258</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'Industrial Production'!$X$1</f>
          <strCache>
            <ptCount val="1"/>
            <pt idx="0">
              <v xml:space="preserve">Industrial Production Index  since 2000 -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Production'!$A$343:$A$630</f>
              <numCache>
                <formatCode>mmm\-yy</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'Industrial Production'!$B$343:$B$630</f>
              <numCache>
                <formatCode>0.0</formatCode>
                <ptCount val="288"/>
                <pt idx="0">
                  <v>91.4251</v>
                </pt>
                <pt idx="1">
                  <v>91.73569999999999</v>
                </pt>
                <pt idx="2">
                  <v>92.0933</v>
                </pt>
                <pt idx="3">
                  <v>92.68380000000001</v>
                </pt>
                <pt idx="4">
                  <v>92.9376</v>
                </pt>
                <pt idx="5">
                  <v>93.0076</v>
                </pt>
                <pt idx="6">
                  <v>92.8458</v>
                </pt>
                <pt idx="7">
                  <v>92.5972</v>
                </pt>
                <pt idx="8">
                  <v>92.9653</v>
                </pt>
                <pt idx="9">
                  <v>92.6418</v>
                </pt>
                <pt idx="10">
                  <v>92.6618</v>
                </pt>
                <pt idx="11">
                  <v>92.3459</v>
                </pt>
                <pt idx="12">
                  <v>91.8903</v>
                </pt>
                <pt idx="13">
                  <v>91.2915</v>
                </pt>
                <pt idx="14">
                  <v>91.0526</v>
                </pt>
                <pt idx="15">
                  <v>90.72929999999999</v>
                </pt>
                <pt idx="16">
                  <v>90.2577</v>
                </pt>
                <pt idx="17">
                  <v>89.7677</v>
                </pt>
                <pt idx="18">
                  <v>89.226</v>
                </pt>
                <pt idx="19">
                  <v>89.1326</v>
                </pt>
                <pt idx="20">
                  <v>88.6679</v>
                </pt>
                <pt idx="21">
                  <v>88.3926</v>
                </pt>
                <pt idx="22">
                  <v>87.87739999999999</v>
                </pt>
                <pt idx="23">
                  <v>87.8344</v>
                </pt>
                <pt idx="24">
                  <v>88.4665</v>
                </pt>
                <pt idx="25">
                  <v>88.4661</v>
                </pt>
                <pt idx="26">
                  <v>89.1228</v>
                </pt>
                <pt idx="27">
                  <v>89.5532</v>
                </pt>
                <pt idx="28">
                  <v>89.934</v>
                </pt>
                <pt idx="29">
                  <v>90.6769</v>
                </pt>
                <pt idx="30">
                  <v>90.6455</v>
                </pt>
                <pt idx="31">
                  <v>90.5475</v>
                </pt>
                <pt idx="32">
                  <v>90.63809999999999</v>
                </pt>
                <pt idx="33">
                  <v>90.4041</v>
                </pt>
                <pt idx="34">
                  <v>90.8985</v>
                </pt>
                <pt idx="35">
                  <v>90.389</v>
                </pt>
                <pt idx="36">
                  <v>91.13549999999999</v>
                </pt>
                <pt idx="37">
                  <v>91.25020000000001</v>
                </pt>
                <pt idx="38">
                  <v>91.0059</v>
                </pt>
                <pt idx="39">
                  <v>90.4281</v>
                </pt>
                <pt idx="40">
                  <v>90.40730000000001</v>
                </pt>
                <pt idx="41">
                  <v>90.5218</v>
                </pt>
                <pt idx="42">
                  <v>90.9896</v>
                </pt>
                <pt idx="43">
                  <v>90.78579999999999</v>
                </pt>
                <pt idx="44">
                  <v>91.38290000000001</v>
                </pt>
                <pt idx="45">
                  <v>91.5005</v>
                </pt>
                <pt idx="46">
                  <v>92.12649999999999</v>
                </pt>
                <pt idx="47">
                  <v>92.1722</v>
                </pt>
                <pt idx="48">
                  <v>92.327</v>
                </pt>
                <pt idx="49">
                  <v>92.8873</v>
                </pt>
                <pt idx="50">
                  <v>92.5325</v>
                </pt>
                <pt idx="51">
                  <v>92.9096</v>
                </pt>
                <pt idx="52">
                  <v>93.5838</v>
                </pt>
                <pt idx="53">
                  <v>92.8621</v>
                </pt>
                <pt idx="54">
                  <v>93.55110000000001</v>
                </pt>
                <pt idx="55">
                  <v>93.6328</v>
                </pt>
                <pt idx="56">
                  <v>93.7418</v>
                </pt>
                <pt idx="57">
                  <v>94.5671</v>
                </pt>
                <pt idx="58">
                  <v>94.8</v>
                </pt>
                <pt idx="59">
                  <v>95.54259999999999</v>
                </pt>
                <pt idx="60">
                  <v>95.8831</v>
                </pt>
                <pt idx="61">
                  <v>96.5616</v>
                </pt>
                <pt idx="62">
                  <v>96.4371</v>
                </pt>
                <pt idx="63">
                  <v>96.628</v>
                </pt>
                <pt idx="64">
                  <v>96.7306</v>
                </pt>
                <pt idx="65">
                  <v>97.14879999999999</v>
                </pt>
                <pt idx="66">
                  <v>96.8383</v>
                </pt>
                <pt idx="67">
                  <v>97.16030000000001</v>
                </pt>
                <pt idx="68">
                  <v>95.27290000000001</v>
                </pt>
                <pt idx="69">
                  <v>96.4383</v>
                </pt>
                <pt idx="70">
                  <v>97.49509999999999</v>
                </pt>
                <pt idx="71">
                  <v>97.97880000000001</v>
                </pt>
                <pt idx="72">
                  <v>98.1305</v>
                </pt>
                <pt idx="73">
                  <v>98.17789999999999</v>
                </pt>
                <pt idx="74">
                  <v>98.38979999999999</v>
                </pt>
                <pt idx="75">
                  <v>98.6769</v>
                </pt>
                <pt idx="76">
                  <v>98.7052</v>
                </pt>
                <pt idx="77">
                  <v>99.0427</v>
                </pt>
                <pt idx="78">
                  <v>98.9804</v>
                </pt>
                <pt idx="79">
                  <v>99.4106</v>
                </pt>
                <pt idx="80">
                  <v>99.22069999999999</v>
                </pt>
                <pt idx="81">
                  <v>99.1253</v>
                </pt>
                <pt idx="82">
                  <v>99.09690000000001</v>
                </pt>
                <pt idx="83">
                  <v>100.1122</v>
                </pt>
                <pt idx="84">
                  <v>99.75709999999999</v>
                </pt>
                <pt idx="85">
                  <v>100.7275</v>
                </pt>
                <pt idx="86">
                  <v>100.9023</v>
                </pt>
                <pt idx="87">
                  <v>101.5874</v>
                </pt>
                <pt idx="88">
                  <v>101.6299</v>
                </pt>
                <pt idx="89">
                  <v>101.6482</v>
                </pt>
                <pt idx="90">
                  <v>101.4925</v>
                </pt>
                <pt idx="91">
                  <v>101.6874</v>
                </pt>
                <pt idx="92">
                  <v>101.9398</v>
                </pt>
                <pt idx="93">
                  <v>101.6345</v>
                </pt>
                <pt idx="94">
                  <v>102.2068</v>
                </pt>
                <pt idx="95">
                  <v>102.2604</v>
                </pt>
                <pt idx="96">
                  <v>102.14</v>
                </pt>
                <pt idx="97">
                  <v>101.7671</v>
                </pt>
                <pt idx="98">
                  <v>101.4355</v>
                </pt>
                <pt idx="99">
                  <v>100.7424</v>
                </pt>
                <pt idx="100">
                  <v>100.132</v>
                </pt>
                <pt idx="101">
                  <v>99.8651</v>
                </pt>
                <pt idx="102">
                  <v>99.42140000000001</v>
                </pt>
                <pt idx="103">
                  <v>97.84480000000001</v>
                </pt>
                <pt idx="104">
                  <v>93.559</v>
                </pt>
                <pt idx="105">
                  <v>94.4956</v>
                </pt>
                <pt idx="106">
                  <v>93.2689</v>
                </pt>
                <pt idx="107">
                  <v>90.628</v>
                </pt>
                <pt idx="108">
                  <v>88.3811</v>
                </pt>
                <pt idx="109">
                  <v>87.8412</v>
                </pt>
                <pt idx="110">
                  <v>86.4794</v>
                </pt>
                <pt idx="111">
                  <v>85.78830000000001</v>
                </pt>
                <pt idx="112">
                  <v>84.9516</v>
                </pt>
                <pt idx="113">
                  <v>84.69280000000001</v>
                </pt>
                <pt idx="114">
                  <v>85.70440000000001</v>
                </pt>
                <pt idx="115">
                  <v>86.6617</v>
                </pt>
                <pt idx="116">
                  <v>87.4033</v>
                </pt>
                <pt idx="117">
                  <v>87.6035</v>
                </pt>
                <pt idx="118">
                  <v>87.9559</v>
                </pt>
                <pt idx="119">
                  <v>88.24679999999999</v>
                </pt>
                <pt idx="120">
                  <v>89.19110000000001</v>
                </pt>
                <pt idx="121">
                  <v>89.49720000000001</v>
                </pt>
                <pt idx="122">
                  <v>90.14190000000001</v>
                </pt>
                <pt idx="123">
                  <v>90.45910000000001</v>
                </pt>
                <pt idx="124">
                  <v>91.702</v>
                </pt>
                <pt idx="125">
                  <v>91.8997</v>
                </pt>
                <pt idx="126">
                  <v>92.2522</v>
                </pt>
                <pt idx="127">
                  <v>92.5899</v>
                </pt>
                <pt idx="128">
                  <v>92.85639999999999</v>
                </pt>
                <pt idx="129">
                  <v>92.6037</v>
                </pt>
                <pt idx="130">
                  <v>92.6773</v>
                </pt>
                <pt idx="131">
                  <v>93.5851</v>
                </pt>
                <pt idx="132">
                  <v>93.3944</v>
                </pt>
                <pt idx="133">
                  <v>92.99299999999999</v>
                </pt>
                <pt idx="134">
                  <v>93.982</v>
                </pt>
                <pt idx="135">
                  <v>93.6525</v>
                </pt>
                <pt idx="136">
                  <v>93.7775</v>
                </pt>
                <pt idx="137">
                  <v>94.0467</v>
                </pt>
                <pt idx="138">
                  <v>94.4931</v>
                </pt>
                <pt idx="139">
                  <v>95.09690000000001</v>
                </pt>
                <pt idx="140">
                  <v>95.02809999999999</v>
                </pt>
                <pt idx="141">
                  <v>95.69240000000001</v>
                </pt>
                <pt idx="142">
                  <v>95.6913</v>
                </pt>
                <pt idx="143">
                  <v>96.1938</v>
                </pt>
                <pt idx="144">
                  <v>96.779</v>
                </pt>
                <pt idx="145">
                  <v>97.0959</v>
                </pt>
                <pt idx="146">
                  <v>96.5919</v>
                </pt>
                <pt idx="147">
                  <v>97.2942</v>
                </pt>
                <pt idx="148">
                  <v>97.4853</v>
                </pt>
                <pt idx="149">
                  <v>97.49590000000001</v>
                </pt>
                <pt idx="150">
                  <v>97.6922</v>
                </pt>
                <pt idx="151">
                  <v>97.3061</v>
                </pt>
                <pt idx="152">
                  <v>97.2383</v>
                </pt>
                <pt idx="153">
                  <v>97.5425</v>
                </pt>
                <pt idx="154">
                  <v>97.934</v>
                </pt>
                <pt idx="155">
                  <v>98.19840000000001</v>
                </pt>
                <pt idx="156">
                  <v>98.2029</v>
                </pt>
                <pt idx="157">
                  <v>98.6733</v>
                </pt>
                <pt idx="158">
                  <v>99.0788</v>
                </pt>
                <pt idx="159">
                  <v>98.9658</v>
                </pt>
                <pt idx="160">
                  <v>99.05670000000001</v>
                </pt>
                <pt idx="161">
                  <v>99.2424</v>
                </pt>
                <pt idx="162">
                  <v>98.9258</v>
                </pt>
                <pt idx="163">
                  <v>99.5059</v>
                </pt>
                <pt idx="164">
                  <v>100.0391</v>
                </pt>
                <pt idx="165">
                  <v>99.9203</v>
                </pt>
                <pt idx="166">
                  <v>100.1661</v>
                </pt>
                <pt idx="167">
                  <v>100.3777</v>
                </pt>
                <pt idx="168">
                  <v>99.999</v>
                </pt>
                <pt idx="169">
                  <v>100.7583</v>
                </pt>
                <pt idx="170">
                  <v>101.7767</v>
                </pt>
                <pt idx="171">
                  <v>101.8425</v>
                </pt>
                <pt idx="172">
                  <v>102.2594</v>
                </pt>
                <pt idx="173">
                  <v>102.5986</v>
                </pt>
                <pt idx="174">
                  <v>102.8163</v>
                </pt>
                <pt idx="175">
                  <v>102.6562</v>
                </pt>
                <pt idx="176">
                  <v>102.9776</v>
                </pt>
                <pt idx="177">
                  <v>102.9892</v>
                </pt>
                <pt idx="178">
                  <v>103.6402</v>
                </pt>
                <pt idx="179">
                  <v>103.6345</v>
                </pt>
                <pt idx="180">
                  <v>102.8239</v>
                </pt>
                <pt idx="181">
                  <v>102.1513</v>
                </pt>
                <pt idx="182">
                  <v>101.824</v>
                </pt>
                <pt idx="183">
                  <v>101.244</v>
                </pt>
                <pt idx="184">
                  <v>100.783</v>
                </pt>
                <pt idx="185">
                  <v>100.4781</v>
                </pt>
                <pt idx="186">
                  <v>101.1052</v>
                </pt>
                <pt idx="187">
                  <v>100.9442</v>
                </pt>
                <pt idx="188">
                  <v>100.6507</v>
                </pt>
                <pt idx="189">
                  <v>100.1871</v>
                </pt>
                <pt idx="190">
                  <v>99.43819999999999</v>
                </pt>
                <pt idx="191">
                  <v>98.93899999999999</v>
                </pt>
                <pt idx="192">
                  <v>99.4558</v>
                </pt>
                <pt idx="193">
                  <v>98.9136</v>
                </pt>
                <pt idx="194">
                  <v>98.19070000000001</v>
                </pt>
                <pt idx="195">
                  <v>98.4669</v>
                </pt>
                <pt idx="196">
                  <v>98.2518</v>
                </pt>
                <pt idx="197">
                  <v>98.72750000000001</v>
                </pt>
                <pt idx="198">
                  <v>98.836</v>
                </pt>
                <pt idx="199">
                  <v>98.75539999999999</v>
                </pt>
                <pt idx="200">
                  <v>98.6596</v>
                </pt>
                <pt idx="201">
                  <v>98.73220000000001</v>
                </pt>
                <pt idx="202">
                  <v>98.34520000000001</v>
                </pt>
                <pt idx="203">
                  <v>99.0314</v>
                </pt>
                <pt idx="204">
                  <v>98.7987</v>
                </pt>
                <pt idx="205">
                  <v>98.43219999999999</v>
                </pt>
                <pt idx="206">
                  <v>99.0663</v>
                </pt>
                <pt idx="207">
                  <v>100.0082</v>
                </pt>
                <pt idx="208">
                  <v>100.1286</v>
                </pt>
                <pt idx="209">
                  <v>100.3233</v>
                </pt>
                <pt idx="210">
                  <v>100.0947</v>
                </pt>
                <pt idx="211">
                  <v>99.66419999999999</v>
                </pt>
                <pt idx="212">
                  <v>99.76860000000001</v>
                </pt>
                <pt idx="213">
                  <v>100.9981</v>
                </pt>
                <pt idx="214">
                  <v>101.2597</v>
                </pt>
                <pt idx="215">
                  <v>101.4573</v>
                </pt>
                <pt idx="216">
                  <v>101.3939</v>
                </pt>
                <pt idx="217">
                  <v>101.7656</v>
                </pt>
                <pt idx="218">
                  <v>102.2441</v>
                </pt>
                <pt idx="219">
                  <v>103.3468</v>
                </pt>
                <pt idx="220">
                  <v>102.3911</v>
                </pt>
                <pt idx="221">
                  <v>103.1924</v>
                </pt>
                <pt idx="222">
                  <v>103.3334</v>
                </pt>
                <pt idx="223">
                  <v>104.0807</v>
                </pt>
                <pt idx="224">
                  <v>104.1181</v>
                </pt>
                <pt idx="225">
                  <v>103.9397</v>
                </pt>
                <pt idx="226">
                  <v>104.0007</v>
                </pt>
                <pt idx="227">
                  <v>103.9946</v>
                </pt>
                <pt idx="228">
                  <v>103.373</v>
                </pt>
                <pt idx="229">
                  <v>102.8292</v>
                </pt>
                <pt idx="230">
                  <v>102.8286</v>
                </pt>
                <pt idx="231">
                  <v>102.2481</v>
                </pt>
                <pt idx="232">
                  <v>102.4192</v>
                </pt>
                <pt idx="233">
                  <v>102.4893</v>
                </pt>
                <pt idx="234">
                  <v>102.0236</v>
                </pt>
                <pt idx="235">
                  <v>102.7754</v>
                </pt>
                <pt idx="236">
                  <v>102.5315</v>
                </pt>
                <pt idx="237">
                  <v>101.6022</v>
                </pt>
                <pt idx="238">
                  <v>102.148</v>
                </pt>
                <pt idx="239">
                  <v>101.884</v>
                </pt>
                <pt idx="240">
                  <v>101.3768</v>
                </pt>
                <pt idx="241">
                  <v>101.633</v>
                </pt>
                <pt idx="242">
                  <v>97.66719999999999</v>
                </pt>
                <pt idx="243">
                  <v>84.5979</v>
                </pt>
                <pt idx="244">
                  <v>85.97320000000001</v>
                </pt>
                <pt idx="245">
                  <v>91.5625</v>
                </pt>
                <pt idx="246">
                  <v>95.01439999999999</v>
                </pt>
                <pt idx="247">
                  <v>95.88809999999999</v>
                </pt>
                <pt idx="248">
                  <v>95.84439999999999</v>
                </pt>
                <pt idx="249">
                  <v>96.42919999999999</v>
                </pt>
                <pt idx="250">
                  <v>96.85639999999999</v>
                </pt>
                <pt idx="251">
                  <v>97.97539999999999</v>
                </pt>
                <pt idx="252">
                  <v>98.78360000000001</v>
                </pt>
                <pt idx="253">
                  <v>95.37439999999999</v>
                </pt>
                <pt idx="254">
                  <v>98.13509999999999</v>
                </pt>
                <pt idx="255">
                  <v>98.2886</v>
                </pt>
                <pt idx="256">
                  <v>99.1508</v>
                </pt>
                <pt idx="257">
                  <v>99.50960000000001</v>
                </pt>
                <pt idx="258">
                  <v>100.1231</v>
                </pt>
                <pt idx="259">
                  <v>100.1255</v>
                </pt>
                <pt idx="260">
                  <v>99.06140000000001</v>
                </pt>
                <pt idx="261">
                  <v>100.3045</v>
                </pt>
                <pt idx="262">
                  <v>101.1971</v>
                </pt>
                <pt idx="263">
                  <v>100.886</v>
                </pt>
                <pt idx="264">
                  <v>101.0227</v>
                </pt>
                <pt idx="265">
                  <v>101.6766</v>
                </pt>
                <pt idx="266">
                  <v>102.478</v>
                </pt>
                <pt idx="267">
                  <v>102.7953</v>
                </pt>
                <pt idx="268">
                  <v>102.7769</v>
                </pt>
                <pt idx="269">
                  <v>102.6863</v>
                </pt>
                <pt idx="270">
                  <v>103.1328</v>
                </pt>
                <pt idx="271">
                  <v>103.2344</v>
                </pt>
                <pt idx="272">
                  <v>103.5283</v>
                </pt>
                <pt idx="273">
                  <v>103.4114</v>
                </pt>
                <pt idx="274">
                  <v>103.0719</v>
                </pt>
                <pt idx="275">
                  <v>101.4761</v>
                </pt>
                <pt idx="276">
                  <v>102.4257</v>
                </pt>
                <pt idx="277">
                  <v>102.639</v>
                </pt>
                <pt idx="278">
                  <v>103.0258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'Industrial Production'!$D$20:$D$622</f>
              <numCache>
                <formatCode>0.0%</formatCode>
                <ptCount val="603"/>
                <pt idx="0">
                  <v>0.1023218475978757</v>
                </pt>
                <pt idx="1">
                  <v>0.09497005283063302</v>
                </pt>
                <pt idx="2">
                  <v>0.08262114489300783</v>
                </pt>
                <pt idx="3">
                  <v>0.08969091191669573</v>
                </pt>
                <pt idx="4">
                  <v>0.08817673616493574</v>
                </pt>
                <pt idx="5">
                  <v>0.09320807321655857</v>
                </pt>
                <pt idx="6">
                  <v>0.07683901160524473</v>
                </pt>
                <pt idx="7">
                  <v>0.0772162563037673</v>
                </pt>
                <pt idx="8">
                  <v>0.07201398293369819</v>
                </pt>
                <pt idx="9">
                  <v>0.0643018909868979</v>
                </pt>
                <pt idx="10">
                  <v>0.04953399436671323</v>
                </pt>
                <pt idx="11">
                  <v>0.03506231329880823</v>
                </pt>
                <pt idx="12">
                  <v>0.01726962074953796</v>
                </pt>
                <pt idx="13">
                  <v>0.01672792923557306</v>
                </pt>
                <pt idx="14">
                  <v>0.01514427552666233</v>
                </pt>
                <pt idx="15">
                  <v>0.01662261602848952</v>
                </pt>
                <pt idx="16">
                  <v>0.01354422406175363</v>
                </pt>
                <pt idx="17">
                  <v>0.01169827974301477</v>
                </pt>
                <pt idx="18">
                  <v>0.002456113078913137</v>
                </pt>
                <pt idx="19">
                  <v>-0.00536888207405834</v>
                </pt>
                <pt idx="20">
                  <v>-0.01634604036350749</v>
                </pt>
                <pt idx="21">
                  <v>-0.05305413767444293</v>
                </pt>
                <pt idx="22">
                  <v>-0.0845455477711036</v>
                </pt>
                <pt idx="23">
                  <v>-0.09121738118195365</v>
                </pt>
                <pt idx="24">
                  <v>-0.1093986105175977</v>
                </pt>
                <pt idx="25">
                  <v>-0.1189406640567341</v>
                </pt>
                <pt idx="26">
                  <v>-0.1146222349899454</v>
                </pt>
                <pt idx="27">
                  <v>-0.1242127645582383</v>
                </pt>
                <pt idx="28">
                  <v>-0.1170627687469529</v>
                </pt>
                <pt idx="29">
                  <v>-0.1096217415321485</v>
                </pt>
                <pt idx="30">
                  <v>-0.09128488229130435</v>
                </pt>
                <pt idx="31">
                  <v>-0.07962567141037716</v>
                </pt>
                <pt idx="32">
                  <v>-0.07278980942668034</v>
                </pt>
                <pt idx="33">
                  <v>-0.03984173594165724</v>
                </pt>
                <pt idx="34">
                  <v>0.009426272487201206</v>
                </pt>
                <pt idx="35">
                  <v>0.03725052324260571</v>
                </pt>
                <pt idx="36">
                  <v>0.07210184088227799</v>
                </pt>
                <pt idx="37">
                  <v>0.08620995751639701</v>
                </pt>
                <pt idx="38">
                  <v>0.08960714820546088</v>
                </pt>
                <pt idx="39">
                  <v>0.09736409350196853</v>
                </pt>
                <pt idx="40">
                  <v>0.09163808391514468</v>
                </pt>
                <pt idx="41">
                  <v>0.08651433945448787</v>
                </pt>
                <pt idx="42">
                  <v>0.08329757876568727</v>
                </pt>
                <pt idx="43">
                  <v>0.0729725697068295</v>
                </pt>
                <pt idx="44">
                  <v>0.06806565013910762</v>
                </pt>
                <pt idx="45">
                  <v>0.08294446757697142</v>
                </pt>
                <pt idx="46">
                  <v>0.08003031683930419</v>
                </pt>
                <pt idx="47">
                  <v>0.05851637661674953</v>
                </pt>
                <pt idx="48">
                  <v>0.06457209166053396</v>
                </pt>
                <pt idx="49">
                  <v>0.07577878249339318</v>
                </pt>
                <pt idx="50">
                  <v>0.08090030740192697</v>
                </pt>
                <pt idx="51">
                  <v>0.08462205191369009</v>
                </pt>
                <pt idx="52">
                  <v>0.09173783071917463</v>
                </pt>
                <pt idx="53">
                  <v>0.08711207990428879</v>
                </pt>
                <pt idx="54">
                  <v>0.08077223413663749</v>
                </pt>
                <pt idx="55">
                  <v>0.08148741275053378</v>
                </pt>
                <pt idx="56">
                  <v>0.08355937869497224</v>
                </pt>
                <pt idx="57">
                  <v>0.06912050346596899</v>
                </pt>
                <pt idx="58">
                  <v>0.0595883013934617</v>
                </pt>
                <pt idx="59">
                  <v>0.05131269907306517</v>
                </pt>
                <pt idx="60">
                  <v>0.04076635194025904</v>
                </pt>
                <pt idx="61">
                  <v>0.04738783772795168</v>
                </pt>
                <pt idx="62">
                  <v>0.05789183690768838</v>
                </pt>
                <pt idx="63">
                  <v>0.0548494279946165</v>
                </pt>
                <pt idx="64">
                  <v>0.05357556531811201</v>
                </pt>
                <pt idx="65">
                  <v>0.05146392147953298</v>
                </pt>
                <pt idx="66">
                  <v>0.0546884434875673</v>
                </pt>
                <pt idx="67">
                  <v>0.05297825081556844</v>
                </pt>
                <pt idx="68">
                  <v>0.05942437105290405</v>
                </pt>
                <pt idx="69">
                  <v>0.06564177395452467</v>
                </pt>
                <pt idx="70">
                  <v>0.06906426727793034</v>
                </pt>
                <pt idx="71">
                  <v>0.07905084547030597</v>
                </pt>
                <pt idx="72">
                  <v>0.07854523800104528</v>
                </pt>
                <pt idx="73">
                  <v>0.06146582246929769</v>
                </pt>
                <pt idx="74">
                  <v>0.02832944042243761</v>
                </pt>
                <pt idx="75">
                  <v>0.03253575543957157</v>
                </pt>
                <pt idx="76">
                  <v>0.02601886590627275</v>
                </pt>
                <pt idx="77">
                  <v>0.0250959434171716</v>
                </pt>
                <pt idx="78">
                  <v>0.0142834298394373</v>
                </pt>
                <pt idx="79">
                  <v>0.01185092688153408</v>
                </pt>
                <pt idx="80">
                  <v>0.01098213814548634</v>
                </pt>
                <pt idx="81">
                  <v>0.001629226776730048</v>
                </pt>
                <pt idx="82">
                  <v>-0.00268260533085793</v>
                </pt>
                <pt idx="83">
                  <v>0.008122493252276665</v>
                </pt>
                <pt idx="84">
                  <v>0.003445985860840081</v>
                </pt>
                <pt idx="85">
                  <v>-0.003809109526815767</v>
                </pt>
                <pt idx="86">
                  <v>-0.01163166712120631</v>
                </pt>
                <pt idx="87">
                  <v>-0.04445070879398827</v>
                </pt>
                <pt idx="88">
                  <v>-0.05686914651875345</v>
                </pt>
                <pt idx="89">
                  <v>-0.06212629852801272</v>
                </pt>
                <pt idx="90">
                  <v>-0.05296574705215999</v>
                </pt>
                <pt idx="91">
                  <v>-0.03710819264960356</v>
                </pt>
                <pt idx="92">
                  <v>-0.03155230944114065</v>
                </pt>
                <pt idx="93">
                  <v>-0.01376974644767267</v>
                </pt>
                <pt idx="94">
                  <v>-0.007970771901238977</v>
                </pt>
                <pt idx="95">
                  <v>-0.01942468891048898</v>
                </pt>
                <pt idx="96">
                  <v>-0.02394671581576019</v>
                </pt>
                <pt idx="97">
                  <v>-0.01476722730478309</v>
                </pt>
                <pt idx="98">
                  <v>0.0008100613163200775</v>
                </pt>
                <pt idx="99">
                  <v>0.03185896140634462</v>
                </pt>
                <pt idx="100">
                  <v>0.05086948956510182</v>
                </pt>
                <pt idx="101">
                  <v>0.06525607374890985</v>
                </pt>
                <pt idx="102">
                  <v>0.06062019837469224</v>
                </pt>
                <pt idx="103">
                  <v>0.03810567299470155</v>
                </pt>
                <pt idx="104">
                  <v>0.01723535623529033</v>
                </pt>
                <pt idx="105">
                  <v>-0.01114643115895793</v>
                </pt>
                <pt idx="106">
                  <v>-0.02821256076341478</v>
                </pt>
                <pt idx="107">
                  <v>-0.0421510914647672</v>
                </pt>
                <pt idx="108">
                  <v>-0.01850859003571626</v>
                </pt>
                <pt idx="109">
                  <v>-0.03006734363294766</v>
                </pt>
                <pt idx="110">
                  <v>-0.03487337035724135</v>
                </pt>
                <pt idx="111">
                  <v>-0.0467682462348261</v>
                </pt>
                <pt idx="112">
                  <v>-0.05420420566664398</v>
                </pt>
                <pt idx="113">
                  <v>-0.06346124812734447</v>
                </pt>
                <pt idx="114">
                  <v>-0.0708343587527541</v>
                </pt>
                <pt idx="115">
                  <v>-0.06867993309017827</v>
                </pt>
                <pt idx="116">
                  <v>-0.07049909631638544</v>
                </pt>
                <pt idx="117">
                  <v>-0.06251762192385744</v>
                </pt>
                <pt idx="118">
                  <v>-0.05898257862102331</v>
                </pt>
                <pt idx="119">
                  <v>-0.02149272817067948</v>
                </pt>
                <pt idx="120">
                  <v>-0.04698137534090312</v>
                </pt>
                <pt idx="121">
                  <v>-0.03249964617157657</v>
                </pt>
                <pt idx="122">
                  <v>-0.0113473122316721</v>
                </pt>
                <pt idx="123">
                  <v>0.001557158821982519</v>
                </pt>
                <pt idx="124">
                  <v>0.01023007894482095</v>
                </pt>
                <pt idx="125">
                  <v>0.02875631123943127</v>
                </pt>
                <pt idx="126">
                  <v>0.0505365019447544</v>
                </pt>
                <pt idx="127">
                  <v>0.06841913778755396</v>
                </pt>
                <pt idx="128">
                  <v>0.08727219754420924</v>
                </pt>
                <pt idx="129">
                  <v>0.09556749154925999</v>
                </pt>
                <pt idx="130">
                  <v>0.1089789397116449</v>
                </pt>
                <pt idx="131">
                  <v>0.1103350639069637</v>
                </pt>
                <pt idx="132">
                  <v>0.1224386152717954</v>
                </pt>
                <pt idx="133">
                  <v>0.1183429603189862</v>
                </pt>
                <pt idx="134">
                  <v>0.1110563021272995</v>
                </pt>
                <pt idx="135">
                  <v>0.1100664147909308</v>
                </pt>
                <pt idx="136">
                  <v>0.107313821111691</v>
                </pt>
                <pt idx="137">
                  <v>0.09416139485267383</v>
                </pt>
                <pt idx="138">
                  <v>0.08253081530273342</v>
                </pt>
                <pt idx="139">
                  <v>0.06418059415241299</v>
                </pt>
                <pt idx="140">
                  <v>0.05540852011580748</v>
                </pt>
                <pt idx="141">
                  <v>0.05427339687203978</v>
                </pt>
                <pt idx="142">
                  <v>0.04947623132763726</v>
                </pt>
                <pt idx="143">
                  <v>0.02860753524779554</v>
                </pt>
                <pt idx="144">
                  <v>0.02697451051438944</v>
                </pt>
                <pt idx="145">
                  <v>0.02353380859393248</v>
                </pt>
                <pt idx="146">
                  <v>0.01549824546412083</v>
                </pt>
                <pt idx="147">
                  <v>0.01158158476286212</v>
                </pt>
                <pt idx="148">
                  <v>0.007508289866386349</v>
                </pt>
                <pt idx="149">
                  <v>-0.0004828842326363478</v>
                </pt>
                <pt idx="150">
                  <v>0.001632129103245895</v>
                </pt>
                <pt idx="151">
                  <v>0.008137556893935959</v>
                </pt>
                <pt idx="152">
                  <v>0.005107372573262088</v>
                </pt>
                <pt idx="153">
                  <v>0.00519305245863163</v>
                </pt>
                <pt idx="154">
                  <v>0.01464054779255436</v>
                </pt>
                <pt idx="155">
                  <v>0.02048072585643507</v>
                </pt>
                <pt idx="156">
                  <v>0.01038537966688545</v>
                </pt>
                <pt idx="157">
                  <v>0.00198817319927932</v>
                </pt>
                <pt idx="158">
                  <v>0.005111019240408065</v>
                </pt>
                <pt idx="159">
                  <v>0.005594806675044573</v>
                </pt>
                <pt idx="160">
                  <v>0.002118012978540334</v>
                </pt>
                <pt idx="161">
                  <v>0.01347401911528873</v>
                </pt>
                <pt idx="162">
                  <v>0.008425639429502561</v>
                </pt>
                <pt idx="163">
                  <v>0.00751003283473178</v>
                </pt>
                <pt idx="164">
                  <v>0.01526805588097468</v>
                </pt>
                <pt idx="165">
                  <v>0.01583068211669249</v>
                </pt>
                <pt idx="166">
                  <v>0.01539751009761636</v>
                </pt>
                <pt idx="167">
                  <v>0.006290980771269528</v>
                </pt>
                <pt idx="168">
                  <v>0.0266654604667993</v>
                </pt>
                <pt idx="169">
                  <v>0.03536080520673143</v>
                </pt>
                <pt idx="170">
                  <v>0.04094595381613815</v>
                </pt>
                <pt idx="171">
                  <v>0.04534316619288507</v>
                </pt>
                <pt idx="172">
                  <v>0.05513248354213394</v>
                </pt>
                <pt idx="173">
                  <v>0.05579863552987416</v>
                </pt>
                <pt idx="174">
                  <v>0.06553653647838016</v>
                </pt>
                <pt idx="175">
                  <v>0.06666461470496114</v>
                </pt>
                <pt idx="176">
                  <v>0.0765138061282442</v>
                </pt>
                <pt idx="177">
                  <v>0.07752121741066779</v>
                </pt>
                <pt idx="178">
                  <v>0.07332242225859235</v>
                </pt>
                <pt idx="179">
                  <v>0.07709477654050283</v>
                </pt>
                <pt idx="180">
                  <v>0.06832640746654257</v>
                </pt>
                <pt idx="181">
                  <v>0.06926007725676865</v>
                </pt>
                <pt idx="182">
                  <v>0.06851949632313095</v>
                </pt>
                <pt idx="183">
                  <v>0.05986814897705986</v>
                </pt>
                <pt idx="184">
                  <v>0.05719638508614709</v>
                </pt>
                <pt idx="185">
                  <v>0.05021107259901696</v>
                </pt>
                <pt idx="186">
                  <v>0.04764444383861354</v>
                </pt>
                <pt idx="187">
                  <v>0.04024021577324119</v>
                </pt>
                <pt idx="188">
                  <v>0.03100406476151554</v>
                </pt>
                <pt idx="189">
                  <v>0.02850895467166203</v>
                </pt>
                <pt idx="190">
                  <v>0.02759159075540003</v>
                </pt>
                <pt idx="191">
                  <v>0.03084123305249119</v>
                </pt>
                <pt idx="192">
                  <v>0.021222053780132</v>
                </pt>
                <pt idx="193">
                  <v>0.02139761780539871</v>
                </pt>
                <pt idx="194">
                  <v>0.01518463733588151</v>
                </pt>
                <pt idx="195">
                  <v>0.01146975499711459</v>
                </pt>
                <pt idx="196">
                  <v>0.008530367158903819</v>
                </pt>
                <pt idx="197">
                  <v>-0.001260320817851791</v>
                </pt>
                <pt idx="198">
                  <v>0.003412208811565634</v>
                </pt>
                <pt idx="199">
                  <v>0.003255314566186508</v>
                </pt>
                <pt idx="200">
                  <v>-0.002420422518051656</v>
                </pt>
                <pt idx="201">
                  <v>-0.001549111367495958</v>
                </pt>
                <pt idx="202">
                  <v>-0.0005613057132211215</v>
                </pt>
                <pt idx="203">
                  <v>-0.008602596700810088</v>
                </pt>
                <pt idx="204">
                  <v>0.004900868070699081</v>
                </pt>
                <pt idx="205">
                  <v>0.007212468094980298</v>
                </pt>
                <pt idx="206">
                  <v>0.005114244452181023</v>
                </pt>
                <pt idx="207">
                  <v>0.01381964120152756</v>
                </pt>
                <pt idx="208">
                  <v>0.0172244150328652</v>
                </pt>
                <pt idx="209">
                  <v>0.02540025991115889</v>
                </pt>
                <pt idx="210">
                  <v>0.01914582890968304</v>
                </pt>
                <pt idx="211">
                  <v>0.02296698810582937</v>
                </pt>
                <pt idx="212">
                  <v>0.01783896890596887</v>
                </pt>
                <pt idx="213">
                  <v>0.001783592892893595</v>
                </pt>
                <pt idx="214">
                  <v>-0.01080636180977515</v>
                </pt>
                <pt idx="215">
                  <v>-0.008936798390759825</v>
                </pt>
                <pt idx="216">
                  <v>-0.02505352768329612</v>
                </pt>
                <pt idx="217">
                  <v>-0.03519457083069361</v>
                </pt>
                <pt idx="218">
                  <v>-0.03037057586871</v>
                </pt>
                <pt idx="219">
                  <v>-0.02366685106015597</v>
                </pt>
                <pt idx="220">
                  <v>-0.01901071005719145</v>
                </pt>
                <pt idx="221">
                  <v>-0.01479177075069799</v>
                </pt>
                <pt idx="222">
                  <v>-0.01813248595253211</v>
                </pt>
                <pt idx="223">
                  <v>-0.01032816077334011</v>
                </pt>
                <pt idx="224">
                  <v>-0.005175503151697482</v>
                </pt>
                <pt idx="225">
                  <v>0.006013566164618162</v>
                </pt>
                <pt idx="226">
                  <v>0.008433139349918992</v>
                </pt>
                <pt idx="227">
                  <v>0.006493368318189824</v>
                </pt>
                <pt idx="228">
                  <v>0.02106601244472588</v>
                </pt>
                <pt idx="229">
                  <v>0.03551998195894664</v>
                </pt>
                <pt idx="230">
                  <v>0.04077346202316012</v>
                </pt>
                <pt idx="231">
                  <v>0.03387748886061391</v>
                </pt>
                <pt idx="232">
                  <v>0.02619348907020825</v>
                </pt>
                <pt idx="233">
                  <v>0.03269121721238438</v>
                </pt>
                <pt idx="234">
                  <v>0.02681903589477782</v>
                </pt>
                <pt idx="235">
                  <v>0.02162856004523955</v>
                </pt>
                <pt idx="236">
                  <v>0.02968198448116433</v>
                </pt>
                <pt idx="237">
                  <v>0.03502350305885992</v>
                </pt>
                <pt idx="238">
                  <v>0.04135199673843402</v>
                </pt>
                <pt idx="239">
                  <v>0.05099707593779786</v>
                </pt>
                <pt idx="240">
                  <v>0.04842733477690096</v>
                </pt>
                <pt idx="241">
                  <v>0.03879966052298679</v>
                </pt>
                <pt idx="242">
                  <v>0.03384489728465371</v>
                </pt>
                <pt idx="243">
                  <v>0.02652215300645119</v>
                </pt>
                <pt idx="244">
                  <v>0.02820323679511685</v>
                </pt>
                <pt idx="245">
                  <v>0.02163449470354934</v>
                </pt>
                <pt idx="246">
                  <v>0.02615011113442305</v>
                </pt>
                <pt idx="247">
                  <v>0.02823437281323166</v>
                </pt>
                <pt idx="248">
                  <v>0.02876857384714858</v>
                </pt>
                <pt idx="249">
                  <v>0.02963443550344453</v>
                </pt>
                <pt idx="250">
                  <v>0.03407657363734094</v>
                </pt>
                <pt idx="251">
                  <v>0.03321593919437486</v>
                </pt>
                <pt idx="252">
                  <v>0.02892082120470042</v>
                </pt>
                <pt idx="253">
                  <v>0.04025157232704397</v>
                </pt>
                <pt idx="254">
                  <v>0.04328239147509038</v>
                </pt>
                <pt idx="255">
                  <v>0.0522400725809438</v>
                </pt>
                <pt idx="256">
                  <v>0.0569206823769579</v>
                </pt>
                <pt idx="257">
                  <v>0.0555207479138449</v>
                </pt>
                <pt idx="258">
                  <v>0.06373617589093827</v>
                </pt>
                <pt idx="259">
                  <v>0.06137957613147338</v>
                </pt>
                <pt idx="260">
                  <v>0.06222540693667238</v>
                </pt>
                <pt idx="261">
                  <v>0.06435380995770504</v>
                </pt>
                <pt idx="262">
                  <v>0.06882641578601036</v>
                </pt>
                <pt idx="263">
                  <v>0.06745322155028598</v>
                </pt>
                <pt idx="264">
                  <v>0.06561607501032832</v>
                </pt>
                <pt idx="265">
                  <v>0.05639774047466641</v>
                </pt>
                <pt idx="266">
                  <v>0.04839923921322513</v>
                </pt>
                <pt idx="267">
                  <v>0.04851157177609867</v>
                </pt>
                <pt idx="268">
                  <v>0.04501504677171714</v>
                </pt>
                <pt idx="269">
                  <v>0.03943534108383901</v>
                </pt>
                <pt idx="270">
                  <v>0.04602329056555766</v>
                </pt>
                <pt idx="271">
                  <v>0.04694985857695121</v>
                </pt>
                <pt idx="272">
                  <v>0.0367848618673985</v>
                </pt>
                <pt idx="273">
                  <v>0.03238510605976707</v>
                </pt>
                <pt idx="274">
                  <v>0.02566582280616188</v>
                </pt>
                <pt idx="275">
                  <v>0.01838481849481315</v>
                </pt>
                <pt idx="276">
                  <v>0.03439368229424206</v>
                </pt>
                <pt idx="277">
                  <v>0.03129650956457576</v>
                </pt>
                <pt idx="278">
                  <v>0.04362000666083028</v>
                </pt>
                <pt idx="279">
                  <v>0.04629225614088072</v>
                </pt>
                <pt idx="280">
                  <v>0.05066557016015503</v>
                </pt>
                <pt idx="281">
                  <v>0.05499965708319168</v>
                </pt>
                <pt idx="282">
                  <v>0.04665377176015478</v>
                </pt>
                <pt idx="283">
                  <v>0.04913700917009477</v>
                </pt>
                <pt idx="284">
                  <v>0.05068042590029616</v>
                </pt>
                <pt idx="285">
                  <v>0.057431605466612</v>
                </pt>
                <pt idx="286">
                  <v>0.06038192502932808</v>
                </pt>
                <pt idx="287">
                  <v>0.06788029746537239</v>
                </pt>
                <pt idx="288">
                  <v>0.06498874915296116</v>
                </pt>
                <pt idx="289">
                  <v>0.07353625262172832</v>
                </pt>
                <pt idx="290">
                  <v>0.06363577607100922</v>
                </pt>
                <pt idx="291">
                  <v>0.06184095329114023</v>
                </pt>
                <pt idx="292">
                  <v>0.05872941538567675</v>
                </pt>
                <pt idx="293">
                  <v>0.06772236034568314</v>
                </pt>
                <pt idx="294">
                  <v>0.07298882740559258</v>
                </pt>
                <pt idx="295">
                  <v>0.07618482914952557</v>
                </pt>
                <pt idx="296">
                  <v>0.0858890071149957</v>
                </pt>
                <pt idx="297">
                  <v>0.08502602930523943</v>
                </pt>
                <pt idx="298">
                  <v>0.08283886777187432</v>
                </pt>
                <pt idx="299">
                  <v>0.08581439692029025</v>
                </pt>
                <pt idx="300">
                  <v>0.07497902443876031</v>
                </pt>
                <pt idx="301">
                  <v>0.06860804849062302</v>
                </pt>
                <pt idx="302">
                  <v>0.07132205123530867</v>
                </pt>
                <pt idx="303">
                  <v>0.07229003626586222</v>
                </pt>
                <pt idx="304">
                  <v>0.06110033481695329</v>
                </pt>
                <pt idx="305">
                  <v>0.04802186878727637</v>
                </pt>
                <pt idx="306">
                  <v>0.05903093021939765</v>
                </pt>
                <pt idx="307">
                  <v>0.04822765060094109</v>
                </pt>
                <pt idx="308">
                  <v>0.0462872905080245</v>
                </pt>
                <pt idx="309">
                  <v>0.03690785680811089</v>
                </pt>
                <pt idx="310">
                  <v>0.03674032555685781</v>
                </pt>
                <pt idx="311">
                  <v>0.03638184721548948</v>
                </pt>
                <pt idx="312">
                  <v>0.04058843624562308</v>
                </pt>
                <pt idx="313">
                  <v>0.04243101861951869</v>
                </pt>
                <pt idx="314">
                  <v>0.04122831791062594</v>
                </pt>
                <pt idx="315">
                  <v>0.04075300614317971</v>
                </pt>
                <pt idx="316">
                  <v>0.04623120443925376</v>
                </pt>
                <pt idx="317">
                  <v>0.05665672335461108</v>
                </pt>
                <pt idx="318">
                  <v>0.03980967559819069</v>
                </pt>
                <pt idx="319">
                  <v>0.03653256894336262</v>
                </pt>
                <pt idx="320">
                  <v>0.04258245406580159</v>
                </pt>
                <pt idx="321">
                  <v>0.04914612409462799</v>
                </pt>
                <pt idx="322">
                  <v>0.05332439949896844</v>
                </pt>
                <pt idx="323">
                  <v>0.04812003526402739</v>
                </pt>
                <pt idx="324">
                  <v>0.04569993593733245</v>
                </pt>
                <pt idx="325">
                  <v>0.0474634413212876</v>
                </pt>
                <pt idx="326">
                  <v>0.05184684158142797</v>
                </pt>
                <pt idx="327">
                  <v>0.04830162629687535</v>
                </pt>
                <pt idx="328">
                  <v>0.04979694297020851</v>
                </pt>
                <pt idx="329">
                  <v>0.04176563981441471</v>
                </pt>
                <pt idx="330">
                  <v>0.03447150983783107</v>
                </pt>
                <pt idx="331">
                  <v>0.04295902557998387</v>
                </pt>
                <pt idx="332">
                  <v>0.02611309620066418</v>
                </pt>
                <pt idx="333">
                  <v>0.02091929429470793</v>
                </pt>
                <pt idx="334">
                  <v>0.009326437329357833</v>
                </pt>
                <pt idx="335">
                  <v>0.0050883181970815</v>
                </pt>
                <pt idx="336">
                  <v>-0.00484217158641614</v>
                </pt>
                <pt idx="337">
                  <v>-0.01130049634446807</v>
                </pt>
                <pt idx="338">
                  <v>-0.02108782764625544</v>
                </pt>
                <pt idx="339">
                  <v>-0.0288354767069518</v>
                </pt>
                <pt idx="340">
                  <v>-0.03483478769476894</v>
                </pt>
                <pt idx="341">
                  <v>-0.03898722397782127</v>
                </pt>
                <pt idx="342">
                  <v>-0.03741581818888697</v>
                </pt>
                <pt idx="343">
                  <v>-0.04622584986010905</v>
                </pt>
                <pt idx="344">
                  <v>-0.04586698444978402</v>
                </pt>
                <pt idx="345">
                  <v>-0.05163292748468091</v>
                </pt>
                <pt idx="346">
                  <v>-0.04885436169878683</v>
                </pt>
                <pt idx="347">
                  <v>-0.03725964546856415</v>
                </pt>
                <pt idx="348">
                  <v>-0.03094921213913674</v>
                </pt>
                <pt idx="349">
                  <v>-0.02119434261075466</v>
                </pt>
                <pt idx="350">
                  <v>-0.01296273640378567</v>
                </pt>
                <pt idx="351">
                  <v>-0.003586397614829564</v>
                </pt>
                <pt idx="352">
                  <v>0.01012836465677519</v>
                </pt>
                <pt idx="353">
                  <v>0.0159090399659292</v>
                </pt>
                <pt idx="354">
                  <v>0.01587410218034707</v>
                </pt>
                <pt idx="355">
                  <v>0.0222199916768074</v>
                </pt>
                <pt idx="356">
                  <v>0.02275642983688678</v>
                </pt>
                <pt idx="357">
                  <v>0.03437857742718838</v>
                </pt>
                <pt idx="358">
                  <v>0.02908427677538633</v>
                </pt>
                <pt idx="359">
                  <v>0.03016961222609685</v>
                </pt>
                <pt idx="360">
                  <v>0.0314708119833474</v>
                </pt>
                <pt idx="361">
                  <v>0.0211292733172656</v>
                </pt>
                <pt idx="362">
                  <v>0.009769611806166577</v>
                </pt>
                <pt idx="363">
                  <v>0.005262748237596559</v>
                </pt>
                <pt idx="364">
                  <v>-0.001710468708127477</v>
                </pt>
                <pt idx="365">
                  <v>0.003796106811700497</v>
                </pt>
                <pt idx="366">
                  <v>0.002631767856649773</v>
                </pt>
                <pt idx="367">
                  <v>0.008217294934470296</v>
                </pt>
                <pt idx="368">
                  <v>0.01212776854147105</v>
                </pt>
                <pt idx="369">
                  <v>0.01350957386535525</v>
                </pt>
                <pt idx="370">
                  <v>0.01972806425560641</v>
                </pt>
                <pt idx="371">
                  <v>0.01307393935403882</v>
                </pt>
                <pt idx="372">
                  <v>0.01794078259554488</v>
                </pt>
                <pt idx="373">
                  <v>0.01677473658301277</v>
                </pt>
                <pt idx="374">
                  <v>0.02744169124420393</v>
                </pt>
                <pt idx="375">
                  <v>0.03513543707200624</v>
                </pt>
                <pt idx="376">
                  <v>0.02585344082861807</v>
                </pt>
                <pt idx="377">
                  <v>0.02815156897051981</v>
                </pt>
                <pt idx="378">
                  <v>0.03135952979430713</v>
                </pt>
                <pt idx="379">
                  <v>0.02581336333165167</v>
                </pt>
                <pt idx="380">
                  <v>0.03351457095862857</v>
                </pt>
                <pt idx="381">
                  <v>0.02901988027331989</v>
                </pt>
                <pt idx="382">
                  <v>0.03656633995933686</v>
                </pt>
                <pt idx="383">
                  <v>0.03851636032796475</v>
                </pt>
                <pt idx="384">
                  <v>0.03955653786900903</v>
                </pt>
                <pt idx="385">
                  <v>0.04219706589576638</v>
                </pt>
                <pt idx="386">
                  <v>0.04002169851124106</v>
                </pt>
                <pt idx="387">
                  <v>0.03362547791391244</v>
                </pt>
                <pt idx="388">
                  <v>0.0461619971979957</v>
                </pt>
                <pt idx="389">
                  <v>0.03513801548030968</v>
                </pt>
                <pt idx="390">
                  <v>0.0376737638947036</v>
                </pt>
                <pt idx="391">
                  <v>0.0163331619405645</v>
                </pt>
                <pt idx="392">
                  <v>0.01978700837817805</v>
                </pt>
                <pt idx="393">
                  <v>0.02842932489451473</v>
                </pt>
                <pt idx="394">
                  <v>0.02549857341123241</v>
                </pt>
                <pt idx="395">
                  <v>0.02343895848173452</v>
                </pt>
                <pt idx="396">
                  <v>0.01673853788669611</v>
                </pt>
                <pt idx="397">
                  <v>0.02024843136095956</v>
                </pt>
                <pt idx="398">
                  <v>0.02120399884091571</v>
                </pt>
                <pt idx="399">
                  <v>0.02041339555425077</v>
                </pt>
                <pt idx="400">
                  <v>0.01949483678645544</v>
                </pt>
                <pt idx="401">
                  <v>0.02212038005623807</v>
                </pt>
                <pt idx="402">
                  <v>0.02316069423416761</v>
                </pt>
                <pt idx="403">
                  <v>0.04143675693717717</v>
                </pt>
                <pt idx="404">
                  <v>0.02786237418121221</v>
                </pt>
                <pt idx="405">
                  <v>0.01642954363860349</v>
                </pt>
                <pt idx="406">
                  <v>0.02177409807019472</v>
                </pt>
                <pt idx="407">
                  <v>0.01657588619236625</v>
                </pt>
                <pt idx="408">
                  <v>0.02596918451097459</v>
                </pt>
                <pt idx="409">
                  <v>0.02553618362879082</v>
                </pt>
                <pt idx="410">
                  <v>0.02949525167491073</v>
                </pt>
                <pt idx="411">
                  <v>0.0296306577566329</v>
                </pt>
                <pt idx="412">
                  <v>0.02630683533465875</v>
                </pt>
                <pt idx="413">
                  <v>0.02537977215691191</v>
                </pt>
                <pt idx="414">
                  <v>0.02290299022438246</v>
                </pt>
                <pt idx="415">
                  <v>0.02740456376542407</v>
                </pt>
                <pt idx="416">
                  <v>0.02531341645372077</v>
                </pt>
                <pt idx="417">
                  <v>0.03138241458612728</v>
                </pt>
                <pt idx="418">
                  <v>0.02145792420903749</v>
                </pt>
                <pt idx="419">
                  <v>0.02388702157540673</v>
                </pt>
                <pt idx="420">
                  <v>0.01032091534089492</v>
                </pt>
                <pt idx="421">
                  <v>0.005284319584390127</v>
                </pt>
                <pt idx="422">
                  <v>-0.008317960691975568</v>
                </pt>
                <pt idx="423">
                  <v>-0.01473877274306086</v>
                </pt>
                <pt idx="424">
                  <v>-0.01754187481922951</v>
                </pt>
                <pt idx="425">
                  <v>-0.02040643397295368</v>
                </pt>
                <pt idx="426">
                  <v>-0.0377883592264134</v>
                </pt>
                <pt idx="427">
                  <v>-0.08221322780699988</v>
                </pt>
                <pt idx="428">
                  <v>-0.07024091228864221</v>
                </pt>
                <pt idx="429">
                  <v>-0.08744917167937945</v>
                </pt>
                <pt idx="430">
                  <v>-0.1137527332183328</v>
                </pt>
                <pt idx="431">
                  <v>-0.1347062854905032</v>
                </pt>
                <pt idx="432">
                  <v>-0.1368408847260067</v>
                </pt>
                <pt idx="433">
                  <v>-0.1474444351336564</v>
                </pt>
                <pt idx="434">
                  <v>-0.1484389889460644</v>
                </pt>
                <pt idx="435">
                  <v>-0.1516038828746056</v>
                </pt>
                <pt idx="436">
                  <v>-0.1519279508056367</v>
                </pt>
                <pt idx="437">
                  <v>-0.1379682844940827</v>
                </pt>
                <pt idx="438">
                  <v>-0.1142942701093978</v>
                </pt>
                <pt idx="439">
                  <v>-0.06579484603298449</v>
                </pt>
                <pt idx="440">
                  <v>-0.07293567107886505</v>
                </pt>
                <pt idx="441">
                  <v>-0.05696432572915519</v>
                </pt>
                <pt idx="442">
                  <v>-0.02627444057024327</v>
                </pt>
                <pt idx="443">
                  <v>0.009164855381976488</v>
                </pt>
                <pt idx="444">
                  <v>0.01885220147265754</v>
                </pt>
                <pt idx="445">
                  <v>0.04235112639541912</v>
                </pt>
                <pt idx="446">
                  <v>0.05444565284543463</v>
                </pt>
                <pt idx="447">
                  <v>0.07946171702475291</v>
                </pt>
                <pt idx="448">
                  <v>0.0850946007216669</v>
                </pt>
                <pt idx="449">
                  <v>0.07639981144491992</v>
                </pt>
                <pt idx="450">
                  <v>0.0684062278953679</v>
                </pt>
                <pt idx="451">
                  <v>0.06239009282258212</v>
                </pt>
                <pt idx="452">
                  <v>0.05707762817695648</v>
                </pt>
                <pt idx="453">
                  <v>0.05367917331298984</v>
                </pt>
                <pt idx="454">
                  <v>0.06049284506633673</v>
                </pt>
                <pt idx="455">
                  <v>0.04712689943279092</v>
                </pt>
                <pt idx="456">
                  <v>0.03906043987968325</v>
                </pt>
                <pt idx="457">
                  <v>0.04260061081472647</v>
                </pt>
                <pt idx="458">
                  <v>0.03530214207304734</v>
                </pt>
                <pt idx="459">
                  <v>0.02263309415279934</v>
                </pt>
                <pt idx="460">
                  <v>0.02336242664557127</v>
                </pt>
                <pt idx="461">
                  <v>0.02429101961796029</v>
                </pt>
                <pt idx="462">
                  <v>0.02707638738134511</v>
                </pt>
                <pt idx="463">
                  <v>0.02338772556334298</v>
                </pt>
                <pt idx="464">
                  <v>0.03335395885909529</v>
                </pt>
                <pt idx="465">
                  <v>0.03252144807843987</v>
                </pt>
                <pt idx="466">
                  <v>0.02787516388826853</v>
                </pt>
                <pt idx="467">
                  <v>0.03623986020575101</v>
                </pt>
                <pt idx="468">
                  <v>0.04412052520082162</v>
                </pt>
                <pt idx="469">
                  <v>0.02777021131706067</v>
                </pt>
                <pt idx="470">
                  <v>0.03888524065027629</v>
                </pt>
                <pt idx="471">
                  <v>0.03953826877449273</v>
                </pt>
                <pt idx="472">
                  <v>0.03667539637222789</v>
                </pt>
                <pt idx="473">
                  <v>0.03385538203318551</v>
                </pt>
                <pt idx="474">
                  <v>0.02323104118010151</v>
                </pt>
                <pt idx="475">
                  <v>0.02325838357285898</v>
                </pt>
                <pt idx="476">
                  <v>0.01933382379373908</v>
                </pt>
                <pt idx="477">
                  <v>0.02343682236525159</v>
                </pt>
                <pt idx="478">
                  <v>0.02083918090355107</v>
                </pt>
                <pt idx="479">
                  <v>0.01471290259250461</v>
                </pt>
                <pt idx="480">
                  <v>0.01624579410665123</v>
                </pt>
                <pt idx="481">
                  <v>0.02574646528332092</v>
                </pt>
                <pt idx="482">
                  <v>0.01718088025802153</v>
                </pt>
                <pt idx="483">
                  <v>0.01611935337943271</v>
                </pt>
                <pt idx="484">
                  <v>0.01791357380156496</v>
                </pt>
                <pt idx="485">
                  <v>0.01262741549478869</v>
                </pt>
                <pt idx="486">
                  <v>0.02260701024910048</v>
                </pt>
                <pt idx="487">
                  <v>0.028803465301224</v>
                </pt>
                <pt idx="488">
                  <v>0.02437706640695075</v>
                </pt>
                <pt idx="489">
                  <v>0.02279188024587991</v>
                </pt>
                <pt idx="490">
                  <v>0.02219282595235765</v>
                </pt>
                <pt idx="491">
                  <v>0.01828968390953827</v>
                </pt>
                <pt idx="492">
                  <v>0.02113033616996703</v>
                </pt>
                <pt idx="493">
                  <v>0.02722984129803756</v>
                </pt>
                <pt idx="494">
                  <v>0.02906761729809691</v>
                </pt>
                <pt idx="495">
                  <v>0.03233198763940241</v>
                </pt>
                <pt idx="496">
                  <v>0.03381820673421845</v>
                </pt>
                <pt idx="497">
                  <v>0.03932745552727401</v>
                </pt>
                <pt idx="498">
                  <v>0.03165942923987423</v>
                </pt>
                <pt idx="499">
                  <v>0.02937351495565224</v>
                </pt>
                <pt idx="500">
                  <v>0.03071347864247805</v>
                </pt>
                <pt idx="501">
                  <v>0.0346833908877354</v>
                </pt>
                <pt idx="502">
                  <v>0.03244545352204721</v>
                </pt>
                <pt idx="503">
                  <v>0.02824928249282492</v>
                </pt>
                <pt idx="504">
                  <v>0.01382516378303326</v>
                </pt>
                <pt idx="505">
                  <v>0.0004647429126705109</v>
                </pt>
                <pt idx="506">
                  <v>-0.005876721408056571</v>
                </pt>
                <pt idx="507">
                  <v>-0.01443779251589583</v>
                </pt>
                <pt idx="508">
                  <v>-0.02066792334398332</v>
                </pt>
                <pt idx="509">
                  <v>-0.01664230282552476</v>
                </pt>
                <pt idx="510">
                  <v>-0.01667702486552204</v>
                </pt>
                <pt idx="511">
                  <v>-0.02259617625580704</v>
                </pt>
                <pt idx="512">
                  <v>-0.02720770721590221</v>
                </pt>
                <pt idx="513">
                  <v>-0.04054411319159938</v>
                </pt>
                <pt idx="514">
                  <v>-0.04530827089434512</v>
                </pt>
                <pt idx="515">
                  <v>-0.03275600322493116</v>
                </pt>
                <pt idx="516">
                  <v>-0.03169514240151622</v>
                </pt>
                <pt idx="517">
                  <v>-0.03568215744814573</v>
                </pt>
                <pt idx="518">
                  <v>-0.02742977361621434</v>
                </pt>
                <pt idx="519">
                  <v>-0.02511534683428751</v>
                </pt>
                <pt idx="520">
                  <v>-0.01742270206144415</v>
                </pt>
                <pt idx="521">
                  <v>-0.02244394947045254</v>
                </pt>
                <pt idx="522">
                  <v>-0.02168326659679309</v>
                </pt>
                <pt idx="523">
                  <v>-0.01978227672534819</v>
                </pt>
                <pt idx="524">
                  <v>-0.01452182965671224</v>
                </pt>
                <pt idx="525">
                  <v>-0.01099175166083044</v>
                </pt>
                <pt idx="526">
                  <v>0.0009339087720718022</v>
                </pt>
                <pt idx="527">
                  <v>-0.006606955049378718</v>
                </pt>
                <pt idx="528">
                  <v>-0.004866873716051259</v>
                </pt>
                <pt idx="529">
                  <v>0.008917341459017925</v>
                </pt>
                <pt idx="530">
                  <v>0.01565297577155376</v>
                </pt>
                <pt idx="531">
                  <v>0.01910194011712765</v>
                </pt>
                <pt idx="532">
                  <v>0.0161636828644501</v>
                </pt>
                <pt idx="533">
                  <v>0.01273523817232592</v>
                </pt>
                <pt idx="534">
                  <v>0.009202534747466969</v>
                </pt>
                <pt idx="535">
                  <v>0.01124066993987416</v>
                </pt>
                <pt idx="536">
                  <v>0.02294995958765213</v>
                </pt>
                <pt idx="537">
                  <v>0.02963540671024096</v>
                </pt>
                <pt idx="538">
                  <v>0.02449627087974116</v>
                </pt>
                <pt idx="539">
                  <v>0.02626755210341842</v>
                </pt>
                <pt idx="540">
                  <v>0.03386493444218469</v>
                </pt>
                <pt idx="541">
                  <v>0.03207750768929499</v>
                </pt>
                <pt idx="542">
                  <v>0.03338326257246906</v>
                </pt>
                <pt idx="543">
                  <v>0.02259594161907775</v>
                </pt>
                <pt idx="544">
                  <v>0.02859854091721467</v>
                </pt>
                <pt idx="545">
                  <v>0.03235635852847348</v>
                </pt>
                <pt idx="546">
                  <v>0.04431380575974121</v>
                </pt>
                <pt idx="547">
                  <v>0.04359588086832923</v>
                </pt>
                <pt idx="548">
                  <v>0.02912530037693787</v>
                </pt>
                <pt idx="549">
                  <v>0.0270690116601175</v>
                </pt>
                <pt idx="550">
                  <v>0.02500855039509234</v>
                </pt>
                <pt idx="551">
                  <v>0.01951892569474103</v>
                </pt>
                <pt idx="552">
                  <v>0.01045146886570701</v>
                </pt>
                <pt idx="553">
                  <v>0.005716711282117906</v>
                </pt>
                <pt idx="554">
                  <v>-0.01063119516037273</v>
                </pt>
                <pt idx="555">
                  <v>0.000274437915014187</v>
                </pt>
                <pt idx="556">
                  <v>-0.006813486264492407</v>
                </pt>
                <pt idx="557">
                  <v>-0.01267547569324145</v>
                </pt>
                <pt idx="558">
                  <v>-0.01254123002631601</v>
                </pt>
                <pt idx="559">
                  <v>-0.01523846478181992</v>
                </pt>
                <pt idx="560">
                  <v>-0.02248900083413754</v>
                </pt>
                <pt idx="561">
                  <v>-0.0178143031729594</v>
                </pt>
                <pt idx="562">
                  <v>-0.02029528456285235</v>
                </pt>
                <pt idx="563">
                  <v>-0.0193106517175665</v>
                </pt>
                <pt idx="564">
                  <v>-0.01163288248863168</v>
                </pt>
                <pt idx="565">
                  <v>-0.05019420667012874</v>
                </pt>
                <pt idx="566">
                  <v>-0.172621300542504</v>
                </pt>
                <pt idx="567">
                  <v>-0.1605753608698369</v>
                </pt>
                <pt idx="568">
                  <v>-0.1066140562966085</v>
                </pt>
                <pt idx="569">
                  <v>-0.06870175135948944</v>
                </pt>
                <pt idx="570">
                  <v>-0.0670131179251067</v>
                </pt>
                <pt idx="571">
                  <v>-0.06521995679376583</v>
                </pt>
                <pt idx="572">
                  <v>-0.05091425185675115</v>
                </pt>
                <pt idx="573">
                  <v>-0.05180326584955166</v>
                </pt>
                <pt idx="574">
                  <v>-0.03836323662204082</v>
                </pt>
                <pt idx="575">
                  <v>-0.02557981707846367</v>
                </pt>
                <pt idx="576">
                  <v>-0.06158039219544834</v>
                </pt>
                <pt idx="577">
                  <v>0.004790758821794832</v>
                </pt>
                <pt idx="578">
                  <v>0.1618326223227764</v>
                </pt>
                <pt idx="579">
                  <v>0.1532756719535855</v>
                </pt>
                <pt idx="580">
                  <v>0.08679426621160416</v>
                </pt>
                <pt idx="581">
                  <v>0.05376763943149669</v>
                </pt>
                <pt idx="582">
                  <v>0.04419109357678386</v>
                </pt>
                <pt idx="583">
                  <v>0.03356481964517503</v>
                </pt>
                <pt idx="584">
                  <v>0.0401880343298504</v>
                </pt>
                <pt idx="585">
                  <v>0.04481583044589735</v>
                </pt>
                <pt idx="586">
                  <v>0.02970745717802635</v>
                </pt>
                <pt idx="587">
                  <v>0.0226667179572317</v>
                </pt>
                <pt idx="588">
                  <v>0.06607852841013941</v>
                </pt>
                <pt idx="589">
                  <v>0.04425429841106801</v>
                </pt>
                <pt idx="590">
                  <v>0.04585170609816393</v>
                </pt>
                <pt idx="591">
                  <v>0.03657156573623202</v>
                </pt>
                <pt idx="592">
                  <v>0.03192355310442406</v>
                </pt>
                <pt idx="593">
                  <v>0.03005999614474591</v>
                </pt>
                <pt idx="594">
                  <v>0.03105003220957689</v>
                </pt>
                <pt idx="595">
                  <v>0.0450922357245102</v>
                </pt>
                <pt idx="596">
                  <v>0.03097468209302669</v>
                </pt>
                <pt idx="597">
                  <v>0.01852622258938243</v>
                </pt>
                <pt idx="598">
                  <v>0.005849176297999789</v>
                </pt>
                <pt idx="599">
                  <v>0.01388796775378213</v>
                </pt>
                <pt idx="600">
                  <v>0.009465304701376742</v>
                </pt>
                <pt idx="601">
                  <v>0.005345537578797493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'Industrial Production'!$D$343:$D$620</f>
              <numCache>
                <formatCode>0.0%</formatCode>
                <ptCount val="278"/>
                <pt idx="0">
                  <v>0.04812003526402739</v>
                </pt>
                <pt idx="1">
                  <v>0.04569993593733245</v>
                </pt>
                <pt idx="2">
                  <v>0.0474634413212876</v>
                </pt>
                <pt idx="3">
                  <v>0.05184684158142797</v>
                </pt>
                <pt idx="4">
                  <v>0.04830162629687535</v>
                </pt>
                <pt idx="5">
                  <v>0.04979694297020851</v>
                </pt>
                <pt idx="6">
                  <v>0.04176563981441471</v>
                </pt>
                <pt idx="7">
                  <v>0.03447150983783107</v>
                </pt>
                <pt idx="8">
                  <v>0.04295902557998387</v>
                </pt>
                <pt idx="9">
                  <v>0.02611309620066418</v>
                </pt>
                <pt idx="10">
                  <v>0.02091929429470793</v>
                </pt>
                <pt idx="11">
                  <v>0.009326437329357833</v>
                </pt>
                <pt idx="12">
                  <v>0.0050883181970815</v>
                </pt>
                <pt idx="13">
                  <v>-0.00484217158641614</v>
                </pt>
                <pt idx="14">
                  <v>-0.01130049634446807</v>
                </pt>
                <pt idx="15">
                  <v>-0.02108782764625544</v>
                </pt>
                <pt idx="16">
                  <v>-0.0288354767069518</v>
                </pt>
                <pt idx="17">
                  <v>-0.03483478769476894</v>
                </pt>
                <pt idx="18">
                  <v>-0.03898722397782127</v>
                </pt>
                <pt idx="19">
                  <v>-0.03741581818888697</v>
                </pt>
                <pt idx="20">
                  <v>-0.04622584986010905</v>
                </pt>
                <pt idx="21">
                  <v>-0.04586698444978402</v>
                </pt>
                <pt idx="22">
                  <v>-0.05163292748468091</v>
                </pt>
                <pt idx="23">
                  <v>-0.04885436169878683</v>
                </pt>
                <pt idx="24">
                  <v>-0.03725964546856415</v>
                </pt>
                <pt idx="25">
                  <v>-0.03094921213913674</v>
                </pt>
                <pt idx="26">
                  <v>-0.02119434261075466</v>
                </pt>
                <pt idx="27">
                  <v>-0.01296273640378567</v>
                </pt>
                <pt idx="28">
                  <v>-0.003586397614829564</v>
                </pt>
                <pt idx="29">
                  <v>0.01012836465677519</v>
                </pt>
                <pt idx="30">
                  <v>0.0159090399659292</v>
                </pt>
                <pt idx="31">
                  <v>0.01587410218034707</v>
                </pt>
                <pt idx="32">
                  <v>0.0222199916768074</v>
                </pt>
                <pt idx="33">
                  <v>0.02275642983688678</v>
                </pt>
                <pt idx="34">
                  <v>0.03437857742718838</v>
                </pt>
                <pt idx="35">
                  <v>0.02908427677538633</v>
                </pt>
                <pt idx="36">
                  <v>0.03016961222609685</v>
                </pt>
                <pt idx="37">
                  <v>0.0314708119833474</v>
                </pt>
                <pt idx="38">
                  <v>0.0211292733172656</v>
                </pt>
                <pt idx="39">
                  <v>0.009769611806166577</v>
                </pt>
                <pt idx="40">
                  <v>0.005262748237596559</v>
                </pt>
                <pt idx="41">
                  <v>-0.001710468708127477</v>
                </pt>
                <pt idx="42">
                  <v>0.003796106811700497</v>
                </pt>
                <pt idx="43">
                  <v>0.002631767856649773</v>
                </pt>
                <pt idx="44">
                  <v>0.008217294934470296</v>
                </pt>
                <pt idx="45">
                  <v>0.01212776854147105</v>
                </pt>
                <pt idx="46">
                  <v>0.01350957386535525</v>
                </pt>
                <pt idx="47">
                  <v>0.01972806425560641</v>
                </pt>
                <pt idx="48">
                  <v>0.01307393935403882</v>
                </pt>
                <pt idx="49">
                  <v>0.01794078259554488</v>
                </pt>
                <pt idx="50">
                  <v>0.01677473658301277</v>
                </pt>
                <pt idx="51">
                  <v>0.02744169124420393</v>
                </pt>
                <pt idx="52">
                  <v>0.03513543707200624</v>
                </pt>
                <pt idx="53">
                  <v>0.02585344082861807</v>
                </pt>
                <pt idx="54">
                  <v>0.02815156897051981</v>
                </pt>
                <pt idx="55">
                  <v>0.03135952979430713</v>
                </pt>
                <pt idx="56">
                  <v>0.02581336333165167</v>
                </pt>
                <pt idx="57">
                  <v>0.03351457095862857</v>
                </pt>
                <pt idx="58">
                  <v>0.02901988027331989</v>
                </pt>
                <pt idx="59">
                  <v>0.03656633995933686</v>
                </pt>
                <pt idx="60">
                  <v>0.03851636032796475</v>
                </pt>
                <pt idx="61">
                  <v>0.03955653786900903</v>
                </pt>
                <pt idx="62">
                  <v>0.04219706589576638</v>
                </pt>
                <pt idx="63">
                  <v>0.04002169851124106</v>
                </pt>
                <pt idx="64">
                  <v>0.03362547791391244</v>
                </pt>
                <pt idx="65">
                  <v>0.0461619971979957</v>
                </pt>
                <pt idx="66">
                  <v>0.03513801548030968</v>
                </pt>
                <pt idx="67">
                  <v>0.0376737638947036</v>
                </pt>
                <pt idx="68">
                  <v>0.0163331619405645</v>
                </pt>
                <pt idx="69">
                  <v>0.01978700837817805</v>
                </pt>
                <pt idx="70">
                  <v>0.02842932489451473</v>
                </pt>
                <pt idx="71">
                  <v>0.02549857341123241</v>
                </pt>
                <pt idx="72">
                  <v>0.02343895848173452</v>
                </pt>
                <pt idx="73">
                  <v>0.01673853788669611</v>
                </pt>
                <pt idx="74">
                  <v>0.02024843136095956</v>
                </pt>
                <pt idx="75">
                  <v>0.02120399884091571</v>
                </pt>
                <pt idx="76">
                  <v>0.02041339555425077</v>
                </pt>
                <pt idx="77">
                  <v>0.01949483678645544</v>
                </pt>
                <pt idx="78">
                  <v>0.02212038005623807</v>
                </pt>
                <pt idx="79">
                  <v>0.02316069423416761</v>
                </pt>
                <pt idx="80">
                  <v>0.04143675693717717</v>
                </pt>
                <pt idx="81">
                  <v>0.02786237418121221</v>
                </pt>
                <pt idx="82">
                  <v>0.01642954363860349</v>
                </pt>
                <pt idx="83">
                  <v>0.02177409807019472</v>
                </pt>
                <pt idx="84">
                  <v>0.01657588619236625</v>
                </pt>
                <pt idx="85">
                  <v>0.02596918451097459</v>
                </pt>
                <pt idx="86">
                  <v>0.02553618362879082</v>
                </pt>
                <pt idx="87">
                  <v>0.02949525167491073</v>
                </pt>
                <pt idx="88">
                  <v>0.0296306577566329</v>
                </pt>
                <pt idx="89">
                  <v>0.02630683533465875</v>
                </pt>
                <pt idx="90">
                  <v>0.02537977215691191</v>
                </pt>
                <pt idx="91">
                  <v>0.02290299022438246</v>
                </pt>
                <pt idx="92">
                  <v>0.02740456376542407</v>
                </pt>
                <pt idx="93">
                  <v>0.02531341645372077</v>
                </pt>
                <pt idx="94">
                  <v>0.03138241458612728</v>
                </pt>
                <pt idx="95">
                  <v>0.02145792420903749</v>
                </pt>
                <pt idx="96">
                  <v>0.02388702157540673</v>
                </pt>
                <pt idx="97">
                  <v>0.01032091534089492</v>
                </pt>
                <pt idx="98">
                  <v>0.005284319584390127</v>
                </pt>
                <pt idx="99">
                  <v>-0.008317960691975568</v>
                </pt>
                <pt idx="100">
                  <v>-0.01473877274306086</v>
                </pt>
                <pt idx="101">
                  <v>-0.01754187481922951</v>
                </pt>
                <pt idx="102">
                  <v>-0.02040643397295368</v>
                </pt>
                <pt idx="103">
                  <v>-0.0377883592264134</v>
                </pt>
                <pt idx="104">
                  <v>-0.08221322780699988</v>
                </pt>
                <pt idx="105">
                  <v>-0.07024091228864221</v>
                </pt>
                <pt idx="106">
                  <v>-0.08744917167937945</v>
                </pt>
                <pt idx="107">
                  <v>-0.1137527332183328</v>
                </pt>
                <pt idx="108">
                  <v>-0.1347062854905032</v>
                </pt>
                <pt idx="109">
                  <v>-0.1368408847260067</v>
                </pt>
                <pt idx="110">
                  <v>-0.1474444351336564</v>
                </pt>
                <pt idx="111">
                  <v>-0.1484389889460644</v>
                </pt>
                <pt idx="112">
                  <v>-0.1516038828746056</v>
                </pt>
                <pt idx="113">
                  <v>-0.1519279508056367</v>
                </pt>
                <pt idx="114">
                  <v>-0.1379682844940827</v>
                </pt>
                <pt idx="115">
                  <v>-0.1142942701093978</v>
                </pt>
                <pt idx="116">
                  <v>-0.06579484603298449</v>
                </pt>
                <pt idx="117">
                  <v>-0.07293567107886505</v>
                </pt>
                <pt idx="118">
                  <v>-0.05696432572915519</v>
                </pt>
                <pt idx="119">
                  <v>-0.02627444057024327</v>
                </pt>
                <pt idx="120">
                  <v>0.009164855381976488</v>
                </pt>
                <pt idx="121">
                  <v>0.01885220147265754</v>
                </pt>
                <pt idx="122">
                  <v>0.04235112639541912</v>
                </pt>
                <pt idx="123">
                  <v>0.05444565284543463</v>
                </pt>
                <pt idx="124">
                  <v>0.07946171702475291</v>
                </pt>
                <pt idx="125">
                  <v>0.0850946007216669</v>
                </pt>
                <pt idx="126">
                  <v>0.07639981144491992</v>
                </pt>
                <pt idx="127">
                  <v>0.0684062278953679</v>
                </pt>
                <pt idx="128">
                  <v>0.06239009282258212</v>
                </pt>
                <pt idx="129">
                  <v>0.05707762817695648</v>
                </pt>
                <pt idx="130">
                  <v>0.05367917331298984</v>
                </pt>
                <pt idx="131">
                  <v>0.06049284506633673</v>
                </pt>
                <pt idx="132">
                  <v>0.04712689943279092</v>
                </pt>
                <pt idx="133">
                  <v>0.03906043987968325</v>
                </pt>
                <pt idx="134">
                  <v>0.04260061081472647</v>
                </pt>
                <pt idx="135">
                  <v>0.03530214207304734</v>
                </pt>
                <pt idx="136">
                  <v>0.02263309415279934</v>
                </pt>
                <pt idx="137">
                  <v>0.02336242664557127</v>
                </pt>
                <pt idx="138">
                  <v>0.02429101961796029</v>
                </pt>
                <pt idx="139">
                  <v>0.02707638738134511</v>
                </pt>
                <pt idx="140">
                  <v>0.02338772556334298</v>
                </pt>
                <pt idx="141">
                  <v>0.03335395885909529</v>
                </pt>
                <pt idx="142">
                  <v>0.03252144807843987</v>
                </pt>
                <pt idx="143">
                  <v>0.02787516388826853</v>
                </pt>
                <pt idx="144">
                  <v>0.03623986020575101</v>
                </pt>
                <pt idx="145">
                  <v>0.04412052520082162</v>
                </pt>
                <pt idx="146">
                  <v>0.02777021131706067</v>
                </pt>
                <pt idx="147">
                  <v>0.03888524065027629</v>
                </pt>
                <pt idx="148">
                  <v>0.03953826877449273</v>
                </pt>
                <pt idx="149">
                  <v>0.03667539637222789</v>
                </pt>
                <pt idx="150">
                  <v>0.03385538203318551</v>
                </pt>
                <pt idx="151">
                  <v>0.02323104118010151</v>
                </pt>
                <pt idx="152">
                  <v>0.02325838357285898</v>
                </pt>
                <pt idx="153">
                  <v>0.01933382379373908</v>
                </pt>
                <pt idx="154">
                  <v>0.02343682236525159</v>
                </pt>
                <pt idx="155">
                  <v>0.02083918090355107</v>
                </pt>
                <pt idx="156">
                  <v>0.01471290259250461</v>
                </pt>
                <pt idx="157">
                  <v>0.01624579410665123</v>
                </pt>
                <pt idx="158">
                  <v>0.02574646528332092</v>
                </pt>
                <pt idx="159">
                  <v>0.01718088025802153</v>
                </pt>
                <pt idx="160">
                  <v>0.01611935337943271</v>
                </pt>
                <pt idx="161">
                  <v>0.01791357380156496</v>
                </pt>
                <pt idx="162">
                  <v>0.01262741549478869</v>
                </pt>
                <pt idx="163">
                  <v>0.02260701024910048</v>
                </pt>
                <pt idx="164">
                  <v>0.028803465301224</v>
                </pt>
                <pt idx="165">
                  <v>0.02437706640695075</v>
                </pt>
                <pt idx="166">
                  <v>0.02279188024587991</v>
                </pt>
                <pt idx="167">
                  <v>0.02219282595235765</v>
                </pt>
                <pt idx="168">
                  <v>0.01828968390953827</v>
                </pt>
                <pt idx="169">
                  <v>0.02113033616996703</v>
                </pt>
                <pt idx="170">
                  <v>0.02722984129803756</v>
                </pt>
                <pt idx="171">
                  <v>0.02906761729809691</v>
                </pt>
                <pt idx="172">
                  <v>0.03233198763940241</v>
                </pt>
                <pt idx="173">
                  <v>0.03381820673421845</v>
                </pt>
                <pt idx="174">
                  <v>0.03932745552727401</v>
                </pt>
                <pt idx="175">
                  <v>0.03165942923987423</v>
                </pt>
                <pt idx="176">
                  <v>0.02937351495565224</v>
                </pt>
                <pt idx="177">
                  <v>0.03071347864247805</v>
                </pt>
                <pt idx="178">
                  <v>0.0346833908877354</v>
                </pt>
                <pt idx="179">
                  <v>0.03244545352204721</v>
                </pt>
                <pt idx="180">
                  <v>0.02824928249282492</v>
                </pt>
                <pt idx="181">
                  <v>0.01382516378303326</v>
                </pt>
                <pt idx="182">
                  <v>0.0004647429126705109</v>
                </pt>
                <pt idx="183">
                  <v>-0.005876721408056571</v>
                </pt>
                <pt idx="184">
                  <v>-0.01443779251589583</v>
                </pt>
                <pt idx="185">
                  <v>-0.02066792334398332</v>
                </pt>
                <pt idx="186">
                  <v>-0.01664230282552476</v>
                </pt>
                <pt idx="187">
                  <v>-0.01667702486552204</v>
                </pt>
                <pt idx="188">
                  <v>-0.02259617625580704</v>
                </pt>
                <pt idx="189">
                  <v>-0.02720770721590221</v>
                </pt>
                <pt idx="190">
                  <v>-0.04054411319159938</v>
                </pt>
                <pt idx="191">
                  <v>-0.04530827089434512</v>
                </pt>
                <pt idx="192">
                  <v>-0.03275600322493116</v>
                </pt>
                <pt idx="193">
                  <v>-0.03169514240151622</v>
                </pt>
                <pt idx="194">
                  <v>-0.03568215744814573</v>
                </pt>
                <pt idx="195">
                  <v>-0.02742977361621434</v>
                </pt>
                <pt idx="196">
                  <v>-0.02511534683428751</v>
                </pt>
                <pt idx="197">
                  <v>-0.01742270206144415</v>
                </pt>
                <pt idx="198">
                  <v>-0.02244394947045254</v>
                </pt>
                <pt idx="199">
                  <v>-0.02168326659679309</v>
                </pt>
                <pt idx="200">
                  <v>-0.01978227672534819</v>
                </pt>
                <pt idx="201">
                  <v>-0.01452182965671224</v>
                </pt>
                <pt idx="202">
                  <v>-0.01099175166083044</v>
                </pt>
                <pt idx="203">
                  <v>0.0009339087720718022</v>
                </pt>
                <pt idx="204">
                  <v>-0.006606955049378718</v>
                </pt>
                <pt idx="205">
                  <v>-0.004866873716051259</v>
                </pt>
                <pt idx="206">
                  <v>0.008917341459017925</v>
                </pt>
                <pt idx="207">
                  <v>0.01565297577155376</v>
                </pt>
                <pt idx="208">
                  <v>0.01910194011712765</v>
                </pt>
                <pt idx="209">
                  <v>0.0161636828644501</v>
                </pt>
                <pt idx="210">
                  <v>0.01273523817232592</v>
                </pt>
                <pt idx="211">
                  <v>0.009202534747466969</v>
                </pt>
                <pt idx="212">
                  <v>0.01124066993987416</v>
                </pt>
                <pt idx="213">
                  <v>0.02294995958765213</v>
                </pt>
                <pt idx="214">
                  <v>0.02963540671024096</v>
                </pt>
                <pt idx="215">
                  <v>0.02449627087974116</v>
                </pt>
                <pt idx="216">
                  <v>0.02626755210341842</v>
                </pt>
                <pt idx="217">
                  <v>0.03386493444218469</v>
                </pt>
                <pt idx="218">
                  <v>0.03207750768929499</v>
                </pt>
                <pt idx="219">
                  <v>0.03338326257246906</v>
                </pt>
                <pt idx="220">
                  <v>0.02259594161907775</v>
                </pt>
                <pt idx="221">
                  <v>0.02859854091721467</v>
                </pt>
                <pt idx="222">
                  <v>0.03235635852847348</v>
                </pt>
                <pt idx="223">
                  <v>0.04431380575974121</v>
                </pt>
                <pt idx="224">
                  <v>0.04359588086832923</v>
                </pt>
                <pt idx="225">
                  <v>0.02912530037693787</v>
                </pt>
                <pt idx="226">
                  <v>0.0270690116601175</v>
                </pt>
                <pt idx="227">
                  <v>0.02500855039509234</v>
                </pt>
                <pt idx="228">
                  <v>0.01951892569474103</v>
                </pt>
                <pt idx="229">
                  <v>0.01045146886570701</v>
                </pt>
                <pt idx="230">
                  <v>0.005716711282117906</v>
                </pt>
                <pt idx="231">
                  <v>-0.01063119516037273</v>
                </pt>
                <pt idx="232">
                  <v>0.000274437915014187</v>
                </pt>
                <pt idx="233">
                  <v>-0.006813486264492407</v>
                </pt>
                <pt idx="234">
                  <v>-0.01267547569324145</v>
                </pt>
                <pt idx="235">
                  <v>-0.01254123002631601</v>
                </pt>
                <pt idx="236">
                  <v>-0.01523846478181992</v>
                </pt>
                <pt idx="237">
                  <v>-0.02248900083413754</v>
                </pt>
                <pt idx="238">
                  <v>-0.0178143031729594</v>
                </pt>
                <pt idx="239">
                  <v>-0.02029528456285235</v>
                </pt>
                <pt idx="240">
                  <v>-0.0193106517175665</v>
                </pt>
                <pt idx="241">
                  <v>-0.01163288248863168</v>
                </pt>
                <pt idx="242">
                  <v>-0.05019420667012874</v>
                </pt>
                <pt idx="243">
                  <v>-0.172621300542504</v>
                </pt>
                <pt idx="244">
                  <v>-0.1605753608698369</v>
                </pt>
                <pt idx="245">
                  <v>-0.1066140562966085</v>
                </pt>
                <pt idx="246">
                  <v>-0.06870175135948944</v>
                </pt>
                <pt idx="247">
                  <v>-0.0670131179251067</v>
                </pt>
                <pt idx="248">
                  <v>-0.06521995679376583</v>
                </pt>
                <pt idx="249">
                  <v>-0.05091425185675115</v>
                </pt>
                <pt idx="250">
                  <v>-0.05180326584955166</v>
                </pt>
                <pt idx="251">
                  <v>-0.03836323662204082</v>
                </pt>
                <pt idx="252">
                  <v>-0.02557981707846367</v>
                </pt>
                <pt idx="253">
                  <v>-0.06158039219544834</v>
                </pt>
                <pt idx="254">
                  <v>0.004790758821794832</v>
                </pt>
                <pt idx="255">
                  <v>0.1618326223227764</v>
                </pt>
                <pt idx="256">
                  <v>0.1532756719535855</v>
                </pt>
                <pt idx="257">
                  <v>0.08679426621160416</v>
                </pt>
                <pt idx="258">
                  <v>0.05376763943149669</v>
                </pt>
                <pt idx="259">
                  <v>0.04419109357678386</v>
                </pt>
                <pt idx="260">
                  <v>0.03356481964517503</v>
                </pt>
                <pt idx="261">
                  <v>0.0401880343298504</v>
                </pt>
                <pt idx="262">
                  <v>0.04481583044589735</v>
                </pt>
                <pt idx="263">
                  <v>0.02970745717802635</v>
                </pt>
                <pt idx="264">
                  <v>0.0226667179572317</v>
                </pt>
                <pt idx="265">
                  <v>0.06607852841013941</v>
                </pt>
                <pt idx="266">
                  <v>0.04425429841106801</v>
                </pt>
                <pt idx="267">
                  <v>0.04585170609816393</v>
                </pt>
                <pt idx="268">
                  <v>0.03657156573623202</v>
                </pt>
                <pt idx="269">
                  <v>0.03192355310442406</v>
                </pt>
                <pt idx="270">
                  <v>0.03005999614474591</v>
                </pt>
                <pt idx="271">
                  <v>0.03105003220957689</v>
                </pt>
                <pt idx="272">
                  <v>0.0450922357245102</v>
                </pt>
                <pt idx="273">
                  <v>0.03097468209302669</v>
                </pt>
                <pt idx="274">
                  <v>0.01852622258938243</v>
                </pt>
                <pt idx="275">
                  <v>0.005849176297999789</v>
                </pt>
                <pt idx="276">
                  <v>0.01388796775378213</v>
                </pt>
                <pt idx="277">
                  <v>0.009465304701376742</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Utilization'!$A$6:$A$680</f>
              <numCache>
                <formatCode>mmm\-yy</formatCode>
                <ptCount val="675"/>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pt idx="672">
                  <v>44927</v>
                </pt>
                <pt idx="673">
                  <v>44958</v>
                </pt>
                <pt idx="674">
                  <v>44986</v>
                </pt>
              </numCache>
            </numRef>
          </cat>
          <val>
            <numRef>
              <f>'Capacity Utilization'!$B$6:$B$680</f>
              <numCache>
                <formatCode>0.00</formatCode>
                <ptCount val="675"/>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87.3848</v>
                </pt>
                <pt idx="13">
                  <v>87.3505</v>
                </pt>
                <pt idx="14">
                  <v>87.2771</v>
                </pt>
                <pt idx="15">
                  <v>87.05970000000001</v>
                </pt>
                <pt idx="16">
                  <v>87.6913</v>
                </pt>
                <pt idx="17">
                  <v>87.6699</v>
                </pt>
                <pt idx="18">
                  <v>87.19499999999999</v>
                </pt>
                <pt idx="19">
                  <v>87.0996</v>
                </pt>
                <pt idx="20">
                  <v>87.0921</v>
                </pt>
                <pt idx="21">
                  <v>86.9294</v>
                </pt>
                <pt idx="22">
                  <v>87.7166</v>
                </pt>
                <pt idx="23">
                  <v>87.65779999999999</v>
                </pt>
                <pt idx="24">
                  <v>87.8613</v>
                </pt>
                <pt idx="25">
                  <v>88.1061</v>
                </pt>
                <pt idx="26">
                  <v>88.4789</v>
                </pt>
                <pt idx="27">
                  <v>87.8387</v>
                </pt>
                <pt idx="28">
                  <v>87.19540000000001</v>
                </pt>
                <pt idx="29">
                  <v>87.73520000000001</v>
                </pt>
                <pt idx="30">
                  <v>87.88679999999999</v>
                </pt>
                <pt idx="31">
                  <v>87.7786</v>
                </pt>
                <pt idx="32">
                  <v>87.45099999999999</v>
                </pt>
                <pt idx="33">
                  <v>87.1707</v>
                </pt>
                <pt idx="34">
                  <v>86.04819999999999</v>
                </pt>
                <pt idx="35">
                  <v>85.5192</v>
                </pt>
                <pt idx="36">
                  <v>83.65860000000001</v>
                </pt>
                <pt idx="37">
                  <v>83.34220000000001</v>
                </pt>
                <pt idx="38">
                  <v>82.9743</v>
                </pt>
                <pt idx="39">
                  <v>82.50369999999999</v>
                </pt>
                <pt idx="40">
                  <v>82.152</v>
                </pt>
                <pt idx="41">
                  <v>81.63330000000001</v>
                </pt>
                <pt idx="42">
                  <v>81.58150000000001</v>
                </pt>
                <pt idx="43">
                  <v>81.1858</v>
                </pt>
                <pt idx="44">
                  <v>80.3792</v>
                </pt>
                <pt idx="45">
                  <v>78.5307</v>
                </pt>
                <pt idx="46">
                  <v>77.81740000000001</v>
                </pt>
                <pt idx="47">
                  <v>79.36279999999999</v>
                </pt>
                <pt idx="48">
                  <v>79.7501</v>
                </pt>
                <pt idx="49">
                  <v>79.39579999999999</v>
                </pt>
                <pt idx="50">
                  <v>79.1084</v>
                </pt>
                <pt idx="51">
                  <v>79.35120000000001</v>
                </pt>
                <pt idx="52">
                  <v>79.5523</v>
                </pt>
                <pt idx="53">
                  <v>79.6846</v>
                </pt>
                <pt idx="54">
                  <v>79.2535</v>
                </pt>
                <pt idx="55">
                  <v>78.5958</v>
                </pt>
                <pt idx="56">
                  <v>79.6734</v>
                </pt>
                <pt idx="57">
                  <v>80.0694</v>
                </pt>
                <pt idx="58">
                  <v>80.209</v>
                </pt>
                <pt idx="59">
                  <v>80.9333</v>
                </pt>
                <pt idx="60">
                  <v>82.6639</v>
                </pt>
                <pt idx="61">
                  <v>83.2993</v>
                </pt>
                <pt idx="62">
                  <v>83.6895</v>
                </pt>
                <pt idx="63">
                  <v>84.31310000000001</v>
                </pt>
                <pt idx="64">
                  <v>84.11190000000001</v>
                </pt>
                <pt idx="65">
                  <v>84.1181</v>
                </pt>
                <pt idx="66">
                  <v>83.822</v>
                </pt>
                <pt idx="67">
                  <v>84.7529</v>
                </pt>
                <pt idx="68">
                  <v>85.16500000000001</v>
                </pt>
                <pt idx="69">
                  <v>86.01349999999999</v>
                </pt>
                <pt idx="70">
                  <v>86.7659</v>
                </pt>
                <pt idx="71">
                  <v>87.4686</v>
                </pt>
                <pt idx="72">
                  <v>87.82810000000001</v>
                </pt>
                <pt idx="73">
                  <v>88.8164</v>
                </pt>
                <pt idx="74">
                  <v>88.5532</v>
                </pt>
                <pt idx="75">
                  <v>88.12430000000001</v>
                </pt>
                <pt idx="76">
                  <v>88.40300000000001</v>
                </pt>
                <pt idx="77">
                  <v>88.2029</v>
                </pt>
                <pt idx="78">
                  <v>88.2221</v>
                </pt>
                <pt idx="79">
                  <v>87.80119999999999</v>
                </pt>
                <pt idx="80">
                  <v>88.2072</v>
                </pt>
                <pt idx="81">
                  <v>88.6195</v>
                </pt>
                <pt idx="82">
                  <v>88.73260000000001</v>
                </pt>
                <pt idx="83">
                  <v>88.2092</v>
                </pt>
                <pt idx="84">
                  <v>87.3603</v>
                </pt>
                <pt idx="85">
                  <v>86.8532</v>
                </pt>
                <pt idx="86">
                  <v>86.5946</v>
                </pt>
                <pt idx="87">
                  <v>86.102</v>
                </pt>
                <pt idx="88">
                  <v>86.57640000000001</v>
                </pt>
                <pt idx="89">
                  <v>86.20869999999999</v>
                </pt>
                <pt idx="90">
                  <v>86.17019999999999</v>
                </pt>
                <pt idx="91">
                  <v>85.0813</v>
                </pt>
                <pt idx="92">
                  <v>84.9171</v>
                </pt>
                <pt idx="93">
                  <v>84.4837</v>
                </pt>
                <pt idx="94">
                  <v>81.5472</v>
                </pt>
                <pt idx="95">
                  <v>78.4766</v>
                </pt>
                <pt idx="96">
                  <v>77.2606</v>
                </pt>
                <pt idx="97">
                  <v>75.3723</v>
                </pt>
                <pt idx="98">
                  <v>74.4335</v>
                </pt>
                <pt idx="99">
                  <v>74.45610000000001</v>
                </pt>
                <pt idx="100">
                  <v>74.1297</v>
                </pt>
                <pt idx="101">
                  <v>74.4823</v>
                </pt>
                <pt idx="102">
                  <v>75.13</v>
                </pt>
                <pt idx="103">
                  <v>75.74930000000001</v>
                </pt>
                <pt idx="104">
                  <v>76.6023</v>
                </pt>
                <pt idx="105">
                  <v>76.7949</v>
                </pt>
                <pt idx="106">
                  <v>76.76130000000001</v>
                </pt>
                <pt idx="107">
                  <v>77.6515</v>
                </pt>
                <pt idx="108">
                  <v>78.5352</v>
                </pt>
                <pt idx="109">
                  <v>79.1583</v>
                </pt>
                <pt idx="110">
                  <v>79.1609</v>
                </pt>
                <pt idx="111">
                  <v>79.3847</v>
                </pt>
                <pt idx="112">
                  <v>79.5472</v>
                </pt>
                <pt idx="113">
                  <v>79.4537</v>
                </pt>
                <pt idx="114">
                  <v>79.7129</v>
                </pt>
                <pt idx="115">
                  <v>80.0788</v>
                </pt>
                <pt idx="116">
                  <v>80.15860000000001</v>
                </pt>
                <pt idx="117">
                  <v>79.9457</v>
                </pt>
                <pt idx="118">
                  <v>80.9791</v>
                </pt>
                <pt idx="119">
                  <v>81.6559</v>
                </pt>
                <pt idx="120">
                  <v>80.9038</v>
                </pt>
                <pt idx="121">
                  <v>81.9747</v>
                </pt>
                <pt idx="122">
                  <v>82.80419999999999</v>
                </pt>
                <pt idx="123">
                  <v>83.3995</v>
                </pt>
                <pt idx="124">
                  <v>83.8236</v>
                </pt>
                <pt idx="125">
                  <v>84.239</v>
                </pt>
                <pt idx="126">
                  <v>84.12</v>
                </pt>
                <pt idx="127">
                  <v>83.9765</v>
                </pt>
                <pt idx="128">
                  <v>84.0778</v>
                </pt>
                <pt idx="129">
                  <v>83.97669999999999</v>
                </pt>
                <pt idx="130">
                  <v>83.89109999999999</v>
                </pt>
                <pt idx="131">
                  <v>83.8023</v>
                </pt>
                <pt idx="132">
                  <v>82.3473</v>
                </pt>
                <pt idx="133">
                  <v>82.5737</v>
                </pt>
                <pt idx="134">
                  <v>83.91679999999999</v>
                </pt>
                <pt idx="135">
                  <v>85.34820000000001</v>
                </pt>
                <pt idx="136">
                  <v>85.52079999999999</v>
                </pt>
                <pt idx="137">
                  <v>85.8308</v>
                </pt>
                <pt idx="138">
                  <v>85.53230000000001</v>
                </pt>
                <pt idx="139">
                  <v>85.6465</v>
                </pt>
                <pt idx="140">
                  <v>85.6125</v>
                </pt>
                <pt idx="141">
                  <v>86.0371</v>
                </pt>
                <pt idx="142">
                  <v>86.4614</v>
                </pt>
                <pt idx="143">
                  <v>86.6562</v>
                </pt>
                <pt idx="144">
                  <v>85.95659999999999</v>
                </pt>
                <pt idx="145">
                  <v>86.1651</v>
                </pt>
                <pt idx="146">
                  <v>86.1935</v>
                </pt>
                <pt idx="147">
                  <v>84.9421</v>
                </pt>
                <pt idx="148">
                  <v>85.48009999999999</v>
                </pt>
                <pt idx="149">
                  <v>85.2706</v>
                </pt>
                <pt idx="150">
                  <v>84.9248</v>
                </pt>
                <pt idx="151">
                  <v>84.17529999999999</v>
                </pt>
                <pt idx="152">
                  <v>83.9806</v>
                </pt>
                <pt idx="153">
                  <v>84.3728</v>
                </pt>
                <pt idx="154">
                  <v>84.0579</v>
                </pt>
                <pt idx="155">
                  <v>83.9436</v>
                </pt>
                <pt idx="156">
                  <v>84.2311</v>
                </pt>
                <pt idx="157">
                  <v>84.1083</v>
                </pt>
                <pt idx="158">
                  <v>83.59350000000001</v>
                </pt>
                <pt idx="159">
                  <v>81.7958</v>
                </pt>
                <pt idx="160">
                  <v>79.63800000000001</v>
                </pt>
                <pt idx="161">
                  <v>78.46080000000001</v>
                </pt>
                <pt idx="162">
                  <v>77.7482</v>
                </pt>
                <pt idx="163">
                  <v>77.8447</v>
                </pt>
                <pt idx="164">
                  <v>78.9834</v>
                </pt>
                <pt idx="165">
                  <v>79.8159</v>
                </pt>
                <pt idx="166">
                  <v>80.9704</v>
                </pt>
                <pt idx="167">
                  <v>81.3163</v>
                </pt>
                <pt idx="168">
                  <v>80.6229</v>
                </pt>
                <pt idx="169">
                  <v>80.09439999999999</v>
                </pt>
                <pt idx="170">
                  <v>80.3057</v>
                </pt>
                <pt idx="171">
                  <v>79.7704</v>
                </pt>
                <pt idx="172">
                  <v>80.0226</v>
                </pt>
                <pt idx="173">
                  <v>80.23990000000001</v>
                </pt>
                <pt idx="174">
                  <v>80.5506</v>
                </pt>
                <pt idx="175">
                  <v>80.25709999999999</v>
                </pt>
                <pt idx="176">
                  <v>79.6687</v>
                </pt>
                <pt idx="177">
                  <v>78.866</v>
                </pt>
                <pt idx="178">
                  <v>77.7627</v>
                </pt>
                <pt idx="179">
                  <v>76.7466</v>
                </pt>
                <pt idx="180">
                  <v>75.01220000000001</v>
                </pt>
                <pt idx="181">
                  <v>76.38330000000001</v>
                </pt>
                <pt idx="182">
                  <v>75.7186</v>
                </pt>
                <pt idx="183">
                  <v>74.8888</v>
                </pt>
                <pt idx="184">
                  <v>74.2587</v>
                </pt>
                <pt idx="185">
                  <v>73.95010000000001</v>
                </pt>
                <pt idx="186">
                  <v>73.5908</v>
                </pt>
                <pt idx="187">
                  <v>72.8353</v>
                </pt>
                <pt idx="188">
                  <v>72.5682</v>
                </pt>
                <pt idx="189">
                  <v>71.8027</v>
                </pt>
                <pt idx="190">
                  <v>71.5184</v>
                </pt>
                <pt idx="191">
                  <v>70.9657</v>
                </pt>
                <pt idx="192">
                  <v>72.2448</v>
                </pt>
                <pt idx="193">
                  <v>71.77</v>
                </pt>
                <pt idx="194">
                  <v>72.3463</v>
                </pt>
                <pt idx="195">
                  <v>73.2328</v>
                </pt>
                <pt idx="196">
                  <v>73.67230000000001</v>
                </pt>
                <pt idx="197">
                  <v>74.09910000000001</v>
                </pt>
                <pt idx="198">
                  <v>75.1751</v>
                </pt>
                <pt idx="199">
                  <v>76.044</v>
                </pt>
                <pt idx="200">
                  <v>77.0993</v>
                </pt>
                <pt idx="201">
                  <v>77.65430000000001</v>
                </pt>
                <pt idx="202">
                  <v>77.9349</v>
                </pt>
                <pt idx="203">
                  <v>78.25369999999999</v>
                </pt>
                <pt idx="204">
                  <v>79.71259999999999</v>
                </pt>
                <pt idx="205">
                  <v>79.98139999999999</v>
                </pt>
                <pt idx="206">
                  <v>80.2384</v>
                </pt>
                <pt idx="207">
                  <v>80.5838</v>
                </pt>
                <pt idx="208">
                  <v>80.87179999999999</v>
                </pt>
                <pt idx="209">
                  <v>81.0034</v>
                </pt>
                <pt idx="210">
                  <v>81.06229999999999</v>
                </pt>
                <pt idx="211">
                  <v>80.9851</v>
                </pt>
                <pt idx="212">
                  <v>80.57729999999999</v>
                </pt>
                <pt idx="213">
                  <v>80.3528</v>
                </pt>
                <pt idx="214">
                  <v>80.4271</v>
                </pt>
                <pt idx="215">
                  <v>80.2683</v>
                </pt>
                <pt idx="216">
                  <v>80.0283</v>
                </pt>
                <pt idx="217">
                  <v>80.0705</v>
                </pt>
                <pt idx="218">
                  <v>79.97199999999999</v>
                </pt>
                <pt idx="219">
                  <v>79.6139</v>
                </pt>
                <pt idx="220">
                  <v>79.5339</v>
                </pt>
                <pt idx="221">
                  <v>79.30289999999999</v>
                </pt>
                <pt idx="222">
                  <v>78.70869999999999</v>
                </pt>
                <pt idx="223">
                  <v>78.7942</v>
                </pt>
                <pt idx="224">
                  <v>78.91800000000001</v>
                </pt>
                <pt idx="225">
                  <v>78.49120000000001</v>
                </pt>
                <pt idx="226">
                  <v>78.6182</v>
                </pt>
                <pt idx="227">
                  <v>79.2651</v>
                </pt>
                <pt idx="228">
                  <v>79.56359999999999</v>
                </pt>
                <pt idx="229">
                  <v>78.9134</v>
                </pt>
                <pt idx="230">
                  <v>78.2664</v>
                </pt>
                <pt idx="231">
                  <v>78.2696</v>
                </pt>
                <pt idx="232">
                  <v>78.3421</v>
                </pt>
                <pt idx="233">
                  <v>77.9558</v>
                </pt>
                <pt idx="234">
                  <v>78.3535</v>
                </pt>
                <pt idx="235">
                  <v>78.14190000000001</v>
                </pt>
                <pt idx="236">
                  <v>78.2726</v>
                </pt>
                <pt idx="237">
                  <v>78.5086</v>
                </pt>
                <pt idx="238">
                  <v>78.7174</v>
                </pt>
                <pt idx="239">
                  <v>79.3476</v>
                </pt>
                <pt idx="240">
                  <v>78.9277</v>
                </pt>
                <pt idx="241">
                  <v>79.8385</v>
                </pt>
                <pt idx="242">
                  <v>79.80549999999999</v>
                </pt>
                <pt idx="243">
                  <v>80.1758</v>
                </pt>
                <pt idx="244">
                  <v>80.5155</v>
                </pt>
                <pt idx="245">
                  <v>80.7902</v>
                </pt>
                <pt idx="246">
                  <v>81.1772</v>
                </pt>
                <pt idx="247">
                  <v>81.6378</v>
                </pt>
                <pt idx="248">
                  <v>81.8095</v>
                </pt>
                <pt idx="249">
                  <v>82.7829</v>
                </pt>
                <pt idx="250">
                  <v>83.0749</v>
                </pt>
                <pt idx="251">
                  <v>83.4335</v>
                </pt>
                <pt idx="252">
                  <v>83.3283</v>
                </pt>
                <pt idx="253">
                  <v>83.67740000000001</v>
                </pt>
                <pt idx="254">
                  <v>83.8133</v>
                </pt>
                <pt idx="255">
                  <v>84.2599</v>
                </pt>
                <pt idx="256">
                  <v>84.0591</v>
                </pt>
                <pt idx="257">
                  <v>84.26609999999999</v>
                </pt>
                <pt idx="258">
                  <v>84.23950000000001</v>
                </pt>
                <pt idx="259">
                  <v>84.6276</v>
                </pt>
                <pt idx="260">
                  <v>84.304</v>
                </pt>
                <pt idx="261">
                  <v>84.623</v>
                </pt>
                <pt idx="262">
                  <v>84.7603</v>
                </pt>
                <pt idx="263">
                  <v>85.0642</v>
                </pt>
                <pt idx="264">
                  <v>85.208</v>
                </pt>
                <pt idx="265">
                  <v>84.71680000000001</v>
                </pt>
                <pt idx="266">
                  <v>84.7889</v>
                </pt>
                <pt idx="267">
                  <v>84.61579999999999</v>
                </pt>
                <pt idx="268">
                  <v>83.9786</v>
                </pt>
                <pt idx="269">
                  <v>83.7983</v>
                </pt>
                <pt idx="270">
                  <v>82.80880000000001</v>
                </pt>
                <pt idx="271">
                  <v>83.4265</v>
                </pt>
                <pt idx="272">
                  <v>82.94580000000001</v>
                </pt>
                <pt idx="273">
                  <v>82.6489</v>
                </pt>
                <pt idx="274">
                  <v>82.7278</v>
                </pt>
                <pt idx="275">
                  <v>82.99460000000001</v>
                </pt>
                <pt idx="276">
                  <v>82.3733</v>
                </pt>
                <pt idx="277">
                  <v>82.9404</v>
                </pt>
                <pt idx="278">
                  <v>83.15049999999999</v>
                </pt>
                <pt idx="279">
                  <v>82.7796</v>
                </pt>
                <pt idx="280">
                  <v>82.8617</v>
                </pt>
                <pt idx="281">
                  <v>82.9777</v>
                </pt>
                <pt idx="282">
                  <v>82.6936</v>
                </pt>
                <pt idx="283">
                  <v>82.8569</v>
                </pt>
                <pt idx="284">
                  <v>82.75830000000001</v>
                </pt>
                <pt idx="285">
                  <v>82.13120000000001</v>
                </pt>
                <pt idx="286">
                  <v>81.0047</v>
                </pt>
                <pt idx="287">
                  <v>80.34269999999999</v>
                </pt>
                <pt idx="288">
                  <v>79.9936</v>
                </pt>
                <pt idx="289">
                  <v>79.33750000000001</v>
                </pt>
                <pt idx="290">
                  <v>78.8116</v>
                </pt>
                <pt idx="291">
                  <v>78.94759999999999</v>
                </pt>
                <pt idx="292">
                  <v>79.6602</v>
                </pt>
                <pt idx="293">
                  <v>80.229</v>
                </pt>
                <pt idx="294">
                  <v>80.3605</v>
                </pt>
                <pt idx="295">
                  <v>80.2919</v>
                </pt>
                <pt idx="296">
                  <v>80.8617</v>
                </pt>
                <pt idx="297">
                  <v>80.6759</v>
                </pt>
                <pt idx="298">
                  <v>80.45480000000001</v>
                </pt>
                <pt idx="299">
                  <v>79.962</v>
                </pt>
                <pt idx="300">
                  <v>79.3991</v>
                </pt>
                <pt idx="301">
                  <v>79.81489999999999</v>
                </pt>
                <pt idx="302">
                  <v>80.3214</v>
                </pt>
                <pt idx="303">
                  <v>80.7713</v>
                </pt>
                <pt idx="304">
                  <v>80.8582</v>
                </pt>
                <pt idx="305">
                  <v>80.7276</v>
                </pt>
                <pt idx="306">
                  <v>81.2728</v>
                </pt>
                <pt idx="307">
                  <v>80.6532</v>
                </pt>
                <pt idx="308">
                  <v>80.7402</v>
                </pt>
                <pt idx="309">
                  <v>81.1307</v>
                </pt>
                <pt idx="310">
                  <v>81.2864</v>
                </pt>
                <pt idx="311">
                  <v>81.2604</v>
                </pt>
                <pt idx="312">
                  <v>81.447</v>
                </pt>
                <pt idx="313">
                  <v>81.69799999999999</v>
                </pt>
                <pt idx="314">
                  <v>81.502</v>
                </pt>
                <pt idx="315">
                  <v>81.6217</v>
                </pt>
                <pt idx="316">
                  <v>81.19159999999999</v>
                </pt>
                <pt idx="317">
                  <v>81.25660000000001</v>
                </pt>
                <pt idx="318">
                  <v>81.3428</v>
                </pt>
                <pt idx="319">
                  <v>81.12909999999999</v>
                </pt>
                <pt idx="320">
                  <v>81.4164</v>
                </pt>
                <pt idx="321">
                  <v>81.86920000000001</v>
                </pt>
                <pt idx="322">
                  <v>82.0917</v>
                </pt>
                <pt idx="323">
                  <v>82.3931</v>
                </pt>
                <pt idx="324">
                  <v>82.47069999999999</v>
                </pt>
                <pt idx="325">
                  <v>82.31619999999999</v>
                </pt>
                <pt idx="326">
                  <v>82.9362</v>
                </pt>
                <pt idx="327">
                  <v>83.194</v>
                </pt>
                <pt idx="328">
                  <v>83.34520000000001</v>
                </pt>
                <pt idx="329">
                  <v>83.6506</v>
                </pt>
                <pt idx="330">
                  <v>83.4915</v>
                </pt>
                <pt idx="331">
                  <v>83.7838</v>
                </pt>
                <pt idx="332">
                  <v>83.7623</v>
                </pt>
                <pt idx="333">
                  <v>84.1694</v>
                </pt>
                <pt idx="334">
                  <v>84.44889999999999</v>
                </pt>
                <pt idx="335">
                  <v>85.0057</v>
                </pt>
                <pt idx="336">
                  <v>84.87909999999999</v>
                </pt>
                <pt idx="337">
                  <v>84.4876</v>
                </pt>
                <pt idx="338">
                  <v>84.3121</v>
                </pt>
                <pt idx="339">
                  <v>83.869</v>
                </pt>
                <pt idx="340">
                  <v>83.9723</v>
                </pt>
                <pt idx="341">
                  <v>83.9443</v>
                </pt>
                <pt idx="342">
                  <v>83.2835</v>
                </pt>
                <pt idx="343">
                  <v>84.04640000000001</v>
                </pt>
                <pt idx="344">
                  <v>84.0356</v>
                </pt>
                <pt idx="345">
                  <v>83.5543</v>
                </pt>
                <pt idx="346">
                  <v>83.4004</v>
                </pt>
                <pt idx="347">
                  <v>83.32210000000001</v>
                </pt>
                <pt idx="348">
                  <v>82.5181</v>
                </pt>
                <pt idx="349">
                  <v>83.3398</v>
                </pt>
                <pt idx="350">
                  <v>82.8259</v>
                </pt>
                <pt idx="351">
                  <v>83.2807</v>
                </pt>
                <pt idx="352">
                  <v>83.50579999999999</v>
                </pt>
                <pt idx="353">
                  <v>83.74379999999999</v>
                </pt>
                <pt idx="354">
                  <v>83.35550000000001</v>
                </pt>
                <pt idx="355">
                  <v>83.39190000000001</v>
                </pt>
                <pt idx="356">
                  <v>83.5254</v>
                </pt>
                <pt idx="357">
                  <v>83.1236</v>
                </pt>
                <pt idx="358">
                  <v>83.46210000000001</v>
                </pt>
                <pt idx="359">
                  <v>83.5793</v>
                </pt>
                <pt idx="360">
                  <v>83.3331</v>
                </pt>
                <pt idx="361">
                  <v>83.90000000000001</v>
                </pt>
                <pt idx="362">
                  <v>84.01690000000001</v>
                </pt>
                <pt idx="363">
                  <v>83.6618</v>
                </pt>
                <pt idx="364">
                  <v>83.69840000000001</v>
                </pt>
                <pt idx="365">
                  <v>83.6264</v>
                </pt>
                <pt idx="366">
                  <v>83.8625</v>
                </pt>
                <pt idx="367">
                  <v>84.2102</v>
                </pt>
                <pt idx="368">
                  <v>84.4781</v>
                </pt>
                <pt idx="369">
                  <v>84.69880000000001</v>
                </pt>
                <pt idx="370">
                  <v>84.83799999999999</v>
                </pt>
                <pt idx="371">
                  <v>84.6461</v>
                </pt>
                <pt idx="372">
                  <v>84.4813</v>
                </pt>
                <pt idx="373">
                  <v>84.0729</v>
                </pt>
                <pt idx="374">
                  <v>83.5673</v>
                </pt>
                <pt idx="375">
                  <v>83.31780000000001</v>
                </pt>
                <pt idx="376">
                  <v>83.3489</v>
                </pt>
                <pt idx="377">
                  <v>82.3651</v>
                </pt>
                <pt idx="378">
                  <v>81.58369999999999</v>
                </pt>
                <pt idx="379">
                  <v>82.8278</v>
                </pt>
                <pt idx="380">
                  <v>82.3242</v>
                </pt>
                <pt idx="381">
                  <v>82.4996</v>
                </pt>
                <pt idx="382">
                  <v>82.0316</v>
                </pt>
                <pt idx="383">
                  <v>81.99039999999999</v>
                </pt>
                <pt idx="384">
                  <v>81.9774</v>
                </pt>
                <pt idx="385">
                  <v>82.0973</v>
                </pt>
                <pt idx="386">
                  <v>81.9427</v>
                </pt>
                <pt idx="387">
                  <v>81.8019</v>
                </pt>
                <pt idx="388">
                  <v>81.98950000000001</v>
                </pt>
                <pt idx="389">
                  <v>81.62909999999999</v>
                </pt>
                <pt idx="390">
                  <v>81.8177</v>
                </pt>
                <pt idx="391">
                  <v>81.8764</v>
                </pt>
                <pt idx="392">
                  <v>81.2413</v>
                </pt>
                <pt idx="393">
                  <v>81.99590000000001</v>
                </pt>
                <pt idx="394">
                  <v>82.1417</v>
                </pt>
                <pt idx="395">
                  <v>82.51519999999999</v>
                </pt>
                <pt idx="396">
                  <v>82.17140000000001</v>
                </pt>
                <pt idx="397">
                  <v>82.1694</v>
                </pt>
                <pt idx="398">
                  <v>82.20950000000001</v>
                </pt>
                <pt idx="399">
                  <v>82.4575</v>
                </pt>
                <pt idx="400">
                  <v>82.40560000000001</v>
                </pt>
                <pt idx="401">
                  <v>82.19199999999999</v>
                </pt>
                <pt idx="402">
                  <v>81.7778</v>
                </pt>
                <pt idx="403">
                  <v>81.2898</v>
                </pt>
                <pt idx="404">
                  <v>81.34350000000001</v>
                </pt>
                <pt idx="405">
                  <v>80.79219999999999</v>
                </pt>
                <pt idx="406">
                  <v>80.541</v>
                </pt>
                <pt idx="407">
                  <v>80.00060000000001</v>
                </pt>
                <pt idx="408">
                  <v>79.3437</v>
                </pt>
                <pt idx="409">
                  <v>78.571</v>
                </pt>
                <pt idx="410">
                  <v>78.11579999999999</v>
                </pt>
                <pt idx="411">
                  <v>77.5972</v>
                </pt>
                <pt idx="412">
                  <v>76.9635</v>
                </pt>
                <pt idx="413">
                  <v>76.32850000000001</v>
                </pt>
                <pt idx="414">
                  <v>75.666</v>
                </pt>
                <pt idx="415">
                  <v>75.39579999999999</v>
                </pt>
                <pt idx="416">
                  <v>74.8236</v>
                </pt>
                <pt idx="417">
                  <v>74.4246</v>
                </pt>
                <pt idx="418">
                  <v>73.8377</v>
                </pt>
                <pt idx="419">
                  <v>73.6627</v>
                </pt>
                <pt idx="420">
                  <v>74.0676</v>
                </pt>
                <pt idx="421">
                  <v>73.9589</v>
                </pt>
                <pt idx="422">
                  <v>74.4162</v>
                </pt>
                <pt idx="423">
                  <v>74.7011</v>
                </pt>
                <pt idx="424">
                  <v>74.9611</v>
                </pt>
                <pt idx="425">
                  <v>75.5385</v>
                </pt>
                <pt idx="426">
                  <v>75.48690000000001</v>
                </pt>
                <pt idx="427">
                  <v>75.3938</v>
                </pt>
                <pt idx="428">
                  <v>75.4687</v>
                </pt>
                <pt idx="429">
                  <v>75.2824</v>
                </pt>
                <pt idx="430">
                  <v>75.71250000000001</v>
                </pt>
                <pt idx="431">
                  <v>75.31319999999999</v>
                </pt>
                <pt idx="432">
                  <v>75.9649</v>
                </pt>
                <pt idx="433">
                  <v>76.0853</v>
                </pt>
                <pt idx="434">
                  <v>75.9063</v>
                </pt>
                <pt idx="435">
                  <v>75.45180000000001</v>
                </pt>
                <pt idx="436">
                  <v>75.4618</v>
                </pt>
                <pt idx="437">
                  <v>75.58159999999999</v>
                </pt>
                <pt idx="438">
                  <v>75.9888</v>
                </pt>
                <pt idx="439">
                  <v>75.8306</v>
                </pt>
                <pt idx="440">
                  <v>76.3383</v>
                </pt>
                <pt idx="441">
                  <v>76.4457</v>
                </pt>
                <pt idx="442">
                  <v>76.97709999999999</v>
                </pt>
                <pt idx="443">
                  <v>77.0234</v>
                </pt>
                <pt idx="444">
                  <v>77.16119999999999</v>
                </pt>
                <pt idx="445">
                  <v>77.6396</v>
                </pt>
                <pt idx="446">
                  <v>77.3544</v>
                </pt>
                <pt idx="447">
                  <v>77.68210000000001</v>
                </pt>
                <pt idx="448">
                  <v>78.25700000000001</v>
                </pt>
                <pt idx="449">
                  <v>77.66200000000001</v>
                </pt>
                <pt idx="450">
                  <v>78.24290000000001</v>
                </pt>
                <pt idx="451">
                  <v>78.31059999999999</v>
                </pt>
                <pt idx="452">
                  <v>78.3927</v>
                </pt>
                <pt idx="453">
                  <v>79.0638</v>
                </pt>
                <pt idx="454">
                  <v>79.2285</v>
                </pt>
                <pt idx="455">
                  <v>79.8082</v>
                </pt>
                <pt idx="456">
                  <v>80.04130000000001</v>
                </pt>
                <pt idx="457">
                  <v>80.54130000000001</v>
                </pt>
                <pt idx="458">
                  <v>80.3601</v>
                </pt>
                <pt idx="459">
                  <v>80.43389999999999</v>
                </pt>
                <pt idx="460">
                  <v>80.425</v>
                </pt>
                <pt idx="461">
                  <v>80.67019999999999</v>
                </pt>
                <pt idx="462">
                  <v>80.30500000000001</v>
                </pt>
                <pt idx="463">
                  <v>80.46169999999999</v>
                </pt>
                <pt idx="464">
                  <v>78.78830000000001</v>
                </pt>
                <pt idx="465">
                  <v>79.6396</v>
                </pt>
                <pt idx="466">
                  <v>80.398</v>
                </pt>
                <pt idx="467">
                  <v>80.6819</v>
                </pt>
                <pt idx="468">
                  <v>80.6908</v>
                </pt>
                <pt idx="469">
                  <v>80.6125</v>
                </pt>
                <pt idx="470">
                  <v>80.66630000000001</v>
                </pt>
                <pt idx="471">
                  <v>80.7769</v>
                </pt>
                <pt idx="472">
                  <v>80.6674</v>
                </pt>
                <pt idx="473">
                  <v>80.8002</v>
                </pt>
                <pt idx="474">
                  <v>80.5962</v>
                </pt>
                <pt idx="475">
                  <v>80.78100000000001</v>
                </pt>
                <pt idx="476">
                  <v>80.45229999999999</v>
                </pt>
                <pt idx="477">
                  <v>80.19289999999999</v>
                </pt>
                <pt idx="478">
                  <v>79.98309999999999</v>
                </pt>
                <pt idx="479">
                  <v>80.6125</v>
                </pt>
                <pt idx="480">
                  <v>80.13849999999999</v>
                </pt>
                <pt idx="481">
                  <v>80.73260000000001</v>
                </pt>
                <pt idx="482">
                  <v>80.6935</v>
                </pt>
                <pt idx="483">
                  <v>81.07299999999999</v>
                </pt>
                <pt idx="484">
                  <v>80.955</v>
                </pt>
                <pt idx="485">
                  <v>80.83929999999999</v>
                </pt>
                <pt idx="486">
                  <v>80.6142</v>
                </pt>
                <pt idx="487">
                  <v>80.6999</v>
                </pt>
                <pt idx="488">
                  <v>80.8586</v>
                </pt>
                <pt idx="489">
                  <v>80.60129999999999</v>
                </pt>
                <pt idx="490">
                  <v>81.0633</v>
                </pt>
                <pt idx="491">
                  <v>81.13339999999999</v>
                </pt>
                <pt idx="492">
                  <v>81.08150000000001</v>
                </pt>
                <pt idx="493">
                  <v>80.8357</v>
                </pt>
                <pt idx="494">
                  <v>80.62560000000001</v>
                </pt>
                <pt idx="495">
                  <v>80.1238</v>
                </pt>
                <pt idx="496">
                  <v>79.6718</v>
                </pt>
                <pt idx="497">
                  <v>79.4693</v>
                </pt>
                <pt idx="498">
                  <v>79.095</v>
                </pt>
                <pt idx="499">
                  <v>77.7872</v>
                </pt>
                <pt idx="500">
                  <v>74.3062</v>
                </pt>
                <pt idx="501">
                  <v>74.9571</v>
                </pt>
                <pt idx="502">
                  <v>73.8807</v>
                </pt>
                <pt idx="503">
                  <v>71.6823</v>
                </pt>
                <pt idx="504">
                  <v>69.79819999999999</v>
                </pt>
                <pt idx="505">
                  <v>69.2778</v>
                </pt>
                <pt idx="506">
                  <v>68.12</v>
                </pt>
                <pt idx="507">
                  <v>67.50069999999999</v>
                </pt>
                <pt idx="508">
                  <v>66.7873</v>
                </pt>
                <pt idx="509">
                  <v>66.5532</v>
                </pt>
                <pt idx="510">
                  <v>67.3455</v>
                </pt>
                <pt idx="511">
                  <v>68.1236</v>
                </pt>
                <pt idx="512">
                  <v>68.75960000000001</v>
                </pt>
                <pt idx="513">
                  <v>68.9939</v>
                </pt>
                <pt idx="514">
                  <v>69.3689</v>
                </pt>
                <pt idx="515">
                  <v>69.7136</v>
                </pt>
                <pt idx="516">
                  <v>70.59180000000001</v>
                </pt>
                <pt idx="517">
                  <v>70.97539999999999</v>
                </pt>
                <pt idx="518">
                  <v>71.6373</v>
                </pt>
                <pt idx="519">
                  <v>72.04730000000001</v>
                </pt>
                <pt idx="520">
                  <v>73.1966</v>
                </pt>
                <pt idx="521">
                  <v>73.5082</v>
                </pt>
                <pt idx="522">
                  <v>73.9324</v>
                </pt>
                <pt idx="523">
                  <v>74.331</v>
                </pt>
                <pt idx="524">
                  <v>74.65470000000001</v>
                </pt>
                <pt idx="525">
                  <v>74.5429</v>
                </pt>
                <pt idx="526">
                  <v>74.6746</v>
                </pt>
                <pt idx="527">
                  <v>75.4597</v>
                </pt>
                <pt idx="528">
                  <v>75.34</v>
                </pt>
                <pt idx="529">
                  <v>75.0288</v>
                </pt>
                <pt idx="530">
                  <v>75.819</v>
                </pt>
                <pt idx="531">
                  <v>75.52549999999999</v>
                </pt>
                <pt idx="532">
                  <v>75.5784</v>
                </pt>
                <pt idx="533">
                  <v>75.7276</v>
                </pt>
                <pt idx="534">
                  <v>76.0009</v>
                </pt>
                <pt idx="535">
                  <v>76.38420000000001</v>
                </pt>
                <pt idx="536">
                  <v>76.21469999999999</v>
                </pt>
                <pt idx="537">
                  <v>76.6224</v>
                </pt>
                <pt idx="538">
                  <v>76.4885</v>
                </pt>
                <pt idx="539">
                  <v>76.7512</v>
                </pt>
                <pt idx="540">
                  <v>77.07429999999999</v>
                </pt>
                <pt idx="541">
                  <v>77.1823</v>
                </pt>
                <pt idx="542">
                  <v>76.6382</v>
                </pt>
                <pt idx="543">
                  <v>77.0523</v>
                </pt>
                <pt idx="544">
                  <v>77.06319999999999</v>
                </pt>
                <pt idx="545">
                  <v>76.93510000000001</v>
                </pt>
                <pt idx="546">
                  <v>76.9584</v>
                </pt>
                <pt idx="547">
                  <v>76.5269</v>
                </pt>
                <pt idx="548">
                  <v>76.3502</v>
                </pt>
                <pt idx="549">
                  <v>76.4688</v>
                </pt>
                <pt idx="550">
                  <v>76.6589</v>
                </pt>
                <pt idx="551">
                  <v>76.7539</v>
                </pt>
                <pt idx="552">
                  <v>76.6511</v>
                </pt>
                <pt idx="553">
                  <v>76.9174</v>
                </pt>
                <pt idx="554">
                  <v>77.13890000000001</v>
                </pt>
                <pt idx="555">
                  <v>76.96429999999999</v>
                </pt>
                <pt idx="556">
                  <v>76.95529999999999</v>
                </pt>
                <pt idx="557">
                  <v>77.0265</v>
                </pt>
                <pt idx="558">
                  <v>76.7152</v>
                </pt>
                <pt idx="559">
                  <v>77.1048</v>
                </pt>
                <pt idx="560">
                  <v>77.461</v>
                </pt>
                <pt idx="561">
                  <v>77.31480000000001</v>
                </pt>
                <pt idx="562">
                  <v>77.4524</v>
                </pt>
                <pt idx="563">
                  <v>77.56399999999999</v>
                </pt>
                <pt idx="564">
                  <v>77.21899999999999</v>
                </pt>
                <pt idx="565">
                  <v>77.7522</v>
                </pt>
                <pt idx="566">
                  <v>78.4825</v>
                </pt>
                <pt idx="567">
                  <v>78.4738</v>
                </pt>
                <pt idx="568">
                  <v>78.73099999999999</v>
                </pt>
                <pt idx="569">
                  <v>78.9229</v>
                </pt>
                <pt idx="570">
                  <v>79.0163</v>
                </pt>
                <pt idx="571">
                  <v>78.8163</v>
                </pt>
                <pt idx="572">
                  <v>78.98950000000001</v>
                </pt>
                <pt idx="573">
                  <v>78.92919999999999</v>
                </pt>
                <pt idx="574">
                  <v>79.3647</v>
                </pt>
                <pt idx="575">
                  <v>79.304</v>
                </pt>
                <pt idx="576">
                  <v>78.63379999999999</v>
                </pt>
                <pt idx="577">
                  <v>78.08540000000001</v>
                </pt>
                <pt idx="578">
                  <v>77.8104</v>
                </pt>
                <pt idx="579">
                  <v>77.3473</v>
                </pt>
                <pt idx="580">
                  <v>76.98439999999999</v>
                </pt>
                <pt idx="581">
                  <v>76.7496</v>
                </pt>
                <pt idx="582">
                  <v>77.2342</v>
                </pt>
                <pt idx="583">
                  <v>77.12130000000001</v>
                </pt>
                <pt idx="584">
                  <v>76.9102</v>
                </pt>
                <pt idx="585">
                  <v>76.56910000000001</v>
                </pt>
                <pt idx="586">
                  <v>76.0077</v>
                </pt>
                <pt idx="587">
                  <v>75.63379999999999</v>
                </pt>
                <pt idx="588">
                  <v>76.03230000000001</v>
                </pt>
                <pt idx="589">
                  <v>75.6159</v>
                </pt>
                <pt idx="590">
                  <v>75.05589999999999</v>
                </pt>
                <pt idx="591">
                  <v>75.2543</v>
                </pt>
                <pt idx="592">
                  <v>75.0727</v>
                </pt>
                <pt idx="593">
                  <v>75.4151</v>
                </pt>
                <pt idx="594">
                  <v>75.4735</v>
                </pt>
                <pt idx="595">
                  <v>75.3862</v>
                </pt>
                <pt idx="596">
                  <v>75.2897</v>
                </pt>
                <pt idx="597">
                  <v>75.3271</v>
                </pt>
                <pt idx="598">
                  <v>75.0219</v>
                </pt>
                <pt idx="599">
                  <v>75.5453</v>
                </pt>
                <pt idx="600">
                  <v>75.3784</v>
                </pt>
                <pt idx="601">
                  <v>75.1225</v>
                </pt>
                <pt idx="602">
                  <v>75.6429</v>
                </pt>
                <pt idx="603">
                  <v>76.4106</v>
                </pt>
                <pt idx="604">
                  <v>76.5629</v>
                </pt>
                <pt idx="605">
                  <v>76.78319999999999</v>
                </pt>
                <pt idx="606">
                  <v>76.6891</v>
                </pt>
                <pt idx="607">
                  <v>76.4472</v>
                </pt>
                <pt idx="608">
                  <v>76.6181</v>
                </pt>
                <pt idx="609">
                  <v>77.654</v>
                </pt>
                <pt idx="610">
                  <v>77.9439</v>
                </pt>
                <pt idx="611">
                  <v>78.17910000000001</v>
                </pt>
                <pt idx="612">
                  <v>78.206</v>
                </pt>
                <pt idx="613">
                  <v>78.5556</v>
                </pt>
                <pt idx="614">
                  <v>78.976</v>
                </pt>
                <pt idx="615">
                  <v>79.8677</v>
                </pt>
                <pt idx="616">
                  <v>79.15430000000001</v>
                </pt>
                <pt idx="617">
                  <v>79.7837</v>
                </pt>
                <pt idx="618">
                  <v>79.8874</v>
                </pt>
                <pt idx="619">
                  <v>80.4472</v>
                </pt>
                <pt idx="620">
                  <v>80.44710000000001</v>
                </pt>
                <pt idx="621">
                  <v>80.2713</v>
                </pt>
                <pt idx="622">
                  <v>80.2728</v>
                </pt>
                <pt idx="623">
                  <v>80.2161</v>
                </pt>
                <pt idx="624">
                  <v>79.67919999999999</v>
                </pt>
                <pt idx="625">
                  <v>79.2011</v>
                </pt>
                <pt idx="626">
                  <v>79.1387</v>
                </pt>
                <pt idx="627">
                  <v>78.626</v>
                </pt>
                <pt idx="628">
                  <v>78.6889</v>
                </pt>
                <pt idx="629">
                  <v>78.6717</v>
                </pt>
                <pt idx="630">
                  <v>78.2415</v>
                </pt>
                <pt idx="631">
                  <v>78.7426</v>
                </pt>
                <pt idx="632">
                  <v>78.4845</v>
                </pt>
                <pt idx="633">
                  <v>77.7075</v>
                </pt>
                <pt idx="634">
                  <v>78.0665</v>
                </pt>
                <pt idx="635">
                  <v>77.8163</v>
                </pt>
                <pt idx="636">
                  <v>77.3913</v>
                </pt>
                <pt idx="637">
                  <v>77.5663</v>
                </pt>
                <pt idx="638">
                  <v>74.5352</v>
                </pt>
                <pt idx="639">
                  <v>64.5714</v>
                </pt>
                <pt idx="640">
                  <v>65.64870000000001</v>
                </pt>
                <pt idx="641">
                  <v>69.96639999999999</v>
                </pt>
                <pt idx="642">
                  <v>72.6784</v>
                </pt>
                <pt idx="643">
                  <v>73.4452</v>
                </pt>
                <pt idx="644">
                  <v>73.52979999999999</v>
                </pt>
                <pt idx="645">
                  <v>74.1142</v>
                </pt>
                <pt idx="646">
                  <v>74.59269999999999</v>
                </pt>
                <pt idx="647">
                  <v>75.6169</v>
                </pt>
                <pt idx="648">
                  <v>76.4136</v>
                </pt>
                <pt idx="649">
                  <v>73.9408</v>
                </pt>
                <pt idx="650">
                  <v>76.24979999999999</v>
                </pt>
                <pt idx="651">
                  <v>76.53749999999999</v>
                </pt>
                <pt idx="652">
                  <v>77.36969999999999</v>
                </pt>
                <pt idx="653">
                  <v>77.7972</v>
                </pt>
                <pt idx="654">
                  <v>78.4064</v>
                </pt>
                <pt idx="655">
                  <v>78.5176</v>
                </pt>
                <pt idx="656">
                  <v>77.7675</v>
                </pt>
                <pt idx="657">
                  <v>78.8064</v>
                </pt>
                <pt idx="658">
                  <v>79.5489</v>
                </pt>
                <pt idx="659">
                  <v>79.32429999999999</v>
                </pt>
                <pt idx="660">
                  <v>79.43219999999999</v>
                </pt>
                <pt idx="661">
                  <v>79.92529999999999</v>
                </pt>
                <pt idx="662">
                  <v>80.5162</v>
                </pt>
                <pt idx="663">
                  <v>80.71120000000001</v>
                </pt>
                <pt idx="664">
                  <v>80.6275</v>
                </pt>
                <pt idx="665">
                  <v>80.4742</v>
                </pt>
                <pt idx="666">
                  <v>80.73180000000001</v>
                </pt>
                <pt idx="667">
                  <v>80.7118</v>
                </pt>
                <pt idx="668">
                  <v>80.8369</v>
                </pt>
                <pt idx="669">
                  <v>80.6377</v>
                </pt>
                <pt idx="670">
                  <v>80.26349999999999</v>
                </pt>
                <pt idx="671">
                  <v>78.9126</v>
                </pt>
                <pt idx="672">
                  <v>79.5425</v>
                </pt>
                <pt idx="673">
                  <v>79.60120000000001</v>
                </pt>
                <pt idx="674">
                  <v>79.7957</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Utilization'!$A$6:$A$680</f>
              <numCache>
                <formatCode>mmm\-yy</formatCode>
                <ptCount val="675"/>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pt idx="672">
                  <v>44927</v>
                </pt>
                <pt idx="673">
                  <v>44958</v>
                </pt>
                <pt idx="674">
                  <v>44986</v>
                </pt>
              </numCache>
            </numRef>
          </cat>
          <val>
            <numRef>
              <f>'Capacity Utilization'!$C$6:$C$680</f>
              <numCache>
                <formatCode>General</formatCode>
                <ptCount val="675"/>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0.01926977687626781</v>
                </pt>
                <pt idx="613">
                  <formatCode>0.0%</formatCode>
                  <v>0.02026342451874367</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0.02885572139303488</v>
                </pt>
                <pt idx="625">
                  <formatCode>0.0%</formatCode>
                  <v>0.02780536246276065</v>
                </pt>
                <pt idx="626">
                  <formatCode>0.0%</formatCode>
                  <v>0.02674591381872217</v>
                </pt>
                <pt idx="627">
                  <formatCode>0.0%</formatCode>
                  <v>0.02521008403361341</v>
                </pt>
                <pt idx="628">
                  <formatCode>0.0%</formatCode>
                  <v>0.0246791707798618</v>
                </pt>
                <pt idx="629">
                  <formatCode>0.0%</formatCode>
                  <v>0.02315270935960586</v>
                </pt>
                <pt idx="630">
                  <formatCode>0.0%</formatCode>
                  <v>0.02161100196463657</v>
                </pt>
                <pt idx="631">
                  <formatCode>0.0%</formatCode>
                  <v>0.0191082802547771</v>
                </pt>
                <pt idx="632">
                  <formatCode>0.0%</formatCode>
                  <v>0.01859099804305275</v>
                </pt>
                <pt idx="633">
                  <formatCode>0.0%</formatCode>
                  <v>0.01657727937591422</v>
                </pt>
                <pt idx="634">
                  <formatCode>0.0%</formatCode>
                  <v>0.01556420233463043</v>
                </pt>
                <pt idx="635">
                  <formatCode>0.0%</formatCode>
                  <v>0.01457725947521866</v>
                </pt>
                <pt idx="636">
                  <formatCode>0.0%</formatCode>
                  <v>0.01063829787234037</v>
                </pt>
                <pt idx="637">
                  <formatCode>0.0%</formatCode>
                  <v>0.01207729468599034</v>
                </pt>
                <pt idx="638">
                  <formatCode>0.0%</formatCode>
                  <v>0.01061263868789189</v>
                </pt>
                <pt idx="639">
                  <formatCode>0.0%</formatCode>
                  <v>0.01205400192864031</v>
                </pt>
                <pt idx="640">
                  <formatCode>0.0%</formatCode>
                  <v>0.01059730250481704</v>
                </pt>
                <pt idx="641">
                  <formatCode>0.0%</formatCode>
                  <v>0.01011073663938384</v>
                </pt>
                <pt idx="642">
                  <formatCode>0.0%</formatCode>
                  <v>0.01057692307692302</v>
                </pt>
                <pt idx="643">
                  <formatCode>0.0%</formatCode>
                  <v>0.01201923076923077</v>
                </pt>
                <pt idx="644">
                  <formatCode>0.0%</formatCode>
                  <v>0.01200768491834774</v>
                </pt>
                <pt idx="645">
                  <formatCode>0.0%</formatCode>
                  <v>0.01103117505995209</v>
                </pt>
                <pt idx="646">
                  <formatCode>0.0%</formatCode>
                  <v>0.01293103448275856</v>
                </pt>
                <pt idx="647">
                  <formatCode>0.0%</formatCode>
                  <v>0.01340996168582367</v>
                </pt>
                <pt idx="648">
                  <formatCode>0.0%</formatCode>
                  <v>0.01626794258373208</v>
                </pt>
                <pt idx="649">
                  <formatCode>0.0%</formatCode>
                  <v>0.01670644391408115</v>
                </pt>
                <pt idx="650">
                  <formatCode>0.0%</formatCode>
                  <v>0.02052505966587118</v>
                </pt>
                <pt idx="651">
                  <formatCode>0.0%</formatCode>
                  <v>0.0238208670795617</v>
                </pt>
                <pt idx="652">
                  <formatCode>0.0%</formatCode>
                  <v>0.03002859866539553</v>
                </pt>
                <pt idx="653">
                  <formatCode>0.0%</formatCode>
                  <v>0.03717826501429925</v>
                </pt>
                <pt idx="654">
                  <formatCode>0.0%</formatCode>
                  <v>0.04211227402473836</v>
                </pt>
                <pt idx="655">
                  <formatCode>0.0%</formatCode>
                  <v>0.04545368171021383</v>
                </pt>
                <pt idx="656">
                  <formatCode>0.0%</formatCode>
                  <v>0.05147603227337449</v>
                </pt>
                <pt idx="657">
                  <formatCode>0.0%</formatCode>
                  <v>0.05688330170777981</v>
                </pt>
                <pt idx="658">
                  <formatCode>0.0%</formatCode>
                  <v>0.05977304964539005</v>
                </pt>
                <pt idx="659">
                  <formatCode>0.0%</formatCode>
                  <v>0.06523156899810963</v>
                </pt>
                <pt idx="660">
                  <formatCode>0.0%</formatCode>
                  <v>0.07101694915254239</v>
                </pt>
                <pt idx="661">
                  <formatCode>0.0%</formatCode>
                  <v>0.07809389671361495</v>
                </pt>
                <pt idx="662">
                  <formatCode>0.0%</formatCode>
                  <v>0.08108512628624875</v>
                </pt>
                <pt idx="663">
                  <formatCode>0.0%</formatCode>
                  <v>0.08625407166123779</v>
                </pt>
                <pt idx="664">
                  <formatCode>0.0%</formatCode>
                  <v>0.08908375751966685</v>
                </pt>
                <pt idx="665">
                  <formatCode>0.0%</formatCode>
                  <v>0.08911305147058833</v>
                </pt>
                <pt idx="666">
                  <formatCode>0.0%</formatCode>
                  <v>0.08785585157862062</v>
                </pt>
                <pt idx="667">
                  <formatCode>0.0%</formatCode>
                  <v>0.08840903720668151</v>
                </pt>
                <pt idx="668">
                  <formatCode>0.0%</formatCode>
                  <v>0.08444747366235457</v>
                </pt>
                <pt idx="669">
                  <formatCode>0.0%</formatCode>
                  <v>0.08172233169203422</v>
                </pt>
                <pt idx="670">
                  <formatCode>0.0%</formatCode>
                  <v>0.08036869484523208</v>
                </pt>
                <pt idx="671">
                  <formatCode>0.0%</formatCode>
                  <v>0.07664494261389605</v>
                </pt>
                <pt idx="672">
                  <formatCode>0.0%</formatCode>
                  <v>0.07429533505653137</v>
                </pt>
                <pt idx="673">
                  <formatCode>0.0%</formatCode>
                  <v>0.06776435545258981</v>
                </pt>
                <pt idx="674">
                  <formatCode>0.0%</formatCode>
                  <v>0.06456804651806732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Utilization'!$A$102:$A$685</f>
              <numCache>
                <formatCode>mmm\-yy</formatCode>
                <ptCount val="584"/>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pt idx="576">
                  <v>44927</v>
                </pt>
                <pt idx="577">
                  <v>44958</v>
                </pt>
                <pt idx="578">
                  <v>44986</v>
                </pt>
              </numCache>
            </numRef>
          </cat>
          <val>
            <numRef>
              <f>'Capacity Utilization'!$C$102:$C$685</f>
              <numCache>
                <formatCode>0.0%</formatCode>
                <ptCount val="584"/>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0.01926977687626781</v>
                </pt>
                <pt idx="517">
                  <v>0.02026342451874367</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0.02885572139303488</v>
                </pt>
                <pt idx="529">
                  <v>0.02780536246276065</v>
                </pt>
                <pt idx="530">
                  <v>0.02674591381872217</v>
                </pt>
                <pt idx="531">
                  <v>0.02521008403361341</v>
                </pt>
                <pt idx="532">
                  <v>0.0246791707798618</v>
                </pt>
                <pt idx="533">
                  <v>0.02315270935960586</v>
                </pt>
                <pt idx="534">
                  <v>0.02161100196463657</v>
                </pt>
                <pt idx="535">
                  <v>0.0191082802547771</v>
                </pt>
                <pt idx="536">
                  <v>0.01859099804305275</v>
                </pt>
                <pt idx="537">
                  <v>0.01657727937591422</v>
                </pt>
                <pt idx="538">
                  <v>0.01556420233463043</v>
                </pt>
                <pt idx="539">
                  <v>0.01457725947521866</v>
                </pt>
                <pt idx="540">
                  <v>0.01063829787234037</v>
                </pt>
                <pt idx="541">
                  <v>0.01207729468599034</v>
                </pt>
                <pt idx="542">
                  <v>0.01061263868789189</v>
                </pt>
                <pt idx="543">
                  <v>0.01205400192864031</v>
                </pt>
                <pt idx="544">
                  <v>0.01059730250481704</v>
                </pt>
                <pt idx="545">
                  <v>0.01011073663938384</v>
                </pt>
                <pt idx="546">
                  <v>0.01057692307692302</v>
                </pt>
                <pt idx="547">
                  <v>0.01201923076923077</v>
                </pt>
                <pt idx="548">
                  <v>0.01200768491834774</v>
                </pt>
                <pt idx="549">
                  <v>0.01103117505995209</v>
                </pt>
                <pt idx="550">
                  <v>0.01293103448275856</v>
                </pt>
                <pt idx="551">
                  <v>0.01340996168582367</v>
                </pt>
                <pt idx="552">
                  <v>0.01626794258373208</v>
                </pt>
                <pt idx="553">
                  <v>0.01670644391408115</v>
                </pt>
                <pt idx="554">
                  <v>0.02052505966587118</v>
                </pt>
                <pt idx="555">
                  <v>0.0238208670795617</v>
                </pt>
                <pt idx="556">
                  <v>0.03002859866539553</v>
                </pt>
                <pt idx="557">
                  <v>0.03717826501429925</v>
                </pt>
                <pt idx="558">
                  <v>0.04211227402473836</v>
                </pt>
                <pt idx="559">
                  <v>0.04545368171021383</v>
                </pt>
                <pt idx="560">
                  <v>0.05147603227337449</v>
                </pt>
                <pt idx="561">
                  <v>0.05688330170777981</v>
                </pt>
                <pt idx="562">
                  <v>0.05977304964539005</v>
                </pt>
                <pt idx="563">
                  <v>0.06523156899810963</v>
                </pt>
                <pt idx="564">
                  <v>0.07101694915254239</v>
                </pt>
                <pt idx="565">
                  <v>0.07809389671361495</v>
                </pt>
                <pt idx="566">
                  <v>0.08108512628624875</v>
                </pt>
                <pt idx="567">
                  <v>0.08625407166123779</v>
                </pt>
                <pt idx="568">
                  <v>0.08908375751966685</v>
                </pt>
                <pt idx="569">
                  <v>0.08911305147058833</v>
                </pt>
                <pt idx="570">
                  <v>0.08785585157862062</v>
                </pt>
                <pt idx="571">
                  <v>0.08840903720668151</v>
                </pt>
                <pt idx="572">
                  <v>0.08444747366235457</v>
                </pt>
                <pt idx="573">
                  <v>0.08172233169203422</v>
                </pt>
                <pt idx="574">
                  <v>0.08036869484523208</v>
                </pt>
                <pt idx="575">
                  <v>0.07664494261389605</v>
                </pt>
                <pt idx="576">
                  <v>0.07429533505653137</v>
                </pt>
                <pt idx="577">
                  <v>0.06776435545258981</v>
                </pt>
                <pt idx="578">
                  <v>0.06456804651806732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Utilization'!$A$102:$A$685</f>
              <numCache>
                <formatCode>mmm\-yy</formatCode>
                <ptCount val="584"/>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pt idx="576">
                  <v>44927</v>
                </pt>
                <pt idx="577">
                  <v>44958</v>
                </pt>
                <pt idx="578">
                  <v>44986</v>
                </pt>
              </numCache>
            </numRef>
          </cat>
          <val>
            <numRef>
              <f>'Capacity Utilization'!$B$102:$B$685</f>
              <numCache>
                <formatCode>0.00</formatCode>
                <ptCount val="584"/>
                <pt idx="0">
                  <v>77.2606</v>
                </pt>
                <pt idx="1">
                  <v>75.3723</v>
                </pt>
                <pt idx="2">
                  <v>74.4335</v>
                </pt>
                <pt idx="3">
                  <v>74.45610000000001</v>
                </pt>
                <pt idx="4">
                  <v>74.1297</v>
                </pt>
                <pt idx="5">
                  <v>74.4823</v>
                </pt>
                <pt idx="6">
                  <v>75.13</v>
                </pt>
                <pt idx="7">
                  <v>75.74930000000001</v>
                </pt>
                <pt idx="8">
                  <v>76.6023</v>
                </pt>
                <pt idx="9">
                  <v>76.7949</v>
                </pt>
                <pt idx="10">
                  <v>76.76130000000001</v>
                </pt>
                <pt idx="11">
                  <v>77.6515</v>
                </pt>
                <pt idx="12">
                  <v>78.5352</v>
                </pt>
                <pt idx="13">
                  <v>79.1583</v>
                </pt>
                <pt idx="14">
                  <v>79.1609</v>
                </pt>
                <pt idx="15">
                  <v>79.3847</v>
                </pt>
                <pt idx="16">
                  <v>79.5472</v>
                </pt>
                <pt idx="17">
                  <v>79.4537</v>
                </pt>
                <pt idx="18">
                  <v>79.7129</v>
                </pt>
                <pt idx="19">
                  <v>80.0788</v>
                </pt>
                <pt idx="20">
                  <v>80.15860000000001</v>
                </pt>
                <pt idx="21">
                  <v>79.9457</v>
                </pt>
                <pt idx="22">
                  <v>80.9791</v>
                </pt>
                <pt idx="23">
                  <v>81.6559</v>
                </pt>
                <pt idx="24">
                  <v>80.9038</v>
                </pt>
                <pt idx="25">
                  <v>81.9747</v>
                </pt>
                <pt idx="26">
                  <v>82.80419999999999</v>
                </pt>
                <pt idx="27">
                  <v>83.3995</v>
                </pt>
                <pt idx="28">
                  <v>83.8236</v>
                </pt>
                <pt idx="29">
                  <v>84.239</v>
                </pt>
                <pt idx="30">
                  <v>84.12</v>
                </pt>
                <pt idx="31">
                  <v>83.9765</v>
                </pt>
                <pt idx="32">
                  <v>84.0778</v>
                </pt>
                <pt idx="33">
                  <v>83.97669999999999</v>
                </pt>
                <pt idx="34">
                  <v>83.89109999999999</v>
                </pt>
                <pt idx="35">
                  <v>83.8023</v>
                </pt>
                <pt idx="36">
                  <v>82.3473</v>
                </pt>
                <pt idx="37">
                  <v>82.5737</v>
                </pt>
                <pt idx="38">
                  <v>83.91679999999999</v>
                </pt>
                <pt idx="39">
                  <v>85.34820000000001</v>
                </pt>
                <pt idx="40">
                  <v>85.52079999999999</v>
                </pt>
                <pt idx="41">
                  <v>85.8308</v>
                </pt>
                <pt idx="42">
                  <v>85.53230000000001</v>
                </pt>
                <pt idx="43">
                  <v>85.6465</v>
                </pt>
                <pt idx="44">
                  <v>85.6125</v>
                </pt>
                <pt idx="45">
                  <v>86.0371</v>
                </pt>
                <pt idx="46">
                  <v>86.4614</v>
                </pt>
                <pt idx="47">
                  <v>86.6562</v>
                </pt>
                <pt idx="48">
                  <v>85.95659999999999</v>
                </pt>
                <pt idx="49">
                  <v>86.1651</v>
                </pt>
                <pt idx="50">
                  <v>86.1935</v>
                </pt>
                <pt idx="51">
                  <v>84.9421</v>
                </pt>
                <pt idx="52">
                  <v>85.48009999999999</v>
                </pt>
                <pt idx="53">
                  <v>85.2706</v>
                </pt>
                <pt idx="54">
                  <v>84.9248</v>
                </pt>
                <pt idx="55">
                  <v>84.17529999999999</v>
                </pt>
                <pt idx="56">
                  <v>83.9806</v>
                </pt>
                <pt idx="57">
                  <v>84.3728</v>
                </pt>
                <pt idx="58">
                  <v>84.0579</v>
                </pt>
                <pt idx="59">
                  <v>83.9436</v>
                </pt>
                <pt idx="60">
                  <v>84.2311</v>
                </pt>
                <pt idx="61">
                  <v>84.1083</v>
                </pt>
                <pt idx="62">
                  <v>83.59350000000001</v>
                </pt>
                <pt idx="63">
                  <v>81.7958</v>
                </pt>
                <pt idx="64">
                  <v>79.63800000000001</v>
                </pt>
                <pt idx="65">
                  <v>78.46080000000001</v>
                </pt>
                <pt idx="66">
                  <v>77.7482</v>
                </pt>
                <pt idx="67">
                  <v>77.8447</v>
                </pt>
                <pt idx="68">
                  <v>78.9834</v>
                </pt>
                <pt idx="69">
                  <v>79.8159</v>
                </pt>
                <pt idx="70">
                  <v>80.9704</v>
                </pt>
                <pt idx="71">
                  <v>81.3163</v>
                </pt>
                <pt idx="72">
                  <v>80.6229</v>
                </pt>
                <pt idx="73">
                  <v>80.09439999999999</v>
                </pt>
                <pt idx="74">
                  <v>80.3057</v>
                </pt>
                <pt idx="75">
                  <v>79.7704</v>
                </pt>
                <pt idx="76">
                  <v>80.0226</v>
                </pt>
                <pt idx="77">
                  <v>80.23990000000001</v>
                </pt>
                <pt idx="78">
                  <v>80.5506</v>
                </pt>
                <pt idx="79">
                  <v>80.25709999999999</v>
                </pt>
                <pt idx="80">
                  <v>79.6687</v>
                </pt>
                <pt idx="81">
                  <v>78.866</v>
                </pt>
                <pt idx="82">
                  <v>77.7627</v>
                </pt>
                <pt idx="83">
                  <v>76.7466</v>
                </pt>
                <pt idx="84">
                  <v>75.01220000000001</v>
                </pt>
                <pt idx="85">
                  <v>76.38330000000001</v>
                </pt>
                <pt idx="86">
                  <v>75.7186</v>
                </pt>
                <pt idx="87">
                  <v>74.8888</v>
                </pt>
                <pt idx="88">
                  <v>74.2587</v>
                </pt>
                <pt idx="89">
                  <v>73.95010000000001</v>
                </pt>
                <pt idx="90">
                  <v>73.5908</v>
                </pt>
                <pt idx="91">
                  <v>72.8353</v>
                </pt>
                <pt idx="92">
                  <v>72.5682</v>
                </pt>
                <pt idx="93">
                  <v>71.8027</v>
                </pt>
                <pt idx="94">
                  <v>71.5184</v>
                </pt>
                <pt idx="95">
                  <v>70.9657</v>
                </pt>
                <pt idx="96">
                  <v>72.2448</v>
                </pt>
                <pt idx="97">
                  <v>71.77</v>
                </pt>
                <pt idx="98">
                  <v>72.3463</v>
                </pt>
                <pt idx="99">
                  <v>73.2328</v>
                </pt>
                <pt idx="100">
                  <v>73.67230000000001</v>
                </pt>
                <pt idx="101">
                  <v>74.09910000000001</v>
                </pt>
                <pt idx="102">
                  <v>75.1751</v>
                </pt>
                <pt idx="103">
                  <v>76.044</v>
                </pt>
                <pt idx="104">
                  <v>77.0993</v>
                </pt>
                <pt idx="105">
                  <v>77.65430000000001</v>
                </pt>
                <pt idx="106">
                  <v>77.9349</v>
                </pt>
                <pt idx="107">
                  <v>78.25369999999999</v>
                </pt>
                <pt idx="108">
                  <v>79.71259999999999</v>
                </pt>
                <pt idx="109">
                  <v>79.98139999999999</v>
                </pt>
                <pt idx="110">
                  <v>80.2384</v>
                </pt>
                <pt idx="111">
                  <v>80.5838</v>
                </pt>
                <pt idx="112">
                  <v>80.87179999999999</v>
                </pt>
                <pt idx="113">
                  <v>81.0034</v>
                </pt>
                <pt idx="114">
                  <v>81.06229999999999</v>
                </pt>
                <pt idx="115">
                  <v>80.9851</v>
                </pt>
                <pt idx="116">
                  <v>80.57729999999999</v>
                </pt>
                <pt idx="117">
                  <v>80.3528</v>
                </pt>
                <pt idx="118">
                  <v>80.4271</v>
                </pt>
                <pt idx="119">
                  <v>80.2683</v>
                </pt>
                <pt idx="120">
                  <v>80.0283</v>
                </pt>
                <pt idx="121">
                  <v>80.0705</v>
                </pt>
                <pt idx="122">
                  <v>79.97199999999999</v>
                </pt>
                <pt idx="123">
                  <v>79.6139</v>
                </pt>
                <pt idx="124">
                  <v>79.5339</v>
                </pt>
                <pt idx="125">
                  <v>79.30289999999999</v>
                </pt>
                <pt idx="126">
                  <v>78.70869999999999</v>
                </pt>
                <pt idx="127">
                  <v>78.7942</v>
                </pt>
                <pt idx="128">
                  <v>78.91800000000001</v>
                </pt>
                <pt idx="129">
                  <v>78.49120000000001</v>
                </pt>
                <pt idx="130">
                  <v>78.6182</v>
                </pt>
                <pt idx="131">
                  <v>79.2651</v>
                </pt>
                <pt idx="132">
                  <v>79.56359999999999</v>
                </pt>
                <pt idx="133">
                  <v>78.9134</v>
                </pt>
                <pt idx="134">
                  <v>78.2664</v>
                </pt>
                <pt idx="135">
                  <v>78.2696</v>
                </pt>
                <pt idx="136">
                  <v>78.3421</v>
                </pt>
                <pt idx="137">
                  <v>77.9558</v>
                </pt>
                <pt idx="138">
                  <v>78.3535</v>
                </pt>
                <pt idx="139">
                  <v>78.14190000000001</v>
                </pt>
                <pt idx="140">
                  <v>78.2726</v>
                </pt>
                <pt idx="141">
                  <v>78.5086</v>
                </pt>
                <pt idx="142">
                  <v>78.7174</v>
                </pt>
                <pt idx="143">
                  <v>79.3476</v>
                </pt>
                <pt idx="144">
                  <v>78.9277</v>
                </pt>
                <pt idx="145">
                  <v>79.8385</v>
                </pt>
                <pt idx="146">
                  <v>79.80549999999999</v>
                </pt>
                <pt idx="147">
                  <v>80.1758</v>
                </pt>
                <pt idx="148">
                  <v>80.5155</v>
                </pt>
                <pt idx="149">
                  <v>80.7902</v>
                </pt>
                <pt idx="150">
                  <v>81.1772</v>
                </pt>
                <pt idx="151">
                  <v>81.6378</v>
                </pt>
                <pt idx="152">
                  <v>81.8095</v>
                </pt>
                <pt idx="153">
                  <v>82.7829</v>
                </pt>
                <pt idx="154">
                  <v>83.0749</v>
                </pt>
                <pt idx="155">
                  <v>83.4335</v>
                </pt>
                <pt idx="156">
                  <v>83.3283</v>
                </pt>
                <pt idx="157">
                  <v>83.67740000000001</v>
                </pt>
                <pt idx="158">
                  <v>83.8133</v>
                </pt>
                <pt idx="159">
                  <v>84.2599</v>
                </pt>
                <pt idx="160">
                  <v>84.0591</v>
                </pt>
                <pt idx="161">
                  <v>84.26609999999999</v>
                </pt>
                <pt idx="162">
                  <v>84.23950000000001</v>
                </pt>
                <pt idx="163">
                  <v>84.6276</v>
                </pt>
                <pt idx="164">
                  <v>84.304</v>
                </pt>
                <pt idx="165">
                  <v>84.623</v>
                </pt>
                <pt idx="166">
                  <v>84.7603</v>
                </pt>
                <pt idx="167">
                  <v>85.0642</v>
                </pt>
                <pt idx="168">
                  <v>85.208</v>
                </pt>
                <pt idx="169">
                  <v>84.71680000000001</v>
                </pt>
                <pt idx="170">
                  <v>84.7889</v>
                </pt>
                <pt idx="171">
                  <v>84.61579999999999</v>
                </pt>
                <pt idx="172">
                  <v>83.9786</v>
                </pt>
                <pt idx="173">
                  <v>83.7983</v>
                </pt>
                <pt idx="174">
                  <v>82.80880000000001</v>
                </pt>
                <pt idx="175">
                  <v>83.4265</v>
                </pt>
                <pt idx="176">
                  <v>82.94580000000001</v>
                </pt>
                <pt idx="177">
                  <v>82.6489</v>
                </pt>
                <pt idx="178">
                  <v>82.7278</v>
                </pt>
                <pt idx="179">
                  <v>82.99460000000001</v>
                </pt>
                <pt idx="180">
                  <v>82.3733</v>
                </pt>
                <pt idx="181">
                  <v>82.9404</v>
                </pt>
                <pt idx="182">
                  <v>83.15049999999999</v>
                </pt>
                <pt idx="183">
                  <v>82.7796</v>
                </pt>
                <pt idx="184">
                  <v>82.8617</v>
                </pt>
                <pt idx="185">
                  <v>82.9777</v>
                </pt>
                <pt idx="186">
                  <v>82.6936</v>
                </pt>
                <pt idx="187">
                  <v>82.8569</v>
                </pt>
                <pt idx="188">
                  <v>82.75830000000001</v>
                </pt>
                <pt idx="189">
                  <v>82.13120000000001</v>
                </pt>
                <pt idx="190">
                  <v>81.0047</v>
                </pt>
                <pt idx="191">
                  <v>80.34269999999999</v>
                </pt>
                <pt idx="192">
                  <v>79.9936</v>
                </pt>
                <pt idx="193">
                  <v>79.33750000000001</v>
                </pt>
                <pt idx="194">
                  <v>78.8116</v>
                </pt>
                <pt idx="195">
                  <v>78.94759999999999</v>
                </pt>
                <pt idx="196">
                  <v>79.6602</v>
                </pt>
                <pt idx="197">
                  <v>80.229</v>
                </pt>
                <pt idx="198">
                  <v>80.3605</v>
                </pt>
                <pt idx="199">
                  <v>80.2919</v>
                </pt>
                <pt idx="200">
                  <v>80.8617</v>
                </pt>
                <pt idx="201">
                  <v>80.6759</v>
                </pt>
                <pt idx="202">
                  <v>80.45480000000001</v>
                </pt>
                <pt idx="203">
                  <v>79.962</v>
                </pt>
                <pt idx="204">
                  <v>79.3991</v>
                </pt>
                <pt idx="205">
                  <v>79.81489999999999</v>
                </pt>
                <pt idx="206">
                  <v>80.3214</v>
                </pt>
                <pt idx="207">
                  <v>80.7713</v>
                </pt>
                <pt idx="208">
                  <v>80.8582</v>
                </pt>
                <pt idx="209">
                  <v>80.7276</v>
                </pt>
                <pt idx="210">
                  <v>81.2728</v>
                </pt>
                <pt idx="211">
                  <v>80.6532</v>
                </pt>
                <pt idx="212">
                  <v>80.7402</v>
                </pt>
                <pt idx="213">
                  <v>81.1307</v>
                </pt>
                <pt idx="214">
                  <v>81.2864</v>
                </pt>
                <pt idx="215">
                  <v>81.2604</v>
                </pt>
                <pt idx="216">
                  <v>81.447</v>
                </pt>
                <pt idx="217">
                  <v>81.69799999999999</v>
                </pt>
                <pt idx="218">
                  <v>81.502</v>
                </pt>
                <pt idx="219">
                  <v>81.6217</v>
                </pt>
                <pt idx="220">
                  <v>81.19159999999999</v>
                </pt>
                <pt idx="221">
                  <v>81.25660000000001</v>
                </pt>
                <pt idx="222">
                  <v>81.3428</v>
                </pt>
                <pt idx="223">
                  <v>81.12909999999999</v>
                </pt>
                <pt idx="224">
                  <v>81.4164</v>
                </pt>
                <pt idx="225">
                  <v>81.86920000000001</v>
                </pt>
                <pt idx="226">
                  <v>82.0917</v>
                </pt>
                <pt idx="227">
                  <v>82.3931</v>
                </pt>
                <pt idx="228">
                  <v>82.47069999999999</v>
                </pt>
                <pt idx="229">
                  <v>82.31619999999999</v>
                </pt>
                <pt idx="230">
                  <v>82.9362</v>
                </pt>
                <pt idx="231">
                  <v>83.194</v>
                </pt>
                <pt idx="232">
                  <v>83.34520000000001</v>
                </pt>
                <pt idx="233">
                  <v>83.6506</v>
                </pt>
                <pt idx="234">
                  <v>83.4915</v>
                </pt>
                <pt idx="235">
                  <v>83.7838</v>
                </pt>
                <pt idx="236">
                  <v>83.7623</v>
                </pt>
                <pt idx="237">
                  <v>84.1694</v>
                </pt>
                <pt idx="238">
                  <v>84.44889999999999</v>
                </pt>
                <pt idx="239">
                  <v>85.0057</v>
                </pt>
                <pt idx="240">
                  <v>84.87909999999999</v>
                </pt>
                <pt idx="241">
                  <v>84.4876</v>
                </pt>
                <pt idx="242">
                  <v>84.3121</v>
                </pt>
                <pt idx="243">
                  <v>83.869</v>
                </pt>
                <pt idx="244">
                  <v>83.9723</v>
                </pt>
                <pt idx="245">
                  <v>83.9443</v>
                </pt>
                <pt idx="246">
                  <v>83.2835</v>
                </pt>
                <pt idx="247">
                  <v>84.04640000000001</v>
                </pt>
                <pt idx="248">
                  <v>84.0356</v>
                </pt>
                <pt idx="249">
                  <v>83.5543</v>
                </pt>
                <pt idx="250">
                  <v>83.4004</v>
                </pt>
                <pt idx="251">
                  <v>83.32210000000001</v>
                </pt>
                <pt idx="252">
                  <v>82.5181</v>
                </pt>
                <pt idx="253">
                  <v>83.3398</v>
                </pt>
                <pt idx="254">
                  <v>82.8259</v>
                </pt>
                <pt idx="255">
                  <v>83.2807</v>
                </pt>
                <pt idx="256">
                  <v>83.50579999999999</v>
                </pt>
                <pt idx="257">
                  <v>83.74379999999999</v>
                </pt>
                <pt idx="258">
                  <v>83.35550000000001</v>
                </pt>
                <pt idx="259">
                  <v>83.39190000000001</v>
                </pt>
                <pt idx="260">
                  <v>83.5254</v>
                </pt>
                <pt idx="261">
                  <v>83.1236</v>
                </pt>
                <pt idx="262">
                  <v>83.46210000000001</v>
                </pt>
                <pt idx="263">
                  <v>83.5793</v>
                </pt>
                <pt idx="264">
                  <v>83.3331</v>
                </pt>
                <pt idx="265">
                  <v>83.90000000000001</v>
                </pt>
                <pt idx="266">
                  <v>84.01690000000001</v>
                </pt>
                <pt idx="267">
                  <v>83.6618</v>
                </pt>
                <pt idx="268">
                  <v>83.69840000000001</v>
                </pt>
                <pt idx="269">
                  <v>83.6264</v>
                </pt>
                <pt idx="270">
                  <v>83.8625</v>
                </pt>
                <pt idx="271">
                  <v>84.2102</v>
                </pt>
                <pt idx="272">
                  <v>84.4781</v>
                </pt>
                <pt idx="273">
                  <v>84.69880000000001</v>
                </pt>
                <pt idx="274">
                  <v>84.83799999999999</v>
                </pt>
                <pt idx="275">
                  <v>84.6461</v>
                </pt>
                <pt idx="276">
                  <v>84.4813</v>
                </pt>
                <pt idx="277">
                  <v>84.0729</v>
                </pt>
                <pt idx="278">
                  <v>83.5673</v>
                </pt>
                <pt idx="279">
                  <v>83.31780000000001</v>
                </pt>
                <pt idx="280">
                  <v>83.3489</v>
                </pt>
                <pt idx="281">
                  <v>82.3651</v>
                </pt>
                <pt idx="282">
                  <v>81.58369999999999</v>
                </pt>
                <pt idx="283">
                  <v>82.8278</v>
                </pt>
                <pt idx="284">
                  <v>82.3242</v>
                </pt>
                <pt idx="285">
                  <v>82.4996</v>
                </pt>
                <pt idx="286">
                  <v>82.0316</v>
                </pt>
                <pt idx="287">
                  <v>81.99039999999999</v>
                </pt>
                <pt idx="288">
                  <v>81.9774</v>
                </pt>
                <pt idx="289">
                  <v>82.0973</v>
                </pt>
                <pt idx="290">
                  <v>81.9427</v>
                </pt>
                <pt idx="291">
                  <v>81.8019</v>
                </pt>
                <pt idx="292">
                  <v>81.98950000000001</v>
                </pt>
                <pt idx="293">
                  <v>81.62909999999999</v>
                </pt>
                <pt idx="294">
                  <v>81.8177</v>
                </pt>
                <pt idx="295">
                  <v>81.8764</v>
                </pt>
                <pt idx="296">
                  <v>81.2413</v>
                </pt>
                <pt idx="297">
                  <v>81.99590000000001</v>
                </pt>
                <pt idx="298">
                  <v>82.1417</v>
                </pt>
                <pt idx="299">
                  <v>82.51519999999999</v>
                </pt>
                <pt idx="300">
                  <v>82.17140000000001</v>
                </pt>
                <pt idx="301">
                  <v>82.1694</v>
                </pt>
                <pt idx="302">
                  <v>82.20950000000001</v>
                </pt>
                <pt idx="303">
                  <v>82.4575</v>
                </pt>
                <pt idx="304">
                  <v>82.40560000000001</v>
                </pt>
                <pt idx="305">
                  <v>82.19199999999999</v>
                </pt>
                <pt idx="306">
                  <v>81.7778</v>
                </pt>
                <pt idx="307">
                  <v>81.2898</v>
                </pt>
                <pt idx="308">
                  <v>81.34350000000001</v>
                </pt>
                <pt idx="309">
                  <v>80.79219999999999</v>
                </pt>
                <pt idx="310">
                  <v>80.541</v>
                </pt>
                <pt idx="311">
                  <v>80.00060000000001</v>
                </pt>
                <pt idx="312">
                  <v>79.3437</v>
                </pt>
                <pt idx="313">
                  <v>78.571</v>
                </pt>
                <pt idx="314">
                  <v>78.11579999999999</v>
                </pt>
                <pt idx="315">
                  <v>77.5972</v>
                </pt>
                <pt idx="316">
                  <v>76.9635</v>
                </pt>
                <pt idx="317">
                  <v>76.32850000000001</v>
                </pt>
                <pt idx="318">
                  <v>75.666</v>
                </pt>
                <pt idx="319">
                  <v>75.39579999999999</v>
                </pt>
                <pt idx="320">
                  <v>74.8236</v>
                </pt>
                <pt idx="321">
                  <v>74.4246</v>
                </pt>
                <pt idx="322">
                  <v>73.8377</v>
                </pt>
                <pt idx="323">
                  <v>73.6627</v>
                </pt>
                <pt idx="324">
                  <v>74.0676</v>
                </pt>
                <pt idx="325">
                  <v>73.9589</v>
                </pt>
                <pt idx="326">
                  <v>74.4162</v>
                </pt>
                <pt idx="327">
                  <v>74.7011</v>
                </pt>
                <pt idx="328">
                  <v>74.9611</v>
                </pt>
                <pt idx="329">
                  <v>75.5385</v>
                </pt>
                <pt idx="330">
                  <v>75.48690000000001</v>
                </pt>
                <pt idx="331">
                  <v>75.3938</v>
                </pt>
                <pt idx="332">
                  <v>75.4687</v>
                </pt>
                <pt idx="333">
                  <v>75.2824</v>
                </pt>
                <pt idx="334">
                  <v>75.71250000000001</v>
                </pt>
                <pt idx="335">
                  <v>75.31319999999999</v>
                </pt>
                <pt idx="336">
                  <v>75.9649</v>
                </pt>
                <pt idx="337">
                  <v>76.0853</v>
                </pt>
                <pt idx="338">
                  <v>75.9063</v>
                </pt>
                <pt idx="339">
                  <v>75.45180000000001</v>
                </pt>
                <pt idx="340">
                  <v>75.4618</v>
                </pt>
                <pt idx="341">
                  <v>75.58159999999999</v>
                </pt>
                <pt idx="342">
                  <v>75.9888</v>
                </pt>
                <pt idx="343">
                  <v>75.8306</v>
                </pt>
                <pt idx="344">
                  <v>76.3383</v>
                </pt>
                <pt idx="345">
                  <v>76.4457</v>
                </pt>
                <pt idx="346">
                  <v>76.97709999999999</v>
                </pt>
                <pt idx="347">
                  <v>77.0234</v>
                </pt>
                <pt idx="348">
                  <v>77.16119999999999</v>
                </pt>
                <pt idx="349">
                  <v>77.6396</v>
                </pt>
                <pt idx="350">
                  <v>77.3544</v>
                </pt>
                <pt idx="351">
                  <v>77.68210000000001</v>
                </pt>
                <pt idx="352">
                  <v>78.25700000000001</v>
                </pt>
                <pt idx="353">
                  <v>77.66200000000001</v>
                </pt>
                <pt idx="354">
                  <v>78.24290000000001</v>
                </pt>
                <pt idx="355">
                  <v>78.31059999999999</v>
                </pt>
                <pt idx="356">
                  <v>78.3927</v>
                </pt>
                <pt idx="357">
                  <v>79.0638</v>
                </pt>
                <pt idx="358">
                  <v>79.2285</v>
                </pt>
                <pt idx="359">
                  <v>79.8082</v>
                </pt>
                <pt idx="360">
                  <v>80.04130000000001</v>
                </pt>
                <pt idx="361">
                  <v>80.54130000000001</v>
                </pt>
                <pt idx="362">
                  <v>80.3601</v>
                </pt>
                <pt idx="363">
                  <v>80.43389999999999</v>
                </pt>
                <pt idx="364">
                  <v>80.425</v>
                </pt>
                <pt idx="365">
                  <v>80.67019999999999</v>
                </pt>
                <pt idx="366">
                  <v>80.30500000000001</v>
                </pt>
                <pt idx="367">
                  <v>80.46169999999999</v>
                </pt>
                <pt idx="368">
                  <v>78.78830000000001</v>
                </pt>
                <pt idx="369">
                  <v>79.6396</v>
                </pt>
                <pt idx="370">
                  <v>80.398</v>
                </pt>
                <pt idx="371">
                  <v>80.6819</v>
                </pt>
                <pt idx="372">
                  <v>80.6908</v>
                </pt>
                <pt idx="373">
                  <v>80.6125</v>
                </pt>
                <pt idx="374">
                  <v>80.66630000000001</v>
                </pt>
                <pt idx="375">
                  <v>80.7769</v>
                </pt>
                <pt idx="376">
                  <v>80.6674</v>
                </pt>
                <pt idx="377">
                  <v>80.8002</v>
                </pt>
                <pt idx="378">
                  <v>80.5962</v>
                </pt>
                <pt idx="379">
                  <v>80.78100000000001</v>
                </pt>
                <pt idx="380">
                  <v>80.45229999999999</v>
                </pt>
                <pt idx="381">
                  <v>80.19289999999999</v>
                </pt>
                <pt idx="382">
                  <v>79.98309999999999</v>
                </pt>
                <pt idx="383">
                  <v>80.6125</v>
                </pt>
                <pt idx="384">
                  <v>80.13849999999999</v>
                </pt>
                <pt idx="385">
                  <v>80.73260000000001</v>
                </pt>
                <pt idx="386">
                  <v>80.6935</v>
                </pt>
                <pt idx="387">
                  <v>81.07299999999999</v>
                </pt>
                <pt idx="388">
                  <v>80.955</v>
                </pt>
                <pt idx="389">
                  <v>80.83929999999999</v>
                </pt>
                <pt idx="390">
                  <v>80.6142</v>
                </pt>
                <pt idx="391">
                  <v>80.6999</v>
                </pt>
                <pt idx="392">
                  <v>80.8586</v>
                </pt>
                <pt idx="393">
                  <v>80.60129999999999</v>
                </pt>
                <pt idx="394">
                  <v>81.0633</v>
                </pt>
                <pt idx="395">
                  <v>81.13339999999999</v>
                </pt>
                <pt idx="396">
                  <v>81.08150000000001</v>
                </pt>
                <pt idx="397">
                  <v>80.8357</v>
                </pt>
                <pt idx="398">
                  <v>80.62560000000001</v>
                </pt>
                <pt idx="399">
                  <v>80.1238</v>
                </pt>
                <pt idx="400">
                  <v>79.6718</v>
                </pt>
                <pt idx="401">
                  <v>79.4693</v>
                </pt>
                <pt idx="402">
                  <v>79.095</v>
                </pt>
                <pt idx="403">
                  <v>77.7872</v>
                </pt>
                <pt idx="404">
                  <v>74.3062</v>
                </pt>
                <pt idx="405">
                  <v>74.9571</v>
                </pt>
                <pt idx="406">
                  <v>73.8807</v>
                </pt>
                <pt idx="407">
                  <v>71.6823</v>
                </pt>
                <pt idx="408">
                  <v>69.79819999999999</v>
                </pt>
                <pt idx="409">
                  <v>69.2778</v>
                </pt>
                <pt idx="410">
                  <v>68.12</v>
                </pt>
                <pt idx="411">
                  <v>67.50069999999999</v>
                </pt>
                <pt idx="412">
                  <v>66.7873</v>
                </pt>
                <pt idx="413">
                  <v>66.5532</v>
                </pt>
                <pt idx="414">
                  <v>67.3455</v>
                </pt>
                <pt idx="415">
                  <v>68.1236</v>
                </pt>
                <pt idx="416">
                  <v>68.75960000000001</v>
                </pt>
                <pt idx="417">
                  <v>68.9939</v>
                </pt>
                <pt idx="418">
                  <v>69.3689</v>
                </pt>
                <pt idx="419">
                  <v>69.7136</v>
                </pt>
                <pt idx="420">
                  <v>70.59180000000001</v>
                </pt>
                <pt idx="421">
                  <v>70.97539999999999</v>
                </pt>
                <pt idx="422">
                  <v>71.6373</v>
                </pt>
                <pt idx="423">
                  <v>72.04730000000001</v>
                </pt>
                <pt idx="424">
                  <v>73.1966</v>
                </pt>
                <pt idx="425">
                  <v>73.5082</v>
                </pt>
                <pt idx="426">
                  <v>73.9324</v>
                </pt>
                <pt idx="427">
                  <v>74.331</v>
                </pt>
                <pt idx="428">
                  <v>74.65470000000001</v>
                </pt>
                <pt idx="429">
                  <v>74.5429</v>
                </pt>
                <pt idx="430">
                  <v>74.6746</v>
                </pt>
                <pt idx="431">
                  <v>75.4597</v>
                </pt>
                <pt idx="432">
                  <v>75.34</v>
                </pt>
                <pt idx="433">
                  <v>75.0288</v>
                </pt>
                <pt idx="434">
                  <v>75.819</v>
                </pt>
                <pt idx="435">
                  <v>75.52549999999999</v>
                </pt>
                <pt idx="436">
                  <v>75.5784</v>
                </pt>
                <pt idx="437">
                  <v>75.7276</v>
                </pt>
                <pt idx="438">
                  <v>76.0009</v>
                </pt>
                <pt idx="439">
                  <v>76.38420000000001</v>
                </pt>
                <pt idx="440">
                  <v>76.21469999999999</v>
                </pt>
                <pt idx="441">
                  <v>76.6224</v>
                </pt>
                <pt idx="442">
                  <v>76.4885</v>
                </pt>
                <pt idx="443">
                  <v>76.7512</v>
                </pt>
                <pt idx="444">
                  <v>77.07429999999999</v>
                </pt>
                <pt idx="445">
                  <v>77.1823</v>
                </pt>
                <pt idx="446">
                  <v>76.6382</v>
                </pt>
                <pt idx="447">
                  <v>77.0523</v>
                </pt>
                <pt idx="448">
                  <v>77.06319999999999</v>
                </pt>
                <pt idx="449">
                  <v>76.93510000000001</v>
                </pt>
                <pt idx="450">
                  <v>76.9584</v>
                </pt>
                <pt idx="451">
                  <v>76.5269</v>
                </pt>
                <pt idx="452">
                  <v>76.3502</v>
                </pt>
                <pt idx="453">
                  <v>76.4688</v>
                </pt>
                <pt idx="454">
                  <v>76.6589</v>
                </pt>
                <pt idx="455">
                  <v>76.7539</v>
                </pt>
                <pt idx="456">
                  <v>76.6511</v>
                </pt>
                <pt idx="457">
                  <v>76.9174</v>
                </pt>
                <pt idx="458">
                  <v>77.13890000000001</v>
                </pt>
                <pt idx="459">
                  <v>76.96429999999999</v>
                </pt>
                <pt idx="460">
                  <v>76.95529999999999</v>
                </pt>
                <pt idx="461">
                  <v>77.0265</v>
                </pt>
                <pt idx="462">
                  <v>76.7152</v>
                </pt>
                <pt idx="463">
                  <v>77.1048</v>
                </pt>
                <pt idx="464">
                  <v>77.461</v>
                </pt>
                <pt idx="465">
                  <v>77.31480000000001</v>
                </pt>
                <pt idx="466">
                  <v>77.4524</v>
                </pt>
                <pt idx="467">
                  <v>77.56399999999999</v>
                </pt>
                <pt idx="468">
                  <v>77.21899999999999</v>
                </pt>
                <pt idx="469">
                  <v>77.7522</v>
                </pt>
                <pt idx="470">
                  <v>78.4825</v>
                </pt>
                <pt idx="471">
                  <v>78.4738</v>
                </pt>
                <pt idx="472">
                  <v>78.73099999999999</v>
                </pt>
                <pt idx="473">
                  <v>78.9229</v>
                </pt>
                <pt idx="474">
                  <v>79.0163</v>
                </pt>
                <pt idx="475">
                  <v>78.8163</v>
                </pt>
                <pt idx="476">
                  <v>78.98950000000001</v>
                </pt>
                <pt idx="477">
                  <v>78.92919999999999</v>
                </pt>
                <pt idx="478">
                  <v>79.3647</v>
                </pt>
                <pt idx="479">
                  <v>79.304</v>
                </pt>
                <pt idx="480">
                  <v>78.63379999999999</v>
                </pt>
                <pt idx="481">
                  <v>78.08540000000001</v>
                </pt>
                <pt idx="482">
                  <v>77.8104</v>
                </pt>
                <pt idx="483">
                  <v>77.3473</v>
                </pt>
                <pt idx="484">
                  <v>76.98439999999999</v>
                </pt>
                <pt idx="485">
                  <v>76.7496</v>
                </pt>
                <pt idx="486">
                  <v>77.2342</v>
                </pt>
                <pt idx="487">
                  <v>77.12130000000001</v>
                </pt>
                <pt idx="488">
                  <v>76.9102</v>
                </pt>
                <pt idx="489">
                  <v>76.56910000000001</v>
                </pt>
                <pt idx="490">
                  <v>76.0077</v>
                </pt>
                <pt idx="491">
                  <v>75.63379999999999</v>
                </pt>
                <pt idx="492">
                  <v>76.03230000000001</v>
                </pt>
                <pt idx="493">
                  <v>75.6159</v>
                </pt>
                <pt idx="494">
                  <v>75.05589999999999</v>
                </pt>
                <pt idx="495">
                  <v>75.2543</v>
                </pt>
                <pt idx="496">
                  <v>75.0727</v>
                </pt>
                <pt idx="497">
                  <v>75.4151</v>
                </pt>
                <pt idx="498">
                  <v>75.4735</v>
                </pt>
                <pt idx="499">
                  <v>75.3862</v>
                </pt>
                <pt idx="500">
                  <v>75.2897</v>
                </pt>
                <pt idx="501">
                  <v>75.3271</v>
                </pt>
                <pt idx="502">
                  <v>75.0219</v>
                </pt>
                <pt idx="503">
                  <v>75.5453</v>
                </pt>
                <pt idx="504">
                  <v>75.3784</v>
                </pt>
                <pt idx="505">
                  <v>75.1225</v>
                </pt>
                <pt idx="506">
                  <v>75.6429</v>
                </pt>
                <pt idx="507">
                  <v>76.4106</v>
                </pt>
                <pt idx="508">
                  <v>76.5629</v>
                </pt>
                <pt idx="509">
                  <v>76.78319999999999</v>
                </pt>
                <pt idx="510">
                  <v>76.6891</v>
                </pt>
                <pt idx="511">
                  <v>76.4472</v>
                </pt>
                <pt idx="512">
                  <v>76.6181</v>
                </pt>
                <pt idx="513">
                  <v>77.654</v>
                </pt>
                <pt idx="514">
                  <v>77.9439</v>
                </pt>
                <pt idx="515">
                  <v>78.17910000000001</v>
                </pt>
                <pt idx="516">
                  <v>78.206</v>
                </pt>
                <pt idx="517">
                  <v>78.5556</v>
                </pt>
                <pt idx="518">
                  <v>78.976</v>
                </pt>
                <pt idx="519">
                  <v>79.8677</v>
                </pt>
                <pt idx="520">
                  <v>79.15430000000001</v>
                </pt>
                <pt idx="521">
                  <v>79.7837</v>
                </pt>
                <pt idx="522">
                  <v>79.8874</v>
                </pt>
                <pt idx="523">
                  <v>80.4472</v>
                </pt>
                <pt idx="524">
                  <v>80.44710000000001</v>
                </pt>
                <pt idx="525">
                  <v>80.2713</v>
                </pt>
                <pt idx="526">
                  <v>80.2728</v>
                </pt>
                <pt idx="527">
                  <v>80.2161</v>
                </pt>
                <pt idx="528">
                  <v>79.67919999999999</v>
                </pt>
                <pt idx="529">
                  <v>79.2011</v>
                </pt>
                <pt idx="530">
                  <v>79.1387</v>
                </pt>
                <pt idx="531">
                  <v>78.626</v>
                </pt>
                <pt idx="532">
                  <v>78.6889</v>
                </pt>
                <pt idx="533">
                  <v>78.6717</v>
                </pt>
                <pt idx="534">
                  <v>78.2415</v>
                </pt>
                <pt idx="535">
                  <v>78.7426</v>
                </pt>
                <pt idx="536">
                  <v>78.4845</v>
                </pt>
                <pt idx="537">
                  <v>77.7075</v>
                </pt>
                <pt idx="538">
                  <v>78.0665</v>
                </pt>
                <pt idx="539">
                  <v>77.8163</v>
                </pt>
                <pt idx="540">
                  <v>77.3913</v>
                </pt>
                <pt idx="541">
                  <v>77.5663</v>
                </pt>
                <pt idx="542">
                  <v>74.5352</v>
                </pt>
                <pt idx="543">
                  <v>64.5714</v>
                </pt>
                <pt idx="544">
                  <v>65.64870000000001</v>
                </pt>
                <pt idx="545">
                  <v>69.96639999999999</v>
                </pt>
                <pt idx="546">
                  <v>72.6784</v>
                </pt>
                <pt idx="547">
                  <v>73.4452</v>
                </pt>
                <pt idx="548">
                  <v>73.52979999999999</v>
                </pt>
                <pt idx="549">
                  <v>74.1142</v>
                </pt>
                <pt idx="550">
                  <v>74.59269999999999</v>
                </pt>
                <pt idx="551">
                  <v>75.6169</v>
                </pt>
                <pt idx="552">
                  <v>76.4136</v>
                </pt>
                <pt idx="553">
                  <v>73.9408</v>
                </pt>
                <pt idx="554">
                  <v>76.24979999999999</v>
                </pt>
                <pt idx="555">
                  <v>76.53749999999999</v>
                </pt>
                <pt idx="556">
                  <v>77.36969999999999</v>
                </pt>
                <pt idx="557">
                  <v>77.7972</v>
                </pt>
                <pt idx="558">
                  <v>78.4064</v>
                </pt>
                <pt idx="559">
                  <v>78.5176</v>
                </pt>
                <pt idx="560">
                  <v>77.7675</v>
                </pt>
                <pt idx="561">
                  <v>78.8064</v>
                </pt>
                <pt idx="562">
                  <v>79.5489</v>
                </pt>
                <pt idx="563">
                  <v>79.32429999999999</v>
                </pt>
                <pt idx="564">
                  <v>79.43219999999999</v>
                </pt>
                <pt idx="565">
                  <v>79.92529999999999</v>
                </pt>
                <pt idx="566">
                  <v>80.5162</v>
                </pt>
                <pt idx="567">
                  <v>80.71120000000001</v>
                </pt>
                <pt idx="568">
                  <v>80.6275</v>
                </pt>
                <pt idx="569">
                  <v>80.4742</v>
                </pt>
                <pt idx="570">
                  <v>80.73180000000001</v>
                </pt>
                <pt idx="571">
                  <v>80.7118</v>
                </pt>
                <pt idx="572">
                  <v>80.8369</v>
                </pt>
                <pt idx="573">
                  <v>80.6377</v>
                </pt>
                <pt idx="574">
                  <v>80.26349999999999</v>
                </pt>
                <pt idx="575">
                  <v>78.9126</v>
                </pt>
                <pt idx="576">
                  <v>79.5425</v>
                </pt>
                <pt idx="577">
                  <v>79.60120000000001</v>
                </pt>
                <pt idx="578">
                  <v>79.7957</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max val="44927"/>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Materials!$A$8:$A$623</f>
              <numCache>
                <formatCode>mmm\-yy</formatCode>
                <ptCount val="616"/>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pt idx="611">
                  <v>44927</v>
                </pt>
                <pt idx="612">
                  <v>44958</v>
                </pt>
                <pt idx="613">
                  <v>44986</v>
                </pt>
              </numCache>
            </numRef>
          </cat>
          <val>
            <numRef>
              <f>Materials!$B$8:$B$623</f>
              <numCache>
                <formatCode>0.0</formatCode>
                <ptCount val="616"/>
                <pt idx="0">
                  <v>37.5507</v>
                </pt>
                <pt idx="1">
                  <v>37.9277</v>
                </pt>
                <pt idx="2">
                  <v>38.2766</v>
                </pt>
                <pt idx="3">
                  <v>38.366</v>
                </pt>
                <pt idx="4">
                  <v>38.4282</v>
                </pt>
                <pt idx="5">
                  <v>38.1229</v>
                </pt>
                <pt idx="6">
                  <v>38.7337</v>
                </pt>
                <pt idx="7">
                  <v>39.1201</v>
                </pt>
                <pt idx="8">
                  <v>39.5047</v>
                </pt>
                <pt idx="9">
                  <v>40.085</v>
                </pt>
                <pt idx="10">
                  <v>40.7155</v>
                </pt>
                <pt idx="11">
                  <v>41.0928</v>
                </pt>
                <pt idx="12">
                  <v>41.7003</v>
                </pt>
                <pt idx="13">
                  <v>41.5685</v>
                </pt>
                <pt idx="14">
                  <v>41.6444</v>
                </pt>
                <pt idx="15">
                  <v>41.9269</v>
                </pt>
                <pt idx="16">
                  <v>42.0178</v>
                </pt>
                <pt idx="17">
                  <v>42.1802</v>
                </pt>
                <pt idx="18">
                  <v>42.2377</v>
                </pt>
                <pt idx="19">
                  <v>42.4269</v>
                </pt>
                <pt idx="20">
                  <v>42.7727</v>
                </pt>
                <pt idx="21">
                  <v>43.0231</v>
                </pt>
                <pt idx="22">
                  <v>43.169</v>
                </pt>
                <pt idx="23">
                  <v>42.8545</v>
                </pt>
                <pt idx="24">
                  <v>42.7679</v>
                </pt>
                <pt idx="25">
                  <v>42.616</v>
                </pt>
                <pt idx="26">
                  <v>42.5544</v>
                </pt>
                <pt idx="27">
                  <v>42.84</v>
                </pt>
                <pt idx="28">
                  <v>42.6261</v>
                </pt>
                <pt idx="29">
                  <v>42.8742</v>
                </pt>
                <pt idx="30">
                  <v>42.1074</v>
                </pt>
                <pt idx="31">
                  <v>42.2008</v>
                </pt>
                <pt idx="32">
                  <v>41.9974</v>
                </pt>
                <pt idx="33">
                  <v>40.2119</v>
                </pt>
                <pt idx="34">
                  <v>38.6172</v>
                </pt>
                <pt idx="35">
                  <v>38.2962</v>
                </pt>
                <pt idx="36">
                  <v>37.3728</v>
                </pt>
                <pt idx="37">
                  <v>36.8491</v>
                </pt>
                <pt idx="38">
                  <v>36.6489</v>
                </pt>
                <pt idx="39">
                  <v>36.4051</v>
                </pt>
                <pt idx="40">
                  <v>36.663</v>
                </pt>
                <pt idx="41">
                  <v>36.8119</v>
                </pt>
                <pt idx="42">
                  <v>37.4306</v>
                </pt>
                <pt idx="43">
                  <v>37.9131</v>
                </pt>
                <pt idx="44">
                  <v>38.1327</v>
                </pt>
                <pt idx="45">
                  <v>38.2402</v>
                </pt>
                <pt idx="46">
                  <v>38.8407</v>
                </pt>
                <pt idx="47">
                  <v>39.4303</v>
                </pt>
                <pt idx="48">
                  <v>39.9953</v>
                </pt>
                <pt idx="49">
                  <v>40.1626</v>
                </pt>
                <pt idx="50">
                  <v>40.4336</v>
                </pt>
                <pt idx="51">
                  <v>40.4906</v>
                </pt>
                <pt idx="52">
                  <v>40.6459</v>
                </pt>
                <pt idx="53">
                  <v>40.7551</v>
                </pt>
                <pt idx="54">
                  <v>41.1834</v>
                </pt>
                <pt idx="55">
                  <v>41.2859</v>
                </pt>
                <pt idx="56">
                  <v>41.0405</v>
                </pt>
                <pt idx="57">
                  <v>41.6081</v>
                </pt>
                <pt idx="58">
                  <v>42.0676</v>
                </pt>
                <pt idx="59">
                  <v>41.6724</v>
                </pt>
                <pt idx="60">
                  <v>42.2819</v>
                </pt>
                <pt idx="61">
                  <v>43.1042</v>
                </pt>
                <pt idx="62">
                  <v>43.4671</v>
                </pt>
                <pt idx="63">
                  <v>43.821</v>
                </pt>
                <pt idx="64">
                  <v>44.0111</v>
                </pt>
                <pt idx="65">
                  <v>43.9975</v>
                </pt>
                <pt idx="66">
                  <v>43.933</v>
                </pt>
                <pt idx="67">
                  <v>44.2024</v>
                </pt>
                <pt idx="68">
                  <v>44.3665</v>
                </pt>
                <pt idx="69">
                  <v>44.4631</v>
                </pt>
                <pt idx="70">
                  <v>44.1197</v>
                </pt>
                <pt idx="71">
                  <v>43.6983</v>
                </pt>
                <pt idx="72">
                  <v>43.6233</v>
                </pt>
                <pt idx="73">
                  <v>44.2499</v>
                </pt>
                <pt idx="74">
                  <v>45.5353</v>
                </pt>
                <pt idx="75">
                  <v>45.9799</v>
                </pt>
                <pt idx="76">
                  <v>46.1762</v>
                </pt>
                <pt idx="77">
                  <v>46.1623</v>
                </pt>
                <pt idx="78">
                  <v>46.3248</v>
                </pt>
                <pt idx="79">
                  <v>46.3799</v>
                </pt>
                <pt idx="80">
                  <v>46.8295</v>
                </pt>
                <pt idx="81">
                  <v>47.2309</v>
                </pt>
                <pt idx="82">
                  <v>47.4195</v>
                </pt>
                <pt idx="83">
                  <v>46.8638</v>
                </pt>
                <pt idx="84">
                  <v>47.2576</v>
                </pt>
                <pt idx="85">
                  <v>47.3019</v>
                </pt>
                <pt idx="86">
                  <v>46.9745</v>
                </pt>
                <pt idx="87">
                  <v>47.2383</v>
                </pt>
                <pt idx="88">
                  <v>47.2641</v>
                </pt>
                <pt idx="89">
                  <v>47.1298</v>
                </pt>
                <pt idx="90">
                  <v>46.8682</v>
                </pt>
                <pt idx="91">
                  <v>46.5409</v>
                </pt>
                <pt idx="92">
                  <v>47.0346</v>
                </pt>
                <pt idx="93">
                  <v>46.9194</v>
                </pt>
                <pt idx="94">
                  <v>46.829</v>
                </pt>
                <pt idx="95">
                  <v>47.207</v>
                </pt>
                <pt idx="96">
                  <v>47.1137</v>
                </pt>
                <pt idx="97">
                  <v>47.0442</v>
                </pt>
                <pt idx="98">
                  <v>45.9139</v>
                </pt>
                <pt idx="99">
                  <v>44.5638</v>
                </pt>
                <pt idx="100">
                  <v>43.7923</v>
                </pt>
                <pt idx="101">
                  <v>43.1185</v>
                </pt>
                <pt idx="102">
                  <v>43.2599</v>
                </pt>
                <pt idx="103">
                  <v>44.1148</v>
                </pt>
                <pt idx="104">
                  <v>44.7493</v>
                </pt>
                <pt idx="105">
                  <v>45.7488</v>
                </pt>
                <pt idx="106">
                  <v>46.2101</v>
                </pt>
                <pt idx="107">
                  <v>45.6593</v>
                </pt>
                <pt idx="108">
                  <v>45.542</v>
                </pt>
                <pt idx="109">
                  <v>45.8256</v>
                </pt>
                <pt idx="110">
                  <v>45.2358</v>
                </pt>
                <pt idx="111">
                  <v>45.4583</v>
                </pt>
                <pt idx="112">
                  <v>46.1015</v>
                </pt>
                <pt idx="113">
                  <v>46.3739</v>
                </pt>
                <pt idx="114">
                  <v>46.315</v>
                </pt>
                <pt idx="115">
                  <v>45.9474</v>
                </pt>
                <pt idx="116">
                  <v>45.3161</v>
                </pt>
                <pt idx="117">
                  <v>44.5147</v>
                </pt>
                <pt idx="118">
                  <v>43.9247</v>
                </pt>
                <pt idx="119">
                  <v>43.1782</v>
                </pt>
                <pt idx="120">
                  <v>43.6602</v>
                </pt>
                <pt idx="121">
                  <v>43.3929</v>
                </pt>
                <pt idx="122">
                  <v>42.86</v>
                </pt>
                <pt idx="123">
                  <v>42.3582</v>
                </pt>
                <pt idx="124">
                  <v>42.2396</v>
                </pt>
                <pt idx="125">
                  <v>41.9306</v>
                </pt>
                <pt idx="126">
                  <v>41.5103</v>
                </pt>
                <pt idx="127">
                  <v>41.3061</v>
                </pt>
                <pt idx="128">
                  <v>40.8117</v>
                </pt>
                <pt idx="129">
                  <v>40.6533</v>
                </pt>
                <pt idx="130">
                  <v>40.2911</v>
                </pt>
                <pt idx="131">
                  <v>41.1948</v>
                </pt>
                <pt idx="132">
                  <v>41.0514</v>
                </pt>
                <pt idx="133">
                  <v>41.4282</v>
                </pt>
                <pt idx="134">
                  <v>41.9402</v>
                </pt>
                <pt idx="135">
                  <v>42.2254</v>
                </pt>
                <pt idx="136">
                  <v>42.5296</v>
                </pt>
                <pt idx="137">
                  <v>43.2058</v>
                </pt>
                <pt idx="138">
                  <v>43.8443</v>
                </pt>
                <pt idx="139">
                  <v>44.4093</v>
                </pt>
                <pt idx="140">
                  <v>44.9969</v>
                </pt>
                <pt idx="141">
                  <v>45.2404</v>
                </pt>
                <pt idx="142">
                  <v>45.4349</v>
                </pt>
                <pt idx="143">
                  <v>46.3702</v>
                </pt>
                <pt idx="144">
                  <v>46.6129</v>
                </pt>
                <pt idx="145">
                  <v>46.8231</v>
                </pt>
                <pt idx="146">
                  <v>47.136</v>
                </pt>
                <pt idx="147">
                  <v>47.4811</v>
                </pt>
                <pt idx="148">
                  <v>47.5872</v>
                </pt>
                <pt idx="149">
                  <v>47.7234</v>
                </pt>
                <pt idx="150">
                  <v>47.6989</v>
                </pt>
                <pt idx="151">
                  <v>47.4464</v>
                </pt>
                <pt idx="152">
                  <v>47.059</v>
                </pt>
                <pt idx="153">
                  <v>47.2121</v>
                </pt>
                <pt idx="154">
                  <v>47.0693</v>
                </pt>
                <pt idx="155">
                  <v>47.2183</v>
                </pt>
                <pt idx="156">
                  <v>47.337</v>
                </pt>
                <pt idx="157">
                  <v>47.2376</v>
                </pt>
                <pt idx="158">
                  <v>47.2239</v>
                </pt>
                <pt idx="159">
                  <v>47.2599</v>
                </pt>
                <pt idx="160">
                  <v>47.1182</v>
                </pt>
                <pt idx="161">
                  <v>46.8377</v>
                </pt>
                <pt idx="162">
                  <v>46.9089</v>
                </pt>
                <pt idx="163">
                  <v>47.1449</v>
                </pt>
                <pt idx="164">
                  <v>46.8696</v>
                </pt>
                <pt idx="165">
                  <v>46.9291</v>
                </pt>
                <pt idx="166">
                  <v>47.5914</v>
                </pt>
                <pt idx="167">
                  <v>47.6625</v>
                </pt>
                <pt idx="168">
                  <v>47.4809</v>
                </pt>
                <pt idx="169">
                  <v>46.9509</v>
                </pt>
                <pt idx="170">
                  <v>46.8757</v>
                </pt>
                <pt idx="171">
                  <v>46.8858</v>
                </pt>
                <pt idx="172">
                  <v>46.634</v>
                </pt>
                <pt idx="173">
                  <v>46.96</v>
                </pt>
                <pt idx="174">
                  <v>46.7637</v>
                </pt>
                <pt idx="175">
                  <v>46.9465</v>
                </pt>
                <pt idx="176">
                  <v>47.2199</v>
                </pt>
                <pt idx="177">
                  <v>47.4229</v>
                </pt>
                <pt idx="178">
                  <v>47.8195</v>
                </pt>
                <pt idx="179">
                  <v>47.7224</v>
                </pt>
                <pt idx="180">
                  <v>48.3095</v>
                </pt>
                <pt idx="181">
                  <v>48.3762</v>
                </pt>
                <pt idx="182">
                  <v>48.8516</v>
                </pt>
                <pt idx="183">
                  <v>49.0557</v>
                </pt>
                <pt idx="184">
                  <v>49.4247</v>
                </pt>
                <pt idx="185">
                  <v>49.7539</v>
                </pt>
                <pt idx="186">
                  <v>50.1348</v>
                </pt>
                <pt idx="187">
                  <v>50.3421</v>
                </pt>
                <pt idx="188">
                  <v>50.985</v>
                </pt>
                <pt idx="189">
                  <v>51.4569</v>
                </pt>
                <pt idx="190">
                  <v>51.7556</v>
                </pt>
                <pt idx="191">
                  <v>51.5686</v>
                </pt>
                <pt idx="192">
                  <v>51.8182</v>
                </pt>
                <pt idx="193">
                  <v>51.9974</v>
                </pt>
                <pt idx="194">
                  <v>52.3274</v>
                </pt>
                <pt idx="195">
                  <v>52.3005</v>
                </pt>
                <pt idx="196">
                  <v>52.5384</v>
                </pt>
                <pt idx="197">
                  <v>52.598</v>
                </pt>
                <pt idx="198">
                  <v>52.8831</v>
                </pt>
                <pt idx="199">
                  <v>52.6339</v>
                </pt>
                <pt idx="200">
                  <v>52.759</v>
                </pt>
                <pt idx="201">
                  <v>52.9309</v>
                </pt>
                <pt idx="202">
                  <v>53.1989</v>
                </pt>
                <pt idx="203">
                  <v>53.3422</v>
                </pt>
                <pt idx="204">
                  <v>52.9719</v>
                </pt>
                <pt idx="205">
                  <v>53.1778</v>
                </pt>
                <pt idx="206">
                  <v>53.0635</v>
                </pt>
                <pt idx="207">
                  <v>52.9093</v>
                </pt>
                <pt idx="208">
                  <v>52.6769</v>
                </pt>
                <pt idx="209">
                  <v>52.4642</v>
                </pt>
                <pt idx="210">
                  <v>52.8139</v>
                </pt>
                <pt idx="211">
                  <v>52.578</v>
                </pt>
                <pt idx="212">
                  <v>52.673</v>
                </pt>
                <pt idx="213">
                  <v>52.8253</v>
                </pt>
                <pt idx="214">
                  <v>52.7551</v>
                </pt>
                <pt idx="215">
                  <v>52.6621</v>
                </pt>
                <pt idx="216">
                  <v>53.1476</v>
                </pt>
                <pt idx="217">
                  <v>53.2332</v>
                </pt>
                <pt idx="218">
                  <v>53.262</v>
                </pt>
                <pt idx="219">
                  <v>53.4112</v>
                </pt>
                <pt idx="220">
                  <v>53.4875</v>
                </pt>
                <pt idx="221">
                  <v>53.4953</v>
                </pt>
                <pt idx="222">
                  <v>53.8132</v>
                </pt>
                <pt idx="223">
                  <v>53.6802</v>
                </pt>
                <pt idx="224">
                  <v>53.4551</v>
                </pt>
                <pt idx="225">
                  <v>52.784</v>
                </pt>
                <pt idx="226">
                  <v>52.3932</v>
                </pt>
                <pt idx="227">
                  <v>52.1261</v>
                </pt>
                <pt idx="228">
                  <v>51.8383</v>
                </pt>
                <pt idx="229">
                  <v>51.4164</v>
                </pt>
                <pt idx="230">
                  <v>51.6857</v>
                </pt>
                <pt idx="231">
                  <v>52.1701</v>
                </pt>
                <pt idx="232">
                  <v>52.458</v>
                </pt>
                <pt idx="233">
                  <v>52.8903</v>
                </pt>
                <pt idx="234">
                  <v>52.8555</v>
                </pt>
                <pt idx="235">
                  <v>53.1249</v>
                </pt>
                <pt idx="236">
                  <v>53.2336</v>
                </pt>
                <pt idx="237">
                  <v>52.9942</v>
                </pt>
                <pt idx="238">
                  <v>52.9578</v>
                </pt>
                <pt idx="239">
                  <v>52.9161</v>
                </pt>
                <pt idx="240">
                  <v>53.1528</v>
                </pt>
                <pt idx="241">
                  <v>53.592</v>
                </pt>
                <pt idx="242">
                  <v>54.0197</v>
                </pt>
                <pt idx="243">
                  <v>54.044</v>
                </pt>
                <pt idx="244">
                  <v>54.2814</v>
                </pt>
                <pt idx="245">
                  <v>54.6982</v>
                </pt>
                <pt idx="246">
                  <v>54.0934</v>
                </pt>
                <pt idx="247">
                  <v>54.5188</v>
                </pt>
                <pt idx="248">
                  <v>54.8222</v>
                </pt>
                <pt idx="249">
                  <v>55.1197</v>
                </pt>
                <pt idx="250">
                  <v>55.0724</v>
                </pt>
                <pt idx="251">
                  <v>55.2899</v>
                </pt>
                <pt idx="252">
                  <v>55.6917</v>
                </pt>
                <pt idx="253">
                  <v>55.5221</v>
                </pt>
                <pt idx="254">
                  <v>55.7545</v>
                </pt>
                <pt idx="255">
                  <v>55.5412</v>
                </pt>
                <pt idx="256">
                  <v>55.8458</v>
                </pt>
                <pt idx="257">
                  <v>55.7991</v>
                </pt>
                <pt idx="258">
                  <v>55.8658</v>
                </pt>
                <pt idx="259">
                  <v>56.0633</v>
                </pt>
                <pt idx="260">
                  <v>56.4994</v>
                </pt>
                <pt idx="261">
                  <v>56.9216</v>
                </pt>
                <pt idx="262">
                  <v>57.3295</v>
                </pt>
                <pt idx="263">
                  <v>57.4183</v>
                </pt>
                <pt idx="264">
                  <v>57.6274</v>
                </pt>
                <pt idx="265">
                  <v>58.2283</v>
                </pt>
                <pt idx="266">
                  <v>58.6697</v>
                </pt>
                <pt idx="267">
                  <v>59.0454</v>
                </pt>
                <pt idx="268">
                  <v>59.496</v>
                </pt>
                <pt idx="269">
                  <v>59.6872</v>
                </pt>
                <pt idx="270">
                  <v>60.1042</v>
                </pt>
                <pt idx="271">
                  <v>60.4239</v>
                </pt>
                <pt idx="272">
                  <v>60.782</v>
                </pt>
                <pt idx="273">
                  <v>61.356</v>
                </pt>
                <pt idx="274">
                  <v>62.1232</v>
                </pt>
                <pt idx="275">
                  <v>62.3043</v>
                </pt>
                <pt idx="276">
                  <v>62.1766</v>
                </pt>
                <pt idx="277">
                  <v>62.2246</v>
                </pt>
                <pt idx="278">
                  <v>62.2988</v>
                </pt>
                <pt idx="279">
                  <v>62.5375</v>
                </pt>
                <pt idx="280">
                  <v>62.5635</v>
                </pt>
                <pt idx="281">
                  <v>62.2972</v>
                </pt>
                <pt idx="282">
                  <v>63.0346</v>
                </pt>
                <pt idx="283">
                  <v>63.2851</v>
                </pt>
                <pt idx="284">
                  <v>63.4189</v>
                </pt>
                <pt idx="285">
                  <v>63.5678</v>
                </pt>
                <pt idx="286">
                  <v>63.8033</v>
                </pt>
                <pt idx="287">
                  <v>63.8105</v>
                </pt>
                <pt idx="288">
                  <v>64.60209999999999</v>
                </pt>
                <pt idx="289">
                  <v>64.54730000000001</v>
                </pt>
                <pt idx="290">
                  <v>65.1859</v>
                </pt>
                <pt idx="291">
                  <v>65.74769999999999</v>
                </pt>
                <pt idx="292">
                  <v>66.2223</v>
                </pt>
                <pt idx="293">
                  <v>66.1926</v>
                </pt>
                <pt idx="294">
                  <v>66.7901</v>
                </pt>
                <pt idx="295">
                  <v>67.0449</v>
                </pt>
                <pt idx="296">
                  <v>67.20820000000001</v>
                </pt>
                <pt idx="297">
                  <v>67.65949999999999</v>
                </pt>
                <pt idx="298">
                  <v>68.1392</v>
                </pt>
                <pt idx="299">
                  <v>68.3857</v>
                </pt>
                <pt idx="300">
                  <v>69.3289</v>
                </pt>
                <pt idx="301">
                  <v>69.6288</v>
                </pt>
                <pt idx="302">
                  <v>69.93429999999999</v>
                </pt>
                <pt idx="303">
                  <v>70.20099999999999</v>
                </pt>
                <pt idx="304">
                  <v>70.6404</v>
                </pt>
                <pt idx="305">
                  <v>71.2813</v>
                </pt>
                <pt idx="306">
                  <v>72.0093</v>
                </pt>
                <pt idx="307">
                  <v>72.79179999999999</v>
                </pt>
                <pt idx="308">
                  <v>73.0461</v>
                </pt>
                <pt idx="309">
                  <v>73.86490000000001</v>
                </pt>
                <pt idx="310">
                  <v>74.372</v>
                </pt>
                <pt idx="311">
                  <v>74.58629999999999</v>
                </pt>
                <pt idx="312">
                  <v>74.66459999999999</v>
                </pt>
                <pt idx="313">
                  <v>74.5967</v>
                </pt>
                <pt idx="314">
                  <v>74.76860000000001</v>
                </pt>
                <pt idx="315">
                  <v>75.3222</v>
                </pt>
                <pt idx="316">
                  <v>74.761</v>
                </pt>
                <pt idx="317">
                  <v>74.4079</v>
                </pt>
                <pt idx="318">
                  <v>75.89279999999999</v>
                </pt>
                <pt idx="319">
                  <v>76.03270000000001</v>
                </pt>
                <pt idx="320">
                  <v>76.6922</v>
                </pt>
                <pt idx="321">
                  <v>76.80329999999999</v>
                </pt>
                <pt idx="322">
                  <v>77.4144</v>
                </pt>
                <pt idx="323">
                  <v>77.6053</v>
                </pt>
                <pt idx="324">
                  <v>78.1661</v>
                </pt>
                <pt idx="325">
                  <v>78.7062</v>
                </pt>
                <pt idx="326">
                  <v>79.0622</v>
                </pt>
                <pt idx="327">
                  <v>79.45659999999999</v>
                </pt>
                <pt idx="328">
                  <v>79.8897</v>
                </pt>
                <pt idx="329">
                  <v>80.8768</v>
                </pt>
                <pt idx="330">
                  <v>80.8882</v>
                </pt>
                <pt idx="331">
                  <v>80.67270000000001</v>
                </pt>
                <pt idx="332">
                  <v>81.6378</v>
                </pt>
                <pt idx="333">
                  <v>82.5146</v>
                </pt>
                <pt idx="334">
                  <v>83.0453</v>
                </pt>
                <pt idx="335">
                  <v>83.2358</v>
                </pt>
                <pt idx="336">
                  <v>83.35769999999999</v>
                </pt>
                <pt idx="337">
                  <v>83.8633</v>
                </pt>
                <pt idx="338">
                  <v>84.1992</v>
                </pt>
                <pt idx="339">
                  <v>84.584</v>
                </pt>
                <pt idx="340">
                  <v>84.6994</v>
                </pt>
                <pt idx="341">
                  <v>84.3266</v>
                </pt>
                <pt idx="342">
                  <v>84.3634</v>
                </pt>
                <pt idx="343">
                  <v>84.53959999999999</v>
                </pt>
                <pt idx="344">
                  <v>84.42919999999999</v>
                </pt>
                <pt idx="345">
                  <v>84.25</v>
                </pt>
                <pt idx="346">
                  <v>83.715</v>
                </pt>
                <pt idx="347">
                  <v>82.98999999999999</v>
                </pt>
                <pt idx="348">
                  <v>82.6014</v>
                </pt>
                <pt idx="349">
                  <v>82.3124</v>
                </pt>
                <pt idx="350">
                  <v>82.0929</v>
                </pt>
                <pt idx="351">
                  <v>81.5592</v>
                </pt>
                <pt idx="352">
                  <v>80.8241</v>
                </pt>
                <pt idx="353">
                  <v>80.17829999999999</v>
                </pt>
                <pt idx="354">
                  <v>80.4885</v>
                </pt>
                <pt idx="355">
                  <v>80.1645</v>
                </pt>
                <pt idx="356">
                  <v>79.78060000000001</v>
                </pt>
                <pt idx="357">
                  <v>79.1876</v>
                </pt>
                <pt idx="358">
                  <v>78.9708</v>
                </pt>
                <pt idx="359">
                  <v>79.8554</v>
                </pt>
                <pt idx="360">
                  <v>80.2752</v>
                </pt>
                <pt idx="361">
                  <v>80.9006</v>
                </pt>
                <pt idx="362">
                  <v>81.85250000000001</v>
                </pt>
                <pt idx="363">
                  <v>82.2092</v>
                </pt>
                <pt idx="364">
                  <v>82.8835</v>
                </pt>
                <pt idx="365">
                  <v>82.9087</v>
                </pt>
                <pt idx="366">
                  <v>82.9627</v>
                </pt>
                <pt idx="367">
                  <v>82.8229</v>
                </pt>
                <pt idx="368">
                  <v>82.3734</v>
                </pt>
                <pt idx="369">
                  <v>83.00230000000001</v>
                </pt>
                <pt idx="370">
                  <v>82.66840000000001</v>
                </pt>
                <pt idx="371">
                  <v>83.226</v>
                </pt>
                <pt idx="372">
                  <v>83.22750000000001</v>
                </pt>
                <pt idx="373">
                  <v>82.7188</v>
                </pt>
                <pt idx="374">
                  <v>82.4148</v>
                </pt>
                <pt idx="375">
                  <v>82.3374</v>
                </pt>
                <pt idx="376">
                  <v>82.45910000000001</v>
                </pt>
                <pt idx="377">
                  <v>82.7148</v>
                </pt>
                <pt idx="378">
                  <v>82.741</v>
                </pt>
                <pt idx="379">
                  <v>83.31319999999999</v>
                </pt>
                <pt idx="380">
                  <v>83.8643</v>
                </pt>
                <pt idx="381">
                  <v>84.2949</v>
                </pt>
                <pt idx="382">
                  <v>84.4597</v>
                </pt>
                <pt idx="383">
                  <v>84.5826</v>
                </pt>
                <pt idx="384">
                  <v>84.9987</v>
                </pt>
                <pt idx="385">
                  <v>84.90130000000001</v>
                </pt>
                <pt idx="386">
                  <v>85.2045</v>
                </pt>
                <pt idx="387">
                  <v>85.965</v>
                </pt>
                <pt idx="388">
                  <v>85.3445</v>
                </pt>
                <pt idx="389">
                  <v>85.946</v>
                </pt>
                <pt idx="390">
                  <v>85.90860000000001</v>
                </pt>
                <pt idx="391">
                  <v>86.14879999999999</v>
                </pt>
                <pt idx="392">
                  <v>86.93899999999999</v>
                </pt>
                <pt idx="393">
                  <v>87.459</v>
                </pt>
                <pt idx="394">
                  <v>88.18640000000001</v>
                </pt>
                <pt idx="395">
                  <v>88.1527</v>
                </pt>
                <pt idx="396">
                  <v>88.8105</v>
                </pt>
                <pt idx="397">
                  <v>88.8535</v>
                </pt>
                <pt idx="398">
                  <v>88.6658</v>
                </pt>
                <pt idx="399">
                  <v>88.4736</v>
                </pt>
                <pt idx="400">
                  <v>88.78870000000001</v>
                </pt>
                <pt idx="401">
                  <v>88.4914</v>
                </pt>
                <pt idx="402">
                  <v>88.51990000000001</v>
                </pt>
                <pt idx="403">
                  <v>85.066</v>
                </pt>
                <pt idx="404">
                  <v>86.14239999999999</v>
                </pt>
                <pt idx="405">
                  <v>87.91249999999999</v>
                </pt>
                <pt idx="406">
                  <v>88.62090000000001</v>
                </pt>
                <pt idx="407">
                  <v>88.97929999999999</v>
                </pt>
                <pt idx="408">
                  <v>89.32170000000001</v>
                </pt>
                <pt idx="409">
                  <v>89.30119999999999</v>
                </pt>
                <pt idx="410">
                  <v>89.4603</v>
                </pt>
                <pt idx="411">
                  <v>89.6679</v>
                </pt>
                <pt idx="412">
                  <v>89.9242</v>
                </pt>
                <pt idx="413">
                  <v>90.06789999999999</v>
                </pt>
                <pt idx="414">
                  <v>90.3336</v>
                </pt>
                <pt idx="415">
                  <v>90.16079999999999</v>
                </pt>
                <pt idx="416">
                  <v>90.0132</v>
                </pt>
                <pt idx="417">
                  <v>89.8005</v>
                </pt>
                <pt idx="418">
                  <v>90.7517</v>
                </pt>
                <pt idx="419">
                  <v>90.7161</v>
                </pt>
                <pt idx="420">
                  <v>91.65560000000001</v>
                </pt>
                <pt idx="421">
                  <v>91.96510000000001</v>
                </pt>
                <pt idx="422">
                  <v>92.6476</v>
                </pt>
                <pt idx="423">
                  <v>93.01390000000001</v>
                </pt>
                <pt idx="424">
                  <v>92.9019</v>
                </pt>
                <pt idx="425">
                  <v>92.98180000000001</v>
                </pt>
                <pt idx="426">
                  <v>93.4695</v>
                </pt>
                <pt idx="427">
                  <v>93.5497</v>
                </pt>
                <pt idx="428">
                  <v>93.6691</v>
                </pt>
                <pt idx="429">
                  <v>94.5029</v>
                </pt>
                <pt idx="430">
                  <v>94.5748</v>
                </pt>
                <pt idx="431">
                  <v>94.334</v>
                </pt>
                <pt idx="432">
                  <v>93.8918</v>
                </pt>
                <pt idx="433">
                  <v>93.9992</v>
                </pt>
                <pt idx="434">
                  <v>93.63509999999999</v>
                </pt>
                <pt idx="435">
                  <v>92.9147</v>
                </pt>
                <pt idx="436">
                  <v>92.83759999999999</v>
                </pt>
                <pt idx="437">
                  <v>92.7851</v>
                </pt>
                <pt idx="438">
                  <v>91.1969</v>
                </pt>
                <pt idx="439">
                  <v>85.1698</v>
                </pt>
                <pt idx="440">
                  <v>87.6705</v>
                </pt>
                <pt idx="441">
                  <v>86.3416</v>
                </pt>
                <pt idx="442">
                  <v>83.1525</v>
                </pt>
                <pt idx="443">
                  <v>81.5706</v>
                </pt>
                <pt idx="444">
                  <v>81.1133</v>
                </pt>
                <pt idx="445">
                  <v>79.66160000000001</v>
                </pt>
                <pt idx="446">
                  <v>79.0843</v>
                </pt>
                <pt idx="447">
                  <v>78.6143</v>
                </pt>
                <pt idx="448">
                  <v>78.3807</v>
                </pt>
                <pt idx="449">
                  <v>79.5654</v>
                </pt>
                <pt idx="450">
                  <v>80.72020000000001</v>
                </pt>
                <pt idx="451">
                  <v>81.59990000000001</v>
                </pt>
                <pt idx="452">
                  <v>81.8168</v>
                </pt>
                <pt idx="453">
                  <v>82.6587</v>
                </pt>
                <pt idx="454">
                  <v>82.95610000000001</v>
                </pt>
                <pt idx="455">
                  <v>83.97110000000001</v>
                </pt>
                <pt idx="456">
                  <v>85.05</v>
                </pt>
                <pt idx="457">
                  <v>85.54640000000001</v>
                </pt>
                <pt idx="458">
                  <v>85.988</v>
                </pt>
                <pt idx="459">
                  <v>87.14579999999999</v>
                </pt>
                <pt idx="460">
                  <v>87.6461</v>
                </pt>
                <pt idx="461">
                  <v>87.8719</v>
                </pt>
                <pt idx="462">
                  <v>88.6046</v>
                </pt>
                <pt idx="463">
                  <v>89.28959999999999</v>
                </pt>
                <pt idx="464">
                  <v>88.8972</v>
                </pt>
                <pt idx="465">
                  <v>89.0501</v>
                </pt>
                <pt idx="466">
                  <v>90.2062</v>
                </pt>
                <pt idx="467">
                  <v>89.78870000000001</v>
                </pt>
                <pt idx="468">
                  <v>89.1284</v>
                </pt>
                <pt idx="469">
                  <v>90.9088</v>
                </pt>
                <pt idx="470">
                  <v>90.4353</v>
                </pt>
                <pt idx="471">
                  <v>90.35980000000001</v>
                </pt>
                <pt idx="472">
                  <v>90.9194</v>
                </pt>
                <pt idx="473">
                  <v>91.0941</v>
                </pt>
                <pt idx="474">
                  <v>91.6845</v>
                </pt>
                <pt idx="475">
                  <v>91.6327</v>
                </pt>
                <pt idx="476">
                  <v>92.57089999999999</v>
                </pt>
                <pt idx="477">
                  <v>92.9803</v>
                </pt>
                <pt idx="478">
                  <v>93.59099999999999</v>
                </pt>
                <pt idx="479">
                  <v>94.3134</v>
                </pt>
                <pt idx="480">
                  <v>94.6772</v>
                </pt>
                <pt idx="481">
                  <v>94.4264</v>
                </pt>
                <pt idx="482">
                  <v>95.07299999999999</v>
                </pt>
                <pt idx="483">
                  <v>95.15219999999999</v>
                </pt>
                <pt idx="484">
                  <v>95.0774</v>
                </pt>
                <pt idx="485">
                  <v>95.6848</v>
                </pt>
                <pt idx="486">
                  <v>95.0334</v>
                </pt>
                <pt idx="487">
                  <v>95.21729999999999</v>
                </pt>
                <pt idx="488">
                  <v>96.06699999999999</v>
                </pt>
                <pt idx="489">
                  <v>96.2355</v>
                </pt>
                <pt idx="490">
                  <v>96.60039999999999</v>
                </pt>
                <pt idx="491">
                  <v>96.9316</v>
                </pt>
                <pt idx="492">
                  <v>97.3368</v>
                </pt>
                <pt idx="493">
                  <v>97.79300000000001</v>
                </pt>
                <pt idx="494">
                  <v>97.84869999999999</v>
                </pt>
                <pt idx="495">
                  <v>98.1086</v>
                </pt>
                <pt idx="496">
                  <v>98.18859999999999</v>
                </pt>
                <pt idx="497">
                  <v>98.4834</v>
                </pt>
                <pt idx="498">
                  <v>98.97880000000001</v>
                </pt>
                <pt idx="499">
                  <v>99.67619999999999</v>
                </pt>
                <pt idx="500">
                  <v>99.373</v>
                </pt>
                <pt idx="501">
                  <v>99.9843</v>
                </pt>
                <pt idx="502">
                  <v>100.282</v>
                </pt>
                <pt idx="503">
                  <v>100.4844</v>
                </pt>
                <pt idx="504">
                  <v>101.0539</v>
                </pt>
                <pt idx="505">
                  <v>102.2652</v>
                </pt>
                <pt idx="506">
                  <v>102.712</v>
                </pt>
                <pt idx="507">
                  <v>103.2767</v>
                </pt>
                <pt idx="508">
                  <v>104.0212</v>
                </pt>
                <pt idx="509">
                  <v>104.1228</v>
                </pt>
                <pt idx="510">
                  <v>104.2813</v>
                </pt>
                <pt idx="511">
                  <v>104.669</v>
                </pt>
                <pt idx="512">
                  <v>104.6892</v>
                </pt>
                <pt idx="513">
                  <v>104.6839</v>
                </pt>
                <pt idx="514">
                  <v>105.1543</v>
                </pt>
                <pt idx="515">
                  <v>103.8539</v>
                </pt>
                <pt idx="516">
                  <v>103.3096</v>
                </pt>
                <pt idx="517">
                  <v>102.4424</v>
                </pt>
                <pt idx="518">
                  <v>101.986</v>
                </pt>
                <pt idx="519">
                  <v>101.2017</v>
                </pt>
                <pt idx="520">
                  <v>100.7538</v>
                </pt>
                <pt idx="521">
                  <v>101.2709</v>
                </pt>
                <pt idx="522">
                  <v>100.7284</v>
                </pt>
                <pt idx="523">
                  <v>100.6965</v>
                </pt>
                <pt idx="524">
                  <v>100.0149</v>
                </pt>
                <pt idx="525">
                  <v>98.8978</v>
                </pt>
                <pt idx="526">
                  <v>98.532</v>
                </pt>
                <pt idx="527">
                  <v>98.8498</v>
                </pt>
                <pt idx="528">
                  <v>98.1536</v>
                </pt>
                <pt idx="529">
                  <v>97.43640000000001</v>
                </pt>
                <pt idx="530">
                  <v>97.4571</v>
                </pt>
                <pt idx="531">
                  <v>97.2989</v>
                </pt>
                <pt idx="532">
                  <v>97.7805</v>
                </pt>
                <pt idx="533">
                  <v>97.949</v>
                </pt>
                <pt idx="534">
                  <v>97.7718</v>
                </pt>
                <pt idx="535">
                  <v>97.66679999999999</v>
                </pt>
                <pt idx="536">
                  <v>98.0304</v>
                </pt>
                <pt idx="537">
                  <v>97.7247</v>
                </pt>
                <pt idx="538">
                  <v>98.1093</v>
                </pt>
                <pt idx="539">
                  <v>98.33</v>
                </pt>
                <pt idx="540">
                  <v>98.38549999999999</v>
                </pt>
                <pt idx="541">
                  <v>99.2341</v>
                </pt>
                <pt idx="542">
                  <v>99.9079</v>
                </pt>
                <pt idx="543">
                  <v>99.88460000000001</v>
                </pt>
                <pt idx="544">
                  <v>100.5116</v>
                </pt>
                <pt idx="545">
                  <v>100.285</v>
                </pt>
                <pt idx="546">
                  <v>99.4884</v>
                </pt>
                <pt idx="547">
                  <v>99.3004</v>
                </pt>
                <pt idx="548">
                  <v>101.0987</v>
                </pt>
                <pt idx="549">
                  <v>101.7017</v>
                </pt>
                <pt idx="550">
                  <v>101.872</v>
                </pt>
                <pt idx="551">
                  <v>101.6441</v>
                </pt>
                <pt idx="552">
                  <v>102.2735</v>
                </pt>
                <pt idx="553">
                  <v>103.1896</v>
                </pt>
                <pt idx="554">
                  <v>103.9772</v>
                </pt>
                <pt idx="555">
                  <v>104.0078</v>
                </pt>
                <pt idx="556">
                  <v>104.677</v>
                </pt>
                <pt idx="557">
                  <v>105.2344</v>
                </pt>
                <pt idx="558">
                  <v>106.1875</v>
                </pt>
                <pt idx="559">
                  <v>106.3454</v>
                </pt>
                <pt idx="560">
                  <v>106.1966</v>
                </pt>
                <pt idx="561">
                  <v>106.621</v>
                </pt>
                <pt idx="562">
                  <v>106.7112</v>
                </pt>
                <pt idx="563">
                  <v>106.1954</v>
                </pt>
                <pt idx="564">
                  <v>105.4263</v>
                </pt>
                <pt idx="565">
                  <v>105.3798</v>
                </pt>
                <pt idx="566">
                  <v>105.5481</v>
                </pt>
                <pt idx="567">
                  <v>105.6004</v>
                </pt>
                <pt idx="568">
                  <v>105.1645</v>
                </pt>
                <pt idx="569">
                  <v>104.7433</v>
                </pt>
                <pt idx="570">
                  <v>105.8443</v>
                </pt>
                <pt idx="571">
                  <v>106.0225</v>
                </pt>
                <pt idx="572">
                  <v>104.7023</v>
                </pt>
                <pt idx="573">
                  <v>104.4814</v>
                </pt>
                <pt idx="574">
                  <v>104.189</v>
                </pt>
                <pt idx="575">
                  <v>103.8942</v>
                </pt>
                <pt idx="576">
                  <v>103.7276</v>
                </pt>
                <pt idx="577">
                  <v>100.994</v>
                </pt>
                <pt idx="578">
                  <v>87.81610000000001</v>
                </pt>
                <pt idx="579">
                  <v>86.6224</v>
                </pt>
                <pt idx="580">
                  <v>91.5331</v>
                </pt>
                <pt idx="581">
                  <v>94.9915</v>
                </pt>
                <pt idx="582">
                  <v>95.6108</v>
                </pt>
                <pt idx="583">
                  <v>96.3068</v>
                </pt>
                <pt idx="584">
                  <v>96.91540000000001</v>
                </pt>
                <pt idx="585">
                  <v>97.57250000000001</v>
                </pt>
                <pt idx="586">
                  <v>98.36020000000001</v>
                </pt>
                <pt idx="587">
                  <v>99.3212</v>
                </pt>
                <pt idx="588">
                  <v>94.7287</v>
                </pt>
                <pt idx="589">
                  <v>98.6347</v>
                </pt>
                <pt idx="590">
                  <v>99.49639999999999</v>
                </pt>
                <pt idx="591">
                  <v>100.4537</v>
                </pt>
                <pt idx="592">
                  <v>101.1695</v>
                </pt>
                <pt idx="593">
                  <v>101.3318</v>
                </pt>
                <pt idx="594">
                  <v>101.3205</v>
                </pt>
                <pt idx="595">
                  <v>99.59059999999999</v>
                </pt>
                <pt idx="596">
                  <v>101.6606</v>
                </pt>
                <pt idx="597">
                  <v>102.2108</v>
                </pt>
                <pt idx="598">
                  <v>101.8946</v>
                </pt>
                <pt idx="599">
                  <v>101.7927</v>
                </pt>
                <pt idx="600">
                  <v>102.0671</v>
                </pt>
                <pt idx="601">
                  <v>103.1283</v>
                </pt>
                <pt idx="602">
                  <v>103.2737</v>
                </pt>
                <pt idx="603">
                  <v>103.5862</v>
                </pt>
                <pt idx="604">
                  <v>103.8064</v>
                </pt>
                <pt idx="605">
                  <v>104.5648</v>
                </pt>
                <pt idx="606">
                  <v>104.4416</v>
                </pt>
                <pt idx="607">
                  <v>105.0056</v>
                </pt>
                <pt idx="608">
                  <v>104.4746</v>
                </pt>
                <pt idx="609">
                  <v>104.0948</v>
                </pt>
                <pt idx="610">
                  <v>102.1096</v>
                </pt>
                <pt idx="611">
                  <v>103.7436</v>
                </pt>
                <pt idx="612">
                  <v>104.0451</v>
                </pt>
                <pt idx="613">
                  <v>104.3573</v>
                </pt>
              </numCache>
            </numRef>
          </val>
          <smooth val="0"/>
        </ser>
        <dLbls>
          <showLegendKey val="0"/>
          <showVal val="0"/>
          <showCatName val="0"/>
          <showSerName val="0"/>
          <showPercent val="0"/>
          <showBubbleSize val="0"/>
        </dLbls>
        <smooth val="0"/>
        <axId val="494113096"/>
        <axId val="494113488"/>
      </lineChart>
      <dateAx>
        <axId val="494113096"/>
        <scaling>
          <orientation val="minMax"/>
          <max val="448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1.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Materials!$D$20:$D$624</f>
              <numCache>
                <formatCode>0.0%</formatCode>
                <ptCount val="605"/>
                <pt idx="0">
                  <v>0.1105065950834472</v>
                </pt>
                <pt idx="1">
                  <v>0.09599316594467892</v>
                </pt>
                <pt idx="2">
                  <v>0.08798587126338273</v>
                </pt>
                <pt idx="3">
                  <v>0.09281394985143106</v>
                </pt>
                <pt idx="4">
                  <v>0.09341056828058573</v>
                </pt>
                <pt idx="5">
                  <v>0.1064268458065886</v>
                </pt>
                <pt idx="6">
                  <v>0.09046385963644056</v>
                </pt>
                <pt idx="7">
                  <v>0.08452943627444721</v>
                </pt>
                <pt idx="8">
                  <v>0.08272433406657943</v>
                </pt>
                <pt idx="9">
                  <v>0.07329674441811147</v>
                </pt>
                <pt idx="10">
                  <v>0.06025960629244387</v>
                </pt>
                <pt idx="11">
                  <v>0.04287125725187879</v>
                </pt>
                <pt idx="12">
                  <v>0.02560173428008908</v>
                </pt>
                <pt idx="13">
                  <v>0.02519936971504864</v>
                </pt>
                <pt idx="14">
                  <v>0.02185167753647558</v>
                </pt>
                <pt idx="15">
                  <v>0.0217783809439763</v>
                </pt>
                <pt idx="16">
                  <v>0.01447719775904497</v>
                </pt>
                <pt idx="17">
                  <v>0.0164532173863567</v>
                </pt>
                <pt idx="18">
                  <v>-0.003084921764205871</v>
                </pt>
                <pt idx="19">
                  <v>-0.005329166165805242</v>
                </pt>
                <pt idx="20">
                  <v>-0.01812604768929718</v>
                </pt>
                <pt idx="21">
                  <v>-0.06534164204810902</v>
                </pt>
                <pt idx="22">
                  <v>-0.1054414047117144</v>
                </pt>
                <pt idx="23">
                  <v>-0.1063668926250453</v>
                </pt>
                <pt idx="24">
                  <v>-0.1261483495799419</v>
                </pt>
                <pt idx="25">
                  <v>-0.1353224141167637</v>
                </pt>
                <pt idx="26">
                  <v>-0.1387753087812307</v>
                </pt>
                <pt idx="27">
                  <v>-0.1502077497665734</v>
                </pt>
                <pt idx="28">
                  <v>-0.1398931640473795</v>
                </pt>
                <pt idx="29">
                  <v>-0.1413973905052456</v>
                </pt>
                <pt idx="30">
                  <v>-0.1110683632805635</v>
                </pt>
                <pt idx="31">
                  <v>-0.1016023392921461</v>
                </pt>
                <pt idx="32">
                  <v>-0.09202236328915597</v>
                </pt>
                <pt idx="33">
                  <v>-0.04903274901210831</v>
                </pt>
                <pt idx="34">
                  <v>0.005787576520307049</v>
                </pt>
                <pt idx="35">
                  <v>0.02961390425159686</v>
                </pt>
                <pt idx="36">
                  <v>0.07017135456802814</v>
                </pt>
                <pt idx="37">
                  <v>0.08992078503952601</v>
                </pt>
                <pt idx="38">
                  <v>0.1032691294963833</v>
                </pt>
                <pt idx="39">
                  <v>0.1122232873965462</v>
                </pt>
                <pt idx="40">
                  <v>0.108635408995445</v>
                </pt>
                <pt idx="41">
                  <v>0.1071175353622062</v>
                </pt>
                <pt idx="42">
                  <v>0.1002602149043831</v>
                </pt>
                <pt idx="43">
                  <v>0.08896133526406434</v>
                </pt>
                <pt idx="44">
                  <v>0.076254762972462</v>
                </pt>
                <pt idx="45">
                  <v>0.0880722381159094</v>
                </pt>
                <pt idx="46">
                  <v>0.08308037702719057</v>
                </pt>
                <pt idx="47">
                  <v>0.05686236219354153</v>
                </pt>
                <pt idx="48">
                  <v>0.05717171767682703</v>
                </pt>
                <pt idx="49">
                  <v>0.07324227017175186</v>
                </pt>
                <pt idx="50">
                  <v>0.07502423726801481</v>
                </pt>
                <pt idx="51">
                  <v>0.08225118916489253</v>
                </pt>
                <pt idx="52">
                  <v>0.08279309844289343</v>
                </pt>
                <pt idx="53">
                  <v>0.07955814118969169</v>
                </pt>
                <pt idx="54">
                  <v>0.06676476444392646</v>
                </pt>
                <pt idx="55">
                  <v>0.07064155074734957</v>
                </pt>
                <pt idx="56">
                  <v>0.08104189763769935</v>
                </pt>
                <pt idx="57">
                  <v>0.0686164472782943</v>
                </pt>
                <pt idx="58">
                  <v>0.04878100961309899</v>
                </pt>
                <pt idx="59">
                  <v>0.04861491058830305</v>
                </pt>
                <pt idx="60">
                  <v>0.03172515899238209</v>
                </pt>
                <pt idx="61">
                  <v>0.02657977644869869</v>
                </pt>
                <pt idx="62">
                  <v>0.04758081399495244</v>
                </pt>
                <pt idx="63">
                  <v>0.04926633349307416</v>
                </pt>
                <pt idx="64">
                  <v>0.04919440777440243</v>
                </pt>
                <pt idx="65">
                  <v>0.04920279561338711</v>
                </pt>
                <pt idx="66">
                  <v>0.05444199121389396</v>
                </pt>
                <pt idx="67">
                  <v>0.04926203102094009</v>
                </pt>
                <pt idx="68">
                  <v>0.05551485918429448</v>
                </pt>
                <pt idx="69">
                  <v>0.06224937082659557</v>
                </pt>
                <pt idx="70">
                  <v>0.0747919863462353</v>
                </pt>
                <pt idx="71">
                  <v>0.07243988896593218</v>
                </pt>
                <pt idx="72">
                  <v>0.08331098289216991</v>
                </pt>
                <pt idx="73">
                  <v>0.06897190728114655</v>
                </pt>
                <pt idx="74">
                  <v>0.03160624833920057</v>
                </pt>
                <pt idx="75">
                  <v>0.0273684805752079</v>
                </pt>
                <pt idx="76">
                  <v>0.02355975589156313</v>
                </pt>
                <pt idx="77">
                  <v>0.02095866107191368</v>
                </pt>
                <pt idx="78">
                  <v>0.01173021793941902</v>
                </pt>
                <pt idx="79">
                  <v>0.003471331331029204</v>
                </pt>
                <pt idx="80">
                  <v>0.004379717912853959</v>
                </pt>
                <pt idx="81">
                  <v>-0.006595258612476054</v>
                </pt>
                <pt idx="82">
                  <v>-0.01245268296797728</v>
                </pt>
                <pt idx="83">
                  <v>0.007323349792377124</v>
                </pt>
                <pt idx="84">
                  <v>-0.003045012865655367</v>
                </pt>
                <pt idx="85">
                  <v>-0.005447984119031305</v>
                </pt>
                <pt idx="86">
                  <v>-0.02257820732525095</v>
                </pt>
                <pt idx="87">
                  <v>-0.05661719409885626</v>
                </pt>
                <pt idx="88">
                  <v>-0.0734553286744062</v>
                </pt>
                <pt idx="89">
                  <v>-0.08511175519522692</v>
                </pt>
                <pt idx="90">
                  <v>-0.0769882350933042</v>
                </pt>
                <pt idx="91">
                  <v>-0.05212834302731572</v>
                </pt>
                <pt idx="92">
                  <v>-0.04858763548536608</v>
                </pt>
                <pt idx="93">
                  <v>-0.02494916814793029</v>
                </pt>
                <pt idx="94">
                  <v>-0.01321616946763765</v>
                </pt>
                <pt idx="95">
                  <v>-0.03278539199694958</v>
                </pt>
                <pt idx="96">
                  <v>-0.03335972339255885</v>
                </pt>
                <pt idx="97">
                  <v>-0.02590329945030408</v>
                </pt>
                <pt idx="98">
                  <v>-0.01476894796564876</v>
                </pt>
                <pt idx="99">
                  <v>0.02007234571558083</v>
                </pt>
                <pt idx="100">
                  <v>0.05273073120160403</v>
                </pt>
                <pt idx="101">
                  <v>0.07549891577861015</v>
                </pt>
                <pt idx="102">
                  <v>0.07062198479423197</v>
                </pt>
                <pt idx="103">
                  <v>0.0415416141521666</v>
                </pt>
                <pt idx="104">
                  <v>0.01266611991695961</v>
                </pt>
                <pt idx="105">
                  <v>-0.02697557094393744</v>
                </pt>
                <pt idx="106">
                  <v>-0.04945672050049656</v>
                </pt>
                <pt idx="107">
                  <v>-0.05433942263679042</v>
                </pt>
                <pt idx="108">
                  <v>-0.04132010012735493</v>
                </pt>
                <pt idx="109">
                  <v>-0.05308604797318538</v>
                </pt>
                <pt idx="110">
                  <v>-0.05252034892717711</v>
                </pt>
                <pt idx="111">
                  <v>-0.06819656696356891</v>
                </pt>
                <pt idx="112">
                  <v>-0.08376950858431935</v>
                </pt>
                <pt idx="113">
                  <v>-0.09581467161485234</v>
                </pt>
                <pt idx="114">
                  <v>-0.103739609197884</v>
                </pt>
                <pt idx="115">
                  <v>-0.1010133326368848</v>
                </pt>
                <pt idx="116">
                  <v>-0.09939955115290144</v>
                </pt>
                <pt idx="117">
                  <v>-0.08674437882317518</v>
                </pt>
                <pt idx="118">
                  <v>-0.08272338797988378</v>
                </pt>
                <pt idx="119">
                  <v>-0.04593521730873441</v>
                </pt>
                <pt idx="120">
                  <v>-0.05975236027320081</v>
                </pt>
                <pt idx="121">
                  <v>-0.04527699231901994</v>
                </pt>
                <pt idx="122">
                  <v>-0.02146056929538036</v>
                </pt>
                <pt idx="123">
                  <v>-0.003135166272409971</v>
                </pt>
                <pt idx="124">
                  <v>0.006865595318137462</v>
                </pt>
                <pt idx="125">
                  <v>0.03041215723123459</v>
                </pt>
                <pt idx="126">
                  <v>0.05622700871831801</v>
                </pt>
                <pt idx="127">
                  <v>0.07512691830020266</v>
                </pt>
                <pt idx="128">
                  <v>0.1025490239318625</v>
                </pt>
                <pt idx="129">
                  <v>0.1128346284311482</v>
                </pt>
                <pt idx="130">
                  <v>0.1276659113302938</v>
                </pt>
                <pt idx="131">
                  <v>0.1256323613659976</v>
                </pt>
                <pt idx="132">
                  <v>0.1354765001924417</v>
                </pt>
                <pt idx="133">
                  <v>0.1302228916535114</v>
                </pt>
                <pt idx="134">
                  <v>0.1238859137533919</v>
                </pt>
                <pt idx="135">
                  <v>0.124467737428183</v>
                </pt>
                <pt idx="136">
                  <v>0.1189195289868703</v>
                </pt>
                <pt idx="137">
                  <v>0.1045600359211031</v>
                </pt>
                <pt idx="138">
                  <v>0.08791564695981018</v>
                </pt>
                <pt idx="139">
                  <v>0.06838882846610947</v>
                </pt>
                <pt idx="140">
                  <v>0.04582760145698928</v>
                </pt>
                <pt idx="141">
                  <v>0.04358272694317465</v>
                </pt>
                <pt idx="142">
                  <v>0.03597234724848078</v>
                </pt>
                <pt idx="143">
                  <v>0.01828976368443531</v>
                </pt>
                <pt idx="144">
                  <v>0.01553432633455545</v>
                </pt>
                <pt idx="145">
                  <v>0.008852468119368514</v>
                </pt>
                <pt idx="146">
                  <v>0.001864816700610948</v>
                </pt>
                <pt idx="147">
                  <v>-0.004658695775792812</v>
                </pt>
                <pt idx="148">
                  <v>-0.009855591419541414</v>
                </pt>
                <pt idx="149">
                  <v>-0.01855902974222289</v>
                </pt>
                <pt idx="150">
                  <v>-0.01656222680187592</v>
                </pt>
                <pt idx="151">
                  <v>-0.00635453901665874</v>
                </pt>
                <pt idx="152">
                  <v>-0.00402473490724408</v>
                </pt>
                <pt idx="153">
                  <v>-0.005994226056455893</v>
                </pt>
                <pt idx="154">
                  <v>0.01109215560885762</v>
                </pt>
                <pt idx="155">
                  <v>0.009407369600345675</v>
                </pt>
                <pt idx="156">
                  <v>0.003039905359443882</v>
                </pt>
                <pt idx="157">
                  <v>-0.006069317662201367</v>
                </pt>
                <pt idx="158">
                  <v>-0.00737338508678865</v>
                </pt>
                <pt idx="159">
                  <v>-0.007915801768518312</v>
                </pt>
                <pt idx="160">
                  <v>-0.01027628389879073</v>
                </pt>
                <pt idx="161">
                  <v>0.002611144441336845</v>
                </pt>
                <pt idx="162">
                  <v>-0.003095361434610546</v>
                </pt>
                <pt idx="163">
                  <v>-0.004208302488710326</v>
                </pt>
                <pt idx="164">
                  <v>0.007473927663133551</v>
                </pt>
                <pt idx="165">
                  <v>0.01052225591370813</v>
                </pt>
                <pt idx="166">
                  <v>0.004792882747723281</v>
                </pt>
                <pt idx="167">
                  <v>0.001256753212693395</v>
                </pt>
                <pt idx="168">
                  <v>0.01745122775684542</v>
                </pt>
                <pt idx="169">
                  <v>0.03035724554800867</v>
                </pt>
                <pt idx="170">
                  <v>0.04215190386490219</v>
                </pt>
                <pt idx="171">
                  <v>0.04628053696428339</v>
                </pt>
                <pt idx="172">
                  <v>0.05984260410859032</v>
                </pt>
                <pt idx="173">
                  <v>0.05949531516183987</v>
                </pt>
                <pt idx="174">
                  <v>0.07208796566567655</v>
                </pt>
                <pt idx="175">
                  <v>0.07232914061751146</v>
                </pt>
                <pt idx="176">
                  <v>0.07973545051980196</v>
                </pt>
                <pt idx="177">
                  <v>0.08506438872359133</v>
                </pt>
                <pt idx="178">
                  <v>0.08231160928073283</v>
                </pt>
                <pt idx="179">
                  <v>0.08059527601294157</v>
                </pt>
                <pt idx="180">
                  <v>0.07262960701311331</v>
                </pt>
                <pt idx="181">
                  <v>0.07485499067723389</v>
                </pt>
                <pt idx="182">
                  <v>0.07115017727157349</v>
                </pt>
                <pt idx="183">
                  <v>0.06614521859845029</v>
                </pt>
                <pt idx="184">
                  <v>0.06299886493999966</v>
                </pt>
                <pt idx="185">
                  <v>0.05716335804831375</v>
                </pt>
                <pt idx="186">
                  <v>0.05481821010555543</v>
                </pt>
                <pt idx="187">
                  <v>0.04552452122577316</v>
                </pt>
                <pt idx="188">
                  <v>0.03479454741590666</v>
                </pt>
                <pt idx="189">
                  <v>0.02864533230723195</v>
                </pt>
                <pt idx="190">
                  <v>0.02788683736639128</v>
                </pt>
                <pt idx="191">
                  <v>0.03439302211035387</v>
                </pt>
                <pt idx="192">
                  <v>0.02226437815284978</v>
                </pt>
                <pt idx="193">
                  <v>0.02270113505675282</v>
                </pt>
                <pt idx="194">
                  <v>0.01406719997553864</v>
                </pt>
                <pt idx="195">
                  <v>0.01164042408772387</v>
                </pt>
                <pt idx="196">
                  <v>0.002636167070181058</v>
                </pt>
                <pt idx="197">
                  <v>-0.002543822959047888</v>
                </pt>
                <pt idx="198">
                  <v>-0.00130854658671678</v>
                </pt>
                <pt idx="199">
                  <v>-0.001062053163455379</v>
                </pt>
                <pt idx="200">
                  <v>-0.0016300536401372</v>
                </pt>
                <pt idx="201">
                  <v>-0.001995053928801562</v>
                </pt>
                <pt idx="202">
                  <v>-0.008342277753863389</v>
                </pt>
                <pt idx="203">
                  <v>-0.01274975535317246</v>
                </pt>
                <pt idx="204">
                  <v>0.00331685289747959</v>
                </pt>
                <pt idx="205">
                  <v>0.001041788114589148</v>
                </pt>
                <pt idx="206">
                  <v>0.003740801115644516</v>
                </pt>
                <pt idx="207">
                  <v>0.009486044986420139</v>
                </pt>
                <pt idx="208">
                  <v>0.01538814926466807</v>
                </pt>
                <pt idx="209">
                  <v>0.01965340174823979</v>
                </pt>
                <pt idx="210">
                  <v>0.01892115522618109</v>
                </pt>
                <pt idx="211">
                  <v>0.02096314047700552</v>
                </pt>
                <pt idx="212">
                  <v>0.01484821445522373</v>
                </pt>
                <pt idx="213">
                  <v>-0.0007818223464892707</v>
                </pt>
                <pt idx="214">
                  <v>-0.006860000265377159</v>
                </pt>
                <pt idx="215">
                  <v>-0.01017809772113154</v>
                </pt>
                <pt idx="216">
                  <v>-0.02463516696896944</v>
                </pt>
                <pt idx="217">
                  <v>-0.03412907734271082</v>
                </pt>
                <pt idx="218">
                  <v>-0.02959520859149118</v>
                </pt>
                <pt idx="219">
                  <v>-0.02323669941884854</v>
                </pt>
                <pt idx="220">
                  <v>-0.0192474877307782</v>
                </pt>
                <pt idx="221">
                  <v>-0.0113094047514454</v>
                </pt>
                <pt idx="222">
                  <v>-0.01779674875309408</v>
                </pt>
                <pt idx="223">
                  <v>-0.01034459633160835</v>
                </pt>
                <pt idx="224">
                  <v>-0.004143664495997556</v>
                </pt>
                <pt idx="225">
                  <v>0.003982267353743566</v>
                </pt>
                <pt idx="226">
                  <v>0.01077620759945945</v>
                </pt>
                <pt idx="227">
                  <v>0.01515555547029222</v>
                </pt>
                <pt idx="228">
                  <v>0.02535769884429085</v>
                </pt>
                <pt idx="229">
                  <v>0.04231334749223974</v>
                </pt>
                <pt idx="230">
                  <v>0.0451575580866662</v>
                </pt>
                <pt idx="231">
                  <v>0.03591904174996788</v>
                </pt>
                <pt idx="232">
                  <v>0.03475923596019672</v>
                </pt>
                <pt idx="233">
                  <v>0.03418207119263828</v>
                </pt>
                <pt idx="234">
                  <v>0.02342045766287337</v>
                </pt>
                <pt idx="235">
                  <v>0.02623816703654976</v>
                </pt>
                <pt idx="236">
                  <v>0.02984205464218087</v>
                </pt>
                <pt idx="237">
                  <v>0.04010816278007787</v>
                </pt>
                <pt idx="238">
                  <v>0.039929906453818</v>
                </pt>
                <pt idx="239">
                  <v>0.04485969298568872</v>
                </pt>
                <pt idx="240">
                  <v>0.0477660631236736</v>
                </pt>
                <pt idx="241">
                  <v>0.03601470368711754</v>
                </pt>
                <pt idx="242">
                  <v>0.03211421018628389</v>
                </pt>
                <pt idx="243">
                  <v>0.02770335282362532</v>
                </pt>
                <pt idx="244">
                  <v>0.02882018518313822</v>
                </pt>
                <pt idx="245">
                  <v>0.02012680490400055</v>
                </pt>
                <pt idx="246">
                  <v>0.03276554995618684</v>
                </pt>
                <pt idx="247">
                  <v>0.0283296771022106</v>
                </pt>
                <pt idx="248">
                  <v>0.03059344572089407</v>
                </pt>
                <pt idx="249">
                  <v>0.03269067139334932</v>
                </pt>
                <pt idx="250">
                  <v>0.04098423166595248</v>
                </pt>
                <pt idx="251">
                  <v>0.03849527671419191</v>
                </pt>
                <pt idx="252">
                  <v>0.03475742345807372</v>
                </pt>
                <pt idx="253">
                  <v>0.04874095180117458</v>
                </pt>
                <pt idx="254">
                  <v>0.05228636253575942</v>
                </pt>
                <pt idx="255">
                  <v>0.06309190294772164</v>
                </pt>
                <pt idx="256">
                  <v>0.06536212212914858</v>
                </pt>
                <pt idx="257">
                  <v>0.06968033534591049</v>
                </pt>
                <pt idx="258">
                  <v>0.07586752539120532</v>
                </pt>
                <pt idx="259">
                  <v>0.07777993803432914</v>
                </pt>
                <pt idx="260">
                  <v>0.07579903503400028</v>
                </pt>
                <pt idx="261">
                  <v>0.0779036429053295</v>
                </pt>
                <pt idx="262">
                  <v>0.08361663715887969</v>
                </pt>
                <pt idx="263">
                  <v>0.0850948216857691</v>
                </pt>
                <pt idx="264">
                  <v>0.07894161457917585</v>
                </pt>
                <pt idx="265">
                  <v>0.06863157605494245</v>
                </pt>
                <pt idx="266">
                  <v>0.06185646083071843</v>
                </pt>
                <pt idx="267">
                  <v>0.05914262584384221</v>
                </pt>
                <pt idx="268">
                  <v>0.05155808793868488</v>
                </pt>
                <pt idx="269">
                  <v>0.04372796847565306</v>
                </pt>
                <pt idx="270">
                  <v>0.0487553282466117</v>
                </pt>
                <pt idx="271">
                  <v>0.04735212391123374</v>
                </pt>
                <pt idx="272">
                  <v>0.04338290941397131</v>
                </pt>
                <pt idx="273">
                  <v>0.03604863420040414</v>
                </pt>
                <pt idx="274">
                  <v>0.02704464676642548</v>
                </pt>
                <pt idx="275">
                  <v>0.02417489643571952</v>
                </pt>
                <pt idx="276">
                  <v>0.03900985258119602</v>
                </pt>
                <pt idx="277">
                  <v>0.03732768069220219</v>
                </pt>
                <pt idx="278">
                  <v>0.04634278669894129</v>
                </pt>
                <pt idx="279">
                  <v>0.05133240055966409</v>
                </pt>
                <pt idx="280">
                  <v>0.05848138291495851</v>
                </pt>
                <pt idx="281">
                  <v>0.0625292950565997</v>
                </pt>
                <pt idx="282">
                  <v>0.05957839028089332</v>
                </pt>
                <pt idx="283">
                  <v>0.05941050895076406</v>
                </pt>
                <pt idx="284">
                  <v>0.05975032679532449</v>
                </pt>
                <pt idx="285">
                  <v>0.06436749423450232</v>
                </pt>
                <pt idx="286">
                  <v>0.06795730001426262</v>
                </pt>
                <pt idx="287">
                  <v>0.0716997986224838</v>
                </pt>
                <pt idx="288">
                  <v>0.07316790011470234</v>
                </pt>
                <pt idx="289">
                  <v>0.07872521391289784</v>
                </pt>
                <pt idx="290">
                  <v>0.07284397392687667</v>
                </pt>
                <pt idx="291">
                  <v>0.06773316785225945</v>
                </pt>
                <pt idx="292">
                  <v>0.06671619680983588</v>
                </pt>
                <pt idx="293">
                  <v>0.07687717358133693</v>
                </pt>
                <pt idx="294">
                  <v>0.07814331764737591</v>
                </pt>
                <pt idx="295">
                  <v>0.08571718355907752</v>
                </pt>
                <pt idx="296">
                  <v>0.0868629125612647</v>
                </pt>
                <pt idx="297">
                  <v>0.09171513239086916</v>
                </pt>
                <pt idx="298">
                  <v>0.09147157583300064</v>
                </pt>
                <pt idx="299">
                  <v>0.09067100285586013</v>
                </pt>
                <pt idx="300">
                  <v>0.07696213267482951</v>
                </pt>
                <pt idx="301">
                  <v>0.07134835010800129</v>
                </pt>
                <pt idx="302">
                  <v>0.06912630854959603</v>
                </pt>
                <pt idx="303">
                  <v>0.07295052777025972</v>
                </pt>
                <pt idx="304">
                  <v>0.05833205927486249</v>
                </pt>
                <pt idx="305">
                  <v>0.04386283639608139</v>
                </pt>
                <pt idx="306">
                  <v>0.05393053397269517</v>
                </pt>
                <pt idx="307">
                  <v>0.04452287208174562</v>
                </pt>
                <pt idx="308">
                  <v>0.04991505364420556</v>
                </pt>
                <pt idx="309">
                  <v>0.039780734828044</v>
                </pt>
                <pt idx="310">
                  <v>0.04090786855268112</v>
                </pt>
                <pt idx="311">
                  <v>0.0404766022714628</v>
                </pt>
                <pt idx="312">
                  <v>0.04689638731072031</v>
                </pt>
                <pt idx="313">
                  <v>0.05508956830530033</v>
                </pt>
                <pt idx="314">
                  <v>0.0574251758090963</v>
                </pt>
                <pt idx="315">
                  <v>0.05488952792138307</v>
                </pt>
                <pt idx="316">
                  <v>0.06860127606639838</v>
                </pt>
                <pt idx="317">
                  <v>0.08693834928818049</v>
                </pt>
                <pt idx="318">
                  <v>0.06582179073640719</v>
                </pt>
                <pt idx="319">
                  <v>0.06102637417847848</v>
                </pt>
                <pt idx="320">
                  <v>0.06448634932887568</v>
                </pt>
                <pt idx="321">
                  <v>0.07436269014482462</v>
                </pt>
                <pt idx="322">
                  <v>0.07273711350859784</v>
                </pt>
                <pt idx="323">
                  <v>0.0725530343932695</v>
                </pt>
                <pt idx="324">
                  <v>0.06641753906105069</v>
                </pt>
                <pt idx="325">
                  <v>0.06552342763340119</v>
                </pt>
                <pt idx="326">
                  <v>0.06497415958574389</v>
                </pt>
                <pt idx="327">
                  <v>0.06453082563311303</v>
                </pt>
                <pt idx="328">
                  <v>0.06020425661881309</v>
                </pt>
                <pt idx="329">
                  <v>0.04265500118699053</v>
                </pt>
                <pt idx="330">
                  <v>0.04296300325634643</v>
                </pt>
                <pt idx="331">
                  <v>0.04793319177367296</v>
                </pt>
                <pt idx="332">
                  <v>0.03419249416324296</v>
                </pt>
                <pt idx="333">
                  <v>0.02103142958943022</v>
                </pt>
                <pt idx="334">
                  <v>0.008064273354422297</v>
                </pt>
                <pt idx="335">
                  <v>-0.002953056257043276</v>
                </pt>
                <pt idx="336">
                  <v>-0.009072947070276604</v>
                </pt>
                <pt idx="337">
                  <v>-0.0184931907043963</v>
                </pt>
                <pt idx="338">
                  <v>-0.02501567710857116</v>
                </pt>
                <pt idx="339">
                  <v>-0.03576090040669629</v>
                </pt>
                <pt idx="340">
                  <v>-0.04575357086354798</v>
                </pt>
                <pt idx="341">
                  <v>-0.04919325574611103</v>
                </pt>
                <pt idx="342">
                  <v>-0.04593105541028451</v>
                </pt>
                <pt idx="343">
                  <v>-0.05175207831596068</v>
                </pt>
                <pt idx="344">
                  <v>-0.05505915015184306</v>
                </pt>
                <pt idx="345">
                  <v>-0.06008783382789314</v>
                </pt>
                <pt idx="346">
                  <v>-0.05667084751836596</v>
                </pt>
                <pt idx="347">
                  <v>-0.03777081576093495</v>
                </pt>
                <pt idx="348">
                  <v>-0.02816175028510413</v>
                </pt>
                <pt idx="349">
                  <v>-0.01715172926557845</v>
                </pt>
                <pt idx="350">
                  <v>-0.002928389665854099</v>
                </pt>
                <pt idx="351">
                  <v>0.007969671110064731</v>
                </pt>
                <pt idx="352">
                  <v>0.02548002390376133</v>
                </pt>
                <pt idx="353">
                  <v>0.03405410192034507</v>
                </pt>
                <pt idx="354">
                  <v>0.03073979512601174</v>
                </pt>
                <pt idx="355">
                  <v>0.03316181102607763</v>
                </pt>
                <pt idx="356">
                  <v>0.03249912886090098</v>
                </pt>
                <pt idx="357">
                  <v>0.04817294626936543</v>
                </pt>
                <pt idx="358">
                  <v>0.0468223697873139</v>
                </pt>
                <pt idx="359">
                  <v>0.04220879239224894</v>
                </pt>
                <pt idx="360">
                  <v>0.03677723630710367</v>
                </pt>
                <pt idx="361">
                  <v>0.02247449339065476</v>
                </pt>
                <pt idx="362">
                  <v>0.006869674108915346</v>
                </pt>
                <pt idx="363">
                  <v>0.001559436170161086</v>
                </pt>
                <pt idx="364">
                  <v>-0.005120440135853234</v>
                </pt>
                <pt idx="365">
                  <v>-0.002338717167197162</v>
                </pt>
                <pt idx="366">
                  <v>-0.002672285255904141</v>
                </pt>
                <pt idx="367">
                  <v>0.005919860328483917</v>
                </pt>
                <pt idx="368">
                  <v>0.01809928933369263</v>
                </pt>
                <pt idx="369">
                  <v>0.0155730624332096</v>
                </pt>
                <pt idx="370">
                  <v>0.02166849727344418</v>
                </pt>
                <pt idx="371">
                  <v>0.01630019465071012</v>
                </pt>
                <pt idx="372">
                  <v>0.02128142741281419</v>
                </pt>
                <pt idx="373">
                  <v>0.0263845703757792</v>
                </pt>
                <pt idx="374">
                  <v>0.03384950275921311</v>
                </pt>
                <pt idx="375">
                  <v>0.04405774289690956</v>
                </pt>
                <pt idx="376">
                  <v>0.03499189295056567</v>
                </pt>
                <pt idx="377">
                  <v>0.03906435124064861</v>
                </pt>
                <pt idx="378">
                  <v>0.03828331782308659</v>
                </pt>
                <pt idx="379">
                  <v>0.03403542295818669</v>
                </pt>
                <pt idx="380">
                  <v>0.03666279930792951</v>
                </pt>
                <pt idx="381">
                  <v>0.03753607869515244</v>
                </pt>
                <pt idx="382">
                  <v>0.04412400233484145</v>
                </pt>
                <pt idx="383">
                  <v>0.04220844476287081</v>
                </pt>
                <pt idx="384">
                  <v>0.04484539175305041</v>
                </pt>
                <pt idx="385">
                  <v>0.04655052396135265</v>
                </pt>
                <pt idx="386">
                  <v>0.04062344125016881</v>
                </pt>
                <pt idx="387">
                  <v>0.02918164369220033</v>
                </pt>
                <pt idx="388">
                  <v>0.0403564377317813</v>
                </pt>
                <pt idx="389">
                  <v>0.02961627068159078</v>
                </pt>
                <pt idx="390">
                  <v>0.0303962583489895</v>
                </pt>
                <pt idx="391">
                  <v>-0.01256895046709869</v>
                </pt>
                <pt idx="392">
                  <v>-0.009162746293378094</v>
                </pt>
                <pt idx="393">
                  <v>0.005185286820109893</v>
                </pt>
                <pt idx="394">
                  <v>0.004927063583500402</v>
                </pt>
                <pt idx="395">
                  <v>0.009376910746919823</v>
                </pt>
                <pt idx="396">
                  <v>0.005756076139645676</v>
                </pt>
                <pt idx="397">
                  <v>0.005038631004968826</v>
                </pt>
                <pt idx="398">
                  <v>0.008960613900737368</v>
                </pt>
                <pt idx="399">
                  <v>0.01349894205729165</v>
                </pt>
                <pt idx="400">
                  <v>0.01278878956443774</v>
                </pt>
                <pt idx="401">
                  <v>0.01781529052540694</v>
                </pt>
                <pt idx="402">
                  <v>0.02048917813960473</v>
                </pt>
                <pt idx="403">
                  <v>0.05989231890532048</v>
                </pt>
                <pt idx="404">
                  <v>0.04493489849365705</v>
                </pt>
                <pt idx="405">
                  <v>0.02147589933172194</v>
                </pt>
                <pt idx="406">
                  <v>0.02404398962321522</v>
                </pt>
                <pt idx="407">
                  <v>0.01951914658802668</v>
                </pt>
                <pt idx="408">
                  <v>0.02612914890782419</v>
                </pt>
                <pt idx="409">
                  <v>0.02983050619700533</v>
                </pt>
                <pt idx="410">
                  <v>0.03562809424962797</v>
                </pt>
                <pt idx="411">
                  <v>0.03731547186897433</v>
                </pt>
                <pt idx="412">
                  <v>0.03311344443431244</v>
                </pt>
                <pt idx="413">
                  <v>0.0323522586848368</v>
                </pt>
                <pt idx="414">
                  <v>0.03471465766890716</v>
                </pt>
                <pt idx="415">
                  <v>0.03758728848901082</v>
                </pt>
                <pt idx="416">
                  <v>0.04061515422182527</v>
                </pt>
                <pt idx="417">
                  <v>0.05236496456033093</v>
                </pt>
                <pt idx="418">
                  <v>0.04212703453489022</v>
                </pt>
                <pt idx="419">
                  <v>0.039881564573433</v>
                </pt>
                <pt idx="420">
                  <v>0.02439785457735257</v>
                </pt>
                <pt idx="421">
                  <v>0.02211817308957414</v>
                </pt>
                <pt idx="422">
                  <v>0.01065866789857478</v>
                </pt>
                <pt idx="423">
                  <v>-0.001066507263968185</v>
                </pt>
                <pt idx="424">
                  <v>-0.0006921279327979612</v>
                </pt>
                <pt idx="425">
                  <v>-0.002115467758206519</v>
                </pt>
                <pt idx="426">
                  <v>-0.02431381359694871</v>
                </pt>
                <pt idx="427">
                  <v>-0.08957698421266991</v>
                </pt>
                <pt idx="428">
                  <v>-0.06404032920141216</v>
                </pt>
                <pt idx="429">
                  <v>-0.08636031275230704</v>
                </pt>
                <pt idx="430">
                  <v>-0.1207753016659828</v>
                </pt>
                <pt idx="431">
                  <v>-0.1353001038861917</v>
                </pt>
                <pt idx="432">
                  <v>-0.1360981470160334</v>
                </pt>
                <pt idx="433">
                  <v>-0.1525289576932569</v>
                </pt>
                <pt idx="434">
                  <v>-0.155398990335889</v>
                </pt>
                <pt idx="435">
                  <v>-0.1539089078477356</v>
                </pt>
                <pt idx="436">
                  <v>-0.155722465897438</v>
                </pt>
                <pt idx="437">
                  <v>-0.1424765398754757</v>
                </pt>
                <pt idx="438">
                  <v>-0.1148800014035564</v>
                </pt>
                <pt idx="439">
                  <v>-0.04191509196921902</v>
                </pt>
                <pt idx="440">
                  <v>-0.06676932377481597</v>
                </pt>
                <pt idx="441">
                  <v>-0.04265498902035639</v>
                </pt>
                <pt idx="442">
                  <v>-0.002361925378070377</v>
                </pt>
                <pt idx="443">
                  <v>0.02942849507052796</v>
                </pt>
                <pt idx="444">
                  <v>0.04853334779869642</v>
                </pt>
                <pt idx="445">
                  <v>0.07387248059290798</v>
                </pt>
                <pt idx="446">
                  <v>0.0872954556087618</v>
                </pt>
                <pt idx="447">
                  <v>0.1085235128977806</v>
                </pt>
                <pt idx="448">
                  <v>0.1182102226696113</v>
                </pt>
                <pt idx="449">
                  <v>0.1043983942769093</v>
                </pt>
                <pt idx="450">
                  <v>0.09767567473816961</v>
                </pt>
                <pt idx="451">
                  <v>0.0942366350939154</v>
                </pt>
                <pt idx="452">
                  <v>0.08653968378132605</v>
                </pt>
                <pt idx="453">
                  <v>0.0773227742512283</v>
                </pt>
                <pt idx="454">
                  <v>0.08739682796081287</v>
                </pt>
                <pt idx="455">
                  <v>0.06928097881294872</v>
                </pt>
                <pt idx="456">
                  <v>0.04795296884185776</v>
                </pt>
                <pt idx="457">
                  <v>0.06268411061131729</v>
                </pt>
                <pt idx="458">
                  <v>0.05172000744289899</v>
                </pt>
                <pt idx="459">
                  <v>0.03688072173300392</v>
                </pt>
                <pt idx="460">
                  <v>0.03734678439770842</v>
                </pt>
                <pt idx="461">
                  <v>0.03666928790660041</v>
                </pt>
                <pt idx="462">
                  <v>0.03476004631813692</v>
                </pt>
                <pt idx="463">
                  <v>0.02624157796652698</v>
                </pt>
                <pt idx="464">
                  <v>0.04132526108808823</v>
                </pt>
                <pt idx="465">
                  <v>0.04413470619347984</v>
                </pt>
                <pt idx="466">
                  <v>0.03752291971061854</v>
                </pt>
                <pt idx="467">
                  <v>0.05039275543581759</v>
                </pt>
                <pt idx="468">
                  <v>0.062256250532939</v>
                </pt>
                <pt idx="469">
                  <v>0.03869372381991624</v>
                </pt>
                <pt idx="470">
                  <v>0.05128196622336627</v>
                </pt>
                <pt idx="471">
                  <v>0.05303685931133077</v>
                </pt>
                <pt idx="472">
                  <v>0.04573281389890388</v>
                </pt>
                <pt idx="473">
                  <v>0.05039514084885847</v>
                </pt>
                <pt idx="474">
                  <v>0.03652634851038071</v>
                </pt>
                <pt idx="475">
                  <v>0.03911922272289253</v>
                </pt>
                <pt idx="476">
                  <v>0.03776672798903326</v>
                </pt>
                <pt idx="477">
                  <v>0.03500956654259023</v>
                </pt>
                <pt idx="478">
                  <v>0.032154801209518</v>
                </pt>
                <pt idx="479">
                  <v>0.02776063634647889</v>
                </pt>
                <pt idx="480">
                  <v>0.02809124055210756</v>
                </pt>
                <pt idx="481">
                  <v>0.03565316479289696</v>
                </pt>
                <pt idx="482">
                  <v>0.0291954603304829</v>
                </pt>
                <pt idx="483">
                  <v>0.03107022223343236</v>
                </pt>
                <pt idx="484">
                  <v>0.03272281320271691</v>
                </pt>
                <pt idx="485">
                  <v>0.02924811464307819</v>
                </pt>
                <pt idx="486">
                  <v>0.04151593018875476</v>
                </pt>
                <pt idx="487">
                  <v>0.04682867504119525</v>
                </pt>
                <pt idx="488">
                  <v>0.0344134822571748</v>
                </pt>
                <pt idx="489">
                  <v>0.03895443988964574</v>
                </pt>
                <pt idx="490">
                  <v>0.03811164343004794</v>
                </pt>
                <pt idx="491">
                  <v>0.03665264990983323</v>
                </pt>
                <pt idx="492">
                  <v>0.03818802344026105</v>
                </pt>
                <pt idx="493">
                  <v>0.04573128956060236</v>
                </pt>
                <pt idx="494">
                  <v>0.04970224438342063</v>
                </pt>
                <pt idx="495">
                  <v>0.05267733919350608</v>
                </pt>
                <pt idx="496">
                  <v>0.05940200797241228</v>
                </pt>
                <pt idx="497">
                  <v>0.05726244219838059</v>
                </pt>
                <pt idx="498">
                  <v>0.05357207806116052</v>
                </pt>
                <pt idx="499">
                  <v>0.05009019204183148</v>
                </pt>
                <pt idx="500">
                  <v>0.05349742887907172</v>
                </pt>
                <pt idx="501">
                  <v>0.0470033795305862</v>
                </pt>
                <pt idx="502">
                  <v>0.04858598751520721</v>
                </pt>
                <pt idx="503">
                  <v>0.03353256823944813</v>
                </pt>
                <pt idx="504">
                  <v>0.02232175106552052</v>
                </pt>
                <pt idx="505">
                  <v>0.001732749752604145</v>
                </pt>
                <pt idx="506">
                  <v>-0.007068307500584148</v>
                </pt>
                <pt idx="507">
                  <v>-0.02009165668538986</v>
                </pt>
                <pt idx="508">
                  <v>-0.03141090470019568</v>
                </pt>
                <pt idx="509">
                  <v>-0.02738977438178766</v>
                </pt>
                <pt idx="510">
                  <v>-0.03407034626534199</v>
                </pt>
                <pt idx="511">
                  <v>-0.03795297557060827</v>
                </pt>
                <pt idx="512">
                  <v>-0.04464930479934896</v>
                </pt>
                <pt idx="513">
                  <v>-0.05527210965583047</v>
                </pt>
                <pt idx="514">
                  <v>-0.06297697764142797</v>
                </pt>
                <pt idx="515">
                  <v>-0.04818403545750322</v>
                </pt>
                <pt idx="516">
                  <v>-0.04990823698862454</v>
                </pt>
                <pt idx="517">
                  <v>-0.04886648497106667</v>
                </pt>
                <pt idx="518">
                  <v>-0.04440707548094844</v>
                </pt>
                <pt idx="519">
                  <v>-0.03856456956750726</v>
                </pt>
                <pt idx="520">
                  <v>-0.02951054947803452</v>
                </pt>
                <pt idx="521">
                  <v>-0.0328021178838146</v>
                </pt>
                <pt idx="522">
                  <v>-0.02935219858550314</v>
                </pt>
                <pt idx="523">
                  <v>-0.0300874409736188</v>
                </pt>
                <pt idx="524">
                  <v>-0.01984204353551318</v>
                </pt>
                <pt idx="525">
                  <v>-0.01186174009937537</v>
                </pt>
                <pt idx="526">
                  <v>-0.004289976860309259</v>
                </pt>
                <pt idx="527">
                  <v>-0.005258483072297603</v>
                </pt>
                <pt idx="528">
                  <v>0.002362623479933451</v>
                </pt>
                <pt idx="529">
                  <v>0.01844998378429408</v>
                </pt>
                <pt idx="530">
                  <v>0.02514747514547428</v>
                </pt>
                <pt idx="531">
                  <v>0.02657481225378707</v>
                </pt>
                <pt idx="532">
                  <v>0.02793092692305723</v>
                </pt>
                <pt idx="533">
                  <v>0.02384914598413459</v>
                </pt>
                <pt idx="534">
                  <v>0.01755720974759593</v>
                </pt>
                <pt idx="535">
                  <v>0.01672625702900066</v>
                </pt>
                <pt idx="536">
                  <v>0.03129947444874236</v>
                </pt>
                <pt idx="537">
                  <v>0.04069595506560782</v>
                </pt>
                <pt idx="538">
                  <v>0.03835212360092259</v>
                </pt>
                <pt idx="539">
                  <v>0.03370385436794464</v>
                </pt>
                <pt idx="540">
                  <v>0.03951801840718404</v>
                </pt>
                <pt idx="541">
                  <v>0.03986028996080985</v>
                </pt>
                <pt idx="542">
                  <v>0.0407305128022909</v>
                </pt>
                <pt idx="543">
                  <v>0.04127963670075264</v>
                </pt>
                <pt idx="544">
                  <v>0.04144198281591384</v>
                </pt>
                <pt idx="545">
                  <v>0.04935334297252827</v>
                </pt>
                <pt idx="546">
                  <v>0.0673354883584418</v>
                </pt>
                <pt idx="547">
                  <v>0.07094634059882943</v>
                </pt>
                <pt idx="548">
                  <v>0.05042498073664656</v>
                </pt>
                <pt idx="549">
                  <v>0.04836988958886619</v>
                </pt>
                <pt idx="550">
                  <v>0.04750274854719654</v>
                </pt>
                <pt idx="551">
                  <v>0.04477682423278884</v>
                </pt>
                <pt idx="552">
                  <v>0.03082714486157215</v>
                </pt>
                <pt idx="553">
                  <v>0.02122500717126536</v>
                </pt>
                <pt idx="554">
                  <v>0.01510811985704567</v>
                </pt>
                <pt idx="555">
                  <v>0.01531231311497782</v>
                </pt>
                <pt idx="556">
                  <v>0.004657183526467105</v>
                </pt>
                <pt idx="557">
                  <v>-0.00466672494925603</v>
                </pt>
                <pt idx="558">
                  <v>-0.003232018834608555</v>
                </pt>
                <pt idx="559">
                  <v>-0.003036332554111454</v>
                </pt>
                <pt idx="560">
                  <v>-0.01407107195522276</v>
                </pt>
                <pt idx="561">
                  <v>-0.02006734133050714</v>
                </pt>
                <pt idx="562">
                  <v>-0.0236357570714228</v>
                </pt>
                <pt idx="563">
                  <v>-0.02166948850891854</v>
                </pt>
                <pt idx="564">
                  <v>-0.01611267776636382</v>
                </pt>
                <pt idx="565">
                  <v>-0.04161898200603914</v>
                </pt>
                <pt idx="566">
                  <v>-0.1679992344722454</v>
                </pt>
                <pt idx="567">
                  <v>-0.1797152283514077</v>
                </pt>
                <pt idx="568">
                  <v>-0.129619786144564</v>
                </pt>
                <pt idx="569">
                  <v>-0.09310189768701199</v>
                </pt>
                <pt idx="570">
                  <v>-0.09668446954630534</v>
                </pt>
                <pt idx="571">
                  <v>-0.09163809568723619</v>
                </pt>
                <pt idx="572">
                  <v>-0.07437181418173229</v>
                </pt>
                <pt idx="573">
                  <v>-0.0661256453301735</v>
                </pt>
                <pt idx="574">
                  <v>-0.05594448550230818</v>
                </pt>
                <pt idx="575">
                  <v>-0.04401593159194636</v>
                </pt>
                <pt idx="576">
                  <v>-0.08675511628534732</v>
                </pt>
                <pt idx="577">
                  <v>-0.0233607937105175</v>
                </pt>
                <pt idx="578">
                  <v>0.1330086396458051</v>
                </pt>
                <pt idx="579">
                  <v>0.1596734793771588</v>
                </pt>
                <pt idx="580">
                  <v>0.1052777629076257</v>
                </pt>
                <pt idx="581">
                  <v>0.06674597200802176</v>
                </pt>
                <pt idx="582">
                  <v>0.05971814899572013</v>
                </pt>
                <pt idx="583">
                  <v>0.03409728077352793</v>
                </pt>
                <pt idx="584">
                  <v>0.04896229082271751</v>
                </pt>
                <pt idx="585">
                  <v>0.04753695969663584</v>
                </pt>
                <pt idx="586">
                  <v>0.03593323315731353</v>
                </pt>
                <pt idx="587">
                  <v>0.02488391199461939</v>
                </pt>
                <pt idx="588">
                  <v>0.07746754679416051</v>
                </pt>
                <pt idx="589">
                  <v>0.04555800342070287</v>
                </pt>
                <pt idx="590">
                  <v>0.03796418764900048</v>
                </pt>
                <pt idx="591">
                  <v>0.03118352036809005</v>
                </pt>
                <pt idx="592">
                  <v>0.02606417942166362</v>
                </pt>
                <pt idx="593">
                  <v>0.0319050880375164</v>
                </pt>
                <pt idx="594">
                  <v>0.03080423014098824</v>
                </pt>
                <pt idx="595">
                  <v>0.05437260143025553</v>
                </pt>
                <pt idx="596">
                  <v>0.02768034026948486</v>
                </pt>
                <pt idx="597">
                  <v>0.01843249441350621</v>
                </pt>
                <pt idx="598">
                  <v>0.002110023494866297</v>
                </pt>
                <pt idx="599">
                  <v>0.01916542148896733</v>
                </pt>
                <pt idx="600">
                  <v>0.01937940825202253</v>
                </pt>
                <pt idx="601">
                  <v>0.01191719440735471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Materials!$D$463:$D$624</f>
              <numCache>
                <formatCode>0.0%</formatCode>
                <ptCount val="162"/>
                <pt idx="0">
                  <v>0.02942849507052796</v>
                </pt>
                <pt idx="1">
                  <v>0.04853334779869642</v>
                </pt>
                <pt idx="2">
                  <v>0.07387248059290798</v>
                </pt>
                <pt idx="3">
                  <v>0.0872954556087618</v>
                </pt>
                <pt idx="4">
                  <v>0.1085235128977806</v>
                </pt>
                <pt idx="5">
                  <v>0.1182102226696113</v>
                </pt>
                <pt idx="6">
                  <v>0.1043983942769093</v>
                </pt>
                <pt idx="7">
                  <v>0.09767567473816961</v>
                </pt>
                <pt idx="8">
                  <v>0.0942366350939154</v>
                </pt>
                <pt idx="9">
                  <v>0.08653968378132605</v>
                </pt>
                <pt idx="10">
                  <v>0.0773227742512283</v>
                </pt>
                <pt idx="11">
                  <v>0.08739682796081287</v>
                </pt>
                <pt idx="12">
                  <v>0.06928097881294872</v>
                </pt>
                <pt idx="13">
                  <v>0.04795296884185776</v>
                </pt>
                <pt idx="14">
                  <v>0.06268411061131729</v>
                </pt>
                <pt idx="15">
                  <v>0.05172000744289899</v>
                </pt>
                <pt idx="16">
                  <v>0.03688072173300392</v>
                </pt>
                <pt idx="17">
                  <v>0.03734678439770842</v>
                </pt>
                <pt idx="18">
                  <v>0.03666928790660041</v>
                </pt>
                <pt idx="19">
                  <v>0.03476004631813692</v>
                </pt>
                <pt idx="20">
                  <v>0.02624157796652698</v>
                </pt>
                <pt idx="21">
                  <v>0.04132526108808823</v>
                </pt>
                <pt idx="22">
                  <v>0.04413470619347984</v>
                </pt>
                <pt idx="23">
                  <v>0.03752291971061854</v>
                </pt>
                <pt idx="24">
                  <v>0.05039275543581759</v>
                </pt>
                <pt idx="25">
                  <v>0.062256250532939</v>
                </pt>
                <pt idx="26">
                  <v>0.03869372381991624</v>
                </pt>
                <pt idx="27">
                  <v>0.05128196622336627</v>
                </pt>
                <pt idx="28">
                  <v>0.05303685931133077</v>
                </pt>
                <pt idx="29">
                  <v>0.04573281389890388</v>
                </pt>
                <pt idx="30">
                  <v>0.05039514084885847</v>
                </pt>
                <pt idx="31">
                  <v>0.03652634851038071</v>
                </pt>
                <pt idx="32">
                  <v>0.03911922272289253</v>
                </pt>
                <pt idx="33">
                  <v>0.03776672798903326</v>
                </pt>
                <pt idx="34">
                  <v>0.03500956654259023</v>
                </pt>
                <pt idx="35">
                  <v>0.032154801209518</v>
                </pt>
                <pt idx="36">
                  <v>0.02776063634647889</v>
                </pt>
                <pt idx="37">
                  <v>0.02809124055210756</v>
                </pt>
                <pt idx="38">
                  <v>0.03565316479289696</v>
                </pt>
                <pt idx="39">
                  <v>0.0291954603304829</v>
                </pt>
                <pt idx="40">
                  <v>0.03107022223343236</v>
                </pt>
                <pt idx="41">
                  <v>0.03272281320271691</v>
                </pt>
                <pt idx="42">
                  <v>0.02924811464307819</v>
                </pt>
                <pt idx="43">
                  <v>0.04151593018875476</v>
                </pt>
                <pt idx="44">
                  <v>0.04682867504119525</v>
                </pt>
                <pt idx="45">
                  <v>0.0344134822571748</v>
                </pt>
                <pt idx="46">
                  <v>0.03895443988964574</v>
                </pt>
                <pt idx="47">
                  <v>0.03811164343004794</v>
                </pt>
                <pt idx="48">
                  <v>0.03665264990983323</v>
                </pt>
                <pt idx="49">
                  <v>0.03818802344026105</v>
                </pt>
                <pt idx="50">
                  <v>0.04573128956060236</v>
                </pt>
                <pt idx="51">
                  <v>0.04970224438342063</v>
                </pt>
                <pt idx="52">
                  <v>0.05267733919350608</v>
                </pt>
                <pt idx="53">
                  <v>0.05940200797241228</v>
                </pt>
                <pt idx="54">
                  <v>0.05726244219838059</v>
                </pt>
                <pt idx="55">
                  <v>0.05357207806116052</v>
                </pt>
                <pt idx="56">
                  <v>0.05009019204183148</v>
                </pt>
                <pt idx="57">
                  <v>0.05349742887907172</v>
                </pt>
                <pt idx="58">
                  <v>0.0470033795305862</v>
                </pt>
                <pt idx="59">
                  <v>0.04858598751520721</v>
                </pt>
                <pt idx="60">
                  <v>0.03353256823944813</v>
                </pt>
                <pt idx="61">
                  <v>0.02232175106552052</v>
                </pt>
                <pt idx="62">
                  <v>0.001732749752604145</v>
                </pt>
                <pt idx="63">
                  <v>-0.007068307500584148</v>
                </pt>
                <pt idx="64">
                  <v>-0.02009165668538986</v>
                </pt>
                <pt idx="65">
                  <v>-0.03141090470019568</v>
                </pt>
                <pt idx="66">
                  <v>-0.02738977438178766</v>
                </pt>
                <pt idx="67">
                  <v>-0.03407034626534199</v>
                </pt>
                <pt idx="68">
                  <v>-0.03795297557060827</v>
                </pt>
                <pt idx="69">
                  <v>-0.04464930479934896</v>
                </pt>
                <pt idx="70">
                  <v>-0.05527210965583047</v>
                </pt>
                <pt idx="71">
                  <v>-0.06297697764142797</v>
                </pt>
                <pt idx="72">
                  <v>-0.04818403545750322</v>
                </pt>
                <pt idx="73">
                  <v>-0.04990823698862454</v>
                </pt>
                <pt idx="74">
                  <v>-0.04886648497106667</v>
                </pt>
                <pt idx="75">
                  <v>-0.04440707548094844</v>
                </pt>
                <pt idx="76">
                  <v>-0.03856456956750726</v>
                </pt>
                <pt idx="77">
                  <v>-0.02951054947803452</v>
                </pt>
                <pt idx="78">
                  <v>-0.0328021178838146</v>
                </pt>
                <pt idx="79">
                  <v>-0.02935219858550314</v>
                </pt>
                <pt idx="80">
                  <v>-0.0300874409736188</v>
                </pt>
                <pt idx="81">
                  <v>-0.01984204353551318</v>
                </pt>
                <pt idx="82">
                  <v>-0.01186174009937537</v>
                </pt>
                <pt idx="83">
                  <v>-0.004289976860309259</v>
                </pt>
                <pt idx="84">
                  <v>-0.005258483072297603</v>
                </pt>
                <pt idx="85">
                  <v>0.002362623479933451</v>
                </pt>
                <pt idx="86">
                  <v>0.01844998378429408</v>
                </pt>
                <pt idx="87">
                  <v>0.02514747514547428</v>
                </pt>
                <pt idx="88">
                  <v>0.02657481225378707</v>
                </pt>
                <pt idx="89">
                  <v>0.02793092692305723</v>
                </pt>
                <pt idx="90">
                  <v>0.02384914598413459</v>
                </pt>
                <pt idx="91">
                  <v>0.01755720974759593</v>
                </pt>
                <pt idx="92">
                  <v>0.01672625702900066</v>
                </pt>
                <pt idx="93">
                  <v>0.03129947444874236</v>
                </pt>
                <pt idx="94">
                  <v>0.04069595506560782</v>
                </pt>
                <pt idx="95">
                  <v>0.03835212360092259</v>
                </pt>
                <pt idx="96">
                  <v>0.03370385436794464</v>
                </pt>
                <pt idx="97">
                  <v>0.03951801840718404</v>
                </pt>
                <pt idx="98">
                  <v>0.03986028996080985</v>
                </pt>
                <pt idx="99">
                  <v>0.0407305128022909</v>
                </pt>
                <pt idx="100">
                  <v>0.04127963670075264</v>
                </pt>
                <pt idx="101">
                  <v>0.04144198281591384</v>
                </pt>
                <pt idx="102">
                  <v>0.04935334297252827</v>
                </pt>
                <pt idx="103">
                  <v>0.0673354883584418</v>
                </pt>
                <pt idx="104">
                  <v>0.07094634059882943</v>
                </pt>
                <pt idx="105">
                  <v>0.05042498073664656</v>
                </pt>
                <pt idx="106">
                  <v>0.04836988958886619</v>
                </pt>
                <pt idx="107">
                  <v>0.04750274854719654</v>
                </pt>
                <pt idx="108">
                  <v>0.04477682423278884</v>
                </pt>
                <pt idx="109">
                  <v>0.03082714486157215</v>
                </pt>
                <pt idx="110">
                  <v>0.02122500717126536</v>
                </pt>
                <pt idx="111">
                  <v>0.01510811985704567</v>
                </pt>
                <pt idx="112">
                  <v>0.01531231311497782</v>
                </pt>
                <pt idx="113">
                  <v>0.004657183526467105</v>
                </pt>
                <pt idx="114">
                  <v>-0.00466672494925603</v>
                </pt>
                <pt idx="115">
                  <v>-0.003232018834608555</v>
                </pt>
                <pt idx="116">
                  <v>-0.003036332554111454</v>
                </pt>
                <pt idx="117">
                  <v>-0.01407107195522276</v>
                </pt>
                <pt idx="118">
                  <v>-0.02006734133050714</v>
                </pt>
                <pt idx="119">
                  <v>-0.0236357570714228</v>
                </pt>
                <pt idx="120">
                  <v>-0.02166948850891854</v>
                </pt>
                <pt idx="121">
                  <v>-0.01611267776636382</v>
                </pt>
                <pt idx="122">
                  <v>-0.04161898200603914</v>
                </pt>
                <pt idx="123">
                  <v>-0.1679992344722454</v>
                </pt>
                <pt idx="124">
                  <v>-0.1797152283514077</v>
                </pt>
                <pt idx="125">
                  <v>-0.129619786144564</v>
                </pt>
                <pt idx="126">
                  <v>-0.09310189768701199</v>
                </pt>
                <pt idx="127">
                  <v>-0.09668446954630534</v>
                </pt>
                <pt idx="128">
                  <v>-0.09163809568723619</v>
                </pt>
                <pt idx="129">
                  <v>-0.07437181418173229</v>
                </pt>
                <pt idx="130">
                  <v>-0.0661256453301735</v>
                </pt>
                <pt idx="131">
                  <v>-0.05594448550230818</v>
                </pt>
                <pt idx="132">
                  <v>-0.04401593159194636</v>
                </pt>
                <pt idx="133">
                  <v>-0.08675511628534732</v>
                </pt>
                <pt idx="134">
                  <v>-0.0233607937105175</v>
                </pt>
                <pt idx="135">
                  <v>0.1330086396458051</v>
                </pt>
                <pt idx="136">
                  <v>0.1596734793771588</v>
                </pt>
                <pt idx="137">
                  <v>0.1052777629076257</v>
                </pt>
                <pt idx="138">
                  <v>0.06674597200802176</v>
                </pt>
                <pt idx="139">
                  <v>0.05971814899572013</v>
                </pt>
                <pt idx="140">
                  <v>0.03409728077352793</v>
                </pt>
                <pt idx="141">
                  <v>0.04896229082271751</v>
                </pt>
                <pt idx="142">
                  <v>0.04753695969663584</v>
                </pt>
                <pt idx="143">
                  <v>0.03593323315731353</v>
                </pt>
                <pt idx="144">
                  <v>0.02488391199461939</v>
                </pt>
                <pt idx="145">
                  <v>0.07746754679416051</v>
                </pt>
                <pt idx="146">
                  <v>0.04555800342070287</v>
                </pt>
                <pt idx="147">
                  <v>0.03796418764900048</v>
                </pt>
                <pt idx="148">
                  <v>0.03118352036809005</v>
                </pt>
                <pt idx="149">
                  <v>0.02606417942166362</v>
                </pt>
                <pt idx="150">
                  <v>0.0319050880375164</v>
                </pt>
                <pt idx="151">
                  <v>0.03080423014098824</v>
                </pt>
                <pt idx="152">
                  <v>0.05437260143025553</v>
                </pt>
                <pt idx="153">
                  <v>0.02768034026948486</v>
                </pt>
                <pt idx="154">
                  <v>0.01843249441350621</v>
                </pt>
                <pt idx="155">
                  <v>0.002110023494866297</v>
                </pt>
                <pt idx="156">
                  <v>0.01916542148896733</v>
                </pt>
                <pt idx="157">
                  <v>0.01937940825202253</v>
                </pt>
                <pt idx="158">
                  <v>0.01191719440735471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numCache>
            </numRef>
          </cat>
          <val>
            <numRef>
              <f>Materials!$B$463:$B$620</f>
              <numCache>
                <formatCode>0.0</formatCode>
                <ptCount val="158"/>
                <pt idx="0">
                  <v>83.97110000000001</v>
                </pt>
                <pt idx="1">
                  <v>85.05</v>
                </pt>
                <pt idx="2">
                  <v>85.54640000000001</v>
                </pt>
                <pt idx="3">
                  <v>85.988</v>
                </pt>
                <pt idx="4">
                  <v>87.14579999999999</v>
                </pt>
                <pt idx="5">
                  <v>87.6461</v>
                </pt>
                <pt idx="6">
                  <v>87.8719</v>
                </pt>
                <pt idx="7">
                  <v>88.6046</v>
                </pt>
                <pt idx="8">
                  <v>89.28959999999999</v>
                </pt>
                <pt idx="9">
                  <v>88.8972</v>
                </pt>
                <pt idx="10">
                  <v>89.0501</v>
                </pt>
                <pt idx="11">
                  <v>90.2062</v>
                </pt>
                <pt idx="12">
                  <v>89.78870000000001</v>
                </pt>
                <pt idx="13">
                  <v>89.1284</v>
                </pt>
                <pt idx="14">
                  <v>90.9088</v>
                </pt>
                <pt idx="15">
                  <v>90.4353</v>
                </pt>
                <pt idx="16">
                  <v>90.35980000000001</v>
                </pt>
                <pt idx="17">
                  <v>90.9194</v>
                </pt>
                <pt idx="18">
                  <v>91.0941</v>
                </pt>
                <pt idx="19">
                  <v>91.6845</v>
                </pt>
                <pt idx="20">
                  <v>91.6327</v>
                </pt>
                <pt idx="21">
                  <v>92.57089999999999</v>
                </pt>
                <pt idx="22">
                  <v>92.9803</v>
                </pt>
                <pt idx="23">
                  <v>93.59099999999999</v>
                </pt>
                <pt idx="24">
                  <v>94.3134</v>
                </pt>
                <pt idx="25">
                  <v>94.6772</v>
                </pt>
                <pt idx="26">
                  <v>94.4264</v>
                </pt>
                <pt idx="27">
                  <v>95.07299999999999</v>
                </pt>
                <pt idx="28">
                  <v>95.15219999999999</v>
                </pt>
                <pt idx="29">
                  <v>95.0774</v>
                </pt>
                <pt idx="30">
                  <v>95.6848</v>
                </pt>
                <pt idx="31">
                  <v>95.0334</v>
                </pt>
                <pt idx="32">
                  <v>95.21729999999999</v>
                </pt>
                <pt idx="33">
                  <v>96.06699999999999</v>
                </pt>
                <pt idx="34">
                  <v>96.2355</v>
                </pt>
                <pt idx="35">
                  <v>96.60039999999999</v>
                </pt>
                <pt idx="36">
                  <v>96.9316</v>
                </pt>
                <pt idx="37">
                  <v>97.3368</v>
                </pt>
                <pt idx="38">
                  <v>97.79300000000001</v>
                </pt>
                <pt idx="39">
                  <v>97.84869999999999</v>
                </pt>
                <pt idx="40">
                  <v>98.1086</v>
                </pt>
                <pt idx="41">
                  <v>98.18859999999999</v>
                </pt>
                <pt idx="42">
                  <v>98.4834</v>
                </pt>
                <pt idx="43">
                  <v>98.97880000000001</v>
                </pt>
                <pt idx="44">
                  <v>99.67619999999999</v>
                </pt>
                <pt idx="45">
                  <v>99.373</v>
                </pt>
                <pt idx="46">
                  <v>99.9843</v>
                </pt>
                <pt idx="47">
                  <v>100.282</v>
                </pt>
                <pt idx="48">
                  <v>100.4844</v>
                </pt>
                <pt idx="49">
                  <v>101.0539</v>
                </pt>
                <pt idx="50">
                  <v>102.2652</v>
                </pt>
                <pt idx="51">
                  <v>102.712</v>
                </pt>
                <pt idx="52">
                  <v>103.2767</v>
                </pt>
                <pt idx="53">
                  <v>104.0212</v>
                </pt>
                <pt idx="54">
                  <v>104.1228</v>
                </pt>
                <pt idx="55">
                  <v>104.2813</v>
                </pt>
                <pt idx="56">
                  <v>104.669</v>
                </pt>
                <pt idx="57">
                  <v>104.6892</v>
                </pt>
                <pt idx="58">
                  <v>104.6839</v>
                </pt>
                <pt idx="59">
                  <v>105.1543</v>
                </pt>
                <pt idx="60">
                  <v>103.8539</v>
                </pt>
                <pt idx="61">
                  <v>103.3096</v>
                </pt>
                <pt idx="62">
                  <v>102.4424</v>
                </pt>
                <pt idx="63">
                  <v>101.986</v>
                </pt>
                <pt idx="64">
                  <v>101.2017</v>
                </pt>
                <pt idx="65">
                  <v>100.7538</v>
                </pt>
                <pt idx="66">
                  <v>101.2709</v>
                </pt>
                <pt idx="67">
                  <v>100.7284</v>
                </pt>
                <pt idx="68">
                  <v>100.6965</v>
                </pt>
                <pt idx="69">
                  <v>100.0149</v>
                </pt>
                <pt idx="70">
                  <v>98.8978</v>
                </pt>
                <pt idx="71">
                  <v>98.532</v>
                </pt>
                <pt idx="72">
                  <v>98.8498</v>
                </pt>
                <pt idx="73">
                  <v>98.1536</v>
                </pt>
                <pt idx="74">
                  <v>97.43640000000001</v>
                </pt>
                <pt idx="75">
                  <v>97.4571</v>
                </pt>
                <pt idx="76">
                  <v>97.2989</v>
                </pt>
                <pt idx="77">
                  <v>97.7805</v>
                </pt>
                <pt idx="78">
                  <v>97.949</v>
                </pt>
                <pt idx="79">
                  <v>97.7718</v>
                </pt>
                <pt idx="80">
                  <v>97.66679999999999</v>
                </pt>
                <pt idx="81">
                  <v>98.0304</v>
                </pt>
                <pt idx="82">
                  <v>97.7247</v>
                </pt>
                <pt idx="83">
                  <v>98.1093</v>
                </pt>
                <pt idx="84">
                  <v>98.33</v>
                </pt>
                <pt idx="85">
                  <v>98.38549999999999</v>
                </pt>
                <pt idx="86">
                  <v>99.2341</v>
                </pt>
                <pt idx="87">
                  <v>99.9079</v>
                </pt>
                <pt idx="88">
                  <v>99.88460000000001</v>
                </pt>
                <pt idx="89">
                  <v>100.5116</v>
                </pt>
                <pt idx="90">
                  <v>100.285</v>
                </pt>
                <pt idx="91">
                  <v>99.4884</v>
                </pt>
                <pt idx="92">
                  <v>99.3004</v>
                </pt>
                <pt idx="93">
                  <v>101.0987</v>
                </pt>
                <pt idx="94">
                  <v>101.7017</v>
                </pt>
                <pt idx="95">
                  <v>101.872</v>
                </pt>
                <pt idx="96">
                  <v>101.6441</v>
                </pt>
                <pt idx="97">
                  <v>102.2735</v>
                </pt>
                <pt idx="98">
                  <v>103.1896</v>
                </pt>
                <pt idx="99">
                  <v>103.9772</v>
                </pt>
                <pt idx="100">
                  <v>104.0078</v>
                </pt>
                <pt idx="101">
                  <v>104.677</v>
                </pt>
                <pt idx="102">
                  <v>105.2344</v>
                </pt>
                <pt idx="103">
                  <v>106.1875</v>
                </pt>
                <pt idx="104">
                  <v>106.3454</v>
                </pt>
                <pt idx="105">
                  <v>106.1966</v>
                </pt>
                <pt idx="106">
                  <v>106.621</v>
                </pt>
                <pt idx="107">
                  <v>106.7112</v>
                </pt>
                <pt idx="108">
                  <v>106.1954</v>
                </pt>
                <pt idx="109">
                  <v>105.4263</v>
                </pt>
                <pt idx="110">
                  <v>105.3798</v>
                </pt>
                <pt idx="111">
                  <v>105.5481</v>
                </pt>
                <pt idx="112">
                  <v>105.6004</v>
                </pt>
                <pt idx="113">
                  <v>105.1645</v>
                </pt>
                <pt idx="114">
                  <v>104.7433</v>
                </pt>
                <pt idx="115">
                  <v>105.8443</v>
                </pt>
                <pt idx="116">
                  <v>106.0225</v>
                </pt>
                <pt idx="117">
                  <v>104.7023</v>
                </pt>
                <pt idx="118">
                  <v>104.4814</v>
                </pt>
                <pt idx="119">
                  <v>104.189</v>
                </pt>
                <pt idx="120">
                  <v>103.8942</v>
                </pt>
                <pt idx="121">
                  <v>103.7276</v>
                </pt>
                <pt idx="122">
                  <v>100.994</v>
                </pt>
                <pt idx="123">
                  <v>87.81610000000001</v>
                </pt>
                <pt idx="124">
                  <v>86.6224</v>
                </pt>
                <pt idx="125">
                  <v>91.5331</v>
                </pt>
                <pt idx="126">
                  <v>94.9915</v>
                </pt>
                <pt idx="127">
                  <v>95.6108</v>
                </pt>
                <pt idx="128">
                  <v>96.3068</v>
                </pt>
                <pt idx="129">
                  <v>96.91540000000001</v>
                </pt>
                <pt idx="130">
                  <v>97.57250000000001</v>
                </pt>
                <pt idx="131">
                  <v>98.36020000000001</v>
                </pt>
                <pt idx="132">
                  <v>99.3212</v>
                </pt>
                <pt idx="133">
                  <v>94.7287</v>
                </pt>
                <pt idx="134">
                  <v>98.6347</v>
                </pt>
                <pt idx="135">
                  <v>99.49639999999999</v>
                </pt>
                <pt idx="136">
                  <v>100.4537</v>
                </pt>
                <pt idx="137">
                  <v>101.1695</v>
                </pt>
                <pt idx="138">
                  <v>101.3318</v>
                </pt>
                <pt idx="139">
                  <v>101.3205</v>
                </pt>
                <pt idx="140">
                  <v>99.59059999999999</v>
                </pt>
                <pt idx="141">
                  <v>101.6606</v>
                </pt>
                <pt idx="142">
                  <v>102.2108</v>
                </pt>
                <pt idx="143">
                  <v>101.8946</v>
                </pt>
                <pt idx="144">
                  <v>101.7927</v>
                </pt>
                <pt idx="145">
                  <v>102.0671</v>
                </pt>
                <pt idx="146">
                  <v>103.1283</v>
                </pt>
                <pt idx="147">
                  <v>103.2737</v>
                </pt>
                <pt idx="148">
                  <v>103.5862</v>
                </pt>
                <pt idx="149">
                  <v>103.8064</v>
                </pt>
                <pt idx="150">
                  <v>104.5648</v>
                </pt>
                <pt idx="151">
                  <v>104.4416</v>
                </pt>
                <pt idx="152">
                  <v>105.0056</v>
                </pt>
                <pt idx="153">
                  <v>104.4746</v>
                </pt>
                <pt idx="154">
                  <v>104.0948</v>
                </pt>
                <pt idx="155">
                  <v>102.1096</v>
                </pt>
                <pt idx="156">
                  <v>103.7436</v>
                </pt>
                <pt idx="157">
                  <v>104.0451</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Goods'!$A$20:$A$629</f>
              <numCache>
                <formatCode>mmm\-yy</formatCode>
                <ptCount val="61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'Consumer Goods'!$B$20:$B$629</f>
              <numCache>
                <formatCode>0.0</formatCode>
                <ptCount val="610"/>
                <pt idx="0">
                  <v>62.1036</v>
                </pt>
                <pt idx="1">
                  <v>62.2681</v>
                </pt>
                <pt idx="2">
                  <v>61.6179</v>
                </pt>
                <pt idx="3">
                  <v>61.9927</v>
                </pt>
                <pt idx="4">
                  <v>61.5915</v>
                </pt>
                <pt idx="5">
                  <v>61.425</v>
                </pt>
                <pt idx="6">
                  <v>60.862</v>
                </pt>
                <pt idx="7">
                  <v>61.8129</v>
                </pt>
                <pt idx="8">
                  <v>62.0763</v>
                </pt>
                <pt idx="9">
                  <v>62.2632</v>
                </pt>
                <pt idx="10">
                  <v>61.1607</v>
                </pt>
                <pt idx="11">
                  <v>60.3606</v>
                </pt>
                <pt idx="12">
                  <v>60.1783</v>
                </pt>
                <pt idx="13">
                  <v>60.2827</v>
                </pt>
                <pt idx="14">
                  <v>60.0994</v>
                </pt>
                <pt idx="15">
                  <v>60.665</v>
                </pt>
                <pt idx="16">
                  <v>60.8735</v>
                </pt>
                <pt idx="17">
                  <v>60.8467</v>
                </pt>
                <pt idx="18">
                  <v>60.7599</v>
                </pt>
                <pt idx="19">
                  <v>60.2253</v>
                </pt>
                <pt idx="20">
                  <v>60.2333</v>
                </pt>
                <pt idx="21">
                  <v>58.5305</v>
                </pt>
                <pt idx="22">
                  <v>56.5854</v>
                </pt>
                <pt idx="23">
                  <v>55.2951</v>
                </pt>
                <pt idx="24">
                  <v>54.546</v>
                </pt>
                <pt idx="25">
                  <v>54.6933</v>
                </pt>
                <pt idx="26">
                  <v>55.8438</v>
                </pt>
                <pt idx="27">
                  <v>56.1027</v>
                </pt>
                <pt idx="28">
                  <v>56.8696</v>
                </pt>
                <pt idx="29">
                  <v>58.322</v>
                </pt>
                <pt idx="30">
                  <v>58.6408</v>
                </pt>
                <pt idx="31">
                  <v>59.5016</v>
                </pt>
                <pt idx="32">
                  <v>59.5872</v>
                </pt>
                <pt idx="33">
                  <v>59.7932</v>
                </pt>
                <pt idx="34">
                  <v>60.355</v>
                </pt>
                <pt idx="35">
                  <v>61.0632</v>
                </pt>
                <pt idx="36">
                  <v>61.3384</v>
                </pt>
                <pt idx="37">
                  <v>61.2696</v>
                </pt>
                <pt idx="38">
                  <v>61.4142</v>
                </pt>
                <pt idx="39">
                  <v>61.8718</v>
                </pt>
                <pt idx="40">
                  <v>61.71</v>
                </pt>
                <pt idx="41">
                  <v>62.0886</v>
                </pt>
                <pt idx="42">
                  <v>62.2019</v>
                </pt>
                <pt idx="43">
                  <v>62.2665</v>
                </pt>
                <pt idx="44">
                  <v>62.7095</v>
                </pt>
                <pt idx="45">
                  <v>63.8277</v>
                </pt>
                <pt idx="46">
                  <v>64.51609999999999</v>
                </pt>
                <pt idx="47">
                  <v>64.2512</v>
                </pt>
                <pt idx="48">
                  <v>65.13939999999999</v>
                </pt>
                <pt idx="49">
                  <v>65.2302</v>
                </pt>
                <pt idx="50">
                  <v>65.70950000000001</v>
                </pt>
                <pt idx="51">
                  <v>65.6896</v>
                </pt>
                <pt idx="52">
                  <v>66.173</v>
                </pt>
                <pt idx="53">
                  <v>66.3052</v>
                </pt>
                <pt idx="54">
                  <v>66.43989999999999</v>
                </pt>
                <pt idx="55">
                  <v>66.53789999999999</v>
                </pt>
                <pt idx="56">
                  <v>67.0617</v>
                </pt>
                <pt idx="57">
                  <v>67.1461</v>
                </pt>
                <pt idx="58">
                  <v>67.7389</v>
                </pt>
                <pt idx="59">
                  <v>65.93980000000001</v>
                </pt>
                <pt idx="60">
                  <v>67.0462</v>
                </pt>
                <pt idx="61">
                  <v>68.3921</v>
                </pt>
                <pt idx="62">
                  <v>68.8356</v>
                </pt>
                <pt idx="63">
                  <v>68.4564</v>
                </pt>
                <pt idx="64">
                  <v>68.8177</v>
                </pt>
                <pt idx="65">
                  <v>68.4585</v>
                </pt>
                <pt idx="66">
                  <v>68.3509</v>
                </pt>
                <pt idx="67">
                  <v>68.4631</v>
                </pt>
                <pt idx="68">
                  <v>68.357</v>
                </pt>
                <pt idx="69">
                  <v>68.5758</v>
                </pt>
                <pt idx="70">
                  <v>68.7069</v>
                </pt>
                <pt idx="71">
                  <v>68.562</v>
                </pt>
                <pt idx="72">
                  <v>68.0805</v>
                </pt>
                <pt idx="73">
                  <v>68.35809999999999</v>
                </pt>
                <pt idx="74">
                  <v>67.0436</v>
                </pt>
                <pt idx="75">
                  <v>67.54349999999999</v>
                </pt>
                <pt idx="76">
                  <v>67.2821</v>
                </pt>
                <pt idx="77">
                  <v>66.7702</v>
                </pt>
                <pt idx="78">
                  <v>66.0335</v>
                </pt>
                <pt idx="79">
                  <v>66.3827</v>
                </pt>
                <pt idx="80">
                  <v>66.6075</v>
                </pt>
                <pt idx="81">
                  <v>66.4164</v>
                </pt>
                <pt idx="82">
                  <v>66.4482</v>
                </pt>
                <pt idx="83">
                  <v>66.21850000000001</v>
                </pt>
                <pt idx="84">
                  <v>66.4122</v>
                </pt>
                <pt idx="85">
                  <v>65.8954</v>
                </pt>
                <pt idx="86">
                  <v>64.84739999999999</v>
                </pt>
                <pt idx="87">
                  <v>63.4668</v>
                </pt>
                <pt idx="88">
                  <v>63.1004</v>
                </pt>
                <pt idx="89">
                  <v>63.1169</v>
                </pt>
                <pt idx="90">
                  <v>63.3415</v>
                </pt>
                <pt idx="91">
                  <v>63.9594</v>
                </pt>
                <pt idx="92">
                  <v>64.41840000000001</v>
                </pt>
                <pt idx="93">
                  <v>64.7102</v>
                </pt>
                <pt idx="94">
                  <v>64.723</v>
                </pt>
                <pt idx="95">
                  <v>64.73260000000001</v>
                </pt>
                <pt idx="96">
                  <v>64.60080000000001</v>
                </pt>
                <pt idx="97">
                  <v>64.5543</v>
                </pt>
                <pt idx="98">
                  <v>64.7346</v>
                </pt>
                <pt idx="99">
                  <v>65.3751</v>
                </pt>
                <pt idx="100">
                  <v>64.9192</v>
                </pt>
                <pt idx="101">
                  <v>65.3844</v>
                </pt>
                <pt idx="102">
                  <v>65.37609999999999</v>
                </pt>
                <pt idx="103">
                  <v>64.9139</v>
                </pt>
                <pt idx="104">
                  <v>65.2235</v>
                </pt>
                <pt idx="105">
                  <v>65.1069</v>
                </pt>
                <pt idx="106">
                  <v>64.4327</v>
                </pt>
                <pt idx="107">
                  <v>63.2598</v>
                </pt>
                <pt idx="108">
                  <v>65.0376</v>
                </pt>
                <pt idx="109">
                  <v>64.67449999999999</v>
                </pt>
                <pt idx="110">
                  <v>64.629</v>
                </pt>
                <pt idx="111">
                  <v>64.6645</v>
                </pt>
                <pt idx="112">
                  <v>65.10760000000001</v>
                </pt>
                <pt idx="113">
                  <v>65.26949999999999</v>
                </pt>
                <pt idx="114">
                  <v>65.08159999999999</v>
                </pt>
                <pt idx="115">
                  <v>65.0612</v>
                </pt>
                <pt idx="116">
                  <v>65.0701</v>
                </pt>
                <pt idx="117">
                  <v>64.9559</v>
                </pt>
                <pt idx="118">
                  <v>64.1215</v>
                </pt>
                <pt idx="119">
                  <v>65.5034</v>
                </pt>
                <pt idx="120">
                  <v>64.6658</v>
                </pt>
                <pt idx="121">
                  <v>64.93689999999999</v>
                </pt>
                <pt idx="122">
                  <v>66.2526</v>
                </pt>
                <pt idx="123">
                  <v>66.4798</v>
                </pt>
                <pt idx="124">
                  <v>66.7133</v>
                </pt>
                <pt idx="125">
                  <v>67.59269999999999</v>
                </pt>
                <pt idx="126">
                  <v>68.2013</v>
                </pt>
                <pt idx="127">
                  <v>69.0403</v>
                </pt>
                <pt idx="128">
                  <v>68.65430000000001</v>
                </pt>
                <pt idx="129">
                  <v>68.77</v>
                </pt>
                <pt idx="130">
                  <v>68.864</v>
                </pt>
                <pt idx="131">
                  <v>70.22669999999999</v>
                </pt>
                <pt idx="132">
                  <v>70.0951</v>
                </pt>
                <pt idx="133">
                  <v>70.3527</v>
                </pt>
                <pt idx="134">
                  <v>70.5181</v>
                </pt>
                <pt idx="135">
                  <v>70.283</v>
                </pt>
                <pt idx="136">
                  <v>70.2595</v>
                </pt>
                <pt idx="137">
                  <v>70.2435</v>
                </pt>
                <pt idx="138">
                  <v>69.9024</v>
                </pt>
                <pt idx="139">
                  <v>69.66840000000001</v>
                </pt>
                <pt idx="140">
                  <v>70.29259999999999</v>
                </pt>
                <pt idx="141">
                  <v>70.492</v>
                </pt>
                <pt idx="142">
                  <v>70.82129999999999</v>
                </pt>
                <pt idx="143">
                  <v>70.4171</v>
                </pt>
                <pt idx="144">
                  <v>70.8282</v>
                </pt>
                <pt idx="145">
                  <v>70.76220000000001</v>
                </pt>
                <pt idx="146">
                  <v>70.3888</v>
                </pt>
                <pt idx="147">
                  <v>70.5039</v>
                </pt>
                <pt idx="148">
                  <v>70.74160000000001</v>
                </pt>
                <pt idx="149">
                  <v>70.5134</v>
                </pt>
                <pt idx="150">
                  <v>70.8344</v>
                </pt>
                <pt idx="151">
                  <v>71.17230000000001</v>
                </pt>
                <pt idx="152">
                  <v>71.0817</v>
                </pt>
                <pt idx="153">
                  <v>71.4846</v>
                </pt>
                <pt idx="154">
                  <v>72.1367</v>
                </pt>
                <pt idx="155">
                  <v>72.9945</v>
                </pt>
                <pt idx="156">
                  <v>72.3652</v>
                </pt>
                <pt idx="157">
                  <v>72.10339999999999</v>
                </pt>
                <pt idx="158">
                  <v>72.5823</v>
                </pt>
                <pt idx="159">
                  <v>72.9877</v>
                </pt>
                <pt idx="160">
                  <v>72.9823</v>
                </pt>
                <pt idx="161">
                  <v>73.4243</v>
                </pt>
                <pt idx="162">
                  <v>73.3595</v>
                </pt>
                <pt idx="163">
                  <v>73.4842</v>
                </pt>
                <pt idx="164">
                  <v>73.7672</v>
                </pt>
                <pt idx="165">
                  <v>74.2773</v>
                </pt>
                <pt idx="166">
                  <v>75.0275</v>
                </pt>
                <pt idx="167">
                  <v>74.22190000000001</v>
                </pt>
                <pt idx="168">
                  <v>75.2075</v>
                </pt>
                <pt idx="169">
                  <v>75.3768</v>
                </pt>
                <pt idx="170">
                  <v>75.2936</v>
                </pt>
                <pt idx="171">
                  <v>75.8681</v>
                </pt>
                <pt idx="172">
                  <v>76.0805</v>
                </pt>
                <pt idx="173">
                  <v>76.58759999999999</v>
                </pt>
                <pt idx="174">
                  <v>76.98</v>
                </pt>
                <pt idx="175">
                  <v>76.77800000000001</v>
                </pt>
                <pt idx="176">
                  <v>78.0885</v>
                </pt>
                <pt idx="177">
                  <v>78.11539999999999</v>
                </pt>
                <pt idx="178">
                  <v>78.28489999999999</v>
                </pt>
                <pt idx="179">
                  <v>78.5852</v>
                </pt>
                <pt idx="180">
                  <v>78.9487</v>
                </pt>
                <pt idx="181">
                  <v>78.83150000000001</v>
                </pt>
                <pt idx="182">
                  <v>79.4686</v>
                </pt>
                <pt idx="183">
                  <v>79.0381</v>
                </pt>
                <pt idx="184">
                  <v>79.04049999999999</v>
                </pt>
                <pt idx="185">
                  <v>78.9906</v>
                </pt>
                <pt idx="186">
                  <v>79.5188</v>
                </pt>
                <pt idx="187">
                  <v>79.0158</v>
                </pt>
                <pt idx="188">
                  <v>79.6434</v>
                </pt>
                <pt idx="189">
                  <v>79.8023</v>
                </pt>
                <pt idx="190">
                  <v>80.2205</v>
                </pt>
                <pt idx="191">
                  <v>80.25530000000001</v>
                </pt>
                <pt idx="192">
                  <v>80.2784</v>
                </pt>
                <pt idx="193">
                  <v>80.4196</v>
                </pt>
                <pt idx="194">
                  <v>80.2298</v>
                </pt>
                <pt idx="195">
                  <v>79.5265</v>
                </pt>
                <pt idx="196">
                  <v>79.5348</v>
                </pt>
                <pt idx="197">
                  <v>77.77889999999999</v>
                </pt>
                <pt idx="198">
                  <v>79.1395</v>
                </pt>
                <pt idx="199">
                  <v>78.8531</v>
                </pt>
                <pt idx="200">
                  <v>79.02970000000001</v>
                </pt>
                <pt idx="201">
                  <v>79.3507</v>
                </pt>
                <pt idx="202">
                  <v>80.6194</v>
                </pt>
                <pt idx="203">
                  <v>78.93129999999999</v>
                </pt>
                <pt idx="204">
                  <v>79.907</v>
                </pt>
                <pt idx="205">
                  <v>80.4198</v>
                </pt>
                <pt idx="206">
                  <v>80.0698</v>
                </pt>
                <pt idx="207">
                  <v>80.0147</v>
                </pt>
                <pt idx="208">
                  <v>80.8674</v>
                </pt>
                <pt idx="209">
                  <v>80.1746</v>
                </pt>
                <pt idx="210">
                  <v>80.4417</v>
                </pt>
                <pt idx="211">
                  <v>80.9982</v>
                </pt>
                <pt idx="212">
                  <v>79.8927</v>
                </pt>
                <pt idx="213">
                  <v>78.9751</v>
                </pt>
                <pt idx="214">
                  <v>78.37860000000001</v>
                </pt>
                <pt idx="215">
                  <v>78.76779999999999</v>
                </pt>
                <pt idx="216">
                  <v>78.0205</v>
                </pt>
                <pt idx="217">
                  <v>78.0655</v>
                </pt>
                <pt idx="218">
                  <v>78.06019999999999</v>
                </pt>
                <pt idx="219">
                  <v>79.4151</v>
                </pt>
                <pt idx="220">
                  <v>80.389</v>
                </pt>
                <pt idx="221">
                  <v>80.1833</v>
                </pt>
                <pt idx="222">
                  <v>80.1866</v>
                </pt>
                <pt idx="223">
                  <v>81.34829999999999</v>
                </pt>
                <pt idx="224">
                  <v>81.1635</v>
                </pt>
                <pt idx="225">
                  <v>81.27809999999999</v>
                </pt>
                <pt idx="226">
                  <v>80.2368</v>
                </pt>
                <pt idx="227">
                  <v>79.4885</v>
                </pt>
                <pt idx="228">
                  <v>80.2983</v>
                </pt>
                <pt idx="229">
                  <v>81.0185</v>
                </pt>
                <pt idx="230">
                  <v>81.7841</v>
                </pt>
                <pt idx="231">
                  <v>82.315</v>
                </pt>
                <pt idx="232">
                  <v>81.9175</v>
                </pt>
                <pt idx="233">
                  <v>82.9847</v>
                </pt>
                <pt idx="234">
                  <v>83.0153</v>
                </pt>
                <pt idx="235">
                  <v>82.6581</v>
                </pt>
                <pt idx="236">
                  <v>83.75879999999999</v>
                </pt>
                <pt idx="237">
                  <v>83.90089999999999</v>
                </pt>
                <pt idx="238">
                  <v>83.9175</v>
                </pt>
                <pt idx="239">
                  <v>84.4057</v>
                </pt>
                <pt idx="240">
                  <v>84.4988</v>
                </pt>
                <pt idx="241">
                  <v>84.5487</v>
                </pt>
                <pt idx="242">
                  <v>84.6234</v>
                </pt>
                <pt idx="243">
                  <v>84.0064</v>
                </pt>
                <pt idx="244">
                  <v>84.1778</v>
                </pt>
                <pt idx="245">
                  <v>84.8569</v>
                </pt>
                <pt idx="246">
                  <v>84.7383</v>
                </pt>
                <pt idx="247">
                  <v>85.00830000000001</v>
                </pt>
                <pt idx="248">
                  <v>85.4267</v>
                </pt>
                <pt idx="249">
                  <v>85.5436</v>
                </pt>
                <pt idx="250">
                  <v>85.78919999999999</v>
                </pt>
                <pt idx="251">
                  <v>86.3473</v>
                </pt>
                <pt idx="252">
                  <v>86.50920000000001</v>
                </pt>
                <pt idx="253">
                  <v>87.25020000000001</v>
                </pt>
                <pt idx="254">
                  <v>87.50369999999999</v>
                </pt>
                <pt idx="255">
                  <v>87.9902</v>
                </pt>
                <pt idx="256">
                  <v>88.6292</v>
                </pt>
                <pt idx="257">
                  <v>88.1927</v>
                </pt>
                <pt idx="258">
                  <v>89.3365</v>
                </pt>
                <pt idx="259">
                  <v>88.8165</v>
                </pt>
                <pt idx="260">
                  <v>89.7165</v>
                </pt>
                <pt idx="261">
                  <v>89.794</v>
                </pt>
                <pt idx="262">
                  <v>90.51819999999999</v>
                </pt>
                <pt idx="263">
                  <v>90.3246</v>
                </pt>
                <pt idx="264">
                  <v>90.53530000000001</v>
                </pt>
                <pt idx="265">
                  <v>90.4838</v>
                </pt>
                <pt idx="266">
                  <v>90.035</v>
                </pt>
                <pt idx="267">
                  <v>90.3683</v>
                </pt>
                <pt idx="268">
                  <v>90.7467</v>
                </pt>
                <pt idx="269">
                  <v>90.25530000000001</v>
                </pt>
                <pt idx="270">
                  <v>91.6219</v>
                </pt>
                <pt idx="271">
                  <v>91.7984</v>
                </pt>
                <pt idx="272">
                  <v>90.96339999999999</v>
                </pt>
                <pt idx="273">
                  <v>91.2586</v>
                </pt>
                <pt idx="274">
                  <v>91.5427</v>
                </pt>
                <pt idx="275">
                  <v>90.51949999999999</v>
                </pt>
                <pt idx="276">
                  <v>91.8989</v>
                </pt>
                <pt idx="277">
                  <v>91.3253</v>
                </pt>
                <pt idx="278">
                  <v>92.1686</v>
                </pt>
                <pt idx="279">
                  <v>92.3082</v>
                </pt>
                <pt idx="280">
                  <v>92.97320000000001</v>
                </pt>
                <pt idx="281">
                  <v>92.479</v>
                </pt>
                <pt idx="282">
                  <v>92.16160000000001</v>
                </pt>
                <pt idx="283">
                  <v>93.10339999999999</v>
                </pt>
                <pt idx="284">
                  <v>92.6024</v>
                </pt>
                <pt idx="285">
                  <v>93.6794</v>
                </pt>
                <pt idx="286">
                  <v>93.88679999999999</v>
                </pt>
                <pt idx="287">
                  <v>93.67570000000001</v>
                </pt>
                <pt idx="288">
                  <v>94.2037</v>
                </pt>
                <pt idx="289">
                  <v>94.877</v>
                </pt>
                <pt idx="290">
                  <v>93.9242</v>
                </pt>
                <pt idx="291">
                  <v>94.6444</v>
                </pt>
                <pt idx="292">
                  <v>94.5592</v>
                </pt>
                <pt idx="293">
                  <v>95.474</v>
                </pt>
                <pt idx="294">
                  <v>96.2867</v>
                </pt>
                <pt idx="295">
                  <v>97.0206</v>
                </pt>
                <pt idx="296">
                  <v>98.5421</v>
                </pt>
                <pt idx="297">
                  <v>98.7522</v>
                </pt>
                <pt idx="298">
                  <v>98.4288</v>
                </pt>
                <pt idx="299">
                  <v>98.8907</v>
                </pt>
                <pt idx="300">
                  <v>98.7602</v>
                </pt>
                <pt idx="301">
                  <v>98.8297</v>
                </pt>
                <pt idx="302">
                  <v>99.45959999999999</v>
                </pt>
                <pt idx="303">
                  <v>99.84050000000001</v>
                </pt>
                <pt idx="304">
                  <v>98.8069</v>
                </pt>
                <pt idx="305">
                  <v>97.92740000000001</v>
                </pt>
                <pt idx="306">
                  <v>100.6946</v>
                </pt>
                <pt idx="307">
                  <v>100.0012</v>
                </pt>
                <pt idx="308">
                  <v>100.3713</v>
                </pt>
                <pt idx="309">
                  <v>99.6677</v>
                </pt>
                <pt idx="310">
                  <v>99.7058</v>
                </pt>
                <pt idx="311">
                  <v>100.7284</v>
                </pt>
                <pt idx="312">
                  <v>101.1513</v>
                </pt>
                <pt idx="313">
                  <v>100.9369</v>
                </pt>
                <pt idx="314">
                  <v>100.8034</v>
                </pt>
                <pt idx="315">
                  <v>101.7123</v>
                </pt>
                <pt idx="316">
                  <v>100.7585</v>
                </pt>
                <pt idx="317">
                  <v>100.408</v>
                </pt>
                <pt idx="318">
                  <v>101.6747</v>
                </pt>
                <pt idx="319">
                  <v>100.8763</v>
                </pt>
                <pt idx="320">
                  <v>102.8498</v>
                </pt>
                <pt idx="321">
                  <v>102.7953</v>
                </pt>
                <pt idx="322">
                  <v>103.9218</v>
                </pt>
                <pt idx="323">
                  <v>102.547</v>
                </pt>
                <pt idx="324">
                  <v>103.3177</v>
                </pt>
                <pt idx="325">
                  <v>102.9336</v>
                </pt>
                <pt idx="326">
                  <v>103.8155</v>
                </pt>
                <pt idx="327">
                  <v>103.9924</v>
                </pt>
                <pt idx="328">
                  <v>104.0761</v>
                </pt>
                <pt idx="329">
                  <v>103.6475</v>
                </pt>
                <pt idx="330">
                  <v>103.1544</v>
                </pt>
                <pt idx="331">
                  <v>104.1174</v>
                </pt>
                <pt idx="332">
                  <v>103.0216</v>
                </pt>
                <pt idx="333">
                  <v>103.3447</v>
                </pt>
                <pt idx="334">
                  <v>103.8859</v>
                </pt>
                <pt idx="335">
                  <v>103.0259</v>
                </pt>
                <pt idx="336">
                  <v>102.3963</v>
                </pt>
                <pt idx="337">
                  <v>102.3545</v>
                </pt>
                <pt idx="338">
                  <v>102.6877</v>
                </pt>
                <pt idx="339">
                  <v>102.7009</v>
                </pt>
                <pt idx="340">
                  <v>102.7382</v>
                </pt>
                <pt idx="341">
                  <v>102.202</v>
                </pt>
                <pt idx="342">
                  <v>102.4275</v>
                </pt>
                <pt idx="343">
                  <v>101.8743</v>
                </pt>
                <pt idx="344">
                  <v>102.4001</v>
                </pt>
                <pt idx="345">
                  <v>102.2496</v>
                </pt>
                <pt idx="346">
                  <v>102.8197</v>
                </pt>
                <pt idx="347">
                  <v>103.8754</v>
                </pt>
                <pt idx="348">
                  <v>103.2344</v>
                </pt>
                <pt idx="349">
                  <v>104.0707</v>
                </pt>
                <pt idx="350">
                  <v>103.973</v>
                </pt>
                <pt idx="351">
                  <v>104.3252</v>
                </pt>
                <pt idx="352">
                  <v>105.4162</v>
                </pt>
                <pt idx="353">
                  <v>105.4834</v>
                </pt>
                <pt idx="354">
                  <v>104.7883</v>
                </pt>
                <pt idx="355">
                  <v>104.9085</v>
                </pt>
                <pt idx="356">
                  <v>104.7528</v>
                </pt>
                <pt idx="357">
                  <v>105.5573</v>
                </pt>
                <pt idx="358">
                  <v>104.5645</v>
                </pt>
                <pt idx="359">
                  <v>105.8743</v>
                </pt>
                <pt idx="360">
                  <v>106.3002</v>
                </pt>
                <pt idx="361">
                  <v>106.2969</v>
                </pt>
                <pt idx="362">
                  <v>105.4597</v>
                </pt>
                <pt idx="363">
                  <v>105.1694</v>
                </pt>
                <pt idx="364">
                  <v>105.3614</v>
                </pt>
                <pt idx="365">
                  <v>106.4079</v>
                </pt>
                <pt idx="366">
                  <v>105.5306</v>
                </pt>
                <pt idx="367">
                  <v>106.4008</v>
                </pt>
                <pt idx="368">
                  <v>105.7006</v>
                </pt>
                <pt idx="369">
                  <v>106.4206</v>
                </pt>
                <pt idx="370">
                  <v>106.5604</v>
                </pt>
                <pt idx="371">
                  <v>106.9028</v>
                </pt>
                <pt idx="372">
                  <v>107.446</v>
                </pt>
                <pt idx="373">
                  <v>106.4379</v>
                </pt>
                <pt idx="374">
                  <v>107.1054</v>
                </pt>
                <pt idx="375">
                  <v>107.5324</v>
                </pt>
                <pt idx="376">
                  <v>106.0609</v>
                </pt>
                <pt idx="377">
                  <v>106.399</v>
                </pt>
                <pt idx="378">
                  <v>106.8419</v>
                </pt>
                <pt idx="379">
                  <v>106.7753</v>
                </pt>
                <pt idx="380">
                  <v>107.8311</v>
                </pt>
                <pt idx="381">
                  <v>107.6861</v>
                </pt>
                <pt idx="382">
                  <v>108.4637</v>
                </pt>
                <pt idx="383">
                  <v>108.7219</v>
                </pt>
                <pt idx="384">
                  <v>109.4061</v>
                </pt>
                <pt idx="385">
                  <v>108.8809</v>
                </pt>
                <pt idx="386">
                  <v>108.8555</v>
                </pt>
                <pt idx="387">
                  <v>109.4044</v>
                </pt>
                <pt idx="388">
                  <v>110.4018</v>
                </pt>
                <pt idx="389">
                  <v>109.9338</v>
                </pt>
                <pt idx="390">
                  <v>110.4686</v>
                </pt>
                <pt idx="391">
                  <v>110.5563</v>
                </pt>
                <pt idx="392">
                  <v>110.5267</v>
                </pt>
                <pt idx="393">
                  <v>110.428</v>
                </pt>
                <pt idx="394">
                  <v>111.1922</v>
                </pt>
                <pt idx="395">
                  <v>110.2531</v>
                </pt>
                <pt idx="396">
                  <v>109.7458</v>
                </pt>
                <pt idx="397">
                  <v>110.3285</v>
                </pt>
                <pt idx="398">
                  <v>110.6324</v>
                </pt>
                <pt idx="399">
                  <v>110.4631</v>
                </pt>
                <pt idx="400">
                  <v>111.0017</v>
                </pt>
                <pt idx="401">
                  <v>110.0152</v>
                </pt>
                <pt idx="402">
                  <v>111.0619</v>
                </pt>
                <pt idx="403">
                  <v>110.5505</v>
                </pt>
                <pt idx="404">
                  <v>110.4218</v>
                </pt>
                <pt idx="405">
                  <v>110.6096</v>
                </pt>
                <pt idx="406">
                  <v>111.1493</v>
                </pt>
                <pt idx="407">
                  <v>110.5212</v>
                </pt>
                <pt idx="408">
                  <v>111.785</v>
                </pt>
                <pt idx="409">
                  <v>110.892</v>
                </pt>
                <pt idx="410">
                  <v>111.4751</v>
                </pt>
                <pt idx="411">
                  <v>111.0335</v>
                </pt>
                <pt idx="412">
                  <v>111.1796</v>
                </pt>
                <pt idx="413">
                  <v>110.7922</v>
                </pt>
                <pt idx="414">
                  <v>110.5809</v>
                </pt>
                <pt idx="415">
                  <v>110.4671</v>
                </pt>
                <pt idx="416">
                  <v>109.465</v>
                </pt>
                <pt idx="417">
                  <v>109.4294</v>
                </pt>
                <pt idx="418">
                  <v>109.1016</v>
                </pt>
                <pt idx="419">
                  <v>108.8706</v>
                </pt>
                <pt idx="420">
                  <v>108.7103</v>
                </pt>
                <pt idx="421">
                  <v>107.16</v>
                </pt>
                <pt idx="422">
                  <v>106.4794</v>
                </pt>
                <pt idx="423">
                  <v>105.8715</v>
                </pt>
                <pt idx="424">
                  <v>105.6343</v>
                </pt>
                <pt idx="425">
                  <v>104.9653</v>
                </pt>
                <pt idx="426">
                  <v>103.0848</v>
                </pt>
                <pt idx="427">
                  <v>102.366</v>
                </pt>
                <pt idx="428">
                  <v>102.6413</v>
                </pt>
                <pt idx="429">
                  <v>101.7827</v>
                </pt>
                <pt idx="430">
                  <v>99.68559999999999</v>
                </pt>
                <pt idx="431">
                  <v>97.3396</v>
                </pt>
                <pt idx="432">
                  <v>97.41889999999999</v>
                </pt>
                <pt idx="433">
                  <v>96.8719</v>
                </pt>
                <pt idx="434">
                  <v>96.56780000000001</v>
                </pt>
                <pt idx="435">
                  <v>95.3231</v>
                </pt>
                <pt idx="436">
                  <v>94.9141</v>
                </pt>
                <pt idx="437">
                  <v>96.1707</v>
                </pt>
                <pt idx="438">
                  <v>97.0556</v>
                </pt>
                <pt idx="439">
                  <v>97.8967</v>
                </pt>
                <pt idx="440">
                  <v>98.1296</v>
                </pt>
                <pt idx="441">
                  <v>97.5318</v>
                </pt>
                <pt idx="442">
                  <v>97.4128</v>
                </pt>
                <pt idx="443">
                  <v>98.0607</v>
                </pt>
                <pt idx="444">
                  <v>97.2413</v>
                </pt>
                <pt idx="445">
                  <v>97.5895</v>
                </pt>
                <pt idx="446">
                  <v>96.78270000000001</v>
                </pt>
                <pt idx="447">
                  <v>98.6071</v>
                </pt>
                <pt idx="448">
                  <v>98.37609999999999</v>
                </pt>
                <pt idx="449">
                  <v>99.0078</v>
                </pt>
                <pt idx="450">
                  <v>98.7838</v>
                </pt>
                <pt idx="451">
                  <v>98.437</v>
                </pt>
                <pt idx="452">
                  <v>98.44240000000001</v>
                </pt>
                <pt idx="453">
                  <v>97.92919999999999</v>
                </pt>
                <pt idx="454">
                  <v>99.0334</v>
                </pt>
                <pt idx="455">
                  <v>99.0767</v>
                </pt>
                <pt idx="456">
                  <v>98.8653</v>
                </pt>
                <pt idx="457">
                  <v>99.1225</v>
                </pt>
                <pt idx="458">
                  <v>98.9447</v>
                </pt>
                <pt idx="459">
                  <v>99.0975</v>
                </pt>
                <pt idx="460">
                  <v>99.04049999999999</v>
                </pt>
                <pt idx="461">
                  <v>99.67659999999999</v>
                </pt>
                <pt idx="462">
                  <v>100.2644</v>
                </pt>
                <pt idx="463">
                  <v>99.6711</v>
                </pt>
                <pt idx="464">
                  <v>99.9406</v>
                </pt>
                <pt idx="465">
                  <v>98.99460000000001</v>
                </pt>
                <pt idx="466">
                  <v>98.9045</v>
                </pt>
                <pt idx="467">
                  <v>98.80119999999999</v>
                </pt>
                <pt idx="468">
                  <v>98.7041</v>
                </pt>
                <pt idx="469">
                  <v>97.13630000000001</v>
                </pt>
                <pt idx="470">
                  <v>97.90000000000001</v>
                </pt>
                <pt idx="471">
                  <v>98.4148</v>
                </pt>
                <pt idx="472">
                  <v>98.1634</v>
                </pt>
                <pt idx="473">
                  <v>98.18519999999999</v>
                </pt>
                <pt idx="474">
                  <v>97.70699999999999</v>
                </pt>
                <pt idx="475">
                  <v>97.4384</v>
                </pt>
                <pt idx="476">
                  <v>97.4425</v>
                </pt>
                <pt idx="477">
                  <v>97.8884</v>
                </pt>
                <pt idx="478">
                  <v>97.85129999999999</v>
                </pt>
                <pt idx="479">
                  <v>97.8164</v>
                </pt>
                <pt idx="480">
                  <v>98.29810000000001</v>
                </pt>
                <pt idx="481">
                  <v>98.84820000000001</v>
                </pt>
                <pt idx="482">
                  <v>98.54349999999999</v>
                </pt>
                <pt idx="483">
                  <v>98.44540000000001</v>
                </pt>
                <pt idx="484">
                  <v>98.77419999999999</v>
                </pt>
                <pt idx="485">
                  <v>97.76179999999999</v>
                </pt>
                <pt idx="486">
                  <v>98.2873</v>
                </pt>
                <pt idx="487">
                  <v>98.5964</v>
                </pt>
                <pt idx="488">
                  <v>98.9281</v>
                </pt>
                <pt idx="489">
                  <v>98.9282</v>
                </pt>
                <pt idx="490">
                  <v>99.62820000000001</v>
                </pt>
                <pt idx="491">
                  <v>98.0232</v>
                </pt>
                <pt idx="492">
                  <v>99.1574</v>
                </pt>
                <pt idx="493">
                  <v>99.8246</v>
                </pt>
                <pt idx="494">
                  <v>99.408</v>
                </pt>
                <pt idx="495">
                  <v>99.2876</v>
                </pt>
                <pt idx="496">
                  <v>99.2978</v>
                </pt>
                <pt idx="497">
                  <v>99.37690000000001</v>
                </pt>
                <pt idx="498">
                  <v>98.8549</v>
                </pt>
                <pt idx="499">
                  <v>99.3058</v>
                </pt>
                <pt idx="500">
                  <v>98.94750000000001</v>
                </pt>
                <pt idx="501">
                  <v>100.8849</v>
                </pt>
                <pt idx="502">
                  <v>100.5335</v>
                </pt>
                <pt idx="503">
                  <v>100.6504</v>
                </pt>
                <pt idx="504">
                  <v>100.2362</v>
                </pt>
                <pt idx="505">
                  <v>101.3749</v>
                </pt>
                <pt idx="506">
                  <v>100.4811</v>
                </pt>
                <pt idx="507">
                  <v>100.3257</v>
                </pt>
                <pt idx="508">
                  <v>100.2243</v>
                </pt>
                <pt idx="509">
                  <v>101.6916</v>
                </pt>
                <pt idx="510">
                  <v>101.7742</v>
                </pt>
                <pt idx="511">
                  <v>101.4166</v>
                </pt>
                <pt idx="512">
                  <v>100.9812</v>
                </pt>
                <pt idx="513">
                  <v>100.621</v>
                </pt>
                <pt idx="514">
                  <v>99.97239999999999</v>
                </pt>
                <pt idx="515">
                  <v>101.4094</v>
                </pt>
                <pt idx="516">
                  <v>101.2224</v>
                </pt>
                <pt idx="517">
                  <v>100.368</v>
                </pt>
                <pt idx="518">
                  <v>101.3675</v>
                </pt>
                <pt idx="519">
                  <v>100.9921</v>
                </pt>
                <pt idx="520">
                  <v>101.9148</v>
                </pt>
                <pt idx="521">
                  <v>101.6815</v>
                </pt>
                <pt idx="522">
                  <v>101.9022</v>
                </pt>
                <pt idx="523">
                  <v>101.6957</v>
                </pt>
                <pt idx="524">
                  <v>101.1823</v>
                </pt>
                <pt idx="525">
                  <v>100.1257</v>
                </pt>
                <pt idx="526">
                  <v>101.6099</v>
                </pt>
                <pt idx="527">
                  <v>100.3095</v>
                </pt>
                <pt idx="528">
                  <v>98.90260000000001</v>
                </pt>
                <pt idx="529">
                  <v>99.5125</v>
                </pt>
                <pt idx="530">
                  <v>100.3026</v>
                </pt>
                <pt idx="531">
                  <v>100.7767</v>
                </pt>
                <pt idx="532">
                  <v>100.3021</v>
                </pt>
                <pt idx="533">
                  <v>99.905</v>
                </pt>
                <pt idx="534">
                  <v>99.70910000000001</v>
                </pt>
                <pt idx="535">
                  <v>99.61620000000001</v>
                </pt>
                <pt idx="536">
                  <v>100.4118</v>
                </pt>
                <pt idx="537">
                  <v>99.9601</v>
                </pt>
                <pt idx="538">
                  <v>100.2918</v>
                </pt>
                <pt idx="539">
                  <v>100.6861</v>
                </pt>
                <pt idx="540">
                  <v>100.0454</v>
                </pt>
                <pt idx="541">
                  <v>100.2777</v>
                </pt>
                <pt idx="542">
                  <v>101.9578</v>
                </pt>
                <pt idx="543">
                  <v>99.1897</v>
                </pt>
                <pt idx="544">
                  <v>100.2326</v>
                </pt>
                <pt idx="545">
                  <v>100.0637</v>
                </pt>
                <pt idx="546">
                  <v>100.9361</v>
                </pt>
                <pt idx="547">
                  <v>101.0115</v>
                </pt>
                <pt idx="548">
                  <v>100.9529</v>
                </pt>
                <pt idx="549">
                  <v>101.231</v>
                </pt>
                <pt idx="550">
                  <v>101.0624</v>
                </pt>
                <pt idx="551">
                  <v>100.2597</v>
                </pt>
                <pt idx="552">
                  <v>100.5229</v>
                </pt>
                <pt idx="553">
                  <v>100.8832</v>
                </pt>
                <pt idx="554">
                  <v>99.45480000000001</v>
                </pt>
                <pt idx="555">
                  <v>99.92959999999999</v>
                </pt>
                <pt idx="556">
                  <v>100.6465</v>
                </pt>
                <pt idx="557">
                  <v>100.2294</v>
                </pt>
                <pt idx="558">
                  <v>100.535</v>
                </pt>
                <pt idx="559">
                  <v>100.0087</v>
                </pt>
                <pt idx="560">
                  <v>99.3342</v>
                </pt>
                <pt idx="561">
                  <v>100.8946</v>
                </pt>
                <pt idx="562">
                  <v>100.0117</v>
                </pt>
                <pt idx="563">
                  <v>99.3883</v>
                </pt>
                <pt idx="564">
                  <v>100.3045</v>
                </pt>
                <pt idx="565">
                  <v>95.3494</v>
                </pt>
                <pt idx="566">
                  <v>84.2234</v>
                </pt>
                <pt idx="567">
                  <v>87.78619999999999</v>
                </pt>
                <pt idx="568">
                  <v>95.60550000000001</v>
                </pt>
                <pt idx="569">
                  <v>99.90819999999999</v>
                </pt>
                <pt idx="570">
                  <v>100.6005</v>
                </pt>
                <pt idx="571">
                  <v>99.2739</v>
                </pt>
                <pt idx="572">
                  <v>99.3411</v>
                </pt>
                <pt idx="573">
                  <v>99.5474</v>
                </pt>
                <pt idx="574">
                  <v>101.3148</v>
                </pt>
                <pt idx="575">
                  <v>101.92</v>
                </pt>
                <pt idx="576">
                  <v>99.39449999999999</v>
                </pt>
                <pt idx="577">
                  <v>100.8014</v>
                </pt>
                <pt idx="578">
                  <v>100.2242</v>
                </pt>
                <pt idx="579">
                  <v>100.9633</v>
                </pt>
                <pt idx="580">
                  <v>101.1185</v>
                </pt>
                <pt idx="581">
                  <v>101.741</v>
                </pt>
                <pt idx="582">
                  <v>101.4531</v>
                </pt>
                <pt idx="583">
                  <v>100.7086</v>
                </pt>
                <pt idx="584">
                  <v>101.1717</v>
                </pt>
                <pt idx="585">
                  <v>102.4296</v>
                </pt>
                <pt idx="586">
                  <v>101.5154</v>
                </pt>
                <pt idx="587">
                  <v>102.5494</v>
                </pt>
                <pt idx="588">
                  <v>102.9043</v>
                </pt>
                <pt idx="589">
                  <v>103.4595</v>
                </pt>
                <pt idx="590">
                  <v>103.8367</v>
                </pt>
                <pt idx="591">
                  <v>103.1535</v>
                </pt>
                <pt idx="592">
                  <v>102.7747</v>
                </pt>
                <pt idx="593">
                  <v>102.6928</v>
                </pt>
                <pt idx="594">
                  <v>103.003</v>
                </pt>
                <pt idx="595">
                  <v>102.7122</v>
                </pt>
                <pt idx="596">
                  <v>103.2432</v>
                </pt>
                <pt idx="597">
                  <v>103.0934</v>
                </pt>
                <pt idx="598">
                  <v>102.4122</v>
                </pt>
                <pt idx="599">
                  <v>102.1287</v>
                </pt>
                <pt idx="600">
                  <v>102.5746</v>
                </pt>
                <pt idx="601">
                  <v>103.5308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Goods'!$A$463:$A$632</f>
              <numCache>
                <formatCode>mmm\-yy</formatCode>
                <ptCount val="17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'Consumer Goods'!$B$463:$B$632</f>
              <numCache>
                <formatCode>0.0</formatCode>
                <ptCount val="170"/>
                <pt idx="0">
                  <v>98.0607</v>
                </pt>
                <pt idx="1">
                  <v>97.2413</v>
                </pt>
                <pt idx="2">
                  <v>97.5895</v>
                </pt>
                <pt idx="3">
                  <v>96.78270000000001</v>
                </pt>
                <pt idx="4">
                  <v>98.6071</v>
                </pt>
                <pt idx="5">
                  <v>98.37609999999999</v>
                </pt>
                <pt idx="6">
                  <v>99.0078</v>
                </pt>
                <pt idx="7">
                  <v>98.7838</v>
                </pt>
                <pt idx="8">
                  <v>98.437</v>
                </pt>
                <pt idx="9">
                  <v>98.44240000000001</v>
                </pt>
                <pt idx="10">
                  <v>97.92919999999999</v>
                </pt>
                <pt idx="11">
                  <v>99.0334</v>
                </pt>
                <pt idx="12">
                  <v>99.0767</v>
                </pt>
                <pt idx="13">
                  <v>98.8653</v>
                </pt>
                <pt idx="14">
                  <v>99.1225</v>
                </pt>
                <pt idx="15">
                  <v>98.9447</v>
                </pt>
                <pt idx="16">
                  <v>99.0975</v>
                </pt>
                <pt idx="17">
                  <v>99.04049999999999</v>
                </pt>
                <pt idx="18">
                  <v>99.67659999999999</v>
                </pt>
                <pt idx="19">
                  <v>100.2644</v>
                </pt>
                <pt idx="20">
                  <v>99.6711</v>
                </pt>
                <pt idx="21">
                  <v>99.9406</v>
                </pt>
                <pt idx="22">
                  <v>98.99460000000001</v>
                </pt>
                <pt idx="23">
                  <v>98.9045</v>
                </pt>
                <pt idx="24">
                  <v>98.80119999999999</v>
                </pt>
                <pt idx="25">
                  <v>98.7041</v>
                </pt>
                <pt idx="26">
                  <v>97.13630000000001</v>
                </pt>
                <pt idx="27">
                  <v>97.90000000000001</v>
                </pt>
                <pt idx="28">
                  <v>98.4148</v>
                </pt>
                <pt idx="29">
                  <v>98.1634</v>
                </pt>
                <pt idx="30">
                  <v>98.18519999999999</v>
                </pt>
                <pt idx="31">
                  <v>97.70699999999999</v>
                </pt>
                <pt idx="32">
                  <v>97.4384</v>
                </pt>
                <pt idx="33">
                  <v>97.4425</v>
                </pt>
                <pt idx="34">
                  <v>97.8884</v>
                </pt>
                <pt idx="35">
                  <v>97.85129999999999</v>
                </pt>
                <pt idx="36">
                  <v>97.8164</v>
                </pt>
                <pt idx="37">
                  <v>98.29810000000001</v>
                </pt>
                <pt idx="38">
                  <v>98.84820000000001</v>
                </pt>
                <pt idx="39">
                  <v>98.54349999999999</v>
                </pt>
                <pt idx="40">
                  <v>98.44540000000001</v>
                </pt>
                <pt idx="41">
                  <v>98.77419999999999</v>
                </pt>
                <pt idx="42">
                  <v>97.76179999999999</v>
                </pt>
                <pt idx="43">
                  <v>98.2873</v>
                </pt>
                <pt idx="44">
                  <v>98.5964</v>
                </pt>
                <pt idx="45">
                  <v>98.9281</v>
                </pt>
                <pt idx="46">
                  <v>98.9282</v>
                </pt>
                <pt idx="47">
                  <v>99.62820000000001</v>
                </pt>
                <pt idx="48">
                  <v>98.0232</v>
                </pt>
                <pt idx="49">
                  <v>99.1574</v>
                </pt>
                <pt idx="50">
                  <v>99.8246</v>
                </pt>
                <pt idx="51">
                  <v>99.408</v>
                </pt>
                <pt idx="52">
                  <v>99.2876</v>
                </pt>
                <pt idx="53">
                  <v>99.2978</v>
                </pt>
                <pt idx="54">
                  <v>99.37690000000001</v>
                </pt>
                <pt idx="55">
                  <v>98.8549</v>
                </pt>
                <pt idx="56">
                  <v>99.3058</v>
                </pt>
                <pt idx="57">
                  <v>98.94750000000001</v>
                </pt>
                <pt idx="58">
                  <v>100.8849</v>
                </pt>
                <pt idx="59">
                  <v>100.5335</v>
                </pt>
                <pt idx="60">
                  <v>100.6504</v>
                </pt>
                <pt idx="61">
                  <v>100.2362</v>
                </pt>
                <pt idx="62">
                  <v>101.3749</v>
                </pt>
                <pt idx="63">
                  <v>100.4811</v>
                </pt>
                <pt idx="64">
                  <v>100.3257</v>
                </pt>
                <pt idx="65">
                  <v>100.2243</v>
                </pt>
                <pt idx="66">
                  <v>101.6916</v>
                </pt>
                <pt idx="67">
                  <v>101.7742</v>
                </pt>
                <pt idx="68">
                  <v>101.4166</v>
                </pt>
                <pt idx="69">
                  <v>100.9812</v>
                </pt>
                <pt idx="70">
                  <v>100.621</v>
                </pt>
                <pt idx="71">
                  <v>99.97239999999999</v>
                </pt>
                <pt idx="72">
                  <v>101.4094</v>
                </pt>
                <pt idx="73">
                  <v>101.2224</v>
                </pt>
                <pt idx="74">
                  <v>100.368</v>
                </pt>
                <pt idx="75">
                  <v>101.3675</v>
                </pt>
                <pt idx="76">
                  <v>100.9921</v>
                </pt>
                <pt idx="77">
                  <v>101.9148</v>
                </pt>
                <pt idx="78">
                  <v>101.6815</v>
                </pt>
                <pt idx="79">
                  <v>101.9022</v>
                </pt>
                <pt idx="80">
                  <v>101.6957</v>
                </pt>
                <pt idx="81">
                  <v>101.1823</v>
                </pt>
                <pt idx="82">
                  <v>100.1257</v>
                </pt>
                <pt idx="83">
                  <v>101.6099</v>
                </pt>
                <pt idx="84">
                  <v>100.3095</v>
                </pt>
                <pt idx="85">
                  <v>98.90260000000001</v>
                </pt>
                <pt idx="86">
                  <v>99.5125</v>
                </pt>
                <pt idx="87">
                  <v>100.3026</v>
                </pt>
                <pt idx="88">
                  <v>100.7767</v>
                </pt>
                <pt idx="89">
                  <v>100.3021</v>
                </pt>
                <pt idx="90">
                  <v>99.905</v>
                </pt>
                <pt idx="91">
                  <v>99.70910000000001</v>
                </pt>
                <pt idx="92">
                  <v>99.61620000000001</v>
                </pt>
                <pt idx="93">
                  <v>100.4118</v>
                </pt>
                <pt idx="94">
                  <v>99.9601</v>
                </pt>
                <pt idx="95">
                  <v>100.2918</v>
                </pt>
                <pt idx="96">
                  <v>100.6861</v>
                </pt>
                <pt idx="97">
                  <v>100.0454</v>
                </pt>
                <pt idx="98">
                  <v>100.2777</v>
                </pt>
                <pt idx="99">
                  <v>101.9578</v>
                </pt>
                <pt idx="100">
                  <v>99.1897</v>
                </pt>
                <pt idx="101">
                  <v>100.2326</v>
                </pt>
                <pt idx="102">
                  <v>100.0637</v>
                </pt>
                <pt idx="103">
                  <v>100.9361</v>
                </pt>
                <pt idx="104">
                  <v>101.0115</v>
                </pt>
                <pt idx="105">
                  <v>100.9529</v>
                </pt>
                <pt idx="106">
                  <v>101.231</v>
                </pt>
                <pt idx="107">
                  <v>101.0624</v>
                </pt>
                <pt idx="108">
                  <v>100.2597</v>
                </pt>
                <pt idx="109">
                  <v>100.5229</v>
                </pt>
                <pt idx="110">
                  <v>100.8832</v>
                </pt>
                <pt idx="111">
                  <v>99.45480000000001</v>
                </pt>
                <pt idx="112">
                  <v>99.92959999999999</v>
                </pt>
                <pt idx="113">
                  <v>100.6465</v>
                </pt>
                <pt idx="114">
                  <v>100.2294</v>
                </pt>
                <pt idx="115">
                  <v>100.535</v>
                </pt>
                <pt idx="116">
                  <v>100.0087</v>
                </pt>
                <pt idx="117">
                  <v>99.3342</v>
                </pt>
                <pt idx="118">
                  <v>100.8946</v>
                </pt>
                <pt idx="119">
                  <v>100.0117</v>
                </pt>
                <pt idx="120">
                  <v>99.3883</v>
                </pt>
                <pt idx="121">
                  <v>100.3045</v>
                </pt>
                <pt idx="122">
                  <v>95.3494</v>
                </pt>
                <pt idx="123">
                  <v>84.2234</v>
                </pt>
                <pt idx="124">
                  <v>87.78619999999999</v>
                </pt>
                <pt idx="125">
                  <v>95.60550000000001</v>
                </pt>
                <pt idx="126">
                  <v>99.90819999999999</v>
                </pt>
                <pt idx="127">
                  <v>100.6005</v>
                </pt>
                <pt idx="128">
                  <v>99.2739</v>
                </pt>
                <pt idx="129">
                  <v>99.3411</v>
                </pt>
                <pt idx="130">
                  <v>99.5474</v>
                </pt>
                <pt idx="131">
                  <v>101.3148</v>
                </pt>
                <pt idx="132">
                  <v>101.92</v>
                </pt>
                <pt idx="133">
                  <v>99.39449999999999</v>
                </pt>
                <pt idx="134">
                  <v>100.8014</v>
                </pt>
                <pt idx="135">
                  <v>100.2242</v>
                </pt>
                <pt idx="136">
                  <v>100.9633</v>
                </pt>
                <pt idx="137">
                  <v>101.1185</v>
                </pt>
                <pt idx="138">
                  <v>101.741</v>
                </pt>
                <pt idx="139">
                  <v>101.4531</v>
                </pt>
                <pt idx="140">
                  <v>100.7086</v>
                </pt>
                <pt idx="141">
                  <v>101.1717</v>
                </pt>
                <pt idx="142">
                  <v>102.4296</v>
                </pt>
                <pt idx="143">
                  <v>101.5154</v>
                </pt>
                <pt idx="144">
                  <v>102.5494</v>
                </pt>
                <pt idx="145">
                  <v>102.9043</v>
                </pt>
                <pt idx="146">
                  <v>103.4595</v>
                </pt>
                <pt idx="147">
                  <v>103.8367</v>
                </pt>
                <pt idx="148">
                  <v>103.1535</v>
                </pt>
                <pt idx="149">
                  <v>102.7747</v>
                </pt>
                <pt idx="150">
                  <v>102.6928</v>
                </pt>
                <pt idx="151">
                  <v>103.003</v>
                </pt>
                <pt idx="152">
                  <v>102.7122</v>
                </pt>
                <pt idx="153">
                  <v>103.2432</v>
                </pt>
                <pt idx="154">
                  <v>103.0934</v>
                </pt>
                <pt idx="155">
                  <v>102.4122</v>
                </pt>
                <pt idx="156">
                  <v>102.1287</v>
                </pt>
                <pt idx="157">
                  <v>102.5746</v>
                </pt>
                <pt idx="158">
                  <v>103.5308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Goods'!$A$20:$A$626</f>
              <numCache>
                <formatCode>mmm\-yy</formatCode>
                <ptCount val="60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'Consumer Goods'!$D$20:$D$626</f>
              <numCache>
                <formatCode>0.0%</formatCode>
                <ptCount val="607"/>
                <pt idx="0">
                  <v>0.07388264751197025</v>
                </pt>
                <pt idx="1">
                  <v>0.07707915311699992</v>
                </pt>
                <pt idx="2">
                  <v>0.0535567729492388</v>
                </pt>
                <pt idx="3">
                  <v>0.06457950168377916</v>
                </pt>
                <pt idx="4">
                  <v>0.05740292783087463</v>
                </pt>
                <pt idx="5">
                  <v>0.04657225224734027</v>
                </pt>
                <pt idx="6">
                  <v>0.02583377858831974</v>
                </pt>
                <pt idx="7">
                  <v>0.03624942582304289</v>
                </pt>
                <pt idx="8">
                  <v>0.02607998545418487</v>
                </pt>
                <pt idx="9">
                  <v>0.02197645274545617</v>
                </pt>
                <pt idx="10">
                  <v>-0.004417885763306153</v>
                </pt>
                <pt idx="11">
                  <v>-0.01576296363935805</v>
                </pt>
                <pt idx="12">
                  <v>-0.03100142342794943</v>
                </pt>
                <pt idx="13">
                  <v>-0.03188470500946711</v>
                </pt>
                <pt idx="14">
                  <v>-0.02464381291799941</v>
                </pt>
                <pt idx="15">
                  <v>-0.02141703781251664</v>
                </pt>
                <pt idx="16">
                  <v>-0.01165745273292587</v>
                </pt>
                <pt idx="17">
                  <v>-0.009414733414733393</v>
                </pt>
                <pt idx="18">
                  <v>-0.00167756564030101</v>
                </pt>
                <pt idx="19">
                  <v>-0.0256839591735706</v>
                </pt>
                <pt idx="20">
                  <v>-0.02968926949576575</v>
                </pt>
                <pt idx="21">
                  <v>-0.05995033984761455</v>
                </pt>
                <pt idx="22">
                  <v>-0.07480784229088284</v>
                </pt>
                <pt idx="23">
                  <v>-0.08392063697179949</v>
                </pt>
                <pt idx="24">
                  <v>-0.09359353786996311</v>
                </pt>
                <pt idx="25">
                  <v>-0.09271980186687057</v>
                </pt>
                <pt idx="26">
                  <v>-0.07080935916165554</v>
                </pt>
                <pt idx="27">
                  <v>-0.07520481331904723</v>
                </pt>
                <pt idx="28">
                  <v>-0.06577410531676348</v>
                </pt>
                <pt idx="29">
                  <v>-0.04149280075994254</v>
                </pt>
                <pt idx="30">
                  <v>-0.03487662092926425</v>
                </pt>
                <pt idx="31">
                  <v>-0.01201654454191169</v>
                </pt>
                <pt idx="32">
                  <v>-0.0107266246411868</v>
                </pt>
                <pt idx="33">
                  <v>0.02157336773135366</v>
                </pt>
                <pt idx="34">
                  <v>0.06661789083403134</v>
                </pt>
                <pt idx="35">
                  <v>0.1043148488744935</v>
                </pt>
                <pt idx="36">
                  <v>0.1245260880724526</v>
                </pt>
                <pt idx="37">
                  <v>0.1202395905897065</v>
                </pt>
                <pt idx="38">
                  <v>0.09974965886991929</v>
                </pt>
                <pt idx="39">
                  <v>0.1028310580417699</v>
                </pt>
                <pt idx="40">
                  <v>0.08511401522078585</v>
                </pt>
                <pt idx="41">
                  <v>0.06458283323617155</v>
                </pt>
                <pt idx="42">
                  <v>0.0607273434195987</v>
                </pt>
                <pt idx="43">
                  <v>0.0464676580125576</v>
                </pt>
                <pt idx="44">
                  <v>0.0523988373341925</v>
                </pt>
                <pt idx="45">
                  <v>0.06747422783861712</v>
                </pt>
                <pt idx="46">
                  <v>0.0689437494822301</v>
                </pt>
                <pt idx="47">
                  <v>0.05220820395917664</v>
                </pt>
                <pt idx="48">
                  <v>0.06196770701550733</v>
                </pt>
                <pt idx="49">
                  <v>0.06464217164792981</v>
                </pt>
                <pt idx="50">
                  <v>0.06993985104422111</v>
                </pt>
                <pt idx="51">
                  <v>0.0617050093903846</v>
                </pt>
                <pt idx="52">
                  <v>0.07232215200129639</v>
                </pt>
                <pt idx="53">
                  <v>0.06791262808309416</v>
                </pt>
                <pt idx="54">
                  <v>0.06813296699940022</v>
                </pt>
                <pt idx="55">
                  <v>0.06859868468598673</v>
                </pt>
                <pt idx="56">
                  <v>0.06940256261013089</v>
                </pt>
                <pt idx="57">
                  <v>0.05198996673857908</v>
                </pt>
                <pt idx="58">
                  <v>0.04995342247904022</v>
                </pt>
                <pt idx="59">
                  <v>0.02628122120676358</v>
                </pt>
                <pt idx="60">
                  <v>0.02927260613392208</v>
                </pt>
                <pt idx="61">
                  <v>0.04847294657995841</v>
                </pt>
                <pt idx="62">
                  <v>0.0475745516249552</v>
                </pt>
                <pt idx="63">
                  <v>0.04211930046765399</v>
                </pt>
                <pt idx="64">
                  <v>0.03996645157390477</v>
                </pt>
                <pt idx="65">
                  <v>0.03247558260890551</v>
                </pt>
                <pt idx="66">
                  <v>0.02876283678933896</v>
                </pt>
                <pt idx="67">
                  <v>0.02893388580042358</v>
                </pt>
                <pt idx="68">
                  <v>0.01931504867905224</v>
                </pt>
                <pt idx="69">
                  <v>0.02129237587886708</v>
                </pt>
                <pt idx="70">
                  <v>0.01429016414497436</v>
                </pt>
                <pt idx="71">
                  <v>0.0397665749668636</v>
                </pt>
                <pt idx="72">
                  <v>0.01542667593390829</v>
                </pt>
                <pt idx="73">
                  <v>-0.0004971334408507127</v>
                </pt>
                <pt idx="74">
                  <v>-0.02603304104271629</v>
                </pt>
                <pt idx="75">
                  <v>-0.01333549529335471</v>
                </pt>
                <pt idx="76">
                  <v>-0.02231402676927596</v>
                </pt>
                <pt idx="77">
                  <v>-0.0246616563319383</v>
                </pt>
                <pt idx="78">
                  <v>-0.0339044548060083</v>
                </pt>
                <pt idx="79">
                  <v>-0.03038717206787302</v>
                </pt>
                <pt idx="80">
                  <v>-0.02559357490820249</v>
                </pt>
                <pt idx="81">
                  <v>-0.03148924256078682</v>
                </pt>
                <pt idx="82">
                  <v>-0.03287442745925089</v>
                </pt>
                <pt idx="83">
                  <v>-0.03418074151862536</v>
                </pt>
                <pt idx="84">
                  <v>-0.02450481415383263</v>
                </pt>
                <pt idx="85">
                  <v>-0.03602645480199126</v>
                </pt>
                <pt idx="86">
                  <v>-0.03275778746964669</v>
                </pt>
                <pt idx="87">
                  <v>-0.06035665904195068</v>
                </pt>
                <pt idx="88">
                  <v>-0.06215174615536672</v>
                </pt>
                <pt idx="89">
                  <v>-0.05471452833749189</v>
                </pt>
                <pt idx="90">
                  <v>-0.04076718635238175</v>
                </pt>
                <pt idx="91">
                  <v>-0.03650499301775911</v>
                </pt>
                <pt idx="92">
                  <v>-0.03286566828059898</v>
                </pt>
                <pt idx="93">
                  <v>-0.02568943815081811</v>
                </pt>
                <pt idx="94">
                  <v>-0.02596308101649105</v>
                </pt>
                <pt idx="95">
                  <v>-0.02243934852042859</v>
                </pt>
                <pt idx="96">
                  <v>-0.02727510909140176</v>
                </pt>
                <pt idx="97">
                  <v>-0.02035195172955923</v>
                </pt>
                <pt idx="98">
                  <v>-0.001739468351853627</v>
                </pt>
                <pt idx="99">
                  <v>0.03006768893342667</v>
                </pt>
                <pt idx="100">
                  <v>0.02882390602912189</v>
                </pt>
                <pt idx="101">
                  <v>0.03592540191295831</v>
                </pt>
                <pt idx="102">
                  <v>0.03212112122384204</v>
                </pt>
                <pt idx="103">
                  <v>0.01492352961409888</v>
                </pt>
                <pt idx="104">
                  <v>0.01249798194304726</v>
                </pt>
                <pt idx="105">
                  <v>0.006130409116337079</v>
                </pt>
                <pt idx="106">
                  <v>-0.004485267988195881</v>
                </pt>
                <pt idx="107">
                  <v>-0.02275206001303835</v>
                </pt>
                <pt idx="108">
                  <v>0.006761526173050348</v>
                </pt>
                <pt idx="109">
                  <v>0.001861998348676959</v>
                </pt>
                <pt idx="110">
                  <v>-0.001631276010047107</v>
                </pt>
                <pt idx="111">
                  <v>-0.01086958184385185</v>
                </pt>
                <pt idx="112">
                  <v>0.002902069033506289</v>
                </pt>
                <pt idx="113">
                  <v>-0.00175729990639978</v>
                </pt>
                <pt idx="114">
                  <v>-0.004504704318550653</v>
                </pt>
                <pt idx="115">
                  <v>0.002269159609883266</v>
                </pt>
                <pt idx="116">
                  <v>-0.002351913037478897</v>
                </pt>
                <pt idx="117">
                  <v>-0.002319262628077765</v>
                </pt>
                <pt idx="118">
                  <v>-0.004829845714986326</v>
                </pt>
                <pt idx="119">
                  <v>0.03546644156320445</v>
                </pt>
                <pt idx="120">
                  <v>-0.005716693112906891</v>
                </pt>
                <pt idx="121">
                  <v>0.004057240488909842</v>
                </pt>
                <pt idx="122">
                  <v>0.02512184932460654</v>
                </pt>
                <pt idx="123">
                  <v>0.0280725900610071</v>
                </pt>
                <pt idx="124">
                  <v>0.02466225141150954</v>
                </pt>
                <pt idx="125">
                  <v>0.03559396042561993</v>
                </pt>
                <pt idx="126">
                  <v>0.04793520749336232</v>
                </pt>
                <pt idx="127">
                  <v>0.06115933920677766</v>
                </pt>
                <pt idx="128">
                  <v>0.05508213449802613</v>
                </pt>
                <pt idx="129">
                  <v>0.05871829964637541</v>
                </pt>
                <pt idx="130">
                  <v>0.07396115187573601</v>
                </pt>
                <pt idx="131">
                  <v>0.0721077073861814</v>
                </pt>
                <pt idx="132">
                  <v>0.08395937265138601</v>
                </pt>
                <pt idx="133">
                  <v>0.08340096308878318</v>
                </pt>
                <pt idx="134">
                  <v>0.06438237895569386</v>
                </pt>
                <pt idx="135">
                  <v>0.05720835501911865</v>
                </pt>
                <pt idx="136">
                  <v>0.05315581750565478</v>
                </pt>
                <pt idx="137">
                  <v>0.03921725275066693</v>
                </pt>
                <pt idx="138">
                  <v>0.02494233980877193</v>
                </pt>
                <pt idx="139">
                  <v>0.00909758503366879</v>
                </pt>
                <pt idx="140">
                  <v>0.02386303552727195</v>
                </pt>
                <pt idx="141">
                  <v>0.02503998836702063</v>
                </pt>
                <pt idx="142">
                  <v>0.02842268819702587</v>
                </pt>
                <pt idx="143">
                  <v>0.002711219521919883</v>
                </pt>
                <pt idx="144">
                  <v>0.01045864832206521</v>
                </pt>
                <pt idx="145">
                  <v>0.005820672127722297</v>
                </pt>
                <pt idx="146">
                  <v>-0.001833571806387305</v>
                </pt>
                <pt idx="147">
                  <v>0.003143007555169818</v>
                </pt>
                <pt idx="148">
                  <v>0.006861705534482919</v>
                </pt>
                <pt idx="149">
                  <v>0.003842348402343376</v>
                </pt>
                <pt idx="150">
                  <v>0.01333287555219852</v>
                </pt>
                <pt idx="151">
                  <v>0.021586544258229</v>
                </pt>
                <pt idx="152">
                  <v>0.01122593274398734</v>
                </pt>
                <pt idx="153">
                  <v>0.01408103047154281</v>
                </pt>
                <pt idx="154">
                  <v>0.01857350825246093</v>
                </pt>
                <pt idx="155">
                  <v>0.03660190493502284</v>
                </pt>
                <pt idx="156">
                  <v>0.02170039616988722</v>
                </pt>
                <pt idx="157">
                  <v>0.01895362213158984</v>
                </pt>
                <pt idx="158">
                  <v>0.03116262814538677</v>
                </pt>
                <pt idx="159">
                  <v>0.03522925682125389</v>
                </pt>
                <pt idx="160">
                  <v>0.03167443201737011</v>
                </pt>
                <pt idx="161">
                  <v>0.04128151528645616</v>
                </pt>
                <pt idx="162">
                  <v>0.03564793377229136</v>
                </pt>
                <pt idx="163">
                  <v>0.03248314302052897</v>
                </pt>
                <pt idx="164">
                  <v>0.03778046951606397</v>
                </pt>
                <pt idx="165">
                  <v>0.03906715572305079</v>
                </pt>
                <pt idx="166">
                  <v>0.04007391521929889</v>
                </pt>
                <pt idx="167">
                  <v>0.01681496551110019</v>
                </pt>
                <pt idx="168">
                  <v>0.03927716637278685</v>
                </pt>
                <pt idx="169">
                  <v>0.04539869132384894</v>
                </pt>
                <pt idx="170">
                  <v>0.03735483719860068</v>
                </pt>
                <pt idx="171">
                  <v>0.03946418369122461</v>
                </pt>
                <pt idx="172">
                  <v>0.04245138889840421</v>
                </pt>
                <pt idx="173">
                  <v>0.04308246724858109</v>
                </pt>
                <pt idx="174">
                  <v>0.04935284455319362</v>
                </pt>
                <pt idx="175">
                  <v>0.04482324091437349</v>
                </pt>
                <pt idx="176">
                  <v>0.0585802362025398</v>
                </pt>
                <pt idx="177">
                  <v>0.05167258368303637</v>
                </pt>
                <pt idx="178">
                  <v>0.04341608077038406</v>
                </pt>
                <pt idx="179">
                  <v>0.05878723126193205</v>
                </pt>
                <pt idx="180">
                  <v>0.04974503872619096</v>
                </pt>
                <pt idx="181">
                  <v>0.04583240466562659</v>
                </pt>
                <pt idx="182">
                  <v>0.05544959996599973</v>
                </pt>
                <pt idx="183">
                  <v>0.04178304188453384</v>
                </pt>
                <pt idx="184">
                  <v>0.03890615860831611</v>
                </pt>
                <pt idx="185">
                  <v>0.03137583629725969</v>
                </pt>
                <pt idx="186">
                  <v>0.03297999480384509</v>
                </pt>
                <pt idx="187">
                  <v>0.0291463700539216</v>
                </pt>
                <pt idx="188">
                  <v>0.01991202289709757</v>
                </pt>
                <pt idx="189">
                  <v>0.02159497359035489</v>
                </pt>
                <pt idx="190">
                  <v>0.02472507469512011</v>
                </pt>
                <pt idx="191">
                  <v>0.02125209326947065</v>
                </pt>
                <pt idx="192">
                  <v>0.01684258258844037</v>
                </pt>
                <pt idx="193">
                  <v>0.02014550021247848</v>
                </pt>
                <pt idx="194">
                  <v>0.009578626023360199</v>
                </pt>
                <pt idx="195">
                  <v>0.006179298338396275</v>
                </pt>
                <pt idx="196">
                  <v>0.006253755985855476</v>
                </pt>
                <pt idx="197">
                  <v>-0.01533979992556086</v>
                </pt>
                <pt idx="198">
                  <v>-0.004769941196295727</v>
                </pt>
                <pt idx="199">
                  <v>-0.002059081854515185</v>
                </pt>
                <pt idx="200">
                  <v>-0.007705597701755505</v>
                </pt>
                <pt idx="201">
                  <v>-0.005658984766103221</v>
                </pt>
                <pt idx="202">
                  <v>0.004972544424430134</v>
                </pt>
                <pt idx="203">
                  <v>-0.01649735282280438</v>
                </pt>
                <pt idx="204">
                  <v>-0.004626400127556209</v>
                </pt>
                <pt idx="205">
                  <v>2.486955916125279e-06</v>
                </pt>
                <pt idx="206">
                  <v>-0.001994271455244767</v>
                </pt>
                <pt idx="207">
                  <v>0.006138834225069709</v>
                </pt>
                <pt idx="208">
                  <v>0.01675492991747008</v>
                </pt>
                <pt idx="209">
                  <v>0.03080141272247364</v>
                </pt>
                <pt idx="210">
                  <v>0.01645448859292767</v>
                </pt>
                <pt idx="211">
                  <v>0.02720374975746039</v>
                </pt>
                <pt idx="212">
                  <v>0.01091994528639233</v>
                </pt>
                <pt idx="213">
                  <v>-0.004733417600600948</v>
                </pt>
                <pt idx="214">
                  <v>-0.02779479877051917</v>
                </pt>
                <pt idx="215">
                  <v>-0.002071421603343656</v>
                </pt>
                <pt idx="216">
                  <v>-0.0236086951080631</v>
                </pt>
                <pt idx="217">
                  <v>-0.02927512876182228</v>
                </pt>
                <pt idx="218">
                  <v>-0.02509810190608702</v>
                </pt>
                <pt idx="219">
                  <v>-0.007493623046765274</v>
                </pt>
                <pt idx="220">
                  <v>-0.005915857317040089</v>
                </pt>
                <pt idx="221">
                  <v>0.0001085131700065182</v>
                </pt>
                <pt idx="222">
                  <v>-0.003171240786805833</v>
                </pt>
                <pt idx="223">
                  <v>0.004322318273739387</v>
                </pt>
                <pt idx="224">
                  <v>0.01590633437097499</v>
                </pt>
                <pt idx="225">
                  <v>0.02916109001444756</v>
                </pt>
                <pt idx="226">
                  <v>0.02370800192909795</v>
                </pt>
                <pt idx="227">
                  <v>0.009149677914071588</v>
                </pt>
                <pt idx="228">
                  <v>0.02919489108631705</v>
                </pt>
                <pt idx="229">
                  <v>0.03782720920252868</v>
                </pt>
                <pt idx="230">
                  <v>0.04770548884066401</v>
                </pt>
                <pt idx="231">
                  <v>0.03651572559878414</v>
                </pt>
                <pt idx="232">
                  <v>0.01901379541977146</v>
                </pt>
                <pt idx="233">
                  <v>0.03493744956867578</v>
                </pt>
                <pt idx="234">
                  <v>0.03527646763923147</v>
                </pt>
                <pt idx="235">
                  <v>0.01610113548777307</v>
                </pt>
                <pt idx="236">
                  <v>0.03197619619656612</v>
                </pt>
                <pt idx="237">
                  <v>0.0322694551176762</v>
                </pt>
                <pt idx="238">
                  <v>0.0458729660205791</v>
                </pt>
                <pt idx="239">
                  <v>0.06186052070425274</v>
                </pt>
                <pt idx="240">
                  <v>0.05231119463301222</v>
                </pt>
                <pt idx="241">
                  <v>0.04357276424520318</v>
                </pt>
                <pt idx="242">
                  <v>0.03471701712191011</v>
                </pt>
                <pt idx="243">
                  <v>0.0205478952803256</v>
                </pt>
                <pt idx="244">
                  <v>0.02759239478743859</v>
                </pt>
                <pt idx="245">
                  <v>0.02256078530138679</v>
                </pt>
                <pt idx="246">
                  <v>0.02075521018414677</v>
                </pt>
                <pt idx="247">
                  <v>0.02843278517168917</v>
                </pt>
                <pt idx="248">
                  <v>0.01991313151573331</v>
                </pt>
                <pt idx="249">
                  <v>0.01957905099945299</v>
                </pt>
                <pt idx="250">
                  <v>0.02230404861917943</v>
                </pt>
                <pt idx="251">
                  <v>0.02300318580380245</v>
                </pt>
                <pt idx="252">
                  <v>0.02379205385165238</v>
                </pt>
                <pt idx="253">
                  <v>0.03195199926196393</v>
                </pt>
                <pt idx="254">
                  <v>0.03403668488857681</v>
                </pt>
                <pt idx="255">
                  <v>0.04742257732744175</v>
                </pt>
                <pt idx="256">
                  <v>0.05288092584980829</v>
                </pt>
                <pt idx="257">
                  <v>0.0393108869166798</v>
                </pt>
                <pt idx="258">
                  <v>0.05426353844719573</v>
                </pt>
                <pt idx="259">
                  <v>0.04479797855032978</v>
                </pt>
                <pt idx="260">
                  <v>0.05021615022001318</v>
                </pt>
                <pt idx="261">
                  <v>0.04968694326635773</v>
                </pt>
                <pt idx="262">
                  <v>0.05512348873751008</v>
                </pt>
                <pt idx="263">
                  <v>0.04606166029511055</v>
                </pt>
                <pt idx="264">
                  <v>0.04653955879837057</v>
                </pt>
                <pt idx="265">
                  <v>0.03706123309745989</v>
                </pt>
                <pt idx="266">
                  <v>0.02892791961939897</v>
                </pt>
                <pt idx="267">
                  <v>0.0270268734472703</v>
                </pt>
                <pt idx="268">
                  <v>0.02389167452713109</v>
                </pt>
                <pt idx="269">
                  <v>0.02338742322210345</v>
                </pt>
                <pt idx="270">
                  <v>0.02558192899878544</v>
                </pt>
                <pt idx="271">
                  <v>0.03357371659545237</v>
                </pt>
                <pt idx="272">
                  <v>0.01389822384957055</v>
                </pt>
                <pt idx="273">
                  <v>0.01631066663696911</v>
                </pt>
                <pt idx="274">
                  <v>0.0113181658495198</v>
                </pt>
                <pt idx="275">
                  <v>0.002157773186927923</v>
                </pt>
                <pt idx="276">
                  <v>0.01506152848667858</v>
                </pt>
                <pt idx="277">
                  <v>0.009300007294123327</v>
                </pt>
                <pt idx="278">
                  <v>0.02369745099128118</v>
                </pt>
                <pt idx="279">
                  <v>0.02146659835362615</v>
                </pt>
                <pt idx="280">
                  <v>0.02453532745543366</v>
                </pt>
                <pt idx="281">
                  <v>0.02463788830129636</v>
                </pt>
                <pt idx="282">
                  <v>0.005890513076022333</v>
                </pt>
                <pt idx="283">
                  <v>0.01421593404678069</v>
                </pt>
                <pt idx="284">
                  <v>0.01801823590586995</v>
                </pt>
                <pt idx="285">
                  <v>0.02652681500702399</v>
                </pt>
                <pt idx="286">
                  <v>0.02560662947455119</v>
                </pt>
                <pt idx="287">
                  <v>0.03486762520782829</v>
                </pt>
                <pt idx="288">
                  <v>0.02507973436025894</v>
                </pt>
                <pt idx="289">
                  <v>0.03889064695106391</v>
                </pt>
                <pt idx="290">
                  <v>0.01904770171186284</v>
                </pt>
                <pt idx="291">
                  <v>0.02530869413551564</v>
                </pt>
                <pt idx="292">
                  <v>0.01705867927531803</v>
                </pt>
                <pt idx="293">
                  <v>0.03238573081456336</v>
                </pt>
                <pt idx="294">
                  <v>0.04475942257946899</v>
                </pt>
                <pt idx="295">
                  <v>0.04207365144559714</v>
                </pt>
                <pt idx="296">
                  <v>0.06414196608295251</v>
                </pt>
                <pt idx="297">
                  <v>0.05415064571293156</v>
                </pt>
                <pt idx="298">
                  <v>0.04837740768670358</v>
                </pt>
                <pt idx="299">
                  <v>0.05567078762154955</v>
                </pt>
                <pt idx="300">
                  <v>0.04836858849493172</v>
                </pt>
                <pt idx="301">
                  <v>0.04166130885251439</v>
                </pt>
                <pt idx="302">
                  <v>0.05893475802828234</v>
                </pt>
                <pt idx="303">
                  <v>0.05490129368457089</v>
                </pt>
                <pt idx="304">
                  <v>0.04492106532204158</v>
                </pt>
                <pt idx="305">
                  <v>0.02569704841108576</v>
                </pt>
                <pt idx="306">
                  <v>0.0457789081981208</v>
                </pt>
                <pt idx="307">
                  <v>0.0307213107319476</v>
                </pt>
                <pt idx="308">
                  <v>0.01856262450262375</v>
                </pt>
                <pt idx="309">
                  <v>0.00927067953929122</v>
                </pt>
                <pt idx="310">
                  <v>0.01297384505348029</v>
                </pt>
                <pt idx="311">
                  <v>0.01858314280311494</v>
                </pt>
                <pt idx="312">
                  <v>0.02421117008673543</v>
                </pt>
                <pt idx="313">
                  <v>0.02132152581663196</v>
                </pt>
                <pt idx="314">
                  <v>0.01351101351704613</v>
                </pt>
                <pt idx="315">
                  <v>0.01874790290513362</v>
                </pt>
                <pt idx="316">
                  <v>0.01975165701990447</v>
                </pt>
                <pt idx="317">
                  <v>0.02533101052412293</v>
                </pt>
                <pt idx="318">
                  <v>0.009733391860139544</v>
                </pt>
                <pt idx="319">
                  <v>0.008750894989260162</v>
                </pt>
                <pt idx="320">
                  <v>0.02469331372613483</v>
                </pt>
                <pt idx="321">
                  <v>0.03138027665933899</v>
                </pt>
                <pt idx="322">
                  <v>0.04228440070687972</v>
                </pt>
                <pt idx="323">
                  <v>0.01805449108692289</v>
                </pt>
                <pt idx="324">
                  <v>0.02141742122938604</v>
                </pt>
                <pt idx="325">
                  <v>0.01978166557522575</v>
                </pt>
                <pt idx="326">
                  <v>0.02988093655571145</v>
                </pt>
                <pt idx="327">
                  <v>0.02241715112134918</v>
                </pt>
                <pt idx="328">
                  <v>0.03292625436067428</v>
                </pt>
                <pt idx="329">
                  <v>0.03226336546888687</v>
                </pt>
                <pt idx="330">
                  <v>0.01455327628210355</v>
                </pt>
                <pt idx="331">
                  <v>0.03212944963286721</v>
                </pt>
                <pt idx="332">
                  <v>0.001670397025565481</v>
                </pt>
                <pt idx="333">
                  <v>0.005344602331040482</v>
                </pt>
                <pt idx="334">
                  <v>-0.0003454520610689773</v>
                </pt>
                <pt idx="335">
                  <v>0.004670053731459681</v>
                </pt>
                <pt idx="336">
                  <v>-0.008918123419317364</v>
                </pt>
                <pt idx="337">
                  <v>-0.005625956927572696</v>
                </pt>
                <pt idx="338">
                  <v>-0.01086350304145329</v>
                </pt>
                <pt idx="339">
                  <v>-0.01241917678599589</v>
                </pt>
                <pt idx="340">
                  <v>-0.01285501666568973</v>
                </pt>
                <pt idx="341">
                  <v>-0.0139463084010709</v>
                </pt>
                <pt idx="342">
                  <v>-0.007046718317396065</v>
                </pt>
                <pt idx="343">
                  <v>-0.02154394942632066</v>
                </pt>
                <pt idx="344">
                  <v>-0.006032715469377409</v>
                </pt>
                <pt idx="345">
                  <v>-0.01059657631208956</v>
                </pt>
                <pt idx="346">
                  <v>-0.01026318297285781</v>
                </pt>
                <pt idx="347">
                  <v>0.008245499432666991</v>
                </pt>
                <pt idx="348">
                  <v>0.008184866054730466</v>
                </pt>
                <pt idx="349">
                  <v>0.01676721590159691</v>
                </pt>
                <pt idx="350">
                  <v>0.01251659156841562</v>
                </pt>
                <pt idx="351">
                  <v>0.0158158302410202</v>
                </pt>
                <pt idx="352">
                  <v>0.02606625383742364</v>
                </pt>
                <pt idx="353">
                  <v>0.03210700377683416</v>
                </pt>
                <pt idx="354">
                  <v>0.02304849771789814</v>
                </pt>
                <pt idx="355">
                  <v>0.02978376293137718</v>
                </pt>
                <pt idx="356">
                  <v>0.02297556350042626</v>
                </pt>
                <pt idx="357">
                  <v>0.03234927080399334</v>
                </pt>
                <pt idx="358">
                  <v>0.01696951070660582</v>
                </pt>
                <pt idx="359">
                  <v>0.01924324719808546</v>
                </pt>
                <pt idx="360">
                  <v>0.02969746518602336</v>
                </pt>
                <pt idx="361">
                  <v>0.02139122730989598</v>
                </pt>
                <pt idx="362">
                  <v>0.01429890452328969</v>
                </pt>
                <pt idx="363">
                  <v>0.008092004616334315</v>
                </pt>
                <pt idx="364">
                  <v>-0.0005198441985197739</v>
                </pt>
                <pt idx="365">
                  <v>0.008764412220311393</v>
                </pt>
                <pt idx="366">
                  <v>0.007083806111941888</v>
                </pt>
                <pt idx="367">
                  <v>0.01422477682933223</v>
                </pt>
                <pt idx="368">
                  <v>0.009047968168869958</v>
                </pt>
                <pt idx="369">
                  <v>0.008178496418532829</v>
                </pt>
                <pt idx="370">
                  <v>0.01908774010299868</v>
                </pt>
                <pt idx="371">
                  <v>0.009714349941392707</v>
                </pt>
                <pt idx="372">
                  <v>0.01077890728333525</v>
                </pt>
                <pt idx="373">
                  <v>0.001326473302608123</v>
                </pt>
                <pt idx="374">
                  <v>0.01560501309979077</v>
                </pt>
                <pt idx="375">
                  <v>0.02246851270426569</v>
                </pt>
                <pt idx="376">
                  <v>0.006639053771115422</v>
                </pt>
                <pt idx="377">
                  <v>-8.364040639836912e-05</v>
                </pt>
                <pt idx="378">
                  <v>0.01242577982120815</v>
                </pt>
                <pt idx="379">
                  <v>0.003519710378117435</v>
                </pt>
                <pt idx="380">
                  <v>0.02015598776165899</v>
                </pt>
                <pt idx="381">
                  <v>0.01189149469181721</v>
                </pt>
                <pt idx="382">
                  <v>0.01786123175213308</v>
                </pt>
                <pt idx="383">
                  <v>0.0170163924611891</v>
                </pt>
                <pt idx="384">
                  <v>0.01824265212292684</v>
                </pt>
                <pt idx="385">
                  <v>0.02295235061946917</v>
                </pt>
                <pt idx="386">
                  <v>0.01633997912336823</v>
                </pt>
                <pt idx="387">
                  <v>0.01740870658517805</v>
                </pt>
                <pt idx="388">
                  <v>0.04092837228422529</v>
                </pt>
                <pt idx="389">
                  <v>0.03322211674921761</v>
                </pt>
                <pt idx="390">
                  <v>0.03394454797228428</v>
                </pt>
                <pt idx="391">
                  <v>0.03541081130186468</v>
                </pt>
                <pt idx="392">
                  <v>0.02499835390717519</v>
                </pt>
                <pt idx="393">
                  <v>0.02546196770056675</v>
                </pt>
                <pt idx="394">
                  <v>0.02515588164519555</v>
                </pt>
                <pt idx="395">
                  <v>0.01408363908283426</v>
                </pt>
                <pt idx="396">
                  <v>0.003104945702296377</v>
                </pt>
                <pt idx="397">
                  <v>0.0132952611523234</v>
                </pt>
                <pt idx="398">
                  <v>0.01632347469810894</v>
                </pt>
                <pt idx="399">
                  <v>0.009676941695215199</v>
                </pt>
                <pt idx="400">
                  <v>0.005433788217221143</v>
                </pt>
                <pt idx="401">
                  <v>0.0007404456136328219</v>
                </pt>
                <pt idx="402">
                  <v>0.005370756939075894</v>
                </pt>
                <pt idx="403">
                  <v>-5.246195829630323e-05</v>
                </pt>
                <pt idx="404">
                  <v>-0.0009490919388708851</v>
                </pt>
                <pt idx="405">
                  <v>0.001644510450248153</v>
                </pt>
                <pt idx="406">
                  <v>-0.0003858184297100251</v>
                </pt>
                <pt idx="407">
                  <v>0.002431677658043082</v>
                </pt>
                <pt idx="408">
                  <v>0.01858112109985069</v>
                </pt>
                <pt idx="409">
                  <v>0.005107474496616835</v>
                </pt>
                <pt idx="410">
                  <v>0.007617117589422209</v>
                </pt>
                <pt idx="411">
                  <v>0.005163715304024661</v>
                </pt>
                <pt idx="412">
                  <v>0.001602678157181322</v>
                </pt>
                <pt idx="413">
                  <v>0.007062660432376627</v>
                </pt>
                <pt idx="414">
                  <v>-0.004330918163654634</v>
                </pt>
                <pt idx="415">
                  <v>-0.0007544063572756114</v>
                </pt>
                <pt idx="416">
                  <v>-0.008664955651873101</v>
                </pt>
                <pt idx="417">
                  <v>-0.01066995993114521</v>
                </pt>
                <pt idx="418">
                  <v>-0.01842296802588943</v>
                </pt>
                <pt idx="419">
                  <v>-0.01493469126285271</v>
                </pt>
                <pt idx="420">
                  <v>-0.02750547926823807</v>
                </pt>
                <pt idx="421">
                  <v>-0.03365436641056162</v>
                </pt>
                <pt idx="422">
                  <v>-0.04481449220498569</v>
                </pt>
                <pt idx="423">
                  <v>-0.04649047359580673</v>
                </pt>
                <pt idx="424">
                  <v>-0.04987695584441748</v>
                </pt>
                <pt idx="425">
                  <v>-0.05259305257951367</v>
                </pt>
                <pt idx="426">
                  <v>-0.06778837936750377</v>
                </pt>
                <pt idx="427">
                  <v>-0.07333495674277683</v>
                </pt>
                <pt idx="428">
                  <v>-0.06233681998812408</v>
                </pt>
                <pt idx="429">
                  <v>-0.06987793042820298</v>
                </pt>
                <pt idx="430">
                  <v>-0.08630487545553879</v>
                </pt>
                <pt idx="431">
                  <v>-0.1059147281267853</v>
                </pt>
                <pt idx="432">
                  <v>-0.1038668828988606</v>
                </pt>
                <pt idx="433">
                  <v>-0.09600690556177678</v>
                </pt>
                <pt idx="434">
                  <v>-0.09308467177688823</v>
                </pt>
                <pt idx="435">
                  <v>-0.09963399026177962</v>
                </pt>
                <pt idx="436">
                  <v>-0.1014840823482523</v>
                </pt>
                <pt idx="437">
                  <v>-0.08378578444495469</v>
                </pt>
                <pt idx="438">
                  <v>-0.05848776929285407</v>
                </pt>
                <pt idx="439">
                  <v>-0.04366000429830221</v>
                </pt>
                <pt idx="440">
                  <v>-0.04395599042490698</v>
                </pt>
                <pt idx="441">
                  <v>-0.04176446488450396</v>
                </pt>
                <pt idx="442">
                  <v>-0.02279968220083934</v>
                </pt>
                <pt idx="443">
                  <v>0.007408084684958565</v>
                </pt>
                <pt idx="444">
                  <v>-0.001823054869229669</v>
                </pt>
                <pt idx="445">
                  <v>0.007407720918037165</v>
                </pt>
                <pt idx="446">
                  <v>0.002225379474317527</v>
                </pt>
                <pt idx="447">
                  <v>0.03445125053633386</v>
                </pt>
                <pt idx="448">
                  <v>0.03647508642024724</v>
                </pt>
                <pt idx="449">
                  <v>0.02950066912271624</v>
                </pt>
                <pt idx="450">
                  <v>0.01780628835430414</v>
                </pt>
                <pt idx="451">
                  <v>0.005519082870004832</v>
                </pt>
                <pt idx="452">
                  <v>0.003187621268200522</v>
                </pt>
                <pt idx="453">
                  <v>0.004074568499709739</v>
                </pt>
                <pt idx="454">
                  <v>0.01663641739073301</v>
                </pt>
                <pt idx="455">
                  <v>0.01036092950590813</v>
                </pt>
                <pt idx="456">
                  <v>0.01670072284101518</v>
                </pt>
                <pt idx="457">
                  <v>0.01570865718135661</v>
                </pt>
                <pt idx="458">
                  <v>0.02233870309466456</v>
                </pt>
                <pt idx="459">
                  <v>0.004973272715656316</v>
                </pt>
                <pt idx="460">
                  <v>0.006753672894127746</v>
                </pt>
                <pt idx="461">
                  <v>0.00675502334159521</v>
                </pt>
                <pt idx="462">
                  <v>0.01498828755322224</v>
                </pt>
                <pt idx="463">
                  <v>0.01253695256864795</v>
                </pt>
                <pt idx="464">
                  <v>0.01521905195322338</v>
                </pt>
                <pt idx="465">
                  <v>0.01087928830216127</v>
                </pt>
                <pt idx="466">
                  <v>-0.001301581082745837</v>
                </pt>
                <pt idx="467">
                  <v>-0.002780673962697668</v>
                </pt>
                <pt idx="468">
                  <v>-0.001630501298231108</v>
                </pt>
                <pt idx="469">
                  <v>-0.02003783197558573</v>
                </pt>
                <pt idx="470">
                  <v>-0.01055842303832334</v>
                </pt>
                <pt idx="471">
                  <v>-0.006889174802593375</v>
                </pt>
                <pt idx="472">
                  <v>-0.008855973061525323</v>
                </pt>
                <pt idx="473">
                  <v>-0.01496238836396907</v>
                </pt>
                <pt idx="474">
                  <v>-0.02550656065363181</v>
                </pt>
                <pt idx="475">
                  <v>-0.02240067582278107</v>
                </pt>
                <pt idx="476">
                  <v>-0.02499584753343494</v>
                </pt>
                <pt idx="477">
                  <v>-0.0111743468835674</v>
                </pt>
                <pt idx="478">
                  <v>-0.01064865602677334</v>
                </pt>
                <pt idx="479">
                  <v>-0.009967490273397417</v>
                </pt>
                <pt idx="480">
                  <v>-0.00411330431056047</v>
                </pt>
                <pt idx="481">
                  <v>0.01762368959904793</v>
                </pt>
                <pt idx="482">
                  <v>0.006573033707865055</v>
                </pt>
                <pt idx="483">
                  <v>0.0003109288440357227</v>
                </pt>
                <pt idx="484">
                  <v>0.006222278364441305</v>
                </pt>
                <pt idx="485">
                  <v>-0.004312258874046199</v>
                </pt>
                <pt idx="486">
                  <v>0.005939185524066938</v>
                </pt>
                <pt idx="487">
                  <v>0.01188443159986208</v>
                </pt>
                <pt idx="488">
                  <v>0.01524591425712605</v>
                </pt>
                <pt idx="489">
                  <v>0.010622300497301</v>
                </pt>
                <pt idx="490">
                  <v>0.01815918643901524</v>
                </pt>
                <pt idx="491">
                  <v>0.002114164904862592</v>
                </pt>
                <pt idx="492">
                  <v>0.008741776290691177</v>
                </pt>
                <pt idx="493">
                  <v>0.009877772179968863</v>
                </pt>
                <pt idx="494">
                  <v>0.008772775474790389</v>
                </pt>
                <pt idx="495">
                  <v>0.008554995967307676</v>
                </pt>
                <pt idx="496">
                  <v>0.005300979405553291</v>
                </pt>
                <pt idx="497">
                  <v>0.01652076782546979</v>
                </pt>
                <pt idx="498">
                  <v>0.005774906829264806</v>
                </pt>
                <pt idx="499">
                  <v>0.007194988863690786</v>
                </pt>
                <pt idx="500">
                  <v>0.0001961020175259054</v>
                </pt>
                <pt idx="501">
                  <v>0.01977899122798148</v>
                </pt>
                <pt idx="502">
                  <v>0.009086784665385874</v>
                </pt>
                <pt idx="503">
                  <v>0.02680181834504487</v>
                </pt>
                <pt idx="504">
                  <v>0.01087967211726005</v>
                </pt>
                <pt idx="505">
                  <v>0.0155302400410319</v>
                </pt>
                <pt idx="506">
                  <v>0.01079490584258809</v>
                </pt>
                <pt idx="507">
                  <v>0.01045548487424412</v>
                </pt>
                <pt idx="508">
                  <v>0.009330518903742121</v>
                </pt>
                <pt idx="509">
                  <v>0.02329213328248303</v>
                </pt>
                <pt idx="510">
                  <v>0.0295311613283711</v>
                </pt>
                <pt idx="511">
                  <v>0.02125555607023958</v>
                </pt>
                <pt idx="512">
                  <v>0.02055332373228223</v>
                </pt>
                <pt idx="513">
                  <v>-0.002615852322795648</v>
                </pt>
                <pt idx="514">
                  <v>-0.005581224169058178</v>
                </pt>
                <pt idx="515">
                  <v>0.007540953637541433</v>
                </pt>
                <pt idx="516">
                  <v>0.009838760846879638</v>
                </pt>
                <pt idx="517">
                  <v>-0.009932438897596957</v>
                </pt>
                <pt idx="518">
                  <v>0.008821559477354537</v>
                </pt>
                <pt idx="519">
                  <v>0.006642365814541995</v>
                </pt>
                <pt idx="520">
                  <v>0.01686716694454339</v>
                </pt>
                <pt idx="521">
                  <v>-9.931990449549643e-05</v>
                </pt>
                <pt idx="522">
                  <v>0.001257686132634795</v>
                </pt>
                <pt idx="523">
                  <v>0.002752014956131439</v>
                </pt>
                <pt idx="524">
                  <v>0.001991459796476936</v>
                </pt>
                <pt idx="525">
                  <v>-0.004922431699148292</v>
                </pt>
                <pt idx="526">
                  <v>0.0163795207477264</v>
                </pt>
                <pt idx="527">
                  <v>-0.01084613457924024</v>
                </pt>
                <pt idx="528">
                  <v>-0.02291785217501251</v>
                </pt>
                <pt idx="529">
                  <v>-0.008523633030447874</v>
                </pt>
                <pt idx="530">
                  <v>-0.01050533948257586</v>
                </pt>
                <pt idx="531">
                  <v>-0.002132840093432935</v>
                </pt>
                <pt idx="532">
                  <v>-0.01582400200952172</v>
                </pt>
                <pt idx="533">
                  <v>-0.01747122141195791</v>
                </pt>
                <pt idx="534">
                  <v>-0.02152161582379956</v>
                </pt>
                <pt idx="535">
                  <v>-0.02044825887426898</v>
                </pt>
                <pt idx="536">
                  <v>-0.007614968230609488</v>
                </pt>
                <pt idx="537">
                  <v>-0.001653921021276233</v>
                </pt>
                <pt idx="538">
                  <v>-0.01297216117720814</v>
                </pt>
                <pt idx="539">
                  <v>0.003754380193301694</v>
                </pt>
                <pt idx="540">
                  <v>0.0115548024015546</v>
                </pt>
                <pt idx="541">
                  <v>0.007689486245446481</v>
                </pt>
                <pt idx="542">
                  <v>0.01650206475206034</v>
                </pt>
                <pt idx="543">
                  <v>-0.01574768770955988</v>
                </pt>
                <pt idx="544">
                  <v>-0.0006929067287722868</v>
                </pt>
                <pt idx="545">
                  <v>0.001588509083629409</v>
                </pt>
                <pt idx="546">
                  <v>0.01230579756511682</v>
                </pt>
                <pt idx="547">
                  <v>0.01400675793696198</v>
                </pt>
                <pt idx="548">
                  <v>0.005388808885011524</v>
                </pt>
                <pt idx="549">
                  <v>0.0127140729150931</v>
                </pt>
                <pt idx="550">
                  <v>0.007683579315557222</v>
                </pt>
                <pt idx="551">
                  <v>-0.00423494404888064</v>
                </pt>
                <pt idx="552">
                  <v>0.004772833133757337</v>
                </pt>
                <pt idx="553">
                  <v>0.006038231830207578</v>
                </pt>
                <pt idx="554">
                  <v>-0.02454937238739949</v>
                </pt>
                <pt idx="555">
                  <v>0.007459443873708576</v>
                </pt>
                <pt idx="556">
                  <v>0.004129395027166792</v>
                </pt>
                <pt idx="557">
                  <v>0.001655945162931223</v>
                </pt>
                <pt idx="558">
                  <v>-0.003973801246531217</v>
                </pt>
                <pt idx="559">
                  <v>-0.009927582502982269</v>
                </pt>
                <pt idx="560">
                  <v>-0.01603421001278818</v>
                </pt>
                <pt idx="561">
                  <v>-0.003323092728511993</v>
                </pt>
                <pt idx="562">
                  <v>-0.01039654708378182</v>
                </pt>
                <pt idx="563">
                  <v>-0.0086914283605476</v>
                </pt>
                <pt idx="564">
                  <v>-0.00217263926926106</v>
                </pt>
                <pt idx="565">
                  <v>-0.05485353359132144</v>
                </pt>
                <pt idx="566">
                  <v>-0.1531489681744874</v>
                </pt>
                <pt idx="567">
                  <v>-0.1215195497630332</v>
                </pt>
                <pt idx="568">
                  <v>-0.05008619276378212</v>
                </pt>
                <pt idx="569">
                  <v>-0.003204648536257871</v>
                </pt>
                <pt idx="570">
                  <v>0.0006515143979708571</v>
                </pt>
                <pt idx="571">
                  <v>-0.007347360779612244</v>
                </pt>
                <pt idx="572">
                  <v>6.94624811998454e-05</v>
                </pt>
                <pt idx="573">
                  <v>-0.01335254810465576</v>
                </pt>
                <pt idx="574">
                  <v>0.0130294755513605</v>
                </pt>
                <pt idx="575">
                  <v>0.02547281722295281</v>
                </pt>
                <pt idx="576">
                  <v>-0.009072374619284387</v>
                </pt>
                <pt idx="577">
                  <v>0.05717917469852981</v>
                </pt>
                <pt idx="578">
                  <v>0.1899804567376762</v>
                </pt>
                <pt idx="579">
                  <v>0.1501044583317197</v>
                </pt>
                <pt idx="580">
                  <v>0.05766404652451994</v>
                </pt>
                <pt idx="581">
                  <v>0.01834484056363748</v>
                </pt>
                <pt idx="582">
                  <v>0.008475106982569765</v>
                </pt>
                <pt idx="583">
                  <v>0.01445193550369238</v>
                </pt>
                <pt idx="584">
                  <v>0.01842741825890799</v>
                </pt>
                <pt idx="585">
                  <v>0.02895304146567361</v>
                </pt>
                <pt idx="586">
                  <v>0.001979967388772364</v>
                </pt>
                <pt idx="587">
                  <v>0.006175431711146036</v>
                </pt>
                <pt idx="588">
                  <v>0.03531181302788396</v>
                </pt>
                <pt idx="589">
                  <v>0.02636967343707532</v>
                </pt>
                <pt idx="590">
                  <v>0.03604418892842245</v>
                </pt>
                <pt idx="591">
                  <v>0.02169303103206799</v>
                </pt>
                <pt idx="592">
                  <v>0.01637880308746667</v>
                </pt>
                <pt idx="593">
                  <v>0.009355127234841467</v>
                </pt>
                <pt idx="594">
                  <v>0.01527700977101729</v>
                </pt>
                <pt idx="595">
                  <v>0.01989502386092143</v>
                </pt>
                <pt idx="596">
                  <v>0.02047509333143557</v>
                </pt>
                <pt idx="597">
                  <v>0.00648054859142288</v>
                </pt>
                <pt idx="598">
                  <v>0.008834127629896537</v>
                </pt>
                <pt idx="599">
                  <v>-0.004102413080915254</v>
                </pt>
                <pt idx="600">
                  <v>-0.003203947745623871</v>
                </pt>
                <pt idx="601">
                  <v>0.0006891585596295526</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Goods'!$A$463:$A$625</f>
              <numCache>
                <formatCode>mmm\-yy</formatCode>
                <ptCount val="16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'Consumer Goods'!$D$463:$D$625</f>
              <numCache>
                <formatCode>0.0%</formatCode>
                <ptCount val="163"/>
                <pt idx="0">
                  <v>0.007408084684958565</v>
                </pt>
                <pt idx="1">
                  <v>-0.001823054869229669</v>
                </pt>
                <pt idx="2">
                  <v>0.007407720918037165</v>
                </pt>
                <pt idx="3">
                  <v>0.002225379474317527</v>
                </pt>
                <pt idx="4">
                  <v>0.03445125053633386</v>
                </pt>
                <pt idx="5">
                  <v>0.03647508642024724</v>
                </pt>
                <pt idx="6">
                  <v>0.02950066912271624</v>
                </pt>
                <pt idx="7">
                  <v>0.01780628835430414</v>
                </pt>
                <pt idx="8">
                  <v>0.005519082870004832</v>
                </pt>
                <pt idx="9">
                  <v>0.003187621268200522</v>
                </pt>
                <pt idx="10">
                  <v>0.004074568499709739</v>
                </pt>
                <pt idx="11">
                  <v>0.01663641739073301</v>
                </pt>
                <pt idx="12">
                  <v>0.01036092950590813</v>
                </pt>
                <pt idx="13">
                  <v>0.01670072284101518</v>
                </pt>
                <pt idx="14">
                  <v>0.01570865718135661</v>
                </pt>
                <pt idx="15">
                  <v>0.02233870309466456</v>
                </pt>
                <pt idx="16">
                  <v>0.004973272715656316</v>
                </pt>
                <pt idx="17">
                  <v>0.006753672894127746</v>
                </pt>
                <pt idx="18">
                  <v>0.00675502334159521</v>
                </pt>
                <pt idx="19">
                  <v>0.01498828755322224</v>
                </pt>
                <pt idx="20">
                  <v>0.01253695256864795</v>
                </pt>
                <pt idx="21">
                  <v>0.01521905195322338</v>
                </pt>
                <pt idx="22">
                  <v>0.01087928830216127</v>
                </pt>
                <pt idx="23">
                  <v>-0.001301581082745837</v>
                </pt>
                <pt idx="24">
                  <v>-0.002780673962697668</v>
                </pt>
                <pt idx="25">
                  <v>-0.001630501298231108</v>
                </pt>
                <pt idx="26">
                  <v>-0.02003783197558573</v>
                </pt>
                <pt idx="27">
                  <v>-0.01055842303832334</v>
                </pt>
                <pt idx="28">
                  <v>-0.006889174802593375</v>
                </pt>
                <pt idx="29">
                  <v>-0.008855973061525323</v>
                </pt>
                <pt idx="30">
                  <v>-0.01496238836396907</v>
                </pt>
                <pt idx="31">
                  <v>-0.02550656065363181</v>
                </pt>
                <pt idx="32">
                  <v>-0.02240067582278107</v>
                </pt>
                <pt idx="33">
                  <v>-0.02499584753343494</v>
                </pt>
                <pt idx="34">
                  <v>-0.0111743468835674</v>
                </pt>
                <pt idx="35">
                  <v>-0.01064865602677334</v>
                </pt>
                <pt idx="36">
                  <v>-0.009967490273397417</v>
                </pt>
                <pt idx="37">
                  <v>-0.00411330431056047</v>
                </pt>
                <pt idx="38">
                  <v>0.01762368959904793</v>
                </pt>
                <pt idx="39">
                  <v>0.006573033707865055</v>
                </pt>
                <pt idx="40">
                  <v>0.0003109288440357227</v>
                </pt>
                <pt idx="41">
                  <v>0.006222278364441305</v>
                </pt>
                <pt idx="42">
                  <v>-0.004312258874046199</v>
                </pt>
                <pt idx="43">
                  <v>0.005939185524066938</v>
                </pt>
                <pt idx="44">
                  <v>0.01188443159986208</v>
                </pt>
                <pt idx="45">
                  <v>0.01524591425712605</v>
                </pt>
                <pt idx="46">
                  <v>0.010622300497301</v>
                </pt>
                <pt idx="47">
                  <v>0.01815918643901524</v>
                </pt>
                <pt idx="48">
                  <v>0.002114164904862592</v>
                </pt>
                <pt idx="49">
                  <v>0.008741776290691177</v>
                </pt>
                <pt idx="50">
                  <v>0.009877772179968863</v>
                </pt>
                <pt idx="51">
                  <v>0.008772775474790389</v>
                </pt>
                <pt idx="52">
                  <v>0.008554995967307676</v>
                </pt>
                <pt idx="53">
                  <v>0.005300979405553291</v>
                </pt>
                <pt idx="54">
                  <v>0.01652076782546979</v>
                </pt>
                <pt idx="55">
                  <v>0.005774906829264806</v>
                </pt>
                <pt idx="56">
                  <v>0.007194988863690786</v>
                </pt>
                <pt idx="57">
                  <v>0.0001961020175259054</v>
                </pt>
                <pt idx="58">
                  <v>0.01977899122798148</v>
                </pt>
                <pt idx="59">
                  <v>0.009086784665385874</v>
                </pt>
                <pt idx="60">
                  <v>0.02680181834504487</v>
                </pt>
                <pt idx="61">
                  <v>0.01087967211726005</v>
                </pt>
                <pt idx="62">
                  <v>0.0155302400410319</v>
                </pt>
                <pt idx="63">
                  <v>0.01079490584258809</v>
                </pt>
                <pt idx="64">
                  <v>0.01045548487424412</v>
                </pt>
                <pt idx="65">
                  <v>0.009330518903742121</v>
                </pt>
                <pt idx="66">
                  <v>0.02329213328248303</v>
                </pt>
                <pt idx="67">
                  <v>0.0295311613283711</v>
                </pt>
                <pt idx="68">
                  <v>0.02125555607023958</v>
                </pt>
                <pt idx="69">
                  <v>0.02055332373228223</v>
                </pt>
                <pt idx="70">
                  <v>-0.002615852322795648</v>
                </pt>
                <pt idx="71">
                  <v>-0.005581224169058178</v>
                </pt>
                <pt idx="72">
                  <v>0.007540953637541433</v>
                </pt>
                <pt idx="73">
                  <v>0.009838760846879638</v>
                </pt>
                <pt idx="74">
                  <v>-0.009932438897596957</v>
                </pt>
                <pt idx="75">
                  <v>0.008821559477354537</v>
                </pt>
                <pt idx="76">
                  <v>0.006642365814541995</v>
                </pt>
                <pt idx="77">
                  <v>0.01686716694454339</v>
                </pt>
                <pt idx="78">
                  <v>-9.931990449549643e-05</v>
                </pt>
                <pt idx="79">
                  <v>0.001257686132634795</v>
                </pt>
                <pt idx="80">
                  <v>0.002752014956131439</v>
                </pt>
                <pt idx="81">
                  <v>0.001991459796476936</v>
                </pt>
                <pt idx="82">
                  <v>-0.004922431699148292</v>
                </pt>
                <pt idx="83">
                  <v>0.0163795207477264</v>
                </pt>
                <pt idx="84">
                  <v>-0.01084613457924024</v>
                </pt>
                <pt idx="85">
                  <v>-0.02291785217501251</v>
                </pt>
                <pt idx="86">
                  <v>-0.008523633030447874</v>
                </pt>
                <pt idx="87">
                  <v>-0.01050533948257586</v>
                </pt>
                <pt idx="88">
                  <v>-0.002132840093432935</v>
                </pt>
                <pt idx="89">
                  <v>-0.01582400200952172</v>
                </pt>
                <pt idx="90">
                  <v>-0.01747122141195791</v>
                </pt>
                <pt idx="91">
                  <v>-0.02152161582379956</v>
                </pt>
                <pt idx="92">
                  <v>-0.02044825887426898</v>
                </pt>
                <pt idx="93">
                  <v>-0.007614968230609488</v>
                </pt>
                <pt idx="94">
                  <v>-0.001653921021276233</v>
                </pt>
                <pt idx="95">
                  <v>-0.01297216117720814</v>
                </pt>
                <pt idx="96">
                  <v>0.003754380193301694</v>
                </pt>
                <pt idx="97">
                  <v>0.0115548024015546</v>
                </pt>
                <pt idx="98">
                  <v>0.007689486245446481</v>
                </pt>
                <pt idx="99">
                  <v>0.01650206475206034</v>
                </pt>
                <pt idx="100">
                  <v>-0.01574768770955988</v>
                </pt>
                <pt idx="101">
                  <v>-0.0006929067287722868</v>
                </pt>
                <pt idx="102">
                  <v>0.001588509083629409</v>
                </pt>
                <pt idx="103">
                  <v>0.01230579756511682</v>
                </pt>
                <pt idx="104">
                  <v>0.01400675793696198</v>
                </pt>
                <pt idx="105">
                  <v>0.005388808885011524</v>
                </pt>
                <pt idx="106">
                  <v>0.0127140729150931</v>
                </pt>
                <pt idx="107">
                  <v>0.007683579315557222</v>
                </pt>
                <pt idx="108">
                  <v>-0.00423494404888064</v>
                </pt>
                <pt idx="109">
                  <v>0.004772833133757337</v>
                </pt>
                <pt idx="110">
                  <v>0.006038231830207578</v>
                </pt>
                <pt idx="111">
                  <v>-0.02454937238739949</v>
                </pt>
                <pt idx="112">
                  <v>0.007459443873708576</v>
                </pt>
                <pt idx="113">
                  <v>0.004129395027166792</v>
                </pt>
                <pt idx="114">
                  <v>0.001655945162931223</v>
                </pt>
                <pt idx="115">
                  <v>-0.003973801246531217</v>
                </pt>
                <pt idx="116">
                  <v>-0.009927582502982269</v>
                </pt>
                <pt idx="117">
                  <v>-0.01603421001278818</v>
                </pt>
                <pt idx="118">
                  <v>-0.003323092728511993</v>
                </pt>
                <pt idx="119">
                  <v>-0.01039654708378182</v>
                </pt>
                <pt idx="120">
                  <v>-0.0086914283605476</v>
                </pt>
                <pt idx="121">
                  <v>-0.00217263926926106</v>
                </pt>
                <pt idx="122">
                  <v>-0.05485353359132144</v>
                </pt>
                <pt idx="123">
                  <v>-0.1531489681744874</v>
                </pt>
                <pt idx="124">
                  <v>-0.1215195497630332</v>
                </pt>
                <pt idx="125">
                  <v>-0.05008619276378212</v>
                </pt>
                <pt idx="126">
                  <v>-0.003204648536257871</v>
                </pt>
                <pt idx="127">
                  <v>0.0006515143979708571</v>
                </pt>
                <pt idx="128">
                  <v>-0.007347360779612244</v>
                </pt>
                <pt idx="129">
                  <v>6.94624811998454e-05</v>
                </pt>
                <pt idx="130">
                  <v>-0.01335254810465576</v>
                </pt>
                <pt idx="131">
                  <v>0.0130294755513605</v>
                </pt>
                <pt idx="132">
                  <v>0.02547281722295281</v>
                </pt>
                <pt idx="133">
                  <v>-0.009072374619284387</v>
                </pt>
                <pt idx="134">
                  <v>0.05717917469852981</v>
                </pt>
                <pt idx="135">
                  <v>0.1899804567376762</v>
                </pt>
                <pt idx="136">
                  <v>0.1501044583317197</v>
                </pt>
                <pt idx="137">
                  <v>0.05766404652451994</v>
                </pt>
                <pt idx="138">
                  <v>0.01834484056363748</v>
                </pt>
                <pt idx="139">
                  <v>0.008475106982569765</v>
                </pt>
                <pt idx="140">
                  <v>0.01445193550369238</v>
                </pt>
                <pt idx="141">
                  <v>0.01842741825890799</v>
                </pt>
                <pt idx="142">
                  <v>0.02895304146567361</v>
                </pt>
                <pt idx="143">
                  <v>0.001979967388772364</v>
                </pt>
                <pt idx="144">
                  <v>0.006175431711146036</v>
                </pt>
                <pt idx="145">
                  <v>0.03531181302788396</v>
                </pt>
                <pt idx="146">
                  <v>0.02636967343707532</v>
                </pt>
                <pt idx="147">
                  <v>0.03604418892842245</v>
                </pt>
                <pt idx="148">
                  <v>0.02169303103206799</v>
                </pt>
                <pt idx="149">
                  <v>0.01637880308746667</v>
                </pt>
                <pt idx="150">
                  <v>0.009355127234841467</v>
                </pt>
                <pt idx="151">
                  <v>0.01527700977101729</v>
                </pt>
                <pt idx="152">
                  <v>0.01989502386092143</v>
                </pt>
                <pt idx="153">
                  <v>0.02047509333143557</v>
                </pt>
                <pt idx="154">
                  <v>0.00648054859142288</v>
                </pt>
                <pt idx="155">
                  <v>0.008834127629896537</v>
                </pt>
                <pt idx="156">
                  <v>-0.004102413080915254</v>
                </pt>
                <pt idx="157">
                  <v>-0.003203947745623871</v>
                </pt>
                <pt idx="158">
                  <v>0.0006891585596295526</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Equipment'!$A$20:$A$631</f>
              <numCache>
                <formatCode>mmm\-yy</formatCode>
                <ptCount val="61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'Business Equipment'!$B$20:$B$631</f>
              <numCache>
                <formatCode>0.0</formatCode>
                <ptCount val="612"/>
                <pt idx="0">
                  <v>19.0671</v>
                </pt>
                <pt idx="1">
                  <v>19.2161</v>
                </pt>
                <pt idx="2">
                  <v>19.3696</v>
                </pt>
                <pt idx="3">
                  <v>19.5672</v>
                </pt>
                <pt idx="4">
                  <v>19.7639</v>
                </pt>
                <pt idx="5">
                  <v>20.0039</v>
                </pt>
                <pt idx="6">
                  <v>20.0543</v>
                </pt>
                <pt idx="7">
                  <v>20.3964</v>
                </pt>
                <pt idx="8">
                  <v>20.6869</v>
                </pt>
                <pt idx="9">
                  <v>20.8331</v>
                </pt>
                <pt idx="10">
                  <v>20.9104</v>
                </pt>
                <pt idx="11">
                  <v>20.898</v>
                </pt>
                <pt idx="12">
                  <v>20.8228</v>
                </pt>
                <pt idx="13">
                  <v>21.0008</v>
                </pt>
                <pt idx="14">
                  <v>20.7536</v>
                </pt>
                <pt idx="15">
                  <v>21.0989</v>
                </pt>
                <pt idx="16">
                  <v>21.125</v>
                </pt>
                <pt idx="17">
                  <v>21.1823</v>
                </pt>
                <pt idx="18">
                  <v>21.1039</v>
                </pt>
                <pt idx="19">
                  <v>21.4859</v>
                </pt>
                <pt idx="20">
                  <v>21.5039</v>
                </pt>
                <pt idx="21">
                  <v>21.1874</v>
                </pt>
                <pt idx="22">
                  <v>20.3279</v>
                </pt>
                <pt idx="23">
                  <v>19.846</v>
                </pt>
                <pt idx="24">
                  <v>19.1913</v>
                </pt>
                <pt idx="25">
                  <v>18.872</v>
                </pt>
                <pt idx="26">
                  <v>18.7703</v>
                </pt>
                <pt idx="27">
                  <v>18.5191</v>
                </pt>
                <pt idx="28">
                  <v>18.3729</v>
                </pt>
                <pt idx="29">
                  <v>18.4876</v>
                </pt>
                <pt idx="30">
                  <v>18.3775</v>
                </pt>
                <pt idx="31">
                  <v>18.6506</v>
                </pt>
                <pt idx="32">
                  <v>18.7095</v>
                </pt>
                <pt idx="33">
                  <v>18.6724</v>
                </pt>
                <pt idx="34">
                  <v>19.0025</v>
                </pt>
                <pt idx="35">
                  <v>19.1846</v>
                </pt>
                <pt idx="36">
                  <v>19.3205</v>
                </pt>
                <pt idx="37">
                  <v>19.4461</v>
                </pt>
                <pt idx="38">
                  <v>19.5979</v>
                </pt>
                <pt idx="39">
                  <v>19.7507</v>
                </pt>
                <pt idx="40">
                  <v>19.8371</v>
                </pt>
                <pt idx="41">
                  <v>19.9844</v>
                </pt>
                <pt idx="42">
                  <v>20.3165</v>
                </pt>
                <pt idx="43">
                  <v>20.2656</v>
                </pt>
                <pt idx="44">
                  <v>20.2887</v>
                </pt>
                <pt idx="45">
                  <v>20.9593</v>
                </pt>
                <pt idx="46">
                  <v>21.2971</v>
                </pt>
                <pt idx="47">
                  <v>21.3453</v>
                </pt>
                <pt idx="48">
                  <v>21.881</v>
                </pt>
                <pt idx="49">
                  <v>22.2288</v>
                </pt>
                <pt idx="50">
                  <v>22.5407</v>
                </pt>
                <pt idx="51">
                  <v>22.9951</v>
                </pt>
                <pt idx="52">
                  <v>23.5103</v>
                </pt>
                <pt idx="53">
                  <v>23.6493</v>
                </pt>
                <pt idx="54">
                  <v>23.7237</v>
                </pt>
                <pt idx="55">
                  <v>23.8188</v>
                </pt>
                <pt idx="56">
                  <v>23.7208</v>
                </pt>
                <pt idx="57">
                  <v>23.7233</v>
                </pt>
                <pt idx="58">
                  <v>24.063</v>
                </pt>
                <pt idx="59">
                  <v>23.5651</v>
                </pt>
                <pt idx="60">
                  <v>24.1629</v>
                </pt>
                <pt idx="61">
                  <v>24.8696</v>
                </pt>
                <pt idx="62">
                  <v>25.4088</v>
                </pt>
                <pt idx="63">
                  <v>25.5653</v>
                </pt>
                <pt idx="64">
                  <v>25.971</v>
                </pt>
                <pt idx="65">
                  <v>26.1698</v>
                </pt>
                <pt idx="66">
                  <v>26.6564</v>
                </pt>
                <pt idx="67">
                  <v>26.9312</v>
                </pt>
                <pt idx="68">
                  <v>27.4731</v>
                </pt>
                <pt idx="69">
                  <v>27.9323</v>
                </pt>
                <pt idx="70">
                  <v>28.2214</v>
                </pt>
                <pt idx="71">
                  <v>28.554</v>
                </pt>
                <pt idx="72">
                  <v>28.8752</v>
                </pt>
                <pt idx="73">
                  <v>29.0861</v>
                </pt>
                <pt idx="74">
                  <v>28.4716</v>
                </pt>
                <pt idx="75">
                  <v>29.3111</v>
                </pt>
                <pt idx="76">
                  <v>29.4256</v>
                </pt>
                <pt idx="77">
                  <v>29.7126</v>
                </pt>
                <pt idx="78">
                  <v>29.3529</v>
                </pt>
                <pt idx="79">
                  <v>30.0707</v>
                </pt>
                <pt idx="80">
                  <v>29.7831</v>
                </pt>
                <pt idx="81">
                  <v>29.7336</v>
                </pt>
                <pt idx="82">
                  <v>29.9378</v>
                </pt>
                <pt idx="83">
                  <v>30.4731</v>
                </pt>
                <pt idx="84">
                  <v>30.6328</v>
                </pt>
                <pt idx="85">
                  <v>30.3646</v>
                </pt>
                <pt idx="86">
                  <v>30.0646</v>
                </pt>
                <pt idx="87">
                  <v>29.5991</v>
                </pt>
                <pt idx="88">
                  <v>29.2393</v>
                </pt>
                <pt idx="89">
                  <v>29.2399</v>
                </pt>
                <pt idx="90">
                  <v>29.1756</v>
                </pt>
                <pt idx="91">
                  <v>29.7731</v>
                </pt>
                <pt idx="92">
                  <v>30.3244</v>
                </pt>
                <pt idx="93">
                  <v>30.7929</v>
                </pt>
                <pt idx="94">
                  <v>30.9209</v>
                </pt>
                <pt idx="95">
                  <v>30.9529</v>
                </pt>
                <pt idx="96">
                  <v>30.5955</v>
                </pt>
                <pt idx="97">
                  <v>30.9021</v>
                </pt>
                <pt idx="98">
                  <v>31.2526</v>
                </pt>
                <pt idx="99">
                  <v>31.2538</v>
                </pt>
                <pt idx="100">
                  <v>31.1302</v>
                </pt>
                <pt idx="101">
                  <v>31.1797</v>
                </pt>
                <pt idx="102">
                  <v>31.1257</v>
                </pt>
                <pt idx="103">
                  <v>31.1532</v>
                </pt>
                <pt idx="104">
                  <v>31.0605</v>
                </pt>
                <pt idx="105">
                  <v>30.5451</v>
                </pt>
                <pt idx="106">
                  <v>30.1173</v>
                </pt>
                <pt idx="107">
                  <v>28.9166</v>
                </pt>
                <pt idx="108">
                  <v>29.9666</v>
                </pt>
                <pt idx="109">
                  <v>29.616</v>
                </pt>
                <pt idx="110">
                  <v>29.1713</v>
                </pt>
                <pt idx="111">
                  <v>28.9767</v>
                </pt>
                <pt idx="112">
                  <v>28.4505</v>
                </pt>
                <pt idx="113">
                  <v>28.3736</v>
                </pt>
                <pt idx="114">
                  <v>27.6563</v>
                </pt>
                <pt idx="115">
                  <v>27.5418</v>
                </pt>
                <pt idx="116">
                  <v>26.9032</v>
                </pt>
                <pt idx="117">
                  <v>26.8019</v>
                </pt>
                <pt idx="118">
                  <v>27.0942</v>
                </pt>
                <pt idx="119">
                  <v>27.1261</v>
                </pt>
                <pt idx="120">
                  <v>27.0271</v>
                </pt>
                <pt idx="121">
                  <v>27.3175</v>
                </pt>
                <pt idx="122">
                  <v>27.3688</v>
                </pt>
                <pt idx="123">
                  <v>27.7136</v>
                </pt>
                <pt idx="124">
                  <v>27.9128</v>
                </pt>
                <pt idx="125">
                  <v>28.4781</v>
                </pt>
                <pt idx="126">
                  <v>28.7626</v>
                </pt>
                <pt idx="127">
                  <v>29.5386</v>
                </pt>
                <pt idx="128">
                  <v>29.8817</v>
                </pt>
                <pt idx="129">
                  <v>30.2009</v>
                </pt>
                <pt idx="130">
                  <v>30.5055</v>
                </pt>
                <pt idx="131">
                  <v>31.1792</v>
                </pt>
                <pt idx="132">
                  <v>31.4408</v>
                </pt>
                <pt idx="133">
                  <v>31.7456</v>
                </pt>
                <pt idx="134">
                  <v>32.0197</v>
                </pt>
                <pt idx="135">
                  <v>32.1799</v>
                </pt>
                <pt idx="136">
                  <v>32.5114</v>
                </pt>
                <pt idx="137">
                  <v>32.9689</v>
                </pt>
                <pt idx="138">
                  <v>33.2873</v>
                </pt>
                <pt idx="139">
                  <v>33.3419</v>
                </pt>
                <pt idx="140">
                  <v>33.6037</v>
                </pt>
                <pt idx="141">
                  <v>33.8958</v>
                </pt>
                <pt idx="142">
                  <v>34.0959</v>
                </pt>
                <pt idx="143">
                  <v>34.0467</v>
                </pt>
                <pt idx="144">
                  <v>33.8074</v>
                </pt>
                <pt idx="145">
                  <v>34.1674</v>
                </pt>
                <pt idx="146">
                  <v>33.8786</v>
                </pt>
                <pt idx="147">
                  <v>33.9581</v>
                </pt>
                <pt idx="148">
                  <v>33.9966</v>
                </pt>
                <pt idx="149">
                  <v>33.8425</v>
                </pt>
                <pt idx="150">
                  <v>33.8855</v>
                </pt>
                <pt idx="151">
                  <v>33.7945</v>
                </pt>
                <pt idx="152">
                  <v>33.7433</v>
                </pt>
                <pt idx="153">
                  <v>34.0485</v>
                </pt>
                <pt idx="154">
                  <v>33.98</v>
                </pt>
                <pt idx="155">
                  <v>34.0632</v>
                </pt>
                <pt idx="156">
                  <v>33.7065</v>
                </pt>
                <pt idx="157">
                  <v>33.6812</v>
                </pt>
                <pt idx="158">
                  <v>33.4645</v>
                </pt>
                <pt idx="159">
                  <v>33.4168</v>
                </pt>
                <pt idx="160">
                  <v>33.0677</v>
                </pt>
                <pt idx="161">
                  <v>33.3087</v>
                </pt>
                <pt idx="162">
                  <v>33.2864</v>
                </pt>
                <pt idx="163">
                  <v>33.3748</v>
                </pt>
                <pt idx="164">
                  <v>33.2795</v>
                </pt>
                <pt idx="165">
                  <v>33.2764</v>
                </pt>
                <pt idx="166">
                  <v>33.6449</v>
                </pt>
                <pt idx="167">
                  <v>33.6856</v>
                </pt>
                <pt idx="168">
                  <v>34.4511</v>
                </pt>
                <pt idx="169">
                  <v>34.4148</v>
                </pt>
                <pt idx="170">
                  <v>34.7121</v>
                </pt>
                <pt idx="171">
                  <v>35.0045</v>
                </pt>
                <pt idx="172">
                  <v>35.229</v>
                </pt>
                <pt idx="173">
                  <v>35.5327</v>
                </pt>
                <pt idx="174">
                  <v>36.0392</v>
                </pt>
                <pt idx="175">
                  <v>36.6078</v>
                </pt>
                <pt idx="176">
                  <v>37.346</v>
                </pt>
                <pt idx="177">
                  <v>37.5847</v>
                </pt>
                <pt idx="178">
                  <v>38.0269</v>
                </pt>
                <pt idx="179">
                  <v>38.0697</v>
                </pt>
                <pt idx="180">
                  <v>38.3743</v>
                </pt>
                <pt idx="181">
                  <v>38.7977</v>
                </pt>
                <pt idx="182">
                  <v>39.2318</v>
                </pt>
                <pt idx="183">
                  <v>39.4069</v>
                </pt>
                <pt idx="184">
                  <v>39.7326</v>
                </pt>
                <pt idx="185">
                  <v>39.387</v>
                </pt>
                <pt idx="186">
                  <v>39.5477</v>
                </pt>
                <pt idx="187">
                  <v>39.9437</v>
                </pt>
                <pt idx="188">
                  <v>40.1982</v>
                </pt>
                <pt idx="189">
                  <v>40.2872</v>
                </pt>
                <pt idx="190">
                  <v>40.4432</v>
                </pt>
                <pt idx="191">
                  <v>40.8501</v>
                </pt>
                <pt idx="192">
                  <v>40.6756</v>
                </pt>
                <pt idx="193">
                  <v>40.4727</v>
                </pt>
                <pt idx="194">
                  <v>41.079</v>
                </pt>
                <pt idx="195">
                  <v>40.5293</v>
                </pt>
                <pt idx="196">
                  <v>41.0748</v>
                </pt>
                <pt idx="197">
                  <v>40.5304</v>
                </pt>
                <pt idx="198">
                  <v>41.1046</v>
                </pt>
                <pt idx="199">
                  <v>40.9329</v>
                </pt>
                <pt idx="200">
                  <v>40.3707</v>
                </pt>
                <pt idx="201">
                  <v>40.6518</v>
                </pt>
                <pt idx="202">
                  <v>41.2174</v>
                </pt>
                <pt idx="203">
                  <v>40.8485</v>
                </pt>
                <pt idx="204">
                  <v>41.5649</v>
                </pt>
                <pt idx="205">
                  <v>42.2665</v>
                </pt>
                <pt idx="206">
                  <v>42.0235</v>
                </pt>
                <pt idx="207">
                  <v>42.6226</v>
                </pt>
                <pt idx="208">
                  <v>42.6614</v>
                </pt>
                <pt idx="209">
                  <v>42.8623</v>
                </pt>
                <pt idx="210">
                  <v>43.0957</v>
                </pt>
                <pt idx="211">
                  <v>43.1019</v>
                </pt>
                <pt idx="212">
                  <v>43.001</v>
                </pt>
                <pt idx="213">
                  <v>41.9863</v>
                </pt>
                <pt idx="214">
                  <v>41.6138</v>
                </pt>
                <pt idx="215">
                  <v>41.5054</v>
                </pt>
                <pt idx="216">
                  <v>41.205</v>
                </pt>
                <pt idx="217">
                  <v>41.1449</v>
                </pt>
                <pt idx="218">
                  <v>41.1545</v>
                </pt>
                <pt idx="219">
                  <v>41.4315</v>
                </pt>
                <pt idx="220">
                  <v>41.8627</v>
                </pt>
                <pt idx="221">
                  <v>42.1141</v>
                </pt>
                <pt idx="222">
                  <v>41.9302</v>
                </pt>
                <pt idx="223">
                  <v>42.539</v>
                </pt>
                <pt idx="224">
                  <v>42.245</v>
                </pt>
                <pt idx="225">
                  <v>42.2312</v>
                </pt>
                <pt idx="226">
                  <v>42.1618</v>
                </pt>
                <pt idx="227">
                  <v>41.4496</v>
                </pt>
                <pt idx="228">
                  <v>42.296</v>
                </pt>
                <pt idx="229">
                  <v>42.7938</v>
                </pt>
                <pt idx="230">
                  <v>43.2029</v>
                </pt>
                <pt idx="231">
                  <v>43.5485</v>
                </pt>
                <pt idx="232">
                  <v>43.6582</v>
                </pt>
                <pt idx="233">
                  <v>44.1032</v>
                </pt>
                <pt idx="234">
                  <v>43.8909</v>
                </pt>
                <pt idx="235">
                  <v>44.0753</v>
                </pt>
                <pt idx="236">
                  <v>44.2378</v>
                </pt>
                <pt idx="237">
                  <v>44.5553</v>
                </pt>
                <pt idx="238">
                  <v>44.9615</v>
                </pt>
                <pt idx="239">
                  <v>45.1245</v>
                </pt>
                <pt idx="240">
                  <v>45.1772</v>
                </pt>
                <pt idx="241">
                  <v>45.2824</v>
                </pt>
                <pt idx="242">
                  <v>45.5901</v>
                </pt>
                <pt idx="243">
                  <v>45.649</v>
                </pt>
                <pt idx="244">
                  <v>45.3152</v>
                </pt>
                <pt idx="245">
                  <v>45.331</v>
                </pt>
                <pt idx="246">
                  <v>44.9116</v>
                </pt>
                <pt idx="247">
                  <v>45.684</v>
                </pt>
                <pt idx="248">
                  <v>46.6534</v>
                </pt>
                <pt idx="249">
                  <v>46.9205</v>
                </pt>
                <pt idx="250">
                  <v>47.2186</v>
                </pt>
                <pt idx="251">
                  <v>47.4642</v>
                </pt>
                <pt idx="252">
                  <v>47.0113</v>
                </pt>
                <pt idx="253">
                  <v>47.5338</v>
                </pt>
                <pt idx="254">
                  <v>47.8533</v>
                </pt>
                <pt idx="255">
                  <v>47.999</v>
                </pt>
                <pt idx="256">
                  <v>48.2819</v>
                </pt>
                <pt idx="257">
                  <v>48.8382</v>
                </pt>
                <pt idx="258">
                  <v>49.014</v>
                </pt>
                <pt idx="259">
                  <v>49.4829</v>
                </pt>
                <pt idx="260">
                  <v>50.3456</v>
                </pt>
                <pt idx="261">
                  <v>50.9811</v>
                </pt>
                <pt idx="262">
                  <v>51.4767</v>
                </pt>
                <pt idx="263">
                  <v>51.8019</v>
                </pt>
                <pt idx="264">
                  <v>51.8161</v>
                </pt>
                <pt idx="265">
                  <v>52.2976</v>
                </pt>
                <pt idx="266">
                  <v>52.2143</v>
                </pt>
                <pt idx="267">
                  <v>52.8749</v>
                </pt>
                <pt idx="268">
                  <v>53.5531</v>
                </pt>
                <pt idx="269">
                  <v>53.2786</v>
                </pt>
                <pt idx="270">
                  <v>54.2964</v>
                </pt>
                <pt idx="271">
                  <v>54.7876</v>
                </pt>
                <pt idx="272">
                  <v>54.7491</v>
                </pt>
                <pt idx="273">
                  <v>54.958</v>
                </pt>
                <pt idx="274">
                  <v>55.3569</v>
                </pt>
                <pt idx="275">
                  <v>54.7823</v>
                </pt>
                <pt idx="276">
                  <v>56.1496</v>
                </pt>
                <pt idx="277">
                  <v>55.9859</v>
                </pt>
                <pt idx="278">
                  <v>57.3778</v>
                </pt>
                <pt idx="279">
                  <v>58.1483</v>
                </pt>
                <pt idx="280">
                  <v>59.0045</v>
                </pt>
                <pt idx="281">
                  <v>59.7581</v>
                </pt>
                <pt idx="282">
                  <v>60.0396</v>
                </pt>
                <pt idx="283">
                  <v>60.7099</v>
                </pt>
                <pt idx="284">
                  <v>60.5817</v>
                </pt>
                <pt idx="285">
                  <v>61.4855</v>
                </pt>
                <pt idx="286">
                  <v>62.58</v>
                </pt>
                <pt idx="287">
                  <v>62.9298</v>
                </pt>
                <pt idx="288">
                  <v>63.9577</v>
                </pt>
                <pt idx="289">
                  <v>64.9156</v>
                </pt>
                <pt idx="290">
                  <v>65.46769999999999</v>
                </pt>
                <pt idx="291">
                  <v>66.22499999999999</v>
                </pt>
                <pt idx="292">
                  <v>67.2942</v>
                </pt>
                <pt idx="293">
                  <v>67.7171</v>
                </pt>
                <pt idx="294">
                  <v>69.2013</v>
                </pt>
                <pt idx="295">
                  <v>69.7833</v>
                </pt>
                <pt idx="296">
                  <v>70.7688</v>
                </pt>
                <pt idx="297">
                  <v>72.0414</v>
                </pt>
                <pt idx="298">
                  <v>72.5089</v>
                </pt>
                <pt idx="299">
                  <v>73.4794</v>
                </pt>
                <pt idx="300">
                  <v>73.8064</v>
                </pt>
                <pt idx="301">
                  <v>74.18559999999999</v>
                </pt>
                <pt idx="302">
                  <v>74.3407</v>
                </pt>
                <pt idx="303">
                  <v>74.81740000000001</v>
                </pt>
                <pt idx="304">
                  <v>74.9051</v>
                </pt>
                <pt idx="305">
                  <v>74.43559999999999</v>
                </pt>
                <pt idx="306">
                  <v>76.70829999999999</v>
                </pt>
                <pt idx="307">
                  <v>76.73050000000001</v>
                </pt>
                <pt idx="308">
                  <v>77.6121</v>
                </pt>
                <pt idx="309">
                  <v>77.62269999999999</v>
                </pt>
                <pt idx="310">
                  <v>77.7659</v>
                </pt>
                <pt idx="311">
                  <v>77.7449</v>
                </pt>
                <pt idx="312">
                  <v>78.3702</v>
                </pt>
                <pt idx="313">
                  <v>78.35939999999999</v>
                </pt>
                <pt idx="314">
                  <v>78.7675</v>
                </pt>
                <pt idx="315">
                  <v>79.59229999999999</v>
                </pt>
                <pt idx="316">
                  <v>79.3659</v>
                </pt>
                <pt idx="317">
                  <v>79.9361</v>
                </pt>
                <pt idx="318">
                  <v>80.462</v>
                </pt>
                <pt idx="319">
                  <v>80.09229999999999</v>
                </pt>
                <pt idx="320">
                  <v>80.7308</v>
                </pt>
                <pt idx="321">
                  <v>80.83750000000001</v>
                </pt>
                <pt idx="322">
                  <v>81.5239</v>
                </pt>
                <pt idx="323">
                  <v>82.7465</v>
                </pt>
                <pt idx="324">
                  <v>83.3343</v>
                </pt>
                <pt idx="325">
                  <v>84.48860000000001</v>
                </pt>
                <pt idx="326">
                  <v>85.4508</v>
                </pt>
                <pt idx="327">
                  <v>86.1735</v>
                </pt>
                <pt idx="328">
                  <v>86.3257</v>
                </pt>
                <pt idx="329">
                  <v>86.869</v>
                </pt>
                <pt idx="330">
                  <v>86.4453</v>
                </pt>
                <pt idx="331">
                  <v>87.2756</v>
                </pt>
                <pt idx="332">
                  <v>87.32550000000001</v>
                </pt>
                <pt idx="333">
                  <v>87.151</v>
                </pt>
                <pt idx="334">
                  <v>86.47790000000001</v>
                </pt>
                <pt idx="335">
                  <v>86.56010000000001</v>
                </pt>
                <pt idx="336">
                  <v>86.0124</v>
                </pt>
                <pt idx="337">
                  <v>85.426</v>
                </pt>
                <pt idx="338">
                  <v>83.4761</v>
                </pt>
                <pt idx="339">
                  <v>82.1527</v>
                </pt>
                <pt idx="340">
                  <v>81.15389999999999</v>
                </pt>
                <pt idx="341">
                  <v>80.3535</v>
                </pt>
                <pt idx="342">
                  <v>78.8711</v>
                </pt>
                <pt idx="343">
                  <v>77.61</v>
                </pt>
                <pt idx="344">
                  <v>76.5307</v>
                </pt>
                <pt idx="345">
                  <v>75.89830000000001</v>
                </pt>
                <pt idx="346">
                  <v>75.1037</v>
                </pt>
                <pt idx="347">
                  <v>74.967</v>
                </pt>
                <pt idx="348">
                  <v>74.7715</v>
                </pt>
                <pt idx="349">
                  <v>75.05</v>
                </pt>
                <pt idx="350">
                  <v>74.73820000000001</v>
                </pt>
                <pt idx="351">
                  <v>75.0782</v>
                </pt>
                <pt idx="352">
                  <v>75.5829</v>
                </pt>
                <pt idx="353">
                  <v>75.3772</v>
                </pt>
                <pt idx="354">
                  <v>75.7179</v>
                </pt>
                <pt idx="355">
                  <v>75.7766</v>
                </pt>
                <pt idx="356">
                  <v>75.4709</v>
                </pt>
                <pt idx="357">
                  <v>75.7706</v>
                </pt>
                <pt idx="358">
                  <v>74.92359999999999</v>
                </pt>
                <pt idx="359">
                  <v>75.1482</v>
                </pt>
                <pt idx="360">
                  <v>75.15779999999999</v>
                </pt>
                <pt idx="361">
                  <v>75.29519999999999</v>
                </pt>
                <pt idx="362">
                  <v>74.59520000000001</v>
                </pt>
                <pt idx="363">
                  <v>74.5568</v>
                </pt>
                <pt idx="364">
                  <v>74.8505</v>
                </pt>
                <pt idx="365">
                  <v>75.2169</v>
                </pt>
                <pt idx="366">
                  <v>75.3107</v>
                </pt>
                <pt idx="367">
                  <v>76.1913</v>
                </pt>
                <pt idx="368">
                  <v>76.0141</v>
                </pt>
                <pt idx="369">
                  <v>77.2997</v>
                </pt>
                <pt idx="370">
                  <v>77.1717</v>
                </pt>
                <pt idx="371">
                  <v>77.3275</v>
                </pt>
                <pt idx="372">
                  <v>78.3369</v>
                </pt>
                <pt idx="373">
                  <v>78.2679</v>
                </pt>
                <pt idx="374">
                  <v>78.38120000000001</v>
                </pt>
                <pt idx="375">
                  <v>79.111</v>
                </pt>
                <pt idx="376">
                  <v>79.0348</v>
                </pt>
                <pt idx="377">
                  <v>80.6142</v>
                </pt>
                <pt idx="378">
                  <v>80.3368</v>
                </pt>
                <pt idx="379">
                  <v>80.58410000000001</v>
                </pt>
                <pt idx="380">
                  <v>81.1846</v>
                </pt>
                <pt idx="381">
                  <v>80.8998</v>
                </pt>
                <pt idx="382">
                  <v>81.76390000000001</v>
                </pt>
                <pt idx="383">
                  <v>83.0943</v>
                </pt>
                <pt idx="384">
                  <v>83.9622</v>
                </pt>
                <pt idx="385">
                  <v>83.98</v>
                </pt>
                <pt idx="386">
                  <v>84.9697</v>
                </pt>
                <pt idx="387">
                  <v>85.6919</v>
                </pt>
                <pt idx="388">
                  <v>85.5141</v>
                </pt>
                <pt idx="389">
                  <v>85.0643</v>
                </pt>
                <pt idx="390">
                  <v>86.1528</v>
                </pt>
                <pt idx="391">
                  <v>83.542</v>
                </pt>
                <pt idx="392">
                  <v>88.0017</v>
                </pt>
                <pt idx="393">
                  <v>89.2426</v>
                </pt>
                <pt idx="394">
                  <v>88.592</v>
                </pt>
                <pt idx="395">
                  <v>90.17659999999999</v>
                </pt>
                <pt idx="396">
                  <v>90.52330000000001</v>
                </pt>
                <pt idx="397">
                  <v>91.3206</v>
                </pt>
                <pt idx="398">
                  <v>92.73779999999999</v>
                </pt>
                <pt idx="399">
                  <v>92.8505</v>
                </pt>
                <pt idx="400">
                  <v>93.61539999999999</v>
                </pt>
                <pt idx="401">
                  <v>94.38630000000001</v>
                </pt>
                <pt idx="402">
                  <v>95.184</v>
                </pt>
                <pt idx="403">
                  <v>95.28579999999999</v>
                </pt>
                <pt idx="404">
                  <v>95.5248</v>
                </pt>
                <pt idx="405">
                  <v>95.9766</v>
                </pt>
                <pt idx="406">
                  <v>97.4875</v>
                </pt>
                <pt idx="407">
                  <v>95.8202</v>
                </pt>
                <pt idx="408">
                  <v>96.5643</v>
                </pt>
                <pt idx="409">
                  <v>98.3235</v>
                </pt>
                <pt idx="410">
                  <v>99.2962</v>
                </pt>
                <pt idx="411">
                  <v>99.4049</v>
                </pt>
                <pt idx="412">
                  <v>99.3646</v>
                </pt>
                <pt idx="413">
                  <v>99.39790000000001</v>
                </pt>
                <pt idx="414">
                  <v>99.5595</v>
                </pt>
                <pt idx="415">
                  <v>101.0496</v>
                </pt>
                <pt idx="416">
                  <v>100.714</v>
                </pt>
                <pt idx="417">
                  <v>101.4461</v>
                </pt>
                <pt idx="418">
                  <v>102.4317</v>
                </pt>
                <pt idx="419">
                  <v>102.9192</v>
                </pt>
                <pt idx="420">
                  <v>102.9023</v>
                </pt>
                <pt idx="421">
                  <v>103.6544</v>
                </pt>
                <pt idx="422">
                  <v>101.7306</v>
                </pt>
                <pt idx="423">
                  <v>102.1061</v>
                </pt>
                <pt idx="424">
                  <v>101.4303</v>
                </pt>
                <pt idx="425">
                  <v>99.59010000000001</v>
                </pt>
                <pt idx="426">
                  <v>97.70010000000001</v>
                </pt>
                <pt idx="427">
                  <v>89.93729999999999</v>
                </pt>
                <pt idx="428">
                  <v>87.46250000000001</v>
                </pt>
                <pt idx="429">
                  <v>88.66160000000001</v>
                </pt>
                <pt idx="430">
                  <v>89.5026</v>
                </pt>
                <pt idx="431">
                  <v>84.5316</v>
                </pt>
                <pt idx="432">
                  <v>84.0616</v>
                </pt>
                <pt idx="433">
                  <v>82.371</v>
                </pt>
                <pt idx="434">
                  <v>80.6695</v>
                </pt>
                <pt idx="435">
                  <v>78.4834</v>
                </pt>
                <pt idx="436">
                  <v>77.8553</v>
                </pt>
                <pt idx="437">
                  <v>78.8049</v>
                </pt>
                <pt idx="438">
                  <v>79.6897</v>
                </pt>
                <pt idx="439">
                  <v>80.17740000000001</v>
                </pt>
                <pt idx="440">
                  <v>80.5408</v>
                </pt>
                <pt idx="441">
                  <v>80.4068</v>
                </pt>
                <pt idx="442">
                  <v>81.8027</v>
                </pt>
                <pt idx="443">
                  <v>82.9588</v>
                </pt>
                <pt idx="444">
                  <v>82.5532</v>
                </pt>
                <pt idx="445">
                  <v>84.1255</v>
                </pt>
                <pt idx="446">
                  <v>85.10080000000001</v>
                </pt>
                <pt idx="447">
                  <v>86.64530000000001</v>
                </pt>
                <pt idx="448">
                  <v>87.1097</v>
                </pt>
                <pt idx="449">
                  <v>87.89490000000001</v>
                </pt>
                <pt idx="450">
                  <v>87.976</v>
                </pt>
                <pt idx="451">
                  <v>88.3593</v>
                </pt>
                <pt idx="452">
                  <v>88.6384</v>
                </pt>
                <pt idx="453">
                  <v>88.64319999999999</v>
                </pt>
                <pt idx="454">
                  <v>89.38630000000001</v>
                </pt>
                <pt idx="455">
                  <v>90.0675</v>
                </pt>
                <pt idx="456">
                  <v>90.2041</v>
                </pt>
                <pt idx="457">
                  <v>89.9443</v>
                </pt>
                <pt idx="458">
                  <v>89.345</v>
                </pt>
                <pt idx="459">
                  <v>90.08320000000001</v>
                </pt>
                <pt idx="460">
                  <v>90.1846</v>
                </pt>
                <pt idx="461">
                  <v>91.3695</v>
                </pt>
                <pt idx="462">
                  <v>92.47320000000001</v>
                </pt>
                <pt idx="463">
                  <v>92.9619</v>
                </pt>
                <pt idx="464">
                  <v>94.1885</v>
                </pt>
                <pt idx="465">
                  <v>95.0492</v>
                </pt>
                <pt idx="466">
                  <v>96.59690000000001</v>
                </pt>
                <pt idx="467">
                  <v>98.092</v>
                </pt>
                <pt idx="468">
                  <v>98.81270000000001</v>
                </pt>
                <pt idx="469">
                  <v>99.67489999999999</v>
                </pt>
                <pt idx="470">
                  <v>100.6343</v>
                </pt>
                <pt idx="471">
                  <v>101.3389</v>
                </pt>
                <pt idx="472">
                  <v>102.7006</v>
                </pt>
                <pt idx="473">
                  <v>101.4906</v>
                </pt>
                <pt idx="474">
                  <v>102.2566</v>
                </pt>
                <pt idx="475">
                  <v>101.958</v>
                </pt>
                <pt idx="476">
                  <v>100.9687</v>
                </pt>
                <pt idx="477">
                  <v>102.1218</v>
                </pt>
                <pt idx="478">
                  <v>102.9242</v>
                </pt>
                <pt idx="479">
                  <v>101.0168</v>
                </pt>
                <pt idx="480">
                  <v>101.8743</v>
                </pt>
                <pt idx="481">
                  <v>102.2848</v>
                </pt>
                <pt idx="482">
                  <v>101.6684</v>
                </pt>
                <pt idx="483">
                  <v>101.1389</v>
                </pt>
                <pt idx="484">
                  <v>101.0327</v>
                </pt>
                <pt idx="485">
                  <v>99.22750000000001</v>
                </pt>
                <pt idx="486">
                  <v>100.7646</v>
                </pt>
                <pt idx="487">
                  <v>101.6038</v>
                </pt>
                <pt idx="488">
                  <v>101.2242</v>
                </pt>
                <pt idx="489">
                  <v>100.9468</v>
                </pt>
                <pt idx="490">
                  <v>100.144</v>
                </pt>
                <pt idx="491">
                  <v>100.2759</v>
                </pt>
                <pt idx="492">
                  <v>101.6929</v>
                </pt>
                <pt idx="493">
                  <v>102.7944</v>
                </pt>
                <pt idx="494">
                  <v>102.6689</v>
                </pt>
                <pt idx="495">
                  <v>103.2591</v>
                </pt>
                <pt idx="496">
                  <v>102.8002</v>
                </pt>
                <pt idx="497">
                  <v>104.0511</v>
                </pt>
                <pt idx="498">
                  <v>103.2107</v>
                </pt>
                <pt idx="499">
                  <v>102.7419</v>
                </pt>
                <pt idx="500">
                  <v>103.9254</v>
                </pt>
                <pt idx="501">
                  <v>105.1383</v>
                </pt>
                <pt idx="502">
                  <v>103.9921</v>
                </pt>
                <pt idx="503">
                  <v>103.3302</v>
                </pt>
                <pt idx="504">
                  <v>102.6125</v>
                </pt>
                <pt idx="505">
                  <v>102.6097</v>
                </pt>
                <pt idx="506">
                  <v>101.8728</v>
                </pt>
                <pt idx="507">
                  <v>102.0991</v>
                </pt>
                <pt idx="508">
                  <v>101.5286</v>
                </pt>
                <pt idx="509">
                  <v>101.2667</v>
                </pt>
                <pt idx="510">
                  <v>100.9605</v>
                </pt>
                <pt idx="511">
                  <v>99.9254</v>
                </pt>
                <pt idx="512">
                  <v>99.125</v>
                </pt>
                <pt idx="513">
                  <v>97.6947</v>
                </pt>
                <pt idx="514">
                  <v>96.67619999999999</v>
                </pt>
                <pt idx="515">
                  <v>96.6404</v>
                </pt>
                <pt idx="516">
                  <v>96.13509999999999</v>
                </pt>
                <pt idx="517">
                  <v>95.5081</v>
                </pt>
                <pt idx="518">
                  <v>95.4014</v>
                </pt>
                <pt idx="519">
                  <v>95.17359999999999</v>
                </pt>
                <pt idx="520">
                  <v>95.2483</v>
                </pt>
                <pt idx="521">
                  <v>95.2597</v>
                </pt>
                <pt idx="522">
                  <v>95.02500000000001</v>
                </pt>
                <pt idx="523">
                  <v>94.6035</v>
                </pt>
                <pt idx="524">
                  <v>95.1236</v>
                </pt>
                <pt idx="525">
                  <v>95.136</v>
                </pt>
                <pt idx="526">
                  <v>96.2915</v>
                </pt>
                <pt idx="527">
                  <v>96.3077</v>
                </pt>
                <pt idx="528">
                  <v>96.31189999999999</v>
                </pt>
                <pt idx="529">
                  <v>96.9432</v>
                </pt>
                <pt idx="530">
                  <v>99.91970000000001</v>
                </pt>
                <pt idx="531">
                  <v>99.8283</v>
                </pt>
                <pt idx="532">
                  <v>99.89</v>
                </pt>
                <pt idx="533">
                  <v>99.6598</v>
                </pt>
                <pt idx="534">
                  <v>100.0436</v>
                </pt>
                <pt idx="535">
                  <v>101.5734</v>
                </pt>
                <pt idx="536">
                  <v>102.7948</v>
                </pt>
                <pt idx="537">
                  <v>103.3817</v>
                </pt>
                <pt idx="538">
                  <v>103.346</v>
                </pt>
                <pt idx="539">
                  <v>103.8633</v>
                </pt>
                <pt idx="540">
                  <v>104.4672</v>
                </pt>
                <pt idx="541">
                  <v>104.4594</v>
                </pt>
                <pt idx="542">
                  <v>105.6015</v>
                </pt>
                <pt idx="543">
                  <v>103.4647</v>
                </pt>
                <pt idx="544">
                  <v>104.8467</v>
                </pt>
                <pt idx="545">
                  <v>104.1061</v>
                </pt>
                <pt idx="546">
                  <v>104.3111</v>
                </pt>
                <pt idx="547">
                  <v>103.7063</v>
                </pt>
                <pt idx="548">
                  <v>102.7397</v>
                </pt>
                <pt idx="549">
                  <v>101.4408</v>
                </pt>
                <pt idx="550">
                  <v>100.7463</v>
                </pt>
                <pt idx="551">
                  <v>99.3019</v>
                </pt>
                <pt idx="552">
                  <v>98.31</v>
                </pt>
                <pt idx="553">
                  <v>97.7282</v>
                </pt>
                <pt idx="554">
                  <v>95.73309999999999</v>
                </pt>
                <pt idx="555">
                  <v>95.3669</v>
                </pt>
                <pt idx="556">
                  <v>95.6202</v>
                </pt>
                <pt idx="557">
                  <v>94.3109</v>
                </pt>
                <pt idx="558">
                  <v>95.4081</v>
                </pt>
                <pt idx="559">
                  <v>94.01909999999999</v>
                </pt>
                <pt idx="560">
                  <v>93.718</v>
                </pt>
                <pt idx="561">
                  <v>95.6837</v>
                </pt>
                <pt idx="562">
                  <v>95.87869999999999</v>
                </pt>
                <pt idx="563">
                  <v>93.4354</v>
                </pt>
                <pt idx="564">
                  <v>93.3215</v>
                </pt>
                <pt idx="565">
                  <v>86.85250000000001</v>
                </pt>
                <pt idx="566">
                  <v>66.8634</v>
                </pt>
                <pt idx="567">
                  <v>72.60550000000001</v>
                </pt>
                <pt idx="568">
                  <v>80.6587</v>
                </pt>
                <pt idx="569">
                  <v>84.3447</v>
                </pt>
                <pt idx="570">
                  <v>86.0018</v>
                </pt>
                <pt idx="571">
                  <v>85.27030000000001</v>
                </pt>
                <pt idx="572">
                  <v>85.3164</v>
                </pt>
                <pt idx="573">
                  <v>85.7666</v>
                </pt>
                <pt idx="574">
                  <v>86.4194</v>
                </pt>
                <pt idx="575">
                  <v>87.9871</v>
                </pt>
                <pt idx="576">
                  <v>85.0761</v>
                </pt>
                <pt idx="577">
                  <v>86.9843</v>
                </pt>
                <pt idx="578">
                  <v>86.0556</v>
                </pt>
                <pt idx="579">
                  <v>87.5966</v>
                </pt>
                <pt idx="580">
                  <v>86.8265</v>
                </pt>
                <pt idx="581">
                  <v>89.0628</v>
                </pt>
                <pt idx="582">
                  <v>89.1611</v>
                </pt>
                <pt idx="583">
                  <v>88.7809</v>
                </pt>
                <pt idx="584">
                  <v>89.1682</v>
                </pt>
                <pt idx="585">
                  <v>90.36279999999999</v>
                </pt>
                <pt idx="586">
                  <v>91.68089999999999</v>
                </pt>
                <pt idx="587">
                  <v>91.2693</v>
                </pt>
                <pt idx="588">
                  <v>93.24639999999999</v>
                </pt>
                <pt idx="589">
                  <v>94.50539999999999</v>
                </pt>
                <pt idx="590">
                  <v>95.5861</v>
                </pt>
                <pt idx="591">
                  <v>95.97920000000001</v>
                </pt>
                <pt idx="592">
                  <v>96.1558</v>
                </pt>
                <pt idx="593">
                  <v>96.8635</v>
                </pt>
                <pt idx="594">
                  <v>97.67619999999999</v>
                </pt>
                <pt idx="595">
                  <v>98.2449</v>
                </pt>
                <pt idx="596">
                  <v>98.5913</v>
                </pt>
                <pt idx="597">
                  <v>97.479</v>
                </pt>
                <pt idx="598">
                  <v>95.87479999999999</v>
                </pt>
                <pt idx="599">
                  <v>97.0654</v>
                </pt>
                <pt idx="600">
                  <v>96.6091</v>
                </pt>
                <pt idx="601">
                  <v>95.62909999999999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'Business Equipment'!$B$463:$B$621</f>
              <numCache>
                <formatCode>0.0</formatCode>
                <ptCount val="159"/>
                <pt idx="0">
                  <v>82.9588</v>
                </pt>
                <pt idx="1">
                  <v>82.5532</v>
                </pt>
                <pt idx="2">
                  <v>84.1255</v>
                </pt>
                <pt idx="3">
                  <v>85.10080000000001</v>
                </pt>
                <pt idx="4">
                  <v>86.64530000000001</v>
                </pt>
                <pt idx="5">
                  <v>87.1097</v>
                </pt>
                <pt idx="6">
                  <v>87.89490000000001</v>
                </pt>
                <pt idx="7">
                  <v>87.976</v>
                </pt>
                <pt idx="8">
                  <v>88.3593</v>
                </pt>
                <pt idx="9">
                  <v>88.6384</v>
                </pt>
                <pt idx="10">
                  <v>88.64319999999999</v>
                </pt>
                <pt idx="11">
                  <v>89.38630000000001</v>
                </pt>
                <pt idx="12">
                  <v>90.0675</v>
                </pt>
                <pt idx="13">
                  <v>90.2041</v>
                </pt>
                <pt idx="14">
                  <v>89.9443</v>
                </pt>
                <pt idx="15">
                  <v>89.345</v>
                </pt>
                <pt idx="16">
                  <v>90.08320000000001</v>
                </pt>
                <pt idx="17">
                  <v>90.1846</v>
                </pt>
                <pt idx="18">
                  <v>91.3695</v>
                </pt>
                <pt idx="19">
                  <v>92.47320000000001</v>
                </pt>
                <pt idx="20">
                  <v>92.9619</v>
                </pt>
                <pt idx="21">
                  <v>94.1885</v>
                </pt>
                <pt idx="22">
                  <v>95.0492</v>
                </pt>
                <pt idx="23">
                  <v>96.59690000000001</v>
                </pt>
                <pt idx="24">
                  <v>98.092</v>
                </pt>
                <pt idx="25">
                  <v>98.81270000000001</v>
                </pt>
                <pt idx="26">
                  <v>99.67489999999999</v>
                </pt>
                <pt idx="27">
                  <v>100.6343</v>
                </pt>
                <pt idx="28">
                  <v>101.3389</v>
                </pt>
                <pt idx="29">
                  <v>102.7006</v>
                </pt>
                <pt idx="30">
                  <v>101.4906</v>
                </pt>
                <pt idx="31">
                  <v>102.2566</v>
                </pt>
                <pt idx="32">
                  <v>101.958</v>
                </pt>
                <pt idx="33">
                  <v>100.9687</v>
                </pt>
                <pt idx="34">
                  <v>102.1218</v>
                </pt>
                <pt idx="35">
                  <v>102.9242</v>
                </pt>
                <pt idx="36">
                  <v>101.0168</v>
                </pt>
                <pt idx="37">
                  <v>101.8743</v>
                </pt>
                <pt idx="38">
                  <v>102.2848</v>
                </pt>
                <pt idx="39">
                  <v>101.6684</v>
                </pt>
                <pt idx="40">
                  <v>101.1389</v>
                </pt>
                <pt idx="41">
                  <v>101.0327</v>
                </pt>
                <pt idx="42">
                  <v>99.22750000000001</v>
                </pt>
                <pt idx="43">
                  <v>100.7646</v>
                </pt>
                <pt idx="44">
                  <v>101.6038</v>
                </pt>
                <pt idx="45">
                  <v>101.2242</v>
                </pt>
                <pt idx="46">
                  <v>100.9468</v>
                </pt>
                <pt idx="47">
                  <v>100.144</v>
                </pt>
                <pt idx="48">
                  <v>100.2759</v>
                </pt>
                <pt idx="49">
                  <v>101.6929</v>
                </pt>
                <pt idx="50">
                  <v>102.7944</v>
                </pt>
                <pt idx="51">
                  <v>102.6689</v>
                </pt>
                <pt idx="52">
                  <v>103.2591</v>
                </pt>
                <pt idx="53">
                  <v>102.8002</v>
                </pt>
                <pt idx="54">
                  <v>104.0511</v>
                </pt>
                <pt idx="55">
                  <v>103.2107</v>
                </pt>
                <pt idx="56">
                  <v>102.7419</v>
                </pt>
                <pt idx="57">
                  <v>103.9254</v>
                </pt>
                <pt idx="58">
                  <v>105.1383</v>
                </pt>
                <pt idx="59">
                  <v>103.9921</v>
                </pt>
                <pt idx="60">
                  <v>103.3302</v>
                </pt>
                <pt idx="61">
                  <v>102.6125</v>
                </pt>
                <pt idx="62">
                  <v>102.6097</v>
                </pt>
                <pt idx="63">
                  <v>101.8728</v>
                </pt>
                <pt idx="64">
                  <v>102.0991</v>
                </pt>
                <pt idx="65">
                  <v>101.5286</v>
                </pt>
                <pt idx="66">
                  <v>101.2667</v>
                </pt>
                <pt idx="67">
                  <v>100.9605</v>
                </pt>
                <pt idx="68">
                  <v>99.9254</v>
                </pt>
                <pt idx="69">
                  <v>99.125</v>
                </pt>
                <pt idx="70">
                  <v>97.6947</v>
                </pt>
                <pt idx="71">
                  <v>96.67619999999999</v>
                </pt>
                <pt idx="72">
                  <v>96.6404</v>
                </pt>
                <pt idx="73">
                  <v>96.13509999999999</v>
                </pt>
                <pt idx="74">
                  <v>95.5081</v>
                </pt>
                <pt idx="75">
                  <v>95.4014</v>
                </pt>
                <pt idx="76">
                  <v>95.17359999999999</v>
                </pt>
                <pt idx="77">
                  <v>95.2483</v>
                </pt>
                <pt idx="78">
                  <v>95.2597</v>
                </pt>
                <pt idx="79">
                  <v>95.02500000000001</v>
                </pt>
                <pt idx="80">
                  <v>94.6035</v>
                </pt>
                <pt idx="81">
                  <v>95.1236</v>
                </pt>
                <pt idx="82">
                  <v>95.136</v>
                </pt>
                <pt idx="83">
                  <v>96.2915</v>
                </pt>
                <pt idx="84">
                  <v>96.3077</v>
                </pt>
                <pt idx="85">
                  <v>96.31189999999999</v>
                </pt>
                <pt idx="86">
                  <v>96.9432</v>
                </pt>
                <pt idx="87">
                  <v>99.91970000000001</v>
                </pt>
                <pt idx="88">
                  <v>99.8283</v>
                </pt>
                <pt idx="89">
                  <v>99.89</v>
                </pt>
                <pt idx="90">
                  <v>99.6598</v>
                </pt>
                <pt idx="91">
                  <v>100.0436</v>
                </pt>
                <pt idx="92">
                  <v>101.5734</v>
                </pt>
                <pt idx="93">
                  <v>102.7948</v>
                </pt>
                <pt idx="94">
                  <v>103.3817</v>
                </pt>
                <pt idx="95">
                  <v>103.346</v>
                </pt>
                <pt idx="96">
                  <v>103.8633</v>
                </pt>
                <pt idx="97">
                  <v>104.4672</v>
                </pt>
                <pt idx="98">
                  <v>104.4594</v>
                </pt>
                <pt idx="99">
                  <v>105.6015</v>
                </pt>
                <pt idx="100">
                  <v>103.4647</v>
                </pt>
                <pt idx="101">
                  <v>104.8467</v>
                </pt>
                <pt idx="102">
                  <v>104.1061</v>
                </pt>
                <pt idx="103">
                  <v>104.3111</v>
                </pt>
                <pt idx="104">
                  <v>103.7063</v>
                </pt>
                <pt idx="105">
                  <v>102.7397</v>
                </pt>
                <pt idx="106">
                  <v>101.4408</v>
                </pt>
                <pt idx="107">
                  <v>100.7463</v>
                </pt>
                <pt idx="108">
                  <v>99.3019</v>
                </pt>
                <pt idx="109">
                  <v>98.31</v>
                </pt>
                <pt idx="110">
                  <v>97.7282</v>
                </pt>
                <pt idx="111">
                  <v>95.73309999999999</v>
                </pt>
                <pt idx="112">
                  <v>95.3669</v>
                </pt>
                <pt idx="113">
                  <v>95.6202</v>
                </pt>
                <pt idx="114">
                  <v>94.3109</v>
                </pt>
                <pt idx="115">
                  <v>95.4081</v>
                </pt>
                <pt idx="116">
                  <v>94.01909999999999</v>
                </pt>
                <pt idx="117">
                  <v>93.718</v>
                </pt>
                <pt idx="118">
                  <v>95.6837</v>
                </pt>
                <pt idx="119">
                  <v>95.87869999999999</v>
                </pt>
                <pt idx="120">
                  <v>93.4354</v>
                </pt>
                <pt idx="121">
                  <v>93.3215</v>
                </pt>
                <pt idx="122">
                  <v>86.85250000000001</v>
                </pt>
                <pt idx="123">
                  <v>66.8634</v>
                </pt>
                <pt idx="124">
                  <v>72.60550000000001</v>
                </pt>
                <pt idx="125">
                  <v>80.6587</v>
                </pt>
                <pt idx="126">
                  <v>84.3447</v>
                </pt>
                <pt idx="127">
                  <v>86.0018</v>
                </pt>
                <pt idx="128">
                  <v>85.27030000000001</v>
                </pt>
                <pt idx="129">
                  <v>85.3164</v>
                </pt>
                <pt idx="130">
                  <v>85.7666</v>
                </pt>
                <pt idx="131">
                  <v>86.4194</v>
                </pt>
                <pt idx="132">
                  <v>87.9871</v>
                </pt>
                <pt idx="133">
                  <v>85.0761</v>
                </pt>
                <pt idx="134">
                  <v>86.9843</v>
                </pt>
                <pt idx="135">
                  <v>86.0556</v>
                </pt>
                <pt idx="136">
                  <v>87.5966</v>
                </pt>
                <pt idx="137">
                  <v>86.8265</v>
                </pt>
                <pt idx="138">
                  <v>89.0628</v>
                </pt>
                <pt idx="139">
                  <v>89.1611</v>
                </pt>
                <pt idx="140">
                  <v>88.7809</v>
                </pt>
                <pt idx="141">
                  <v>89.1682</v>
                </pt>
                <pt idx="142">
                  <v>90.36279999999999</v>
                </pt>
                <pt idx="143">
                  <v>91.68089999999999</v>
                </pt>
                <pt idx="144">
                  <v>91.2693</v>
                </pt>
                <pt idx="145">
                  <v>93.24639999999999</v>
                </pt>
                <pt idx="146">
                  <v>94.50539999999999</v>
                </pt>
                <pt idx="147">
                  <v>95.5861</v>
                </pt>
                <pt idx="148">
                  <v>95.97920000000001</v>
                </pt>
                <pt idx="149">
                  <v>96.1558</v>
                </pt>
                <pt idx="150">
                  <v>96.8635</v>
                </pt>
                <pt idx="151">
                  <v>97.67619999999999</v>
                </pt>
                <pt idx="152">
                  <v>98.2449</v>
                </pt>
                <pt idx="153">
                  <v>98.5913</v>
                </pt>
                <pt idx="154">
                  <v>97.479</v>
                </pt>
                <pt idx="155">
                  <v>95.87479999999999</v>
                </pt>
                <pt idx="156">
                  <v>97.0654</v>
                </pt>
                <pt idx="157">
                  <v>96.6091</v>
                </pt>
                <pt idx="158">
                  <v>95.62909999999999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'Business Equipment'!$D$20:$D$623</f>
              <numCache>
                <formatCode>0.0%</formatCode>
                <ptCount val="604"/>
                <pt idx="0">
                  <v>0.159432539586019</v>
                </pt>
                <pt idx="1">
                  <v>0.1542795701508317</v>
                </pt>
                <pt idx="2">
                  <v>0.1440992321323094</v>
                </pt>
                <pt idx="3">
                  <v>0.15674103500869</v>
                </pt>
                <pt idx="4">
                  <v>0.1640271160086932</v>
                </pt>
                <pt idx="5">
                  <v>0.178231701211575</v>
                </pt>
                <pt idx="6">
                  <v>0.1572815197820969</v>
                </pt>
                <pt idx="7">
                  <v>0.1674164634774546</v>
                </pt>
                <pt idx="8">
                  <v>0.1602429640265176</v>
                </pt>
                <pt idx="9">
                  <v>0.1483480139787674</v>
                </pt>
                <pt idx="10">
                  <v>0.138327871351269</v>
                </pt>
                <pt idx="11">
                  <v>0.118904332555201</v>
                </pt>
                <pt idx="12">
                  <v>0.09208007510318826</v>
                </pt>
                <pt idx="13">
                  <v>0.09287524523706688</v>
                </pt>
                <pt idx="14">
                  <v>0.07145217247645798</v>
                </pt>
                <pt idx="15">
                  <v>0.07827895662128463</v>
                </pt>
                <pt idx="16">
                  <v>0.06886798658159576</v>
                </pt>
                <pt idx="17">
                  <v>0.05890851283999619</v>
                </pt>
                <pt idx="18">
                  <v>0.05233790259445596</v>
                </pt>
                <pt idx="19">
                  <v>0.05341628914906557</v>
                </pt>
                <pt idx="20">
                  <v>0.0394935925634097</v>
                </pt>
                <pt idx="21">
                  <v>0.01700659047381323</v>
                </pt>
                <pt idx="22">
                  <v>-0.02785695156477158</v>
                </pt>
                <pt idx="23">
                  <v>-0.05033974543018469</v>
                </pt>
                <pt idx="24">
                  <v>-0.07835161457632991</v>
                </pt>
                <pt idx="25">
                  <v>-0.1013675669498306</v>
                </pt>
                <pt idx="26">
                  <v>-0.09556414308842803</v>
                </pt>
                <pt idx="27">
                  <v>-0.122271777201655</v>
                </pt>
                <pt idx="28">
                  <v>-0.130276923076923</v>
                </pt>
                <pt idx="29">
                  <v>-0.1272147028415234</v>
                </pt>
                <pt idx="30">
                  <v>-0.1291893915342661</v>
                </pt>
                <pt idx="31">
                  <v>-0.131960960443826</v>
                </pt>
                <pt idx="32">
                  <v>-0.1299485209659645</v>
                </pt>
                <pt idx="33">
                  <v>-0.1187026251451335</v>
                </pt>
                <pt idx="34">
                  <v>-0.06520102912745529</v>
                </pt>
                <pt idx="35">
                  <v>-0.03332661493499952</v>
                </pt>
                <pt idx="36">
                  <v>0.006732217202586635</v>
                </pt>
                <pt idx="37">
                  <v>0.03042072912250961</v>
                </pt>
                <pt idx="38">
                  <v>0.04409093088549466</v>
                </pt>
                <pt idx="39">
                  <v>0.06650431176461041</v>
                </pt>
                <pt idx="40">
                  <v>0.07969346156567543</v>
                </pt>
                <pt idx="41">
                  <v>0.08096237478093427</v>
                </pt>
                <pt idx="42">
                  <v>0.1055094544959869</v>
                </pt>
                <pt idx="43">
                  <v>0.08659238844862892</v>
                </pt>
                <pt idx="44">
                  <v>0.08440631764611563</v>
                </pt>
                <pt idx="45">
                  <v>0.1224748827145948</v>
                </pt>
                <pt idx="46">
                  <v>0.120752532561505</v>
                </pt>
                <pt idx="47">
                  <v>0.1126267944080149</v>
                </pt>
                <pt idx="48">
                  <v>0.1325276260966332</v>
                </pt>
                <pt idx="49">
                  <v>0.1430981019330353</v>
                </pt>
                <pt idx="50">
                  <v>0.1501589456013145</v>
                </pt>
                <pt idx="51">
                  <v>0.164267595578891</v>
                </pt>
                <pt idx="52">
                  <v>0.1851681949478503</v>
                </pt>
                <pt idx="53">
                  <v>0.1833880426732851</v>
                </pt>
                <pt idx="54">
                  <v>0.1677060517313513</v>
                </pt>
                <pt idx="55">
                  <v>0.1753315963998106</v>
                </pt>
                <pt idx="56">
                  <v>0.1691631302153417</v>
                </pt>
                <pt idx="57">
                  <v>0.1318746332177124</v>
                </pt>
                <pt idx="58">
                  <v>0.1298721422165458</v>
                </pt>
                <pt idx="59">
                  <v>0.1039947904222475</v>
                </pt>
                <pt idx="60">
                  <v>0.1042868241853663</v>
                </pt>
                <pt idx="61">
                  <v>0.1188008349528539</v>
                </pt>
                <pt idx="62">
                  <v>0.127240946376998</v>
                </pt>
                <pt idx="63">
                  <v>0.111771638305552</v>
                </pt>
                <pt idx="64">
                  <v>0.104664763954522</v>
                </pt>
                <pt idx="65">
                  <v>0.1065782073888021</v>
                </pt>
                <pt idx="66">
                  <v>0.1236189970367186</v>
                </pt>
                <pt idx="67">
                  <v>0.1306698910104624</v>
                </pt>
                <pt idx="68">
                  <v>0.1581860645509426</v>
                </pt>
                <pt idx="69">
                  <v>0.1774205106372218</v>
                </pt>
                <pt idx="70">
                  <v>0.1728130324564685</v>
                </pt>
                <pt idx="71">
                  <v>0.2117071431905656</v>
                </pt>
                <pt idx="72">
                  <v>0.1950221206891556</v>
                </pt>
                <pt idx="73">
                  <v>0.1695443432946248</v>
                </pt>
                <pt idx="74">
                  <v>0.120540914958597</v>
                </pt>
                <pt idx="75">
                  <v>0.1465189143096306</v>
                </pt>
                <pt idx="76">
                  <v>0.133017596549998</v>
                </pt>
                <pt idx="77">
                  <v>0.1353774197739379</v>
                </pt>
                <pt idx="78">
                  <v>0.1011576957128495</v>
                </pt>
                <pt idx="79">
                  <v>0.1165748277091254</v>
                </pt>
                <pt idx="80">
                  <v>0.08408224772595747</v>
                </pt>
                <pt idx="81">
                  <v>0.06448806578763645</v>
                </pt>
                <pt idx="82">
                  <v>0.06081909472953149</v>
                </pt>
                <pt idx="83">
                  <v>0.06720949779365414</v>
                </pt>
                <pt idx="84">
                  <v>0.060868842466892</v>
                </pt>
                <pt idx="85">
                  <v>0.04395570392730552</v>
                </pt>
                <pt idx="86">
                  <v>0.05595049101560854</v>
                </pt>
                <pt idx="87">
                  <v>0.009825629198494777</v>
                </pt>
                <pt idx="88">
                  <v>-0.006331221793268421</v>
                </pt>
                <pt idx="89">
                  <v>-0.01590907561102023</v>
                </pt>
                <pt idx="90">
                  <v>-0.006040289034473679</v>
                </pt>
                <pt idx="91">
                  <v>-0.009896676831600169</v>
                </pt>
                <pt idx="92">
                  <v>0.0181747366795263</v>
                </pt>
                <pt idx="93">
                  <v>0.03562636209540723</v>
                </pt>
                <pt idx="94">
                  <v>0.03283808429477117</v>
                </pt>
                <pt idx="95">
                  <v>0.01574503414486878</v>
                </pt>
                <pt idx="96">
                  <v>-0.001217649055913868</v>
                </pt>
                <pt idx="97">
                  <v>0.01770153402317177</v>
                </pt>
                <pt idx="98">
                  <v>0.03951491122449666</v>
                </pt>
                <pt idx="99">
                  <v>0.05590372680250407</v>
                </pt>
                <pt idx="100">
                  <v>0.06466981083678469</v>
                </pt>
                <pt idx="101">
                  <v>0.06634085615887886</v>
                </pt>
                <pt idx="102">
                  <v>0.06684009926102631</v>
                </pt>
                <pt idx="103">
                  <v>0.04635392350813314</v>
                </pt>
                <pt idx="104">
                  <v>0.02427418184696153</v>
                </pt>
                <pt idx="105">
                  <v>-0.008047309607084685</v>
                </pt>
                <pt idx="106">
                  <v>-0.02598889424305242</v>
                </pt>
                <pt idx="107">
                  <v>-0.06578705064791993</v>
                </pt>
                <pt idx="108">
                  <v>-0.02055531042146726</v>
                </pt>
                <pt idx="109">
                  <v>-0.04161853077946163</v>
                </pt>
                <pt idx="110">
                  <v>-0.06659605920787398</v>
                </pt>
                <pt idx="111">
                  <v>-0.07285834042580414</v>
                </pt>
                <pt idx="112">
                  <v>-0.08608039781305604</v>
                </pt>
                <pt idx="113">
                  <v>-0.08999765873308598</v>
                </pt>
                <pt idx="114">
                  <v>-0.1114641598421882</v>
                </pt>
                <pt idx="115">
                  <v>-0.1159238858287431</v>
                </pt>
                <pt idx="116">
                  <v>-0.1338452375203233</v>
                </pt>
                <pt idx="117">
                  <v>-0.1225466605118334</v>
                </pt>
                <pt idx="118">
                  <v>-0.1003775238816228</v>
                </pt>
                <pt idx="119">
                  <v>-0.06191945111112641</v>
                </pt>
                <pt idx="120">
                  <v>-0.09809254303124142</v>
                </pt>
                <pt idx="121">
                  <v>-0.07761007563479203</v>
                </pt>
                <pt idx="122">
                  <v>-0.06179018418788325</v>
                </pt>
                <pt idx="123">
                  <v>-0.04359019488071456</v>
                </pt>
                <pt idx="124">
                  <v>-0.01889949210031461</v>
                </pt>
                <pt idx="125">
                  <v>0.003683001099613782</v>
                </pt>
                <pt idx="126">
                  <v>0.04000173559008245</v>
                </pt>
                <pt idx="127">
                  <v>0.07250070801472672</v>
                </pt>
                <pt idx="128">
                  <v>0.1107117368937524</v>
                </pt>
                <pt idx="129">
                  <v>0.1268193672836627</v>
                </pt>
                <pt idx="130">
                  <v>0.1259051752773657</v>
                </pt>
                <pt idx="131">
                  <v>0.1494169821684651</v>
                </pt>
                <pt idx="132">
                  <v>0.1633064590725604</v>
                </pt>
                <pt idx="133">
                  <v>0.1620975565113938</v>
                </pt>
                <pt idx="134">
                  <v>0.1699343778316916</v>
                </pt>
                <pt idx="135">
                  <v>0.1611591420818661</v>
                </pt>
                <pt idx="136">
                  <v>0.1647487890860108</v>
                </pt>
                <pt idx="137">
                  <v>0.1576931045259338</v>
                </pt>
                <pt idx="138">
                  <v>0.1573119259037779</v>
                </pt>
                <pt idx="139">
                  <v>0.1287569485351372</v>
                </pt>
                <pt idx="140">
                  <v>0.1245578397480734</v>
                </pt>
                <pt idx="141">
                  <v>0.1223440361048843</v>
                </pt>
                <pt idx="142">
                  <v>0.1176968087721886</v>
                </pt>
                <pt idx="143">
                  <v>0.09196836352440087</v>
                </pt>
                <pt idx="144">
                  <v>0.07527162158723702</v>
                </pt>
                <pt idx="145">
                  <v>0.07628773751323022</v>
                </pt>
                <pt idx="146">
                  <v>0.05805488496144556</v>
                </pt>
                <pt idx="147">
                  <v>0.05525809589215622</v>
                </pt>
                <pt idx="148">
                  <v>0.04568243754498419</v>
                </pt>
                <pt idx="149">
                  <v>0.02649769934696042</v>
                </pt>
                <pt idx="150">
                  <v>0.01797081769924261</v>
                </pt>
                <pt idx="151">
                  <v>0.0135745113505828</v>
                </pt>
                <pt idx="152">
                  <v>0.004154304436713647</v>
                </pt>
                <pt idx="153">
                  <v>0.004504982918237535</v>
                </pt>
                <pt idx="154">
                  <v>-0.003399235685229117</v>
                </pt>
                <pt idx="155">
                  <v>0.00048462846619498</v>
                </pt>
                <pt idx="156">
                  <v>-0.002984553677597297</v>
                </pt>
                <pt idx="157">
                  <v>-0.01422993847936933</v>
                </pt>
                <pt idx="158">
                  <v>-0.01222305526202375</v>
                </pt>
                <pt idx="159">
                  <v>-0.01594023222736253</v>
                </pt>
                <pt idx="160">
                  <v>-0.02732332056735081</v>
                </pt>
                <pt idx="161">
                  <v>-0.0157730664105784</v>
                </pt>
                <pt idx="162">
                  <v>-0.01768012866860456</v>
                </pt>
                <pt idx="163">
                  <v>-0.01241918063590226</v>
                </pt>
                <pt idx="164">
                  <v>-0.01374495084950195</v>
                </pt>
                <pt idx="165">
                  <v>-0.02267647620306312</v>
                </pt>
                <pt idx="166">
                  <v>-0.009861683343142941</v>
                </pt>
                <pt idx="167">
                  <v>-0.01108527677963318</v>
                </pt>
                <pt idx="168">
                  <v>0.02209069467313422</v>
                </pt>
                <pt idx="169">
                  <v>0.02178069664976316</v>
                </pt>
                <pt idx="170">
                  <v>0.03728129809200791</v>
                </pt>
                <pt idx="171">
                  <v>0.04751202987718747</v>
                </pt>
                <pt idx="172">
                  <v>0.06535985266589442</v>
                </pt>
                <pt idx="173">
                  <v>0.06676934254414002</v>
                </pt>
                <pt idx="174">
                  <v>0.08270044222264951</v>
                </pt>
                <pt idx="175">
                  <v>0.09686949434902972</v>
                </pt>
                <pt idx="176">
                  <v>0.1221923406301176</v>
                </pt>
                <pt idx="177">
                  <v>0.1294701349905637</v>
                </pt>
                <pt idx="178">
                  <v>0.1302426222102012</v>
                </pt>
                <pt idx="179">
                  <v>0.1301476001614932</v>
                </pt>
                <pt idx="180">
                  <v>0.1138773507957656</v>
                </pt>
                <pt idx="181">
                  <v>0.127355091414159</v>
                </pt>
                <pt idx="182">
                  <v>0.1302053174541442</v>
                </pt>
                <pt idx="183">
                  <v>0.1257666871402248</v>
                </pt>
                <pt idx="184">
                  <v>0.1278378608532743</v>
                </pt>
                <pt idx="185">
                  <v>0.1084719146026056</v>
                </pt>
                <pt idx="186">
                  <v>0.09735232746564845</v>
                </pt>
                <pt idx="187">
                  <v>0.09112538857839046</v>
                </pt>
                <pt idx="188">
                  <v>0.07637230225459229</v>
                </pt>
                <pt idx="189">
                  <v>0.07190425891386656</v>
                </pt>
                <pt idx="190">
                  <v>0.06354186115618154</v>
                </pt>
                <pt idx="191">
                  <v>0.07303446047644191</v>
                </pt>
                <pt idx="192">
                  <v>0.05996982355378482</v>
                </pt>
                <pt idx="193">
                  <v>0.04317266229699195</v>
                </pt>
                <pt idx="194">
                  <v>0.04708425308040928</v>
                </pt>
                <pt idx="195">
                  <v>0.02848232162387802</v>
                </pt>
                <pt idx="196">
                  <v>0.03378082481388093</v>
                </pt>
                <pt idx="197">
                  <v>0.02902988295630537</v>
                </pt>
                <pt idx="198">
                  <v>0.03936764969897109</v>
                </pt>
                <pt idx="199">
                  <v>0.02476485653557374</v>
                </pt>
                <pt idx="200">
                  <v>0.004291236921056153</v>
                </pt>
                <pt idx="201">
                  <v>0.009050020850294955</v>
                </pt>
                <pt idx="202">
                  <v>0.019142896704514</v>
                </pt>
                <pt idx="203">
                  <v>-3.916759077692028e-05</v>
                </pt>
                <pt idx="204">
                  <v>0.02186323004454756</v>
                </pt>
                <pt idx="205">
                  <v>0.04432123381933988</v>
                </pt>
                <pt idx="206">
                  <v>0.02299228316171275</v>
                </pt>
                <pt idx="207">
                  <v>0.05164905389434309</v>
                </pt>
                <pt idx="208">
                  <v>0.03862709008930042</v>
                </pt>
                <pt idx="209">
                  <v>0.05753459131910856</v>
                </pt>
                <pt idx="210">
                  <v>0.04843983398451762</v>
                </pt>
                <pt idx="211">
                  <v>0.05298916030870044</v>
                </pt>
                <pt idx="212">
                  <v>0.06515368819465599</v>
                </pt>
                <pt idx="213">
                  <v>0.03282757467074025</v>
                </pt>
                <pt idx="214">
                  <v>0.009617297549093341</v>
                </pt>
                <pt idx="215">
                  <v>0.01608137385705718</v>
                </pt>
                <pt idx="216">
                  <v>-0.008658748126424054</v>
                </pt>
                <pt idx="217">
                  <v>-0.02653638224125491</v>
                </pt>
                <pt idx="218">
                  <v>-0.02067890585029804</v>
                </pt>
                <pt idx="219">
                  <v>-0.02794526847259432</v>
                </pt>
                <pt idx="220">
                  <v>-0.01872184222740003</v>
                </pt>
                <pt idx="221">
                  <v>-0.01745589947342996</v>
                </pt>
                <pt idx="222">
                  <v>-0.02704446151240151</v>
                </pt>
                <pt idx="223">
                  <v>-0.01305974910618787</v>
                </pt>
                <pt idx="224">
                  <v>-0.01758098648868632</v>
                </pt>
                <pt idx="225">
                  <v>0.005832855002703292</v>
                </pt>
                <pt idx="226">
                  <v>0.01316870845729065</v>
                </pt>
                <pt idx="227">
                  <v>-0.001344403378837572</v>
                </pt>
                <pt idx="228">
                  <v>0.02647736925130448</v>
                </pt>
                <pt idx="229">
                  <v>0.04007544069860414</v>
                </pt>
                <pt idx="230">
                  <v>0.04977341481490483</v>
                </pt>
                <pt idx="231">
                  <v>0.05109638801395067</v>
                </pt>
                <pt idx="232">
                  <v>0.04289021013933655</v>
                </pt>
                <pt idx="233">
                  <v>0.0472312123493082</v>
                </pt>
                <pt idx="234">
                  <v>0.04676104573791689</v>
                </pt>
                <pt idx="235">
                  <v>0.03611509438397699</v>
                </pt>
                <pt idx="236">
                  <v>0.04717244644336614</v>
                </pt>
                <pt idx="237">
                  <v>0.05503277197901081</v>
                </pt>
                <pt idx="238">
                  <v>0.06640371141649554</v>
                </pt>
                <pt idx="239">
                  <v>0.08865948042924422</v>
                </pt>
                <pt idx="240">
                  <v>0.06811991677700019</v>
                </pt>
                <pt idx="241">
                  <v>0.05815328388691832</v>
                </pt>
                <pt idx="242">
                  <v>0.05525554997465448</v>
                </pt>
                <pt idx="243">
                  <v>0.04823357865368506</v>
                </pt>
                <pt idx="244">
                  <v>0.03795392389058633</v>
                </pt>
                <pt idx="245">
                  <v>0.02783924975965467</v>
                </pt>
                <pt idx="246">
                  <v>0.02325539006946765</v>
                </pt>
                <pt idx="247">
                  <v>0.03649890074486161</v>
                </pt>
                <pt idx="248">
                  <v>0.05460488541473577</v>
                </pt>
                <pt idx="249">
                  <v>0.05308459375203386</v>
                </pt>
                <pt idx="250">
                  <v>0.05020072728890276</v>
                </pt>
                <pt idx="251">
                  <v>0.0518498819931523</v>
                </pt>
                <pt idx="252">
                  <v>0.04059791222120892</v>
                </pt>
                <pt idx="253">
                  <v>0.04971909616098079</v>
                </pt>
                <pt idx="254">
                  <v>0.04964235656425403</v>
                </pt>
                <pt idx="255">
                  <v>0.05147976954588274</v>
                </pt>
                <pt idx="256">
                  <v>0.06546809900430768</v>
                </pt>
                <pt idx="257">
                  <v>0.07736868809424008</v>
                </pt>
                <pt idx="258">
                  <v>0.09134388443074846</v>
                </pt>
                <pt idx="259">
                  <v>0.0831560283687944</v>
                </pt>
                <pt idx="260">
                  <v>0.07914107010421534</v>
                </pt>
                <pt idx="261">
                  <v>0.08654212977270066</v>
                </pt>
                <pt idx="262">
                  <v>0.09017844662908257</v>
                </pt>
                <pt idx="263">
                  <v>0.0913888783546337</v>
                </pt>
                <pt idx="264">
                  <v>0.1022052144909841</v>
                </pt>
                <pt idx="265">
                  <v>0.1002192124340996</v>
                </pt>
                <pt idx="266">
                  <v>0.09113269095339306</v>
                </pt>
                <pt idx="267">
                  <v>0.1015833663201315</v>
                </pt>
                <pt idx="268">
                  <v>0.1091754881228783</v>
                </pt>
                <pt idx="269">
                  <v>0.09092063180051674</v>
                </pt>
                <pt idx="270">
                  <v>0.1077732892642917</v>
                </pt>
                <pt idx="271">
                  <v>0.1072026902222787</v>
                </pt>
                <pt idx="272">
                  <v>0.08746543888641711</v>
                </pt>
                <pt idx="273">
                  <v>0.07800733997501036</v>
                </pt>
                <pt idx="274">
                  <v>0.07537779228272212</v>
                </pt>
                <pt idx="275">
                  <v>0.05753456919533832</v>
                </pt>
                <pt idx="276">
                  <v>0.08363230733304901</v>
                </pt>
                <pt idx="277">
                  <v>0.07052522486691545</v>
                </pt>
                <pt idx="278">
                  <v>0.09889053381927937</v>
                </pt>
                <pt idx="279">
                  <v>0.0997335219546515</v>
                </pt>
                <pt idx="280">
                  <v>0.1017942938877488</v>
                </pt>
                <pt idx="281">
                  <v>0.12161543283795</v>
                </pt>
                <pt idx="282">
                  <v>0.1057749685061993</v>
                </pt>
                <pt idx="283">
                  <v>0.1080956274777504</v>
                </pt>
                <pt idx="284">
                  <v>0.1065332580809547</v>
                </pt>
                <pt idx="285">
                  <v>0.1187725171949489</v>
                </pt>
                <pt idx="286">
                  <v>0.1304823788904363</v>
                </pt>
                <pt idx="287">
                  <v>0.148725044403028</v>
                </pt>
                <pt idx="288">
                  <v>0.1390588713009532</v>
                </pt>
                <pt idx="289">
                  <v>0.1594990881632696</v>
                </pt>
                <pt idx="290">
                  <v>0.140993554998623</v>
                </pt>
                <pt idx="291">
                  <v>0.1388982996923383</v>
                </pt>
                <pt idx="292">
                  <v>0.1404926742875544</v>
                </pt>
                <pt idx="293">
                  <v>0.1331869654490354</v>
                </pt>
                <pt idx="294">
                  <v>0.1525942877700718</v>
                </pt>
                <pt idx="295">
                  <v>0.1494550312222553</v>
                </pt>
                <pt idx="296">
                  <v>0.1681547397976617</v>
                </pt>
                <pt idx="297">
                  <v>0.1716811280708459</v>
                </pt>
                <pt idx="298">
                  <v>0.1586593160754234</v>
                </pt>
                <pt idx="299">
                  <v>0.1676407679668456</v>
                </pt>
                <pt idx="300">
                  <v>0.1539877137545596</v>
                </pt>
                <pt idx="301">
                  <v>0.1428008059695974</v>
                </pt>
                <pt idx="302">
                  <v>0.135532483957738</v>
                </pt>
                <pt idx="303">
                  <v>0.1297455643639111</v>
                </pt>
                <pt idx="304">
                  <v>0.1130989000537937</v>
                </pt>
                <pt idx="305">
                  <v>0.0992142309697254</v>
                </pt>
                <pt idx="306">
                  <v>0.1084806210287956</v>
                </pt>
                <pt idx="307">
                  <v>0.09955390473078816</v>
                </pt>
                <pt idx="308">
                  <v>0.09669939295282666</v>
                </pt>
                <pt idx="309">
                  <v>0.07747350828828978</v>
                </pt>
                <pt idx="310">
                  <v>0.07250144465024301</v>
                </pt>
                <pt idx="311">
                  <v>0.05805028348081235</v>
                </pt>
                <pt idx="312">
                  <v>0.06183474603828396</v>
                </pt>
                <pt idx="313">
                  <v>0.05626159254626235</v>
                </pt>
                <pt idx="314">
                  <v>0.05954746188830614</v>
                </pt>
                <pt idx="315">
                  <v>0.06382071550200873</v>
                </pt>
                <pt idx="316">
                  <v>0.05955268733370614</v>
                </pt>
                <pt idx="317">
                  <v>0.07389609272982287</v>
                </pt>
                <pt idx="318">
                  <v>0.04893473066148004</v>
                </pt>
                <pt idx="319">
                  <v>0.04381308606095344</v>
                </pt>
                <pt idx="320">
                  <v>0.04018316731540577</v>
                </pt>
                <pt idx="321">
                  <v>0.0414157198860644</v>
                </pt>
                <pt idx="322">
                  <v>0.04832452270210973</v>
                </pt>
                <pt idx="323">
                  <v>0.06433348039549856</v>
                </pt>
                <pt idx="324">
                  <v>0.06334167834202289</v>
                </pt>
                <pt idx="325">
                  <v>0.07821907773668522</v>
                </pt>
                <pt idx="326">
                  <v>0.08484844637699562</v>
                </pt>
                <pt idx="327">
                  <v>0.08268639051767583</v>
                </pt>
                <pt idx="328">
                  <v>0.08769257325879252</v>
                </pt>
                <pt idx="329">
                  <v>0.08673052600764866</v>
                </pt>
                <pt idx="330">
                  <v>0.07436181054410777</v>
                </pt>
                <pt idx="331">
                  <v>0.08968777273221025</v>
                </pt>
                <pt idx="332">
                  <v>0.08168753437349813</v>
                </pt>
                <pt idx="333">
                  <v>0.0781011288077933</v>
                </pt>
                <pt idx="334">
                  <v>0.06076745592396841</v>
                </pt>
                <pt idx="335">
                  <v>0.04608774993504267</v>
                </pt>
                <pt idx="336">
                  <v>0.03213682721280434</v>
                </pt>
                <pt idx="337">
                  <v>0.01109498796287306</v>
                </pt>
                <pt idx="338">
                  <v>-0.02310920436087197</v>
                </pt>
                <pt idx="339">
                  <v>-0.04665935583445036</v>
                </pt>
                <pt idx="340">
                  <v>-0.0599103163947701</v>
                </pt>
                <pt idx="341">
                  <v>-0.07500374126558385</v>
                </pt>
                <pt idx="342">
                  <v>-0.08761841303113072</v>
                </pt>
                <pt idx="343">
                  <v>-0.1107480212109685</v>
                </pt>
                <pt idx="344">
                  <v>-0.1236156678175333</v>
                </pt>
                <pt idx="345">
                  <v>-0.1291172792050578</v>
                </pt>
                <pt idx="346">
                  <v>-0.1315272456893611</v>
                </pt>
                <pt idx="347">
                  <v>-0.1339312223530242</v>
                </pt>
                <pt idx="348">
                  <v>-0.1306892959619775</v>
                </pt>
                <pt idx="349">
                  <v>-0.1214618500222415</v>
                </pt>
                <pt idx="350">
                  <v>-0.104675469984822</v>
                </pt>
                <pt idx="351">
                  <v>-0.08611402911894558</v>
                </pt>
                <pt idx="352">
                  <v>-0.06864734781692559</v>
                </pt>
                <pt idx="353">
                  <v>-0.06193009638659169</v>
                </pt>
                <pt idx="354">
                  <v>-0.03997915586317419</v>
                </pt>
                <pt idx="355">
                  <v>-0.0236232444272645</v>
                </pt>
                <pt idx="356">
                  <v>-0.01384803745425033</v>
                </pt>
                <pt idx="357">
                  <v>-0.001682514628127433</v>
                </pt>
                <pt idx="358">
                  <v>-0.002398017674229234</v>
                </pt>
                <pt idx="359">
                  <v>0.002417063507943549</v>
                </pt>
                <pt idx="360">
                  <v>0.005166406986619118</v>
                </pt>
                <pt idx="361">
                  <v>0.003267155229846729</v>
                </pt>
                <pt idx="362">
                  <v>-0.001913345518088483</v>
                </pt>
                <pt idx="363">
                  <v>-0.00694475893135424</v>
                </pt>
                <pt idx="364">
                  <v>-0.009690022478629405</v>
                </pt>
                <pt idx="365">
                  <v>-0.002126637763143318</v>
                </pt>
                <pt idx="366">
                  <v>-0.005377856491001508</v>
                </pt>
                <pt idx="367">
                  <v>0.005472665704188315</v>
                </pt>
                <pt idx="368">
                  <v>0.007197476113309882</v>
                </pt>
                <pt idx="369">
                  <v>0.02018065054255872</v>
                </pt>
                <pt idx="370">
                  <v>0.03000523199632704</v>
                </pt>
                <pt idx="371">
                  <v>0.02900002927548494</v>
                </pt>
                <pt idx="372">
                  <v>0.04229900289790289</v>
                </pt>
                <pt idx="373">
                  <v>0.03948060434131264</v>
                </pt>
                <pt idx="374">
                  <v>0.05075393591008538</v>
                </pt>
                <pt idx="375">
                  <v>0.0610836301987211</v>
                </pt>
                <pt idx="376">
                  <v>0.05590209818237697</v>
                </pt>
                <pt idx="377">
                  <v>0.07175648025909073</v>
                </pt>
                <pt idx="378">
                  <v>0.06673819258086831</v>
                </pt>
                <pt idx="379">
                  <v>0.0576548766066468</v>
                </pt>
                <pt idx="380">
                  <v>0.06802027518578796</v>
                </pt>
                <pt idx="381">
                  <v>0.046573272600023</v>
                </pt>
                <pt idx="382">
                  <v>0.05950626978542659</v>
                </pt>
                <pt idx="383">
                  <v>0.07457631502376261</v>
                </pt>
                <pt idx="384">
                  <v>0.07180907082103065</v>
                </pt>
                <pt idx="385">
                  <v>0.07298138828306378</v>
                </pt>
                <pt idx="386">
                  <v>0.08405714635652421</v>
                </pt>
                <pt idx="387">
                  <v>0.08318565054164401</v>
                </pt>
                <pt idx="388">
                  <v>0.08198034283632014</v>
                </pt>
                <pt idx="389">
                  <v>0.0552024333181996</v>
                </pt>
                <pt idx="390">
                  <v>0.07239521614005043</v>
                </pt>
                <pt idx="391">
                  <v>0.03670575212728062</v>
                </pt>
                <pt idx="392">
                  <v>0.08397035891043371</v>
                </pt>
                <pt idx="393">
                  <v>0.1031251004328811</v>
                </pt>
                <pt idx="394">
                  <v>0.08350995977442358</v>
                </pt>
                <pt idx="395">
                  <v>0.0852320796974039</v>
                </pt>
                <pt idx="396">
                  <v>0.07814349790739179</v>
                </pt>
                <pt idx="397">
                  <v>0.08740890688259102</v>
                </pt>
                <pt idx="398">
                  <v>0.09142200101918671</v>
                </pt>
                <pt idx="399">
                  <v>0.08353881755451791</v>
                </pt>
                <pt idx="400">
                  <v>0.09473642358394692</v>
                </pt>
                <pt idx="401">
                  <v>0.1095876883722079</v>
                </pt>
                <pt idx="402">
                  <v>0.1048277014792322</v>
                </pt>
                <pt idx="403">
                  <v>0.1405736036963443</v>
                </pt>
                <pt idx="404">
                  <v>0.08548812125220308</v>
                </pt>
                <pt idx="405">
                  <v>0.07545723679050149</v>
                </pt>
                <pt idx="406">
                  <v>0.1004097435434351</v>
                </pt>
                <pt idx="407">
                  <v>0.06258386321950492</v>
                </pt>
                <pt idx="408">
                  <v>0.06673419992421836</v>
                </pt>
                <pt idx="409">
                  <v>0.07668477868082335</v>
                </pt>
                <pt idx="410">
                  <v>0.07071981435833076</v>
                </pt>
                <pt idx="411">
                  <v>0.07059089611795306</v>
                </pt>
                <pt idx="412">
                  <v>0.06141297265193549</v>
                </pt>
                <pt idx="413">
                  <v>0.0530966888203055</v>
                </pt>
                <pt idx="414">
                  <v>0.04596886031265762</v>
                </pt>
                <pt idx="415">
                  <v>0.06048960075897986</v>
                </pt>
                <pt idx="416">
                  <v>0.05432306584258747</v>
                </pt>
                <pt idx="417">
                  <v>0.05698784912155667</v>
                </pt>
                <pt idx="418">
                  <v>0.05071624567252221</v>
                </pt>
                <pt idx="419">
                  <v>0.07408667483474261</v>
                </pt>
                <pt idx="420">
                  <v>0.06563502246689505</v>
                </pt>
                <pt idx="421">
                  <v>0.05421796416929828</v>
                </pt>
                <pt idx="422">
                  <v>0.0245165474610307</v>
                </pt>
                <pt idx="423">
                  <v>0.02717371075268925</v>
                </pt>
                <pt idx="424">
                  <v>0.02078909390265755</v>
                </pt>
                <pt idx="425">
                  <v>0.001933642461259239</v>
                </pt>
                <pt idx="426">
                  <v>-0.01867626896478984</v>
                </pt>
                <pt idx="427">
                  <v>-0.1099687678130344</v>
                </pt>
                <pt idx="428">
                  <v>-0.1315755505689377</v>
                </pt>
                <pt idx="429">
                  <v>-0.1260225873641273</v>
                </pt>
                <pt idx="430">
                  <v>-0.1262216677063839</v>
                </pt>
                <pt idx="431">
                  <v>-0.1786605414733111</v>
                </pt>
                <pt idx="432">
                  <v>-0.1830930892701135</v>
                </pt>
                <pt idx="433">
                  <v>-0.2053304056557175</v>
                </pt>
                <pt idx="434">
                  <v>-0.2070281704816446</v>
                </pt>
                <pt idx="435">
                  <v>-0.2313544440537832</v>
                </pt>
                <pt idx="436">
                  <v>-0.2324256164085091</v>
                </pt>
                <pt idx="437">
                  <v>-0.208707492009748</v>
                </pt>
                <pt idx="438">
                  <v>-0.1843437212449117</v>
                </pt>
                <pt idx="439">
                  <v>-0.1085189348579509</v>
                </pt>
                <pt idx="440">
                  <v>-0.07913905959697014</v>
                </pt>
                <pt idx="441">
                  <v>-0.09310456838135114</v>
                </pt>
                <pt idx="442">
                  <v>-0.0860299030419228</v>
                </pt>
                <pt idx="443">
                  <v>-0.01860605974570458</v>
                </pt>
                <pt idx="444">
                  <v>-0.01794398393559003</v>
                </pt>
                <pt idx="445">
                  <v>0.02129997207755166</v>
                </pt>
                <pt idx="446">
                  <v>0.05493154166072688</v>
                </pt>
                <pt idx="447">
                  <v>0.1039952397577068</v>
                </pt>
                <pt idx="448">
                  <v>0.1188666667522957</v>
                </pt>
                <pt idx="449">
                  <v>0.1153481572846359</v>
                </pt>
                <pt idx="450">
                  <v>0.1039820704557803</v>
                </pt>
                <pt idx="451">
                  <v>0.1020474597579866</v>
                </pt>
                <pt idx="452">
                  <v>0.1005403472525726</v>
                </pt>
                <pt idx="453">
                  <v>0.1024341224871527</v>
                </pt>
                <pt idx="454">
                  <v>0.09270598647721902</v>
                </pt>
                <pt idx="455">
                  <v>0.08568952299213585</v>
                </pt>
                <pt idx="456">
                  <v>0.09267841828057534</v>
                </pt>
                <pt idx="457">
                  <v>0.06916808815400795</v>
                </pt>
                <pt idx="458">
                  <v>0.04987262164397975</v>
                </pt>
                <pt idx="459">
                  <v>0.03967785904140211</v>
                </pt>
                <pt idx="460">
                  <v>0.03529916874928968</v>
                </pt>
                <pt idx="461">
                  <v>0.03953130386404666</v>
                </pt>
                <pt idx="462">
                  <v>0.05111848686005282</v>
                </pt>
                <pt idx="463">
                  <v>0.05208959328559637</v>
                </pt>
                <pt idx="464">
                  <v>0.06261507427931913</v>
                </pt>
                <pt idx="465">
                  <v>0.07226724666979539</v>
                </pt>
                <pt idx="466">
                  <v>0.08066784283497581</v>
                </pt>
                <pt idx="467">
                  <v>0.08909429039331616</v>
                </pt>
                <pt idx="468">
                  <v>0.09543468644995083</v>
                </pt>
                <pt idx="469">
                  <v>0.1081847321064258</v>
                </pt>
                <pt idx="470">
                  <v>0.1263562594437293</v>
                </pt>
                <pt idx="471">
                  <v>0.1249478260097331</v>
                </pt>
                <pt idx="472">
                  <v>0.1387820093452762</v>
                </pt>
                <pt idx="473">
                  <v>0.1107710997652389</v>
                </pt>
                <pt idx="474">
                  <v>0.1057971390629934</v>
                </pt>
                <pt idx="475">
                  <v>0.09677190332813763</v>
                </pt>
                <pt idx="476">
                  <v>0.0719854334658689</v>
                </pt>
                <pt idx="477">
                  <v>0.07440988456504626</v>
                </pt>
                <pt idx="478">
                  <v>0.06550210203433023</v>
                </pt>
                <pt idx="479">
                  <v>0.02981690657749872</v>
                </pt>
                <pt idx="480">
                  <v>0.03098387150639541</v>
                </pt>
                <pt idx="481">
                  <v>0.02618412458903907</v>
                </pt>
                <pt idx="482">
                  <v>0.0102758204707541</v>
                </pt>
                <pt idx="483">
                  <v>-0.001973575793698063</v>
                </pt>
                <pt idx="484">
                  <v>-0.01624041144842376</v>
                </pt>
                <pt idx="485">
                  <v>-0.02229861681771508</v>
                </pt>
                <pt idx="486">
                  <v>-0.01459074524284989</v>
                </pt>
                <pt idx="487">
                  <v>-0.003473979481747304</v>
                </pt>
                <pt idx="488">
                  <v>0.002530487170776665</v>
                </pt>
                <pt idx="489">
                  <v>-0.01150586848253749</v>
                </pt>
                <pt idx="490">
                  <v>-0.0270121118259845</v>
                </pt>
                <pt idx="491">
                  <v>-0.00733442358102821</v>
                </pt>
                <pt idx="492">
                  <v>-0.001780625731906974</v>
                </pt>
                <pt idx="493">
                  <v>0.004982167438368084</v>
                </pt>
                <pt idx="494">
                  <v>0.009840815828713623</v>
                </pt>
                <pt idx="495">
                  <v>0.02096324955086517</v>
                </pt>
                <pt idx="496">
                  <v>0.01749433599220845</v>
                </pt>
                <pt idx="497">
                  <v>0.04861152402307826</v>
                </pt>
                <pt idx="498">
                  <v>0.02427539036526718</v>
                </pt>
                <pt idx="499">
                  <v>0.01120135270531215</v>
                </pt>
                <pt idx="500">
                  <v>0.02668531833296781</v>
                </pt>
                <pt idx="501">
                  <v>0.041521870926072</v>
                </pt>
                <pt idx="502">
                  <v>0.03842566703946305</v>
                </pt>
                <pt idx="503">
                  <v>0.03045896371909913</v>
                </pt>
                <pt idx="504">
                  <v>0.009042912533716736</v>
                </pt>
                <pt idx="505">
                  <v>-0.001796790486641221</v>
                </pt>
                <pt idx="506">
                  <v>-0.007754052103411993</v>
                </pt>
                <pt idx="507">
                  <v>-0.01123387672369793</v>
                </pt>
                <pt idx="508">
                  <v>-0.01236962574002781</v>
                </pt>
                <pt idx="509">
                  <v>-0.02675992853511405</v>
                </pt>
                <pt idx="510">
                  <v>-0.02180200308688931</v>
                </pt>
                <pt idx="511">
                  <v>-0.02741335326677826</v>
                </pt>
                <pt idx="512">
                  <v>-0.04619082534202415</v>
                </pt>
                <pt idx="513">
                  <v>-0.07079817725795455</v>
                </pt>
                <pt idx="514">
                  <v>-0.07035053624265689</v>
                </pt>
                <pt idx="515">
                  <v>-0.06474196314339858</v>
                </pt>
                <pt idx="516">
                  <v>-0.063124862955293</v>
                </pt>
                <pt idx="517">
                  <v>-0.06920983103936572</v>
                </pt>
                <pt idx="518">
                  <v>-0.06352431659873885</v>
                </pt>
                <pt idx="519">
                  <v>-0.06783115620020169</v>
                </pt>
                <pt idx="520">
                  <v>-0.06185744706417696</v>
                </pt>
                <pt idx="521">
                  <v>-0.05931861115253094</v>
                </pt>
                <pt idx="522">
                  <v>-0.05879031898613805</v>
                </pt>
                <pt idx="523">
                  <v>-0.05325873101333595</v>
                </pt>
                <pt idx="524">
                  <v>-0.04036721311475414</v>
                </pt>
                <pt idx="525">
                  <v>-0.02619077595816356</v>
                </pt>
                <pt idx="526">
                  <v>-0.00397926273477852</v>
                </pt>
                <pt idx="527">
                  <v>-0.00344265959164079</v>
                </pt>
                <pt idx="528">
                  <v>0.001839078546753476</v>
                </pt>
                <pt idx="529">
                  <v>0.0150259506785289</v>
                </pt>
                <pt idx="530">
                  <v>0.04736094019584629</v>
                </pt>
                <pt idx="531">
                  <v>0.04890747013877804</v>
                </pt>
                <pt idx="532">
                  <v>0.04873262829887778</v>
                </pt>
                <pt idx="533">
                  <v>0.04619057166881702</v>
                </pt>
                <pt idx="534">
                  <v>0.05281347013943691</v>
                </pt>
                <pt idx="535">
                  <v>0.07367486403779998</v>
                </pt>
                <pt idx="536">
                  <v>0.0806445508790668</v>
                </pt>
                <pt idx="537">
                  <v>0.08667276320215271</v>
                </pt>
                <pt idx="538">
                  <v>0.07326191823785073</v>
                </pt>
                <pt idx="539">
                  <v>0.07845270938876121</v>
                </pt>
                <pt idx="540">
                  <v>0.08467593308822702</v>
                </pt>
                <pt idx="541">
                  <v>0.07753199811848585</v>
                </pt>
                <pt idx="542">
                  <v>0.05686366152020067</v>
                </pt>
                <pt idx="543">
                  <v>0.03642654437669474</v>
                </pt>
                <pt idx="544">
                  <v>0.04962158374211631</v>
                </pt>
                <pt idx="545">
                  <v>0.04461477947979018</v>
                </pt>
                <pt idx="546">
                  <v>0.04265640180881134</v>
                </pt>
                <pt idx="547">
                  <v>0.02099860790325018</v>
                </pt>
                <pt idx="548">
                  <v>-0.000536019331717129</v>
                </pt>
                <pt idx="549">
                  <v>-0.01877411572841228</v>
                </pt>
                <pt idx="550">
                  <v>-0.02515530354343659</v>
                </pt>
                <pt idx="551">
                  <v>-0.04391734135156491</v>
                </pt>
                <pt idx="552">
                  <v>-0.05893907369968759</v>
                </pt>
                <pt idx="553">
                  <v>-0.06443843253934066</v>
                </pt>
                <pt idx="554">
                  <v>-0.09344943016907911</v>
                </pt>
                <pt idx="555">
                  <v>-0.07826630725261846</v>
                </pt>
                <pt idx="556">
                  <v>-0.0879999084377477</v>
                </pt>
                <pt idx="557">
                  <v>-0.09408862689121958</v>
                </pt>
                <pt idx="558">
                  <v>-0.08535045647107539</v>
                </pt>
                <pt idx="559">
                  <v>-0.09340994712953797</v>
                </pt>
                <pt idx="560">
                  <v>-0.08781123557884631</v>
                </pt>
                <pt idx="561">
                  <v>-0.05675329847556402</v>
                </pt>
                <pt idx="562">
                  <v>-0.04831542200557251</v>
                </pt>
                <pt idx="563">
                  <v>-0.05907741946528719</v>
                </pt>
                <pt idx="564">
                  <v>-0.0507425490794426</v>
                </pt>
                <pt idx="565">
                  <v>-0.111285176642975</v>
                </pt>
                <pt idx="566">
                  <v>-0.3015644536738077</v>
                </pt>
                <pt idx="567">
                  <v>-0.2386719081777849</v>
                </pt>
                <pt idx="568">
                  <v>-0.1564679847981912</v>
                </pt>
                <pt idx="569">
                  <v>-0.105673893473607</v>
                </pt>
                <pt idx="570">
                  <v>-0.09859016163197885</v>
                </pt>
                <pt idx="571">
                  <v>-0.09305343275993909</v>
                </pt>
                <pt idx="572">
                  <v>-0.08964766640346573</v>
                </pt>
                <pt idx="573">
                  <v>-0.1036446124052478</v>
                </pt>
                <pt idx="574">
                  <v>-0.09865903480126451</v>
                </pt>
                <pt idx="575">
                  <v>-0.05831087574944831</v>
                </pt>
                <pt idx="576">
                  <v>-0.08835477355164677</v>
                </pt>
                <pt idx="577">
                  <v>0.001517515327710755</v>
                </pt>
                <pt idx="578">
                  <v>0.287035956891214</v>
                </pt>
                <pt idx="579">
                  <v>0.2064733387966475</v>
                </pt>
                <pt idx="580">
                  <v>0.07646788257187384</v>
                </pt>
                <pt idx="581">
                  <v>0.05593831029098441</v>
                </pt>
                <pt idx="582">
                  <v>0.03673527763372397</v>
                </pt>
                <pt idx="583">
                  <v>0.04117025505949898</v>
                </pt>
                <pt idx="584">
                  <v>0.04514724015546832</v>
                </pt>
                <pt idx="585">
                  <v>0.05358962579838767</v>
                </pt>
                <pt idx="586">
                  <v>0.06088332018042243</v>
                </pt>
                <pt idx="587">
                  <v>0.03730319558207968</v>
                </pt>
                <pt idx="588">
                  <v>0.09603519672387424</v>
                </pt>
                <pt idx="589">
                  <v>0.08646502874656679</v>
                </pt>
                <pt idx="590">
                  <v>0.1107481674638258</v>
                </pt>
                <pt idx="591">
                  <v>0.09569549503062917</v>
                </pt>
                <pt idx="592">
                  <v>0.1074476110404082</v>
                </pt>
                <pt idx="593">
                  <v>0.08758651198929303</v>
                </pt>
                <pt idx="594">
                  <v>0.09550241080471179</v>
                </pt>
                <pt idx="595">
                  <v>0.1065995050737264</v>
                </pt>
                <pt idx="596">
                  <v>0.1056778089049684</v>
                </pt>
                <pt idx="597">
                  <v>0.07875143311185584</v>
                </pt>
                <pt idx="598">
                  <v>0.0457445334851643</v>
                </pt>
                <pt idx="599">
                  <v>0.06350547226723548</v>
                </pt>
                <pt idx="600">
                  <v>0.03606251823126688</v>
                </pt>
                <pt idx="601">
                  <v>0.01189032584381421</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'Business Equipment'!$D$463:$D$622</f>
              <numCache>
                <formatCode>0.0%</formatCode>
                <ptCount val="160"/>
                <pt idx="0">
                  <v>-0.01860605974570458</v>
                </pt>
                <pt idx="1">
                  <v>-0.01794398393559003</v>
                </pt>
                <pt idx="2">
                  <v>0.02129997207755166</v>
                </pt>
                <pt idx="3">
                  <v>0.05493154166072688</v>
                </pt>
                <pt idx="4">
                  <v>0.1039952397577068</v>
                </pt>
                <pt idx="5">
                  <v>0.1188666667522957</v>
                </pt>
                <pt idx="6">
                  <v>0.1153481572846359</v>
                </pt>
                <pt idx="7">
                  <v>0.1039820704557803</v>
                </pt>
                <pt idx="8">
                  <v>0.1020474597579866</v>
                </pt>
                <pt idx="9">
                  <v>0.1005403472525726</v>
                </pt>
                <pt idx="10">
                  <v>0.1024341224871527</v>
                </pt>
                <pt idx="11">
                  <v>0.09270598647721902</v>
                </pt>
                <pt idx="12">
                  <v>0.08568952299213585</v>
                </pt>
                <pt idx="13">
                  <v>0.09267841828057534</v>
                </pt>
                <pt idx="14">
                  <v>0.06916808815400795</v>
                </pt>
                <pt idx="15">
                  <v>0.04987262164397975</v>
                </pt>
                <pt idx="16">
                  <v>0.03967785904140211</v>
                </pt>
                <pt idx="17">
                  <v>0.03529916874928968</v>
                </pt>
                <pt idx="18">
                  <v>0.03953130386404666</v>
                </pt>
                <pt idx="19">
                  <v>0.05111848686005282</v>
                </pt>
                <pt idx="20">
                  <v>0.05208959328559637</v>
                </pt>
                <pt idx="21">
                  <v>0.06261507427931913</v>
                </pt>
                <pt idx="22">
                  <v>0.07226724666979539</v>
                </pt>
                <pt idx="23">
                  <v>0.08066784283497581</v>
                </pt>
                <pt idx="24">
                  <v>0.08909429039331616</v>
                </pt>
                <pt idx="25">
                  <v>0.09543468644995083</v>
                </pt>
                <pt idx="26">
                  <v>0.1081847321064258</v>
                </pt>
                <pt idx="27">
                  <v>0.1263562594437293</v>
                </pt>
                <pt idx="28">
                  <v>0.1249478260097331</v>
                </pt>
                <pt idx="29">
                  <v>0.1387820093452762</v>
                </pt>
                <pt idx="30">
                  <v>0.1107710997652389</v>
                </pt>
                <pt idx="31">
                  <v>0.1057971390629934</v>
                </pt>
                <pt idx="32">
                  <v>0.09677190332813763</v>
                </pt>
                <pt idx="33">
                  <v>0.0719854334658689</v>
                </pt>
                <pt idx="34">
                  <v>0.07440988456504626</v>
                </pt>
                <pt idx="35">
                  <v>0.06550210203433023</v>
                </pt>
                <pt idx="36">
                  <v>0.02981690657749872</v>
                </pt>
                <pt idx="37">
                  <v>0.03098387150639541</v>
                </pt>
                <pt idx="38">
                  <v>0.02618412458903907</v>
                </pt>
                <pt idx="39">
                  <v>0.0102758204707541</v>
                </pt>
                <pt idx="40">
                  <v>-0.001973575793698063</v>
                </pt>
                <pt idx="41">
                  <v>-0.01624041144842376</v>
                </pt>
                <pt idx="42">
                  <v>-0.02229861681771508</v>
                </pt>
                <pt idx="43">
                  <v>-0.01459074524284989</v>
                </pt>
                <pt idx="44">
                  <v>-0.003473979481747304</v>
                </pt>
                <pt idx="45">
                  <v>0.002530487170776665</v>
                </pt>
                <pt idx="46">
                  <v>-0.01150586848253749</v>
                </pt>
                <pt idx="47">
                  <v>-0.0270121118259845</v>
                </pt>
                <pt idx="48">
                  <v>-0.00733442358102821</v>
                </pt>
                <pt idx="49">
                  <v>-0.001780625731906974</v>
                </pt>
                <pt idx="50">
                  <v>0.004982167438368084</v>
                </pt>
                <pt idx="51">
                  <v>0.009840815828713623</v>
                </pt>
                <pt idx="52">
                  <v>0.02096324955086517</v>
                </pt>
                <pt idx="53">
                  <v>0.01749433599220845</v>
                </pt>
                <pt idx="54">
                  <v>0.04861152402307826</v>
                </pt>
                <pt idx="55">
                  <v>0.02427539036526718</v>
                </pt>
                <pt idx="56">
                  <v>0.01120135270531215</v>
                </pt>
                <pt idx="57">
                  <v>0.02668531833296781</v>
                </pt>
                <pt idx="58">
                  <v>0.041521870926072</v>
                </pt>
                <pt idx="59">
                  <v>0.03842566703946305</v>
                </pt>
                <pt idx="60">
                  <v>0.03045896371909913</v>
                </pt>
                <pt idx="61">
                  <v>0.009042912533716736</v>
                </pt>
                <pt idx="62">
                  <v>-0.001796790486641221</v>
                </pt>
                <pt idx="63">
                  <v>-0.007754052103411993</v>
                </pt>
                <pt idx="64">
                  <v>-0.01123387672369793</v>
                </pt>
                <pt idx="65">
                  <v>-0.01236962574002781</v>
                </pt>
                <pt idx="66">
                  <v>-0.02675992853511405</v>
                </pt>
                <pt idx="67">
                  <v>-0.02180200308688931</v>
                </pt>
                <pt idx="68">
                  <v>-0.02741335326677826</v>
                </pt>
                <pt idx="69">
                  <v>-0.04619082534202415</v>
                </pt>
                <pt idx="70">
                  <v>-0.07079817725795455</v>
                </pt>
                <pt idx="71">
                  <v>-0.07035053624265689</v>
                </pt>
                <pt idx="72">
                  <v>-0.06474196314339858</v>
                </pt>
                <pt idx="73">
                  <v>-0.063124862955293</v>
                </pt>
                <pt idx="74">
                  <v>-0.06920983103936572</v>
                </pt>
                <pt idx="75">
                  <v>-0.06352431659873885</v>
                </pt>
                <pt idx="76">
                  <v>-0.06783115620020169</v>
                </pt>
                <pt idx="77">
                  <v>-0.06185744706417696</v>
                </pt>
                <pt idx="78">
                  <v>-0.05931861115253094</v>
                </pt>
                <pt idx="79">
                  <v>-0.05879031898613805</v>
                </pt>
                <pt idx="80">
                  <v>-0.05325873101333595</v>
                </pt>
                <pt idx="81">
                  <v>-0.04036721311475414</v>
                </pt>
                <pt idx="82">
                  <v>-0.02619077595816356</v>
                </pt>
                <pt idx="83">
                  <v>-0.00397926273477852</v>
                </pt>
                <pt idx="84">
                  <v>-0.00344265959164079</v>
                </pt>
                <pt idx="85">
                  <v>0.001839078546753476</v>
                </pt>
                <pt idx="86">
                  <v>0.0150259506785289</v>
                </pt>
                <pt idx="87">
                  <v>0.04736094019584629</v>
                </pt>
                <pt idx="88">
                  <v>0.04890747013877804</v>
                </pt>
                <pt idx="89">
                  <v>0.04873262829887778</v>
                </pt>
                <pt idx="90">
                  <v>0.04619057166881702</v>
                </pt>
                <pt idx="91">
                  <v>0.05281347013943691</v>
                </pt>
                <pt idx="92">
                  <v>0.07367486403779998</v>
                </pt>
                <pt idx="93">
                  <v>0.0806445508790668</v>
                </pt>
                <pt idx="94">
                  <v>0.08667276320215271</v>
                </pt>
                <pt idx="95">
                  <v>0.07326191823785073</v>
                </pt>
                <pt idx="96">
                  <v>0.07845270938876121</v>
                </pt>
                <pt idx="97">
                  <v>0.08467593308822702</v>
                </pt>
                <pt idx="98">
                  <v>0.07753199811848585</v>
                </pt>
                <pt idx="99">
                  <v>0.05686366152020067</v>
                </pt>
                <pt idx="100">
                  <v>0.03642654437669474</v>
                </pt>
                <pt idx="101">
                  <v>0.04962158374211631</v>
                </pt>
                <pt idx="102">
                  <v>0.04461477947979018</v>
                </pt>
                <pt idx="103">
                  <v>0.04265640180881134</v>
                </pt>
                <pt idx="104">
                  <v>0.02099860790325018</v>
                </pt>
                <pt idx="105">
                  <v>-0.000536019331717129</v>
                </pt>
                <pt idx="106">
                  <v>-0.01877411572841228</v>
                </pt>
                <pt idx="107">
                  <v>-0.02515530354343659</v>
                </pt>
                <pt idx="108">
                  <v>-0.04391734135156491</v>
                </pt>
                <pt idx="109">
                  <v>-0.05893907369968759</v>
                </pt>
                <pt idx="110">
                  <v>-0.06443843253934066</v>
                </pt>
                <pt idx="111">
                  <v>-0.09344943016907911</v>
                </pt>
                <pt idx="112">
                  <v>-0.07826630725261846</v>
                </pt>
                <pt idx="113">
                  <v>-0.0879999084377477</v>
                </pt>
                <pt idx="114">
                  <v>-0.09408862689121958</v>
                </pt>
                <pt idx="115">
                  <v>-0.08535045647107539</v>
                </pt>
                <pt idx="116">
                  <v>-0.09340994712953797</v>
                </pt>
                <pt idx="117">
                  <v>-0.08781123557884631</v>
                </pt>
                <pt idx="118">
                  <v>-0.05675329847556402</v>
                </pt>
                <pt idx="119">
                  <v>-0.04831542200557251</v>
                </pt>
                <pt idx="120">
                  <v>-0.05907741946528719</v>
                </pt>
                <pt idx="121">
                  <v>-0.0507425490794426</v>
                </pt>
                <pt idx="122">
                  <v>-0.111285176642975</v>
                </pt>
                <pt idx="123">
                  <v>-0.3015644536738077</v>
                </pt>
                <pt idx="124">
                  <v>-0.2386719081777849</v>
                </pt>
                <pt idx="125">
                  <v>-0.1564679847981912</v>
                </pt>
                <pt idx="126">
                  <v>-0.105673893473607</v>
                </pt>
                <pt idx="127">
                  <v>-0.09859016163197885</v>
                </pt>
                <pt idx="128">
                  <v>-0.09305343275993909</v>
                </pt>
                <pt idx="129">
                  <v>-0.08964766640346573</v>
                </pt>
                <pt idx="130">
                  <v>-0.1036446124052478</v>
                </pt>
                <pt idx="131">
                  <v>-0.09865903480126451</v>
                </pt>
                <pt idx="132">
                  <v>-0.05831087574944831</v>
                </pt>
                <pt idx="133">
                  <v>-0.08835477355164677</v>
                </pt>
                <pt idx="134">
                  <v>0.001517515327710755</v>
                </pt>
                <pt idx="135">
                  <v>0.287035956891214</v>
                </pt>
                <pt idx="136">
                  <v>0.2064733387966475</v>
                </pt>
                <pt idx="137">
                  <v>0.07646788257187384</v>
                </pt>
                <pt idx="138">
                  <v>0.05593831029098441</v>
                </pt>
                <pt idx="139">
                  <v>0.03673527763372397</v>
                </pt>
                <pt idx="140">
                  <v>0.04117025505949898</v>
                </pt>
                <pt idx="141">
                  <v>0.04514724015546832</v>
                </pt>
                <pt idx="142">
                  <v>0.05358962579838767</v>
                </pt>
                <pt idx="143">
                  <v>0.06088332018042243</v>
                </pt>
                <pt idx="144">
                  <v>0.03730319558207968</v>
                </pt>
                <pt idx="145">
                  <v>0.09603519672387424</v>
                </pt>
                <pt idx="146">
                  <v>0.08646502874656679</v>
                </pt>
                <pt idx="147">
                  <v>0.1107481674638258</v>
                </pt>
                <pt idx="148">
                  <v>0.09569549503062917</v>
                </pt>
                <pt idx="149">
                  <v>0.1074476110404082</v>
                </pt>
                <pt idx="150">
                  <v>0.08758651198929303</v>
                </pt>
                <pt idx="151">
                  <v>0.09550241080471179</v>
                </pt>
                <pt idx="152">
                  <v>0.1065995050737264</v>
                </pt>
                <pt idx="153">
                  <v>0.1056778089049684</v>
                </pt>
                <pt idx="154">
                  <v>0.07875143311185584</v>
                </pt>
                <pt idx="155">
                  <v>0.0457445334851643</v>
                </pt>
                <pt idx="156">
                  <v>0.06350547226723548</v>
                </pt>
                <pt idx="157">
                  <v>0.03606251823126688</v>
                </pt>
                <pt idx="158">
                  <v>0.01189032584381421</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Construction!$A$20:$A$626</f>
              <numCache>
                <formatCode>mmm\-yy</formatCode>
                <ptCount val="60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Construction!$B$20:$B$626</f>
              <numCache>
                <formatCode>0.0</formatCode>
                <ptCount val="607"/>
                <pt idx="0">
                  <v>72.1605</v>
                </pt>
                <pt idx="1">
                  <v>72.55110000000001</v>
                </pt>
                <pt idx="2">
                  <v>72.4076</v>
                </pt>
                <pt idx="3">
                  <v>72.7343</v>
                </pt>
                <pt idx="4">
                  <v>72.9335</v>
                </pt>
                <pt idx="5">
                  <v>73.50409999999999</v>
                </pt>
                <pt idx="6">
                  <v>73.56359999999999</v>
                </pt>
                <pt idx="7">
                  <v>73.45010000000001</v>
                </pt>
                <pt idx="8">
                  <v>73.41330000000001</v>
                </pt>
                <pt idx="9">
                  <v>73.91459999999999</v>
                </pt>
                <pt idx="10">
                  <v>74.4892</v>
                </pt>
                <pt idx="11">
                  <v>74.6313</v>
                </pt>
                <pt idx="12">
                  <v>73.78279999999999</v>
                </pt>
                <pt idx="13">
                  <v>73.9132</v>
                </pt>
                <pt idx="14">
                  <v>73.2304</v>
                </pt>
                <pt idx="15">
                  <v>73.5748</v>
                </pt>
                <pt idx="16">
                  <v>73.1403</v>
                </pt>
                <pt idx="17">
                  <v>71.8151</v>
                </pt>
                <pt idx="18">
                  <v>70.87479999999999</v>
                </pt>
                <pt idx="19">
                  <v>70.37479999999999</v>
                </pt>
                <pt idx="20">
                  <v>69.12350000000001</v>
                </pt>
                <pt idx="21">
                  <v>66.9507</v>
                </pt>
                <pt idx="22">
                  <v>63.8333</v>
                </pt>
                <pt idx="23">
                  <v>63.403</v>
                </pt>
                <pt idx="24">
                  <v>61.5558</v>
                </pt>
                <pt idx="25">
                  <v>59.2327</v>
                </pt>
                <pt idx="26">
                  <v>58.7833</v>
                </pt>
                <pt idx="27">
                  <v>58.7681</v>
                </pt>
                <pt idx="28">
                  <v>58.4613</v>
                </pt>
                <pt idx="29">
                  <v>59.198</v>
                </pt>
                <pt idx="30">
                  <v>59.9386</v>
                </pt>
                <pt idx="31">
                  <v>60.5809</v>
                </pt>
                <pt idx="32">
                  <v>60.9164</v>
                </pt>
                <pt idx="33">
                  <v>61.1782</v>
                </pt>
                <pt idx="34">
                  <v>61.2461</v>
                </pt>
                <pt idx="35">
                  <v>62.6261</v>
                </pt>
                <pt idx="36">
                  <v>63.7547</v>
                </pt>
                <pt idx="37">
                  <v>62.8453</v>
                </pt>
                <pt idx="38">
                  <v>63.6407</v>
                </pt>
                <pt idx="39">
                  <v>64.36109999999999</v>
                </pt>
                <pt idx="40">
                  <v>64.867</v>
                </pt>
                <pt idx="41">
                  <v>66.2471</v>
                </pt>
                <pt idx="42">
                  <v>65.5802</v>
                </pt>
                <pt idx="43">
                  <v>66.0106</v>
                </pt>
                <pt idx="44">
                  <v>65.965</v>
                </pt>
                <pt idx="45">
                  <v>66.2492</v>
                </pt>
                <pt idx="46">
                  <v>66.7445</v>
                </pt>
                <pt idx="47">
                  <v>65.5694</v>
                </pt>
                <pt idx="48">
                  <v>67.07550000000001</v>
                </pt>
                <pt idx="49">
                  <v>68.4936</v>
                </pt>
                <pt idx="50">
                  <v>70.1007</v>
                </pt>
                <pt idx="51">
                  <v>71.1425</v>
                </pt>
                <pt idx="52">
                  <v>71.70229999999999</v>
                </pt>
                <pt idx="53">
                  <v>71.7426</v>
                </pt>
                <pt idx="54">
                  <v>72.3141</v>
                </pt>
                <pt idx="55">
                  <v>71.9755</v>
                </pt>
                <pt idx="56">
                  <v>71.9607</v>
                </pt>
                <pt idx="57">
                  <v>72.2916</v>
                </pt>
                <pt idx="58">
                  <v>73.05929999999999</v>
                </pt>
                <pt idx="59">
                  <v>71.6087</v>
                </pt>
                <pt idx="60">
                  <v>71.4256</v>
                </pt>
                <pt idx="61">
                  <v>72.7077</v>
                </pt>
                <pt idx="62">
                  <v>74.3368</v>
                </pt>
                <pt idx="63">
                  <v>74.3026</v>
                </pt>
                <pt idx="64">
                  <v>74.9442</v>
                </pt>
                <pt idx="65">
                  <v>74.8083</v>
                </pt>
                <pt idx="66">
                  <v>74.92749999999999</v>
                </pt>
                <pt idx="67">
                  <v>75.2002</v>
                </pt>
                <pt idx="68">
                  <v>75.9254</v>
                </pt>
                <pt idx="69">
                  <v>76.4405</v>
                </pt>
                <pt idx="70">
                  <v>77.66</v>
                </pt>
                <pt idx="71">
                  <v>75.8305</v>
                </pt>
                <pt idx="72">
                  <v>76.31529999999999</v>
                </pt>
                <pt idx="73">
                  <v>77.2533</v>
                </pt>
                <pt idx="74">
                  <v>75.94370000000001</v>
                </pt>
                <pt idx="75">
                  <v>76.52119999999999</v>
                </pt>
                <pt idx="76">
                  <v>76.845</v>
                </pt>
                <pt idx="77">
                  <v>76.8865</v>
                </pt>
                <pt idx="78">
                  <v>76.1293</v>
                </pt>
                <pt idx="79">
                  <v>76.1799</v>
                </pt>
                <pt idx="80">
                  <v>76.8309</v>
                </pt>
                <pt idx="81">
                  <v>76.6617</v>
                </pt>
                <pt idx="82">
                  <v>76.8947</v>
                </pt>
                <pt idx="83">
                  <v>76.7231</v>
                </pt>
                <pt idx="84">
                  <v>75.5899</v>
                </pt>
                <pt idx="85">
                  <v>74.57550000000001</v>
                </pt>
                <pt idx="86">
                  <v>71.15860000000001</v>
                </pt>
                <pt idx="87">
                  <v>68.2692</v>
                </pt>
                <pt idx="88">
                  <v>66.92529999999999</v>
                </pt>
                <pt idx="89">
                  <v>66.3266</v>
                </pt>
                <pt idx="90">
                  <v>67.3083</v>
                </pt>
                <pt idx="91">
                  <v>68.9957</v>
                </pt>
                <pt idx="92">
                  <v>70.44070000000001</v>
                </pt>
                <pt idx="93">
                  <v>71.8706</v>
                </pt>
                <pt idx="94">
                  <v>71.8772</v>
                </pt>
                <pt idx="95">
                  <v>71.6079</v>
                </pt>
                <pt idx="96">
                  <v>71.0162</v>
                </pt>
                <pt idx="97">
                  <v>71.29510000000001</v>
                </pt>
                <pt idx="98">
                  <v>71.348</v>
                </pt>
                <pt idx="99">
                  <v>71.3075</v>
                </pt>
                <pt idx="100">
                  <v>70.2024</v>
                </pt>
                <pt idx="101">
                  <v>70.4161</v>
                </pt>
                <pt idx="102">
                  <v>70.1887</v>
                </pt>
                <pt idx="103">
                  <v>69.783</v>
                </pt>
                <pt idx="104">
                  <v>67.6024</v>
                </pt>
                <pt idx="105">
                  <v>66.5248</v>
                </pt>
                <pt idx="106">
                  <v>65.25320000000001</v>
                </pt>
                <pt idx="107">
                  <v>63.0096</v>
                </pt>
                <pt idx="108">
                  <v>65.2747</v>
                </pt>
                <pt idx="109">
                  <v>63.9264</v>
                </pt>
                <pt idx="110">
                  <v>63.4319</v>
                </pt>
                <pt idx="111">
                  <v>63.798</v>
                </pt>
                <pt idx="112">
                  <v>63.2899</v>
                </pt>
                <pt idx="113">
                  <v>63.1692</v>
                </pt>
                <pt idx="114">
                  <v>63.166</v>
                </pt>
                <pt idx="115">
                  <v>63.3763</v>
                </pt>
                <pt idx="116">
                  <v>62.445</v>
                </pt>
                <pt idx="117">
                  <v>62.0862</v>
                </pt>
                <pt idx="118">
                  <v>61.6512</v>
                </pt>
                <pt idx="119">
                  <v>63.8469</v>
                </pt>
                <pt idx="120">
                  <v>63.488</v>
                </pt>
                <pt idx="121">
                  <v>64.23739999999999</v>
                </pt>
                <pt idx="122">
                  <v>65.12090000000001</v>
                </pt>
                <pt idx="123">
                  <v>66.3415</v>
                </pt>
                <pt idx="124">
                  <v>67.51900000000001</v>
                </pt>
                <pt idx="125">
                  <v>68.9319</v>
                </pt>
                <pt idx="126">
                  <v>69.2159</v>
                </pt>
                <pt idx="127">
                  <v>70.0535</v>
                </pt>
                <pt idx="128">
                  <v>71.18859999999999</v>
                </pt>
                <pt idx="129">
                  <v>71.0176</v>
                </pt>
                <pt idx="130">
                  <v>71.23260000000001</v>
                </pt>
                <pt idx="131">
                  <v>71.65649999999999</v>
                </pt>
                <pt idx="132">
                  <v>73.27030000000001</v>
                </pt>
                <pt idx="133">
                  <v>72.7711</v>
                </pt>
                <pt idx="134">
                  <v>73.2668</v>
                </pt>
                <pt idx="135">
                  <v>73.4637</v>
                </pt>
                <pt idx="136">
                  <v>73.9876</v>
                </pt>
                <pt idx="137">
                  <v>73.732</v>
                </pt>
                <pt idx="138">
                  <v>73.98180000000001</v>
                </pt>
                <pt idx="139">
                  <v>74.17700000000001</v>
                </pt>
                <pt idx="140">
                  <v>73.9843</v>
                </pt>
                <pt idx="141">
                  <v>73.8432</v>
                </pt>
                <pt idx="142">
                  <v>74.5089</v>
                </pt>
                <pt idx="143">
                  <v>73.2894</v>
                </pt>
                <pt idx="144">
                  <v>73.4021</v>
                </pt>
                <pt idx="145">
                  <v>75.35509999999999</v>
                </pt>
                <pt idx="146">
                  <v>75.2933</v>
                </pt>
                <pt idx="147">
                  <v>75.611</v>
                </pt>
                <pt idx="148">
                  <v>75.9923</v>
                </pt>
                <pt idx="149">
                  <v>75.7333</v>
                </pt>
                <pt idx="150">
                  <v>75.7992</v>
                </pt>
                <pt idx="151">
                  <v>75.759</v>
                </pt>
                <pt idx="152">
                  <v>75.87730000000001</v>
                </pt>
                <pt idx="153">
                  <v>75.8321</v>
                </pt>
                <pt idx="154">
                  <v>75.55629999999999</v>
                </pt>
                <pt idx="155">
                  <v>77.1694</v>
                </pt>
                <pt idx="156">
                  <v>76.43300000000001</v>
                </pt>
                <pt idx="157">
                  <v>76.6407</v>
                </pt>
                <pt idx="158">
                  <v>77.38039999999999</v>
                </pt>
                <pt idx="159">
                  <v>77.83410000000001</v>
                </pt>
                <pt idx="160">
                  <v>77.0321</v>
                </pt>
                <pt idx="161">
                  <v>77.4511</v>
                </pt>
                <pt idx="162">
                  <v>78.24679999999999</v>
                </pt>
                <pt idx="163">
                  <v>78.33629999999999</v>
                </pt>
                <pt idx="164">
                  <v>78.3275</v>
                </pt>
                <pt idx="165">
                  <v>78.5284</v>
                </pt>
                <pt idx="166">
                  <v>79.0449</v>
                </pt>
                <pt idx="167">
                  <v>79.8356</v>
                </pt>
                <pt idx="168">
                  <v>81.3886</v>
                </pt>
                <pt idx="169">
                  <v>81.0663</v>
                </pt>
                <pt idx="170">
                  <v>81.49850000000001</v>
                </pt>
                <pt idx="171">
                  <v>82.1271</v>
                </pt>
                <pt idx="172">
                  <v>82.3193</v>
                </pt>
                <pt idx="173">
                  <v>82.6835</v>
                </pt>
                <pt idx="174">
                  <v>83.2932</v>
                </pt>
                <pt idx="175">
                  <v>83.7659</v>
                </pt>
                <pt idx="176">
                  <v>84.77670000000001</v>
                </pt>
                <pt idx="177">
                  <v>84.7696</v>
                </pt>
                <pt idx="178">
                  <v>85.54730000000001</v>
                </pt>
                <pt idx="179">
                  <v>84.00749999999999</v>
                </pt>
                <pt idx="180">
                  <v>84.803</v>
                </pt>
                <pt idx="181">
                  <v>85.17749999999999</v>
                </pt>
                <pt idx="182">
                  <v>84.87779999999999</v>
                </pt>
                <pt idx="183">
                  <v>84.99939999999999</v>
                </pt>
                <pt idx="184">
                  <v>84.3772</v>
                </pt>
                <pt idx="185">
                  <v>84.38930000000001</v>
                </pt>
                <pt idx="186">
                  <v>83.8674</v>
                </pt>
                <pt idx="187">
                  <v>84.15600000000001</v>
                </pt>
                <pt idx="188">
                  <v>84.4924</v>
                </pt>
                <pt idx="189">
                  <v>84.88079999999999</v>
                </pt>
                <pt idx="190">
                  <v>84.881</v>
                </pt>
                <pt idx="191">
                  <v>86.46250000000001</v>
                </pt>
                <pt idx="192">
                  <v>84.2997</v>
                </pt>
                <pt idx="193">
                  <v>84.5103</v>
                </pt>
                <pt idx="194">
                  <v>84.49509999999999</v>
                </pt>
                <pt idx="195">
                  <v>83.7996</v>
                </pt>
                <pt idx="196">
                  <v>84.01179999999999</v>
                </pt>
                <pt idx="197">
                  <v>83.9624</v>
                </pt>
                <pt idx="198">
                  <v>83.9195</v>
                </pt>
                <pt idx="199">
                  <v>83.7011</v>
                </pt>
                <pt idx="200">
                  <v>84.09220000000001</v>
                </pt>
                <pt idx="201">
                  <v>84.08839999999999</v>
                </pt>
                <pt idx="202">
                  <v>82.9984</v>
                </pt>
                <pt idx="203">
                  <v>84.8995</v>
                </pt>
                <pt idx="204">
                  <v>85.253</v>
                </pt>
                <pt idx="205">
                  <v>85.0479</v>
                </pt>
                <pt idx="206">
                  <v>84.1944</v>
                </pt>
                <pt idx="207">
                  <v>83.7453</v>
                </pt>
                <pt idx="208">
                  <v>84.10590000000001</v>
                </pt>
                <pt idx="209">
                  <v>83.3793</v>
                </pt>
                <pt idx="210">
                  <v>83.29689999999999</v>
                </pt>
                <pt idx="211">
                  <v>82.9327</v>
                </pt>
                <pt idx="212">
                  <v>82.13590000000001</v>
                </pt>
                <pt idx="213">
                  <v>82.1152</v>
                </pt>
                <pt idx="214">
                  <v>81.5364</v>
                </pt>
                <pt idx="215">
                  <v>78.58839999999999</v>
                </pt>
                <pt idx="216">
                  <v>78.33839999999999</v>
                </pt>
                <pt idx="217">
                  <v>77.3741</v>
                </pt>
                <pt idx="218">
                  <v>78.0044</v>
                </pt>
                <pt idx="219">
                  <v>78.1001</v>
                </pt>
                <pt idx="220">
                  <v>79.42019999999999</v>
                </pt>
                <pt idx="221">
                  <v>79.24979999999999</v>
                </pt>
                <pt idx="222">
                  <v>80.0252</v>
                </pt>
                <pt idx="223">
                  <v>80.3439</v>
                </pt>
                <pt idx="224">
                  <v>79.48269999999999</v>
                </pt>
                <pt idx="225">
                  <v>80.2235</v>
                </pt>
                <pt idx="226">
                  <v>80.13160000000001</v>
                </pt>
                <pt idx="227">
                  <v>80.25149999999999</v>
                </pt>
                <pt idx="228">
                  <v>80.9504</v>
                </pt>
                <pt idx="229">
                  <v>81.5485</v>
                </pt>
                <pt idx="230">
                  <v>82.1028</v>
                </pt>
                <pt idx="231">
                  <v>82.90649999999999</v>
                </pt>
                <pt idx="232">
                  <v>82.54389999999999</v>
                </pt>
                <pt idx="233">
                  <v>83.0818</v>
                </pt>
                <pt idx="234">
                  <v>83.2924</v>
                </pt>
                <pt idx="235">
                  <v>83.2527</v>
                </pt>
                <pt idx="236">
                  <v>83.23050000000001</v>
                </pt>
                <pt idx="237">
                  <v>82.9551</v>
                </pt>
                <pt idx="238">
                  <v>83.28489999999999</v>
                </pt>
                <pt idx="239">
                  <v>83.5189</v>
                </pt>
                <pt idx="240">
                  <v>85.0462</v>
                </pt>
                <pt idx="241">
                  <v>84.36879999999999</v>
                </pt>
                <pt idx="242">
                  <v>84.6373</v>
                </pt>
                <pt idx="243">
                  <v>85.6272</v>
                </pt>
                <pt idx="244">
                  <v>85.5462</v>
                </pt>
                <pt idx="245">
                  <v>86.0162</v>
                </pt>
                <pt idx="246">
                  <v>86.30240000000001</v>
                </pt>
                <pt idx="247">
                  <v>86.7876</v>
                </pt>
                <pt idx="248">
                  <v>87.57769999999999</v>
                </pt>
                <pt idx="249">
                  <v>88.2871</v>
                </pt>
                <pt idx="250">
                  <v>89.4752</v>
                </pt>
                <pt idx="251">
                  <v>89.1046</v>
                </pt>
                <pt idx="252">
                  <v>88.4451</v>
                </pt>
                <pt idx="253">
                  <v>90.0954</v>
                </pt>
                <pt idx="254">
                  <v>91.4941</v>
                </pt>
                <pt idx="255">
                  <v>92.2163</v>
                </pt>
                <pt idx="256">
                  <v>92.30719999999999</v>
                </pt>
                <pt idx="257">
                  <v>93.2347</v>
                </pt>
                <pt idx="258">
                  <v>93.20050000000001</v>
                </pt>
                <pt idx="259">
                  <v>93.9913</v>
                </pt>
                <pt idx="260">
                  <v>94.413</v>
                </pt>
                <pt idx="261">
                  <v>94.61239999999999</v>
                </pt>
                <pt idx="262">
                  <v>95.33920000000001</v>
                </pt>
                <pt idx="263">
                  <v>95.6361</v>
                </pt>
                <pt idx="264">
                  <v>94.34739999999999</v>
                </pt>
                <pt idx="265">
                  <v>94.3201</v>
                </pt>
                <pt idx="266">
                  <v>93.57899999999999</v>
                </pt>
                <pt idx="267">
                  <v>93.15770000000001</v>
                </pt>
                <pt idx="268">
                  <v>93.3154</v>
                </pt>
                <pt idx="269">
                  <v>93.0715</v>
                </pt>
                <pt idx="270">
                  <v>93.91840000000001</v>
                </pt>
                <pt idx="271">
                  <v>95.4074</v>
                </pt>
                <pt idx="272">
                  <v>95.34529999999999</v>
                </pt>
                <pt idx="273">
                  <v>95.4224</v>
                </pt>
                <pt idx="274">
                  <v>95.80029999999999</v>
                </pt>
                <pt idx="275">
                  <v>94.5821</v>
                </pt>
                <pt idx="276">
                  <v>95.5685</v>
                </pt>
                <pt idx="277">
                  <v>96.6865</v>
                </pt>
                <pt idx="278">
                  <v>97.248</v>
                </pt>
                <pt idx="279">
                  <v>98.262</v>
                </pt>
                <pt idx="280">
                  <v>99.8005</v>
                </pt>
                <pt idx="281">
                  <v>99.4221</v>
                </pt>
                <pt idx="282">
                  <v>100.2327</v>
                </pt>
                <pt idx="283">
                  <v>100.5379</v>
                </pt>
                <pt idx="284">
                  <v>100.7074</v>
                </pt>
                <pt idx="285">
                  <v>101.4402</v>
                </pt>
                <pt idx="286">
                  <v>100.9625</v>
                </pt>
                <pt idx="287">
                  <v>100.0137</v>
                </pt>
                <pt idx="288">
                  <v>101.9883</v>
                </pt>
                <pt idx="289">
                  <v>102.9374</v>
                </pt>
                <pt idx="290">
                  <v>102.7165</v>
                </pt>
                <pt idx="291">
                  <v>103.2283</v>
                </pt>
                <pt idx="292">
                  <v>103.0476</v>
                </pt>
                <pt idx="293">
                  <v>103.115</v>
                </pt>
                <pt idx="294">
                  <v>103.9011</v>
                </pt>
                <pt idx="295">
                  <v>104.3486</v>
                </pt>
                <pt idx="296">
                  <v>104.993</v>
                </pt>
                <pt idx="297">
                  <v>105.3365</v>
                </pt>
                <pt idx="298">
                  <v>106.691</v>
                </pt>
                <pt idx="299">
                  <v>107.2505</v>
                </pt>
                <pt idx="300">
                  <v>107.9678</v>
                </pt>
                <pt idx="301">
                  <v>107.2513</v>
                </pt>
                <pt idx="302">
                  <v>107.6227</v>
                </pt>
                <pt idx="303">
                  <v>109.0433</v>
                </pt>
                <pt idx="304">
                  <v>108.584</v>
                </pt>
                <pt idx="305">
                  <v>109.2412</v>
                </pt>
                <pt idx="306">
                  <v>109.5969</v>
                </pt>
                <pt idx="307">
                  <v>109.2688</v>
                </pt>
                <pt idx="308">
                  <v>110.227</v>
                </pt>
                <pt idx="309">
                  <v>110.4261</v>
                </pt>
                <pt idx="310">
                  <v>111.7905</v>
                </pt>
                <pt idx="311">
                  <v>111.0596</v>
                </pt>
                <pt idx="312">
                  <v>111.2123</v>
                </pt>
                <pt idx="313">
                  <v>110.1522</v>
                </pt>
                <pt idx="314">
                  <v>110.4558</v>
                </pt>
                <pt idx="315">
                  <v>110.7158</v>
                </pt>
                <pt idx="316">
                  <v>110.7992</v>
                </pt>
                <pt idx="317">
                  <v>111.5697</v>
                </pt>
                <pt idx="318">
                  <v>111.5211</v>
                </pt>
                <pt idx="319">
                  <v>111.5954</v>
                </pt>
                <pt idx="320">
                  <v>112.9356</v>
                </pt>
                <pt idx="321">
                  <v>113.5867</v>
                </pt>
                <pt idx="322">
                  <v>114.7966</v>
                </pt>
                <pt idx="323">
                  <v>115.1731</v>
                </pt>
                <pt idx="324">
                  <v>115.3292</v>
                </pt>
                <pt idx="325">
                  <v>115.4973</v>
                </pt>
                <pt idx="326">
                  <v>115.9726</v>
                </pt>
                <pt idx="327">
                  <v>114.2379</v>
                </pt>
                <pt idx="328">
                  <v>113.7591</v>
                </pt>
                <pt idx="329">
                  <v>114.3282</v>
                </pt>
                <pt idx="330">
                  <v>113.4262</v>
                </pt>
                <pt idx="331">
                  <v>113.6117</v>
                </pt>
                <pt idx="332">
                  <v>113.1817</v>
                </pt>
                <pt idx="333">
                  <v>112.9054</v>
                </pt>
                <pt idx="334">
                  <v>111.1342</v>
                </pt>
                <pt idx="335">
                  <v>111.957</v>
                </pt>
                <pt idx="336">
                  <v>110.5667</v>
                </pt>
                <pt idx="337">
                  <v>110.5951</v>
                </pt>
                <pt idx="338">
                  <v>110.336</v>
                </pt>
                <pt idx="339">
                  <v>109.6891</v>
                </pt>
                <pt idx="340">
                  <v>108.9888</v>
                </pt>
                <pt idx="341">
                  <v>109.0082</v>
                </pt>
                <pt idx="342">
                  <v>107.7241</v>
                </pt>
                <pt idx="343">
                  <v>107.5481</v>
                </pt>
                <pt idx="344">
                  <v>106.5288</v>
                </pt>
                <pt idx="345">
                  <v>106.1392</v>
                </pt>
                <pt idx="346">
                  <v>106.8886</v>
                </pt>
                <pt idx="347">
                  <v>106.8298</v>
                </pt>
                <pt idx="348">
                  <v>107.12</v>
                </pt>
                <pt idx="349">
                  <v>108.6917</v>
                </pt>
                <pt idx="350">
                  <v>108.6426</v>
                </pt>
                <pt idx="351">
                  <v>109.1695</v>
                </pt>
                <pt idx="352">
                  <v>109.8812</v>
                </pt>
                <pt idx="353">
                  <v>108.5812</v>
                </pt>
                <pt idx="354">
                  <v>108.9076</v>
                </pt>
                <pt idx="355">
                  <v>109.8558</v>
                </pt>
                <pt idx="356">
                  <v>109.4667</v>
                </pt>
                <pt idx="357">
                  <v>109.4661</v>
                </pt>
                <pt idx="358">
                  <v>108.6036</v>
                </pt>
                <pt idx="359">
                  <v>108.9712</v>
                </pt>
                <pt idx="360">
                  <v>108.1222</v>
                </pt>
                <pt idx="361">
                  <v>107.743</v>
                </pt>
                <pt idx="362">
                  <v>106.6151</v>
                </pt>
                <pt idx="363">
                  <v>107.9849</v>
                </pt>
                <pt idx="364">
                  <v>108.4002</v>
                </pt>
                <pt idx="365">
                  <v>107.9009</v>
                </pt>
                <pt idx="366">
                  <v>108.5944</v>
                </pt>
                <pt idx="367">
                  <v>108.3309</v>
                </pt>
                <pt idx="368">
                  <v>108.9307</v>
                </pt>
                <pt idx="369">
                  <v>110.2039</v>
                </pt>
                <pt idx="370">
                  <v>110.1912</v>
                </pt>
                <pt idx="371">
                  <v>109.9102</v>
                </pt>
                <pt idx="372">
                  <v>109.9378</v>
                </pt>
                <pt idx="373">
                  <v>110.1253</v>
                </pt>
                <pt idx="374">
                  <v>109.8544</v>
                </pt>
                <pt idx="375">
                  <v>111.0931</v>
                </pt>
                <pt idx="376">
                  <v>110.3274</v>
                </pt>
                <pt idx="377">
                  <v>111.5858</v>
                </pt>
                <pt idx="378">
                  <v>111.8455</v>
                </pt>
                <pt idx="379">
                  <v>110.9745</v>
                </pt>
                <pt idx="380">
                  <v>112.7396</v>
                </pt>
                <pt idx="381">
                  <v>112.3538</v>
                </pt>
                <pt idx="382">
                  <v>112.4168</v>
                </pt>
                <pt idx="383">
                  <v>113.622</v>
                </pt>
                <pt idx="384">
                  <v>114.4852</v>
                </pt>
                <pt idx="385">
                  <v>113.3387</v>
                </pt>
                <pt idx="386">
                  <v>115.4676</v>
                </pt>
                <pt idx="387">
                  <v>115.5289</v>
                </pt>
                <pt idx="388">
                  <v>114.5624</v>
                </pt>
                <pt idx="389">
                  <v>115.4212</v>
                </pt>
                <pt idx="390">
                  <v>115.8361</v>
                </pt>
                <pt idx="391">
                  <v>117.4955</v>
                </pt>
                <pt idx="392">
                  <v>119.9982</v>
                </pt>
                <pt idx="393">
                  <v>120.8185</v>
                </pt>
                <pt idx="394">
                  <v>120.8013</v>
                </pt>
                <pt idx="395">
                  <v>122.2589</v>
                </pt>
                <pt idx="396">
                  <v>121.1344</v>
                </pt>
                <pt idx="397">
                  <v>120.823</v>
                </pt>
                <pt idx="398">
                  <v>120.1976</v>
                </pt>
                <pt idx="399">
                  <v>119.3062</v>
                </pt>
                <pt idx="400">
                  <v>118.8193</v>
                </pt>
                <pt idx="401">
                  <v>119.1906</v>
                </pt>
                <pt idx="402">
                  <v>118.2708</v>
                </pt>
                <pt idx="403">
                  <v>118.1407</v>
                </pt>
                <pt idx="404">
                  <v>116.8855</v>
                </pt>
                <pt idx="405">
                  <v>116.6563</v>
                </pt>
                <pt idx="406">
                  <v>119.7667</v>
                </pt>
                <pt idx="407">
                  <v>117.9102</v>
                </pt>
                <pt idx="408">
                  <v>118.1414</v>
                </pt>
                <pt idx="409">
                  <v>119.4547</v>
                </pt>
                <pt idx="410">
                  <v>118.9746</v>
                </pt>
                <pt idx="411">
                  <v>118.6535</v>
                </pt>
                <pt idx="412">
                  <v>119.2913</v>
                </pt>
                <pt idx="413">
                  <v>118.7699</v>
                </pt>
                <pt idx="414">
                  <v>118.1574</v>
                </pt>
                <pt idx="415">
                  <v>118.3508</v>
                </pt>
                <pt idx="416">
                  <v>117.6797</v>
                </pt>
                <pt idx="417">
                  <v>117.5856</v>
                </pt>
                <pt idx="418">
                  <v>117.792</v>
                </pt>
                <pt idx="419">
                  <v>117.8491</v>
                </pt>
                <pt idx="420">
                  <v>115.4257</v>
                </pt>
                <pt idx="421">
                  <v>113.8962</v>
                </pt>
                <pt idx="422">
                  <v>111.7379</v>
                </pt>
                <pt idx="423">
                  <v>110.5789</v>
                </pt>
                <pt idx="424">
                  <v>109.3456</v>
                </pt>
                <pt idx="425">
                  <v>109.1521</v>
                </pt>
                <pt idx="426">
                  <v>106.8603</v>
                </pt>
                <pt idx="427">
                  <v>104.063</v>
                </pt>
                <pt idx="428">
                  <v>102.4143</v>
                </pt>
                <pt idx="429">
                  <v>97.30240000000001</v>
                </pt>
                <pt idx="430">
                  <v>91.8184</v>
                </pt>
                <pt idx="431">
                  <v>87.7277</v>
                </pt>
                <pt idx="432">
                  <v>86.1657</v>
                </pt>
                <pt idx="433">
                  <v>83.3826</v>
                </pt>
                <pt idx="434">
                  <v>81.8556</v>
                </pt>
                <pt idx="435">
                  <v>81.5643</v>
                </pt>
                <pt idx="436">
                  <v>81.5689</v>
                </pt>
                <pt idx="437">
                  <v>81.9538</v>
                </pt>
                <pt idx="438">
                  <v>82.6046</v>
                </pt>
                <pt idx="439">
                  <v>82.34180000000001</v>
                </pt>
                <pt idx="440">
                  <v>80.95650000000001</v>
                </pt>
                <pt idx="441">
                  <v>82.57680000000001</v>
                </pt>
                <pt idx="442">
                  <v>80.7354</v>
                </pt>
                <pt idx="443">
                  <v>82.2197</v>
                </pt>
                <pt idx="444">
                  <v>82.29430000000001</v>
                </pt>
                <pt idx="445">
                  <v>83.82640000000001</v>
                </pt>
                <pt idx="446">
                  <v>86.3198</v>
                </pt>
                <pt idx="447">
                  <v>86.56480000000001</v>
                </pt>
                <pt idx="448">
                  <v>86.4893</v>
                </pt>
                <pt idx="449">
                  <v>86.0517</v>
                </pt>
                <pt idx="450">
                  <v>86.5791</v>
                </pt>
                <pt idx="451">
                  <v>86.6752</v>
                </pt>
                <pt idx="452">
                  <v>86.7897</v>
                </pt>
                <pt idx="453">
                  <v>87.48909999999999</v>
                </pt>
                <pt idx="454">
                  <v>86.3523</v>
                </pt>
                <pt idx="455">
                  <v>85.94289999999999</v>
                </pt>
                <pt idx="456">
                  <v>85.47799999999999</v>
                </pt>
                <pt idx="457">
                  <v>86.31910000000001</v>
                </pt>
                <pt idx="458">
                  <v>86.35429999999999</v>
                </pt>
                <pt idx="459">
                  <v>87.3643</v>
                </pt>
                <pt idx="460">
                  <v>87.73439999999999</v>
                </pt>
                <pt idx="461">
                  <v>88.52549999999999</v>
                </pt>
                <pt idx="462">
                  <v>88.3116</v>
                </pt>
                <pt idx="463">
                  <v>88.4768</v>
                </pt>
                <pt idx="464">
                  <v>88.752</v>
                </pt>
                <pt idx="465">
                  <v>88.8484</v>
                </pt>
                <pt idx="466">
                  <v>89.5359</v>
                </pt>
                <pt idx="467">
                  <v>90.7102</v>
                </pt>
                <pt idx="468">
                  <v>91.5728</v>
                </pt>
                <pt idx="469">
                  <v>91.2743</v>
                </pt>
                <pt idx="470">
                  <v>92.5865</v>
                </pt>
                <pt idx="471">
                  <v>91.5646</v>
                </pt>
                <pt idx="472">
                  <v>90.9881</v>
                </pt>
                <pt idx="473">
                  <v>90.48439999999999</v>
                </pt>
                <pt idx="474">
                  <v>90.9863</v>
                </pt>
                <pt idx="475">
                  <v>90.7852</v>
                </pt>
                <pt idx="476">
                  <v>90.56019999999999</v>
                </pt>
                <pt idx="477">
                  <v>91.8274</v>
                </pt>
                <pt idx="478">
                  <v>92.276</v>
                </pt>
                <pt idx="479">
                  <v>92.76600000000001</v>
                </pt>
                <pt idx="480">
                  <v>94.11320000000001</v>
                </pt>
                <pt idx="481">
                  <v>93.7754</v>
                </pt>
                <pt idx="482">
                  <v>93.3065</v>
                </pt>
                <pt idx="483">
                  <v>93.24469999999999</v>
                </pt>
                <pt idx="484">
                  <v>93.9854</v>
                </pt>
                <pt idx="485">
                  <v>93.9234</v>
                </pt>
                <pt idx="486">
                  <v>94.3463</v>
                </pt>
                <pt idx="487">
                  <v>95.41030000000001</v>
                </pt>
                <pt idx="488">
                  <v>95.2775</v>
                </pt>
                <pt idx="489">
                  <v>95.9933</v>
                </pt>
                <pt idx="490">
                  <v>94.45489999999999</v>
                </pt>
                <pt idx="491">
                  <v>94.0579</v>
                </pt>
                <pt idx="492">
                  <v>94.5919</v>
                </pt>
                <pt idx="493">
                  <v>95.9757</v>
                </pt>
                <pt idx="494">
                  <v>95.38249999999999</v>
                </pt>
                <pt idx="495">
                  <v>96.9121</v>
                </pt>
                <pt idx="496">
                  <v>97.625</v>
                </pt>
                <pt idx="497">
                  <v>98.4423</v>
                </pt>
                <pt idx="498">
                  <v>98.402</v>
                </pt>
                <pt idx="499">
                  <v>98.8083</v>
                </pt>
                <pt idx="500">
                  <v>98.2594</v>
                </pt>
                <pt idx="501">
                  <v>98.1922</v>
                </pt>
                <pt idx="502">
                  <v>99.0181</v>
                </pt>
                <pt idx="503">
                  <v>97.982</v>
                </pt>
                <pt idx="504">
                  <v>96.7577</v>
                </pt>
                <pt idx="505">
                  <v>96.2903</v>
                </pt>
                <pt idx="506">
                  <v>96.9738</v>
                </pt>
                <pt idx="507">
                  <v>97.5252</v>
                </pt>
                <pt idx="508">
                  <v>97.83029999999999</v>
                </pt>
                <pt idx="509">
                  <v>97.788</v>
                </pt>
                <pt idx="510">
                  <v>98.3943</v>
                </pt>
                <pt idx="511">
                  <v>97.6443</v>
                </pt>
                <pt idx="512">
                  <v>98.5802</v>
                </pt>
                <pt idx="513">
                  <v>98.6815</v>
                </pt>
                <pt idx="514">
                  <v>99.1374</v>
                </pt>
                <pt idx="515">
                  <v>99.03100000000001</v>
                </pt>
                <pt idx="516">
                  <v>98.8052</v>
                </pt>
                <pt idx="517">
                  <v>98.738</v>
                </pt>
                <pt idx="518">
                  <v>99.14239999999999</v>
                </pt>
                <pt idx="519">
                  <v>98.4918</v>
                </pt>
                <pt idx="520">
                  <v>98.2089</v>
                </pt>
                <pt idx="521">
                  <v>99.0192</v>
                </pt>
                <pt idx="522">
                  <v>98.20440000000001</v>
                </pt>
                <pt idx="523">
                  <v>98.50069999999999</v>
                </pt>
                <pt idx="524">
                  <v>98.9618</v>
                </pt>
                <pt idx="525">
                  <v>99.5705</v>
                </pt>
                <pt idx="526">
                  <v>98.06229999999999</v>
                </pt>
                <pt idx="527">
                  <v>99.6784</v>
                </pt>
                <pt idx="528">
                  <v>99.86109999999999</v>
                </pt>
                <pt idx="529">
                  <v>99.1181</v>
                </pt>
                <pt idx="530">
                  <v>99.8379</v>
                </pt>
                <pt idx="531">
                  <v>99.7302</v>
                </pt>
                <pt idx="532">
                  <v>99.85469999999999</v>
                </pt>
                <pt idx="533">
                  <v>99.67230000000001</v>
                </pt>
                <pt idx="534">
                  <v>98.8986</v>
                </pt>
                <pt idx="535">
                  <v>100.5907</v>
                </pt>
                <pt idx="536">
                  <v>100.9254</v>
                </pt>
                <pt idx="537">
                  <v>101.0463</v>
                </pt>
                <pt idx="538">
                  <v>100.7862</v>
                </pt>
                <pt idx="539">
                  <v>98.8985</v>
                </pt>
                <pt idx="540">
                  <v>101.6534</v>
                </pt>
                <pt idx="541">
                  <v>100.9211</v>
                </pt>
                <pt idx="542">
                  <v>101.8799</v>
                </pt>
                <pt idx="543">
                  <v>102.6071</v>
                </pt>
                <pt idx="544">
                  <v>102.526</v>
                </pt>
                <pt idx="545">
                  <v>102.3049</v>
                </pt>
                <pt idx="546">
                  <v>102.5545</v>
                </pt>
                <pt idx="547">
                  <v>101.808</v>
                </pt>
                <pt idx="548">
                  <v>101.6241</v>
                </pt>
                <pt idx="549">
                  <v>101.2587</v>
                </pt>
                <pt idx="550">
                  <v>102.2492</v>
                </pt>
                <pt idx="551">
                  <v>101.886</v>
                </pt>
                <pt idx="552">
                  <v>99.9239</v>
                </pt>
                <pt idx="553">
                  <v>99.9135</v>
                </pt>
                <pt idx="554">
                  <v>99.5545</v>
                </pt>
                <pt idx="555">
                  <v>100.355</v>
                </pt>
                <pt idx="556">
                  <v>101.3191</v>
                </pt>
                <pt idx="557">
                  <v>100.4851</v>
                </pt>
                <pt idx="558">
                  <v>100.7826</v>
                </pt>
                <pt idx="559">
                  <v>100.3095</v>
                </pt>
                <pt idx="560">
                  <v>99.24120000000001</v>
                </pt>
                <pt idx="561">
                  <v>98.878</v>
                </pt>
                <pt idx="562">
                  <v>99.815</v>
                </pt>
                <pt idx="563">
                  <v>101.9039</v>
                </pt>
                <pt idx="564">
                  <v>101.6834</v>
                </pt>
                <pt idx="565">
                  <v>98.46380000000001</v>
                </pt>
                <pt idx="566">
                  <v>87.7877</v>
                </pt>
                <pt idx="567">
                  <v>91.2971</v>
                </pt>
                <pt idx="568">
                  <v>92.8014</v>
                </pt>
                <pt idx="569">
                  <v>94.2406</v>
                </pt>
                <pt idx="570">
                  <v>95.5668</v>
                </pt>
                <pt idx="571">
                  <v>95.89830000000001</v>
                </pt>
                <pt idx="572">
                  <v>97.6746</v>
                </pt>
                <pt idx="573">
                  <v>98.09950000000001</v>
                </pt>
                <pt idx="574">
                  <v>99.59529999999999</v>
                </pt>
                <pt idx="575">
                  <v>100.154</v>
                </pt>
                <pt idx="576">
                  <v>96.5506</v>
                </pt>
                <pt idx="577">
                  <v>100.3631</v>
                </pt>
                <pt idx="578">
                  <v>99.7968</v>
                </pt>
                <pt idx="579">
                  <v>99.53700000000001</v>
                </pt>
                <pt idx="580">
                  <v>99.3171</v>
                </pt>
                <pt idx="581">
                  <v>100.2892</v>
                </pt>
                <pt idx="582">
                  <v>100.8316</v>
                </pt>
                <pt idx="583">
                  <v>101.9342</v>
                </pt>
                <pt idx="584">
                  <v>102.6188</v>
                </pt>
                <pt idx="585">
                  <v>104.224</v>
                </pt>
                <pt idx="586">
                  <v>104.6281</v>
                </pt>
                <pt idx="587">
                  <v>103.2955</v>
                </pt>
                <pt idx="588">
                  <v>105.1746</v>
                </pt>
                <pt idx="589">
                  <v>104.853</v>
                </pt>
                <pt idx="590">
                  <v>104.5336</v>
                </pt>
                <pt idx="591">
                  <v>104.6565</v>
                </pt>
                <pt idx="592">
                  <v>103.5377</v>
                </pt>
                <pt idx="593">
                  <v>103.7727</v>
                </pt>
                <pt idx="594">
                  <v>103.505</v>
                </pt>
                <pt idx="595">
                  <v>103.809</v>
                </pt>
                <pt idx="596">
                  <v>103.4263</v>
                </pt>
                <pt idx="597">
                  <v>102.9695</v>
                </pt>
                <pt idx="598">
                  <v>101.2421</v>
                </pt>
                <pt idx="599">
                  <v>103.9557</v>
                </pt>
                <pt idx="600">
                  <v>103.8825</v>
                </pt>
                <pt idx="601">
                  <v>102.0475</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Construction!$A$463:$A$626</f>
              <numCache>
                <formatCode>mmm\-yy</formatCode>
                <ptCount val="16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Construction!$B$463:$B$626</f>
              <numCache>
                <formatCode>0.0</formatCode>
                <ptCount val="164"/>
                <pt idx="0">
                  <v>82.2197</v>
                </pt>
                <pt idx="1">
                  <v>82.29430000000001</v>
                </pt>
                <pt idx="2">
                  <v>83.82640000000001</v>
                </pt>
                <pt idx="3">
                  <v>86.3198</v>
                </pt>
                <pt idx="4">
                  <v>86.56480000000001</v>
                </pt>
                <pt idx="5">
                  <v>86.4893</v>
                </pt>
                <pt idx="6">
                  <v>86.0517</v>
                </pt>
                <pt idx="7">
                  <v>86.5791</v>
                </pt>
                <pt idx="8">
                  <v>86.6752</v>
                </pt>
                <pt idx="9">
                  <v>86.7897</v>
                </pt>
                <pt idx="10">
                  <v>87.48909999999999</v>
                </pt>
                <pt idx="11">
                  <v>86.3523</v>
                </pt>
                <pt idx="12">
                  <v>85.94289999999999</v>
                </pt>
                <pt idx="13">
                  <v>85.47799999999999</v>
                </pt>
                <pt idx="14">
                  <v>86.31910000000001</v>
                </pt>
                <pt idx="15">
                  <v>86.35429999999999</v>
                </pt>
                <pt idx="16">
                  <v>87.3643</v>
                </pt>
                <pt idx="17">
                  <v>87.73439999999999</v>
                </pt>
                <pt idx="18">
                  <v>88.52549999999999</v>
                </pt>
                <pt idx="19">
                  <v>88.3116</v>
                </pt>
                <pt idx="20">
                  <v>88.4768</v>
                </pt>
                <pt idx="21">
                  <v>88.752</v>
                </pt>
                <pt idx="22">
                  <v>88.8484</v>
                </pt>
                <pt idx="23">
                  <v>89.5359</v>
                </pt>
                <pt idx="24">
                  <v>90.7102</v>
                </pt>
                <pt idx="25">
                  <v>91.5728</v>
                </pt>
                <pt idx="26">
                  <v>91.2743</v>
                </pt>
                <pt idx="27">
                  <v>92.5865</v>
                </pt>
                <pt idx="28">
                  <v>91.5646</v>
                </pt>
                <pt idx="29">
                  <v>90.9881</v>
                </pt>
                <pt idx="30">
                  <v>90.48439999999999</v>
                </pt>
                <pt idx="31">
                  <v>90.9863</v>
                </pt>
                <pt idx="32">
                  <v>90.7852</v>
                </pt>
                <pt idx="33">
                  <v>90.56019999999999</v>
                </pt>
                <pt idx="34">
                  <v>91.8274</v>
                </pt>
                <pt idx="35">
                  <v>92.276</v>
                </pt>
                <pt idx="36">
                  <v>92.76600000000001</v>
                </pt>
                <pt idx="37">
                  <v>94.11320000000001</v>
                </pt>
                <pt idx="38">
                  <v>93.7754</v>
                </pt>
                <pt idx="39">
                  <v>93.3065</v>
                </pt>
                <pt idx="40">
                  <v>93.24469999999999</v>
                </pt>
                <pt idx="41">
                  <v>93.9854</v>
                </pt>
                <pt idx="42">
                  <v>93.9234</v>
                </pt>
                <pt idx="43">
                  <v>94.3463</v>
                </pt>
                <pt idx="44">
                  <v>95.41030000000001</v>
                </pt>
                <pt idx="45">
                  <v>95.2775</v>
                </pt>
                <pt idx="46">
                  <v>95.9933</v>
                </pt>
                <pt idx="47">
                  <v>94.45489999999999</v>
                </pt>
                <pt idx="48">
                  <v>94.0579</v>
                </pt>
                <pt idx="49">
                  <v>94.5919</v>
                </pt>
                <pt idx="50">
                  <v>95.9757</v>
                </pt>
                <pt idx="51">
                  <v>95.38249999999999</v>
                </pt>
                <pt idx="52">
                  <v>96.9121</v>
                </pt>
                <pt idx="53">
                  <v>97.625</v>
                </pt>
                <pt idx="54">
                  <v>98.4423</v>
                </pt>
                <pt idx="55">
                  <v>98.402</v>
                </pt>
                <pt idx="56">
                  <v>98.8083</v>
                </pt>
                <pt idx="57">
                  <v>98.2594</v>
                </pt>
                <pt idx="58">
                  <v>98.1922</v>
                </pt>
                <pt idx="59">
                  <v>99.0181</v>
                </pt>
                <pt idx="60">
                  <v>97.982</v>
                </pt>
                <pt idx="61">
                  <v>96.7577</v>
                </pt>
                <pt idx="62">
                  <v>96.2903</v>
                </pt>
                <pt idx="63">
                  <v>96.9738</v>
                </pt>
                <pt idx="64">
                  <v>97.5252</v>
                </pt>
                <pt idx="65">
                  <v>97.83029999999999</v>
                </pt>
                <pt idx="66">
                  <v>97.788</v>
                </pt>
                <pt idx="67">
                  <v>98.3943</v>
                </pt>
                <pt idx="68">
                  <v>97.6443</v>
                </pt>
                <pt idx="69">
                  <v>98.5802</v>
                </pt>
                <pt idx="70">
                  <v>98.6815</v>
                </pt>
                <pt idx="71">
                  <v>99.1374</v>
                </pt>
                <pt idx="72">
                  <v>99.03100000000001</v>
                </pt>
                <pt idx="73">
                  <v>98.8052</v>
                </pt>
                <pt idx="74">
                  <v>98.738</v>
                </pt>
                <pt idx="75">
                  <v>99.14239999999999</v>
                </pt>
                <pt idx="76">
                  <v>98.4918</v>
                </pt>
                <pt idx="77">
                  <v>98.2089</v>
                </pt>
                <pt idx="78">
                  <v>99.0192</v>
                </pt>
                <pt idx="79">
                  <v>98.20440000000001</v>
                </pt>
                <pt idx="80">
                  <v>98.50069999999999</v>
                </pt>
                <pt idx="81">
                  <v>98.9618</v>
                </pt>
                <pt idx="82">
                  <v>99.5705</v>
                </pt>
                <pt idx="83">
                  <v>98.06229999999999</v>
                </pt>
                <pt idx="84">
                  <v>99.6784</v>
                </pt>
                <pt idx="85">
                  <v>99.86109999999999</v>
                </pt>
                <pt idx="86">
                  <v>99.1181</v>
                </pt>
                <pt idx="87">
                  <v>99.8379</v>
                </pt>
                <pt idx="88">
                  <v>99.7302</v>
                </pt>
                <pt idx="89">
                  <v>99.85469999999999</v>
                </pt>
                <pt idx="90">
                  <v>99.67230000000001</v>
                </pt>
                <pt idx="91">
                  <v>98.8986</v>
                </pt>
                <pt idx="92">
                  <v>100.5907</v>
                </pt>
                <pt idx="93">
                  <v>100.9254</v>
                </pt>
                <pt idx="94">
                  <v>101.0463</v>
                </pt>
                <pt idx="95">
                  <v>100.7862</v>
                </pt>
                <pt idx="96">
                  <v>98.8985</v>
                </pt>
                <pt idx="97">
                  <v>101.6534</v>
                </pt>
                <pt idx="98">
                  <v>100.9211</v>
                </pt>
                <pt idx="99">
                  <v>101.8799</v>
                </pt>
                <pt idx="100">
                  <v>102.6071</v>
                </pt>
                <pt idx="101">
                  <v>102.526</v>
                </pt>
                <pt idx="102">
                  <v>102.3049</v>
                </pt>
                <pt idx="103">
                  <v>102.5545</v>
                </pt>
                <pt idx="104">
                  <v>101.808</v>
                </pt>
                <pt idx="105">
                  <v>101.6241</v>
                </pt>
                <pt idx="106">
                  <v>101.2587</v>
                </pt>
                <pt idx="107">
                  <v>102.2492</v>
                </pt>
                <pt idx="108">
                  <v>101.886</v>
                </pt>
                <pt idx="109">
                  <v>99.9239</v>
                </pt>
                <pt idx="110">
                  <v>99.9135</v>
                </pt>
                <pt idx="111">
                  <v>99.5545</v>
                </pt>
                <pt idx="112">
                  <v>100.355</v>
                </pt>
                <pt idx="113">
                  <v>101.3191</v>
                </pt>
                <pt idx="114">
                  <v>100.4851</v>
                </pt>
                <pt idx="115">
                  <v>100.7826</v>
                </pt>
                <pt idx="116">
                  <v>100.3095</v>
                </pt>
                <pt idx="117">
                  <v>99.24120000000001</v>
                </pt>
                <pt idx="118">
                  <v>98.878</v>
                </pt>
                <pt idx="119">
                  <v>99.815</v>
                </pt>
                <pt idx="120">
                  <v>101.9039</v>
                </pt>
                <pt idx="121">
                  <v>101.6834</v>
                </pt>
                <pt idx="122">
                  <v>98.46380000000001</v>
                </pt>
                <pt idx="123">
                  <v>87.7877</v>
                </pt>
                <pt idx="124">
                  <v>91.2971</v>
                </pt>
                <pt idx="125">
                  <v>92.8014</v>
                </pt>
                <pt idx="126">
                  <v>94.2406</v>
                </pt>
                <pt idx="127">
                  <v>95.5668</v>
                </pt>
                <pt idx="128">
                  <v>95.89830000000001</v>
                </pt>
                <pt idx="129">
                  <v>97.6746</v>
                </pt>
                <pt idx="130">
                  <v>98.09950000000001</v>
                </pt>
                <pt idx="131">
                  <v>99.59529999999999</v>
                </pt>
                <pt idx="132">
                  <v>100.154</v>
                </pt>
                <pt idx="133">
                  <v>96.5506</v>
                </pt>
                <pt idx="134">
                  <v>100.3631</v>
                </pt>
                <pt idx="135">
                  <v>99.7968</v>
                </pt>
                <pt idx="136">
                  <v>99.53700000000001</v>
                </pt>
                <pt idx="137">
                  <v>99.3171</v>
                </pt>
                <pt idx="138">
                  <v>100.2892</v>
                </pt>
                <pt idx="139">
                  <v>100.8316</v>
                </pt>
                <pt idx="140">
                  <v>101.9342</v>
                </pt>
                <pt idx="141">
                  <v>102.6188</v>
                </pt>
                <pt idx="142">
                  <v>104.224</v>
                </pt>
                <pt idx="143">
                  <v>104.6281</v>
                </pt>
                <pt idx="144">
                  <v>103.2955</v>
                </pt>
                <pt idx="145">
                  <v>105.1746</v>
                </pt>
                <pt idx="146">
                  <v>104.853</v>
                </pt>
                <pt idx="147">
                  <v>104.5336</v>
                </pt>
                <pt idx="148">
                  <v>104.6565</v>
                </pt>
                <pt idx="149">
                  <v>103.5377</v>
                </pt>
                <pt idx="150">
                  <v>103.7727</v>
                </pt>
                <pt idx="151">
                  <v>103.505</v>
                </pt>
                <pt idx="152">
                  <v>103.809</v>
                </pt>
                <pt idx="153">
                  <v>103.4263</v>
                </pt>
                <pt idx="154">
                  <v>102.9695</v>
                </pt>
                <pt idx="155">
                  <v>101.2421</v>
                </pt>
                <pt idx="156">
                  <v>103.9557</v>
                </pt>
                <pt idx="157">
                  <v>103.8825</v>
                </pt>
                <pt idx="158">
                  <v>102.0475</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numCache>
            </numRef>
          </cat>
          <val>
            <numRef>
              <f>Construction!$D$20:$D$620</f>
              <numCache>
                <formatCode>0.0%</formatCode>
                <ptCount val="601"/>
                <pt idx="0">
                  <v>0.1175147857517852</v>
                </pt>
                <pt idx="1">
                  <v>0.1150865619889586</v>
                </pt>
                <pt idx="2">
                  <v>0.1007607221691832</v>
                </pt>
                <pt idx="3">
                  <v>0.1001595764794858</v>
                </pt>
                <pt idx="4">
                  <v>0.09363941171531044</v>
                </pt>
                <pt idx="5">
                  <v>0.08732267274152741</v>
                </pt>
                <pt idx="6">
                  <v>0.08070356882096541</v>
                </pt>
                <pt idx="7">
                  <v>0.06958792160928713</v>
                </pt>
                <pt idx="8">
                  <v>0.05320595771297745</v>
                </pt>
                <pt idx="9">
                  <v>0.05305253679969451</v>
                </pt>
                <pt idx="10">
                  <v>0.06449639876529092</v>
                </pt>
                <pt idx="11">
                  <v>0.05423799682731154</v>
                </pt>
                <pt idx="12">
                  <v>0.02248182870129774</v>
                </pt>
                <pt idx="13">
                  <v>0.01877435352461917</v>
                </pt>
                <pt idx="14">
                  <v>0.01136344803584155</v>
                </pt>
                <pt idx="15">
                  <v>0.01155575842484208</v>
                </pt>
                <pt idx="16">
                  <v>0.002835459699589368</v>
                </pt>
                <pt idx="17">
                  <v>-0.02297831005345271</v>
                </pt>
                <pt idx="18">
                  <v>-0.03655068539331953</v>
                </pt>
                <pt idx="19">
                  <v>-0.04186924183901741</v>
                </pt>
                <pt idx="20">
                  <v>-0.05843355359315001</v>
                </pt>
                <pt idx="21">
                  <v>-0.09421548652093086</v>
                </pt>
                <pt idx="22">
                  <v>-0.1430529526427992</v>
                </pt>
                <pt idx="23">
                  <v>-0.1504502802443478</v>
                </pt>
                <pt idx="24">
                  <v>-0.1657161289623056</v>
                </pt>
                <pt idx="25">
                  <v>-0.1986181088087108</v>
                </pt>
                <pt idx="26">
                  <v>-0.1972828224343989</v>
                </pt>
                <pt idx="27">
                  <v>-0.201246894317076</v>
                </pt>
                <pt idx="28">
                  <v>-0.2006964696617323</v>
                </pt>
                <pt idx="29">
                  <v>-0.1756886782863214</v>
                </pt>
                <pt idx="30">
                  <v>-0.1543030809258015</v>
                </pt>
                <pt idx="31">
                  <v>-0.13916771344288</v>
                </pt>
                <pt idx="32">
                  <v>-0.1187309670372594</v>
                </pt>
                <pt idx="33">
                  <v>-0.08622015901252715</v>
                </pt>
                <pt idx="34">
                  <v>-0.04053056946766034</v>
                </pt>
                <pt idx="35">
                  <v>-0.01225336340551705</v>
                </pt>
                <pt idx="36">
                  <v>0.03572206030950783</v>
                </pt>
                <pt idx="37">
                  <v>0.06098995993766957</v>
                </pt>
                <pt idx="38">
                  <v>0.0826323122383399</v>
                </pt>
                <pt idx="39">
                  <v>0.09517067933113367</v>
                </pt>
                <pt idx="40">
                  <v>0.1095716311474429</v>
                </pt>
                <pt idx="41">
                  <v>0.1190766579952026</v>
                </pt>
                <pt idx="42">
                  <v>0.09412298585552555</v>
                </pt>
                <pt idx="43">
                  <v>0.08962725875647269</v>
                </pt>
                <pt idx="44">
                  <v>0.08287751738448103</v>
                </pt>
                <pt idx="45">
                  <v>0.08288900294549374</v>
                </pt>
                <pt idx="46">
                  <v>0.08977551223669758</v>
                </pt>
                <pt idx="47">
                  <v>0.04699797688184321</v>
                </pt>
                <pt idx="48">
                  <v>0.05208714024220968</v>
                </pt>
                <pt idx="49">
                  <v>0.08987625168469239</v>
                </pt>
                <pt idx="50">
                  <v>0.1015073687121606</v>
                </pt>
                <pt idx="51">
                  <v>0.1053648865541454</v>
                </pt>
                <pt idx="52">
                  <v>0.1053740731034268</v>
                </pt>
                <pt idx="53">
                  <v>0.08295457461534154</v>
                </pt>
                <pt idx="54">
                  <v>0.1026819070390147</v>
                </pt>
                <pt idx="55">
                  <v>0.09036275992037643</v>
                </pt>
                <pt idx="56">
                  <v>0.09089213977109072</v>
                </pt>
                <pt idx="57">
                  <v>0.091207139105076</v>
                </pt>
                <pt idx="58">
                  <v>0.09461154102585217</v>
                </pt>
                <pt idx="59">
                  <v>0.09210546382916417</v>
                </pt>
                <pt idx="60">
                  <v>0.0648537841685861</v>
                </pt>
                <pt idx="61">
                  <v>0.06152545639300609</v>
                </pt>
                <pt idx="62">
                  <v>0.06042878316478998</v>
                </pt>
                <pt idx="63">
                  <v>0.04441929929367115</v>
                </pt>
                <pt idx="64">
                  <v>0.04521333346350119</v>
                </pt>
                <pt idx="65">
                  <v>0.04273193332831549</v>
                </pt>
                <pt idx="66">
                  <v>0.03613956337699008</v>
                </pt>
                <pt idx="67">
                  <v>0.04480274537863577</v>
                </pt>
                <pt idx="68">
                  <v>0.05509535065667779</v>
                </pt>
                <pt idx="69">
                  <v>0.05739117684488927</v>
                </pt>
                <pt idx="70">
                  <v>0.06297213359558611</v>
                </pt>
                <pt idx="71">
                  <v>0.05895652343919108</v>
                </pt>
                <pt idx="72">
                  <v>0.06845864787975166</v>
                </pt>
                <pt idx="73">
                  <v>0.06251882537888</v>
                </pt>
                <pt idx="74">
                  <v>0.02161648066637265</v>
                </pt>
                <pt idx="75">
                  <v>0.02985898205446371</v>
                </pt>
                <pt idx="76">
                  <v>0.02536286997526165</v>
                </pt>
                <pt idx="77">
                  <v>0.02778033988207185</v>
                </pt>
                <pt idx="78">
                  <v>0.01603950485469295</v>
                </pt>
                <pt idx="79">
                  <v>0.01302789088326904</v>
                </pt>
                <pt idx="80">
                  <v>0.01192618017158953</v>
                </pt>
                <pt idx="81">
                  <v>0.002893753965502529</v>
                </pt>
                <pt idx="82">
                  <v>-0.00985449394797832</v>
                </pt>
                <pt idx="83">
                  <v>0.01177098924575206</v>
                </pt>
                <pt idx="84">
                  <v>-0.009505302344352881</v>
                </pt>
                <pt idx="85">
                  <v>-0.03466259693760643</v>
                </pt>
                <pt idx="86">
                  <v>-0.06300851815226279</v>
                </pt>
                <pt idx="87">
                  <v>-0.1078393961412</v>
                </pt>
                <pt idx="88">
                  <v>-0.1290871234302818</v>
                </pt>
                <pt idx="89">
                  <v>-0.1373440070753643</v>
                </pt>
                <pt idx="90">
                  <v>-0.1158686602924235</v>
                </pt>
                <pt idx="91">
                  <v>-0.09430571581217623</v>
                </pt>
                <pt idx="92">
                  <v>-0.08317226532553951</v>
                </pt>
                <pt idx="93">
                  <v>-0.0624966573921528</v>
                </pt>
                <pt idx="94">
                  <v>-0.06525157130465427</v>
                </pt>
                <pt idx="95">
                  <v>-0.06667092440216833</v>
                </pt>
                <pt idx="96">
                  <v>-0.06050676082386671</v>
                </pt>
                <pt idx="97">
                  <v>-0.04398763669033395</v>
                </pt>
                <pt idx="98">
                  <v>0.002661660010174343</v>
                </pt>
                <pt idx="99">
                  <v>0.04450469611479271</v>
                </pt>
                <pt idx="100">
                  <v>0.04896653433006658</v>
                </pt>
                <pt idx="101">
                  <v>0.06165701242035625</v>
                </pt>
                <pt idx="102">
                  <v>0.04279412791587359</v>
                </pt>
                <pt idx="103">
                  <v>0.01141085603885462</v>
                </pt>
                <pt idx="104">
                  <v>-0.04029346670319862</v>
                </pt>
                <pt idx="105">
                  <v>-0.07438090123082314</v>
                </pt>
                <pt idx="106">
                  <v>-0.09215717918894997</v>
                </pt>
                <pt idx="107">
                  <v>-0.1200747403568601</v>
                </pt>
                <pt idx="108">
                  <v>-0.08084775023163732</v>
                </pt>
                <pt idx="109">
                  <v>-0.1033549290203675</v>
                </pt>
                <pt idx="110">
                  <v>-0.1109505522229074</v>
                </pt>
                <pt idx="111">
                  <v>-0.1053115029975809</v>
                </pt>
                <pt idx="112">
                  <v>-0.09846529463380162</v>
                </pt>
                <pt idx="113">
                  <v>-0.1029153844078272</v>
                </pt>
                <pt idx="114">
                  <v>-0.1000545671881656</v>
                </pt>
                <pt idx="115">
                  <v>-0.09180889328346446</v>
                </pt>
                <pt idx="116">
                  <v>-0.07629019088079717</v>
                </pt>
                <pt idx="117">
                  <v>-0.0667209822502285</v>
                </pt>
                <pt idx="118">
                  <v>-0.05520035799010629</v>
                </pt>
                <pt idx="119">
                  <v>0.01328845128361391</v>
                </pt>
                <pt idx="120">
                  <v>-0.02737201396559458</v>
                </pt>
                <pt idx="121">
                  <v>0.004864969715172337</v>
                </pt>
                <pt idx="122">
                  <v>0.02662698106157954</v>
                </pt>
                <pt idx="123">
                  <v>0.03986802094109525</v>
                </pt>
                <pt idx="124">
                  <v>0.06682108835691007</v>
                </pt>
                <pt idx="125">
                  <v>0.09122642047073579</v>
                </pt>
                <pt idx="126">
                  <v>0.09577779185004605</v>
                </pt>
                <pt idx="127">
                  <v>0.1053579966012531</v>
                </pt>
                <pt idx="128">
                  <v>0.1400208183201216</v>
                </pt>
                <pt idx="129">
                  <v>0.1438548340855134</v>
                </pt>
                <pt idx="130">
                  <v>0.1554130333229524</v>
                </pt>
                <pt idx="131">
                  <v>0.1223176066496572</v>
                </pt>
                <pt idx="132">
                  <v>0.1540810861895162</v>
                </pt>
                <pt idx="133">
                  <v>0.132846285808579</v>
                </pt>
                <pt idx="134">
                  <v>0.1250888731574655</v>
                </pt>
                <pt idx="135">
                  <v>0.1073566319724457</v>
                </pt>
                <pt idx="136">
                  <v>0.09580414401872057</v>
                </pt>
                <pt idx="137">
                  <v>0.06963539377269451</v>
                </pt>
                <pt idx="138">
                  <v>0.06885556642332183</v>
                </pt>
                <pt idx="139">
                  <v>0.05886215535269482</v>
                </pt>
                <pt idx="140">
                  <v>0.03927173732872975</v>
                </pt>
                <pt idx="141">
                  <v>0.03978732032622891</v>
                </pt>
                <pt idx="142">
                  <v>0.04599439020897723</v>
                </pt>
                <pt idx="143">
                  <v>0.02278788386259455</v>
                </pt>
                <pt idx="144">
                  <v>0.001798818893876487</v>
                </pt>
                <pt idx="145">
                  <v>0.0355086016289432</v>
                </pt>
                <pt idx="146">
                  <v>0.02765918533360265</v>
                </pt>
                <pt idx="147">
                  <v>0.02922940173173964</v>
                </pt>
                <pt idx="148">
                  <v>0.02709508079732279</v>
                </pt>
                <pt idx="149">
                  <v>0.02714289589323497</v>
                </pt>
                <pt idx="150">
                  <v>0.02456550124490067</v>
                </pt>
                <pt idx="151">
                  <v>0.02132736562546333</v>
                </pt>
                <pt idx="152">
                  <v>0.0255865095702737</v>
                </pt>
                <pt idx="153">
                  <v>0.02693409819726124</v>
                </pt>
                <pt idx="154">
                  <v>0.01405738106454392</v>
                </pt>
                <pt idx="155">
                  <v>0.05294080726544351</v>
                </pt>
                <pt idx="156">
                  <v>0.04129173416019436</v>
                </pt>
                <pt idx="157">
                  <v>0.01706055728145809</v>
                </pt>
                <pt idx="158">
                  <v>0.02771959789250826</v>
                </pt>
                <pt idx="159">
                  <v>0.02940180661543958</v>
                </pt>
                <pt idx="160">
                  <v>0.01368296524779484</v>
                </pt>
                <pt idx="161">
                  <v>0.02268222829323424</v>
                </pt>
                <pt idx="162">
                  <v>0.03229057826467818</v>
                </pt>
                <pt idx="163">
                  <v>0.03401972042925585</v>
                </pt>
                <pt idx="164">
                  <v>0.03229160763495795</v>
                </pt>
                <pt idx="165">
                  <v>0.03555618267198202</v>
                </pt>
                <pt idx="166">
                  <v>0.04617219212693058</v>
                </pt>
                <pt idx="167">
                  <v>0.0345499641049432</v>
                </pt>
                <pt idx="168">
                  <v>0.06483586932345962</v>
                </pt>
                <pt idx="169">
                  <v>0.05774477529563278</v>
                </pt>
                <pt idx="170">
                  <v>0.05321890297801527</v>
                </pt>
                <pt idx="171">
                  <v>0.05515577362621257</v>
                </pt>
                <pt idx="172">
                  <v>0.06863632174119619</v>
                </pt>
                <pt idx="173">
                  <v>0.06755746529100295</v>
                </pt>
                <pt idx="174">
                  <v>0.06449337225292288</v>
                </pt>
                <pt idx="175">
                  <v>0.0693114175675901</v>
                </pt>
                <pt idx="176">
                  <v>0.08233634419584443</v>
                </pt>
                <pt idx="177">
                  <v>0.07947697902924282</v>
                </pt>
                <pt idx="178">
                  <v>0.0822621067266833</v>
                </pt>
                <pt idx="179">
                  <v>0.05225613636022017</v>
                </pt>
                <pt idx="180">
                  <v>0.04195182126243725</v>
                </pt>
                <pt idx="181">
                  <v>0.05071404517043453</v>
                </pt>
                <pt idx="182">
                  <v>0.04146456683251822</v>
                </pt>
                <pt idx="183">
                  <v>0.03497383932952699</v>
                </pt>
                <pt idx="184">
                  <v>0.02499899780488906</v>
                </pt>
                <pt idx="185">
                  <v>0.02063047645539933</v>
                </pt>
                <pt idx="186">
                  <v>0.00689372001555955</v>
                </pt>
                <pt idx="187">
                  <v>0.004657026307841304</v>
                </pt>
                <pt idx="188">
                  <v>-0.003353515765534655</v>
                </pt>
                <pt idx="189">
                  <v>0.001311791019422017</v>
                </pt>
                <pt idx="190">
                  <v>-0.007788673634352069</v>
                </pt>
                <pt idx="191">
                  <v>0.02922358122786671</v>
                </pt>
                <pt idx="192">
                  <v>-0.00593493154723295</v>
                </pt>
                <pt idx="193">
                  <v>-0.007833054503830168</v>
                </pt>
                <pt idx="194">
                  <v>-0.00450883505463148</v>
                </pt>
                <pt idx="195">
                  <v>-0.01411539375572059</v>
                </pt>
                <pt idx="196">
                  <v>-0.004330553751487465</v>
                </pt>
                <pt idx="197">
                  <v>-0.00505869819989031</v>
                </pt>
                <pt idx="198">
                  <v>0.0006212187333814547</v>
                </pt>
                <pt idx="199">
                  <v>-0.005405437520794823</v>
                </pt>
                <pt idx="200">
                  <v>-0.004736520681149998</v>
                </pt>
                <pt idx="201">
                  <v>-0.00933544452926929</v>
                </pt>
                <pt idx="202">
                  <v>-0.02217928629493051</v>
                </pt>
                <pt idx="203">
                  <v>-0.01807720109874226</v>
                </pt>
                <pt idx="204">
                  <v>0.0113084625449438</v>
                </pt>
                <pt idx="205">
                  <v>0.006361354769773597</v>
                </pt>
                <pt idx="206">
                  <v>-0.003558786249143347</v>
                </pt>
                <pt idx="207">
                  <v>-0.0006479744533386531</v>
                </pt>
                <pt idx="208">
                  <v>0.001120080750561369</v>
                </pt>
                <pt idx="209">
                  <v>-0.006944775280363612</v>
                </pt>
                <pt idx="210">
                  <v>-0.007419014650945317</v>
                </pt>
                <pt idx="211">
                  <v>-0.009180285563750055</v>
                </pt>
                <pt idx="212">
                  <v>-0.02326375097809308</v>
                </pt>
                <pt idx="213">
                  <v>-0.02346578124925663</v>
                </pt>
                <pt idx="214">
                  <v>-0.01761479739368474</v>
                </pt>
                <pt idx="215">
                  <v>-0.07433612683231362</v>
                </pt>
                <pt idx="216">
                  <v>-0.08110682322029732</v>
                </pt>
                <pt idx="217">
                  <v>-0.09022915321836283</v>
                </pt>
                <pt idx="218">
                  <v>-0.07352032914303086</v>
                </pt>
                <pt idx="219">
                  <v>-0.06740915609592422</v>
                </pt>
                <pt idx="220">
                  <v>-0.05571190606128715</v>
                </pt>
                <pt idx="221">
                  <v>-0.04952668108271486</v>
                </pt>
                <pt idx="222">
                  <v>-0.03927757215454591</v>
                </pt>
                <pt idx="223">
                  <v>-0.03121567246695202</v>
                </pt>
                <pt idx="224">
                  <v>-0.03230256197350991</v>
                </pt>
                <pt idx="225">
                  <v>-0.02303714781185457</v>
                </pt>
                <pt idx="226">
                  <v>-0.01722911484931876</v>
                </pt>
                <pt idx="227">
                  <v>0.02116215624697793</v>
                </pt>
                <pt idx="228">
                  <v>0.03334252422822025</v>
                </pt>
                <pt idx="229">
                  <v>0.05395086986472225</v>
                </pt>
                <pt idx="230">
                  <v>0.05254062591340999</v>
                </pt>
                <pt idx="231">
                  <v>0.0615415345178815</v>
                </pt>
                <pt idx="232">
                  <v>0.03933130362300775</v>
                </pt>
                <pt idx="233">
                  <v>0.04835343433043374</v>
                </pt>
                <pt idx="234">
                  <v>0.04082713945107295</v>
                </pt>
                <pt idx="235">
                  <v>0.03620436647959583</v>
                </pt>
                <pt idx="236">
                  <v>0.04715239920133579</v>
                </pt>
                <pt idx="237">
                  <v>0.03404987316684014</v>
                </pt>
                <pt idx="238">
                  <v>0.03935151675493796</v>
                </pt>
                <pt idx="239">
                  <v>0.04071450377874569</v>
                </pt>
                <pt idx="240">
                  <v>0.05059641459461593</v>
                </pt>
                <pt idx="241">
                  <v>0.03458432711821786</v>
                </pt>
                <pt idx="242">
                  <v>0.03086983635150073</v>
                </pt>
                <pt idx="243">
                  <v>0.03281648604150469</v>
                </pt>
                <pt idx="244">
                  <v>0.03637216075324774</v>
                </pt>
                <pt idx="245">
                  <v>0.03531940810141326</v>
                </pt>
                <pt idx="246">
                  <v>0.03613775086322408</v>
                </pt>
                <pt idx="247">
                  <v>0.04245988418393629</v>
                </pt>
                <pt idx="248">
                  <v>0.05223085287244443</v>
                </pt>
                <pt idx="249">
                  <v>0.06427573470467751</v>
                </pt>
                <pt idx="250">
                  <v>0.07432679873542512</v>
                </pt>
                <pt idx="251">
                  <v>0.06687947278999128</v>
                </pt>
                <pt idx="252">
                  <v>0.03996533648769725</v>
                </pt>
                <pt idx="253">
                  <v>0.06787580242933412</v>
                </pt>
                <pt idx="254">
                  <v>0.08101392648394984</v>
                </pt>
                <pt idx="255">
                  <v>0.07695101556514754</v>
                </pt>
                <pt idx="256">
                  <v>0.07903331766928275</v>
                </pt>
                <pt idx="257">
                  <v>0.08392023828069603</v>
                </pt>
                <pt idx="258">
                  <v>0.07992941100131629</v>
                </pt>
                <pt idx="259">
                  <v>0.08300379316860931</v>
                </pt>
                <pt idx="260">
                  <v>0.0780484073000319</v>
                </pt>
                <pt idx="261">
                  <v>0.07164466836038333</v>
                </pt>
                <pt idx="262">
                  <v>0.06553771324344627</v>
                </pt>
                <pt idx="263">
                  <v>0.07330149060766777</v>
                </pt>
                <pt idx="264">
                  <v>0.06673405310186768</v>
                </pt>
                <pt idx="265">
                  <v>0.04689140622051735</v>
                </pt>
                <pt idx="266">
                  <v>0.02278726169228388</v>
                </pt>
                <pt idx="267">
                  <v>0.01020860737201559</v>
                </pt>
                <pt idx="268">
                  <v>0.01092222491853292</v>
                </pt>
                <pt idx="269">
                  <v>-0.001750421248741116</v>
                </pt>
                <pt idx="270">
                  <v>0.007702748375813437</v>
                </pt>
                <pt idx="271">
                  <v>0.01506628805006421</v>
                </pt>
                <pt idx="272">
                  <v>0.009874699458760954</v>
                </pt>
                <pt idx="273">
                  <v>0.008561245671814714</v>
                </pt>
                <pt idx="274">
                  <v>0.00483641566113401</v>
                </pt>
                <pt idx="275">
                  <v>-0.01102094292845486</v>
                </pt>
                <pt idx="276">
                  <v>0.01294259301263211</v>
                </pt>
                <pt idx="277">
                  <v>0.02508903192426639</v>
                </pt>
                <pt idx="278">
                  <v>0.03920751450645991</v>
                </pt>
                <pt idx="279">
                  <v>0.05479203544097799</v>
                </pt>
                <pt idx="280">
                  <v>0.06949656755476591</v>
                </pt>
                <pt idx="281">
                  <v>0.06823356236871653</v>
                </pt>
                <pt idx="282">
                  <v>0.06723176715105866</v>
                </pt>
                <pt idx="283">
                  <v>0.05377465479616883</v>
                </pt>
                <pt idx="284">
                  <v>0.05623874485685202</v>
                </pt>
                <pt idx="285">
                  <v>0.0630648568889486</v>
                </pt>
                <pt idx="286">
                  <v>0.05388500871082881</v>
                </pt>
                <pt idx="287">
                  <v>0.05742735676200891</v>
                </pt>
                <pt idx="288">
                  <v>0.06717485363901281</v>
                </pt>
                <pt idx="289">
                  <v>0.06465121811214597</v>
                </pt>
                <pt idx="290">
                  <v>0.05623251892069751</v>
                </pt>
                <pt idx="291">
                  <v>0.0505414097005964</v>
                </pt>
                <pt idx="292">
                  <v>0.03253590913873181</v>
                </pt>
                <pt idx="293">
                  <v>0.03714365317167908</v>
                </pt>
                <pt idx="294">
                  <v>0.03659883451209042</v>
                </pt>
                <pt idx="295">
                  <v>0.03790311912224158</v>
                </pt>
                <pt idx="296">
                  <v>0.04255496616931812</v>
                </pt>
                <pt idx="297">
                  <v>0.03840982174719684</v>
                </pt>
                <pt idx="298">
                  <v>0.05673888820106471</v>
                </pt>
                <pt idx="299">
                  <v>0.07235808694208895</v>
                </pt>
                <pt idx="300">
                  <v>0.05862927414223006</v>
                </pt>
                <pt idx="301">
                  <v>0.04190799456757217</v>
                </pt>
                <pt idx="302">
                  <v>0.04776447795631664</v>
                </pt>
                <pt idx="303">
                  <v>0.0563314517433688</v>
                </pt>
                <pt idx="304">
                  <v>0.05372662730621577</v>
                </pt>
                <pt idx="305">
                  <v>0.05941133685690745</v>
                </pt>
                <pt idx="306">
                  <v>0.05481943887023338</v>
                </pt>
                <pt idx="307">
                  <v>0.04715156695921166</v>
                </pt>
                <pt idx="308">
                  <v>0.04985094244378206</v>
                </pt>
                <pt idx="309">
                  <v>0.04831753475765764</v>
                </pt>
                <pt idx="310">
                  <v>0.04779690883017304</v>
                </pt>
                <pt idx="311">
                  <v>0.03551591834070705</v>
                </pt>
                <pt idx="312">
                  <v>0.03005062620522047</v>
                </pt>
                <pt idx="313">
                  <v>0.02704769079722104</v>
                </pt>
                <pt idx="314">
                  <v>0.02632437208878798</v>
                </pt>
                <pt idx="315">
                  <v>0.01533794373427803</v>
                </pt>
                <pt idx="316">
                  <v>0.02040079569734027</v>
                </pt>
                <pt idx="317">
                  <v>0.02131521806790836</v>
                </pt>
                <pt idx="318">
                  <v>0.01755706593890885</v>
                </pt>
                <pt idx="319">
                  <v>0.02129244578507313</v>
                </pt>
                <pt idx="320">
                  <v>0.02457292677837544</v>
                </pt>
                <pt idx="321">
                  <v>0.02862185660817495</v>
                </pt>
                <pt idx="322">
                  <v>0.02689047817122209</v>
                </pt>
                <pt idx="323">
                  <v>0.03703867112793493</v>
                </pt>
                <pt idx="324">
                  <v>0.03701838735463615</v>
                </pt>
                <pt idx="325">
                  <v>0.04852467767325575</v>
                </pt>
                <pt idx="326">
                  <v>0.04994577016326896</v>
                </pt>
                <pt idx="327">
                  <v>0.03181208102185952</v>
                </pt>
                <pt idx="328">
                  <v>0.02671409179849678</v>
                </pt>
                <pt idx="329">
                  <v>0.02472445475787779</v>
                </pt>
                <pt idx="330">
                  <v>0.01708286593299376</v>
                </pt>
                <pt idx="331">
                  <v>0.01806794903732592</v>
                </pt>
                <pt idx="332">
                  <v>0.002179118010618553</v>
                </pt>
                <pt idx="333">
                  <v>-0.005998061392751028</v>
                </pt>
                <pt idx="334">
                  <v>-0.03190338389812931</v>
                </pt>
                <pt idx="335">
                  <v>-0.02792405518302461</v>
                </pt>
                <pt idx="336">
                  <v>-0.04129483253157052</v>
                </pt>
                <pt idx="337">
                  <v>-0.04244428224729058</v>
                </pt>
                <pt idx="338">
                  <v>-0.04860285964098417</v>
                </pt>
                <pt idx="339">
                  <v>-0.03981865913151415</v>
                </pt>
                <pt idx="340">
                  <v>-0.04193334862881305</v>
                </pt>
                <pt idx="341">
                  <v>-0.04653270146822912</v>
                </pt>
                <pt idx="342">
                  <v>-0.05027145403795585</v>
                </pt>
                <pt idx="343">
                  <v>-0.05337126369907319</v>
                </pt>
                <pt idx="344">
                  <v>-0.05878070394772301</v>
                </pt>
                <pt idx="345">
                  <v>-0.05992804595705783</v>
                </pt>
                <pt idx="346">
                  <v>-0.03820246152849447</v>
                </pt>
                <pt idx="347">
                  <v>-0.04579615388050759</v>
                </pt>
                <pt idx="348">
                  <v>-0.03117303853691928</v>
                </pt>
                <pt idx="349">
                  <v>-0.01721052741034643</v>
                </pt>
                <pt idx="350">
                  <v>-0.01534766531322503</v>
                </pt>
                <pt idx="351">
                  <v>-0.004737024918610847</v>
                </pt>
                <pt idx="352">
                  <v>0.008187997298805099</v>
                </pt>
                <pt idx="353">
                  <v>-0.003917136508996632</v>
                </pt>
                <pt idx="354">
                  <v>0.0109863995150574</v>
                </pt>
                <pt idx="355">
                  <v>0.02145737581603019</v>
                </pt>
                <pt idx="356">
                  <v>0.02757845765652104</v>
                </pt>
                <pt idx="357">
                  <v>0.03134468697710172</v>
                </pt>
                <pt idx="358">
                  <v>0.0160447419088659</v>
                </pt>
                <pt idx="359">
                  <v>0.02004496872595465</v>
                </pt>
                <pt idx="360">
                  <v>0.009355862584017941</v>
                </pt>
                <pt idx="361">
                  <v>-0.008728357363073744</v>
                </pt>
                <pt idx="362">
                  <v>-0.01866210860196648</v>
                </pt>
                <pt idx="363">
                  <v>-0.0108510160804987</v>
                </pt>
                <pt idx="364">
                  <v>-0.01347819281187326</v>
                </pt>
                <pt idx="365">
                  <v>-0.006265357170486259</v>
                </pt>
                <pt idx="366">
                  <v>-0.002875832356970579</v>
                </pt>
                <pt idx="367">
                  <v>-0.01388092390206072</v>
                </pt>
                <pt idx="368">
                  <v>-0.004896466231283133</v>
                </pt>
                <pt idx="369">
                  <v>0.006739986169234193</v>
                </pt>
                <pt idx="370">
                  <v>0.0146182999458581</v>
                </pt>
                <pt idx="371">
                  <v>0.008616955672691566</v>
                </pt>
                <pt idx="372">
                  <v>0.01679211114831172</v>
                </pt>
                <pt idx="373">
                  <v>0.0221109492031965</v>
                </pt>
                <pt idx="374">
                  <v>0.03038312584239944</v>
                </pt>
                <pt idx="375">
                  <v>0.02878365401088495</v>
                </pt>
                <pt idx="376">
                  <v>0.01777856498419744</v>
                </pt>
                <pt idx="377">
                  <v>0.03415078094807377</v>
                </pt>
                <pt idx="378">
                  <v>0.02993800785307537</v>
                </pt>
                <pt idx="379">
                  <v>0.02440300966760182</v>
                </pt>
                <pt idx="380">
                  <v>0.03496626754441121</v>
                </pt>
                <pt idx="381">
                  <v>0.01950838400455884</v>
                </pt>
                <pt idx="382">
                  <v>0.02019762013663523</v>
                </pt>
                <pt idx="383">
                  <v>0.03377120594812853</v>
                </pt>
                <pt idx="384">
                  <v>0.04136338911639136</v>
                </pt>
                <pt idx="385">
                  <v>0.02917948918186836</v>
                </pt>
                <pt idx="386">
                  <v>0.05109672439155834</v>
                </pt>
                <pt idx="387">
                  <v>0.03992867243780204</v>
                </pt>
                <pt idx="388">
                  <v>0.03838575004939843</v>
                </pt>
                <pt idx="389">
                  <v>0.0343717569798307</v>
                </pt>
                <pt idx="390">
                  <v>0.03567957584346264</v>
                </pt>
                <pt idx="391">
                  <v>0.05876124695312888</v>
                </pt>
                <pt idx="392">
                  <v>0.06438376577529104</v>
                </pt>
                <pt idx="393">
                  <v>0.07533968588512353</v>
                </pt>
                <pt idx="394">
                  <v>0.07458404793589574</v>
                </pt>
                <pt idx="395">
                  <v>0.07601432821108585</v>
                </pt>
                <pt idx="396">
                  <v>0.05807912289099371</v>
                </pt>
                <pt idx="397">
                  <v>0.06603481423379649</v>
                </pt>
                <pt idx="398">
                  <v>0.04096387211650705</v>
                </pt>
                <pt idx="399">
                  <v>0.03269571509812706</v>
                </pt>
                <pt idx="400">
                  <v>0.03715791568612391</v>
                </pt>
                <pt idx="401">
                  <v>0.03265777864031915</v>
                </pt>
                <pt idx="402">
                  <v>0.0210184907813712</v>
                </pt>
                <pt idx="403">
                  <v>0.005491274133902902</v>
                </pt>
                <pt idx="404">
                  <v>-0.0259395557600031</v>
                </pt>
                <pt idx="405">
                  <v>-0.03445002214064898</v>
                </pt>
                <pt idx="406">
                  <v>-0.008564477369034916</v>
                </pt>
                <pt idx="407">
                  <v>-0.03556959861408858</v>
                </pt>
                <pt idx="408">
                  <v>-0.02470809282912199</v>
                </pt>
                <pt idx="409">
                  <v>-0.01132483053723207</v>
                </pt>
                <pt idx="410">
                  <v>-0.01017491197827576</v>
                </pt>
                <pt idx="411">
                  <v>-0.005470796991271284</v>
                </pt>
                <pt idx="412">
                  <v>0.003972418622227268</v>
                </pt>
                <pt idx="413">
                  <v>-0.003529640760261266</v>
                </pt>
                <pt idx="414">
                  <v>-0.0009588165464341039</v>
                </pt>
                <pt idx="415">
                  <v>0.00177838797298485</v>
                </pt>
                <pt idx="416">
                  <v>0.006794683686171541</v>
                </pt>
                <pt idx="417">
                  <v>0.007966136419550403</v>
                </pt>
                <pt idx="418">
                  <v>-0.01648788853662995</v>
                </pt>
                <pt idx="419">
                  <v>-0.0005181909622746476</v>
                </pt>
                <pt idx="420">
                  <v>-0.02298686150663525</v>
                </pt>
                <pt idx="421">
                  <v>-0.04653228378623871</v>
                </pt>
                <pt idx="422">
                  <v>-0.06082558798264503</v>
                </pt>
                <pt idx="423">
                  <v>-0.06805193272849086</v>
                </pt>
                <pt idx="424">
                  <v>-0.08337322168506842</v>
                </pt>
                <pt idx="425">
                  <v>-0.08097842971998799</v>
                </pt>
                <pt idx="426">
                  <v>-0.09561060077489858</v>
                </pt>
                <pt idx="427">
                  <v>-0.1207241522659754</v>
                </pt>
                <pt idx="428">
                  <v>-0.1297199092111894</v>
                </pt>
                <pt idx="429">
                  <v>-0.1724973125961002</v>
                </pt>
                <pt idx="430">
                  <v>-0.220503939146971</v>
                </pt>
                <pt idx="431">
                  <v>-0.2555929574345499</v>
                </pt>
                <pt idx="432">
                  <v>-0.2534964050467097</v>
                </pt>
                <pt idx="433">
                  <v>-0.2679070943543331</v>
                </pt>
                <pt idx="434">
                  <v>-0.2674320888436242</v>
                </pt>
                <pt idx="435">
                  <v>-0.2623882133028996</v>
                </pt>
                <pt idx="436">
                  <v>-0.2540266823722217</v>
                </pt>
                <pt idx="437">
                  <v>-0.2491779819169764</v>
                </pt>
                <pt idx="438">
                  <v>-0.2269851385406928</v>
                </pt>
                <pt idx="439">
                  <v>-0.2087312493393425</v>
                </pt>
                <pt idx="440">
                  <v>-0.2095195690445572</v>
                </pt>
                <pt idx="441">
                  <v>-0.1513385075804913</v>
                </pt>
                <pt idx="442">
                  <v>-0.1207056537687435</v>
                </pt>
                <pt idx="443">
                  <v>-0.06278518643484322</v>
                </pt>
                <pt idx="444">
                  <v>-0.04492971101029753</v>
                </pt>
                <pt idx="445">
                  <v>0.005322453365570397</v>
                </pt>
                <pt idx="446">
                  <v>0.05453750262657663</v>
                </pt>
                <pt idx="447">
                  <v>0.06130745926833189</v>
                </pt>
                <pt idx="448">
                  <v>0.0603220099817455</v>
                </pt>
                <pt idx="449">
                  <v>0.05000256241931424</v>
                </pt>
                <pt idx="450">
                  <v>0.04811475389990378</v>
                </pt>
                <pt idx="451">
                  <v>0.05262697682100704</v>
                </pt>
                <pt idx="452">
                  <v>0.07205351021845054</v>
                </pt>
                <pt idx="453">
                  <v>0.05948765270632898</v>
                </pt>
                <pt idx="454">
                  <v>0.06957171203709898</v>
                </pt>
                <pt idx="455">
                  <v>0.04528355126569412</v>
                </pt>
                <pt idx="456">
                  <v>0.03868676202361509</v>
                </pt>
                <pt idx="457">
                  <v>0.02973645534103813</v>
                </pt>
                <pt idx="458">
                  <v>0.0003996765516138151</v>
                </pt>
                <pt idx="459">
                  <v>0.009235855682679274</v>
                </pt>
                <pt idx="460">
                  <v>0.01439600043011093</v>
                </pt>
                <pt idx="461">
                  <v>0.02874783415086509</v>
                </pt>
                <pt idx="462">
                  <v>0.02001060302082144</v>
                </pt>
                <pt idx="463">
                  <v>0.02078564572103662</v>
                </pt>
                <pt idx="464">
                  <v>0.02260982582034503</v>
                </pt>
                <pt idx="465">
                  <v>0.01553679258330472</v>
                </pt>
                <pt idx="466">
                  <v>0.03686757619658073</v>
                </pt>
                <pt idx="467">
                  <v>0.05547055079593551</v>
                </pt>
                <pt idx="468">
                  <v>0.0713025573831864</v>
                </pt>
                <pt idx="469">
                  <v>0.05740560316314686</v>
                </pt>
                <pt idx="470">
                  <v>0.07217011775904623</v>
                </pt>
                <pt idx="471">
                  <v>0.04807799066666818</v>
                </pt>
                <pt idx="472">
                  <v>0.03708579530947963</v>
                </pt>
                <pt idx="473">
                  <v>0.02212808738725</v>
                </pt>
                <pt idx="474">
                  <v>0.03028707440472148</v>
                </pt>
                <pt idx="475">
                  <v>0.02609045535100734</v>
                </pt>
                <pt idx="476">
                  <v>0.02037362538308995</v>
                </pt>
                <pt idx="477">
                  <v>0.03352902246973496</v>
                </pt>
                <pt idx="478">
                  <v>0.03060336691762744</v>
                </pt>
                <pt idx="479">
                  <v>0.02266338294921635</v>
                </pt>
                <pt idx="480">
                  <v>0.02774186221236006</v>
                </pt>
                <pt idx="481">
                  <v>0.02740201787359649</v>
                </pt>
                <pt idx="482">
                  <v>0.007776511694469483</v>
                </pt>
                <pt idx="483">
                  <v>0.0183487941846521</v>
                </pt>
                <pt idx="484">
                  <v>0.0329416703942603</v>
                </pt>
                <pt idx="485">
                  <v>0.03800655140554623</v>
                </pt>
                <pt idx="486">
                  <v>0.03692863650901289</v>
                </pt>
                <pt idx="487">
                  <v>0.05094552856633023</v>
                </pt>
                <pt idx="488">
                  <v>0.05209021181490334</v>
                </pt>
                <pt idx="489">
                  <v>0.04536663348847956</v>
                </pt>
                <pt idx="490">
                  <v>0.02361285708093111</v>
                </pt>
                <pt idx="491">
                  <v>0.01392643856585385</v>
                </pt>
                <pt idx="492">
                  <v>0.005086427833715029</v>
                </pt>
                <pt idx="493">
                  <v>0.02346350961979366</v>
                </pt>
                <pt idx="494">
                  <v>0.02224925380332553</v>
                </pt>
                <pt idx="495">
                  <v>0.03933092175748328</v>
                </pt>
                <pt idx="496">
                  <v>0.03872516369563785</v>
                </pt>
                <pt idx="497">
                  <v>0.04811261091485191</v>
                </pt>
                <pt idx="498">
                  <v>0.04298737735343094</v>
                </pt>
                <pt idx="499">
                  <v>0.03561460345476323</v>
                </pt>
                <pt idx="500">
                  <v>0.0312970008658917</v>
                </pt>
                <pt idx="501">
                  <v>0.02290680703757444</v>
                </pt>
                <pt idx="502">
                  <v>0.04831088699474574</v>
                </pt>
                <pt idx="503">
                  <v>0.04172004690727728</v>
                </pt>
                <pt idx="504">
                  <v>0.02289625221609889</v>
                </pt>
                <pt idx="505">
                  <v>0.003277913055075385</v>
                </pt>
                <pt idx="506">
                  <v>0.01668335386470269</v>
                </pt>
                <pt idx="507">
                  <v>0.00632635140503614</v>
                </pt>
                <pt idx="508">
                  <v>0.002102944942381501</v>
                </pt>
                <pt idx="509">
                  <v>-0.006646533045245858</v>
                </pt>
                <pt idx="510">
                  <v>-7.825044206418383e-05</v>
                </pt>
                <pt idx="511">
                  <v>-0.01178038687033378</v>
                </pt>
                <pt idx="512">
                  <v>0.003264827589014441</v>
                </pt>
                <pt idx="513">
                  <v>0.004983084196097043</v>
                </pt>
                <pt idx="514">
                  <v>0.001204830228008773</v>
                </pt>
                <pt idx="515">
                  <v>0.01070604804964184</v>
                </pt>
                <pt idx="516">
                  <v>0.02116110655792768</v>
                </pt>
                <pt idx="517">
                  <v>0.0254200059611404</v>
                </pt>
                <pt idx="518">
                  <v>0.02236274127650972</v>
                </pt>
                <pt idx="519">
                  <v>0.009911284468014418</v>
                </pt>
                <pt idx="520">
                  <v>0.003869966666768944</v>
                </pt>
                <pt idx="521">
                  <v>0.01259050190207389</v>
                </pt>
                <pt idx="522">
                  <v>-0.001929989846972786</v>
                </pt>
                <pt idx="523">
                  <v>0.008770609241911649</v>
                </pt>
                <pt idx="524">
                  <v>0.003870959888496795</v>
                </pt>
                <pt idx="525">
                  <v>0.009008780774511897</v>
                </pt>
                <pt idx="526">
                  <v>-0.01084454504556309</v>
                </pt>
                <pt idx="527">
                  <v>0.006537346891377351</v>
                </pt>
                <pt idx="528">
                  <v>0.0106866845064834</v>
                </pt>
                <pt idx="529">
                  <v>0.003849581721323085</v>
                </pt>
                <pt idx="530">
                  <v>0.007015162029565653</v>
                </pt>
                <pt idx="531">
                  <v>0.01257363557169225</v>
                </pt>
                <pt idx="532">
                  <v>0.0167581553199353</v>
                </pt>
                <pt idx="533">
                  <v>0.006595690532745257</v>
                </pt>
                <pt idx="534">
                  <v>0.007068929701724108</v>
                </pt>
                <pt idx="535">
                  <v>0.0212181233229815</v>
                </pt>
                <pt idx="536">
                  <v>0.01984199964026523</v>
                </pt>
                <pt idx="537">
                  <v>0.01482165902551465</v>
                </pt>
                <pt idx="538">
                  <v>0.02777723957117058</v>
                </pt>
                <pt idx="539">
                  <v>-0.007824162506621272</v>
                </pt>
                <pt idx="540">
                  <v>0.01794792967431775</v>
                </pt>
                <pt idx="541">
                  <v>0.01819042132567106</v>
                </pt>
                <pt idx="542">
                  <v>0.02045315456354753</v>
                </pt>
                <pt idx="543">
                  <v>0.02884682874395124</v>
                </pt>
                <pt idx="544">
                  <v>0.02675187046778972</v>
                </pt>
                <pt idx="545">
                  <v>0.02641255393925892</v>
                </pt>
                <pt idx="546">
                  <v>0.0369661451223779</v>
                </pt>
                <pt idx="547">
                  <v>0.01210151634296221</v>
                </pt>
                <pt idx="548">
                  <v>0.006922935158047453</v>
                </pt>
                <pt idx="549">
                  <v>0.002102006703857562</v>
                </pt>
                <pt idx="550">
                  <v>0.01451587618146143</v>
                </pt>
                <pt idx="551">
                  <v>0.03020773823667697</v>
                </pt>
                <pt idx="552">
                  <v>-0.01701369555764983</v>
                </pt>
                <pt idx="553">
                  <v>-0.009984037034871761</v>
                </pt>
                <pt idx="554">
                  <v>-0.02282491443356346</v>
                </pt>
                <pt idx="555">
                  <v>-0.02194877352541879</v>
                </pt>
                <pt idx="556">
                  <v>-0.01177164816729406</v>
                </pt>
                <pt idx="557">
                  <v>-0.01778800428913963</v>
                </pt>
                <pt idx="558">
                  <v>-0.01727764261929025</v>
                </pt>
                <pt idx="559">
                  <v>-0.01471888260254604</v>
                </pt>
                <pt idx="560">
                  <v>-0.02344817813884691</v>
                </pt>
                <pt idx="561">
                  <v>-0.02351106620961956</v>
                </pt>
                <pt idx="562">
                  <v>-0.02380654322967812</v>
                </pt>
                <pt idx="563">
                  <v>0.0001756865516361165</v>
                </pt>
                <pt idx="564">
                  <v>0.01760839999239424</v>
                </pt>
                <pt idx="565">
                  <v>-0.01450955076140855</v>
                </pt>
                <pt idx="566">
                  <v>-0.1181945567503227</v>
                </pt>
                <pt idx="567">
                  <v>-0.09025858203378011</v>
                </pt>
                <pt idx="568">
                  <v>-0.08406805824370731</v>
                </pt>
                <pt idx="569">
                  <v>-0.06214354167931367</v>
                </pt>
                <pt idx="570">
                  <v>-0.05175298116936854</v>
                </pt>
                <pt idx="571">
                  <v>-0.04397589460619377</v>
                </pt>
                <pt idx="572">
                  <v>-0.01578578251774473</v>
                </pt>
                <pt idx="573">
                  <v>-0.007873338862031938</v>
                </pt>
                <pt idx="574">
                  <v>-0.002201071983168894</v>
                </pt>
                <pt idx="575">
                  <v>-0.01717206112818054</v>
                </pt>
                <pt idx="576">
                  <v>-0.05047824915374587</v>
                </pt>
                <pt idx="577">
                  <v>0.01928932257337211</v>
                </pt>
                <pt idx="578">
                  <v>0.1367970683820171</v>
                </pt>
                <pt idx="579">
                  <v>0.09025368823325172</v>
                </pt>
                <pt idx="580">
                  <v>0.07021122526168781</v>
                </pt>
                <pt idx="581">
                  <v>0.06418252854926638</v>
                </pt>
                <pt idx="582">
                  <v>0.055090261471557</v>
                </pt>
                <pt idx="583">
                  <v>0.06294063606966961</v>
                </pt>
                <pt idx="584">
                  <v>0.05061909646929699</v>
                </pt>
                <pt idx="585">
                  <v>0.06243151086396972</v>
                </pt>
                <pt idx="586">
                  <v>0.05053250504792906</v>
                </pt>
                <pt idx="587">
                  <v>0.03136669528925463</v>
                </pt>
                <pt idx="588">
                  <v>0.08932103995210797</v>
                </pt>
                <pt idx="589">
                  <v>0.04473656154502991</v>
                </pt>
                <pt idx="590">
                  <v>0.04746444775784396</v>
                </pt>
                <pt idx="591">
                  <v>0.0514331354169805</v>
                </pt>
                <pt idx="592">
                  <v>0.04249620659483618</v>
                </pt>
                <pt idx="593">
                  <v>0.03473454768808612</v>
                </pt>
                <pt idx="594">
                  <v>0.02651351362073002</v>
                </pt>
                <pt idx="595">
                  <v>0.01839225696576805</v>
                </pt>
                <pt idx="596">
                  <v>0.007868928500430765</v>
                </pt>
                <pt idx="597">
                  <v>-0.01203657506908205</v>
                </pt>
                <pt idx="598">
                  <v>-0.03236224303031413</v>
                </pt>
                <pt idx="599">
                  <v>0.006391372325028574</v>
                </pt>
                <pt idx="600">
                  <v>-0.0122852856107844</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Construction!$A$463:$A$627</f>
              <numCache>
                <formatCode>mmm\-yy</formatCode>
                <ptCount val="16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Construction!$D$463:$D$627</f>
              <numCache>
                <formatCode>0.0%</formatCode>
                <ptCount val="165"/>
                <pt idx="0">
                  <v>-0.06278518643484322</v>
                </pt>
                <pt idx="1">
                  <v>-0.04492971101029753</v>
                </pt>
                <pt idx="2">
                  <v>0.005322453365570397</v>
                </pt>
                <pt idx="3">
                  <v>0.05453750262657663</v>
                </pt>
                <pt idx="4">
                  <v>0.06130745926833189</v>
                </pt>
                <pt idx="5">
                  <v>0.0603220099817455</v>
                </pt>
                <pt idx="6">
                  <v>0.05000256241931424</v>
                </pt>
                <pt idx="7">
                  <v>0.04811475389990378</v>
                </pt>
                <pt idx="8">
                  <v>0.05262697682100704</v>
                </pt>
                <pt idx="9">
                  <v>0.07205351021845054</v>
                </pt>
                <pt idx="10">
                  <v>0.05948765270632898</v>
                </pt>
                <pt idx="11">
                  <v>0.06957171203709898</v>
                </pt>
                <pt idx="12">
                  <v>0.04528355126569412</v>
                </pt>
                <pt idx="13">
                  <v>0.03868676202361509</v>
                </pt>
                <pt idx="14">
                  <v>0.02973645534103813</v>
                </pt>
                <pt idx="15">
                  <v>0.0003996765516138151</v>
                </pt>
                <pt idx="16">
                  <v>0.009235855682679274</v>
                </pt>
                <pt idx="17">
                  <v>0.01439600043011093</v>
                </pt>
                <pt idx="18">
                  <v>0.02874783415086509</v>
                </pt>
                <pt idx="19">
                  <v>0.02001060302082144</v>
                </pt>
                <pt idx="20">
                  <v>0.02078564572103662</v>
                </pt>
                <pt idx="21">
                  <v>0.02260982582034503</v>
                </pt>
                <pt idx="22">
                  <v>0.01553679258330472</v>
                </pt>
                <pt idx="23">
                  <v>0.03686757619658073</v>
                </pt>
                <pt idx="24">
                  <v>0.05547055079593551</v>
                </pt>
                <pt idx="25">
                  <v>0.0713025573831864</v>
                </pt>
                <pt idx="26">
                  <v>0.05740560316314686</v>
                </pt>
                <pt idx="27">
                  <v>0.07217011775904623</v>
                </pt>
                <pt idx="28">
                  <v>0.04807799066666818</v>
                </pt>
                <pt idx="29">
                  <v>0.03708579530947963</v>
                </pt>
                <pt idx="30">
                  <v>0.02212808738725</v>
                </pt>
                <pt idx="31">
                  <v>0.03028707440472148</v>
                </pt>
                <pt idx="32">
                  <v>0.02609045535100734</v>
                </pt>
                <pt idx="33">
                  <v>0.02037362538308995</v>
                </pt>
                <pt idx="34">
                  <v>0.03352902246973496</v>
                </pt>
                <pt idx="35">
                  <v>0.03060336691762744</v>
                </pt>
                <pt idx="36">
                  <v>0.02266338294921635</v>
                </pt>
                <pt idx="37">
                  <v>0.02774186221236006</v>
                </pt>
                <pt idx="38">
                  <v>0.02740201787359649</v>
                </pt>
                <pt idx="39">
                  <v>0.007776511694469483</v>
                </pt>
                <pt idx="40">
                  <v>0.0183487941846521</v>
                </pt>
                <pt idx="41">
                  <v>0.0329416703942603</v>
                </pt>
                <pt idx="42">
                  <v>0.03800655140554623</v>
                </pt>
                <pt idx="43">
                  <v>0.03692863650901289</v>
                </pt>
                <pt idx="44">
                  <v>0.05094552856633023</v>
                </pt>
                <pt idx="45">
                  <v>0.05209021181490334</v>
                </pt>
                <pt idx="46">
                  <v>0.04536663348847956</v>
                </pt>
                <pt idx="47">
                  <v>0.02361285708093111</v>
                </pt>
                <pt idx="48">
                  <v>0.01392643856585385</v>
                </pt>
                <pt idx="49">
                  <v>0.005086427833715029</v>
                </pt>
                <pt idx="50">
                  <v>0.02346350961979366</v>
                </pt>
                <pt idx="51">
                  <v>0.02224925380332553</v>
                </pt>
                <pt idx="52">
                  <v>0.03933092175748328</v>
                </pt>
                <pt idx="53">
                  <v>0.03872516369563785</v>
                </pt>
                <pt idx="54">
                  <v>0.04811261091485191</v>
                </pt>
                <pt idx="55">
                  <v>0.04298737735343094</v>
                </pt>
                <pt idx="56">
                  <v>0.03561460345476323</v>
                </pt>
                <pt idx="57">
                  <v>0.0312970008658917</v>
                </pt>
                <pt idx="58">
                  <v>0.02290680703757444</v>
                </pt>
                <pt idx="59">
                  <v>0.04831088699474574</v>
                </pt>
                <pt idx="60">
                  <v>0.04172004690727728</v>
                </pt>
                <pt idx="61">
                  <v>0.02289625221609889</v>
                </pt>
                <pt idx="62">
                  <v>0.003277913055075385</v>
                </pt>
                <pt idx="63">
                  <v>0.01668335386470269</v>
                </pt>
                <pt idx="64">
                  <v>0.00632635140503614</v>
                </pt>
                <pt idx="65">
                  <v>0.002102944942381501</v>
                </pt>
                <pt idx="66">
                  <v>-0.006646533045245858</v>
                </pt>
                <pt idx="67">
                  <v>-7.825044206418383e-05</v>
                </pt>
                <pt idx="68">
                  <v>-0.01178038687033378</v>
                </pt>
                <pt idx="69">
                  <v>0.003264827589014441</v>
                </pt>
                <pt idx="70">
                  <v>0.004983084196097043</v>
                </pt>
                <pt idx="71">
                  <v>0.001204830228008773</v>
                </pt>
                <pt idx="72">
                  <v>0.01070604804964184</v>
                </pt>
                <pt idx="73">
                  <v>0.02116110655792768</v>
                </pt>
                <pt idx="74">
                  <v>0.0254200059611404</v>
                </pt>
                <pt idx="75">
                  <v>0.02236274127650972</v>
                </pt>
                <pt idx="76">
                  <v>0.009911284468014418</v>
                </pt>
                <pt idx="77">
                  <v>0.003869966666768944</v>
                </pt>
                <pt idx="78">
                  <v>0.01259050190207389</v>
                </pt>
                <pt idx="79">
                  <v>-0.001929989846972786</v>
                </pt>
                <pt idx="80">
                  <v>0.008770609241911649</v>
                </pt>
                <pt idx="81">
                  <v>0.003870959888496795</v>
                </pt>
                <pt idx="82">
                  <v>0.009008780774511897</v>
                </pt>
                <pt idx="83">
                  <v>-0.01084454504556309</v>
                </pt>
                <pt idx="84">
                  <v>0.006537346891377351</v>
                </pt>
                <pt idx="85">
                  <v>0.0106866845064834</v>
                </pt>
                <pt idx="86">
                  <v>0.003849581721323085</v>
                </pt>
                <pt idx="87">
                  <v>0.007015162029565653</v>
                </pt>
                <pt idx="88">
                  <v>0.01257363557169225</v>
                </pt>
                <pt idx="89">
                  <v>0.0167581553199353</v>
                </pt>
                <pt idx="90">
                  <v>0.006595690532745257</v>
                </pt>
                <pt idx="91">
                  <v>0.007068929701724108</v>
                </pt>
                <pt idx="92">
                  <v>0.0212181233229815</v>
                </pt>
                <pt idx="93">
                  <v>0.01984199964026523</v>
                </pt>
                <pt idx="94">
                  <v>0.01482165902551465</v>
                </pt>
                <pt idx="95">
                  <v>0.02777723957117058</v>
                </pt>
                <pt idx="96">
                  <v>-0.007824162506621272</v>
                </pt>
                <pt idx="97">
                  <v>0.01794792967431775</v>
                </pt>
                <pt idx="98">
                  <v>0.01819042132567106</v>
                </pt>
                <pt idx="99">
                  <v>0.02045315456354753</v>
                </pt>
                <pt idx="100">
                  <v>0.02884682874395124</v>
                </pt>
                <pt idx="101">
                  <v>0.02675187046778972</v>
                </pt>
                <pt idx="102">
                  <v>0.02641255393925892</v>
                </pt>
                <pt idx="103">
                  <v>0.0369661451223779</v>
                </pt>
                <pt idx="104">
                  <v>0.01210151634296221</v>
                </pt>
                <pt idx="105">
                  <v>0.006922935158047453</v>
                </pt>
                <pt idx="106">
                  <v>0.002102006703857562</v>
                </pt>
                <pt idx="107">
                  <v>0.01451587618146143</v>
                </pt>
                <pt idx="108">
                  <v>0.03020773823667697</v>
                </pt>
                <pt idx="109">
                  <v>-0.01701369555764983</v>
                </pt>
                <pt idx="110">
                  <v>-0.009984037034871761</v>
                </pt>
                <pt idx="111">
                  <v>-0.02282491443356346</v>
                </pt>
                <pt idx="112">
                  <v>-0.02194877352541879</v>
                </pt>
                <pt idx="113">
                  <v>-0.01177164816729406</v>
                </pt>
                <pt idx="114">
                  <v>-0.01778800428913963</v>
                </pt>
                <pt idx="115">
                  <v>-0.01727764261929025</v>
                </pt>
                <pt idx="116">
                  <v>-0.01471888260254604</v>
                </pt>
                <pt idx="117">
                  <v>-0.02344817813884691</v>
                </pt>
                <pt idx="118">
                  <v>-0.02351106620961956</v>
                </pt>
                <pt idx="119">
                  <v>-0.02380654322967812</v>
                </pt>
                <pt idx="120">
                  <v>0.0001756865516361165</v>
                </pt>
                <pt idx="121">
                  <v>0.01760839999239424</v>
                </pt>
                <pt idx="122">
                  <v>-0.01450955076140855</v>
                </pt>
                <pt idx="123">
                  <v>-0.1181945567503227</v>
                </pt>
                <pt idx="124">
                  <v>-0.09025858203378011</v>
                </pt>
                <pt idx="125">
                  <v>-0.08406805824370731</v>
                </pt>
                <pt idx="126">
                  <v>-0.06214354167931367</v>
                </pt>
                <pt idx="127">
                  <v>-0.05175298116936854</v>
                </pt>
                <pt idx="128">
                  <v>-0.04397589460619377</v>
                </pt>
                <pt idx="129">
                  <v>-0.01578578251774473</v>
                </pt>
                <pt idx="130">
                  <v>-0.007873338862031938</v>
                </pt>
                <pt idx="131">
                  <v>-0.002201071983168894</v>
                </pt>
                <pt idx="132">
                  <v>-0.01717206112818054</v>
                </pt>
                <pt idx="133">
                  <v>-0.05047824915374587</v>
                </pt>
                <pt idx="134">
                  <v>0.01928932257337211</v>
                </pt>
                <pt idx="135">
                  <v>0.1367970683820171</v>
                </pt>
                <pt idx="136">
                  <v>0.09025368823325172</v>
                </pt>
                <pt idx="137">
                  <v>0.07021122526168781</v>
                </pt>
                <pt idx="138">
                  <v>0.06418252854926638</v>
                </pt>
                <pt idx="139">
                  <v>0.055090261471557</v>
                </pt>
                <pt idx="140">
                  <v>0.06294063606966961</v>
                </pt>
                <pt idx="141">
                  <v>0.05061909646929699</v>
                </pt>
                <pt idx="142">
                  <v>0.06243151086396972</v>
                </pt>
                <pt idx="143">
                  <v>0.05053250504792906</v>
                </pt>
                <pt idx="144">
                  <v>0.03136669528925463</v>
                </pt>
                <pt idx="145">
                  <v>0.08932103995210797</v>
                </pt>
                <pt idx="146">
                  <v>0.04473656154502991</v>
                </pt>
                <pt idx="147">
                  <v>0.04746444775784396</v>
                </pt>
                <pt idx="148">
                  <v>0.0514331354169805</v>
                </pt>
                <pt idx="149">
                  <v>0.04249620659483618</v>
                </pt>
                <pt idx="150">
                  <v>0.03473454768808612</v>
                </pt>
                <pt idx="151">
                  <v>0.02651351362073002</v>
                </pt>
                <pt idx="152">
                  <v>0.01839225696576805</v>
                </pt>
                <pt idx="153">
                  <v>0.007868928500430765</v>
                </pt>
                <pt idx="154">
                  <v>-0.01203657506908205</v>
                </pt>
                <pt idx="155">
                  <v>-0.03236224303031413</v>
                </pt>
                <pt idx="156">
                  <v>0.006391372325028574</v>
                </pt>
                <pt idx="157">
                  <v>-0.0122852856107844</v>
                </pt>
                <pt idx="158">
                  <v>-0.02675650672846743</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Manu!$A$20:$A$630</f>
              <numCache>
                <formatCode>mmm\-yy</formatCode>
                <ptCount val="61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Manu!$B$20:$B$630</f>
              <numCache>
                <formatCode>0.0</formatCode>
                <ptCount val="611"/>
                <pt idx="0">
                  <v>40.3702</v>
                </pt>
                <pt idx="1">
                  <v>40.4413</v>
                </pt>
                <pt idx="2">
                  <v>40.3808</v>
                </pt>
                <pt idx="3">
                  <v>40.6467</v>
                </pt>
                <pt idx="4">
                  <v>40.6564</v>
                </pt>
                <pt idx="5">
                  <v>40.8401</v>
                </pt>
                <pt idx="6">
                  <v>40.7324</v>
                </pt>
                <pt idx="7">
                  <v>41.0769</v>
                </pt>
                <pt idx="8">
                  <v>41.4799</v>
                </pt>
                <pt idx="9">
                  <v>41.7624</v>
                </pt>
                <pt idx="10">
                  <v>41.7691</v>
                </pt>
                <pt idx="11">
                  <v>41.4204</v>
                </pt>
                <pt idx="12">
                  <v>41.2533</v>
                </pt>
                <pt idx="13">
                  <v>41.2236</v>
                </pt>
                <pt idx="14">
                  <v>41.0428</v>
                </pt>
                <pt idx="15">
                  <v>41.3365</v>
                </pt>
                <pt idx="16">
                  <v>41.3588</v>
                </pt>
                <pt idx="17">
                  <v>41.3426</v>
                </pt>
                <pt idx="18">
                  <v>40.9558</v>
                </pt>
                <pt idx="19">
                  <v>41.0123</v>
                </pt>
                <pt idx="20">
                  <v>40.7206</v>
                </pt>
                <pt idx="21">
                  <v>39.4681</v>
                </pt>
                <pt idx="22">
                  <v>37.6414</v>
                </pt>
                <pt idx="23">
                  <v>36.8443</v>
                </pt>
                <pt idx="24">
                  <v>35.8119</v>
                </pt>
                <pt idx="25">
                  <v>35.3223</v>
                </pt>
                <pt idx="26">
                  <v>35.3205</v>
                </pt>
                <pt idx="27">
                  <v>35.2545</v>
                </pt>
                <pt idx="28">
                  <v>35.5538</v>
                </pt>
                <pt idx="29">
                  <v>36.0692</v>
                </pt>
                <pt idx="30">
                  <v>36.4482</v>
                </pt>
                <pt idx="31">
                  <v>37.0871</v>
                </pt>
                <pt idx="32">
                  <v>37.2883</v>
                </pt>
                <pt idx="33">
                  <v>37.3698</v>
                </pt>
                <pt idx="34">
                  <v>37.8905</v>
                </pt>
                <pt idx="35">
                  <v>38.3571</v>
                </pt>
                <pt idx="36">
                  <v>38.9629</v>
                </pt>
                <pt idx="37">
                  <v>39.0877</v>
                </pt>
                <pt idx="38">
                  <v>39.2948</v>
                </pt>
                <pt idx="39">
                  <v>39.4946</v>
                </pt>
                <pt idx="40">
                  <v>39.5372</v>
                </pt>
                <pt idx="41">
                  <v>39.8146</v>
                </pt>
                <pt idx="42">
                  <v>40.0651</v>
                </pt>
                <pt idx="43">
                  <v>40.171</v>
                </pt>
                <pt idx="44">
                  <v>40.1055</v>
                </pt>
                <pt idx="45">
                  <v>40.6485</v>
                </pt>
                <pt idx="46">
                  <v>41.0963</v>
                </pt>
                <pt idx="47">
                  <v>40.9505</v>
                </pt>
                <pt idx="48">
                  <v>41.7038</v>
                </pt>
                <pt idx="49">
                  <v>42.3193</v>
                </pt>
                <pt idx="50">
                  <v>42.7554</v>
                </pt>
                <pt idx="51">
                  <v>43.1006</v>
                </pt>
                <pt idx="52">
                  <v>43.4872</v>
                </pt>
                <pt idx="53">
                  <v>43.4885</v>
                </pt>
                <pt idx="54">
                  <v>43.7262</v>
                </pt>
                <pt idx="55">
                  <v>43.7221</v>
                </pt>
                <pt idx="56">
                  <v>43.8226</v>
                </pt>
                <pt idx="57">
                  <v>43.9398</v>
                </pt>
                <pt idx="58">
                  <v>44.4342</v>
                </pt>
                <pt idx="59">
                  <v>43.7471</v>
                </pt>
                <pt idx="60">
                  <v>43.9139</v>
                </pt>
                <pt idx="61">
                  <v>44.6899</v>
                </pt>
                <pt idx="62">
                  <v>45.3905</v>
                </pt>
                <pt idx="63">
                  <v>45.6235</v>
                </pt>
                <pt idx="64">
                  <v>45.9633</v>
                </pt>
                <pt idx="65">
                  <v>45.9292</v>
                </pt>
                <pt idx="66">
                  <v>46.188</v>
                </pt>
                <pt idx="67">
                  <v>46.4248</v>
                </pt>
                <pt idx="68">
                  <v>46.7505</v>
                </pt>
                <pt idx="69">
                  <v>47.1947</v>
                </pt>
                <pt idx="70">
                  <v>47.5233</v>
                </pt>
                <pt idx="71">
                  <v>47.1867</v>
                </pt>
                <pt idx="72">
                  <v>47.3334</v>
                </pt>
                <pt idx="73">
                  <v>47.5584</v>
                </pt>
                <pt idx="74">
                  <v>46.7513</v>
                </pt>
                <pt idx="75">
                  <v>47.411</v>
                </pt>
                <pt idx="76">
                  <v>47.4656</v>
                </pt>
                <pt idx="77">
                  <v>47.4936</v>
                </pt>
                <pt idx="78">
                  <v>46.8715</v>
                </pt>
                <pt idx="79">
                  <v>46.9305</v>
                </pt>
                <pt idx="80">
                  <v>47.1754</v>
                </pt>
                <pt idx="81">
                  <v>46.9972</v>
                </pt>
                <pt idx="82">
                  <v>47.1453</v>
                </pt>
                <pt idx="83">
                  <v>47.389</v>
                </pt>
                <pt idx="84">
                  <v>47.3226</v>
                </pt>
                <pt idx="85">
                  <v>46.9301</v>
                </pt>
                <pt idx="86">
                  <v>45.9548</v>
                </pt>
                <pt idx="87">
                  <v>44.5242</v>
                </pt>
                <pt idx="88">
                  <v>43.7954</v>
                </pt>
                <pt idx="89">
                  <v>43.2986</v>
                </pt>
                <pt idx="90">
                  <v>43.6161</v>
                </pt>
                <pt idx="91">
                  <v>44.3813</v>
                </pt>
                <pt idx="92">
                  <v>45.2202</v>
                </pt>
                <pt idx="93">
                  <v>46.0367</v>
                </pt>
                <pt idx="94">
                  <v>46.208</v>
                </pt>
                <pt idx="95">
                  <v>46.0212</v>
                </pt>
                <pt idx="96">
                  <v>45.794</v>
                </pt>
                <pt idx="97">
                  <v>45.9447</v>
                </pt>
                <pt idx="98">
                  <v>46.199</v>
                </pt>
                <pt idx="99">
                  <v>46.404</v>
                </pt>
                <pt idx="100">
                  <v>46.1847</v>
                </pt>
                <pt idx="101">
                  <v>46.2816</v>
                </pt>
                <pt idx="102">
                  <v>46.268</v>
                </pt>
                <pt idx="103">
                  <v>46.0765</v>
                </pt>
                <pt idx="104">
                  <v>45.6031</v>
                </pt>
                <pt idx="105">
                  <v>44.9956</v>
                </pt>
                <pt idx="106">
                  <v>44.2047</v>
                </pt>
                <pt idx="107">
                  <v>43.1053</v>
                </pt>
                <pt idx="108">
                  <v>44.3455</v>
                </pt>
                <pt idx="109">
                  <v>44.0129</v>
                </pt>
                <pt idx="110">
                  <v>43.6953</v>
                </pt>
                <pt idx="111">
                  <v>43.6009</v>
                </pt>
                <pt idx="112">
                  <v>43.5637</v>
                </pt>
                <pt idx="113">
                  <v>43.5071</v>
                </pt>
                <pt idx="114">
                  <v>43.0853</v>
                </pt>
                <pt idx="115">
                  <v>43.0038</v>
                </pt>
                <pt idx="116">
                  <v>42.443</v>
                </pt>
                <pt idx="117">
                  <v>42.1852</v>
                </pt>
                <pt idx="118">
                  <v>42.0504</v>
                </pt>
                <pt idx="119">
                  <v>43.0464</v>
                </pt>
                <pt idx="120">
                  <v>43.0236</v>
                </pt>
                <pt idx="121">
                  <v>43.4444</v>
                </pt>
                <pt idx="122">
                  <v>43.975</v>
                </pt>
                <pt idx="123">
                  <v>44.5191</v>
                </pt>
                <pt idx="124">
                  <v>44.89</v>
                </pt>
                <pt idx="125">
                  <v>45.5618</v>
                </pt>
                <pt idx="126">
                  <v>45.9538</v>
                </pt>
                <pt idx="127">
                  <v>46.8262</v>
                </pt>
                <pt idx="128">
                  <v>47.3209</v>
                </pt>
                <pt idx="129">
                  <v>47.5587</v>
                </pt>
                <pt idx="130">
                  <v>47.7219</v>
                </pt>
                <pt idx="131">
                  <v>48.5939</v>
                </pt>
                <pt idx="132">
                  <v>49.1311</v>
                </pt>
                <pt idx="133">
                  <v>49.3389</v>
                </pt>
                <pt idx="134">
                  <v>49.5866</v>
                </pt>
                <pt idx="135">
                  <v>49.7365</v>
                </pt>
                <pt idx="136">
                  <v>49.9635</v>
                </pt>
                <pt idx="137">
                  <v>50.1714</v>
                </pt>
                <pt idx="138">
                  <v>50.2617</v>
                </pt>
                <pt idx="139">
                  <v>50.0761</v>
                </pt>
                <pt idx="140">
                  <v>50.336</v>
                </pt>
                <pt idx="141">
                  <v>50.4708</v>
                </pt>
                <pt idx="142">
                  <v>50.6128</v>
                </pt>
                <pt idx="143">
                  <v>50.4877</v>
                </pt>
                <pt idx="144">
                  <v>50.268</v>
                </pt>
                <pt idx="145">
                  <v>50.6388</v>
                </pt>
                <pt idx="146">
                  <v>50.4668</v>
                </pt>
                <pt idx="147">
                  <v>50.5752</v>
                </pt>
                <pt idx="148">
                  <v>50.5914</v>
                </pt>
                <pt idx="149">
                  <v>50.3715</v>
                </pt>
                <pt idx="150">
                  <v>50.6306</v>
                </pt>
                <pt idx="151">
                  <v>50.679</v>
                </pt>
                <pt idx="152">
                  <v>50.5837</v>
                </pt>
                <pt idx="153">
                  <v>50.9361</v>
                </pt>
                <pt idx="154">
                  <v>51.1068</v>
                </pt>
                <pt idx="155">
                  <v>51.7209</v>
                </pt>
                <pt idx="156">
                  <v>51.4553</v>
                </pt>
                <pt idx="157">
                  <v>51.2823</v>
                </pt>
                <pt idx="158">
                  <v>51.413</v>
                </pt>
                <pt idx="159">
                  <v>51.4759</v>
                </pt>
                <pt idx="160">
                  <v>51.273</v>
                </pt>
                <pt idx="161">
                  <v>51.5502</v>
                </pt>
                <pt idx="162">
                  <v>51.6957</v>
                </pt>
                <pt idx="163">
                  <v>51.8413</v>
                </pt>
                <pt idx="164">
                  <v>52.0368</v>
                </pt>
                <pt idx="165">
                  <v>52.2282</v>
                </pt>
                <pt idx="166">
                  <v>52.743</v>
                </pt>
                <pt idx="167">
                  <v>52.5503</v>
                </pt>
                <pt idx="168">
                  <v>53.3353</v>
                </pt>
                <pt idx="169">
                  <v>53.3533</v>
                </pt>
                <pt idx="170">
                  <v>53.6835</v>
                </pt>
                <pt idx="171">
                  <v>54.0583</v>
                </pt>
                <pt idx="172">
                  <v>54.2685</v>
                </pt>
                <pt idx="173">
                  <v>54.6903</v>
                </pt>
                <pt idx="174">
                  <v>54.9859</v>
                </pt>
                <pt idx="175">
                  <v>55.3803</v>
                </pt>
                <pt idx="176">
                  <v>56.2464</v>
                </pt>
                <pt idx="177">
                  <v>56.5301</v>
                </pt>
                <pt idx="178">
                  <v>56.9317</v>
                </pt>
                <pt idx="179">
                  <v>56.7848</v>
                </pt>
                <pt idx="180">
                  <v>56.9915</v>
                </pt>
                <pt idx="181">
                  <v>57.1701</v>
                </pt>
                <pt idx="182">
                  <v>57.7029</v>
                </pt>
                <pt idx="183">
                  <v>57.5736</v>
                </pt>
                <pt idx="184">
                  <v>57.7132</v>
                </pt>
                <pt idx="185">
                  <v>57.6879</v>
                </pt>
                <pt idx="186">
                  <v>57.7836</v>
                </pt>
                <pt idx="187">
                  <v>57.9625</v>
                </pt>
                <pt idx="188">
                  <v>58.2074</v>
                </pt>
                <pt idx="189">
                  <v>58.4365</v>
                </pt>
                <pt idx="190">
                  <v>58.7163</v>
                </pt>
                <pt idx="191">
                  <v>59.2209</v>
                </pt>
                <pt idx="192">
                  <v>58.6186</v>
                </pt>
                <pt idx="193">
                  <v>58.541</v>
                </pt>
                <pt idx="194">
                  <v>58.6456</v>
                </pt>
                <pt idx="195">
                  <v>58.1628</v>
                </pt>
                <pt idx="196">
                  <v>58.2734</v>
                </pt>
                <pt idx="197">
                  <v>57.5666</v>
                </pt>
                <pt idx="198">
                  <v>58.1434</v>
                </pt>
                <pt idx="199">
                  <v>58.0154</v>
                </pt>
                <pt idx="200">
                  <v>57.8665</v>
                </pt>
                <pt idx="201">
                  <v>57.9916</v>
                </pt>
                <pt idx="202">
                  <v>58.017</v>
                </pt>
                <pt idx="203">
                  <v>57.97</v>
                </pt>
                <pt idx="204">
                  <v>58.7845</v>
                </pt>
                <pt idx="205">
                  <v>59.0954</v>
                </pt>
                <pt idx="206">
                  <v>58.8633</v>
                </pt>
                <pt idx="207">
                  <v>59.0444</v>
                </pt>
                <pt idx="208">
                  <v>59.239</v>
                </pt>
                <pt idx="209">
                  <v>59.098</v>
                </pt>
                <pt idx="210">
                  <v>59.3211</v>
                </pt>
                <pt idx="211">
                  <v>59.2578</v>
                </pt>
                <pt idx="212">
                  <v>58.8571</v>
                </pt>
                <pt idx="213">
                  <v>58.1503</v>
                </pt>
                <pt idx="214">
                  <v>57.6707</v>
                </pt>
                <pt idx="215">
                  <v>57.3148</v>
                </pt>
                <pt idx="216">
                  <v>56.8957</v>
                </pt>
                <pt idx="217">
                  <v>56.4981</v>
                </pt>
                <pt idx="218">
                  <v>56.7451</v>
                </pt>
                <pt idx="219">
                  <v>57.1511</v>
                </pt>
                <pt idx="220">
                  <v>57.7147</v>
                </pt>
                <pt idx="221">
                  <v>58.0325</v>
                </pt>
                <pt idx="222">
                  <v>58.0837</v>
                </pt>
                <pt idx="223">
                  <v>58.7157</v>
                </pt>
                <pt idx="224">
                  <v>58.6417</v>
                </pt>
                <pt idx="225">
                  <v>58.529</v>
                </pt>
                <pt idx="226">
                  <v>58.3863</v>
                </pt>
                <pt idx="227">
                  <v>58.076</v>
                </pt>
                <pt idx="228">
                  <v>58.6426</v>
                </pt>
                <pt idx="229">
                  <v>59.2631</v>
                </pt>
                <pt idx="230">
                  <v>59.6067</v>
                </pt>
                <pt idx="231">
                  <v>59.9612</v>
                </pt>
                <pt idx="232">
                  <v>60.1622</v>
                </pt>
                <pt idx="233">
                  <v>60.7245</v>
                </pt>
                <pt idx="234">
                  <v>60.4475</v>
                </pt>
                <pt idx="235">
                  <v>60.549</v>
                </pt>
                <pt idx="236">
                  <v>60.9311</v>
                </pt>
                <pt idx="237">
                  <v>61.1747</v>
                </pt>
                <pt idx="238">
                  <v>61.117</v>
                </pt>
                <pt idx="239">
                  <v>61.6837</v>
                </pt>
                <pt idx="240">
                  <v>61.839</v>
                </pt>
                <pt idx="241">
                  <v>61.719</v>
                </pt>
                <pt idx="242">
                  <v>62.042</v>
                </pt>
                <pt idx="243">
                  <v>61.98</v>
                </pt>
                <pt idx="244">
                  <v>61.8728</v>
                </pt>
                <pt idx="245">
                  <v>62.0325</v>
                </pt>
                <pt idx="246">
                  <v>61.94</v>
                </pt>
                <pt idx="247">
                  <v>62.4006</v>
                </pt>
                <pt idx="248">
                  <v>62.9387</v>
                </pt>
                <pt idx="249">
                  <v>63.2337</v>
                </pt>
                <pt idx="250">
                  <v>63.651</v>
                </pt>
                <pt idx="251">
                  <v>63.732</v>
                </pt>
                <pt idx="252">
                  <v>63.8278</v>
                </pt>
                <pt idx="253">
                  <v>64.6889</v>
                </pt>
                <pt idx="254">
                  <v>65.2743</v>
                </pt>
                <pt idx="255">
                  <v>65.70910000000001</v>
                </pt>
                <pt idx="256">
                  <v>65.9462</v>
                </pt>
                <pt idx="257">
                  <v>66.2319</v>
                </pt>
                <pt idx="258">
                  <v>66.7851</v>
                </pt>
                <pt idx="259">
                  <v>67.039</v>
                </pt>
                <pt idx="260">
                  <v>67.7242</v>
                </pt>
                <pt idx="261">
                  <v>68.2818</v>
                </pt>
                <pt idx="262">
                  <v>69.047</v>
                </pt>
                <pt idx="263">
                  <v>69.1755</v>
                </pt>
                <pt idx="264">
                  <v>68.996</v>
                </pt>
                <pt idx="265">
                  <v>69.17619999999999</v>
                </pt>
                <pt idx="266">
                  <v>68.9815</v>
                </pt>
                <pt idx="267">
                  <v>69.2266</v>
                </pt>
                <pt idx="268">
                  <v>69.55540000000001</v>
                </pt>
                <pt idx="269">
                  <v>69.0997</v>
                </pt>
                <pt idx="270">
                  <v>69.9333</v>
                </pt>
                <pt idx="271">
                  <v>70.5699</v>
                </pt>
                <pt idx="272">
                  <v>70.5167</v>
                </pt>
                <pt idx="273">
                  <v>70.5883</v>
                </pt>
                <pt idx="274">
                  <v>70.876</v>
                </pt>
                <pt idx="275">
                  <v>70.4422</v>
                </pt>
                <pt idx="276">
                  <v>71.49169999999999</v>
                </pt>
                <pt idx="277">
                  <v>71.2976</v>
                </pt>
                <pt idx="278">
                  <v>72.2025</v>
                </pt>
                <pt idx="279">
                  <v>72.7811</v>
                </pt>
                <pt idx="280">
                  <v>73.50839999999999</v>
                </pt>
                <pt idx="281">
                  <v>73.8378</v>
                </pt>
                <pt idx="282">
                  <v>74.1472</v>
                </pt>
                <pt idx="283">
                  <v>74.7638</v>
                </pt>
                <pt idx="284">
                  <v>74.65560000000001</v>
                </pt>
                <pt idx="285">
                  <v>75.313</v>
                </pt>
                <pt idx="286">
                  <v>75.9361</v>
                </pt>
                <pt idx="287">
                  <v>76.0189</v>
                </pt>
                <pt idx="288">
                  <v>77.059</v>
                </pt>
                <pt idx="289">
                  <v>77.851</v>
                </pt>
                <pt idx="290">
                  <v>77.74379999999999</v>
                </pt>
                <pt idx="291">
                  <v>78.31829999999999</v>
                </pt>
                <pt idx="292">
                  <v>78.7963</v>
                </pt>
                <pt idx="293">
                  <v>79.3826</v>
                </pt>
                <pt idx="294">
                  <v>80.3899</v>
                </pt>
                <pt idx="295">
                  <v>81.11020000000001</v>
                </pt>
                <pt idx="296">
                  <v>81.8399</v>
                </pt>
                <pt idx="297">
                  <v>82.70569999999999</v>
                </pt>
                <pt idx="298">
                  <v>83.15000000000001</v>
                </pt>
                <pt idx="299">
                  <v>83.8442</v>
                </pt>
                <pt idx="300">
                  <v>83.9466</v>
                </pt>
                <pt idx="301">
                  <v>83.7744</v>
                </pt>
                <pt idx="302">
                  <v>84.1401</v>
                </pt>
                <pt idx="303">
                  <v>84.6139</v>
                </pt>
                <pt idx="304">
                  <v>83.9391</v>
                </pt>
                <pt idx="305">
                  <v>83.5124</v>
                </pt>
                <pt idx="306">
                  <v>85.6512</v>
                </pt>
                <pt idx="307">
                  <v>85.5701</v>
                </pt>
                <pt idx="308">
                  <v>86.3233</v>
                </pt>
                <pt idx="309">
                  <v>86.4205</v>
                </pt>
                <pt idx="310">
                  <v>86.9349</v>
                </pt>
                <pt idx="311">
                  <v>87.181</v>
                </pt>
                <pt idx="312">
                  <v>87.9842</v>
                </pt>
                <pt idx="313">
                  <v>87.96550000000001</v>
                </pt>
                <pt idx="314">
                  <v>88.3045</v>
                </pt>
                <pt idx="315">
                  <v>89.0393</v>
                </pt>
                <pt idx="316">
                  <v>88.8312</v>
                </pt>
                <pt idx="317">
                  <v>89.2667</v>
                </pt>
                <pt idx="318">
                  <v>89.72490000000001</v>
                </pt>
                <pt idx="319">
                  <v>89.31480000000001</v>
                </pt>
                <pt idx="320">
                  <v>90.6741</v>
                </pt>
                <pt idx="321">
                  <v>91.28319999999999</v>
                </pt>
                <pt idx="322">
                  <v>91.9555</v>
                </pt>
                <pt idx="323">
                  <v>92.0231</v>
                </pt>
                <pt idx="324">
                  <v>92.2694</v>
                </pt>
                <pt idx="325">
                  <v>92.9096</v>
                </pt>
                <pt idx="326">
                  <v>93.53740000000001</v>
                </pt>
                <pt idx="327">
                  <v>93.58759999999999</v>
                </pt>
                <pt idx="328">
                  <v>93.7401</v>
                </pt>
                <pt idx="329">
                  <v>93.8396</v>
                </pt>
                <pt idx="330">
                  <v>93.2373</v>
                </pt>
                <pt idx="331">
                  <v>93.6927</v>
                </pt>
                <pt idx="332">
                  <v>93.4148</v>
                </pt>
                <pt idx="333">
                  <v>93.1767</v>
                </pt>
                <pt idx="334">
                  <v>92.6178</v>
                </pt>
                <pt idx="335">
                  <v>92.24809999999999</v>
                </pt>
                <pt idx="336">
                  <v>91.7407</v>
                </pt>
                <pt idx="337">
                  <v>91.5497</v>
                </pt>
                <pt idx="338">
                  <v>91.1555</v>
                </pt>
                <pt idx="339">
                  <v>90.589</v>
                </pt>
                <pt idx="340">
                  <v>90.0147</v>
                </pt>
                <pt idx="341">
                  <v>89.495</v>
                </pt>
                <pt idx="342">
                  <v>89.1489</v>
                </pt>
                <pt idx="343">
                  <v>88.8064</v>
                </pt>
                <pt idx="344">
                  <v>88.404</v>
                </pt>
                <pt idx="345">
                  <v>88.119</v>
                </pt>
                <pt idx="346">
                  <v>88.2783</v>
                </pt>
                <pt idx="347">
                  <v>88.9141</v>
                </pt>
                <pt idx="348">
                  <v>88.9504</v>
                </pt>
                <pt idx="349">
                  <v>89.6409</v>
                </pt>
                <pt idx="350">
                  <v>89.94450000000001</v>
                </pt>
                <pt idx="351">
                  <v>90.4504</v>
                </pt>
                <pt idx="352">
                  <v>91.378</v>
                </pt>
                <pt idx="353">
                  <v>91.26690000000001</v>
                </pt>
                <pt idx="354">
                  <v>91.35720000000001</v>
                </pt>
                <pt idx="355">
                  <v>91.4502</v>
                </pt>
                <pt idx="356">
                  <v>91.1567</v>
                </pt>
                <pt idx="357">
                  <v>91.6439</v>
                </pt>
                <pt idx="358">
                  <v>90.9979</v>
                </pt>
                <pt idx="359">
                  <v>91.7826</v>
                </pt>
                <pt idx="360">
                  <v>91.6795</v>
                </pt>
                <pt idx="361">
                  <v>91.8032</v>
                </pt>
                <pt idx="362">
                  <v>91.1426</v>
                </pt>
                <pt idx="363">
                  <v>91.2028</v>
                </pt>
                <pt idx="364">
                  <v>91.6245</v>
                </pt>
                <pt idx="365">
                  <v>91.9855</v>
                </pt>
                <pt idx="366">
                  <v>91.6241</v>
                </pt>
                <pt idx="367">
                  <v>92.45059999999999</v>
                </pt>
                <pt idx="368">
                  <v>92.53019999999999</v>
                </pt>
                <pt idx="369">
                  <v>93.3888</v>
                </pt>
                <pt idx="370">
                  <v>93.3115</v>
                </pt>
                <pt idx="371">
                  <v>93.2407</v>
                </pt>
                <pt idx="372">
                  <v>93.9273</v>
                </pt>
                <pt idx="373">
                  <v>93.9041</v>
                </pt>
                <pt idx="374">
                  <v>94.21810000000001</v>
                </pt>
                <pt idx="375">
                  <v>94.899</v>
                </pt>
                <pt idx="376">
                  <v>94.1799</v>
                </pt>
                <pt idx="377">
                  <v>95.0098</v>
                </pt>
                <pt idx="378">
                  <v>95.4444</v>
                </pt>
                <pt idx="379">
                  <v>95.52930000000001</v>
                </pt>
                <pt idx="380">
                  <v>96.53279999999999</v>
                </pt>
                <pt idx="381">
                  <v>96.5224</v>
                </pt>
                <pt idx="382">
                  <v>97.3135</v>
                </pt>
                <pt idx="383">
                  <v>97.9336</v>
                </pt>
                <pt idx="384">
                  <v>98.8203</v>
                </pt>
                <pt idx="385">
                  <v>98.3527</v>
                </pt>
                <pt idx="386">
                  <v>98.75920000000001</v>
                </pt>
                <pt idx="387">
                  <v>99.02679999999999</v>
                </pt>
                <pt idx="388">
                  <v>99.2885</v>
                </pt>
                <pt idx="389">
                  <v>98.9319</v>
                </pt>
                <pt idx="390">
                  <v>99.48139999999999</v>
                </pt>
                <pt idx="391">
                  <v>98.33069999999999</v>
                </pt>
                <pt idx="392">
                  <v>99.81999999999999</v>
                </pt>
                <pt idx="393">
                  <v>100.7526</v>
                </pt>
                <pt idx="394">
                  <v>100.8737</v>
                </pt>
                <pt idx="395">
                  <v>101.6659</v>
                </pt>
                <pt idx="396">
                  <v>101.3841</v>
                </pt>
                <pt idx="397">
                  <v>101.3049</v>
                </pt>
                <pt idx="398">
                  <v>101.6621</v>
                </pt>
                <pt idx="399">
                  <v>101.451</v>
                </pt>
                <pt idx="400">
                  <v>101.8193</v>
                </pt>
                <pt idx="401">
                  <v>101.5314</v>
                </pt>
                <pt idx="402">
                  <v>102.345</v>
                </pt>
                <pt idx="403">
                  <v>102.4408</v>
                </pt>
                <pt idx="404">
                  <v>101.9725</v>
                </pt>
                <pt idx="405">
                  <v>102.1103</v>
                </pt>
                <pt idx="406">
                  <v>103.6744</v>
                </pt>
                <pt idx="407">
                  <v>103.3066</v>
                </pt>
                <pt idx="408">
                  <v>103.6888</v>
                </pt>
                <pt idx="409">
                  <v>104.5936</v>
                </pt>
                <pt idx="410">
                  <v>105.2765</v>
                </pt>
                <pt idx="411">
                  <v>105.2236</v>
                </pt>
                <pt idx="412">
                  <v>105.6354</v>
                </pt>
                <pt idx="413">
                  <v>105.6596</v>
                </pt>
                <pt idx="414">
                  <v>105.4136</v>
                </pt>
                <pt idx="415">
                  <v>105.7843</v>
                </pt>
                <pt idx="416">
                  <v>105.6376</v>
                </pt>
                <pt idx="417">
                  <v>106.2478</v>
                </pt>
                <pt idx="418">
                  <v>106.4202</v>
                </pt>
                <pt idx="419">
                  <v>106.197</v>
                </pt>
                <pt idx="420">
                  <v>105.4342</v>
                </pt>
                <pt idx="421">
                  <v>104.9953</v>
                </pt>
                <pt idx="422">
                  <v>103.9181</v>
                </pt>
                <pt idx="423">
                  <v>103.352</v>
                </pt>
                <pt idx="424">
                  <v>102.6092</v>
                </pt>
                <pt idx="425">
                  <v>101.4802</v>
                </pt>
                <pt idx="426">
                  <v>100.1576</v>
                </pt>
                <pt idx="427">
                  <v>96.5984</v>
                </pt>
                <pt idx="428">
                  <v>96.0628</v>
                </pt>
                <pt idx="429">
                  <v>93.6634</v>
                </pt>
                <pt idx="430">
                  <v>90.4392</v>
                </pt>
                <pt idx="431">
                  <v>87.4945</v>
                </pt>
                <pt idx="432">
                  <v>87.49630000000001</v>
                </pt>
                <pt idx="433">
                  <v>85.991</v>
                </pt>
                <pt idx="434">
                  <v>85.4388</v>
                </pt>
                <pt idx="435">
                  <v>84.5547</v>
                </pt>
                <pt idx="436">
                  <v>84.35890000000001</v>
                </pt>
                <pt idx="437">
                  <v>85.8242</v>
                </pt>
                <pt idx="438">
                  <v>86.84869999999999</v>
                </pt>
                <pt idx="439">
                  <v>87.75239999999999</v>
                </pt>
                <pt idx="440">
                  <v>87.7749</v>
                </pt>
                <pt idx="441">
                  <v>88.6968</v>
                </pt>
                <pt idx="442">
                  <v>88.5461</v>
                </pt>
                <pt idx="443">
                  <v>89.55410000000001</v>
                </pt>
                <pt idx="444">
                  <v>89.5639</v>
                </pt>
                <pt idx="445">
                  <v>90.7848</v>
                </pt>
                <pt idx="446">
                  <v>91.6014</v>
                </pt>
                <pt idx="447">
                  <v>92.8207</v>
                </pt>
                <pt idx="448">
                  <v>92.80110000000001</v>
                </pt>
                <pt idx="449">
                  <v>93.31870000000001</v>
                </pt>
                <pt idx="450">
                  <v>93.5052</v>
                </pt>
                <pt idx="451">
                  <v>93.6096</v>
                </pt>
                <pt idx="452">
                  <v>93.6585</v>
                </pt>
                <pt idx="453">
                  <v>93.78570000000001</v>
                </pt>
                <pt idx="454">
                  <v>94.27460000000001</v>
                </pt>
                <pt idx="455">
                  <v>94.3843</v>
                </pt>
                <pt idx="456">
                  <v>94.5427</v>
                </pt>
                <pt idx="457">
                  <v>95.20780000000001</v>
                </pt>
                <pt idx="458">
                  <v>94.64</v>
                </pt>
                <pt idx="459">
                  <v>94.6447</v>
                </pt>
                <pt idx="460">
                  <v>94.764</v>
                </pt>
                <pt idx="461">
                  <v>95.2936</v>
                </pt>
                <pt idx="462">
                  <v>95.7373</v>
                </pt>
                <pt idx="463">
                  <v>95.9999</v>
                </pt>
                <pt idx="464">
                  <v>96.5314</v>
                </pt>
                <pt idx="465">
                  <v>96.3462</v>
                </pt>
                <pt idx="466">
                  <v>96.98699999999999</v>
                </pt>
                <pt idx="467">
                  <v>97.8931</v>
                </pt>
                <pt idx="468">
                  <v>98.3347</v>
                </pt>
                <pt idx="469">
                  <v>97.81010000000001</v>
                </pt>
                <pt idx="470">
                  <v>98.3497</v>
                </pt>
                <pt idx="471">
                  <v>98.0487</v>
                </pt>
                <pt idx="472">
                  <v>98.404</v>
                </pt>
                <pt idx="473">
                  <v>98.2197</v>
                </pt>
                <pt idx="474">
                  <v>98.1211</v>
                </pt>
                <pt idx="475">
                  <v>97.9241</v>
                </pt>
                <pt idx="476">
                  <v>97.74590000000001</v>
                </pt>
                <pt idx="477">
                  <v>98.3578</v>
                </pt>
                <pt idx="478">
                  <v>99.0949</v>
                </pt>
                <pt idx="479">
                  <v>98.8732</v>
                </pt>
                <pt idx="480">
                  <v>99.3304</v>
                </pt>
                <pt idx="481">
                  <v>99.274</v>
                </pt>
                <pt idx="482">
                  <v>98.92659999999999</v>
                </pt>
                <pt idx="483">
                  <v>99.22490000000001</v>
                </pt>
                <pt idx="484">
                  <v>99.4585</v>
                </pt>
                <pt idx="485">
                  <v>98.5933</v>
                </pt>
                <pt idx="486">
                  <v>99.4251</v>
                </pt>
                <pt idx="487">
                  <v>99.48820000000001</v>
                </pt>
                <pt idx="488">
                  <v>99.66240000000001</v>
                </pt>
                <pt idx="489">
                  <v>99.67319999999999</v>
                </pt>
                <pt idx="490">
                  <v>99.49809999999999</v>
                </pt>
                <pt idx="491">
                  <v>98.405</v>
                </pt>
                <pt idx="492">
                  <v>99.3374</v>
                </pt>
                <pt idx="493">
                  <v>100.2632</v>
                </pt>
                <pt idx="494">
                  <v>100.2376</v>
                </pt>
                <pt idx="495">
                  <v>100.5369</v>
                </pt>
                <pt idx="496">
                  <v>100.8518</v>
                </pt>
                <pt idx="497">
                  <v>101.3151</v>
                </pt>
                <pt idx="498">
                  <v>100.7684</v>
                </pt>
                <pt idx="499">
                  <v>100.8476</v>
                </pt>
                <pt idx="500">
                  <v>100.7615</v>
                </pt>
                <pt idx="501">
                  <v>101.4837</v>
                </pt>
                <pt idx="502">
                  <v>101.2882</v>
                </pt>
                <pt idx="503">
                  <v>100.7044</v>
                </pt>
                <pt idx="504">
                  <v>99.9269</v>
                </pt>
                <pt idx="505">
                  <v>100.2643</v>
                </pt>
                <pt idx="506">
                  <v>100.2283</v>
                </pt>
                <pt idx="507">
                  <v>100.2325</v>
                </pt>
                <pt idx="508">
                  <v>99.85080000000001</v>
                </pt>
                <pt idx="509">
                  <v>100.5549</v>
                </pt>
                <pt idx="510">
                  <v>100.2821</v>
                </pt>
                <pt idx="511">
                  <v>100.0365</v>
                </pt>
                <pt idx="512">
                  <v>99.89870000000001</v>
                </pt>
                <pt idx="513">
                  <v>99.60760000000001</v>
                </pt>
                <pt idx="514">
                  <v>99.3351</v>
                </pt>
                <pt idx="515">
                  <v>99.76819999999999</v>
                </pt>
                <pt idx="516">
                  <v>99.4033</v>
                </pt>
                <pt idx="517">
                  <v>99.35850000000001</v>
                </pt>
                <pt idx="518">
                  <v>99.1874</v>
                </pt>
                <pt idx="519">
                  <v>99.11709999999999</v>
                </pt>
                <pt idx="520">
                  <v>99.3878</v>
                </pt>
                <pt idx="521">
                  <v>99.41200000000001</v>
                </pt>
                <pt idx="522">
                  <v>99.0898</v>
                </pt>
                <pt idx="523">
                  <v>99.2957</v>
                </pt>
                <pt idx="524">
                  <v>99.4435</v>
                </pt>
                <pt idx="525">
                  <v>99.3672</v>
                </pt>
                <pt idx="526">
                  <v>99.4003</v>
                </pt>
                <pt idx="527">
                  <v>99.59059999999999</v>
                </pt>
                <pt idx="528">
                  <v>99.5106</v>
                </pt>
                <pt idx="529">
                  <v>99.1665</v>
                </pt>
                <pt idx="530">
                  <v>100.3106</v>
                </pt>
                <pt idx="531">
                  <v>100.1435</v>
                </pt>
                <pt idx="532">
                  <v>100.1691</v>
                </pt>
                <pt idx="533">
                  <v>99.79689999999999</v>
                </pt>
                <pt idx="534">
                  <v>99.6024</v>
                </pt>
                <pt idx="535">
                  <v>99.64230000000001</v>
                </pt>
                <pt idx="536">
                  <v>100.6969</v>
                </pt>
                <pt idx="537">
                  <v>100.809</v>
                </pt>
                <pt idx="538">
                  <v>100.5616</v>
                </pt>
                <pt idx="539">
                  <v>100.142</v>
                </pt>
                <pt idx="540">
                  <v>101.1868</v>
                </pt>
                <pt idx="541">
                  <v>101.1026</v>
                </pt>
                <pt idx="542">
                  <v>101.825</v>
                </pt>
                <pt idx="543">
                  <v>100.9561</v>
                </pt>
                <pt idx="544">
                  <v>101.6835</v>
                </pt>
                <pt idx="545">
                  <v>101.6938</v>
                </pt>
                <pt idx="546">
                  <v>102.0176</v>
                </pt>
                <pt idx="547">
                  <v>102.0249</v>
                </pt>
                <pt idx="548">
                  <v>101.5511</v>
                </pt>
                <pt idx="549">
                  <v>101.278</v>
                </pt>
                <pt idx="550">
                  <v>101.6213</v>
                </pt>
                <pt idx="551">
                  <v>100.7582</v>
                </pt>
                <pt idx="552">
                  <v>100.2292</v>
                </pt>
                <pt idx="553">
                  <v>99.9469</v>
                </pt>
                <pt idx="554">
                  <v>99.3231</v>
                </pt>
                <pt idx="555">
                  <v>99.3831</v>
                </pt>
                <pt idx="556">
                  <v>99.7831</v>
                </pt>
                <pt idx="557">
                  <v>99.10599999999999</v>
                </pt>
                <pt idx="558">
                  <v>99.7898</v>
                </pt>
                <pt idx="559">
                  <v>99.1318</v>
                </pt>
                <pt idx="560">
                  <v>98.2088</v>
                </pt>
                <pt idx="561">
                  <v>99.1039</v>
                </pt>
                <pt idx="562">
                  <v>99.151</v>
                </pt>
                <pt idx="563">
                  <v>98.91160000000001</v>
                </pt>
                <pt idx="564">
                  <v>99.1331</v>
                </pt>
                <pt idx="565">
                  <v>94.6074</v>
                </pt>
                <pt idx="566">
                  <v>79.9421</v>
                </pt>
                <pt idx="567">
                  <v>83.488</v>
                </pt>
                <pt idx="568">
                  <v>90.02419999999999</v>
                </pt>
                <pt idx="569">
                  <v>93.2612</v>
                </pt>
                <pt idx="570">
                  <v>94.5193</v>
                </pt>
                <pt idx="571">
                  <v>94.4619</v>
                </pt>
                <pt idx="572">
                  <v>95.20820000000001</v>
                </pt>
                <pt idx="573">
                  <v>95.8115</v>
                </pt>
                <pt idx="574">
                  <v>96.44499999999999</v>
                </pt>
                <pt idx="575">
                  <v>97.5098</v>
                </pt>
                <pt idx="576">
                  <v>93.52760000000001</v>
                </pt>
                <pt idx="577">
                  <v>96.3978</v>
                </pt>
                <pt idx="578">
                  <v>96.5859</v>
                </pt>
                <pt idx="579">
                  <v>97.68429999999999</v>
                </pt>
                <pt idx="580">
                  <v>97.6806</v>
                </pt>
                <pt idx="581">
                  <v>98.6887</v>
                </pt>
                <pt idx="582">
                  <v>98.3313</v>
                </pt>
                <pt idx="583">
                  <v>97.4235</v>
                </pt>
                <pt idx="584">
                  <v>98.755</v>
                </pt>
                <pt idx="585">
                  <v>99.6404</v>
                </pt>
                <pt idx="586">
                  <v>99.617</v>
                </pt>
                <pt idx="587">
                  <v>99.0596</v>
                </pt>
                <pt idx="588">
                  <v>100.2304</v>
                </pt>
                <pt idx="589">
                  <v>101.0107</v>
                </pt>
                <pt idx="590">
                  <v>101.1941</v>
                </pt>
                <pt idx="591">
                  <v>100.863</v>
                </pt>
                <pt idx="592">
                  <v>100.4645</v>
                </pt>
                <pt idx="593">
                  <v>100.7345</v>
                </pt>
                <pt idx="594">
                  <v>100.9427</v>
                </pt>
                <pt idx="595">
                  <v>101.1402</v>
                </pt>
                <pt idx="596">
                  <v>101.2339</v>
                </pt>
                <pt idx="597">
                  <v>100.5228</v>
                </pt>
                <pt idx="598">
                  <v>98.4473</v>
                </pt>
                <pt idx="599">
                  <v>99.9233</v>
                </pt>
                <pt idx="600">
                  <v>100.5837</v>
                </pt>
                <pt idx="601">
                  <v>100.0536</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Manu!$A$20:$A$625</f>
              <numCache>
                <formatCode>mmm\-yy</formatCode>
                <ptCount val="60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Manu!$D$20:$D$625</f>
              <numCache>
                <formatCode>0.0%</formatCode>
                <ptCount val="606"/>
                <pt idx="0">
                  <v>0.1146015671159654</v>
                </pt>
                <pt idx="1">
                  <v>0.1090017111642498</v>
                </pt>
                <pt idx="2">
                  <v>0.09496564403204032</v>
                </pt>
                <pt idx="3">
                  <v>0.1001829727110819</v>
                </pt>
                <pt idx="4">
                  <v>0.09724988529943597</v>
                </pt>
                <pt idx="5">
                  <v>0.1023683045595395</v>
                </pt>
                <pt idx="6">
                  <v>0.0849561435051633</v>
                </pt>
                <pt idx="7">
                  <v>0.08643180195191634</v>
                </pt>
                <pt idx="8">
                  <v>0.08093479716788152</v>
                </pt>
                <pt idx="9">
                  <v>0.07440661483604413</v>
                </pt>
                <pt idx="10">
                  <v>0.05936315102020118</v>
                </pt>
                <pt idx="11">
                  <v>0.04248684319810327</v>
                </pt>
                <pt idx="12">
                  <v>0.02187504644515029</v>
                </pt>
                <pt idx="13">
                  <v>0.01934408636715435</v>
                </pt>
                <pt idx="14">
                  <v>0.01639392978841427</v>
                </pt>
                <pt idx="15">
                  <v>0.01697062738180463</v>
                </pt>
                <pt idx="16">
                  <v>0.01727649275390847</v>
                </pt>
                <pt idx="17">
                  <v>0.01230408348657319</v>
                </pt>
                <pt idx="18">
                  <v>0.005484577388025384</v>
                </pt>
                <pt idx="19">
                  <v>-0.001572660059546817</v>
                </pt>
                <pt idx="20">
                  <v>-0.01830525145914053</v>
                </pt>
                <pt idx="21">
                  <v>-0.05493697680209949</v>
                </pt>
                <pt idx="22">
                  <v>-0.0988218563483533</v>
                </pt>
                <pt idx="23">
                  <v>-0.1104793773116629</v>
                </pt>
                <pt idx="24">
                  <v>-0.1319021750987194</v>
                </pt>
                <pt idx="25">
                  <v>-0.1431534363811021</v>
                </pt>
                <pt idx="26">
                  <v>-0.1394227489352577</v>
                </pt>
                <pt idx="27">
                  <v>-0.1471338889359283</v>
                </pt>
                <pt idx="28">
                  <v>-0.1403570703211892</v>
                </pt>
                <pt idx="29">
                  <v>-0.1275536613565667</v>
                </pt>
                <pt idx="30">
                  <v>-0.1100601135858658</v>
                </pt>
                <pt idx="31">
                  <v>-0.09570787300395256</v>
                </pt>
                <pt idx="32">
                  <v>-0.08428903306925728</v>
                </pt>
                <pt idx="33">
                  <v>-0.05316445433147281</v>
                </pt>
                <pt idx="34">
                  <v>0.00661771347505687</v>
                </pt>
                <pt idx="35">
                  <v>0.04105926832644414</v>
                </pt>
                <pt idx="36">
                  <v>0.08798751253075085</v>
                </pt>
                <pt idx="37">
                  <v>0.1066012122653395</v>
                </pt>
                <pt idx="38">
                  <v>0.1125210571764273</v>
                </pt>
                <pt idx="39">
                  <v>0.1202711710561772</v>
                </pt>
                <pt idx="40">
                  <v>0.1120386569086848</v>
                </pt>
                <pt idx="41">
                  <v>0.1038392867044458</v>
                </pt>
                <pt idx="42">
                  <v>0.09923398137630943</v>
                </pt>
                <pt idx="43">
                  <v>0.08315290222206644</v>
                </pt>
                <pt idx="44">
                  <v>0.07555184870321253</v>
                </pt>
                <pt idx="45">
                  <v>0.0877366215500217</v>
                </pt>
                <pt idx="46">
                  <v>0.08460695952811381</v>
                </pt>
                <pt idx="47">
                  <v>0.06761199360744152</v>
                </pt>
                <pt idx="48">
                  <v>0.07034640645331851</v>
                </pt>
                <pt idx="49">
                  <v>0.08267562430125079</v>
                </pt>
                <pt idx="50">
                  <v>0.08806763235847999</v>
                </pt>
                <pt idx="51">
                  <v>0.0913036212545513</v>
                </pt>
                <pt idx="52">
                  <v>0.09990591139483836</v>
                </pt>
                <pt idx="53">
                  <v>0.0922751955312876</v>
                </pt>
                <pt idx="54">
                  <v>0.09137878103386732</v>
                </pt>
                <pt idx="55">
                  <v>0.08839959174528884</v>
                </pt>
                <pt idx="56">
                  <v>0.09268304845968763</v>
                </pt>
                <pt idx="57">
                  <v>0.08096977748256393</v>
                </pt>
                <pt idx="58">
                  <v>0.08122142382647581</v>
                </pt>
                <pt idx="59">
                  <v>0.06829220644436589</v>
                </pt>
                <pt idx="60">
                  <v>0.05299517070386864</v>
                </pt>
                <pt idx="61">
                  <v>0.05601699461002434</v>
                </pt>
                <pt idx="62">
                  <v>0.06163198098953585</v>
                </pt>
                <pt idx="63">
                  <v>0.05853514800258001</v>
                </pt>
                <pt idx="64">
                  <v>0.05693859342519167</v>
                </pt>
                <pt idx="65">
                  <v>0.05612288306103912</v>
                </pt>
                <pt idx="66">
                  <v>0.05630034167158372</v>
                </pt>
                <pt idx="67">
                  <v>0.06181542057677925</v>
                </pt>
                <pt idx="68">
                  <v>0.06681255790391262</v>
                </pt>
                <pt idx="69">
                  <v>0.07407634991511111</v>
                </pt>
                <pt idx="70">
                  <v>0.06952077453853119</v>
                </pt>
                <pt idx="71">
                  <v>0.07862464026186874</v>
                </pt>
                <pt idx="72">
                  <v>0.07786828316318978</v>
                </pt>
                <pt idx="73">
                  <v>0.06418676255708779</v>
                </pt>
                <pt idx="74">
                  <v>0.02997984159680985</v>
                </pt>
                <pt idx="75">
                  <v>0.03917937028066679</v>
                </pt>
                <pt idx="76">
                  <v>0.03268477241625396</v>
                </pt>
                <pt idx="77">
                  <v>0.03406112015885317</v>
                </pt>
                <pt idx="78">
                  <v>0.0147982159868363</v>
                </pt>
                <pt idx="79">
                  <v>0.01089288483741458</v>
                </pt>
                <pt idx="80">
                  <v>0.009088672848418753</v>
                </pt>
                <pt idx="81">
                  <v>-0.004184791936382645</v>
                </pt>
                <pt idx="82">
                  <v>-0.007953993093913935</v>
                </pt>
                <pt idx="83">
                  <v>0.004287225001960319</v>
                </pt>
                <pt idx="84">
                  <v>-0.0002281686927200697</v>
                </pt>
                <pt idx="85">
                  <v>-0.01321112568967829</v>
                </pt>
                <pt idx="86">
                  <v>-0.0170369594000595</v>
                </pt>
                <pt idx="87">
                  <v>-0.06088882326886168</v>
                </pt>
                <pt idx="88">
                  <v>-0.07732336681723187</v>
                </pt>
                <pt idx="89">
                  <v>-0.0883276904677683</v>
                </pt>
                <pt idx="90">
                  <v>-0.06945371921103431</v>
                </pt>
                <pt idx="91">
                  <v>-0.05431862008715013</v>
                </pt>
                <pt idx="92">
                  <v>-0.04144532955735414</v>
                </pt>
                <pt idx="93">
                  <v>-0.02043738775927068</v>
                </pt>
                <pt idx="94">
                  <v>-0.01988109101013252</v>
                </pt>
                <pt idx="95">
                  <v>-0.02886323830424787</v>
                </pt>
                <pt idx="96">
                  <v>-0.03230169094682043</v>
                </pt>
                <pt idx="97">
                  <v>-0.02099718517539928</v>
                </pt>
                <pt idx="98">
                  <v>0.005313917153376781</v>
                </pt>
                <pt idx="99">
                  <v>0.04221973668252328</v>
                </pt>
                <pt idx="100">
                  <v>0.05455595793165489</v>
                </pt>
                <pt idx="101">
                  <v>0.06889368247472198</v>
                </pt>
                <pt idx="102">
                  <v>0.06080094277113262</v>
                </pt>
                <pt idx="103">
                  <v>0.03819626734683301</v>
                </pt>
                <pt idx="104">
                  <v>0.008467454810018517</v>
                </pt>
                <pt idx="105">
                  <v>-0.02261456620478879</v>
                </pt>
                <pt idx="106">
                  <v>-0.04335396468144036</v>
                </pt>
                <pt idx="107">
                  <v>-0.06335992977149663</v>
                </pt>
                <pt idx="108">
                  <v>-0.03163078132506433</v>
                </pt>
                <pt idx="109">
                  <v>-0.04204619901751444</v>
                </pt>
                <pt idx="110">
                  <v>-0.05419381371891156</v>
                </pt>
                <pt idx="111">
                  <v>-0.06040643048013103</v>
                </pt>
                <pt idx="112">
                  <v>-0.05675039569381207</v>
                </pt>
                <pt idx="113">
                  <v>-0.05994822996612036</v>
                </pt>
                <pt idx="114">
                  <v>-0.06878836344773935</v>
                </pt>
                <pt idx="115">
                  <v>-0.06668692283485084</v>
                </pt>
                <pt idx="116">
                  <v>-0.06929572770272197</v>
                </pt>
                <pt idx="117">
                  <v>-0.0624594404786246</v>
                </pt>
                <pt idx="118">
                  <v>-0.04873463681463733</v>
                </pt>
                <pt idx="119">
                  <v>-0.001366421298541045</v>
                </pt>
                <pt idx="120">
                  <v>-0.029809112536785</v>
                </pt>
                <pt idx="121">
                  <v>-0.01291666761335881</v>
                </pt>
                <pt idx="122">
                  <v>0.006401146118690071</v>
                </pt>
                <pt idx="123">
                  <v>0.02105919831930072</v>
                </pt>
                <pt idx="124">
                  <v>0.03044507238824993</v>
                </pt>
                <pt idx="125">
                  <v>0.04722677448048702</v>
                </pt>
                <pt idx="126">
                  <v>0.06657723167762565</v>
                </pt>
                <pt idx="127">
                  <v>0.08888516828745371</v>
                </pt>
                <pt idx="128">
                  <v>0.1149282567207786</v>
                </pt>
                <pt idx="129">
                  <v>0.1273787963551198</v>
                </pt>
                <pt idx="130">
                  <v>0.1348738656469378</v>
                </pt>
                <pt idx="131">
                  <v>0.1288725654177817</v>
                </pt>
                <pt idx="132">
                  <v>0.1419569724523285</v>
                </pt>
                <pt idx="133">
                  <v>0.1356791669352092</v>
                </pt>
                <pt idx="134">
                  <v>0.1276088686753837</v>
                </pt>
                <pt idx="135">
                  <v>0.1171946422995972</v>
                </pt>
                <pt idx="136">
                  <v>0.1130207173089776</v>
                </pt>
                <pt idx="137">
                  <v>0.1011724734316906</v>
                </pt>
                <pt idx="138">
                  <v>0.09374415173500333</v>
                </pt>
                <pt idx="139">
                  <v>0.06940345362211746</v>
                </pt>
                <pt idx="140">
                  <v>0.06371603245077749</v>
                </pt>
                <pt idx="141">
                  <v>0.0612316989320565</v>
                </pt>
                <pt idx="142">
                  <v>0.06057805745370579</v>
                </pt>
                <pt idx="143">
                  <v>0.03897196973282652</v>
                </pt>
                <pt idx="144">
                  <v>0.02314012916462276</v>
                </pt>
                <pt idx="145">
                  <v>0.02634635145899079</v>
                </pt>
                <pt idx="146">
                  <v>0.01775076331105585</v>
                </pt>
                <pt idx="147">
                  <v>0.01686286731072759</v>
                </pt>
                <pt idx="148">
                  <v>0.01256717403704698</v>
                </pt>
                <pt idx="149">
                  <v>0.003988328011576297</v>
                </pt>
                <pt idx="150">
                  <v>0.007339584614129716</v>
                </pt>
                <pt idx="151">
                  <v>0.01203967561371603</v>
                </pt>
                <pt idx="152">
                  <v>0.004920931341385923</v>
                </pt>
                <pt idx="153">
                  <v>0.009219192087306052</v>
                </pt>
                <pt idx="154">
                  <v>0.009760376821673564</v>
                </pt>
                <pt idx="155">
                  <v>0.02442575122257508</v>
                </pt>
                <pt idx="156">
                  <v>0.02361940001591471</v>
                </pt>
                <pt idx="157">
                  <v>0.01270764710064212</v>
                </pt>
                <pt idx="158">
                  <v>0.01874895971212753</v>
                </pt>
                <pt idx="159">
                  <v>0.0178091238393521</v>
                </pt>
                <pt idx="160">
                  <v>0.01347264554845296</v>
                </pt>
                <pt idx="161">
                  <v>0.02340013698222208</v>
                </pt>
                <pt idx="162">
                  <v>0.02103668532468509</v>
                </pt>
                <pt idx="163">
                  <v>0.02293454882693018</v>
                </pt>
                <pt idx="164">
                  <v>0.02872664514458213</v>
                </pt>
                <pt idx="165">
                  <v>0.02536707757366578</v>
                </pt>
                <pt idx="166">
                  <v>0.03201530911737777</v>
                </pt>
                <pt idx="167">
                  <v>0.01603607052468151</v>
                </pt>
                <pt idx="168">
                  <v>0.03653656668992301</v>
                </pt>
                <pt idx="169">
                  <v>0.0403843041361249</v>
                </pt>
                <pt idx="170">
                  <v>0.04416198237799789</v>
                </pt>
                <pt idx="171">
                  <v>0.05016716560565235</v>
                </pt>
                <pt idx="172">
                  <v>0.05842256158211924</v>
                </pt>
                <pt idx="173">
                  <v>0.06091343971507393</v>
                </pt>
                <pt idx="174">
                  <v>0.06364552564333201</v>
                </pt>
                <pt idx="175">
                  <v>0.06826603499526443</v>
                </pt>
                <pt idx="176">
                  <v>0.08089659625495807</v>
                </pt>
                <pt idx="177">
                  <v>0.08236738007436588</v>
                </pt>
                <pt idx="178">
                  <v>0.07941717384297436</v>
                </pt>
                <pt idx="179">
                  <v>0.08057993960072535</v>
                </pt>
                <pt idx="180">
                  <v>0.06855122217368245</v>
                </pt>
                <pt idx="181">
                  <v>0.07153821787968132</v>
                </pt>
                <pt idx="182">
                  <v>0.07487216742574529</v>
                </pt>
                <pt idx="183">
                  <v>0.0650279420551515</v>
                </pt>
                <pt idx="184">
                  <v>0.06347512829726264</v>
                </pt>
                <pt idx="185">
                  <v>0.05481045084777371</v>
                </pt>
                <pt idx="186">
                  <v>0.05088031659025312</v>
                </pt>
                <pt idx="187">
                  <v>0.04662668855170522</v>
                </pt>
                <pt idx="188">
                  <v>0.03486445354724922</v>
                </pt>
                <pt idx="189">
                  <v>0.03372362688196209</v>
                </pt>
                <pt idx="190">
                  <v>0.03134633253530103</v>
                </pt>
                <pt idx="191">
                  <v>0.04290056493991356</v>
                </pt>
                <pt idx="192">
                  <v>0.0285498714720616</v>
                </pt>
                <pt idx="193">
                  <v>0.02397931786021013</v>
                </pt>
                <pt idx="194">
                  <v>0.01633713383556116</v>
                </pt>
                <pt idx="195">
                  <v>0.01023385718454288</v>
                </pt>
                <pt idx="196">
                  <v>0.009706618243313519</v>
                </pt>
                <pt idx="197">
                  <v>-0.002102693979153305</v>
                </pt>
                <pt idx="198">
                  <v>0.006226680234530211</v>
                </pt>
                <pt idx="199">
                  <v>0.0009126590467975166</v>
                </pt>
                <pt idx="200">
                  <v>-0.005856643656992028</v>
                </pt>
                <pt idx="201">
                  <v>-0.007613392314734867</v>
                </pt>
                <pt idx="202">
                  <v>-0.01190981039336596</v>
                </pt>
                <pt idx="203">
                  <v>-0.02112261042976384</v>
                </pt>
                <pt idx="204">
                  <v>0.002830159710399099</v>
                </pt>
                <pt idx="205">
                  <v>0.009470285782613915</v>
                </pt>
                <pt idx="206">
                  <v>0.003712128446123847</v>
                </pt>
                <pt idx="207">
                  <v>0.01515745459297018</v>
                </pt>
                <pt idx="208">
                  <v>0.01657016752068688</v>
                </pt>
                <pt idx="209">
                  <v>0.02660223115487102</v>
                </pt>
                <pt idx="210">
                  <v>0.02025509344138804</v>
                </pt>
                <pt idx="211">
                  <v>0.02141500360249181</v>
                </pt>
                <pt idx="212">
                  <v>0.01711871289951873</v>
                </pt>
                <pt idx="213">
                  <v>0.002736603232192303</v>
                </pt>
                <pt idx="214">
                  <v>-0.005968940138235457</v>
                </pt>
                <pt idx="215">
                  <v>-0.01130239779196137</v>
                </pt>
                <pt idx="216">
                  <v>-0.03213091886466676</v>
                </pt>
                <pt idx="217">
                  <v>-0.04395096741878381</v>
                </pt>
                <pt idx="218">
                  <v>-0.03598507049383914</v>
                </pt>
                <pt idx="219">
                  <v>-0.03206569971072622</v>
                </pt>
                <pt idx="220">
                  <v>-0.02573135940849772</v>
                </pt>
                <pt idx="221">
                  <v>-0.01802937493654608</v>
                </pt>
                <pt idx="222">
                  <v>-0.02085935695730526</v>
                </pt>
                <pt idx="223">
                  <v>-0.00914816277350838</v>
                </pt>
                <pt idx="224">
                  <v>-0.00365971140270252</v>
                </pt>
                <pt idx="225">
                  <v>0.006512434157691397</v>
                </pt>
                <pt idx="226">
                  <v>0.01240838068551278</v>
                </pt>
                <pt idx="227">
                  <v>0.01328103735858805</v>
                </pt>
                <pt idx="228">
                  <v>0.03070355053193833</v>
                </pt>
                <pt idx="229">
                  <v>0.04893969885712972</v>
                </pt>
                <pt idx="230">
                  <v>0.05042902382760794</v>
                </pt>
                <pt idx="231">
                  <v>0.04916965727693778</v>
                </pt>
                <pt idx="232">
                  <v>0.04240687381204438</v>
                </pt>
                <pt idx="233">
                  <v>0.04638779993968897</v>
                </pt>
                <pt idx="234">
                  <v>0.0406964432362263</v>
                </pt>
                <pt idx="235">
                  <v>0.03122333549629829</v>
                </pt>
                <pt idx="236">
                  <v>0.03904047802161262</v>
                </pt>
                <pt idx="237">
                  <v>0.04520323258555584</v>
                </pt>
                <pt idx="238">
                  <v>0.04676953326379645</v>
                </pt>
                <pt idx="239">
                  <v>0.06212032509125975</v>
                </pt>
                <pt idx="240">
                  <v>0.05450645094180676</v>
                </pt>
                <pt idx="241">
                  <v>0.04144062662938658</v>
                </pt>
                <pt idx="242">
                  <v>0.04085614536620892</v>
                </pt>
                <pt idx="243">
                  <v>0.0336684389238374</v>
                </pt>
                <pt idx="244">
                  <v>0.02843313575633869</v>
                </pt>
                <pt idx="245">
                  <v>0.02153990563940419</v>
                </pt>
                <pt idx="246">
                  <v>0.02469084742958766</v>
                </pt>
                <pt idx="247">
                  <v>0.03058019125006189</v>
                </pt>
                <pt idx="248">
                  <v>0.03294869122664774</v>
                </pt>
                <pt idx="249">
                  <v>0.03365770490088218</v>
                </pt>
                <pt idx="250">
                  <v>0.04146145916848023</v>
                </pt>
                <pt idx="251">
                  <v>0.03320650350092484</v>
                </pt>
                <pt idx="252">
                  <v>0.03216093403839009</v>
                </pt>
                <pt idx="253">
                  <v>0.04811970381892128</v>
                </pt>
                <pt idx="254">
                  <v>0.05209857838238605</v>
                </pt>
                <pt idx="255">
                  <v>0.06016618263956131</v>
                </pt>
                <pt idx="256">
                  <v>0.06583506807514783</v>
                </pt>
                <pt idx="257">
                  <v>0.06769677185346387</v>
                </pt>
                <pt idx="258">
                  <v>0.07822247336131745</v>
                </pt>
                <pt idx="259">
                  <v>0.07433261859661613</v>
                </pt>
                <pt idx="260">
                  <v>0.07603430004115114</v>
                </pt>
                <pt idx="261">
                  <v>0.07983243112454284</v>
                </pt>
                <pt idx="262">
                  <v>0.08477478751315759</v>
                </pt>
                <pt idx="263">
                  <v>0.0854123517228394</v>
                </pt>
                <pt idx="264">
                  <v>0.08097098756341267</v>
                </pt>
                <pt idx="265">
                  <v>0.06936738760436474</v>
                </pt>
                <pt idx="266">
                  <v>0.05679417473645831</v>
                </pt>
                <pt idx="267">
                  <v>0.0535313982386001</v>
                </pt>
                <pt idx="268">
                  <v>0.05472946128814096</v>
                </pt>
                <pt idx="269">
                  <v>0.04329937688636447</v>
                </pt>
                <pt idx="270">
                  <v>0.04713925710974458</v>
                </pt>
                <pt idx="271">
                  <v>0.05266934172645777</v>
                </pt>
                <pt idx="272">
                  <v>0.04123341434819465</v>
                </pt>
                <pt idx="273">
                  <v>0.03377913294611448</v>
                </pt>
                <pt idx="274">
                  <v>0.02648920300664776</v>
                </pt>
                <pt idx="275">
                  <v>0.01831139637588453</v>
                </pt>
                <pt idx="276">
                  <v>0.03617166212534059</v>
                </pt>
                <pt idx="277">
                  <v>0.03066661655309208</v>
                </pt>
                <pt idx="278">
                  <v>0.04669367873995207</v>
                </pt>
                <pt idx="279">
                  <v>0.05134586994016736</v>
                </pt>
                <pt idx="280">
                  <v>0.05683239547181079</v>
                </pt>
                <pt idx="281">
                  <v>0.06856903864995077</v>
                </pt>
                <pt idx="282">
                  <v>0.06025598677597075</v>
                </pt>
                <pt idx="283">
                  <v>0.05942902002128385</v>
                </pt>
                <pt idx="284">
                  <v>0.05869389804117332</v>
                </pt>
                <pt idx="285">
                  <v>0.06693318864457705</v>
                </pt>
                <pt idx="286">
                  <v>0.0713937016761667</v>
                </pt>
                <pt idx="287">
                  <v>0.07916703339759409</v>
                </pt>
                <pt idx="288">
                  <v>0.07787337551072367</v>
                </pt>
                <pt idx="289">
                  <v>0.09191613742959084</v>
                </pt>
                <pt idx="290">
                  <v>0.07674665004674343</v>
                </pt>
                <pt idx="291">
                  <v>0.07608019114852618</v>
                </pt>
                <pt idx="292">
                  <v>0.07193599643034004</v>
                </pt>
                <pt idx="293">
                  <v>0.07509432837923116</v>
                </pt>
                <pt idx="294">
                  <v>0.08419333434033921</v>
                </pt>
                <pt idx="295">
                  <v>0.0848860009790835</v>
                </pt>
                <pt idx="296">
                  <v>0.0962325666125514</v>
                </pt>
                <pt idx="297">
                  <v>0.09815968026768275</v>
                </pt>
                <pt idx="298">
                  <v>0.09499961151547169</v>
                </pt>
                <pt idx="299">
                  <v>0.102938874411495</v>
                </pt>
                <pt idx="300">
                  <v>0.0893808640132886</v>
                </pt>
                <pt idx="301">
                  <v>0.07608637011727531</v>
                </pt>
                <pt idx="302">
                  <v>0.08227408487879434</v>
                </pt>
                <pt idx="303">
                  <v>0.08038478874030729</v>
                </pt>
                <pt idx="304">
                  <v>0.06526702395924674</v>
                </pt>
                <pt idx="305">
                  <v>0.05202399518282348</v>
                </pt>
                <pt idx="306">
                  <v>0.06544727633695285</v>
                </pt>
                <pt idx="307">
                  <v>0.05498568614058393</v>
                </pt>
                <pt idx="308">
                  <v>0.05478256938241619</v>
                </pt>
                <pt idx="309">
                  <v>0.04491588850587095</v>
                </pt>
                <pt idx="310">
                  <v>0.04551894167167761</v>
                </pt>
                <pt idx="311">
                  <v>0.03979762464189528</v>
                </pt>
                <pt idx="312">
                  <v>0.04809724277099963</v>
                </pt>
                <pt idx="313">
                  <v>0.05002840963349192</v>
                </pt>
                <pt idx="314">
                  <v>0.04949364215160192</v>
                </pt>
                <pt idx="315">
                  <v>0.05230109946474511</v>
                </pt>
                <pt idx="316">
                  <v>0.05828153983066294</v>
                </pt>
                <pt idx="317">
                  <v>0.06890354007309095</v>
                </pt>
                <pt idx="318">
                  <v>0.04756150526787718</v>
                </pt>
                <pt idx="319">
                  <v>0.04376178127640389</v>
                </pt>
                <pt idx="320">
                  <v>0.05040122423493996</v>
                </pt>
                <pt idx="321">
                  <v>0.05626789939886936</v>
                </pt>
                <pt idx="322">
                  <v>0.05775125985076191</v>
                </pt>
                <pt idx="323">
                  <v>0.05554077149837697</v>
                </pt>
                <pt idx="324">
                  <v>0.04870419916303158</v>
                </pt>
                <pt idx="325">
                  <v>0.05620498945609349</v>
                </pt>
                <pt idx="326">
                  <v>0.05925972062578918</v>
                </pt>
                <pt idx="327">
                  <v>0.05108193797570284</v>
                </pt>
                <pt idx="328">
                  <v>0.05526098938210902</v>
                </pt>
                <pt idx="329">
                  <v>0.05122738938484344</v>
                </pt>
                <pt idx="330">
                  <v>0.03914632393014647</v>
                </pt>
                <pt idx="331">
                  <v>0.04901651238092675</v>
                </pt>
                <pt idx="332">
                  <v>0.03022583074990548</v>
                </pt>
                <pt idx="333">
                  <v>0.02074313783916431</v>
                </pt>
                <pt idx="334">
                  <v>0.007202396811501236</v>
                </pt>
                <pt idx="335">
                  <v>0.002445038256698528</v>
                </pt>
                <pt idx="336">
                  <v>-0.00572996031186938</v>
                </pt>
                <pt idx="337">
                  <v>-0.01463680825232265</v>
                </pt>
                <pt idx="338">
                  <v>-0.02546468043798525</v>
                </pt>
                <pt idx="339">
                  <v>-0.03204056947715292</v>
                </pt>
                <pt idx="340">
                  <v>-0.03974179673373501</v>
                </pt>
                <pt idx="341">
                  <v>-0.04629815131351796</v>
                </pt>
                <pt idx="342">
                  <v>-0.04384940361850898</v>
                </pt>
                <pt idx="343">
                  <v>-0.0521524088856443</v>
                </pt>
                <pt idx="344">
                  <v>-0.05364032251848747</v>
                </pt>
                <pt idx="345">
                  <v>-0.05428073756636581</v>
                </pt>
                <pt idx="346">
                  <v>-0.04685384450937078</v>
                </pt>
                <pt idx="347">
                  <v>-0.0361416657904064</v>
                </pt>
                <pt idx="348">
                  <v>-0.03041507204544986</v>
                </pt>
                <pt idx="349">
                  <v>-0.02084987717054233</v>
                </pt>
                <pt idx="350">
                  <v>-0.01328499103180827</v>
                </pt>
                <pt idx="351">
                  <v>-0.001529987084524575</v>
                </pt>
                <pt idx="352">
                  <v>0.01514530404478374</v>
                </pt>
                <pt idx="353">
                  <v>0.01979887144533217</v>
                </pt>
                <pt idx="354">
                  <v>0.02477091697149385</v>
                </pt>
                <pt idx="355">
                  <v>0.02977037690977226</v>
                </pt>
                <pt idx="356">
                  <v>0.03113773132437451</v>
                </pt>
                <pt idx="357">
                  <v>0.04000158876065323</v>
                </pt>
                <pt idx="358">
                  <v>0.0308071179440474</v>
                </pt>
                <pt idx="359">
                  <v>0.0322614748391987</v>
                </pt>
                <pt idx="360">
                  <v>0.0306811436485952</v>
                </pt>
                <pt idx="361">
                  <v>0.024121801543715</v>
                </pt>
                <pt idx="362">
                  <v>0.01332043649139187</v>
                </pt>
                <pt idx="363">
                  <v>0.008318371173593421</v>
                </pt>
                <pt idx="364">
                  <v>0.002697585852174457</v>
                </pt>
                <pt idx="365">
                  <v>0.007873610257387892</v>
                </pt>
                <pt idx="366">
                  <v>0.002921499345426442</v>
                </pt>
                <pt idx="367">
                  <v>0.01093928717487768</v>
                </pt>
                <pt idx="368">
                  <v>0.01506746075713571</v>
                </pt>
                <pt idx="369">
                  <v>0.01904000157129936</v>
                </pt>
                <pt idx="370">
                  <v>0.02542476254946536</v>
                </pt>
                <pt idx="371">
                  <v>0.01588645342363369</v>
                </pt>
                <pt idx="372">
                  <v>0.02451802202237139</v>
                </pt>
                <pt idx="373">
                  <v>0.02288482318699125</v>
                </pt>
                <pt idx="374">
                  <v>0.0337438256095394</v>
                </pt>
                <pt idx="375">
                  <v>0.04052726451380884</v>
                </pt>
                <pt idx="376">
                  <v>0.02788992027241629</v>
                </pt>
                <pt idx="377">
                  <v>0.03287800794690464</v>
                </pt>
                <pt idx="378">
                  <v>0.04169536180982954</v>
                </pt>
                <pt idx="379">
                  <v>0.03330102779213993</v>
                </pt>
                <pt idx="380">
                  <v>0.04325722845081931</v>
                </pt>
                <pt idx="381">
                  <v>0.03355434484649124</v>
                </pt>
                <pt idx="382">
                  <v>0.04288860429850565</v>
                </pt>
                <pt idx="383">
                  <v>0.05033102497085494</v>
                </pt>
                <pt idx="384">
                  <v>0.05209348080909385</v>
                </pt>
                <pt idx="385">
                  <v>0.04737386333504074</v>
                </pt>
                <pt idx="386">
                  <v>0.048197745443816</v>
                </pt>
                <pt idx="387">
                  <v>0.04349677025047675</v>
                </pt>
                <pt idx="388">
                  <v>0.05424299664790466</v>
                </pt>
                <pt idx="389">
                  <v>0.04128100469635764</v>
                </pt>
                <pt idx="390">
                  <v>0.04229687650611237</v>
                </pt>
                <pt idx="391">
                  <v>0.02932503430884542</v>
                </pt>
                <pt idx="392">
                  <v>0.03405267432416752</v>
                </pt>
                <pt idx="393">
                  <v>0.04382609632582692</v>
                </pt>
                <pt idx="394">
                  <v>0.03658485205033211</v>
                </pt>
                <pt idx="395">
                  <v>0.03811051569634932</v>
                </pt>
                <pt idx="396">
                  <v>0.02594406210060079</v>
                </pt>
                <pt idx="397">
                  <v>0.03001646116476726</v>
                </pt>
                <pt idx="398">
                  <v>0.02939371724355795</v>
                </pt>
                <pt idx="399">
                  <v>0.02448024171234453</v>
                </pt>
                <pt idx="400">
                  <v>0.02548935677344304</v>
                </pt>
                <pt idx="401">
                  <v>0.02627565021999988</v>
                </pt>
                <pt idx="402">
                  <v>0.0287852804644889</v>
                </pt>
                <pt idx="403">
                  <v>0.04179874647490563</v>
                </pt>
                <pt idx="404">
                  <v>0.0215638148667602</v>
                </pt>
                <pt idx="405">
                  <v>0.01347558276411719</v>
                </pt>
                <pt idx="406">
                  <v>0.02776442224286416</v>
                </pt>
                <pt idx="407">
                  <v>0.01613815448444375</v>
                </pt>
                <pt idx="408">
                  <v>0.02273236138605557</v>
                </pt>
                <pt idx="409">
                  <v>0.03246338528541059</v>
                </pt>
                <pt idx="410">
                  <v>0.03555307238390711</v>
                </pt>
                <pt idx="411">
                  <v>0.0371864249736327</v>
                </pt>
                <pt idx="412">
                  <v>0.03747914197013735</v>
                </pt>
                <pt idx="413">
                  <v>0.04065934282399329</v>
                </pt>
                <pt idx="414">
                  <v>0.0299829009722019</v>
                </pt>
                <pt idx="415">
                  <v>0.03263836283980608</v>
                </pt>
                <pt idx="416">
                  <v>0.0359420431979211</v>
                </pt>
                <pt idx="417">
                  <v>0.04051990837359212</v>
                </pt>
                <pt idx="418">
                  <v>0.02648484100221451</v>
                </pt>
                <pt idx="419">
                  <v>0.02797885130282092</v>
                </pt>
                <pt idx="420">
                  <v>0.01683306200862585</v>
                </pt>
                <pt idx="421">
                  <v>0.003840579155894866</v>
                </pt>
                <pt idx="422">
                  <v>-0.01290316452389663</v>
                </pt>
                <pt idx="423">
                  <v>-0.01778688431112413</v>
                </pt>
                <pt idx="424">
                  <v>-0.02864759351505275</v>
                </pt>
                <pt idx="425">
                  <v>-0.03955532672847523</v>
                </pt>
                <pt idx="426">
                  <v>-0.04986073903177578</v>
                </pt>
                <pt idx="427">
                  <v>-0.0868361373096008</v>
                </pt>
                <pt idx="428">
                  <v>-0.09063818185948952</v>
                </pt>
                <pt idx="429">
                  <v>-0.1184438642494245</v>
                </pt>
                <pt idx="430">
                  <v>-0.1501688589196412</v>
                </pt>
                <pt idx="431">
                  <v>-0.1761113779108638</v>
                </pt>
                <pt idx="432">
                  <v>-0.1701335999135005</v>
                </pt>
                <pt idx="433">
                  <v>-0.1810014353023421</v>
                </pt>
                <pt idx="434">
                  <v>-0.1778256145945701</v>
                </pt>
                <pt idx="435">
                  <v>-0.1818764997290813</v>
                </pt>
                <pt idx="436">
                  <v>-0.1778622189823134</v>
                </pt>
                <pt idx="437">
                  <v>-0.1542764007165929</v>
                </pt>
                <pt idx="438">
                  <v>-0.1328795817791162</v>
                </pt>
                <pt idx="439">
                  <v>-0.09157501573525031</v>
                </pt>
                <pt idx="440">
                  <v>-0.08627585287957455</v>
                </pt>
                <pt idx="441">
                  <v>-0.05302604859528909</v>
                </pt>
                <pt idx="442">
                  <v>-0.02093229484559797</v>
                </pt>
                <pt idx="443">
                  <v>0.0235397653566796</v>
                </pt>
                <pt idx="444">
                  <v>0.02363071352731485</v>
                </pt>
                <pt idx="445">
                  <v>0.0557476945261714</v>
                </pt>
                <pt idx="446">
                  <v>0.0721288220340173</v>
                </pt>
                <pt idx="447">
                  <v>0.09775920203134782</v>
                </pt>
                <pt idx="448">
                  <v>0.1000747994580299</v>
                </pt>
                <pt idx="449">
                  <v>0.08732385504321627</v>
                </pt>
                <pt idx="450">
                  <v>0.07664478570203133</v>
                </pt>
                <pt idx="451">
                  <v>0.06674689239268677</v>
                </pt>
                <pt idx="452">
                  <v>0.06703055201430023</v>
                </pt>
                <pt idx="453">
                  <v>0.05737411045268837</v>
                </pt>
                <pt idx="454">
                  <v>0.06469511361878176</v>
                </pt>
                <pt idx="455">
                  <v>0.05393611236113132</v>
                </pt>
                <pt idx="456">
                  <v>0.05558936133866427</v>
                </pt>
                <pt idx="457">
                  <v>0.04871960945004011</v>
                </pt>
                <pt idx="458">
                  <v>0.03317198208761004</v>
                </pt>
                <pt idx="459">
                  <v>0.01965078910199985</v>
                </pt>
                <pt idx="460">
                  <v>0.02115168893472158</v>
                </pt>
                <pt idx="461">
                  <v>0.02116296090708498</v>
                </pt>
                <pt idx="462">
                  <v>0.02387139966547318</v>
                </pt>
                <pt idx="463">
                  <v>0.02553477421119198</v>
                </pt>
                <pt idx="464">
                  <v>0.03067420469044455</v>
                </pt>
                <pt idx="465">
                  <v>0.0273016035493683</v>
                </pt>
                <pt idx="466">
                  <v>0.02877127031034858</v>
                </pt>
                <pt idx="467">
                  <v>0.03717567434414418</v>
                </pt>
                <pt idx="468">
                  <v>0.04010886086392711</v>
                </pt>
                <pt idx="469">
                  <v>0.02733284457786021</v>
                </pt>
                <pt idx="470">
                  <v>0.03919801352493658</v>
                </pt>
                <pt idx="471">
                  <v>0.03596609213194184</v>
                </pt>
                <pt idx="472">
                  <v>0.03841121100839982</v>
                </pt>
                <pt idx="473">
                  <v>0.03070615445318474</v>
                </pt>
                <pt idx="474">
                  <v>0.02489938613267758</v>
                </pt>
                <pt idx="475">
                  <v>0.02004377087892799</v>
                </pt>
                <pt idx="476">
                  <v>0.01258139838435992</v>
                </pt>
                <pt idx="477">
                  <v>0.020878872233674</v>
                </pt>
                <pt idx="478">
                  <v>0.02173384061781477</v>
                </pt>
                <pt idx="479">
                  <v>0.01001194159751804</v>
                </pt>
                <pt idx="480">
                  <v>0.01012562198288091</v>
                </pt>
                <pt idx="481">
                  <v>0.01496675701180139</v>
                </pt>
                <pt idx="482">
                  <v>0.005865803352730053</v>
                </pt>
                <pt idx="483">
                  <v>0.01199607949926933</v>
                </pt>
                <pt idx="484">
                  <v>0.01071602780374786</v>
                </pt>
                <pt idx="485">
                  <v>0.003803717584150595</v>
                </pt>
                <pt idx="486">
                  <v>0.01328970017661851</v>
                </pt>
                <pt idx="487">
                  <v>0.01597257467773521</v>
                </pt>
                <pt idx="488">
                  <v>0.01960696049655279</v>
                </pt>
                <pt idx="489">
                  <v>0.0133736216141475</v>
                </pt>
                <pt idx="490">
                  <v>0.004068826952749316</v>
                </pt>
                <pt idx="491">
                  <v>-0.004735358014102871</v>
                </pt>
                <pt idx="492">
                  <v>7.047187970656519e-05</v>
                </pt>
                <pt idx="493">
                  <v>0.0099643411165058</v>
                </pt>
                <pt idx="494">
                  <v>0.01325224964771868</v>
                </pt>
                <pt idx="495">
                  <v>0.01322248750061726</v>
                </pt>
                <pt idx="496">
                  <v>0.01400885796588523</v>
                </pt>
                <pt idx="497">
                  <v>0.02760633836173454</v>
                </pt>
                <pt idx="498">
                  <v>0.01351067285826214</v>
                </pt>
                <pt idx="499">
                  <v>0.01366393200399639</v>
                </pt>
                <pt idx="500">
                  <v>0.01102823130889877</v>
                </pt>
                <pt idx="501">
                  <v>0.01816436113218001</v>
                </pt>
                <pt idx="502">
                  <v>0.0179912983262998</v>
                </pt>
                <pt idx="503">
                  <v>0.02336669884660338</v>
                </pt>
                <pt idx="504">
                  <v>0.005934320809684983</v>
                </pt>
                <pt idx="505">
                  <v>1.097112400170845e-05</v>
                </pt>
                <pt idx="506">
                  <v>-9.277955577543845e-05</v>
                </pt>
                <pt idx="507">
                  <v>-0.003027744042237239</v>
                </pt>
                <pt idx="508">
                  <v>-0.009925454974526886</v>
                </pt>
                <pt idx="509">
                  <v>-0.007503323788852772</v>
                </pt>
                <pt idx="510">
                  <v>-0.004825917648786722</v>
                </pt>
                <pt idx="511">
                  <v>-0.008042828981552324</v>
                </pt>
                <pt idx="512">
                  <v>-0.008562794321243659</v>
                </pt>
                <pt idx="513">
                  <v>-0.01848671264449359</v>
                </pt>
                <pt idx="514">
                  <v>-0.01928260152712761</v>
                </pt>
                <pt idx="515">
                  <v>-0.009296515345903592</v>
                </pt>
                <pt idx="516">
                  <v>-0.005239830315960986</v>
                </pt>
                <pt idx="517">
                  <v>-0.009034122813404166</v>
                </pt>
                <pt idx="518">
                  <v>-0.01038529038205784</v>
                </pt>
                <pt idx="519">
                  <v>-0.01112812710448216</v>
                </pt>
                <pt idx="520">
                  <v>-0.004636918282076939</v>
                </pt>
                <pt idx="521">
                  <v>-0.01136593045192226</v>
                </pt>
                <pt idx="522">
                  <v>-0.01188945983380886</v>
                </pt>
                <pt idx="523">
                  <v>-0.007405297066570774</v>
                </pt>
                <pt idx="524">
                  <v>-0.004556615851857981</v>
                </pt>
                <pt idx="525">
                  <v>-0.002413470458077578</v>
                </pt>
                <pt idx="526">
                  <v>0.0006563641653353585</v>
                </pt>
                <pt idx="527">
                  <v>-0.001780126332839504</v>
                </pt>
                <pt idx="528">
                  <v>0.001079441024593701</v>
                </pt>
                <pt idx="529">
                  <v>-0.001932396322408322</v>
                </pt>
                <pt idx="530">
                  <v>0.01132401897821696</v>
                </pt>
                <pt idx="531">
                  <v>0.01035542807446959</v>
                </pt>
                <pt idx="532">
                  <v>0.007861125812222442</v>
                </pt>
                <pt idx="533">
                  <v>0.003871765983985712</v>
                </pt>
                <pt idx="534">
                  <v>0.005173085423524986</v>
                </pt>
                <pt idx="535">
                  <v>0.003490584184410899</v>
                </pt>
                <pt idx="536">
                  <v>0.01260414205051109</v>
                </pt>
                <pt idx="537">
                  <v>0.01450981812912108</v>
                </pt>
                <pt idx="538">
                  <v>0.01168306333079475</v>
                </pt>
                <pt idx="539">
                  <v>0.005536667115169514</v>
                </pt>
                <pt idx="540">
                  <v>0.01684443667307813</v>
                </pt>
                <pt idx="541">
                  <v>0.01952373029198365</v>
                </pt>
                <pt idx="542">
                  <v>0.01509710838136756</v>
                </pt>
                <pt idx="543">
                  <v>0.00811435589928456</v>
                </pt>
                <pt idx="544">
                  <v>0.0151184347268768</v>
                </pt>
                <pt idx="545">
                  <v>0.01900760444462706</v>
                </pt>
                <pt idx="546">
                  <v>0.02424841168485899</v>
                </pt>
                <pt idx="547">
                  <v>0.0239115315483484</v>
                </pt>
                <pt idx="548">
                  <v>0.00848288278983768</v>
                </pt>
                <pt idx="549">
                  <v>0.004652362388278907</v>
                </pt>
                <pt idx="550">
                  <v>0.01053781960509784</v>
                </pt>
                <pt idx="551">
                  <v>0.006153262367438301</v>
                </pt>
                <pt idx="552">
                  <v>-0.00946368498657927</v>
                </pt>
                <pt idx="553">
                  <v>-0.01143096221066517</v>
                </pt>
                <pt idx="554">
                  <v>-0.02457058679106316</v>
                </pt>
                <pt idx="555">
                  <v>-0.01558102977432773</v>
                </pt>
                <pt idx="556">
                  <v>-0.01868936454783707</v>
                </pt>
                <pt idx="557">
                  <v>-0.02544697906853713</v>
                </pt>
                <pt idx="558">
                  <v>-0.02183740844716992</v>
                </pt>
                <pt idx="559">
                  <v>-0.02835680309414666</v>
                </pt>
                <pt idx="560">
                  <v>-0.03291249430089884</v>
                </pt>
                <pt idx="561">
                  <v>-0.02146665613459991</v>
                </pt>
                <pt idx="562">
                  <v>-0.024308880126509</v>
                </pt>
                <pt idx="563">
                  <v>-0.01832704434974022</v>
                </pt>
                <pt idx="564">
                  <v>-0.01093593483735286</v>
                </pt>
                <pt idx="565">
                  <v>-0.05342336780830622</v>
                </pt>
                <pt idx="566">
                  <v>-0.1951308406604305</v>
                </pt>
                <pt idx="567">
                  <v>-0.1599376553961388</v>
                </pt>
                <pt idx="568">
                  <v>-0.09780113065238513</v>
                </pt>
                <pt idx="569">
                  <v>-0.05897523863338237</v>
                </pt>
                <pt idx="570">
                  <v>-0.0528160192725108</v>
                </pt>
                <pt idx="571">
                  <v>-0.04710799158292292</v>
                </pt>
                <pt idx="572">
                  <v>-0.03055327017538135</v>
                </pt>
                <pt idx="573">
                  <v>-0.03322169965056875</v>
                </pt>
                <pt idx="574">
                  <v>-0.02729170658894014</v>
                </pt>
                <pt idx="575">
                  <v>-0.01417225077746198</v>
                </pt>
                <pt idx="576">
                  <v>-0.05654519025431458</v>
                </pt>
                <pt idx="577">
                  <v>0.01892452387445385</v>
                </pt>
                <pt idx="578">
                  <v>0.2081981834352613</v>
                </pt>
                <pt idx="579">
                  <v>0.1700400057493292</v>
                </pt>
                <pt idx="580">
                  <v>0.08504824258366089</v>
                </pt>
                <pt idx="581">
                  <v>0.05819676349864675</v>
                </pt>
                <pt idx="582">
                  <v>0.04033038755047908</v>
                </pt>
                <pt idx="583">
                  <v>0.03135232300006674</v>
                </pt>
                <pt idx="584">
                  <v>0.03725309374612681</v>
                </pt>
                <pt idx="585">
                  <v>0.03996284370874065</v>
                </pt>
                <pt idx="586">
                  <v>0.032889211467676</v>
                </pt>
                <pt idx="587">
                  <v>0.01589378708601602</v>
                </pt>
                <pt idx="588">
                  <v>0.07166654549031512</v>
                </pt>
                <pt idx="589">
                  <v>0.04785275182628645</v>
                </pt>
                <pt idx="590">
                  <v>0.04771089776043927</v>
                </pt>
                <pt idx="591">
                  <v>0.03254054131523701</v>
                </pt>
                <pt idx="592">
                  <v>0.02850002968859736</v>
                </pt>
                <pt idx="593">
                  <v>0.02072983026425518</v>
                </pt>
                <pt idx="594">
                  <v>0.02655715931753169</v>
                </pt>
                <pt idx="595">
                  <v>0.03814993302437285</v>
                </pt>
                <pt idx="596">
                  <v>0.02510151384740024</v>
                </pt>
                <pt idx="597">
                  <v>0.008855845620852627</v>
                </pt>
                <pt idx="598">
                  <v>-0.01174197175180949</v>
                </pt>
                <pt idx="599">
                  <v>0.008718993414065818</v>
                </pt>
                <pt idx="600">
                  <v>0.003524878679522282</v>
                </pt>
                <pt idx="601">
                  <v>-0.009475233811863465</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Manu!$A$463:$A$627</f>
              <numCache>
                <formatCode>mmm\-yy</formatCode>
                <ptCount val="16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Manu!$B$463:$B$627</f>
              <numCache>
                <formatCode>0.0</formatCode>
                <ptCount val="165"/>
                <pt idx="0">
                  <v>89.55410000000001</v>
                </pt>
                <pt idx="1">
                  <v>89.5639</v>
                </pt>
                <pt idx="2">
                  <v>90.7848</v>
                </pt>
                <pt idx="3">
                  <v>91.6014</v>
                </pt>
                <pt idx="4">
                  <v>92.8207</v>
                </pt>
                <pt idx="5">
                  <v>92.80110000000001</v>
                </pt>
                <pt idx="6">
                  <v>93.31870000000001</v>
                </pt>
                <pt idx="7">
                  <v>93.5052</v>
                </pt>
                <pt idx="8">
                  <v>93.6096</v>
                </pt>
                <pt idx="9">
                  <v>93.6585</v>
                </pt>
                <pt idx="10">
                  <v>93.78570000000001</v>
                </pt>
                <pt idx="11">
                  <v>94.27460000000001</v>
                </pt>
                <pt idx="12">
                  <v>94.3843</v>
                </pt>
                <pt idx="13">
                  <v>94.5427</v>
                </pt>
                <pt idx="14">
                  <v>95.20780000000001</v>
                </pt>
                <pt idx="15">
                  <v>94.64</v>
                </pt>
                <pt idx="16">
                  <v>94.6447</v>
                </pt>
                <pt idx="17">
                  <v>94.764</v>
                </pt>
                <pt idx="18">
                  <v>95.2936</v>
                </pt>
                <pt idx="19">
                  <v>95.7373</v>
                </pt>
                <pt idx="20">
                  <v>95.9999</v>
                </pt>
                <pt idx="21">
                  <v>96.5314</v>
                </pt>
                <pt idx="22">
                  <v>96.3462</v>
                </pt>
                <pt idx="23">
                  <v>96.98699999999999</v>
                </pt>
                <pt idx="24">
                  <v>97.8931</v>
                </pt>
                <pt idx="25">
                  <v>98.3347</v>
                </pt>
                <pt idx="26">
                  <v>97.81010000000001</v>
                </pt>
                <pt idx="27">
                  <v>98.3497</v>
                </pt>
                <pt idx="28">
                  <v>98.0487</v>
                </pt>
                <pt idx="29">
                  <v>98.404</v>
                </pt>
                <pt idx="30">
                  <v>98.2197</v>
                </pt>
                <pt idx="31">
                  <v>98.1211</v>
                </pt>
                <pt idx="32">
                  <v>97.9241</v>
                </pt>
                <pt idx="33">
                  <v>97.74590000000001</v>
                </pt>
                <pt idx="34">
                  <v>98.3578</v>
                </pt>
                <pt idx="35">
                  <v>99.0949</v>
                </pt>
                <pt idx="36">
                  <v>98.8732</v>
                </pt>
                <pt idx="37">
                  <v>99.3304</v>
                </pt>
                <pt idx="38">
                  <v>99.274</v>
                </pt>
                <pt idx="39">
                  <v>98.92659999999999</v>
                </pt>
                <pt idx="40">
                  <v>99.22490000000001</v>
                </pt>
                <pt idx="41">
                  <v>99.4585</v>
                </pt>
                <pt idx="42">
                  <v>98.5933</v>
                </pt>
                <pt idx="43">
                  <v>99.4251</v>
                </pt>
                <pt idx="44">
                  <v>99.48820000000001</v>
                </pt>
                <pt idx="45">
                  <v>99.66240000000001</v>
                </pt>
                <pt idx="46">
                  <v>99.67319999999999</v>
                </pt>
                <pt idx="47">
                  <v>99.49809999999999</v>
                </pt>
                <pt idx="48">
                  <v>98.405</v>
                </pt>
                <pt idx="49">
                  <v>99.3374</v>
                </pt>
                <pt idx="50">
                  <v>100.2632</v>
                </pt>
                <pt idx="51">
                  <v>100.2376</v>
                </pt>
                <pt idx="52">
                  <v>100.5369</v>
                </pt>
                <pt idx="53">
                  <v>100.8518</v>
                </pt>
                <pt idx="54">
                  <v>101.3151</v>
                </pt>
                <pt idx="55">
                  <v>100.7684</v>
                </pt>
                <pt idx="56">
                  <v>100.8476</v>
                </pt>
                <pt idx="57">
                  <v>100.7615</v>
                </pt>
                <pt idx="58">
                  <v>101.4837</v>
                </pt>
                <pt idx="59">
                  <v>101.2882</v>
                </pt>
                <pt idx="60">
                  <v>100.7044</v>
                </pt>
                <pt idx="61">
                  <v>99.9269</v>
                </pt>
                <pt idx="62">
                  <v>100.2643</v>
                </pt>
                <pt idx="63">
                  <v>100.2283</v>
                </pt>
                <pt idx="64">
                  <v>100.2325</v>
                </pt>
                <pt idx="65">
                  <v>99.85080000000001</v>
                </pt>
                <pt idx="66">
                  <v>100.5549</v>
                </pt>
                <pt idx="67">
                  <v>100.2821</v>
                </pt>
                <pt idx="68">
                  <v>100.0365</v>
                </pt>
                <pt idx="69">
                  <v>99.89870000000001</v>
                </pt>
                <pt idx="70">
                  <v>99.60760000000001</v>
                </pt>
                <pt idx="71">
                  <v>99.3351</v>
                </pt>
                <pt idx="72">
                  <v>99.76819999999999</v>
                </pt>
                <pt idx="73">
                  <v>99.4033</v>
                </pt>
                <pt idx="74">
                  <v>99.35850000000001</v>
                </pt>
                <pt idx="75">
                  <v>99.1874</v>
                </pt>
                <pt idx="76">
                  <v>99.11709999999999</v>
                </pt>
                <pt idx="77">
                  <v>99.3878</v>
                </pt>
                <pt idx="78">
                  <v>99.41200000000001</v>
                </pt>
                <pt idx="79">
                  <v>99.0898</v>
                </pt>
                <pt idx="80">
                  <v>99.2957</v>
                </pt>
                <pt idx="81">
                  <v>99.4435</v>
                </pt>
                <pt idx="82">
                  <v>99.3672</v>
                </pt>
                <pt idx="83">
                  <v>99.4003</v>
                </pt>
                <pt idx="84">
                  <v>99.59059999999999</v>
                </pt>
                <pt idx="85">
                  <v>99.5106</v>
                </pt>
                <pt idx="86">
                  <v>99.1665</v>
                </pt>
                <pt idx="87">
                  <v>100.3106</v>
                </pt>
                <pt idx="88">
                  <v>100.1435</v>
                </pt>
                <pt idx="89">
                  <v>100.1691</v>
                </pt>
                <pt idx="90">
                  <v>99.79689999999999</v>
                </pt>
                <pt idx="91">
                  <v>99.6024</v>
                </pt>
                <pt idx="92">
                  <v>99.64230000000001</v>
                </pt>
                <pt idx="93">
                  <v>100.6969</v>
                </pt>
                <pt idx="94">
                  <v>100.809</v>
                </pt>
                <pt idx="95">
                  <v>100.5616</v>
                </pt>
                <pt idx="96">
                  <v>100.142</v>
                </pt>
                <pt idx="97">
                  <v>101.1868</v>
                </pt>
                <pt idx="98">
                  <v>101.1026</v>
                </pt>
                <pt idx="99">
                  <v>101.825</v>
                </pt>
                <pt idx="100">
                  <v>100.9561</v>
                </pt>
                <pt idx="101">
                  <v>101.6835</v>
                </pt>
                <pt idx="102">
                  <v>101.6938</v>
                </pt>
                <pt idx="103">
                  <v>102.0176</v>
                </pt>
                <pt idx="104">
                  <v>102.0249</v>
                </pt>
                <pt idx="105">
                  <v>101.5511</v>
                </pt>
                <pt idx="106">
                  <v>101.278</v>
                </pt>
                <pt idx="107">
                  <v>101.6213</v>
                </pt>
                <pt idx="108">
                  <v>100.7582</v>
                </pt>
                <pt idx="109">
                  <v>100.2292</v>
                </pt>
                <pt idx="110">
                  <v>99.9469</v>
                </pt>
                <pt idx="111">
                  <v>99.3231</v>
                </pt>
                <pt idx="112">
                  <v>99.3831</v>
                </pt>
                <pt idx="113">
                  <v>99.7831</v>
                </pt>
                <pt idx="114">
                  <v>99.10599999999999</v>
                </pt>
                <pt idx="115">
                  <v>99.7898</v>
                </pt>
                <pt idx="116">
                  <v>99.1318</v>
                </pt>
                <pt idx="117">
                  <v>98.2088</v>
                </pt>
                <pt idx="118">
                  <v>99.1039</v>
                </pt>
                <pt idx="119">
                  <v>99.151</v>
                </pt>
                <pt idx="120">
                  <v>98.91160000000001</v>
                </pt>
                <pt idx="121">
                  <v>99.1331</v>
                </pt>
                <pt idx="122">
                  <v>94.6074</v>
                </pt>
                <pt idx="123">
                  <v>79.9421</v>
                </pt>
                <pt idx="124">
                  <v>83.488</v>
                </pt>
                <pt idx="125">
                  <v>90.02419999999999</v>
                </pt>
                <pt idx="126">
                  <v>93.2612</v>
                </pt>
                <pt idx="127">
                  <v>94.5193</v>
                </pt>
                <pt idx="128">
                  <v>94.4619</v>
                </pt>
                <pt idx="129">
                  <v>95.20820000000001</v>
                </pt>
                <pt idx="130">
                  <v>95.8115</v>
                </pt>
                <pt idx="131">
                  <v>96.44499999999999</v>
                </pt>
                <pt idx="132">
                  <v>97.5098</v>
                </pt>
                <pt idx="133">
                  <v>93.52760000000001</v>
                </pt>
                <pt idx="134">
                  <v>96.3978</v>
                </pt>
                <pt idx="135">
                  <v>96.5859</v>
                </pt>
                <pt idx="136">
                  <v>97.68429999999999</v>
                </pt>
                <pt idx="137">
                  <v>97.6806</v>
                </pt>
                <pt idx="138">
                  <v>98.6887</v>
                </pt>
                <pt idx="139">
                  <v>98.3313</v>
                </pt>
                <pt idx="140">
                  <v>97.4235</v>
                </pt>
                <pt idx="141">
                  <v>98.755</v>
                </pt>
                <pt idx="142">
                  <v>99.6404</v>
                </pt>
                <pt idx="143">
                  <v>99.617</v>
                </pt>
                <pt idx="144">
                  <v>99.0596</v>
                </pt>
                <pt idx="145">
                  <v>100.2304</v>
                </pt>
                <pt idx="146">
                  <v>101.0107</v>
                </pt>
                <pt idx="147">
                  <v>101.1941</v>
                </pt>
                <pt idx="148">
                  <v>100.863</v>
                </pt>
                <pt idx="149">
                  <v>100.4645</v>
                </pt>
                <pt idx="150">
                  <v>100.7345</v>
                </pt>
                <pt idx="151">
                  <v>100.9427</v>
                </pt>
                <pt idx="152">
                  <v>101.1402</v>
                </pt>
                <pt idx="153">
                  <v>101.2339</v>
                </pt>
                <pt idx="154">
                  <v>100.5228</v>
                </pt>
                <pt idx="155">
                  <v>98.4473</v>
                </pt>
                <pt idx="156">
                  <v>99.9233</v>
                </pt>
                <pt idx="157">
                  <v>100.5837</v>
                </pt>
                <pt idx="158">
                  <v>100.0536</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Manu!$A$463:$A$628</f>
              <numCache>
                <formatCode>mmm\-yy</formatCode>
                <ptCount val="16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Manu!$D$463:$D$628</f>
              <numCache>
                <formatCode>0.0%</formatCode>
                <ptCount val="166"/>
                <pt idx="0">
                  <v>0.0235397653566796</v>
                </pt>
                <pt idx="1">
                  <v>0.02363071352731485</v>
                </pt>
                <pt idx="2">
                  <v>0.0557476945261714</v>
                </pt>
                <pt idx="3">
                  <v>0.0721288220340173</v>
                </pt>
                <pt idx="4">
                  <v>0.09775920203134782</v>
                </pt>
                <pt idx="5">
                  <v>0.1000747994580299</v>
                </pt>
                <pt idx="6">
                  <v>0.08732385504321627</v>
                </pt>
                <pt idx="7">
                  <v>0.07664478570203133</v>
                </pt>
                <pt idx="8">
                  <v>0.06674689239268677</v>
                </pt>
                <pt idx="9">
                  <v>0.06703055201430023</v>
                </pt>
                <pt idx="10">
                  <v>0.05737411045268837</v>
                </pt>
                <pt idx="11">
                  <v>0.06469511361878176</v>
                </pt>
                <pt idx="12">
                  <v>0.05393611236113132</v>
                </pt>
                <pt idx="13">
                  <v>0.05558936133866427</v>
                </pt>
                <pt idx="14">
                  <v>0.04871960945004011</v>
                </pt>
                <pt idx="15">
                  <v>0.03317198208761004</v>
                </pt>
                <pt idx="16">
                  <v>0.01965078910199985</v>
                </pt>
                <pt idx="17">
                  <v>0.02115168893472158</v>
                </pt>
                <pt idx="18">
                  <v>0.02116296090708498</v>
                </pt>
                <pt idx="19">
                  <v>0.02387139966547318</v>
                </pt>
                <pt idx="20">
                  <v>0.02553477421119198</v>
                </pt>
                <pt idx="21">
                  <v>0.03067420469044455</v>
                </pt>
                <pt idx="22">
                  <v>0.0273016035493683</v>
                </pt>
                <pt idx="23">
                  <v>0.02877127031034858</v>
                </pt>
                <pt idx="24">
                  <v>0.03717567434414418</v>
                </pt>
                <pt idx="25">
                  <v>0.04010886086392711</v>
                </pt>
                <pt idx="26">
                  <v>0.02733284457786021</v>
                </pt>
                <pt idx="27">
                  <v>0.03919801352493658</v>
                </pt>
                <pt idx="28">
                  <v>0.03596609213194184</v>
                </pt>
                <pt idx="29">
                  <v>0.03841121100839982</v>
                </pt>
                <pt idx="30">
                  <v>0.03070615445318474</v>
                </pt>
                <pt idx="31">
                  <v>0.02489938613267758</v>
                </pt>
                <pt idx="32">
                  <v>0.02004377087892799</v>
                </pt>
                <pt idx="33">
                  <v>0.01258139838435992</v>
                </pt>
                <pt idx="34">
                  <v>0.020878872233674</v>
                </pt>
                <pt idx="35">
                  <v>0.02173384061781477</v>
                </pt>
                <pt idx="36">
                  <v>0.01001194159751804</v>
                </pt>
                <pt idx="37">
                  <v>0.01012562198288091</v>
                </pt>
                <pt idx="38">
                  <v>0.01496675701180139</v>
                </pt>
                <pt idx="39">
                  <v>0.005865803352730053</v>
                </pt>
                <pt idx="40">
                  <v>0.01199607949926933</v>
                </pt>
                <pt idx="41">
                  <v>0.01071602780374786</v>
                </pt>
                <pt idx="42">
                  <v>0.003803717584150595</v>
                </pt>
                <pt idx="43">
                  <v>0.01328970017661851</v>
                </pt>
                <pt idx="44">
                  <v>0.01597257467773521</v>
                </pt>
                <pt idx="45">
                  <v>0.01960696049655279</v>
                </pt>
                <pt idx="46">
                  <v>0.0133736216141475</v>
                </pt>
                <pt idx="47">
                  <v>0.004068826952749316</v>
                </pt>
                <pt idx="48">
                  <v>-0.004735358014102871</v>
                </pt>
                <pt idx="49">
                  <v>7.047187970656519e-05</v>
                </pt>
                <pt idx="50">
                  <v>0.0099643411165058</v>
                </pt>
                <pt idx="51">
                  <v>0.01325224964771868</v>
                </pt>
                <pt idx="52">
                  <v>0.01322248750061726</v>
                </pt>
                <pt idx="53">
                  <v>0.01400885796588523</v>
                </pt>
                <pt idx="54">
                  <v>0.02760633836173454</v>
                </pt>
                <pt idx="55">
                  <v>0.01351067285826214</v>
                </pt>
                <pt idx="56">
                  <v>0.01366393200399639</v>
                </pt>
                <pt idx="57">
                  <v>0.01102823130889877</v>
                </pt>
                <pt idx="58">
                  <v>0.01816436113218001</v>
                </pt>
                <pt idx="59">
                  <v>0.0179912983262998</v>
                </pt>
                <pt idx="60">
                  <v>0.02336669884660338</v>
                </pt>
                <pt idx="61">
                  <v>0.005934320809684983</v>
                </pt>
                <pt idx="62">
                  <v>1.097112400170845e-05</v>
                </pt>
                <pt idx="63">
                  <v>-9.277955577543845e-05</v>
                </pt>
                <pt idx="64">
                  <v>-0.003027744042237239</v>
                </pt>
                <pt idx="65">
                  <v>-0.009925454974526886</v>
                </pt>
                <pt idx="66">
                  <v>-0.007503323788852772</v>
                </pt>
                <pt idx="67">
                  <v>-0.004825917648786722</v>
                </pt>
                <pt idx="68">
                  <v>-0.008042828981552324</v>
                </pt>
                <pt idx="69">
                  <v>-0.008562794321243659</v>
                </pt>
                <pt idx="70">
                  <v>-0.01848671264449359</v>
                </pt>
                <pt idx="71">
                  <v>-0.01928260152712761</v>
                </pt>
                <pt idx="72">
                  <v>-0.009296515345903592</v>
                </pt>
                <pt idx="73">
                  <v>-0.005239830315960986</v>
                </pt>
                <pt idx="74">
                  <v>-0.009034122813404166</v>
                </pt>
                <pt idx="75">
                  <v>-0.01038529038205784</v>
                </pt>
                <pt idx="76">
                  <v>-0.01112812710448216</v>
                </pt>
                <pt idx="77">
                  <v>-0.004636918282076939</v>
                </pt>
                <pt idx="78">
                  <v>-0.01136593045192226</v>
                </pt>
                <pt idx="79">
                  <v>-0.01188945983380886</v>
                </pt>
                <pt idx="80">
                  <v>-0.007405297066570774</v>
                </pt>
                <pt idx="81">
                  <v>-0.004556615851857981</v>
                </pt>
                <pt idx="82">
                  <v>-0.002413470458077578</v>
                </pt>
                <pt idx="83">
                  <v>0.0006563641653353585</v>
                </pt>
                <pt idx="84">
                  <v>-0.001780126332839504</v>
                </pt>
                <pt idx="85">
                  <v>0.001079441024593701</v>
                </pt>
                <pt idx="86">
                  <v>-0.001932396322408322</v>
                </pt>
                <pt idx="87">
                  <v>0.01132401897821696</v>
                </pt>
                <pt idx="88">
                  <v>0.01035542807446959</v>
                </pt>
                <pt idx="89">
                  <v>0.007861125812222442</v>
                </pt>
                <pt idx="90">
                  <v>0.003871765983985712</v>
                </pt>
                <pt idx="91">
                  <v>0.005173085423524986</v>
                </pt>
                <pt idx="92">
                  <v>0.003490584184410899</v>
                </pt>
                <pt idx="93">
                  <v>0.01260414205051109</v>
                </pt>
                <pt idx="94">
                  <v>0.01450981812912108</v>
                </pt>
                <pt idx="95">
                  <v>0.01168306333079475</v>
                </pt>
                <pt idx="96">
                  <v>0.005536667115169514</v>
                </pt>
                <pt idx="97">
                  <v>0.01684443667307813</v>
                </pt>
                <pt idx="98">
                  <v>0.01952373029198365</v>
                </pt>
                <pt idx="99">
                  <v>0.01509710838136756</v>
                </pt>
                <pt idx="100">
                  <v>0.00811435589928456</v>
                </pt>
                <pt idx="101">
                  <v>0.0151184347268768</v>
                </pt>
                <pt idx="102">
                  <v>0.01900760444462706</v>
                </pt>
                <pt idx="103">
                  <v>0.02424841168485899</v>
                </pt>
                <pt idx="104">
                  <v>0.0239115315483484</v>
                </pt>
                <pt idx="105">
                  <v>0.00848288278983768</v>
                </pt>
                <pt idx="106">
                  <v>0.004652362388278907</v>
                </pt>
                <pt idx="107">
                  <v>0.01053781960509784</v>
                </pt>
                <pt idx="108">
                  <v>0.006153262367438301</v>
                </pt>
                <pt idx="109">
                  <v>-0.00946368498657927</v>
                </pt>
                <pt idx="110">
                  <v>-0.01143096221066517</v>
                </pt>
                <pt idx="111">
                  <v>-0.02457058679106316</v>
                </pt>
                <pt idx="112">
                  <v>-0.01558102977432773</v>
                </pt>
                <pt idx="113">
                  <v>-0.01868936454783707</v>
                </pt>
                <pt idx="114">
                  <v>-0.02544697906853713</v>
                </pt>
                <pt idx="115">
                  <v>-0.02183740844716992</v>
                </pt>
                <pt idx="116">
                  <v>-0.02835680309414666</v>
                </pt>
                <pt idx="117">
                  <v>-0.03291249430089884</v>
                </pt>
                <pt idx="118">
                  <v>-0.02146665613459991</v>
                </pt>
                <pt idx="119">
                  <v>-0.024308880126509</v>
                </pt>
                <pt idx="120">
                  <v>-0.01832704434974022</v>
                </pt>
                <pt idx="121">
                  <v>-0.01093593483735286</v>
                </pt>
                <pt idx="122">
                  <v>-0.05342336780830622</v>
                </pt>
                <pt idx="123">
                  <v>-0.1951308406604305</v>
                </pt>
                <pt idx="124">
                  <v>-0.1599376553961388</v>
                </pt>
                <pt idx="125">
                  <v>-0.09780113065238513</v>
                </pt>
                <pt idx="126">
                  <v>-0.05897523863338237</v>
                </pt>
                <pt idx="127">
                  <v>-0.0528160192725108</v>
                </pt>
                <pt idx="128">
                  <v>-0.04710799158292292</v>
                </pt>
                <pt idx="129">
                  <v>-0.03055327017538135</v>
                </pt>
                <pt idx="130">
                  <v>-0.03322169965056875</v>
                </pt>
                <pt idx="131">
                  <v>-0.02729170658894014</v>
                </pt>
                <pt idx="132">
                  <v>-0.01417225077746198</v>
                </pt>
                <pt idx="133">
                  <v>-0.05654519025431458</v>
                </pt>
                <pt idx="134">
                  <v>0.01892452387445385</v>
                </pt>
                <pt idx="135">
                  <v>0.2081981834352613</v>
                </pt>
                <pt idx="136">
                  <v>0.1700400057493292</v>
                </pt>
                <pt idx="137">
                  <v>0.08504824258366089</v>
                </pt>
                <pt idx="138">
                  <v>0.05819676349864675</v>
                </pt>
                <pt idx="139">
                  <v>0.04033038755047908</v>
                </pt>
                <pt idx="140">
                  <v>0.03135232300006674</v>
                </pt>
                <pt idx="141">
                  <v>0.03725309374612681</v>
                </pt>
                <pt idx="142">
                  <v>0.03996284370874065</v>
                </pt>
                <pt idx="143">
                  <v>0.032889211467676</v>
                </pt>
                <pt idx="144">
                  <v>0.01589378708601602</v>
                </pt>
                <pt idx="145">
                  <v>0.07166654549031512</v>
                </pt>
                <pt idx="146">
                  <v>0.04785275182628645</v>
                </pt>
                <pt idx="147">
                  <v>0.04771089776043927</v>
                </pt>
                <pt idx="148">
                  <v>0.03254054131523701</v>
                </pt>
                <pt idx="149">
                  <v>0.02850002968859736</v>
                </pt>
                <pt idx="150">
                  <v>0.02072983026425518</v>
                </pt>
                <pt idx="151">
                  <v>0.02655715931753169</v>
                </pt>
                <pt idx="152">
                  <v>0.03814993302437285</v>
                </pt>
                <pt idx="153">
                  <v>0.02510151384740024</v>
                </pt>
                <pt idx="154">
                  <v>0.008855845620852627</v>
                </pt>
                <pt idx="155">
                  <v>-0.01174197175180949</v>
                </pt>
                <pt idx="156">
                  <v>0.008718993414065818</v>
                </pt>
                <pt idx="157">
                  <v>0.003524878679522282</v>
                </pt>
                <pt idx="158">
                  <v>-0.009475233811863465</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Mining!$B$20:$B$624</f>
              <numCache>
                <formatCode>0.0</formatCode>
                <ptCount val="605"/>
                <pt idx="0">
                  <v>86.9014</v>
                </pt>
                <pt idx="1">
                  <v>86.0194</v>
                </pt>
                <pt idx="2">
                  <v>85.72020000000001</v>
                </pt>
                <pt idx="3">
                  <v>86.1611</v>
                </pt>
                <pt idx="4">
                  <v>86.47150000000001</v>
                </pt>
                <pt idx="5">
                  <v>87.8715</v>
                </pt>
                <pt idx="6">
                  <v>87.9991</v>
                </pt>
                <pt idx="7">
                  <v>87.1927</v>
                </pt>
                <pt idx="8">
                  <v>87.47280000000001</v>
                </pt>
                <pt idx="9">
                  <v>87.11839999999999</v>
                </pt>
                <pt idx="10">
                  <v>88.244</v>
                </pt>
                <pt idx="11">
                  <v>88.00790000000001</v>
                </pt>
                <pt idx="12">
                  <v>88.02030000000001</v>
                </pt>
                <pt idx="13">
                  <v>87.26220000000001</v>
                </pt>
                <pt idx="14">
                  <v>87.0829</v>
                </pt>
                <pt idx="15">
                  <v>87.72190000000001</v>
                </pt>
                <pt idx="16">
                  <v>86.31180000000001</v>
                </pt>
                <pt idx="17">
                  <v>86.8329</v>
                </pt>
                <pt idx="18">
                  <v>84.40479999999999</v>
                </pt>
                <pt idx="19">
                  <v>85.4367</v>
                </pt>
                <pt idx="20">
                  <v>86.1895</v>
                </pt>
                <pt idx="21">
                  <v>79.883</v>
                </pt>
                <pt idx="22">
                  <v>81.98139999999999</v>
                </pt>
                <pt idx="23">
                  <v>86.4251</v>
                </pt>
                <pt idx="24">
                  <v>85.31319999999999</v>
                </pt>
                <pt idx="25">
                  <v>83.6221</v>
                </pt>
                <pt idx="26">
                  <v>83.3687</v>
                </pt>
                <pt idx="27">
                  <v>83.12260000000001</v>
                </pt>
                <pt idx="28">
                  <v>84.47839999999999</v>
                </pt>
                <pt idx="29">
                  <v>82.3335</v>
                </pt>
                <pt idx="30">
                  <v>83.0209</v>
                </pt>
                <pt idx="31">
                  <v>82.6729</v>
                </pt>
                <pt idx="32">
                  <v>82.8977</v>
                </pt>
                <pt idx="33">
                  <v>83.92010000000001</v>
                </pt>
                <pt idx="34">
                  <v>84.133</v>
                </pt>
                <pt idx="35">
                  <v>85.6914</v>
                </pt>
                <pt idx="36">
                  <v>85.2811</v>
                </pt>
                <pt idx="37">
                  <v>84.2632</v>
                </pt>
                <pt idx="38">
                  <v>83.9324</v>
                </pt>
                <pt idx="39">
                  <v>84.11790000000001</v>
                </pt>
                <pt idx="40">
                  <v>83.61879999999999</v>
                </pt>
                <pt idx="41">
                  <v>82.849</v>
                </pt>
                <pt idx="42">
                  <v>83.9726</v>
                </pt>
                <pt idx="43">
                  <v>84.2291</v>
                </pt>
                <pt idx="44">
                  <v>84.05719999999999</v>
                </pt>
                <pt idx="45">
                  <v>84.67310000000001</v>
                </pt>
                <pt idx="46">
                  <v>85.77379999999999</v>
                </pt>
                <pt idx="47">
                  <v>83.1426</v>
                </pt>
                <pt idx="48">
                  <v>86.0506</v>
                </pt>
                <pt idx="49">
                  <v>87.5797</v>
                </pt>
                <pt idx="50">
                  <v>87.3244</v>
                </pt>
                <pt idx="51">
                  <v>87.2962</v>
                </pt>
                <pt idx="52">
                  <v>86.64700000000001</v>
                </pt>
                <pt idx="53">
                  <v>87.04430000000001</v>
                </pt>
                <pt idx="54">
                  <v>85.03789999999999</v>
                </pt>
                <pt idx="55">
                  <v>87.9693</v>
                </pt>
                <pt idx="56">
                  <v>87.876</v>
                </pt>
                <pt idx="57">
                  <v>88.5543</v>
                </pt>
                <pt idx="58">
                  <v>81.0635</v>
                </pt>
                <pt idx="59">
                  <v>79.232</v>
                </pt>
                <pt idx="60">
                  <v>79.97669999999999</v>
                </pt>
                <pt idx="61">
                  <v>84.0004</v>
                </pt>
                <pt idx="62">
                  <v>92.2118</v>
                </pt>
                <pt idx="63">
                  <v>91.76220000000001</v>
                </pt>
                <pt idx="64">
                  <v>91.5596</v>
                </pt>
                <pt idx="65">
                  <v>92.4632</v>
                </pt>
                <pt idx="66">
                  <v>91.5076</v>
                </pt>
                <pt idx="67">
                  <v>89.9404</v>
                </pt>
                <pt idx="68">
                  <v>92.11</v>
                </pt>
                <pt idx="69">
                  <v>91.9481</v>
                </pt>
                <pt idx="70">
                  <v>91.268</v>
                </pt>
                <pt idx="71">
                  <v>90.2685</v>
                </pt>
                <pt idx="72">
                  <v>90.28</v>
                </pt>
                <pt idx="73">
                  <v>90.5506</v>
                </pt>
                <pt idx="74">
                  <v>91.729</v>
                </pt>
                <pt idx="75">
                  <v>91.20010000000001</v>
                </pt>
                <pt idx="76">
                  <v>91.3203</v>
                </pt>
                <pt idx="77">
                  <v>90.43049999999999</v>
                </pt>
                <pt idx="78">
                  <v>92.46720000000001</v>
                </pt>
                <pt idx="79">
                  <v>92.1632</v>
                </pt>
                <pt idx="80">
                  <v>93.45</v>
                </pt>
                <pt idx="81">
                  <v>93.75149999999999</v>
                </pt>
                <pt idx="82">
                  <v>93.6314</v>
                </pt>
                <pt idx="83">
                  <v>95.4169</v>
                </pt>
                <pt idx="84">
                  <v>94.3365</v>
                </pt>
                <pt idx="85">
                  <v>95.16370000000001</v>
                </pt>
                <pt idx="86">
                  <v>94.0642</v>
                </pt>
                <pt idx="87">
                  <v>94.0292</v>
                </pt>
                <pt idx="88">
                  <v>93.6773</v>
                </pt>
                <pt idx="89">
                  <v>92.0676</v>
                </pt>
                <pt idx="90">
                  <v>90.3891</v>
                </pt>
                <pt idx="91">
                  <v>92.0736</v>
                </pt>
                <pt idx="92">
                  <v>91.7968</v>
                </pt>
                <pt idx="93">
                  <v>93.4999</v>
                </pt>
                <pt idx="94">
                  <v>95.46129999999999</v>
                </pt>
                <pt idx="95">
                  <v>94.3111</v>
                </pt>
                <pt idx="96">
                  <v>95.4443</v>
                </pt>
                <pt idx="97">
                  <v>96.3081</v>
                </pt>
                <pt idx="98">
                  <v>91.2363</v>
                </pt>
                <pt idx="99">
                  <v>91.7787</v>
                </pt>
                <pt idx="100">
                  <v>95.7324</v>
                </pt>
                <pt idx="101">
                  <v>98.7749</v>
                </pt>
                <pt idx="102">
                  <v>99.10550000000001</v>
                </pt>
                <pt idx="103">
                  <v>98.4975</v>
                </pt>
                <pt idx="104">
                  <v>97.85599999999999</v>
                </pt>
                <pt idx="105">
                  <v>96.9918</v>
                </pt>
                <pt idx="106">
                  <v>96.9316</v>
                </pt>
                <pt idx="107">
                  <v>95.79219999999999</v>
                </pt>
                <pt idx="108">
                  <v>96.81480000000001</v>
                </pt>
                <pt idx="109">
                  <v>96.0147</v>
                </pt>
                <pt idx="110">
                  <v>94.0154</v>
                </pt>
                <pt idx="111">
                  <v>92.4932</v>
                </pt>
                <pt idx="112">
                  <v>91.2146</v>
                </pt>
                <pt idx="113">
                  <v>89.8917</v>
                </pt>
                <pt idx="114">
                  <v>89.2119</v>
                </pt>
                <pt idx="115">
                  <v>88.3389</v>
                </pt>
                <pt idx="116">
                  <v>88.0325</v>
                </pt>
                <pt idx="117">
                  <v>87.7927</v>
                </pt>
                <pt idx="118">
                  <v>86.7285</v>
                </pt>
                <pt idx="119">
                  <v>87.57769999999999</v>
                </pt>
                <pt idx="120">
                  <v>85.84950000000001</v>
                </pt>
                <pt idx="121">
                  <v>84.7589</v>
                </pt>
                <pt idx="122">
                  <v>85.6387</v>
                </pt>
                <pt idx="123">
                  <v>85.2444</v>
                </pt>
                <pt idx="124">
                  <v>85.4781</v>
                </pt>
                <pt idx="125">
                  <v>85.9986</v>
                </pt>
                <pt idx="126">
                  <v>86.7765</v>
                </pt>
                <pt idx="127">
                  <v>87.3477</v>
                </pt>
                <pt idx="128">
                  <v>88.22190000000001</v>
                </pt>
                <pt idx="129">
                  <v>88.2239</v>
                </pt>
                <pt idx="130">
                  <v>87.2312</v>
                </pt>
                <pt idx="131">
                  <v>91.3313</v>
                </pt>
                <pt idx="132">
                  <v>90.3317</v>
                </pt>
                <pt idx="133">
                  <v>89.6713</v>
                </pt>
                <pt idx="134">
                  <v>91.4306</v>
                </pt>
                <pt idx="135">
                  <v>92.79640000000001</v>
                </pt>
                <pt idx="136">
                  <v>93.1713</v>
                </pt>
                <pt idx="137">
                  <v>94.74169999999999</v>
                </pt>
                <pt idx="138">
                  <v>93.75069999999999</v>
                </pt>
                <pt idx="139">
                  <v>94.3604</v>
                </pt>
                <pt idx="140">
                  <v>91.2736</v>
                </pt>
                <pt idx="141">
                  <v>91.3434</v>
                </pt>
                <pt idx="142">
                  <v>91.46680000000001</v>
                </pt>
                <pt idx="143">
                  <v>89.3241</v>
                </pt>
                <pt idx="144">
                  <v>91.0004</v>
                </pt>
                <pt idx="145">
                  <v>91.2355</v>
                </pt>
                <pt idx="146">
                  <v>90.9888</v>
                </pt>
                <pt idx="147">
                  <v>91.16589999999999</v>
                </pt>
                <pt idx="148">
                  <v>91.2694</v>
                </pt>
                <pt idx="149">
                  <v>89.6992</v>
                </pt>
                <pt idx="150">
                  <v>89.538</v>
                </pt>
                <pt idx="151">
                  <v>90.5775</v>
                </pt>
                <pt idx="152">
                  <v>89.9764</v>
                </pt>
                <pt idx="153">
                  <v>88.8758</v>
                </pt>
                <pt idx="154">
                  <v>90.7062</v>
                </pt>
                <pt idx="155">
                  <v>90.4312</v>
                </pt>
                <pt idx="156">
                  <v>89.1978</v>
                </pt>
                <pt idx="157">
                  <v>86.8082</v>
                </pt>
                <pt idx="158">
                  <v>83.9264</v>
                </pt>
                <pt idx="159">
                  <v>83.43219999999999</v>
                </pt>
                <pt idx="160">
                  <v>82.3002</v>
                </pt>
                <pt idx="161">
                  <v>81.9552</v>
                </pt>
                <pt idx="162">
                  <v>81.2029</v>
                </pt>
                <pt idx="163">
                  <v>80.5702</v>
                </pt>
                <pt idx="164">
                  <v>81.0949</v>
                </pt>
                <pt idx="165">
                  <v>82.07599999999999</v>
                </pt>
                <pt idx="166">
                  <v>82.131</v>
                </pt>
                <pt idx="167">
                  <v>82.8327</v>
                </pt>
                <pt idx="168">
                  <v>82.8927</v>
                </pt>
                <pt idx="169">
                  <v>82.54989999999999</v>
                </pt>
                <pt idx="170">
                  <v>83.1498</v>
                </pt>
                <pt idx="171">
                  <v>82.9306</v>
                </pt>
                <pt idx="172">
                  <v>83.7073</v>
                </pt>
                <pt idx="173">
                  <v>84.0018</v>
                </pt>
                <pt idx="174">
                  <v>85.84399999999999</v>
                </pt>
                <pt idx="175">
                  <v>86.1932</v>
                </pt>
                <pt idx="176">
                  <v>86.9284</v>
                </pt>
                <pt idx="177">
                  <v>87.4277</v>
                </pt>
                <pt idx="178">
                  <v>87.6095</v>
                </pt>
                <pt idx="179">
                  <v>86.36450000000001</v>
                </pt>
                <pt idx="180">
                  <v>86.65989999999999</v>
                </pt>
                <pt idx="181">
                  <v>87.3312</v>
                </pt>
                <pt idx="182">
                  <v>86.94750000000001</v>
                </pt>
                <pt idx="183">
                  <v>87.67</v>
                </pt>
                <pt idx="184">
                  <v>87.4914</v>
                </pt>
                <pt idx="185">
                  <v>87.2139</v>
                </pt>
                <pt idx="186">
                  <v>87.3948</v>
                </pt>
                <pt idx="187">
                  <v>86.29259999999999</v>
                </pt>
                <pt idx="188">
                  <v>86.4512</v>
                </pt>
                <pt idx="189">
                  <v>86.4555</v>
                </pt>
                <pt idx="190">
                  <v>86.4036</v>
                </pt>
                <pt idx="191">
                  <v>86.1913</v>
                </pt>
                <pt idx="192">
                  <v>84.6121</v>
                </pt>
                <pt idx="193">
                  <v>85.2706</v>
                </pt>
                <pt idx="194">
                  <v>86.99720000000001</v>
                </pt>
                <pt idx="195">
                  <v>87.28319999999999</v>
                </pt>
                <pt idx="196">
                  <v>86.1498</v>
                </pt>
                <pt idx="197">
                  <v>85.68689999999999</v>
                </pt>
                <pt idx="198">
                  <v>86.5184</v>
                </pt>
                <pt idx="199">
                  <v>86.50069999999999</v>
                </pt>
                <pt idx="200">
                  <v>85.8173</v>
                </pt>
                <pt idx="201">
                  <v>86.4648</v>
                </pt>
                <pt idx="202">
                  <v>84.0685</v>
                </pt>
                <pt idx="203">
                  <v>88.0757</v>
                </pt>
                <pt idx="204">
                  <v>87.32129999999999</v>
                </pt>
                <pt idx="205">
                  <v>86.6118</v>
                </pt>
                <pt idx="206">
                  <v>86.95650000000001</v>
                </pt>
                <pt idx="207">
                  <v>86.8539</v>
                </pt>
                <pt idx="208">
                  <v>86.60429999999999</v>
                </pt>
                <pt idx="209">
                  <v>87.1683</v>
                </pt>
                <pt idx="210">
                  <v>86.8017</v>
                </pt>
                <pt idx="211">
                  <v>87.28830000000001</v>
                </pt>
                <pt idx="212">
                  <v>88.1525</v>
                </pt>
                <pt idx="213">
                  <v>87.5472</v>
                </pt>
                <pt idx="214">
                  <v>86.1438</v>
                </pt>
                <pt idx="215">
                  <v>86.1373</v>
                </pt>
                <pt idx="216">
                  <v>87.51300000000001</v>
                </pt>
                <pt idx="217">
                  <v>86.5919</v>
                </pt>
                <pt idx="218">
                  <v>85.7199</v>
                </pt>
                <pt idx="219">
                  <v>85.45610000000001</v>
                </pt>
                <pt idx="220">
                  <v>85.6272</v>
                </pt>
                <pt idx="221">
                  <v>84.74550000000001</v>
                </pt>
                <pt idx="222">
                  <v>84.61279999999999</v>
                </pt>
                <pt idx="223">
                  <v>84.71550000000001</v>
                </pt>
                <pt idx="224">
                  <v>84.592</v>
                </pt>
                <pt idx="225">
                  <v>83.902</v>
                </pt>
                <pt idx="226">
                  <v>84.3126</v>
                </pt>
                <pt idx="227">
                  <v>84.1097</v>
                </pt>
                <pt idx="228">
                  <v>83.08329999999999</v>
                </pt>
                <pt idx="229">
                  <v>83.37130000000001</v>
                </pt>
                <pt idx="230">
                  <v>84.31789999999999</v>
                </pt>
                <pt idx="231">
                  <v>84.1161</v>
                </pt>
                <pt idx="232">
                  <v>83.2122</v>
                </pt>
                <pt idx="233">
                  <v>84.3223</v>
                </pt>
                <pt idx="234">
                  <v>82.9273</v>
                </pt>
                <pt idx="235">
                  <v>83.4783</v>
                </pt>
                <pt idx="236">
                  <v>83.89279999999999</v>
                </pt>
                <pt idx="237">
                  <v>83.80670000000001</v>
                </pt>
                <pt idx="238">
                  <v>84.06480000000001</v>
                </pt>
                <pt idx="239">
                  <v>83.64239999999999</v>
                </pt>
                <pt idx="240">
                  <v>83.26300000000001</v>
                </pt>
                <pt idx="241">
                  <v>82.72150000000001</v>
                </pt>
                <pt idx="242">
                  <v>82.83329999999999</v>
                </pt>
                <pt idx="243">
                  <v>82.8655</v>
                </pt>
                <pt idx="244">
                  <v>83.6721</v>
                </pt>
                <pt idx="245">
                  <v>82.7809</v>
                </pt>
                <pt idx="246">
                  <v>82.8531</v>
                </pt>
                <pt idx="247">
                  <v>83.55840000000001</v>
                </pt>
                <pt idx="248">
                  <v>84.6524</v>
                </pt>
                <pt idx="249">
                  <v>84.621</v>
                </pt>
                <pt idx="250">
                  <v>84.9234</v>
                </pt>
                <pt idx="251">
                  <v>84.0188</v>
                </pt>
                <pt idx="252">
                  <v>84.6148</v>
                </pt>
                <pt idx="253">
                  <v>85.7311</v>
                </pt>
                <pt idx="254">
                  <v>85.01430000000001</v>
                </pt>
                <pt idx="255">
                  <v>85.28740000000001</v>
                </pt>
                <pt idx="256">
                  <v>85.1728</v>
                </pt>
                <pt idx="257">
                  <v>85.1601</v>
                </pt>
                <pt idx="258">
                  <v>85.1225</v>
                </pt>
                <pt idx="259">
                  <v>84.7062</v>
                </pt>
                <pt idx="260">
                  <v>84.44750000000001</v>
                </pt>
                <pt idx="261">
                  <v>85.1122</v>
                </pt>
                <pt idx="262">
                  <v>86.0758</v>
                </pt>
                <pt idx="263">
                  <v>85.6728</v>
                </pt>
                <pt idx="264">
                  <v>85.46169999999999</v>
                </pt>
                <pt idx="265">
                  <v>84.2967</v>
                </pt>
                <pt idx="266">
                  <v>84.6549</v>
                </pt>
                <pt idx="267">
                  <v>84.8852</v>
                </pt>
                <pt idx="268">
                  <v>84.8049</v>
                </pt>
                <pt idx="269">
                  <v>85.42319999999999</v>
                </pt>
                <pt idx="270">
                  <v>84.3207</v>
                </pt>
                <pt idx="271">
                  <v>85.4079</v>
                </pt>
                <pt idx="272">
                  <v>84.29519999999999</v>
                </pt>
                <pt idx="273">
                  <v>85.1588</v>
                </pt>
                <pt idx="274">
                  <v>84.9256</v>
                </pt>
                <pt idx="275">
                  <v>83.6361</v>
                </pt>
                <pt idx="276">
                  <v>84.9314</v>
                </pt>
                <pt idx="277">
                  <v>86.0137</v>
                </pt>
                <pt idx="278">
                  <v>86.5406</v>
                </pt>
                <pt idx="279">
                  <v>86.2204</v>
                </pt>
                <pt idx="280">
                  <v>87.5596</v>
                </pt>
                <pt idx="281">
                  <v>87.14919999999999</v>
                </pt>
                <pt idx="282">
                  <v>87.2694</v>
                </pt>
                <pt idx="283">
                  <v>87.4653</v>
                </pt>
                <pt idx="284">
                  <v>87.075</v>
                </pt>
                <pt idx="285">
                  <v>86.76430000000001</v>
                </pt>
                <pt idx="286">
                  <v>86.898</v>
                </pt>
                <pt idx="287">
                  <v>86.60250000000001</v>
                </pt>
                <pt idx="288">
                  <v>88.2403</v>
                </pt>
                <pt idx="289">
                  <v>88.4556</v>
                </pt>
                <pt idx="290">
                  <v>87.70180000000001</v>
                </pt>
                <pt idx="291">
                  <v>88.78100000000001</v>
                </pt>
                <pt idx="292">
                  <v>88.2435</v>
                </pt>
                <pt idx="293">
                  <v>88.241</v>
                </pt>
                <pt idx="294">
                  <v>88.2634</v>
                </pt>
                <pt idx="295">
                  <v>88.9192</v>
                </pt>
                <pt idx="296">
                  <v>88.10169999999999</v>
                </pt>
                <pt idx="297">
                  <v>87.6095</v>
                </pt>
                <pt idx="298">
                  <v>88.02630000000001</v>
                </pt>
                <pt idx="299">
                  <v>90.4175</v>
                </pt>
                <pt idx="300">
                  <v>89.1776</v>
                </pt>
                <pt idx="301">
                  <v>87.85129999999999</v>
                </pt>
                <pt idx="302">
                  <v>88.4246</v>
                </pt>
                <pt idx="303">
                  <v>88.6521</v>
                </pt>
                <pt idx="304">
                  <v>86.7803</v>
                </pt>
                <pt idx="305">
                  <v>85.75279999999999</v>
                </pt>
                <pt idx="306">
                  <v>86.08280000000001</v>
                </pt>
                <pt idx="307">
                  <v>83.423</v>
                </pt>
                <pt idx="308">
                  <v>84.2401</v>
                </pt>
                <pt idx="309">
                  <v>84.5183</v>
                </pt>
                <pt idx="310">
                  <v>82.5337</v>
                </pt>
                <pt idx="311">
                  <v>82.4637</v>
                </pt>
                <pt idx="312">
                  <v>81.85509999999999</v>
                </pt>
                <pt idx="313">
                  <v>81.1953</v>
                </pt>
                <pt idx="314">
                  <v>80.9402</v>
                </pt>
                <pt idx="315">
                  <v>80.94499999999999</v>
                </pt>
                <pt idx="316">
                  <v>81.22190000000001</v>
                </pt>
                <pt idx="317">
                  <v>81.9802</v>
                </pt>
                <pt idx="318">
                  <v>82.07389999999999</v>
                </pt>
                <pt idx="319">
                  <v>81.9941</v>
                </pt>
                <pt idx="320">
                  <v>82.8078</v>
                </pt>
                <pt idx="321">
                  <v>83.6964</v>
                </pt>
                <pt idx="322">
                  <v>84.37350000000001</v>
                </pt>
                <pt idx="323">
                  <v>83.3306</v>
                </pt>
                <pt idx="324">
                  <v>83.774</v>
                </pt>
                <pt idx="325">
                  <v>84.58969999999999</v>
                </pt>
                <pt idx="326">
                  <v>83.59180000000001</v>
                </pt>
                <pt idx="327">
                  <v>83.3449</v>
                </pt>
                <pt idx="328">
                  <v>83.8592</v>
                </pt>
                <pt idx="329">
                  <v>83.8092</v>
                </pt>
                <pt idx="330">
                  <v>84.3775</v>
                </pt>
                <pt idx="331">
                  <v>84.0189</v>
                </pt>
                <pt idx="332">
                  <v>84.5702</v>
                </pt>
                <pt idx="333">
                  <v>83.93600000000001</v>
                </pt>
                <pt idx="334">
                  <v>83.5089</v>
                </pt>
                <pt idx="335">
                  <v>83.7591</v>
                </pt>
                <pt idx="336">
                  <v>84.768</v>
                </pt>
                <pt idx="337">
                  <v>84.8807</v>
                </pt>
                <pt idx="338">
                  <v>85.1421</v>
                </pt>
                <pt idx="339">
                  <v>85.2251</v>
                </pt>
                <pt idx="340">
                  <v>84.34699999999999</v>
                </pt>
                <pt idx="341">
                  <v>84.05070000000001</v>
                </pt>
                <pt idx="342">
                  <v>84.0406</v>
                </pt>
                <pt idx="343">
                  <v>84.11239999999999</v>
                </pt>
                <pt idx="344">
                  <v>83.6865</v>
                </pt>
                <pt idx="345">
                  <v>83.0485</v>
                </pt>
                <pt idx="346">
                  <v>82.1666</v>
                </pt>
                <pt idx="347">
                  <v>81.527</v>
                </pt>
                <pt idx="348">
                  <v>81.1144</v>
                </pt>
                <pt idx="349">
                  <v>80.0427</v>
                </pt>
                <pt idx="350">
                  <v>80.19759999999999</v>
                </pt>
                <pt idx="351">
                  <v>80.9615</v>
                </pt>
                <pt idx="352">
                  <v>80.9512</v>
                </pt>
                <pt idx="353">
                  <v>80.4254</v>
                </pt>
                <pt idx="354">
                  <v>80.7852</v>
                </pt>
                <pt idx="355">
                  <v>79.1456</v>
                </pt>
                <pt idx="356">
                  <v>77.754</v>
                </pt>
                <pt idx="357">
                  <v>79.7602</v>
                </pt>
                <pt idx="358">
                  <v>80.2221</v>
                </pt>
                <pt idx="359">
                  <v>80.422</v>
                </pt>
                <pt idx="360">
                  <v>80.51730000000001</v>
                </pt>
                <pt idx="361">
                  <v>80.4038</v>
                </pt>
                <pt idx="362">
                  <v>80.18000000000001</v>
                </pt>
                <pt idx="363">
                  <v>79.65989999999999</v>
                </pt>
                <pt idx="364">
                  <v>79.8164</v>
                </pt>
                <pt idx="365">
                  <v>79.4996</v>
                </pt>
                <pt idx="366">
                  <v>80.5796</v>
                </pt>
                <pt idx="367">
                  <v>81.07340000000001</v>
                </pt>
                <pt idx="368">
                  <v>80.95399999999999</v>
                </pt>
                <pt idx="369">
                  <v>80.52970000000001</v>
                </pt>
                <pt idx="370">
                  <v>80.5103</v>
                </pt>
                <pt idx="371">
                  <v>81.1225</v>
                </pt>
                <pt idx="372">
                  <v>80.2527</v>
                </pt>
                <pt idx="373">
                  <v>80.5057</v>
                </pt>
                <pt idx="374">
                  <v>80.2589</v>
                </pt>
                <pt idx="375">
                  <v>79.9135</v>
                </pt>
                <pt idx="376">
                  <v>79.82080000000001</v>
                </pt>
                <pt idx="377">
                  <v>81.22620000000001</v>
                </pt>
                <pt idx="378">
                  <v>80.5882</v>
                </pt>
                <pt idx="379">
                  <v>78.30540000000001</v>
                </pt>
                <pt idx="380">
                  <v>79.23180000000001</v>
                </pt>
                <pt idx="381">
                  <v>80.919</v>
                </pt>
                <pt idx="382">
                  <v>80.8826</v>
                </pt>
                <pt idx="383">
                  <v>80.8077</v>
                </pt>
                <pt idx="384">
                  <v>81.85469999999999</v>
                </pt>
                <pt idx="385">
                  <v>81.6618</v>
                </pt>
                <pt idx="386">
                  <v>81.8892</v>
                </pt>
                <pt idx="387">
                  <v>81.0391</v>
                </pt>
                <pt idx="388">
                  <v>81.008</v>
                </pt>
                <pt idx="389">
                  <v>80.6833</v>
                </pt>
                <pt idx="390">
                  <v>80.2971</v>
                </pt>
                <pt idx="391">
                  <v>72.5501</v>
                </pt>
                <pt idx="392">
                  <v>74.24039999999999</v>
                </pt>
                <pt idx="393">
                  <v>77.36499999999999</v>
                </pt>
                <pt idx="394">
                  <v>78.2595</v>
                </pt>
                <pt idx="395">
                  <v>80.2448</v>
                </pt>
                <pt idx="396">
                  <v>79.7895</v>
                </pt>
                <pt idx="397">
                  <v>79.8571</v>
                </pt>
                <pt idx="398">
                  <v>80.48569999999999</v>
                </pt>
                <pt idx="399">
                  <v>81.13590000000001</v>
                </pt>
                <pt idx="400">
                  <v>81.5488</v>
                </pt>
                <pt idx="401">
                  <v>81.8999</v>
                </pt>
                <pt idx="402">
                  <v>81.6627</v>
                </pt>
                <pt idx="403">
                  <v>82.0003</v>
                </pt>
                <pt idx="404">
                  <v>82.3802</v>
                </pt>
                <pt idx="405">
                  <v>81.2637</v>
                </pt>
                <pt idx="406">
                  <v>82.5496</v>
                </pt>
                <pt idx="407">
                  <v>80.6801</v>
                </pt>
                <pt idx="408">
                  <v>81.4529</v>
                </pt>
                <pt idx="409">
                  <v>81.44799999999999</v>
                </pt>
                <pt idx="410">
                  <v>81.65179999999999</v>
                </pt>
                <pt idx="411">
                  <v>82.2843</v>
                </pt>
                <pt idx="412">
                  <v>81.85980000000001</v>
                </pt>
                <pt idx="413">
                  <v>81.8289</v>
                </pt>
                <pt idx="414">
                  <v>81.8188</v>
                </pt>
                <pt idx="415">
                  <v>81.944</v>
                </pt>
                <pt idx="416">
                  <v>81.6893</v>
                </pt>
                <pt idx="417">
                  <v>82.6433</v>
                </pt>
                <pt idx="418">
                  <v>83.31480000000001</v>
                </pt>
                <pt idx="419">
                  <v>82.913</v>
                </pt>
                <pt idx="420">
                  <v>83.0027</v>
                </pt>
                <pt idx="421">
                  <v>83.4268</v>
                </pt>
                <pt idx="422">
                  <v>83.8291</v>
                </pt>
                <pt idx="423">
                  <v>83.65989999999999</v>
                </pt>
                <pt idx="424">
                  <v>84.289</v>
                </pt>
                <pt idx="425">
                  <v>86.4327</v>
                </pt>
                <pt idx="426">
                  <v>85.05029999999999</v>
                </pt>
                <pt idx="427">
                  <v>75.4054</v>
                </pt>
                <pt idx="428">
                  <v>82.002</v>
                </pt>
                <pt idx="429">
                  <v>83.91079999999999</v>
                </pt>
                <pt idx="430">
                  <v>82.34180000000001</v>
                </pt>
                <pt idx="431">
                  <v>81.86790000000001</v>
                </pt>
                <pt idx="432">
                  <v>80.8051</v>
                </pt>
                <pt idx="433">
                  <v>79.0406</v>
                </pt>
                <pt idx="434">
                  <v>77.79989999999999</v>
                </pt>
                <pt idx="435">
                  <v>77.58150000000001</v>
                </pt>
                <pt idx="436">
                  <v>77.3604</v>
                </pt>
                <pt idx="437">
                  <v>78.1695</v>
                </pt>
                <pt idx="438">
                  <v>79.0502</v>
                </pt>
                <pt idx="439">
                  <v>78.7885</v>
                </pt>
                <pt idx="440">
                  <v>78.4357</v>
                </pt>
                <pt idx="441">
                  <v>78.2608</v>
                </pt>
                <pt idx="442">
                  <v>77.5706</v>
                </pt>
                <pt idx="443">
                  <v>79.0851</v>
                </pt>
                <pt idx="444">
                  <v>80.4939</v>
                </pt>
                <pt idx="445">
                  <v>81.2843</v>
                </pt>
                <pt idx="446">
                  <v>81.6802</v>
                </pt>
                <pt idx="447">
                  <v>81.6146</v>
                </pt>
                <pt idx="448">
                  <v>81.748</v>
                </pt>
                <pt idx="449">
                  <v>82.2264</v>
                </pt>
                <pt idx="450">
                  <v>83.49590000000001</v>
                </pt>
                <pt idx="451">
                  <v>84.6807</v>
                </pt>
                <pt idx="452">
                  <v>84.80370000000001</v>
                </pt>
                <pt idx="453">
                  <v>84.1202</v>
                </pt>
                <pt idx="454">
                  <v>84.57299999999999</v>
                </pt>
                <pt idx="455">
                  <v>84.4324</v>
                </pt>
                <pt idx="456">
                  <v>82.7265</v>
                </pt>
                <pt idx="457">
                  <v>85.7651</v>
                </pt>
                <pt idx="458">
                  <v>86.291</v>
                </pt>
                <pt idx="459">
                  <v>87.2075</v>
                </pt>
                <pt idx="460">
                  <v>87.66719999999999</v>
                </pt>
                <pt idx="461">
                  <v>87.1635</v>
                </pt>
                <pt idx="462">
                  <v>88.768</v>
                </pt>
                <pt idx="463">
                  <v>88.3485</v>
                </pt>
                <pt idx="464">
                  <v>90.5077</v>
                </pt>
                <pt idx="465">
                  <v>91.5517</v>
                </pt>
                <pt idx="466">
                  <v>92.3891</v>
                </pt>
                <pt idx="467">
                  <v>93.6135</v>
                </pt>
                <pt idx="468">
                  <v>93.3322</v>
                </pt>
                <pt idx="469">
                  <v>93.35639999999999</v>
                </pt>
                <pt idx="470">
                  <v>93.5745</v>
                </pt>
                <pt idx="471">
                  <v>93.8724</v>
                </pt>
                <pt idx="472">
                  <v>93.958</v>
                </pt>
                <pt idx="473">
                  <v>95.0175</v>
                </pt>
                <pt idx="474">
                  <v>93.91200000000001</v>
                </pt>
                <pt idx="475">
                  <v>95.2783</v>
                </pt>
                <pt idx="476">
                  <v>96.8197</v>
                </pt>
                <pt idx="477">
                  <v>97.0536</v>
                </pt>
                <pt idx="478">
                  <v>97.149</v>
                </pt>
                <pt idx="479">
                  <v>97.3879</v>
                </pt>
                <pt idx="480">
                  <v>98.07729999999999</v>
                </pt>
                <pt idx="481">
                  <v>98.5966</v>
                </pt>
                <pt idx="482">
                  <v>99.4104</v>
                </pt>
                <pt idx="483">
                  <v>99.7274</v>
                </pt>
                <pt idx="484">
                  <v>100.4118</v>
                </pt>
                <pt idx="485">
                  <v>101.7013</v>
                </pt>
                <pt idx="486">
                  <v>101.6899</v>
                </pt>
                <pt idx="487">
                  <v>103.4661</v>
                </pt>
                <pt idx="488">
                  <v>101.692</v>
                </pt>
                <pt idx="489">
                  <v>102.4987</v>
                </pt>
                <pt idx="490">
                  <v>102.9208</v>
                </pt>
                <pt idx="491">
                  <v>104.3277</v>
                </pt>
                <pt idx="492">
                  <v>105.356</v>
                </pt>
                <pt idx="493">
                  <v>107.5527</v>
                </pt>
                <pt idx="494">
                  <v>109.4134</v>
                </pt>
                <pt idx="495">
                  <v>110.6091</v>
                </pt>
                <pt idx="496">
                  <v>112.0662</v>
                </pt>
                <pt idx="497">
                  <v>112.7582</v>
                </pt>
                <pt idx="498">
                  <v>113.681</v>
                </pt>
                <pt idx="499">
                  <v>114.3418</v>
                </pt>
                <pt idx="500">
                  <v>114.6432</v>
                </pt>
                <pt idx="501">
                  <v>113.9073</v>
                </pt>
                <pt idx="502">
                  <v>116.7117</v>
                </pt>
                <pt idx="503">
                  <v>113.8265</v>
                </pt>
                <pt idx="504">
                  <v>109.8392</v>
                </pt>
                <pt idx="505">
                  <v>107.9987</v>
                </pt>
                <pt idx="506">
                  <v>106.3141</v>
                </pt>
                <pt idx="507">
                  <v>103.8057</v>
                </pt>
                <pt idx="508">
                  <v>103.0024</v>
                </pt>
                <pt idx="509">
                  <v>104.2028</v>
                </pt>
                <pt idx="510">
                  <v>104.6632</v>
                </pt>
                <pt idx="511">
                  <v>103.1616</v>
                </pt>
                <pt idx="512">
                  <v>101.2167</v>
                </pt>
                <pt idx="513">
                  <v>99.0458</v>
                </pt>
                <pt idx="514">
                  <v>98.2912</v>
                </pt>
                <pt idx="515">
                  <v>96.291</v>
                </pt>
                <pt idx="516">
                  <v>94.23699999999999</v>
                </pt>
                <pt idx="517">
                  <v>91.92919999999999</v>
                </pt>
                <pt idx="518">
                  <v>89.81529999999999</v>
                </pt>
                <pt idx="519">
                  <v>89.7933</v>
                </pt>
                <pt idx="520">
                  <v>89.65260000000001</v>
                </pt>
                <pt idx="521">
                  <v>90.1724</v>
                </pt>
                <pt idx="522">
                  <v>89.8053</v>
                </pt>
                <pt idx="523">
                  <v>89.9918</v>
                </pt>
                <pt idx="524">
                  <v>92.56870000000001</v>
                </pt>
                <pt idx="525">
                  <v>92.044</v>
                </pt>
                <pt idx="526">
                  <v>91.8993</v>
                </pt>
                <pt idx="527">
                  <v>94.0587</v>
                </pt>
                <pt idx="528">
                  <v>96.2183</v>
                </pt>
                <pt idx="529">
                  <v>97.3884</v>
                </pt>
                <pt idx="530">
                  <v>98.5414</v>
                </pt>
                <pt idx="531">
                  <v>99.45059999999999</v>
                </pt>
                <pt idx="532">
                  <v>100.7628</v>
                </pt>
                <pt idx="533">
                  <v>100.7442</v>
                </pt>
                <pt idx="534">
                  <v>100.0187</v>
                </pt>
                <pt idx="535">
                  <v>101.1584</v>
                </pt>
                <pt idx="536">
                  <v>102.741</v>
                </pt>
                <pt idx="537">
                  <v>104.458</v>
                </pt>
                <pt idx="538">
                  <v>104.4595</v>
                </pt>
                <pt idx="539">
                  <v>104.1781</v>
                </pt>
                <pt idx="540">
                  <v>107.0176</v>
                </pt>
                <pt idx="541">
                  <v>108.7512</v>
                </pt>
                <pt idx="542">
                  <v>109.9831</v>
                </pt>
                <pt idx="543">
                  <v>110.5986</v>
                </pt>
                <pt idx="544">
                  <v>113.0163</v>
                </pt>
                <pt idx="545">
                  <v>114.431</v>
                </pt>
                <pt idx="546">
                  <v>117.4069</v>
                </pt>
                <pt idx="547">
                  <v>117.817</v>
                </pt>
                <pt idx="548">
                  <v>117.8951</v>
                </pt>
                <pt idx="549">
                  <v>118.5878</v>
                </pt>
                <pt idx="550">
                  <v>120.4592</v>
                </pt>
                <pt idx="551">
                  <v>119.8562</v>
                </pt>
                <pt idx="552">
                  <v>118.1983</v>
                </pt>
                <pt idx="553">
                  <v>118.5448</v>
                </pt>
                <pt idx="554">
                  <v>120.9637</v>
                </pt>
                <pt idx="555">
                  <v>121.0869</v>
                </pt>
                <pt idx="556">
                  <v>122.0331</v>
                </pt>
                <pt idx="557">
                  <v>119.7746</v>
                </pt>
                <pt idx="558">
                  <v>122.6931</v>
                </pt>
                <pt idx="559">
                  <v>123.0956</v>
                </pt>
                <pt idx="560">
                  <v>122.4687</v>
                </pt>
                <pt idx="561">
                  <v>120.1577</v>
                </pt>
                <pt idx="562">
                  <v>120.5794</v>
                </pt>
                <pt idx="563">
                  <v>120.675</v>
                </pt>
                <pt idx="564">
                  <v>119.2226</v>
                </pt>
                <pt idx="565">
                  <v>118.7186</v>
                </pt>
                <pt idx="566">
                  <v>102.9611</v>
                </pt>
                <pt idx="567">
                  <v>89.6208</v>
                </pt>
                <pt idx="568">
                  <v>91.9365</v>
                </pt>
                <pt idx="569">
                  <v>96.8934</v>
                </pt>
                <pt idx="570">
                  <v>97.17149999999999</v>
                </pt>
                <pt idx="571">
                  <v>98.1807</v>
                </pt>
                <pt idx="572">
                  <v>97.06740000000001</v>
                </pt>
                <pt idx="573">
                  <v>100.8088</v>
                </pt>
                <pt idx="574">
                  <v>101.3489</v>
                </pt>
                <pt idx="575">
                  <v>103.8388</v>
                </pt>
                <pt idx="576">
                  <v>95.0082</v>
                </pt>
                <pt idx="577">
                  <v>105.4105</v>
                </pt>
                <pt idx="578">
                  <v>105.5071</v>
                </pt>
                <pt idx="579">
                  <v>106.5645</v>
                </pt>
                <pt idx="580">
                  <v>106.9817</v>
                </pt>
                <pt idx="581">
                  <v>107.4984</v>
                </pt>
                <pt idx="582">
                  <v>107.8188</v>
                </pt>
                <pt idx="583">
                  <v>105.617</v>
                </pt>
                <pt idx="584">
                  <v>109.3269</v>
                </pt>
                <pt idx="585">
                  <v>109.8534</v>
                </pt>
                <pt idx="586">
                  <v>110.0766</v>
                </pt>
                <pt idx="587">
                  <v>108.3229</v>
                </pt>
                <pt idx="588">
                  <v>107.9322</v>
                </pt>
                <pt idx="589">
                  <v>110.6254</v>
                </pt>
                <pt idx="590">
                  <v>111.1315</v>
                </pt>
                <pt idx="591">
                  <v>112.2857</v>
                </pt>
                <pt idx="592">
                  <v>113.8698</v>
                </pt>
                <pt idx="593">
                  <v>115.502</v>
                </pt>
                <pt idx="594">
                  <v>115.7788</v>
                </pt>
                <pt idx="595">
                  <v>117.1892</v>
                </pt>
                <pt idx="596">
                  <v>117.3849</v>
                </pt>
                <pt idx="597">
                  <v>116.3646</v>
                </pt>
                <pt idx="598">
                  <v>113.8179</v>
                </pt>
                <pt idx="599">
                  <v>118.3157</v>
                </pt>
                <pt idx="600">
                  <v>117.1147</v>
                </pt>
                <pt idx="601">
                  <v>116.5784</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Mining!$D$20:$D$623</f>
              <numCache>
                <formatCode>0.0%</formatCode>
                <ptCount val="604"/>
                <pt idx="0">
                  <v>0.01665223800276095</v>
                </pt>
                <pt idx="1">
                  <v>-0.0009477241843880393</v>
                </pt>
                <pt idx="2">
                  <v>-0.01457555688651663</v>
                </pt>
                <pt idx="3">
                  <v>-0.001151165540618864</v>
                </pt>
                <pt idx="4">
                  <v>0.001614694881741659</v>
                </pt>
                <pt idx="5">
                  <v>0.01982988037774964</v>
                </pt>
                <pt idx="6">
                  <v>0.009725592789567592</v>
                </pt>
                <pt idx="7">
                  <v>-0.0008685837386915207</v>
                </pt>
                <pt idx="8">
                  <v>0.006637819922666242</v>
                </pt>
                <pt idx="9">
                  <v>0.003160843766804451</v>
                </pt>
                <pt idx="10">
                  <v>0.0175597201145741</v>
                </pt>
                <pt idx="11">
                  <v>0.01411802121851476</v>
                </pt>
                <pt idx="12">
                  <v>0.01287551178692185</v>
                </pt>
                <pt idx="13">
                  <v>0.01444790361244094</v>
                </pt>
                <pt idx="14">
                  <v>0.01589706976885249</v>
                </pt>
                <pt idx="15">
                  <v>0.01811490336126164</v>
                </pt>
                <pt idx="16">
                  <v>-0.001846851274697453</v>
                </pt>
                <pt idx="17">
                  <v>-0.01181953193014803</v>
                </pt>
                <pt idx="18">
                  <v>-0.04084473591207188</v>
                </pt>
                <pt idx="19">
                  <v>-0.02013930065246288</v>
                </pt>
                <pt idx="20">
                  <v>-0.01467084625163492</v>
                </pt>
                <pt idx="21">
                  <v>-0.08305248948557364</v>
                </pt>
                <pt idx="22">
                  <v>-0.07096913104573689</v>
                </pt>
                <pt idx="23">
                  <v>-0.017984749096388</v>
                </pt>
                <pt idx="24">
                  <v>-0.03075540528718956</v>
                </pt>
                <pt idx="25">
                  <v>-0.04171451097955362</v>
                </pt>
                <pt idx="26">
                  <v>-0.04265131271466604</v>
                </pt>
                <pt idx="27">
                  <v>-0.05243046491241069</v>
                </pt>
                <pt idx="28">
                  <v>-0.02124159153209655</v>
                </pt>
                <pt idx="29">
                  <v>-0.05181676530439493</v>
                </pt>
                <pt idx="30">
                  <v>-0.01639598695808766</v>
                </pt>
                <pt idx="31">
                  <v>-0.03234909588034186</v>
                </pt>
                <pt idx="32">
                  <v>-0.03819258726410984</v>
                </pt>
                <pt idx="33">
                  <v>0.0505376613296948</v>
                </pt>
                <pt idx="34">
                  <v>0.02624497751929099</v>
                </pt>
                <pt idx="35">
                  <v>-0.008489431889578363</v>
                </pt>
                <pt idx="36">
                  <v>-0.0003762606489968703</v>
                </pt>
                <pt idx="37">
                  <v>0.007666633581313964</v>
                </pt>
                <pt idx="38">
                  <v>0.006761530406495449</v>
                </pt>
                <pt idx="39">
                  <v>0.01197387954659744</v>
                </pt>
                <pt idx="40">
                  <v>-0.01017538210950965</v>
                </pt>
                <pt idx="41">
                  <v>0.006261120928905038</v>
                </pt>
                <pt idx="42">
                  <v>0.01146337849866723</v>
                </pt>
                <pt idx="43">
                  <v>0.01882358064129847</v>
                </pt>
                <pt idx="44">
                  <v>0.01398711906361689</v>
                </pt>
                <pt idx="45">
                  <v>0.008972820575761946</v>
                </pt>
                <pt idx="46">
                  <v>0.01950245444712537</v>
                </pt>
                <pt idx="47">
                  <v>-0.02974394163241586</v>
                </pt>
                <pt idx="48">
                  <v>0.009023101249866709</v>
                </pt>
                <pt idx="49">
                  <v>0.03935881855899141</v>
                </pt>
                <pt idx="50">
                  <v>0.04041347560655952</v>
                </pt>
                <pt idx="51">
                  <v>0.03778387239814585</v>
                </pt>
                <pt idx="52">
                  <v>0.0362143441427049</v>
                </pt>
                <pt idx="53">
                  <v>0.05063790751849755</v>
                </pt>
                <pt idx="54">
                  <v>0.01268628100118364</v>
                </pt>
                <pt idx="55">
                  <v>0.04440508090434305</v>
                </pt>
                <pt idx="56">
                  <v>0.04543096843577957</v>
                </pt>
                <pt idx="57">
                  <v>0.04583746195663076</v>
                </pt>
                <pt idx="58">
                  <v>-0.05491537042779951</v>
                </pt>
                <pt idx="59">
                  <v>-0.04703485337239877</v>
                </pt>
                <pt idx="60">
                  <v>-0.07058521381605716</v>
                </pt>
                <pt idx="61">
                  <v>-0.04086905983920935</v>
                </pt>
                <pt idx="62">
                  <v>0.05596832042361585</v>
                </pt>
                <pt idx="63">
                  <v>0.05115915698506932</v>
                </pt>
                <pt idx="64">
                  <v>0.05669671194617237</v>
                </pt>
                <pt idx="65">
                  <v>0.06225450718771928</v>
                </pt>
                <pt idx="66">
                  <v>0.07608019483077549</v>
                </pt>
                <pt idx="67">
                  <v>0.02240668051240595</v>
                </pt>
                <pt idx="68">
                  <v>0.04818152851745635</v>
                </pt>
                <pt idx="69">
                  <v>0.03832450823957729</v>
                </pt>
                <pt idx="70">
                  <v>0.1258827955861762</v>
                </pt>
                <pt idx="71">
                  <v>0.1392934672859451</v>
                </pt>
                <pt idx="72">
                  <v>0.1288287713796644</v>
                </pt>
                <pt idx="73">
                  <v>0.07797820010380907</v>
                </pt>
                <pt idx="74">
                  <v>-0.005235772428257527</v>
                </pt>
                <pt idx="75">
                  <v>-0.006125615994385498</v>
                </pt>
                <pt idx="76">
                  <v>-0.002613598137169669</v>
                </pt>
                <pt idx="77">
                  <v>-0.02198388115488114</v>
                </pt>
                <pt idx="78">
                  <v>0.01048656067911309</v>
                </pt>
                <pt idx="79">
                  <v>0.02471414403315981</v>
                </pt>
                <pt idx="80">
                  <v>0.01454782325480408</v>
                </pt>
                <pt idx="81">
                  <v>0.01961323833771439</v>
                </pt>
                <pt idx="82">
                  <v>0.02589516588508567</v>
                </pt>
                <pt idx="83">
                  <v>0.05703429213956136</v>
                </pt>
                <pt idx="84">
                  <v>0.04493243243243243</v>
                </pt>
                <pt idx="85">
                  <v>0.05094499649919496</v>
                </pt>
                <pt idx="86">
                  <v>0.02545759792432056</v>
                </pt>
                <pt idx="87">
                  <v>0.03102079931929895</v>
                </pt>
                <pt idx="88">
                  <v>0.02581025248493489</v>
                </pt>
                <pt idx="89">
                  <v>0.01810340537761047</v>
                </pt>
                <pt idx="90">
                  <v>-0.0224739150747509</v>
                </pt>
                <pt idx="91">
                  <v>-0.0009721884656783221</v>
                </pt>
                <pt idx="92">
                  <v>-0.0176907437132156</v>
                </pt>
                <pt idx="93">
                  <v>-0.002683690394286985</v>
                </pt>
                <pt idx="94">
                  <v>0.01954365736280772</v>
                </pt>
                <pt idx="95">
                  <v>-0.01158914196541705</v>
                </pt>
                <pt idx="96">
                  <v>0.0117430686955738</v>
                </pt>
                <pt idx="97">
                  <v>0.01202559379259098</v>
                </pt>
                <pt idx="98">
                  <v>-0.03006350981563655</v>
                </pt>
                <pt idx="99">
                  <v>-0.02393405452774247</v>
                </pt>
                <pt idx="100">
                  <v>0.02193807891559637</v>
                </pt>
                <pt idx="101">
                  <v>0.07285190447019368</v>
                </pt>
                <pt idx="102">
                  <v>0.09643198128977949</v>
                </pt>
                <pt idx="103">
                  <v>0.06976918465227822</v>
                </pt>
                <pt idx="104">
                  <v>0.06600665818416317</v>
                </pt>
                <pt idx="105">
                  <v>0.03734656400702034</v>
                </pt>
                <pt idx="106">
                  <v>0.01540205297853695</v>
                </pt>
                <pt idx="107">
                  <v>0.01570440807073608</v>
                </pt>
                <pt idx="108">
                  <v>0.01435916026415414</v>
                </pt>
                <pt idx="109">
                  <v>-0.003046472726592999</v>
                </pt>
                <pt idx="110">
                  <v>0.03046046365317313</v>
                </pt>
                <pt idx="111">
                  <v>0.007785030731531402</v>
                </pt>
                <pt idx="112">
                  <v>-0.04719196426706104</v>
                </pt>
                <pt idx="113">
                  <v>-0.08993377872313717</v>
                </pt>
                <pt idx="114">
                  <v>-0.09982897013788343</v>
                </pt>
                <pt idx="115">
                  <v>-0.1031356125789995</v>
                </pt>
                <pt idx="116">
                  <v>-0.1003873037933289</v>
                </pt>
                <pt idx="117">
                  <v>-0.09484410022290546</v>
                </pt>
                <pt idx="118">
                  <v>-0.1052608230958739</v>
                </pt>
                <pt idx="119">
                  <v>-0.08575332855911026</v>
                </pt>
                <pt idx="120">
                  <v>-0.1132605758623681</v>
                </pt>
                <pt idx="121">
                  <v>-0.1172299658281493</v>
                </pt>
                <pt idx="122">
                  <v>-0.08909923267890153</v>
                </pt>
                <pt idx="123">
                  <v>-0.07837116674523104</v>
                </pt>
                <pt idx="124">
                  <v>-0.06289015135734856</v>
                </pt>
                <pt idx="125">
                  <v>-0.04330878156715252</v>
                </pt>
                <pt idx="126">
                  <v>-0.02729904866951608</v>
                </pt>
                <pt idx="127">
                  <v>-0.01122042497699193</v>
                </pt>
                <pt idx="128">
                  <v>0.002151478147275225</v>
                </pt>
                <pt idx="129">
                  <v>0.004911570096374802</v>
                </pt>
                <pt idx="130">
                  <v>0.00579624921450278</v>
                </pt>
                <pt idx="131">
                  <v>0.04286022583374542</v>
                </pt>
                <pt idx="132">
                  <v>0.05220997210234179</v>
                </pt>
                <pt idx="133">
                  <v>0.05795733545385801</v>
                </pt>
                <pt idx="134">
                  <v>0.06763180664816255</v>
                </pt>
                <pt idx="135">
                  <v>0.08859232981873304</v>
                </pt>
                <pt idx="136">
                  <v>0.090002000512412</v>
                </pt>
                <pt idx="137">
                  <v>0.101665608509906</v>
                </pt>
                <pt idx="138">
                  <v>0.08036968534107733</v>
                </pt>
                <pt idx="139">
                  <v>0.08028488443313327</v>
                </pt>
                <pt idx="140">
                  <v>0.03459118427510625</v>
                </pt>
                <pt idx="141">
                  <v>0.03535889934586889</v>
                </pt>
                <pt idx="142">
                  <v>0.04855602124010681</v>
                </pt>
                <pt idx="143">
                  <v>-0.02197713160767445</v>
                </pt>
                <pt idx="144">
                  <v>0.007402716875692599</v>
                </pt>
                <pt idx="145">
                  <v>0.01744370829908789</v>
                </pt>
                <pt idx="146">
                  <v>-0.004832080288218612</v>
                </pt>
                <pt idx="147">
                  <v>-0.01757072472639038</v>
                </pt>
                <pt idx="148">
                  <v>-0.02041293831898876</v>
                </pt>
                <pt idx="149">
                  <v>-0.05322365969789428</v>
                </pt>
                <pt idx="150">
                  <v>-0.04493513115102072</v>
                </pt>
                <pt idx="151">
                  <v>-0.04008991059808985</v>
                </pt>
                <pt idx="152">
                  <v>-0.01421221470392319</v>
                </pt>
                <pt idx="153">
                  <v>-0.02701454073310173</v>
                </pt>
                <pt idx="154">
                  <v>-0.008315585545793782</v>
                </pt>
                <pt idx="155">
                  <v>0.01239419148919499</v>
                </pt>
                <pt idx="156">
                  <v>-0.01980870413756421</v>
                </pt>
                <pt idx="157">
                  <v>-0.04852606715587685</v>
                </pt>
                <pt idx="158">
                  <v>-0.07761834423577404</v>
                </pt>
                <pt idx="159">
                  <v>-0.08483106073652538</v>
                </pt>
                <pt idx="160">
                  <v>-0.09827170990496267</v>
                </pt>
                <pt idx="161">
                  <v>-0.08633298847704327</v>
                </pt>
                <pt idx="162">
                  <v>-0.09309008465679373</v>
                </pt>
                <pt idx="163">
                  <v>-0.1104832877922221</v>
                </pt>
                <pt idx="164">
                  <v>-0.09870921708359084</v>
                </pt>
                <pt idx="165">
                  <v>-0.07650901595259907</v>
                </pt>
                <pt idx="166">
                  <v>-0.09453819033318556</v>
                </pt>
                <pt idx="167">
                  <v>-0.08402520369076161</v>
                </pt>
                <pt idx="168">
                  <v>-0.07068672097293875</v>
                </pt>
                <pt idx="169">
                  <v>-0.04905412161523918</v>
                </pt>
                <pt idx="170">
                  <v>-0.009253345788691067</v>
                </pt>
                <pt idx="171">
                  <v>-0.006012067283374959</v>
                </pt>
                <pt idx="172">
                  <v>0.01709716379790085</v>
                </pt>
                <pt idx="173">
                  <v>0.02497217992268944</v>
                </pt>
                <pt idx="174">
                  <v>0.05715436271364686</v>
                </pt>
                <pt idx="175">
                  <v>0.0697900712670442</v>
                </pt>
                <pt idx="176">
                  <v>0.0719342400076947</v>
                </pt>
                <pt idx="177">
                  <v>0.06520420098445354</v>
                </pt>
                <pt idx="178">
                  <v>0.0667044112454493</v>
                </pt>
                <pt idx="179">
                  <v>0.04263775055020546</v>
                </pt>
                <pt idx="180">
                  <v>0.0454467039920281</v>
                </pt>
                <pt idx="181">
                  <v>0.05792011861916249</v>
                </pt>
                <pt idx="182">
                  <v>0.04567299019360246</v>
                </pt>
                <pt idx="183">
                  <v>0.05714898963711831</v>
                </pt>
                <pt idx="184">
                  <v>0.04520633206422851</v>
                </pt>
                <pt idx="185">
                  <v>0.03823846631857879</v>
                </pt>
                <pt idx="186">
                  <v>0.01806532780392351</v>
                </pt>
                <pt idx="187">
                  <v>0.001153223224105714</v>
                </pt>
                <pt idx="188">
                  <v>-0.005489575328661247</v>
                </pt>
                <pt idx="189">
                  <v>-0.01112004547757748</v>
                </pt>
                <pt idx="190">
                  <v>-0.01376448901089494</v>
                </pt>
                <pt idx="191">
                  <v>-0.002005453629674327</v>
                </pt>
                <pt idx="192">
                  <v>-0.02363030652008594</v>
                </pt>
                <pt idx="193">
                  <v>-0.02359523286064996</v>
                </pt>
                <pt idx="194">
                  <v>0.0005716093044653545</v>
                </pt>
                <pt idx="195">
                  <v>-0.004411999543743676</v>
                </pt>
                <pt idx="196">
                  <v>-0.01533407854943457</v>
                </pt>
                <pt idx="197">
                  <v>-0.0175086769425516</v>
                </pt>
                <pt idx="198">
                  <v>-0.01002805658917926</v>
                </pt>
                <pt idx="199">
                  <v>0.002411562521004139</v>
                </pt>
                <pt idx="200">
                  <v>-0.007332460393840653</v>
                </pt>
                <pt idx="201">
                  <v>0.0001075697902388638</v>
                </pt>
                <pt idx="202">
                  <v>-0.0270254943081075</v>
                </pt>
                <pt idx="203">
                  <v>0.02186299545313737</v>
                </pt>
                <pt idx="204">
                  <v>0.03201906110355369</v>
                </pt>
                <pt idx="205">
                  <v>0.01572875058930042</v>
                </pt>
                <pt idx="206">
                  <v>-0.0004678311485887025</v>
                </pt>
                <pt idx="207">
                  <v>-0.004918472283325976</v>
                </pt>
                <pt idx="208">
                  <v>0.005275694197781027</v>
                </pt>
                <pt idx="209">
                  <v>0.01728852368331691</v>
                </pt>
                <pt idx="210">
                  <v>0.003274447978695826</v>
                </pt>
                <pt idx="211">
                  <v>0.009105128629017013</v>
                </pt>
                <pt idx="212">
                  <v>0.02721129655675488</v>
                </pt>
                <pt idx="213">
                  <v>0.01251838898603833</v>
                </pt>
                <pt idx="214">
                  <v>0.02468582168112906</v>
                </pt>
                <pt idx="215">
                  <v>-0.02200834055250201</v>
                </pt>
                <pt idx="216">
                  <v>0.002195340655716435</v>
                </pt>
                <pt idx="217">
                  <v>-0.0002297608409016659</v>
                </pt>
                <pt idx="218">
                  <v>-0.014220903555226</v>
                </pt>
                <pt idx="219">
                  <v>-0.0160936929717605</v>
                </pt>
                <pt idx="220">
                  <v>-0.01128234972166501</v>
                </pt>
                <pt idx="221">
                  <v>-0.02779450786581814</v>
                </pt>
                <pt idx="222">
                  <v>-0.0252172480492894</v>
                </pt>
                <pt idx="223">
                  <v>-0.02947474060097402</v>
                </pt>
                <pt idx="224">
                  <v>-0.0403902328351437</v>
                </pt>
                <pt idx="225">
                  <v>-0.04163696840104541</v>
                </pt>
                <pt idx="226">
                  <v>-0.02125747877386411</v>
                </pt>
                <pt idx="227">
                  <v>-0.02353916363758781</v>
                </pt>
                <pt idx="228">
                  <v>-0.05061762252465361</v>
                </pt>
                <pt idx="229">
                  <v>-0.03719285522086928</v>
                </pt>
                <pt idx="230">
                  <v>-0.0163555953751696</v>
                </pt>
                <pt idx="231">
                  <v>-0.01568056581098369</v>
                </pt>
                <pt idx="232">
                  <v>-0.02820365491339208</v>
                </pt>
                <pt idx="233">
                  <v>-0.004993775480704089</v>
                </pt>
                <pt idx="234">
                  <v>-0.01992015392470159</v>
                </pt>
                <pt idx="235">
                  <v>-0.01460417515094642</v>
                </pt>
                <pt idx="236">
                  <v>-0.008265557026669245</v>
                </pt>
                <pt idx="237">
                  <v>-0.001135848966651505</v>
                </pt>
                <pt idx="238">
                  <v>-0.002939062488880642</v>
                </pt>
                <pt idx="239">
                  <v>-0.005555839576172649</v>
                </pt>
                <pt idx="240">
                  <v>0.002162889533757218</v>
                </pt>
                <pt idx="241">
                  <v>-0.007794049031261345</v>
                </pt>
                <pt idx="242">
                  <v>-0.01760717475174311</v>
                </pt>
                <pt idx="243">
                  <v>-0.01486754616535961</v>
                </pt>
                <pt idx="244">
                  <v>0.005526833805619905</v>
                </pt>
                <pt idx="245">
                  <v>-0.01827986191078749</v>
                </pt>
                <pt idx="246">
                  <v>-0.0008947596268057045</v>
                </pt>
                <pt idx="247">
                  <v>0.0009595308002199567</v>
                </pt>
                <pt idx="248">
                  <v>0.009054412297598914</v>
                </pt>
                <pt idx="249">
                  <v>0.009716406922119456</v>
                </pt>
                <pt idx="250">
                  <v>0.01021354954749188</v>
                </pt>
                <pt idx="251">
                  <v>0.004500109992061489</v>
                </pt>
                <pt idx="252">
                  <v>0.01623530259539048</v>
                </pt>
                <pt idx="253">
                  <v>0.03638231898599507</v>
                </pt>
                <pt idx="254">
                  <v>0.0263299904748454</v>
                </pt>
                <pt idx="255">
                  <v>0.02922687970265078</v>
                </pt>
                <pt idx="256">
                  <v>0.01793548865153372</v>
                </pt>
                <pt idx="257">
                  <v>0.02874092936897276</v>
                </pt>
                <pt idx="258">
                  <v>0.02739064681949142</v>
                </pt>
                <pt idx="259">
                  <v>0.0137365004595587</v>
                </pt>
                <pt idx="260">
                  <v>-0.002420486601679279</v>
                </pt>
                <pt idx="261">
                  <v>0.005804705687713526</v>
                </pt>
                <pt idx="262">
                  <v>0.01356987591170396</v>
                </pt>
                <pt idx="263">
                  <v>0.01968607026046547</v>
                </pt>
                <pt idx="264">
                  <v>0.01000888733413056</v>
                </pt>
                <pt idx="265">
                  <v>-0.0167313845267353</v>
                </pt>
                <pt idx="266">
                  <v>-0.004227524075361532</v>
                </pt>
                <pt idx="267">
                  <v>-0.004715819687316152</v>
                </pt>
                <pt idx="268">
                  <v>-0.004319454098021806</v>
                </pt>
                <pt idx="269">
                  <v>0.00308947500061642</v>
                </pt>
                <pt idx="270">
                  <v>-0.009419366207524451</v>
                </pt>
                <pt idx="271">
                  <v>0.008283927268606106</v>
                </pt>
                <pt idx="272">
                  <v>-0.001803487373812262</v>
                </pt>
                <pt idx="273">
                  <v>0.000547512577515303</v>
                </pt>
                <pt idx="274">
                  <v>-0.01336264083517084</v>
                </pt>
                <pt idx="275">
                  <v>-0.02377300613496928</v>
                </pt>
                <pt idx="276">
                  <v>-0.006205118784203882</v>
                </pt>
                <pt idx="277">
                  <v>0.02036853162697945</v>
                </pt>
                <pt idx="278">
                  <v>0.02227514296278183</v>
                </pt>
                <pt idx="279">
                  <v>0.01572947934386678</v>
                </pt>
                <pt idx="280">
                  <v>0.03248279285748818</v>
                </pt>
                <pt idx="281">
                  <v>0.02020528381048707</v>
                </pt>
                <pt idx="282">
                  <v>0.03497006073241805</v>
                </pt>
                <pt idx="283">
                  <v>0.02408910651122438</v>
                </pt>
                <pt idx="284">
                  <v>0.03297696666002345</v>
                </pt>
                <pt idx="285">
                  <v>0.01885301342902914</v>
                </pt>
                <pt idx="286">
                  <v>0.02322503461853662</v>
                </pt>
                <pt idx="287">
                  <v>0.03546793788806517</v>
                </pt>
                <pt idx="288">
                  <v>0.03895967804604667</v>
                </pt>
                <pt idx="289">
                  <v>0.02838966350709252</v>
                </pt>
                <pt idx="290">
                  <v>0.01341797953792796</v>
                </pt>
                <pt idx="291">
                  <v>0.02969830805702604</v>
                </pt>
                <pt idx="292">
                  <v>0.007810679811237079</v>
                </pt>
                <pt idx="293">
                  <v>0.01252794058924243</v>
                </pt>
                <pt idx="294">
                  <v>0.01139001757775348</v>
                </pt>
                <pt idx="295">
                  <v>0.01662259204507393</v>
                </pt>
                <pt idx="296">
                  <v>0.01179098478323274</v>
                </pt>
                <pt idx="297">
                  <v>0.009741333705221978</v>
                </pt>
                <pt idx="298">
                  <v>0.01298418835876556</v>
                </pt>
                <pt idx="299">
                  <v>0.04405184607834644</v>
                </pt>
                <pt idx="300">
                  <v>0.01062213070445129</v>
                </pt>
                <pt idx="301">
                  <v>-0.006831676004684939</v>
                </pt>
                <pt idx="302">
                  <v>0.008241564027192056</v>
                </pt>
                <pt idx="303">
                  <v>-0.001451887228123152</v>
                </pt>
                <pt idx="304">
                  <v>-0.01658139126394579</v>
                </pt>
                <pt idx="305">
                  <v>-0.02819777654378357</v>
                </pt>
                <pt idx="306">
                  <v>-0.02470559711046706</v>
                </pt>
                <pt idx="307">
                  <v>-0.06181117239021496</v>
                </pt>
                <pt idx="308">
                  <v>-0.04383116330331873</v>
                </pt>
                <pt idx="309">
                  <v>-0.0352838447885218</v>
                </pt>
                <pt idx="310">
                  <v>-0.06239726081864181</v>
                </pt>
                <pt idx="311">
                  <v>-0.08796748417065281</v>
                </pt>
                <pt idx="312">
                  <v>-0.08211142708482853</v>
                </pt>
                <pt idx="313">
                  <v>-0.07576438823329867</v>
                </pt>
                <pt idx="314">
                  <v>-0.0846416042594481</v>
                </pt>
                <pt idx="315">
                  <v>-0.08693646287002801</v>
                </pt>
                <pt idx="316">
                  <v>-0.06405140337150243</v>
                </pt>
                <pt idx="317">
                  <v>-0.04399389874149879</v>
                </pt>
                <pt idx="318">
                  <v>-0.04657027884780712</v>
                </pt>
                <pt idx="319">
                  <v>-0.01712836987401554</v>
                </pt>
                <pt idx="320">
                  <v>-0.01700259140243184</v>
                </pt>
                <pt idx="321">
                  <v>-0.009724521198367685</v>
                </pt>
                <pt idx="322">
                  <v>0.02229150032047528</v>
                </pt>
                <pt idx="323">
                  <v>0.0105125042897663</v>
                </pt>
                <pt idx="324">
                  <v>0.02344264438013035</v>
                </pt>
                <pt idx="325">
                  <v>0.04180537543429226</v>
                </pt>
                <pt idx="326">
                  <v>0.03275998823823022</v>
                </pt>
                <pt idx="327">
                  <v>0.0296485267774415</v>
                </pt>
                <pt idx="328">
                  <v>0.03247030665374728</v>
                </pt>
                <pt idx="329">
                  <v>0.02231026516158789</v>
                </pt>
                <pt idx="330">
                  <v>0.02806738804906314</v>
                </pt>
                <pt idx="331">
                  <v>0.02469445972332154</v>
                </pt>
                <pt idx="332">
                  <v>0.02128301923248775</v>
                </pt>
                <pt idx="333">
                  <v>0.002862727668095761</v>
                </pt>
                <pt idx="334">
                  <v>-0.01024729328521408</v>
                </pt>
                <pt idx="335">
                  <v>0.005142168663132146</v>
                </pt>
                <pt idx="336">
                  <v>0.01186525652350371</v>
                </pt>
                <pt idx="337">
                  <v>0.003440135146477775</v>
                </pt>
                <pt idx="338">
                  <v>0.01854607748606912</v>
                </pt>
                <pt idx="339">
                  <v>0.02255926877349427</v>
                </pt>
                <pt idx="340">
                  <v>0.005816893077921002</v>
                </pt>
                <pt idx="341">
                  <v>0.002881545224152026</v>
                </pt>
                <pt idx="342">
                  <v>-0.003992770584575272</v>
                </pt>
                <pt idx="343">
                  <v>0.001112844848004338</v>
                </pt>
                <pt idx="344">
                  <v>-0.01044930720277361</v>
                </pt>
                <pt idx="345">
                  <v>-0.010573532215021</v>
                </pt>
                <pt idx="346">
                  <v>-0.01607373585330419</v>
                </pt>
                <pt idx="347">
                  <v>-0.02664904470081463</v>
                </pt>
                <pt idx="348">
                  <v>-0.0431011702529256</v>
                </pt>
                <pt idx="349">
                  <v>-0.05699764492988404</v>
                </pt>
                <pt idx="350">
                  <v>-0.05807350300262743</v>
                </pt>
                <pt idx="351">
                  <v>-0.05002751536812508</v>
                </pt>
                <pt idx="352">
                  <v>-0.0402598788338648</v>
                </pt>
                <pt idx="353">
                  <v>-0.04313229990945953</v>
                </pt>
                <pt idx="354">
                  <v>-0.0387360394856771</v>
                </pt>
                <pt idx="355">
                  <v>-0.05904955749687314</v>
                </pt>
                <pt idx="356">
                  <v>-0.07088957000233001</v>
                </pt>
                <pt idx="357">
                  <v>-0.0395949354895032</v>
                </pt>
                <pt idx="358">
                  <v>-0.02366533360270481</v>
                </pt>
                <pt idx="359">
                  <v>-0.01355379199528995</v>
                </pt>
                <pt idx="360">
                  <v>-0.007361208367441509</v>
                </pt>
                <pt idx="361">
                  <v>0.004511342071169607</v>
                </pt>
                <pt idx="362">
                  <v>-0.0002194579388907823</v>
                </pt>
                <pt idx="363">
                  <v>-0.01607677723362348</v>
                </pt>
                <pt idx="364">
                  <v>-0.01401832214964075</v>
                </pt>
                <pt idx="365">
                  <v>-0.01151128872221954</v>
                </pt>
                <pt idx="366">
                  <v>-0.002545020622589335</v>
                </pt>
                <pt idx="367">
                  <v>0.02435763959083012</v>
                </pt>
                <pt idx="368">
                  <v>0.04115543894847839</v>
                </pt>
                <pt idx="369">
                  <v>0.00964766888749035</v>
                </pt>
                <pt idx="370">
                  <v>0.003592526249001252</v>
                </pt>
                <pt idx="371">
                  <v>0.008710303150879178</v>
                </pt>
                <pt idx="372">
                  <v>-0.003286250284100454</v>
                </pt>
                <pt idx="373">
                  <v>0.001267353035553053</v>
                </pt>
                <pt idx="374">
                  <v>0.0009840359191817184</v>
                </pt>
                <pt idx="375">
                  <v>0.003183533998912952</v>
                </pt>
                <pt idx="376">
                  <v>5.51265153527841e-05</v>
                </pt>
                <pt idx="377">
                  <v>0.02171834826841902</v>
                </pt>
                <pt idx="378">
                  <v>0.0001067267645905573</v>
                </pt>
                <pt idx="379">
                  <v>-0.03414190104275879</v>
                </pt>
                <pt idx="380">
                  <v>-0.02127380981792112</v>
                </pt>
                <pt idx="381">
                  <v>0.004834241279925189</v>
                </pt>
                <pt idx="382">
                  <v>0.004624253045883516</v>
                </pt>
                <pt idx="383">
                  <v>-0.003880551018521437</v>
                </pt>
                <pt idx="384">
                  <v>0.01996194520558174</v>
                </pt>
                <pt idx="385">
                  <v>0.01436047385464626</v>
                </pt>
                <pt idx="386">
                  <v>0.02031301201486696</v>
                </pt>
                <pt idx="387">
                  <v>0.01408522965456407</v>
                </pt>
                <pt idx="388">
                  <v>0.01487331622835138</v>
                </pt>
                <pt idx="389">
                  <v>-0.006683803994277746</v>
                </pt>
                <pt idx="390">
                  <v>-0.003612191363003518</v>
                </pt>
                <pt idx="391">
                  <v>-0.07349812401188174</v>
                </pt>
                <pt idx="392">
                  <v>-0.06299743284893203</v>
                </pt>
                <pt idx="393">
                  <v>-0.04392046367355012</v>
                </pt>
                <pt idx="394">
                  <v>-0.03243095548362681</v>
                </pt>
                <pt idx="395">
                  <v>-0.00696592032689953</v>
                </pt>
                <pt idx="396">
                  <v>-0.02523007231105838</v>
                </pt>
                <pt idx="397">
                  <v>-0.02209968430771789</v>
                </pt>
                <pt idx="398">
                  <v>-0.01713901222627658</v>
                </pt>
                <pt idx="399">
                  <v>0.001194485131251479</v>
                </pt>
                <pt idx="400">
                  <v>0.006675883863322195</v>
                </pt>
                <pt idx="401">
                  <v>0.01507870897695062</v>
                </pt>
                <pt idx="402">
                  <v>0.01700684084481258</v>
                </pt>
                <pt idx="403">
                  <v>0.1302575737318073</v>
                </pt>
                <pt idx="404">
                  <v>0.1096411118474578</v>
                </pt>
                <pt idx="405">
                  <v>0.05039358883215932</v>
                </pt>
                <pt idx="406">
                  <v>0.05481890377526045</v>
                </pt>
                <pt idx="407">
                  <v>0.005424650569258046</v>
                </pt>
                <pt idx="408">
                  <v>0.02084735460179592</v>
                </pt>
                <pt idx="409">
                  <v>0.01992183537844463</v>
                </pt>
                <pt idx="410">
                  <v>0.01448828798159176</v>
                </pt>
                <pt idx="411">
                  <v>0.01415403046000593</v>
                </pt>
                <pt idx="412">
                  <v>0.003813667399152496</v>
                </pt>
                <pt idx="413">
                  <v>-0.0008669119254113613</v>
                </pt>
                <pt idx="414">
                  <v>0.001911521416754467</v>
                </pt>
                <pt idx="415">
                  <v>-0.0006865828539650848</v>
                </pt>
                <pt idx="416">
                  <v>-0.008386723994357857</v>
                </pt>
                <pt idx="417">
                  <v>0.01697682975301391</v>
                </pt>
                <pt idx="418">
                  <v>0.009269578532179528</v>
                </pt>
                <pt idx="419">
                  <v>0.02767596966290325</v>
                </pt>
                <pt idx="420">
                  <v>0.019026946861315</v>
                </pt>
                <pt idx="421">
                  <v>0.02429525586877525</v>
                </pt>
                <pt idx="422">
                  <v>0.02666567056696855</v>
                </pt>
                <pt idx="423">
                  <v>0.01671764844569367</v>
                </pt>
                <pt idx="424">
                  <v>0.02967512747404702</v>
                </pt>
                <pt idx="425">
                  <v>0.05626129643683335</v>
                </pt>
                <pt idx="426">
                  <v>0.03949581269830402</v>
                </pt>
                <pt idx="427">
                  <v>-0.07979351752416287</v>
                </pt>
                <pt idx="428">
                  <v>0.003827918711508024</v>
                </pt>
                <pt idx="429">
                  <v>0.01533699646553318</v>
                </pt>
                <pt idx="430">
                  <v>-0.01167859732004396</v>
                </pt>
                <pt idx="431">
                  <v>-0.01260477850276785</v>
                </pt>
                <pt idx="432">
                  <v>-0.02647624715822507</v>
                </pt>
                <pt idx="433">
                  <v>-0.05257543139614611</v>
                </pt>
                <pt idx="434">
                  <v>-0.07192251855262675</v>
                </pt>
                <pt idx="435">
                  <v>-0.07265607537183272</v>
                </pt>
                <pt idx="436">
                  <v>-0.08220052438633751</v>
                </pt>
                <pt idx="437">
                  <v>-0.09560270592032874</v>
                </pt>
                <pt idx="438">
                  <v>-0.07054766414698113</v>
                </pt>
                <pt idx="439">
                  <v>0.04486548708713168</v>
                </pt>
                <pt idx="440">
                  <v>-0.04349040267310551</v>
                </pt>
                <pt idx="441">
                  <v>-0.06733340642682457</v>
                </pt>
                <pt idx="442">
                  <v>-0.05794383897364409</v>
                </pt>
                <pt idx="443">
                  <v>-0.0339913445929358</v>
                </pt>
                <pt idx="444">
                  <v>-0.003851242062691581</v>
                </pt>
                <pt idx="445">
                  <v>0.02838667722664054</v>
                </pt>
                <pt idx="446">
                  <v>0.04987538544394023</v>
                </pt>
                <pt idx="447">
                  <v>0.05198533155455862</v>
                </pt>
                <pt idx="448">
                  <v>0.05671635617189164</v>
                </pt>
                <pt idx="449">
                  <v>0.05189875846717708</v>
                </pt>
                <pt idx="450">
                  <v>0.05623894689703508</v>
                </pt>
                <pt idx="451">
                  <v>0.07478502573345099</v>
                </pt>
                <pt idx="452">
                  <v>0.08118752047855772</v>
                </pt>
                <pt idx="453">
                  <v>0.07487017766238006</v>
                </pt>
                <pt idx="454">
                  <v>0.09027131413190041</v>
                </pt>
                <pt idx="455">
                  <v>0.06761450639880337</v>
                </pt>
                <pt idx="456">
                  <v>0.02773626324479253</v>
                </pt>
                <pt idx="457">
                  <v>0.0551250364461526</v>
                </pt>
                <pt idx="458">
                  <v>0.0564494210347183</v>
                </pt>
                <pt idx="459">
                  <v>0.06852818000700855</v>
                </pt>
                <pt idx="460">
                  <v>0.07240788765474371</v>
                </pt>
                <pt idx="461">
                  <v>0.06004275998949244</v>
                </pt>
                <pt idx="462">
                  <v>0.06314202254242417</v>
                </pt>
                <pt idx="463">
                  <v>0.04331329334783486</v>
                </pt>
                <pt idx="464">
                  <v>0.06726121619693472</v>
                </pt>
                <pt idx="465">
                  <v>0.08834382229238637</v>
                </pt>
                <pt idx="466">
                  <v>0.09241838411786275</v>
                </pt>
                <pt idx="467">
                  <v>0.1087390622557217</v>
                </pt>
                <pt idx="468">
                  <v>0.1282019667216672</v>
                </pt>
                <pt idx="469">
                  <v>0.08851269339160089</v>
                </pt>
                <pt idx="470">
                  <v>0.08440625325932025</v>
                </pt>
                <pt idx="471">
                  <v>0.07642576613250011</v>
                </pt>
                <pt idx="472">
                  <v>0.07175773835596443</v>
                </pt>
                <pt idx="473">
                  <v>0.09010652394637662</v>
                </pt>
                <pt idx="474">
                  <v>0.05794881038211974</v>
                </pt>
                <pt idx="475">
                  <v>0.07843709853591176</v>
                </pt>
                <pt idx="476">
                  <v>0.06973992268061167</v>
                </pt>
                <pt idx="477">
                  <v>0.06009609870706941</v>
                </pt>
                <pt idx="478">
                  <v>0.05152014685715092</v>
                </pt>
                <pt idx="479">
                  <v>0.04031897108857162</v>
                </pt>
                <pt idx="480">
                  <v>0.0508409744975474</v>
                </pt>
                <pt idx="481">
                  <v>0.0561311275927521</v>
                </pt>
                <pt idx="482">
                  <v>0.06236634980683835</v>
                </pt>
                <pt idx="483">
                  <v>0.06237190057993621</v>
                </pt>
                <pt idx="484">
                  <v>0.0686881372528151</v>
                </pt>
                <pt idx="485">
                  <v>0.0703428315836557</v>
                </pt>
                <pt idx="486">
                  <v>0.08282115171650042</v>
                </pt>
                <pt idx="487">
                  <v>0.0859356222770557</v>
                </pt>
                <pt idx="488">
                  <v>0.0503234362428307</v>
                </pt>
                <pt idx="489">
                  <v>0.05610404972097888</v>
                </pt>
                <pt idx="490">
                  <v>0.05941183131066711</v>
                </pt>
                <pt idx="491">
                  <v>0.07125936589658459</v>
                </pt>
                <pt idx="492">
                  <v>0.0742139108641857</v>
                </pt>
                <pt idx="493">
                  <v>0.09083578946941383</v>
                </pt>
                <pt idx="494">
                  <v>0.1006232748283882</v>
                </pt>
                <pt idx="495">
                  <v>0.1091144459797407</v>
                </pt>
                <pt idx="496">
                  <v>0.1160660400470861</v>
                </pt>
                <pt idx="497">
                  <v>0.1087193575696672</v>
                </pt>
                <pt idx="498">
                  <v>0.1179182986707628</v>
                </pt>
                <pt idx="499">
                  <v>0.1051136555838097</v>
                </pt>
                <pt idx="500">
                  <v>0.1273571175707037</v>
                </pt>
                <pt idx="501">
                  <v>0.1113048263051142</v>
                </pt>
                <pt idx="502">
                  <v>0.1339952662629905</v>
                </pt>
                <pt idx="503">
                  <v>0.09104772749710771</v>
                </pt>
                <pt idx="504">
                  <v>0.04255286837009768</v>
                </pt>
                <pt idx="505">
                  <v>0.004146804310816911</v>
                </pt>
                <pt idx="506">
                  <v>-0.02832651210912009</v>
                </pt>
                <pt idx="507">
                  <v>-0.06150850156090228</v>
                </pt>
                <pt idx="508">
                  <v>-0.08087898045976397</v>
                </pt>
                <pt idx="509">
                  <v>-0.07587386105844192</v>
                </pt>
                <pt idx="510">
                  <v>-0.07932548095108237</v>
                </pt>
                <pt idx="511">
                  <v>-0.09777876507104137</v>
                </pt>
                <pt idx="512">
                  <v>-0.1171155375983921</v>
                </pt>
                <pt idx="513">
                  <v>-0.1304701279022504</v>
                </pt>
                <pt idx="514">
                  <v>-0.1578290779759012</v>
                </pt>
                <pt idx="515">
                  <v>-0.1540546357834072</v>
                </pt>
                <pt idx="516">
                  <v>-0.1420458269907283</v>
                </pt>
                <pt idx="517">
                  <v>-0.1487934576990279</v>
                </pt>
                <pt idx="518">
                  <v>-0.1551891987986542</v>
                </pt>
                <pt idx="519">
                  <v>-0.134986807082848</v>
                </pt>
                <pt idx="520">
                  <v>-0.1296066887761838</v>
                </pt>
                <pt idx="521">
                  <v>-0.1346451342958155</v>
                </pt>
                <pt idx="522">
                  <v>-0.1419591604307913</v>
                </pt>
                <pt idx="523">
                  <v>-0.1276618431664496</v>
                </pt>
                <pt idx="524">
                  <v>-0.0854404460923938</v>
                </pt>
                <pt idx="525">
                  <v>-0.07069254829583893</v>
                </pt>
                <pt idx="526">
                  <v>-0.06503023668446418</v>
                </pt>
                <pt idx="527">
                  <v>-0.02318285197993577</v>
                </pt>
                <pt idx="528">
                  <v>0.02102465061493898</v>
                </pt>
                <pt idx="529">
                  <v>0.05938483093511104</v>
                </pt>
                <pt idx="530">
                  <v>0.09715605247658253</v>
                </pt>
                <pt idx="531">
                  <v>0.1075503406156138</v>
                </pt>
                <pt idx="532">
                  <v>0.1239250172331867</v>
                </pt>
                <pt idx="533">
                  <v>0.1172398649697691</v>
                </pt>
                <pt idx="534">
                  <v>0.1137282543457902</v>
                </pt>
                <pt idx="535">
                  <v>0.1240846388226483</v>
                </pt>
                <pt idx="536">
                  <v>0.1098891958080862</v>
                </pt>
                <pt idx="537">
                  <v>0.1348702794315762</v>
                </pt>
                <pt idx="538">
                  <v>0.1366735111148835</v>
                </pt>
                <pt idx="539">
                  <v>0.1075860074612981</v>
                </pt>
                <pt idx="540">
                  <v>0.1122374849690756</v>
                </pt>
                <pt idx="541">
                  <v>0.116675086560617</v>
                </pt>
                <pt idx="542">
                  <v>0.1161105890519112</v>
                </pt>
                <pt idx="543">
                  <v>0.1120958546253116</v>
                </pt>
                <pt idx="544">
                  <v>0.1216073789136467</v>
                </pt>
                <pt idx="545">
                  <v>0.1358569525590554</v>
                </pt>
                <pt idx="546">
                  <v>0.1738494901453428</v>
                </pt>
                <pt idx="547">
                  <v>0.1646783658104516</v>
                </pt>
                <pt idx="548">
                  <v>0.1474980776905033</v>
                </pt>
                <pt idx="549">
                  <v>0.1352677631201057</v>
                </pt>
                <pt idx="550">
                  <v>0.1531665382277341</v>
                </pt>
                <pt idx="551">
                  <v>0.1504932418617733</v>
                </pt>
                <pt idx="552">
                  <v>0.1044753386358879</v>
                </pt>
                <pt idx="553">
                  <v>0.09005509824259408</v>
                </pt>
                <pt idx="554">
                  <v>0.0998389752607447</v>
                </pt>
                <pt idx="555">
                  <v>0.09483212264893041</v>
                </pt>
                <pt idx="556">
                  <v>0.07978318171803539</v>
                </pt>
                <pt idx="557">
                  <v>0.04669713626552253</v>
                </pt>
                <pt idx="558">
                  <v>0.04502461098964378</v>
                </pt>
                <pt idx="559">
                  <v>0.04480338151540111</v>
                </pt>
                <pt idx="560">
                  <v>0.03879380907264169</v>
                </pt>
                <pt idx="561">
                  <v>0.01323829264055834</v>
                </pt>
                <pt idx="562">
                  <v>0.0009978482340909718</v>
                </pt>
                <pt idx="563">
                  <v>0.006831519771192445</v>
                </pt>
                <pt idx="564">
                  <v>0.008665945280092832</v>
                </pt>
                <pt idx="565">
                  <v>0.001466112389577611</v>
                </pt>
                <pt idx="566">
                  <v>-0.1488264661216547</v>
                </pt>
                <pt idx="567">
                  <v>-0.2598637837784269</v>
                </pt>
                <pt idx="568">
                  <v>-0.2466265300152173</v>
                </pt>
                <pt idx="569">
                  <v>-0.191035495004784</v>
                </pt>
                <pt idx="570">
                  <v>-0.2080116974793204</v>
                </pt>
                <pt idx="571">
                  <v>-0.2024028478678361</v>
                </pt>
                <pt idx="572">
                  <v>-0.2074105465314811</v>
                </pt>
                <pt idx="573">
                  <v>-0.1610292141077933</v>
                </pt>
                <pt idx="574">
                  <v>-0.1594841241538771</v>
                </pt>
                <pt idx="575">
                  <v>-0.1395168841930805</v>
                </pt>
                <pt idx="576">
                  <v>-0.2031024319214645</v>
                </pt>
                <pt idx="577">
                  <v>-0.1120978515582225</v>
                </pt>
                <pt idx="578">
                  <v>0.02472778554230668</v>
                </pt>
                <pt idx="579">
                  <v>0.1890599057361683</v>
                </pt>
                <pt idx="580">
                  <v>0.1636477351215242</v>
                </pt>
                <pt idx="581">
                  <v>0.1094501792691763</v>
                </pt>
                <pt idx="582">
                  <v>0.1095722511230145</v>
                </pt>
                <pt idx="583">
                  <v>0.07574095519791571</v>
                </pt>
                <pt idx="584">
                  <v>0.1262988397752488</v>
                </pt>
                <pt idx="585">
                  <v>0.08972034187491557</v>
                </pt>
                <pt idx="586">
                  <v>0.08611538951088762</v>
                </pt>
                <pt idx="587">
                  <v>0.04318328023821537</v>
                </pt>
                <pt idx="588">
                  <v>0.1360303636949231</v>
                </pt>
                <pt idx="589">
                  <v>0.04947230114647023</v>
                </pt>
                <pt idx="590">
                  <v>0.05330826077107615</v>
                </pt>
                <pt idx="591">
                  <v>0.05368767272403108</v>
                </pt>
                <pt idx="592">
                  <v>0.06438577812840882</v>
                </pt>
                <pt idx="593">
                  <v>0.07445320116392422</v>
                </pt>
                <pt idx="594">
                  <v>0.07382756995996995</v>
                </pt>
                <pt idx="595">
                  <v>0.1095675885510855</v>
                </pt>
                <pt idx="596">
                  <v>0.07370555645499879</v>
                </pt>
                <pt idx="597">
                  <v>0.05927172031088708</v>
                </pt>
                <pt idx="598">
                  <v>0.03398815007004209</v>
                </pt>
                <pt idx="599">
                  <v>0.09225011516493745</v>
                </pt>
                <pt idx="600">
                  <v>0.08507655732024368</v>
                </pt>
                <pt idx="601">
                  <v>0.05381223480321882</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Mining!$D$463:$D$623</f>
              <numCache>
                <formatCode>0.0%</formatCode>
                <ptCount val="161"/>
                <pt idx="0">
                  <v>-0.0339913445929358</v>
                </pt>
                <pt idx="1">
                  <v>-0.003851242062691581</v>
                </pt>
                <pt idx="2">
                  <v>0.02838667722664054</v>
                </pt>
                <pt idx="3">
                  <v>0.04987538544394023</v>
                </pt>
                <pt idx="4">
                  <v>0.05198533155455862</v>
                </pt>
                <pt idx="5">
                  <v>0.05671635617189164</v>
                </pt>
                <pt idx="6">
                  <v>0.05189875846717708</v>
                </pt>
                <pt idx="7">
                  <v>0.05623894689703508</v>
                </pt>
                <pt idx="8">
                  <v>0.07478502573345099</v>
                </pt>
                <pt idx="9">
                  <v>0.08118752047855772</v>
                </pt>
                <pt idx="10">
                  <v>0.07487017766238006</v>
                </pt>
                <pt idx="11">
                  <v>0.09027131413190041</v>
                </pt>
                <pt idx="12">
                  <v>0.06761450639880337</v>
                </pt>
                <pt idx="13">
                  <v>0.02773626324479253</v>
                </pt>
                <pt idx="14">
                  <v>0.0551250364461526</v>
                </pt>
                <pt idx="15">
                  <v>0.0564494210347183</v>
                </pt>
                <pt idx="16">
                  <v>0.06852818000700855</v>
                </pt>
                <pt idx="17">
                  <v>0.07240788765474371</v>
                </pt>
                <pt idx="18">
                  <v>0.06004275998949244</v>
                </pt>
                <pt idx="19">
                  <v>0.06314202254242417</v>
                </pt>
                <pt idx="20">
                  <v>0.04331329334783486</v>
                </pt>
                <pt idx="21">
                  <v>0.06726121619693472</v>
                </pt>
                <pt idx="22">
                  <v>0.08834382229238637</v>
                </pt>
                <pt idx="23">
                  <v>0.09241838411786275</v>
                </pt>
                <pt idx="24">
                  <v>0.1087390622557217</v>
                </pt>
                <pt idx="25">
                  <v>0.1282019667216672</v>
                </pt>
                <pt idx="26">
                  <v>0.08851269339160089</v>
                </pt>
                <pt idx="27">
                  <v>0.08440625325932025</v>
                </pt>
                <pt idx="28">
                  <v>0.07642576613250011</v>
                </pt>
                <pt idx="29">
                  <v>0.07175773835596443</v>
                </pt>
                <pt idx="30">
                  <v>0.09010652394637662</v>
                </pt>
                <pt idx="31">
                  <v>0.05794881038211974</v>
                </pt>
                <pt idx="32">
                  <v>0.07843709853591176</v>
                </pt>
                <pt idx="33">
                  <v>0.06973992268061167</v>
                </pt>
                <pt idx="34">
                  <v>0.06009609870706941</v>
                </pt>
                <pt idx="35">
                  <v>0.05152014685715092</v>
                </pt>
                <pt idx="36">
                  <v>0.04031897108857162</v>
                </pt>
                <pt idx="37">
                  <v>0.0508409744975474</v>
                </pt>
                <pt idx="38">
                  <v>0.0561311275927521</v>
                </pt>
                <pt idx="39">
                  <v>0.06236634980683835</v>
                </pt>
                <pt idx="40">
                  <v>0.06237190057993621</v>
                </pt>
                <pt idx="41">
                  <v>0.0686881372528151</v>
                </pt>
                <pt idx="42">
                  <v>0.0703428315836557</v>
                </pt>
                <pt idx="43">
                  <v>0.08282115171650042</v>
                </pt>
                <pt idx="44">
                  <v>0.0859356222770557</v>
                </pt>
                <pt idx="45">
                  <v>0.0503234362428307</v>
                </pt>
                <pt idx="46">
                  <v>0.05610404972097888</v>
                </pt>
                <pt idx="47">
                  <v>0.05941183131066711</v>
                </pt>
                <pt idx="48">
                  <v>0.07125936589658459</v>
                </pt>
                <pt idx="49">
                  <v>0.0742139108641857</v>
                </pt>
                <pt idx="50">
                  <v>0.09083578946941383</v>
                </pt>
                <pt idx="51">
                  <v>0.1006232748283882</v>
                </pt>
                <pt idx="52">
                  <v>0.1091144459797407</v>
                </pt>
                <pt idx="53">
                  <v>0.1160660400470861</v>
                </pt>
                <pt idx="54">
                  <v>0.1087193575696672</v>
                </pt>
                <pt idx="55">
                  <v>0.1179182986707628</v>
                </pt>
                <pt idx="56">
                  <v>0.1051136555838097</v>
                </pt>
                <pt idx="57">
                  <v>0.1273571175707037</v>
                </pt>
                <pt idx="58">
                  <v>0.1113048263051142</v>
                </pt>
                <pt idx="59">
                  <v>0.1339952662629905</v>
                </pt>
                <pt idx="60">
                  <v>0.09104772749710771</v>
                </pt>
                <pt idx="61">
                  <v>0.04255286837009768</v>
                </pt>
                <pt idx="62">
                  <v>0.004146804310816911</v>
                </pt>
                <pt idx="63">
                  <v>-0.02832651210912009</v>
                </pt>
                <pt idx="64">
                  <v>-0.06150850156090228</v>
                </pt>
                <pt idx="65">
                  <v>-0.08087898045976397</v>
                </pt>
                <pt idx="66">
                  <v>-0.07587386105844192</v>
                </pt>
                <pt idx="67">
                  <v>-0.07932548095108237</v>
                </pt>
                <pt idx="68">
                  <v>-0.09777876507104137</v>
                </pt>
                <pt idx="69">
                  <v>-0.1171155375983921</v>
                </pt>
                <pt idx="70">
                  <v>-0.1304701279022504</v>
                </pt>
                <pt idx="71">
                  <v>-0.1578290779759012</v>
                </pt>
                <pt idx="72">
                  <v>-0.1540546357834072</v>
                </pt>
                <pt idx="73">
                  <v>-0.1420458269907283</v>
                </pt>
                <pt idx="74">
                  <v>-0.1487934576990279</v>
                </pt>
                <pt idx="75">
                  <v>-0.1551891987986542</v>
                </pt>
                <pt idx="76">
                  <v>-0.134986807082848</v>
                </pt>
                <pt idx="77">
                  <v>-0.1296066887761838</v>
                </pt>
                <pt idx="78">
                  <v>-0.1346451342958155</v>
                </pt>
                <pt idx="79">
                  <v>-0.1419591604307913</v>
                </pt>
                <pt idx="80">
                  <v>-0.1276618431664496</v>
                </pt>
                <pt idx="81">
                  <v>-0.0854404460923938</v>
                </pt>
                <pt idx="82">
                  <v>-0.07069254829583893</v>
                </pt>
                <pt idx="83">
                  <v>-0.06503023668446418</v>
                </pt>
                <pt idx="84">
                  <v>-0.02318285197993577</v>
                </pt>
                <pt idx="85">
                  <v>0.02102465061493898</v>
                </pt>
                <pt idx="86">
                  <v>0.05938483093511104</v>
                </pt>
                <pt idx="87">
                  <v>0.09715605247658253</v>
                </pt>
                <pt idx="88">
                  <v>0.1075503406156138</v>
                </pt>
                <pt idx="89">
                  <v>0.1239250172331867</v>
                </pt>
                <pt idx="90">
                  <v>0.1172398649697691</v>
                </pt>
                <pt idx="91">
                  <v>0.1137282543457902</v>
                </pt>
                <pt idx="92">
                  <v>0.1240846388226483</v>
                </pt>
                <pt idx="93">
                  <v>0.1098891958080862</v>
                </pt>
                <pt idx="94">
                  <v>0.1348702794315762</v>
                </pt>
                <pt idx="95">
                  <v>0.1366735111148835</v>
                </pt>
                <pt idx="96">
                  <v>0.1075860074612981</v>
                </pt>
                <pt idx="97">
                  <v>0.1122374849690756</v>
                </pt>
                <pt idx="98">
                  <v>0.116675086560617</v>
                </pt>
                <pt idx="99">
                  <v>0.1161105890519112</v>
                </pt>
                <pt idx="100">
                  <v>0.1120958546253116</v>
                </pt>
                <pt idx="101">
                  <v>0.1216073789136467</v>
                </pt>
                <pt idx="102">
                  <v>0.1358569525590554</v>
                </pt>
                <pt idx="103">
                  <v>0.1738494901453428</v>
                </pt>
                <pt idx="104">
                  <v>0.1646783658104516</v>
                </pt>
                <pt idx="105">
                  <v>0.1474980776905033</v>
                </pt>
                <pt idx="106">
                  <v>0.1352677631201057</v>
                </pt>
                <pt idx="107">
                  <v>0.1531665382277341</v>
                </pt>
                <pt idx="108">
                  <v>0.1504932418617733</v>
                </pt>
                <pt idx="109">
                  <v>0.1044753386358879</v>
                </pt>
                <pt idx="110">
                  <v>0.09005509824259408</v>
                </pt>
                <pt idx="111">
                  <v>0.0998389752607447</v>
                </pt>
                <pt idx="112">
                  <v>0.09483212264893041</v>
                </pt>
                <pt idx="113">
                  <v>0.07978318171803539</v>
                </pt>
                <pt idx="114">
                  <v>0.04669713626552253</v>
                </pt>
                <pt idx="115">
                  <v>0.04502461098964378</v>
                </pt>
                <pt idx="116">
                  <v>0.04480338151540111</v>
                </pt>
                <pt idx="117">
                  <v>0.03879380907264169</v>
                </pt>
                <pt idx="118">
                  <v>0.01323829264055834</v>
                </pt>
                <pt idx="119">
                  <v>0.0009978482340909718</v>
                </pt>
                <pt idx="120">
                  <v>0.006831519771192445</v>
                </pt>
                <pt idx="121">
                  <v>0.008665945280092832</v>
                </pt>
                <pt idx="122">
                  <v>0.001466112389577611</v>
                </pt>
                <pt idx="123">
                  <v>-0.1488264661216547</v>
                </pt>
                <pt idx="124">
                  <v>-0.2598637837784269</v>
                </pt>
                <pt idx="125">
                  <v>-0.2466265300152173</v>
                </pt>
                <pt idx="126">
                  <v>-0.191035495004784</v>
                </pt>
                <pt idx="127">
                  <v>-0.2080116974793204</v>
                </pt>
                <pt idx="128">
                  <v>-0.2024028478678361</v>
                </pt>
                <pt idx="129">
                  <v>-0.2074105465314811</v>
                </pt>
                <pt idx="130">
                  <v>-0.1610292141077933</v>
                </pt>
                <pt idx="131">
                  <v>-0.1594841241538771</v>
                </pt>
                <pt idx="132">
                  <v>-0.1395168841930805</v>
                </pt>
                <pt idx="133">
                  <v>-0.2031024319214645</v>
                </pt>
                <pt idx="134">
                  <v>-0.1120978515582225</v>
                </pt>
                <pt idx="135">
                  <v>0.02472778554230668</v>
                </pt>
                <pt idx="136">
                  <v>0.1890599057361683</v>
                </pt>
                <pt idx="137">
                  <v>0.1636477351215242</v>
                </pt>
                <pt idx="138">
                  <v>0.1094501792691763</v>
                </pt>
                <pt idx="139">
                  <v>0.1095722511230145</v>
                </pt>
                <pt idx="140">
                  <v>0.07574095519791571</v>
                </pt>
                <pt idx="141">
                  <v>0.1262988397752488</v>
                </pt>
                <pt idx="142">
                  <v>0.08972034187491557</v>
                </pt>
                <pt idx="143">
                  <v>0.08611538951088762</v>
                </pt>
                <pt idx="144">
                  <v>0.04318328023821537</v>
                </pt>
                <pt idx="145">
                  <v>0.1360303636949231</v>
                </pt>
                <pt idx="146">
                  <v>0.04947230114647023</v>
                </pt>
                <pt idx="147">
                  <v>0.05330826077107615</v>
                </pt>
                <pt idx="148">
                  <v>0.05368767272403108</v>
                </pt>
                <pt idx="149">
                  <v>0.06438577812840882</v>
                </pt>
                <pt idx="150">
                  <v>0.07445320116392422</v>
                </pt>
                <pt idx="151">
                  <v>0.07382756995996995</v>
                </pt>
                <pt idx="152">
                  <v>0.1095675885510855</v>
                </pt>
                <pt idx="153">
                  <v>0.07370555645499879</v>
                </pt>
                <pt idx="154">
                  <v>0.05927172031088708</v>
                </pt>
                <pt idx="155">
                  <v>0.03398815007004209</v>
                </pt>
                <pt idx="156">
                  <v>0.09225011516493745</v>
                </pt>
                <pt idx="157">
                  <v>0.08507655732024368</v>
                </pt>
                <pt idx="158">
                  <v>0.05381223480321882</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Mining!$A$463:$A$626</f>
              <numCache>
                <formatCode>mmm\-yy</formatCode>
                <ptCount val="16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Mining!$B$463:$B$626</f>
              <numCache>
                <formatCode>0.0</formatCode>
                <ptCount val="164"/>
                <pt idx="0">
                  <v>79.0851</v>
                </pt>
                <pt idx="1">
                  <v>80.4939</v>
                </pt>
                <pt idx="2">
                  <v>81.2843</v>
                </pt>
                <pt idx="3">
                  <v>81.6802</v>
                </pt>
                <pt idx="4">
                  <v>81.6146</v>
                </pt>
                <pt idx="5">
                  <v>81.748</v>
                </pt>
                <pt idx="6">
                  <v>82.2264</v>
                </pt>
                <pt idx="7">
                  <v>83.49590000000001</v>
                </pt>
                <pt idx="8">
                  <v>84.6807</v>
                </pt>
                <pt idx="9">
                  <v>84.80370000000001</v>
                </pt>
                <pt idx="10">
                  <v>84.1202</v>
                </pt>
                <pt idx="11">
                  <v>84.57299999999999</v>
                </pt>
                <pt idx="12">
                  <v>84.4324</v>
                </pt>
                <pt idx="13">
                  <v>82.7265</v>
                </pt>
                <pt idx="14">
                  <v>85.7651</v>
                </pt>
                <pt idx="15">
                  <v>86.291</v>
                </pt>
                <pt idx="16">
                  <v>87.2075</v>
                </pt>
                <pt idx="17">
                  <v>87.66719999999999</v>
                </pt>
                <pt idx="18">
                  <v>87.1635</v>
                </pt>
                <pt idx="19">
                  <v>88.768</v>
                </pt>
                <pt idx="20">
                  <v>88.3485</v>
                </pt>
                <pt idx="21">
                  <v>90.5077</v>
                </pt>
                <pt idx="22">
                  <v>91.5517</v>
                </pt>
                <pt idx="23">
                  <v>92.3891</v>
                </pt>
                <pt idx="24">
                  <v>93.6135</v>
                </pt>
                <pt idx="25">
                  <v>93.3322</v>
                </pt>
                <pt idx="26">
                  <v>93.35639999999999</v>
                </pt>
                <pt idx="27">
                  <v>93.5745</v>
                </pt>
                <pt idx="28">
                  <v>93.8724</v>
                </pt>
                <pt idx="29">
                  <v>93.958</v>
                </pt>
                <pt idx="30">
                  <v>95.0175</v>
                </pt>
                <pt idx="31">
                  <v>93.91200000000001</v>
                </pt>
                <pt idx="32">
                  <v>95.2783</v>
                </pt>
                <pt idx="33">
                  <v>96.8197</v>
                </pt>
                <pt idx="34">
                  <v>97.0536</v>
                </pt>
                <pt idx="35">
                  <v>97.149</v>
                </pt>
                <pt idx="36">
                  <v>97.3879</v>
                </pt>
                <pt idx="37">
                  <v>98.07729999999999</v>
                </pt>
                <pt idx="38">
                  <v>98.5966</v>
                </pt>
                <pt idx="39">
                  <v>99.4104</v>
                </pt>
                <pt idx="40">
                  <v>99.7274</v>
                </pt>
                <pt idx="41">
                  <v>100.4118</v>
                </pt>
                <pt idx="42">
                  <v>101.7013</v>
                </pt>
                <pt idx="43">
                  <v>101.6899</v>
                </pt>
                <pt idx="44">
                  <v>103.4661</v>
                </pt>
                <pt idx="45">
                  <v>101.692</v>
                </pt>
                <pt idx="46">
                  <v>102.4987</v>
                </pt>
                <pt idx="47">
                  <v>102.9208</v>
                </pt>
                <pt idx="48">
                  <v>104.3277</v>
                </pt>
                <pt idx="49">
                  <v>105.356</v>
                </pt>
                <pt idx="50">
                  <v>107.5527</v>
                </pt>
                <pt idx="51">
                  <v>109.4134</v>
                </pt>
                <pt idx="52">
                  <v>110.6091</v>
                </pt>
                <pt idx="53">
                  <v>112.0662</v>
                </pt>
                <pt idx="54">
                  <v>112.7582</v>
                </pt>
                <pt idx="55">
                  <v>113.681</v>
                </pt>
                <pt idx="56">
                  <v>114.3418</v>
                </pt>
                <pt idx="57">
                  <v>114.6432</v>
                </pt>
                <pt idx="58">
                  <v>113.9073</v>
                </pt>
                <pt idx="59">
                  <v>116.7117</v>
                </pt>
                <pt idx="60">
                  <v>113.8265</v>
                </pt>
                <pt idx="61">
                  <v>109.8392</v>
                </pt>
                <pt idx="62">
                  <v>107.9987</v>
                </pt>
                <pt idx="63">
                  <v>106.3141</v>
                </pt>
                <pt idx="64">
                  <v>103.8057</v>
                </pt>
                <pt idx="65">
                  <v>103.0024</v>
                </pt>
                <pt idx="66">
                  <v>104.2028</v>
                </pt>
                <pt idx="67">
                  <v>104.6632</v>
                </pt>
                <pt idx="68">
                  <v>103.1616</v>
                </pt>
                <pt idx="69">
                  <v>101.2167</v>
                </pt>
                <pt idx="70">
                  <v>99.0458</v>
                </pt>
                <pt idx="71">
                  <v>98.2912</v>
                </pt>
                <pt idx="72">
                  <v>96.291</v>
                </pt>
                <pt idx="73">
                  <v>94.23699999999999</v>
                </pt>
                <pt idx="74">
                  <v>91.92919999999999</v>
                </pt>
                <pt idx="75">
                  <v>89.81529999999999</v>
                </pt>
                <pt idx="76">
                  <v>89.7933</v>
                </pt>
                <pt idx="77">
                  <v>89.65260000000001</v>
                </pt>
                <pt idx="78">
                  <v>90.1724</v>
                </pt>
                <pt idx="79">
                  <v>89.8053</v>
                </pt>
                <pt idx="80">
                  <v>89.9918</v>
                </pt>
                <pt idx="81">
                  <v>92.56870000000001</v>
                </pt>
                <pt idx="82">
                  <v>92.044</v>
                </pt>
                <pt idx="83">
                  <v>91.8993</v>
                </pt>
                <pt idx="84">
                  <v>94.0587</v>
                </pt>
                <pt idx="85">
                  <v>96.2183</v>
                </pt>
                <pt idx="86">
                  <v>97.3884</v>
                </pt>
                <pt idx="87">
                  <v>98.5414</v>
                </pt>
                <pt idx="88">
                  <v>99.45059999999999</v>
                </pt>
                <pt idx="89">
                  <v>100.7628</v>
                </pt>
                <pt idx="90">
                  <v>100.7442</v>
                </pt>
                <pt idx="91">
                  <v>100.0187</v>
                </pt>
                <pt idx="92">
                  <v>101.1584</v>
                </pt>
                <pt idx="93">
                  <v>102.741</v>
                </pt>
                <pt idx="94">
                  <v>104.458</v>
                </pt>
                <pt idx="95">
                  <v>104.4595</v>
                </pt>
                <pt idx="96">
                  <v>104.1781</v>
                </pt>
                <pt idx="97">
                  <v>107.0176</v>
                </pt>
                <pt idx="98">
                  <v>108.7512</v>
                </pt>
                <pt idx="99">
                  <v>109.9831</v>
                </pt>
                <pt idx="100">
                  <v>110.5986</v>
                </pt>
                <pt idx="101">
                  <v>113.0163</v>
                </pt>
                <pt idx="102">
                  <v>114.431</v>
                </pt>
                <pt idx="103">
                  <v>117.4069</v>
                </pt>
                <pt idx="104">
                  <v>117.817</v>
                </pt>
                <pt idx="105">
                  <v>117.8951</v>
                </pt>
                <pt idx="106">
                  <v>118.5878</v>
                </pt>
                <pt idx="107">
                  <v>120.4592</v>
                </pt>
                <pt idx="108">
                  <v>119.8562</v>
                </pt>
                <pt idx="109">
                  <v>118.1983</v>
                </pt>
                <pt idx="110">
                  <v>118.5448</v>
                </pt>
                <pt idx="111">
                  <v>120.9637</v>
                </pt>
                <pt idx="112">
                  <v>121.0869</v>
                </pt>
                <pt idx="113">
                  <v>122.0331</v>
                </pt>
                <pt idx="114">
                  <v>119.7746</v>
                </pt>
                <pt idx="115">
                  <v>122.6931</v>
                </pt>
                <pt idx="116">
                  <v>123.0956</v>
                </pt>
                <pt idx="117">
                  <v>122.4687</v>
                </pt>
                <pt idx="118">
                  <v>120.1577</v>
                </pt>
                <pt idx="119">
                  <v>120.5794</v>
                </pt>
                <pt idx="120">
                  <v>120.675</v>
                </pt>
                <pt idx="121">
                  <v>119.2226</v>
                </pt>
                <pt idx="122">
                  <v>118.7186</v>
                </pt>
                <pt idx="123">
                  <v>102.9611</v>
                </pt>
                <pt idx="124">
                  <v>89.6208</v>
                </pt>
                <pt idx="125">
                  <v>91.9365</v>
                </pt>
                <pt idx="126">
                  <v>96.8934</v>
                </pt>
                <pt idx="127">
                  <v>97.17149999999999</v>
                </pt>
                <pt idx="128">
                  <v>98.1807</v>
                </pt>
                <pt idx="129">
                  <v>97.06740000000001</v>
                </pt>
                <pt idx="130">
                  <v>100.8088</v>
                </pt>
                <pt idx="131">
                  <v>101.3489</v>
                </pt>
                <pt idx="132">
                  <v>103.8388</v>
                </pt>
                <pt idx="133">
                  <v>95.0082</v>
                </pt>
                <pt idx="134">
                  <v>105.4105</v>
                </pt>
                <pt idx="135">
                  <v>105.5071</v>
                </pt>
                <pt idx="136">
                  <v>106.5645</v>
                </pt>
                <pt idx="137">
                  <v>106.9817</v>
                </pt>
                <pt idx="138">
                  <v>107.4984</v>
                </pt>
                <pt idx="139">
                  <v>107.8188</v>
                </pt>
                <pt idx="140">
                  <v>105.617</v>
                </pt>
                <pt idx="141">
                  <v>109.3269</v>
                </pt>
                <pt idx="142">
                  <v>109.8534</v>
                </pt>
                <pt idx="143">
                  <v>110.0766</v>
                </pt>
                <pt idx="144">
                  <v>108.3229</v>
                </pt>
                <pt idx="145">
                  <v>107.9322</v>
                </pt>
                <pt idx="146">
                  <v>110.6254</v>
                </pt>
                <pt idx="147">
                  <v>111.1315</v>
                </pt>
                <pt idx="148">
                  <v>112.2857</v>
                </pt>
                <pt idx="149">
                  <v>113.8698</v>
                </pt>
                <pt idx="150">
                  <v>115.502</v>
                </pt>
                <pt idx="151">
                  <v>115.7788</v>
                </pt>
                <pt idx="152">
                  <v>117.1892</v>
                </pt>
                <pt idx="153">
                  <v>117.3849</v>
                </pt>
                <pt idx="154">
                  <v>116.3646</v>
                </pt>
                <pt idx="155">
                  <v>113.8179</v>
                </pt>
                <pt idx="156">
                  <v>118.3157</v>
                </pt>
                <pt idx="157">
                  <v>117.1147</v>
                </pt>
                <pt idx="158">
                  <v>116.5784</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Utilities!$B$20:$B$621</f>
              <numCache>
                <formatCode>0.0</formatCode>
                <ptCount val="602"/>
                <pt idx="0">
                  <v>48.4196</v>
                </pt>
                <pt idx="1">
                  <v>48.0954</v>
                </pt>
                <pt idx="2">
                  <v>48.2454</v>
                </pt>
                <pt idx="3">
                  <v>48.7719</v>
                </pt>
                <pt idx="4">
                  <v>49.3808</v>
                </pt>
                <pt idx="5">
                  <v>48.8154</v>
                </pt>
                <pt idx="6">
                  <v>49.261</v>
                </pt>
                <pt idx="7">
                  <v>50.5669</v>
                </pt>
                <pt idx="8">
                  <v>50.2507</v>
                </pt>
                <pt idx="9">
                  <v>49.4743</v>
                </pt>
                <pt idx="10">
                  <v>46.69</v>
                </pt>
                <pt idx="11">
                  <v>46.8631</v>
                </pt>
                <pt idx="12">
                  <v>47.0655</v>
                </pt>
                <pt idx="13">
                  <v>48.073</v>
                </pt>
                <pt idx="14">
                  <v>48.643</v>
                </pt>
                <pt idx="15">
                  <v>49.2552</v>
                </pt>
                <pt idx="16">
                  <v>48.7837</v>
                </pt>
                <pt idx="17">
                  <v>49.8507</v>
                </pt>
                <pt idx="18">
                  <v>49.4212</v>
                </pt>
                <pt idx="19">
                  <v>48.7672</v>
                </pt>
                <pt idx="20">
                  <v>50.0124</v>
                </pt>
                <pt idx="21">
                  <v>48.9607</v>
                </pt>
                <pt idx="22">
                  <v>48.9913</v>
                </pt>
                <pt idx="23">
                  <v>48.0445</v>
                </pt>
                <pt idx="24">
                  <v>48.7617</v>
                </pt>
                <pt idx="25">
                  <v>49.904</v>
                </pt>
                <pt idx="26">
                  <v>51.2059</v>
                </pt>
                <pt idx="27">
                  <v>50.3171</v>
                </pt>
                <pt idx="28">
                  <v>49.1385</v>
                </pt>
                <pt idx="29">
                  <v>49.8472</v>
                </pt>
                <pt idx="30">
                  <v>50.3107</v>
                </pt>
                <pt idx="31">
                  <v>50.0825</v>
                </pt>
                <pt idx="32">
                  <v>49.9504</v>
                </pt>
                <pt idx="33">
                  <v>49.3736</v>
                </pt>
                <pt idx="34">
                  <v>50.2483</v>
                </pt>
                <pt idx="35">
                  <v>51.4279</v>
                </pt>
                <pt idx="36">
                  <v>50.3794</v>
                </pt>
                <pt idx="37">
                  <v>50.7329</v>
                </pt>
                <pt idx="38">
                  <v>51.1106</v>
                </pt>
                <pt idx="39">
                  <v>50.967</v>
                </pt>
                <pt idx="40">
                  <v>51.4188</v>
                </pt>
                <pt idx="41">
                  <v>51.6203</v>
                </pt>
                <pt idx="42">
                  <v>51.8166</v>
                </pt>
                <pt idx="43">
                  <v>52.2433</v>
                </pt>
                <pt idx="44">
                  <v>52.7837</v>
                </pt>
                <pt idx="45">
                  <v>55.202</v>
                </pt>
                <pt idx="46">
                  <v>55.6427</v>
                </pt>
                <pt idx="47">
                  <v>55.1956</v>
                </pt>
                <pt idx="48">
                  <v>53.3811</v>
                </pt>
                <pt idx="49">
                  <v>52.5708</v>
                </pt>
                <pt idx="50">
                  <v>53.2529</v>
                </pt>
                <pt idx="51">
                  <v>54.1003</v>
                </pt>
                <pt idx="52">
                  <v>54.8187</v>
                </pt>
                <pt idx="53">
                  <v>55.4779</v>
                </pt>
                <pt idx="54">
                  <v>54.5694</v>
                </pt>
                <pt idx="55">
                  <v>54.7737</v>
                </pt>
                <pt idx="56">
                  <v>54.7819</v>
                </pt>
                <pt idx="57">
                  <v>54.0574</v>
                </pt>
                <pt idx="58">
                  <v>54.8638</v>
                </pt>
                <pt idx="59">
                  <v>54.944</v>
                </pt>
                <pt idx="60">
                  <v>55.8239</v>
                </pt>
                <pt idx="61">
                  <v>55.7017</v>
                </pt>
                <pt idx="62">
                  <v>54.3139</v>
                </pt>
                <pt idx="63">
                  <v>55.3583</v>
                </pt>
                <pt idx="64">
                  <v>55.931</v>
                </pt>
                <pt idx="65">
                  <v>55.2305</v>
                </pt>
                <pt idx="66">
                  <v>55.9967</v>
                </pt>
                <pt idx="67">
                  <v>56.449</v>
                </pt>
                <pt idx="68">
                  <v>56.0567</v>
                </pt>
                <pt idx="69">
                  <v>56.254</v>
                </pt>
                <pt idx="70">
                  <v>56.1696</v>
                </pt>
                <pt idx="71">
                  <v>57.3184</v>
                </pt>
                <pt idx="72">
                  <v>59.117</v>
                </pt>
                <pt idx="73">
                  <v>58.1138</v>
                </pt>
                <pt idx="74">
                  <v>58.5805</v>
                </pt>
                <pt idx="75">
                  <v>57.0729</v>
                </pt>
                <pt idx="76">
                  <v>56.2648</v>
                </pt>
                <pt idx="77">
                  <v>55.2115</v>
                </pt>
                <pt idx="78">
                  <v>56.0765</v>
                </pt>
                <pt idx="79">
                  <v>55.6595</v>
                </pt>
                <pt idx="80">
                  <v>56.4802</v>
                </pt>
                <pt idx="81">
                  <v>56.8627</v>
                </pt>
                <pt idx="82">
                  <v>55.8256</v>
                </pt>
                <pt idx="83">
                  <v>54.9504</v>
                </pt>
                <pt idx="84">
                  <v>56.9801</v>
                </pt>
                <pt idx="85">
                  <v>58.088</v>
                </pt>
                <pt idx="86">
                  <v>56.4219</v>
                </pt>
                <pt idx="87">
                  <v>55.5371</v>
                </pt>
                <pt idx="88">
                  <v>55.5452</v>
                </pt>
                <pt idx="89">
                  <v>57.6669</v>
                </pt>
                <pt idx="90">
                  <v>57.9643</v>
                </pt>
                <pt idx="91">
                  <v>58.7083</v>
                </pt>
                <pt idx="92">
                  <v>58.2309</v>
                </pt>
                <pt idx="93">
                  <v>58.4645</v>
                </pt>
                <pt idx="94">
                  <v>58.7288</v>
                </pt>
                <pt idx="95">
                  <v>57.8917</v>
                </pt>
                <pt idx="96">
                  <v>56.4213</v>
                </pt>
                <pt idx="97">
                  <v>57.3485</v>
                </pt>
                <pt idx="98">
                  <v>57.3893</v>
                </pt>
                <pt idx="99">
                  <v>58.2102</v>
                </pt>
                <pt idx="100">
                  <v>59.6578</v>
                </pt>
                <pt idx="101">
                  <v>59.5066</v>
                </pt>
                <pt idx="102">
                  <v>58.2921</v>
                </pt>
                <pt idx="103">
                  <v>57.4647</v>
                </pt>
                <pt idx="104">
                  <v>58.1774</v>
                </pt>
                <pt idx="105">
                  <v>57.664</v>
                </pt>
                <pt idx="106">
                  <v>58.7887</v>
                </pt>
                <pt idx="107">
                  <v>58.7019</v>
                </pt>
                <pt idx="108">
                  <v>57.0803</v>
                </pt>
                <pt idx="109">
                  <v>57.0889</v>
                </pt>
                <pt idx="110">
                  <v>57.1523</v>
                </pt>
                <pt idx="111">
                  <v>55.6016</v>
                </pt>
                <pt idx="112">
                  <v>55.7917</v>
                </pt>
                <pt idx="113">
                  <v>55.7783</v>
                </pt>
                <pt idx="114">
                  <v>55.0817</v>
                </pt>
                <pt idx="115">
                  <v>55.2589</v>
                </pt>
                <pt idx="116">
                  <v>55.4189</v>
                </pt>
                <pt idx="117">
                  <v>56.1548</v>
                </pt>
                <pt idx="118">
                  <v>54.4385</v>
                </pt>
                <pt idx="119">
                  <v>54.32</v>
                </pt>
                <pt idx="120">
                  <v>52.9218</v>
                </pt>
                <pt idx="121">
                  <v>54.8527</v>
                </pt>
                <pt idx="122">
                  <v>55.8919</v>
                </pt>
                <pt idx="123">
                  <v>54.8568</v>
                </pt>
                <pt idx="124">
                  <v>54.6942</v>
                </pt>
                <pt idx="125">
                  <v>56.577</v>
                </pt>
                <pt idx="126">
                  <v>58.8727</v>
                </pt>
                <pt idx="127">
                  <v>58.7273</v>
                </pt>
                <pt idx="128">
                  <v>57.7992</v>
                </pt>
                <pt idx="129">
                  <v>58.1516</v>
                </pt>
                <pt idx="130">
                  <v>60.8646</v>
                </pt>
                <pt idx="131">
                  <v>60.6461</v>
                </pt>
                <pt idx="132">
                  <v>59.3598</v>
                </pt>
                <pt idx="133">
                  <v>60.8169</v>
                </pt>
                <pt idx="134">
                  <v>60.4988</v>
                </pt>
                <pt idx="135">
                  <v>61.0638</v>
                </pt>
                <pt idx="136">
                  <v>60.7418</v>
                </pt>
                <pt idx="137">
                  <v>59.099</v>
                </pt>
                <pt idx="138">
                  <v>59.7258</v>
                </pt>
                <pt idx="139">
                  <v>59.1035</v>
                </pt>
                <pt idx="140">
                  <v>59.0717</v>
                </pt>
                <pt idx="141">
                  <v>59.832</v>
                </pt>
                <pt idx="142">
                  <v>58.8258</v>
                </pt>
                <pt idx="143">
                  <v>61.301</v>
                </pt>
                <pt idx="144">
                  <v>63.4318</v>
                </pt>
                <pt idx="145">
                  <v>60.513</v>
                </pt>
                <pt idx="146">
                  <v>61.1038</v>
                </pt>
                <pt idx="147">
                  <v>60.9673</v>
                </pt>
                <pt idx="148">
                  <v>60.425</v>
                </pt>
                <pt idx="149">
                  <v>60.6389</v>
                </pt>
                <pt idx="150">
                  <v>60.505</v>
                </pt>
                <pt idx="151">
                  <v>61.6756</v>
                </pt>
                <pt idx="152">
                  <v>61.1207</v>
                </pt>
                <pt idx="153">
                  <v>61.0196</v>
                </pt>
                <pt idx="154">
                  <v>63.9209</v>
                </pt>
                <pt idx="155">
                  <v>61.8978</v>
                </pt>
                <pt idx="156">
                  <v>61.3652</v>
                </pt>
                <pt idx="157">
                  <v>60.5068</v>
                </pt>
                <pt idx="158">
                  <v>60.8619</v>
                </pt>
                <pt idx="159">
                  <v>61.5728</v>
                </pt>
                <pt idx="160">
                  <v>61.9346</v>
                </pt>
                <pt idx="161">
                  <v>63.0527</v>
                </pt>
                <pt idx="162">
                  <v>61.5011</v>
                </pt>
                <pt idx="163">
                  <v>62.094</v>
                </pt>
                <pt idx="164">
                  <v>62.4938</v>
                </pt>
                <pt idx="165">
                  <v>62.5284</v>
                </pt>
                <pt idx="166">
                  <v>63.4052</v>
                </pt>
                <pt idx="167">
                  <v>62.4938</v>
                </pt>
                <pt idx="168">
                  <v>63.0964</v>
                </pt>
                <pt idx="169">
                  <v>63.7684</v>
                </pt>
                <pt idx="170">
                  <v>64.3867</v>
                </pt>
                <pt idx="171">
                  <v>64.8546</v>
                </pt>
                <pt idx="172">
                  <v>65.5881</v>
                </pt>
                <pt idx="173">
                  <v>65.7052</v>
                </pt>
                <pt idx="174">
                  <v>66.5761</v>
                </pt>
                <pt idx="175">
                  <v>65.1661</v>
                </pt>
                <pt idx="176">
                  <v>65.8094</v>
                </pt>
                <pt idx="177">
                  <v>65.8383</v>
                </pt>
                <pt idx="178">
                  <v>65.8409</v>
                </pt>
                <pt idx="179">
                  <v>67.642</v>
                </pt>
                <pt idx="180">
                  <v>69.04689999999999</v>
                </pt>
                <pt idx="181">
                  <v>68.7859</v>
                </pt>
                <pt idx="182">
                  <v>68.03400000000001</v>
                </pt>
                <pt idx="183">
                  <v>67.8066</v>
                </pt>
                <pt idx="184">
                  <v>68.7106</v>
                </pt>
                <pt idx="185">
                  <v>69.3741</v>
                </pt>
                <pt idx="186">
                  <v>71.7927</v>
                </pt>
                <pt idx="187">
                  <v>68.4992</v>
                </pt>
                <pt idx="188">
                  <v>68.96720000000001</v>
                </pt>
                <pt idx="189">
                  <v>68.6157</v>
                </pt>
                <pt idx="190">
                  <v>69.02549999999999</v>
                </pt>
                <pt idx="191">
                  <v>66.71510000000001</v>
                </pt>
                <pt idx="192">
                  <v>70.0663</v>
                </pt>
                <pt idx="193">
                  <v>71.9268</v>
                </pt>
                <pt idx="194">
                  <v>69.96559999999999</v>
                </pt>
                <pt idx="195">
                  <v>70.29900000000001</v>
                </pt>
                <pt idx="196">
                  <v>70.1298</v>
                </pt>
                <pt idx="197">
                  <v>70.49760000000001</v>
                </pt>
                <pt idx="198">
                  <v>71.4063</v>
                </pt>
                <pt idx="199">
                  <v>70.4654</v>
                </pt>
                <pt idx="200">
                  <v>71.37860000000001</v>
                </pt>
                <pt idx="201">
                  <v>72.0509</v>
                </pt>
                <pt idx="202">
                  <v>77.23690000000001</v>
                </pt>
                <pt idx="203">
                  <v>71.4079</v>
                </pt>
                <pt idx="204">
                  <v>70.51139999999999</v>
                </pt>
                <pt idx="205">
                  <v>71.4928</v>
                </pt>
                <pt idx="206">
                  <v>71.9802</v>
                </pt>
                <pt idx="207">
                  <v>72.37860000000001</v>
                </pt>
                <pt idx="208">
                  <v>73.11750000000001</v>
                </pt>
                <pt idx="209">
                  <v>72.8753</v>
                </pt>
                <pt idx="210">
                  <v>73.57859999999999</v>
                </pt>
                <pt idx="211">
                  <v>74.4486</v>
                </pt>
                <pt idx="212">
                  <v>73.3181</v>
                </pt>
                <pt idx="213">
                  <v>71.7946</v>
                </pt>
                <pt idx="214">
                  <v>72.28100000000001</v>
                </pt>
                <pt idx="215">
                  <v>73.5403</v>
                </pt>
                <pt idx="216">
                  <v>71.66670000000001</v>
                </pt>
                <pt idx="217">
                  <v>72.6395</v>
                </pt>
                <pt idx="218">
                  <v>72.5629</v>
                </pt>
                <pt idx="219">
                  <v>75.7286</v>
                </pt>
                <pt idx="220">
                  <v>76.0057</v>
                </pt>
                <pt idx="221">
                  <v>75.41540000000001</v>
                </pt>
                <pt idx="222">
                  <v>74.87609999999999</v>
                </pt>
                <pt idx="223">
                  <v>74.75</v>
                </pt>
                <pt idx="224">
                  <v>74.66759999999999</v>
                </pt>
                <pt idx="225">
                  <v>75.3856</v>
                </pt>
                <pt idx="226">
                  <v>73.3921</v>
                </pt>
                <pt idx="227">
                  <v>73.0419</v>
                </pt>
                <pt idx="228">
                  <v>73.51349999999999</v>
                </pt>
                <pt idx="229">
                  <v>73.2491</v>
                </pt>
                <pt idx="230">
                  <v>74.95489999999999</v>
                </pt>
                <pt idx="231">
                  <v>73.9015</v>
                </pt>
                <pt idx="232">
                  <v>72.8227</v>
                </pt>
                <pt idx="233">
                  <v>73.27030000000001</v>
                </pt>
                <pt idx="234">
                  <v>73.0437</v>
                </pt>
                <pt idx="235">
                  <v>74.139</v>
                </pt>
                <pt idx="236">
                  <v>75.38290000000001</v>
                </pt>
                <pt idx="237">
                  <v>76.03060000000001</v>
                </pt>
                <pt idx="238">
                  <v>77.2963</v>
                </pt>
                <pt idx="239">
                  <v>74.6828</v>
                </pt>
                <pt idx="240">
                  <v>76.7243</v>
                </pt>
                <pt idx="241">
                  <v>77.4948</v>
                </pt>
                <pt idx="242">
                  <v>76.6054</v>
                </pt>
                <pt idx="243">
                  <v>74.51739999999999</v>
                </pt>
                <pt idx="244">
                  <v>76.4102</v>
                </pt>
                <pt idx="245">
                  <v>77.5031</v>
                </pt>
                <pt idx="246">
                  <v>77.98569999999999</v>
                </pt>
                <pt idx="247">
                  <v>77.1082</v>
                </pt>
                <pt idx="248">
                  <v>76.8511</v>
                </pt>
                <pt idx="249">
                  <v>77.3537</v>
                </pt>
                <pt idx="250">
                  <v>77.66800000000001</v>
                </pt>
                <pt idx="251">
                  <v>79.944</v>
                </pt>
                <pt idx="252">
                  <v>79.14360000000001</v>
                </pt>
                <pt idx="253">
                  <v>77.8459</v>
                </pt>
                <pt idx="254">
                  <v>77.1061</v>
                </pt>
                <pt idx="255">
                  <v>76.7704</v>
                </pt>
                <pt idx="256">
                  <v>80.06480000000001</v>
                </pt>
                <pt idx="257">
                  <v>78.64190000000001</v>
                </pt>
                <pt idx="258">
                  <v>78.0967</v>
                </pt>
                <pt idx="259">
                  <v>78.0335</v>
                </pt>
                <pt idx="260">
                  <v>78.30840000000001</v>
                </pt>
                <pt idx="261">
                  <v>77.78440000000001</v>
                </pt>
                <pt idx="262">
                  <v>77.875</v>
                </pt>
                <pt idx="263">
                  <v>78.49379999999999</v>
                </pt>
                <pt idx="264">
                  <v>79.2099</v>
                </pt>
                <pt idx="265">
                  <v>79.15309999999999</v>
                </pt>
                <pt idx="266">
                  <v>79.9003</v>
                </pt>
                <pt idx="267">
                  <v>81.0993</v>
                </pt>
                <pt idx="268">
                  <v>80.5609</v>
                </pt>
                <pt idx="269">
                  <v>81.5651</v>
                </pt>
                <pt idx="270">
                  <v>84.8146</v>
                </pt>
                <pt idx="271">
                  <v>81.30840000000001</v>
                </pt>
                <pt idx="272">
                  <v>81.3942</v>
                </pt>
                <pt idx="273">
                  <v>82.42100000000001</v>
                </pt>
                <pt idx="274">
                  <v>83.0573</v>
                </pt>
                <pt idx="275">
                  <v>83.8237</v>
                </pt>
                <pt idx="276">
                  <v>84.90649999999999</v>
                </pt>
                <pt idx="277">
                  <v>84.66800000000001</v>
                </pt>
                <pt idx="278">
                  <v>84.10250000000001</v>
                </pt>
                <pt idx="279">
                  <v>84.9836</v>
                </pt>
                <pt idx="280">
                  <v>83.85469999999999</v>
                </pt>
                <pt idx="281">
                  <v>80.9676</v>
                </pt>
                <pt idx="282">
                  <v>82.0069</v>
                </pt>
                <pt idx="283">
                  <v>81.66370000000001</v>
                </pt>
                <pt idx="284">
                  <v>82.5103</v>
                </pt>
                <pt idx="285">
                  <v>83.9943</v>
                </pt>
                <pt idx="286">
                  <v>83.0505</v>
                </pt>
                <pt idx="287">
                  <v>83.79470000000001</v>
                </pt>
                <pt idx="288">
                  <v>82.8402</v>
                </pt>
                <pt idx="289">
                  <v>81.0339</v>
                </pt>
                <pt idx="290">
                  <v>82.9198</v>
                </pt>
                <pt idx="291">
                  <v>81.7923</v>
                </pt>
                <pt idx="292">
                  <v>81.41330000000001</v>
                </pt>
                <pt idx="293">
                  <v>83.1528</v>
                </pt>
                <pt idx="294">
                  <v>82.78959999999999</v>
                </pt>
                <pt idx="295">
                  <v>83.73990000000001</v>
                </pt>
                <pt idx="296">
                  <v>85.2475</v>
                </pt>
                <pt idx="297">
                  <v>85.17140000000001</v>
                </pt>
                <pt idx="298">
                  <v>84.80500000000001</v>
                </pt>
                <pt idx="299">
                  <v>81.4295</v>
                </pt>
                <pt idx="300">
                  <v>82.36190000000001</v>
                </pt>
                <pt idx="301">
                  <v>84.8295</v>
                </pt>
                <pt idx="302">
                  <v>84.03530000000001</v>
                </pt>
                <pt idx="303">
                  <v>85.7</v>
                </pt>
                <pt idx="304">
                  <v>87.1053</v>
                </pt>
                <pt idx="305">
                  <v>87.36920000000001</v>
                </pt>
                <pt idx="306">
                  <v>86.8711</v>
                </pt>
                <pt idx="307">
                  <v>88.3206</v>
                </pt>
                <pt idx="308">
                  <v>87.41540000000001</v>
                </pt>
                <pt idx="309">
                  <v>85.19119999999999</v>
                </pt>
                <pt idx="310">
                  <v>85.3878</v>
                </pt>
                <pt idx="311">
                  <v>87.3627</v>
                </pt>
                <pt idx="312">
                  <v>85.9389</v>
                </pt>
                <pt idx="313">
                  <v>88.524</v>
                </pt>
                <pt idx="314">
                  <v>87.9088</v>
                </pt>
                <pt idx="315">
                  <v>87.15940000000001</v>
                </pt>
                <pt idx="316">
                  <v>88.41670000000001</v>
                </pt>
                <pt idx="317">
                  <v>90.3249</v>
                </pt>
                <pt idx="318">
                  <v>89.2166</v>
                </pt>
                <pt idx="319">
                  <v>88.62309999999999</v>
                </pt>
                <pt idx="320">
                  <v>88.3382</v>
                </pt>
                <pt idx="321">
                  <v>87.0652</v>
                </pt>
                <pt idx="322">
                  <v>88.5705</v>
                </pt>
                <pt idx="323">
                  <v>88.47750000000001</v>
                </pt>
                <pt idx="324">
                  <v>89.6307</v>
                </pt>
                <pt idx="325">
                  <v>87.1673</v>
                </pt>
                <pt idx="326">
                  <v>89.0331</v>
                </pt>
                <pt idx="327">
                  <v>92.33329999999999</v>
                </pt>
                <pt idx="328">
                  <v>90.9787</v>
                </pt>
                <pt idx="329">
                  <v>88.27979999999999</v>
                </pt>
                <pt idx="330">
                  <v>90.8708</v>
                </pt>
                <pt idx="331">
                  <v>91.30629999999999</v>
                </pt>
                <pt idx="332">
                  <v>90.3968</v>
                </pt>
                <pt idx="333">
                  <v>93.601</v>
                </pt>
                <pt idx="334">
                  <v>95.7479</v>
                </pt>
                <pt idx="335">
                  <v>93.93810000000001</v>
                </pt>
                <pt idx="336">
                  <v>92.0634</v>
                </pt>
                <pt idx="337">
                  <v>91.40779999999999</v>
                </pt>
                <pt idx="338">
                  <v>90.9402</v>
                </pt>
                <pt idx="339">
                  <v>90.2058</v>
                </pt>
                <pt idx="340">
                  <v>90.4755</v>
                </pt>
                <pt idx="341">
                  <v>88.90989999999999</v>
                </pt>
                <pt idx="342">
                  <v>91.31019999999999</v>
                </pt>
                <pt idx="343">
                  <v>89.34350000000001</v>
                </pt>
                <pt idx="344">
                  <v>90.1671</v>
                </pt>
                <pt idx="345">
                  <v>88.16160000000001</v>
                </pt>
                <pt idx="346">
                  <v>86.99039999999999</v>
                </pt>
                <pt idx="347">
                  <v>88.9462</v>
                </pt>
                <pt idx="348">
                  <v>89.3879</v>
                </pt>
                <pt idx="349">
                  <v>91.8052</v>
                </pt>
                <pt idx="350">
                  <v>93.98050000000001</v>
                </pt>
                <pt idx="351">
                  <v>93.3917</v>
                </pt>
                <pt idx="352">
                  <v>93.46420000000001</v>
                </pt>
                <pt idx="353">
                  <v>94.38079999999999</v>
                </pt>
                <pt idx="354">
                  <v>92.3043</v>
                </pt>
                <pt idx="355">
                  <v>93.9924</v>
                </pt>
                <pt idx="356">
                  <v>95.149</v>
                </pt>
                <pt idx="357">
                  <v>94.83069999999999</v>
                </pt>
                <pt idx="358">
                  <v>93.8617</v>
                </pt>
                <pt idx="359">
                  <v>95.2766</v>
                </pt>
                <pt idx="360">
                  <v>97.3344</v>
                </pt>
                <pt idx="361">
                  <v>93.99979999999999</v>
                </pt>
                <pt idx="362">
                  <v>94.1619</v>
                </pt>
                <pt idx="363">
                  <v>94.0591</v>
                </pt>
                <pt idx="364">
                  <v>91.551</v>
                </pt>
                <pt idx="365">
                  <v>94.3373</v>
                </pt>
                <pt idx="366">
                  <v>94.8052</v>
                </pt>
                <pt idx="367">
                  <v>93.9324</v>
                </pt>
                <pt idx="368">
                  <v>94.4528</v>
                </pt>
                <pt idx="369">
                  <v>94.6793</v>
                </pt>
                <pt idx="370">
                  <v>95.8173</v>
                </pt>
                <pt idx="371">
                  <v>97.46120000000001</v>
                </pt>
                <pt idx="372">
                  <v>98.3827</v>
                </pt>
                <pt idx="373">
                  <v>94.4046</v>
                </pt>
                <pt idx="374">
                  <v>95.874</v>
                </pt>
                <pt idx="375">
                  <v>97.7881</v>
                </pt>
                <pt idx="376">
                  <v>95.5433</v>
                </pt>
                <pt idx="377">
                  <v>94.0981</v>
                </pt>
                <pt idx="378">
                  <v>91.85720000000001</v>
                </pt>
                <pt idx="379">
                  <v>95.70099999999999</v>
                </pt>
                <pt idx="380">
                  <v>95.92400000000001</v>
                </pt>
                <pt idx="381">
                  <v>96.2192</v>
                </pt>
                <pt idx="382">
                  <v>97.9807</v>
                </pt>
                <pt idx="383">
                  <v>96.4093</v>
                </pt>
                <pt idx="384">
                  <v>95.25490000000001</v>
                </pt>
                <pt idx="385">
                  <v>98.09569999999999</v>
                </pt>
                <pt idx="386">
                  <v>96.2676</v>
                </pt>
                <pt idx="387">
                  <v>96.1536</v>
                </pt>
                <pt idx="388">
                  <v>99.2727</v>
                </pt>
                <pt idx="389">
                  <v>99.3336</v>
                </pt>
                <pt idx="390">
                  <v>99.0107</v>
                </pt>
                <pt idx="391">
                  <v>100.2643</v>
                </pt>
                <pt idx="392">
                  <v>98.32550000000001</v>
                </pt>
                <pt idx="393">
                  <v>97.4479</v>
                </pt>
                <pt idx="394">
                  <v>100.3938</v>
                </pt>
                <pt idx="395">
                  <v>92.3182</v>
                </pt>
                <pt idx="396">
                  <v>95.7439</v>
                </pt>
                <pt idx="397">
                  <v>98.17700000000001</v>
                </pt>
                <pt idx="398">
                  <v>97.40689999999999</v>
                </pt>
                <pt idx="399">
                  <v>98.63500000000001</v>
                </pt>
                <pt idx="400">
                  <v>99.11069999999999</v>
                </pt>
                <pt idx="401">
                  <v>100.6035</v>
                </pt>
                <pt idx="402">
                  <v>99.7749</v>
                </pt>
                <pt idx="403">
                  <v>96.7266</v>
                </pt>
                <pt idx="404">
                  <v>98.6862</v>
                </pt>
                <pt idx="405">
                  <v>99.0933</v>
                </pt>
                <pt idx="406">
                  <v>95.931</v>
                </pt>
                <pt idx="407">
                  <v>98.00790000000001</v>
                </pt>
                <pt idx="408">
                  <v>104.099</v>
                </pt>
                <pt idx="409">
                  <v>99.2424</v>
                </pt>
                <pt idx="410">
                  <v>100.8577</v>
                </pt>
                <pt idx="411">
                  <v>101.0478</v>
                </pt>
                <pt idx="412">
                  <v>99.1962</v>
                </pt>
                <pt idx="413">
                  <v>98.10420000000001</v>
                </pt>
                <pt idx="414">
                  <v>102.7584</v>
                </pt>
                <pt idx="415">
                  <v>102.8228</v>
                </pt>
                <pt idx="416">
                  <v>101.5753</v>
                </pt>
                <pt idx="417">
                  <v>101.6333</v>
                </pt>
                <pt idx="418">
                  <v>99.67610000000001</v>
                </pt>
                <pt idx="419">
                  <v>100.9152</v>
                </pt>
                <pt idx="420">
                  <v>102.3322</v>
                </pt>
                <pt idx="421">
                  <v>101.5244</v>
                </pt>
                <pt idx="422">
                  <v>101.5533</v>
                </pt>
                <pt idx="423">
                  <v>100.3446</v>
                </pt>
                <pt idx="424">
                  <v>101.8077</v>
                </pt>
                <pt idx="425">
                  <v>100.4335</v>
                </pt>
                <pt idx="426">
                  <v>96.78400000000001</v>
                </pt>
                <pt idx="427">
                  <v>98.699</v>
                </pt>
                <pt idx="428">
                  <v>99.3977</v>
                </pt>
                <pt idx="429">
                  <v>100.7505</v>
                </pt>
                <pt idx="430">
                  <v>100.3186</v>
                </pt>
                <pt idx="431">
                  <v>100.2023</v>
                </pt>
                <pt idx="432">
                  <v>97.3441</v>
                </pt>
                <pt idx="433">
                  <v>98.6228</v>
                </pt>
                <pt idx="434">
                  <v>98.1842</v>
                </pt>
                <pt idx="435">
                  <v>96.834</v>
                </pt>
                <pt idx="436">
                  <v>96.0068</v>
                </pt>
                <pt idx="437">
                  <v>94.7032</v>
                </pt>
                <pt idx="438">
                  <v>95.72880000000001</v>
                </pt>
                <pt idx="439">
                  <v>96.8094</v>
                </pt>
                <pt idx="440">
                  <v>98.9722</v>
                </pt>
                <pt idx="441">
                  <v>95.9992</v>
                </pt>
                <pt idx="442">
                  <v>101.1904</v>
                </pt>
                <pt idx="443">
                  <v>101.6906</v>
                </pt>
                <pt idx="444">
                  <v>103.1989</v>
                </pt>
                <pt idx="445">
                  <v>99.7079</v>
                </pt>
                <pt idx="446">
                  <v>96.6383</v>
                </pt>
                <pt idx="447">
                  <v>100.6944</v>
                </pt>
                <pt idx="448">
                  <v>102.6969</v>
                </pt>
                <pt idx="449">
                  <v>101.814</v>
                </pt>
                <pt idx="450">
                  <v>102.0969</v>
                </pt>
                <pt idx="451">
                  <v>102.1356</v>
                </pt>
                <pt idx="452">
                  <v>98.76439999999999</v>
                </pt>
                <pt idx="453">
                  <v>99.9667</v>
                </pt>
                <pt idx="454">
                  <v>105.2646</v>
                </pt>
                <pt idx="455">
                  <v>103.0834</v>
                </pt>
                <pt idx="456">
                  <v>101.271</v>
                </pt>
                <pt idx="457">
                  <v>100.9893</v>
                </pt>
                <pt idx="458">
                  <v>100.5724</v>
                </pt>
                <pt idx="459">
                  <v>100.0402</v>
                </pt>
                <pt idx="460">
                  <v>101.1829</v>
                </pt>
                <pt idx="461">
                  <v>102.9</v>
                </pt>
                <pt idx="462">
                  <v>102.792</v>
                </pt>
                <pt idx="463">
                  <v>100.9912</v>
                </pt>
                <pt idx="464">
                  <v>99.6897</v>
                </pt>
                <pt idx="465">
                  <v>98.9341</v>
                </pt>
                <pt idx="466">
                  <v>97.68380000000001</v>
                </pt>
                <pt idx="467">
                  <v>95.02800000000001</v>
                </pt>
                <pt idx="468">
                  <v>95.7124</v>
                </pt>
                <pt idx="469">
                  <v>94.3753</v>
                </pt>
                <pt idx="470">
                  <v>97.74760000000001</v>
                </pt>
                <pt idx="471">
                  <v>101.9704</v>
                </pt>
                <pt idx="472">
                  <v>99.7745</v>
                </pt>
                <pt idx="473">
                  <v>101.565</v>
                </pt>
                <pt idx="474">
                  <v>100.4154</v>
                </pt>
                <pt idx="475">
                  <v>98.70189999999999</v>
                </pt>
                <pt idx="476">
                  <v>100.5166</v>
                </pt>
                <pt idx="477">
                  <v>99.50409999999999</v>
                </pt>
                <pt idx="478">
                  <v>96.7106</v>
                </pt>
                <pt idx="479">
                  <v>98.0843</v>
                </pt>
                <pt idx="480">
                  <v>98.67619999999999</v>
                </pt>
                <pt idx="481">
                  <v>102.7081</v>
                </pt>
                <pt idx="482">
                  <v>102.3515</v>
                </pt>
                <pt idx="483">
                  <v>100.1656</v>
                </pt>
                <pt idx="484">
                  <v>99.0737</v>
                </pt>
                <pt idx="485">
                  <v>98.9795</v>
                </pt>
                <pt idx="486">
                  <v>98.7368</v>
                </pt>
                <pt idx="487">
                  <v>99.9906</v>
                </pt>
                <pt idx="488">
                  <v>101.4843</v>
                </pt>
                <pt idx="489">
                  <v>102.6633</v>
                </pt>
                <pt idx="490">
                  <v>105.2752</v>
                </pt>
                <pt idx="491">
                  <v>106.1967</v>
                </pt>
                <pt idx="492">
                  <v>105.2427</v>
                </pt>
                <pt idx="493">
                  <v>104.8045</v>
                </pt>
                <pt idx="494">
                  <v>101.8604</v>
                </pt>
                <pt idx="495">
                  <v>101.6414</v>
                </pt>
                <pt idx="496">
                  <v>99.9135</v>
                </pt>
                <pt idx="497">
                  <v>97.70950000000001</v>
                </pt>
                <pt idx="498">
                  <v>98.5356</v>
                </pt>
                <pt idx="499">
                  <v>100.6574</v>
                </pt>
                <pt idx="500">
                  <v>101.2978</v>
                </pt>
                <pt idx="501">
                  <v>104.3567</v>
                </pt>
                <pt idx="502">
                  <v>101.3875</v>
                </pt>
                <pt idx="503">
                  <v>102.3389</v>
                </pt>
                <pt idx="504">
                  <v>107.6084</v>
                </pt>
                <pt idx="505">
                  <v>104.4781</v>
                </pt>
                <pt idx="506">
                  <v>101.5414</v>
                </pt>
                <pt idx="507">
                  <v>100.3241</v>
                </pt>
                <pt idx="508">
                  <v>101.1513</v>
                </pt>
                <pt idx="509">
                  <v>100.4965</v>
                </pt>
                <pt idx="510">
                  <v>100.8219</v>
                </pt>
                <pt idx="511">
                  <v>101.8023</v>
                </pt>
                <pt idx="512">
                  <v>100.3751</v>
                </pt>
                <pt idx="513">
                  <v>97.6934</v>
                </pt>
                <pt idx="514">
                  <v>95.83150000000001</v>
                </pt>
                <pt idx="515">
                  <v>99.7439</v>
                </pt>
                <pt idx="516">
                  <v>99.4721</v>
                </pt>
                <pt idx="517">
                  <v>95.51390000000001</v>
                </pt>
                <pt idx="518">
                  <v>101.416</v>
                </pt>
                <pt idx="519">
                  <v>99.8792</v>
                </pt>
                <pt idx="520">
                  <v>102.7435</v>
                </pt>
                <pt idx="521">
                  <v>102.9223</v>
                </pt>
                <pt idx="522">
                  <v>105.0176</v>
                </pt>
                <pt idx="523">
                  <v>102.5537</v>
                </pt>
                <pt idx="524">
                  <v>99.58110000000001</v>
                </pt>
                <pt idx="525">
                  <v>97.0642</v>
                </pt>
                <pt idx="526">
                  <v>103.2641</v>
                </pt>
                <pt idx="527">
                  <v>97.7741</v>
                </pt>
                <pt idx="528">
                  <v>92.87690000000001</v>
                </pt>
                <pt idx="529">
                  <v>99.949</v>
                </pt>
                <pt idx="530">
                  <v>99.62</v>
                </pt>
                <pt idx="531">
                  <v>100.7589</v>
                </pt>
                <pt idx="532">
                  <v>100.8305</v>
                </pt>
                <pt idx="533">
                  <v>101.4277</v>
                </pt>
                <pt idx="534">
                  <v>99.71080000000001</v>
                </pt>
                <pt idx="535">
                  <v>99.31180000000001</v>
                </pt>
                <pt idx="536">
                  <v>101.4309</v>
                </pt>
                <pt idx="537">
                  <v>101.3781</v>
                </pt>
                <pt idx="538">
                  <v>104.9313</v>
                </pt>
                <pt idx="539">
                  <v>107.6681</v>
                </pt>
                <pt idx="540">
                  <v>100.5578</v>
                </pt>
                <pt idx="541">
                  <v>103.7819</v>
                </pt>
                <pt idx="542">
                  <v>107.8025</v>
                </pt>
                <pt idx="543">
                  <v>104.3522</v>
                </pt>
                <pt idx="544">
                  <v>104.3016</v>
                </pt>
                <pt idx="545">
                  <v>103.6279</v>
                </pt>
                <pt idx="546">
                  <v>104.6778</v>
                </pt>
                <pt idx="547">
                  <v>104.4398</v>
                </pt>
                <pt idx="548">
                  <v>106.1615</v>
                </pt>
                <pt idx="549">
                  <v>107.8526</v>
                </pt>
                <pt idx="550">
                  <v>103.1922</v>
                </pt>
                <pt idx="551">
                  <v>104.4371</v>
                </pt>
                <pt idx="552">
                  <v>104.8783</v>
                </pt>
                <pt idx="553">
                  <v>106.7617</v>
                </pt>
                <pt idx="554">
                  <v>102.9116</v>
                </pt>
                <pt idx="555">
                  <v>104.1053</v>
                </pt>
                <pt idx="556">
                  <v>100.668</v>
                </pt>
                <pt idx="557">
                  <v>103.9146</v>
                </pt>
                <pt idx="558">
                  <v>103.1342</v>
                </pt>
                <pt idx="559">
                  <v>105.3074</v>
                </pt>
                <pt idx="560">
                  <v>104.2514</v>
                </pt>
                <pt idx="561">
                  <v>105.5904</v>
                </pt>
                <pt idx="562">
                  <v>102.1912</v>
                </pt>
                <pt idx="563">
                  <v>99.1474</v>
                </pt>
                <pt idx="564">
                  <v>101.6933</v>
                </pt>
                <pt idx="565">
                  <v>99.521</v>
                </pt>
                <pt idx="566">
                  <v>100.3792</v>
                </pt>
                <pt idx="567">
                  <v>98.39709999999999</v>
                </pt>
                <pt idx="568">
                  <v>100.4361</v>
                </pt>
                <pt idx="569">
                  <v>104.5185</v>
                </pt>
                <pt idx="570">
                  <v>102.3597</v>
                </pt>
                <pt idx="571">
                  <v>101.0764</v>
                </pt>
                <pt idx="572">
                  <v>101.9191</v>
                </pt>
                <pt idx="573">
                  <v>98.4558</v>
                </pt>
                <pt idx="574">
                  <v>104.1093</v>
                </pt>
                <pt idx="575">
                  <v>101.8887</v>
                </pt>
                <pt idx="576">
                  <v>107.5578</v>
                </pt>
                <pt idx="577">
                  <v>101.5196</v>
                </pt>
                <pt idx="578">
                  <v>102.1216</v>
                </pt>
                <pt idx="579">
                  <v>101.5981</v>
                </pt>
                <pt idx="580">
                  <v>105.1726</v>
                </pt>
                <pt idx="581">
                  <v>103.0394</v>
                </pt>
                <pt idx="582">
                  <v>104.878</v>
                </pt>
                <pt idx="583">
                  <v>103.9478</v>
                </pt>
                <pt idx="584">
                  <v>101.3195</v>
                </pt>
                <pt idx="585">
                  <v>103.1336</v>
                </pt>
                <pt idx="586">
                  <v>100.0146</v>
                </pt>
                <pt idx="587">
                  <v>108.4605</v>
                </pt>
                <pt idx="588">
                  <v>106.8418</v>
                </pt>
                <pt idx="589">
                  <v>104.6333</v>
                </pt>
                <pt idx="590">
                  <v>106.0629</v>
                </pt>
                <pt idx="591">
                  <v>106.9685</v>
                </pt>
                <pt idx="592">
                  <v>106.7159</v>
                </pt>
                <pt idx="593">
                  <v>106.8803</v>
                </pt>
                <pt idx="594">
                  <v>105.9957</v>
                </pt>
                <pt idx="595">
                  <v>104.9233</v>
                </pt>
                <pt idx="596">
                  <v>102.4057</v>
                </pt>
                <pt idx="597">
                  <v>105.8364</v>
                </pt>
                <pt idx="598">
                  <v>109.2199</v>
                </pt>
                <pt idx="599">
                  <v>101.3586</v>
                </pt>
                <pt idx="600">
                  <v>100.616</v>
                </pt>
                <pt idx="601">
                  <v>109.0302</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pt idx="600">
                  <v>44958</v>
                </pt>
                <pt idx="601">
                  <v>44986</v>
                </pt>
              </numCache>
            </numRef>
          </cat>
          <val>
            <numRef>
              <f>Utilities!$D$20:$D$621</f>
              <numCache>
                <formatCode>0.0%</formatCode>
                <ptCount val="602"/>
                <pt idx="0">
                  <v>0.04942435066060964</v>
                </pt>
                <pt idx="1">
                  <v>0.03774875447450578</v>
                </pt>
                <pt idx="2">
                  <v>0.04383440719697781</v>
                </pt>
                <pt idx="3">
                  <v>0.06855626736308905</v>
                </pt>
                <pt idx="4">
                  <v>0.08917743952604572</v>
                </pt>
                <pt idx="5">
                  <v>0.08758780949155716</v>
                </pt>
                <pt idx="6">
                  <v>0.07492929962991422</v>
                </pt>
                <pt idx="7">
                  <v>0.09037726735610964</v>
                </pt>
                <pt idx="8">
                  <v>0.07160343761328986</v>
                </pt>
                <pt idx="9">
                  <v>0.03872357489728091</v>
                </pt>
                <pt idx="10">
                  <v>-0.02035455234042736</v>
                </pt>
                <pt idx="11">
                  <v>-0.02445772097089791</v>
                </pt>
                <pt idx="12">
                  <v>-0.02796594767408245</v>
                </pt>
                <pt idx="13">
                  <v>-0.0004657410064163628</v>
                </pt>
                <pt idx="14">
                  <v>0.008241200197324598</v>
                </pt>
                <pt idx="15">
                  <v>0.009909394548910332</v>
                </pt>
                <pt idx="16">
                  <v>-0.01209174415967335</v>
                </pt>
                <pt idx="17">
                  <v>0.02120847109723584</v>
                </pt>
                <pt idx="18">
                  <v>0.00325206552851132</v>
                </pt>
                <pt idx="19">
                  <v>-0.03559047519226993</v>
                </pt>
                <pt idx="20">
                  <v>-0.004742222496403083</v>
                </pt>
                <pt idx="21">
                  <v>-0.01038114738359101</v>
                </pt>
                <pt idx="22">
                  <v>0.04928892696508899</v>
                </pt>
                <pt idx="23">
                  <v>0.02520959987708872</v>
                </pt>
                <pt idx="24">
                  <v>0.03603913694744553</v>
                </pt>
                <pt idx="25">
                  <v>0.03808790797329068</v>
                </pt>
                <pt idx="26">
                  <v>0.05268795098986492</v>
                </pt>
                <pt idx="27">
                  <v>0.02155914502428173</v>
                </pt>
                <pt idx="28">
                  <v>0.007272921078146949</v>
                </pt>
                <pt idx="29">
                  <v>-7.020964600301502e-05</v>
                </pt>
                <pt idx="30">
                  <v>0.01799834888671255</v>
                </pt>
                <pt idx="31">
                  <v>0.02697099689955545</v>
                </pt>
                <pt idx="32">
                  <v>-0.001239692556246003</v>
                </pt>
                <pt idx="33">
                  <v>0.008433294458616819</v>
                </pt>
                <pt idx="34">
                  <v>0.02565761676052682</v>
                </pt>
                <pt idx="35">
                  <v>0.07042221274027208</v>
                </pt>
                <pt idx="36">
                  <v>0.03317562759296742</v>
                </pt>
                <pt idx="37">
                  <v>0.01660989099070209</v>
                </pt>
                <pt idx="38">
                  <v>-0.001861113660730535</v>
                </pt>
                <pt idx="39">
                  <v>0.01291608618143723</v>
                </pt>
                <pt idx="40">
                  <v>0.0464055679355291</v>
                </pt>
                <pt idx="41">
                  <v>0.03557070407164293</v>
                </pt>
                <pt idx="42">
                  <v>0.02993200253623989</v>
                </pt>
                <pt idx="43">
                  <v>0.04314481106174801</v>
                </pt>
                <pt idx="44">
                  <v>0.05672226849034244</v>
                </pt>
                <pt idx="45">
                  <v>0.1180468914561627</v>
                </pt>
                <pt idx="46">
                  <v>0.1073548756873366</v>
                </pt>
                <pt idx="47">
                  <v>0.07326178980670021</v>
                </pt>
                <pt idx="48">
                  <v>0.05958189259895923</v>
                </pt>
                <pt idx="49">
                  <v>0.03622698485598098</v>
                </pt>
                <pt idx="50">
                  <v>0.04191498436723495</v>
                </pt>
                <pt idx="51">
                  <v>0.06147703415935798</v>
                </pt>
                <pt idx="52">
                  <v>0.06612172979532782</v>
                </pt>
                <pt idx="53">
                  <v>0.07473029021528348</v>
                </pt>
                <pt idx="54">
                  <v>0.05312583226224801</v>
                </pt>
                <pt idx="55">
                  <v>0.04843491892740313</v>
                </pt>
                <pt idx="56">
                  <v>0.03785638369420857</v>
                </pt>
                <pt idx="57">
                  <v>-0.02073475598710186</v>
                </pt>
                <pt idx="58">
                  <v>-0.01399824235703875</v>
                </pt>
                <pt idx="59">
                  <v>-0.004558334359985149</v>
                </pt>
                <pt idx="60">
                  <v>0.04576151484326847</v>
                </pt>
                <pt idx="61">
                  <v>0.05955587512459396</v>
                </pt>
                <pt idx="62">
                  <v>0.01992379757722115</v>
                </pt>
                <pt idx="63">
                  <v>0.0232531058053283</v>
                </pt>
                <pt idx="64">
                  <v>0.0202905213002132</v>
                </pt>
                <pt idx="65">
                  <v>-0.004459433396000911</v>
                </pt>
                <pt idx="66">
                  <v>0.02615568432124955</v>
                </pt>
                <pt idx="67">
                  <v>0.03058584685715955</v>
                </pt>
                <pt idx="68">
                  <v>0.0232704597686462</v>
                </pt>
                <pt idx="69">
                  <v>0.04063458471920581</v>
                </pt>
                <pt idx="70">
                  <v>0.02380075751223949</v>
                </pt>
                <pt idx="71">
                  <v>0.04321490972626664</v>
                </pt>
                <pt idx="72">
                  <v>0.05899086233674099</v>
                </pt>
                <pt idx="73">
                  <v>0.04330388480064334</v>
                </pt>
                <pt idx="74">
                  <v>0.07855447684662682</v>
                </pt>
                <pt idx="75">
                  <v>0.03097277192399328</v>
                </pt>
                <pt idx="76">
                  <v>0.005968067797822382</v>
                </pt>
                <pt idx="77">
                  <v>-0.0003440128190039625</v>
                </pt>
                <pt idx="78">
                  <v>0.001425083978163104</v>
                </pt>
                <pt idx="79">
                  <v>-0.01398607592694285</v>
                </pt>
                <pt idx="80">
                  <v>0.007554850713652502</v>
                </pt>
                <pt idx="81">
                  <v>0.0108205638710136</v>
                </pt>
                <pt idx="82">
                  <v>-0.006124309234888644</v>
                </pt>
                <pt idx="83">
                  <v>-0.04131308619919598</v>
                </pt>
                <pt idx="84">
                  <v>-0.03614696280257789</v>
                </pt>
                <pt idx="85">
                  <v>-0.0004439565129108183</v>
                </pt>
                <pt idx="86">
                  <v>-0.03684843932707983</v>
                </pt>
                <pt idx="87">
                  <v>-0.02690944388667817</v>
                </pt>
                <pt idx="88">
                  <v>-0.01278952382306522</v>
                </pt>
                <pt idx="89">
                  <v>0.04447261892902742</v>
                </pt>
                <pt idx="90">
                  <v>0.03366472586555863</v>
                </pt>
                <pt idx="91">
                  <v>0.05477591426441129</v>
                </pt>
                <pt idx="92">
                  <v>0.03099670326946425</v>
                </pt>
                <pt idx="93">
                  <v>0.02816960854831031</v>
                </pt>
                <pt idx="94">
                  <v>0.05200481499527095</v>
                </pt>
                <pt idx="95">
                  <v>0.05352645294665732</v>
                </pt>
                <pt idx="96">
                  <v>-0.009806932595765854</v>
                </pt>
                <pt idx="97">
                  <v>-0.01273068447872193</v>
                </pt>
                <pt idx="98">
                  <v>0.01714582458229868</v>
                </pt>
                <pt idx="99">
                  <v>0.04813178938043215</v>
                </pt>
                <pt idx="100">
                  <v>0.07404060116805773</v>
                </pt>
                <pt idx="101">
                  <v>0.03190218305475066</v>
                </pt>
                <pt idx="102">
                  <v>0.005655205014120697</v>
                </pt>
                <pt idx="103">
                  <v>-0.02118269478080613</v>
                </pt>
                <pt idx="104">
                  <v>-0.0009187561930177905</v>
                </pt>
                <pt idx="105">
                  <v>-0.01369206954647691</v>
                </pt>
                <pt idx="106">
                  <v>0.001019942515426826</v>
                </pt>
                <pt idx="107">
                  <v>0.01399509774285436</v>
                </pt>
                <pt idx="108">
                  <v>0.01167998610453851</v>
                </pt>
                <pt idx="109">
                  <v>-0.004526709504171843</v>
                </pt>
                <pt idx="110">
                  <v>-0.004129689680829038</v>
                </pt>
                <pt idx="111">
                  <v>-0.04481345193797655</v>
                </pt>
                <pt idx="112">
                  <v>-0.06480460224815536</v>
                </pt>
                <pt idx="113">
                  <v>-0.06265355439564682</v>
                </pt>
                <pt idx="114">
                  <v>-0.0550743582749635</v>
                </pt>
                <pt idx="115">
                  <v>-0.03838530436946514</v>
                </pt>
                <pt idx="116">
                  <v>-0.04741531935081317</v>
                </pt>
                <pt idx="117">
                  <v>-0.02617230854605993</v>
                </pt>
                <pt idx="118">
                  <v>-0.07399721375026155</v>
                </pt>
                <pt idx="119">
                  <v>-0.07464664687173672</v>
                </pt>
                <pt idx="120">
                  <v>-0.0728535063761053</v>
                </pt>
                <pt idx="121">
                  <v>-0.03917048673209685</v>
                </pt>
                <pt idx="122">
                  <v>-0.02205335568297334</v>
                </pt>
                <pt idx="123">
                  <v>-0.01339529797703659</v>
                </pt>
                <pt idx="124">
                  <v>-0.01967138481171924</v>
                </pt>
                <pt idx="125">
                  <v>0.01431918864504649</v>
                </pt>
                <pt idx="126">
                  <v>0.0688250362643129</v>
                </pt>
                <pt idx="127">
                  <v>0.06276635980810336</v>
                </pt>
                <pt idx="128">
                  <v>0.04295105099523806</v>
                </pt>
                <pt idx="129">
                  <v>0.03555884804148533</v>
                </pt>
                <pt idx="130">
                  <v>0.1180432965640127</v>
                </pt>
                <pt idx="131">
                  <v>0.1164598674521354</v>
                </pt>
                <pt idx="132">
                  <v>0.1216511910025737</v>
                </pt>
                <pt idx="133">
                  <v>0.1087312019280728</v>
                </pt>
                <pt idx="134">
                  <v>0.08242518146636638</v>
                </pt>
                <pt idx="135">
                  <v>0.1131491446821543</v>
                </pt>
                <pt idx="136">
                  <v>0.1105711391701496</v>
                </pt>
                <pt idx="137">
                  <v>0.04457641797903739</v>
                </pt>
                <pt idx="138">
                  <v>0.01449058731806079</v>
                </pt>
                <pt idx="139">
                  <v>0.006405879378074545</v>
                </pt>
                <pt idx="140">
                  <v>0.02201587565225818</v>
                </pt>
                <pt idx="141">
                  <v>0.02889688331877367</v>
                </pt>
                <pt idx="142">
                  <v>-0.03349730385149992</v>
                </pt>
                <pt idx="143">
                  <v>0.01079871582838806</v>
                </pt>
                <pt idx="144">
                  <v>0.06859861387673144</v>
                </pt>
                <pt idx="145">
                  <v>-0.004996966303774095</v>
                </pt>
                <pt idx="146">
                  <v>0.01000019835104162</v>
                </pt>
                <pt idx="147">
                  <v>-0.00158031435973521</v>
                </pt>
                <pt idx="148">
                  <v>-0.005215518802537966</v>
                </pt>
                <pt idx="149">
                  <v>0.02605627844802794</v>
                </pt>
                <pt idx="150">
                  <v>0.01304628820375789</v>
                </pt>
                <pt idx="151">
                  <v>0.04351857335014012</v>
                </pt>
                <pt idx="152">
                  <v>0.03468666044823494</v>
                </pt>
                <pt idx="153">
                  <v>0.01984891028212321</v>
                </pt>
                <pt idx="154">
                  <v>0.08661335672443048</v>
                </pt>
                <pt idx="155">
                  <v>0.009735567119622757</v>
                </pt>
                <pt idx="156">
                  <v>-0.03257987318663511</v>
                </pt>
                <pt idx="157">
                  <v>-0.0001024573232198001</v>
                </pt>
                <pt idx="158">
                  <v>-0.003958837257257341</v>
                </pt>
                <pt idx="159">
                  <v>0.009931553472107167</v>
                </pt>
                <pt idx="160">
                  <v>0.02498303682250734</v>
                </pt>
                <pt idx="161">
                  <v>0.03980613104789173</v>
                </pt>
                <pt idx="162">
                  <v>0.01646310222295675</v>
                </pt>
                <pt idx="163">
                  <v>0.006783882118698453</v>
                </pt>
                <pt idx="164">
                  <v>0.02246538406791809</v>
                </pt>
                <pt idx="165">
                  <v>0.02472648132731124</v>
                </pt>
                <pt idx="166">
                  <v>-0.008067783776511321</v>
                </pt>
                <pt idx="167">
                  <v>0.009628775174561998</v>
                </pt>
                <pt idx="168">
                  <v>0.02821142927913542</v>
                </pt>
                <pt idx="169">
                  <v>0.05390468509324575</v>
                </pt>
                <pt idx="170">
                  <v>0.05791472168959573</v>
                </pt>
                <pt idx="171">
                  <v>0.05329950887404834</v>
                </pt>
                <pt idx="172">
                  <v>0.05898964391470993</v>
                </pt>
                <pt idx="173">
                  <v>0.04206798440035087</v>
                </pt>
                <pt idx="174">
                  <v>0.08251884925635469</v>
                </pt>
                <pt idx="175">
                  <v>0.04947498953199985</v>
                </pt>
                <pt idx="176">
                  <v>0.05305486304241375</v>
                </pt>
                <pt idx="177">
                  <v>0.05293434663289012</v>
                </pt>
                <pt idx="178">
                  <v>0.03841483032937369</v>
                </pt>
                <pt idx="179">
                  <v>0.08237937203370567</v>
                </pt>
                <pt idx="180">
                  <v>0.09430807462866329</v>
                </pt>
                <pt idx="181">
                  <v>0.07868317222950549</v>
                </pt>
                <pt idx="182">
                  <v>0.05664679196169397</v>
                </pt>
                <pt idx="183">
                  <v>0.04551720309739013</v>
                </pt>
                <pt idx="184">
                  <v>0.0476077215226543</v>
                </pt>
                <pt idx="185">
                  <v>0.05583880727857145</v>
                </pt>
                <pt idx="186">
                  <v>0.07835544587321877</v>
                </pt>
                <pt idx="187">
                  <v>0.05114775934112985</v>
                </pt>
                <pt idx="188">
                  <v>0.04798402659802413</v>
                </pt>
                <pt idx="189">
                  <v>0.04218517185285768</v>
                </pt>
                <pt idx="190">
                  <v>0.04836811161451299</v>
                </pt>
                <pt idx="191">
                  <v>-0.01370302474793751</v>
                </pt>
                <pt idx="192">
                  <v>0.01476387788590081</v>
                </pt>
                <pt idx="193">
                  <v>0.0456619743290413</v>
                </pt>
                <pt idx="194">
                  <v>0.02839168650968617</v>
                </pt>
                <pt idx="195">
                  <v>0.03675748378476437</v>
                </pt>
                <pt idx="196">
                  <v>0.0206547461381505</v>
                </pt>
                <pt idx="197">
                  <v>0.01619480468935823</v>
                </pt>
                <pt idx="198">
                  <v>-0.005382162810424943</v>
                </pt>
                <pt idx="199">
                  <v>0.02870398486405681</v>
                </pt>
                <pt idx="200">
                  <v>0.03496444686749644</v>
                </pt>
                <pt idx="201">
                  <v>0.05006434387465251</v>
                </pt>
                <pt idx="202">
                  <v>0.1189618329457956</v>
                </pt>
                <pt idx="203">
                  <v>0.07034089733808374</v>
                </pt>
                <pt idx="204">
                  <v>0.006352554651808309</v>
                </pt>
                <pt idx="205">
                  <v>-0.006033912255237234</v>
                </pt>
                <pt idx="206">
                  <v>0.02879415026813179</v>
                </pt>
                <pt idx="207">
                  <v>0.02958221311825202</v>
                </pt>
                <pt idx="208">
                  <v>0.04260243149132043</v>
                </pt>
                <pt idx="209">
                  <v>0.03372738930119593</v>
                </pt>
                <pt idx="210">
                  <v>0.03042168548153304</v>
                </pt>
                <pt idx="211">
                  <v>0.05652703312547713</v>
                </pt>
                <pt idx="212">
                  <v>0.02717200953787263</v>
                </pt>
                <pt idx="213">
                  <v>-0.003557207474160573</v>
                </pt>
                <pt idx="214">
                  <v>-0.06416492634997002</v>
                </pt>
                <pt idx="215">
                  <v>0.02986224213287331</v>
                </pt>
                <pt idx="216">
                  <v>0.01638458462035942</v>
                </pt>
                <pt idx="217">
                  <v>0.01603937739184919</v>
                </pt>
                <pt idx="218">
                  <v>0.008095281758039054</v>
                </pt>
                <pt idx="219">
                  <v>0.04628439897980886</v>
                </pt>
                <pt idx="220">
                  <v>0.03950080350121377</v>
                </pt>
                <pt idx="221">
                  <v>0.03485543112687028</v>
                </pt>
                <pt idx="222">
                  <v>0.01763420342327796</v>
                </pt>
                <pt idx="223">
                  <v>0.004048430729389149</v>
                </pt>
                <pt idx="224">
                  <v>0.0184060961754327</v>
                </pt>
                <pt idx="225">
                  <v>0.05001768935268103</v>
                </pt>
                <pt idx="226">
                  <v>0.01537195113515299</v>
                </pt>
                <pt idx="227">
                  <v>-0.006777236426829965</v>
                </pt>
                <pt idx="228">
                  <v>0.02576929033986478</v>
                </pt>
                <pt idx="229">
                  <v>0.00839212824978146</v>
                </pt>
                <pt idx="230">
                  <v>0.03296450389937552</v>
                </pt>
                <pt idx="231">
                  <v>-0.02412694807509978</v>
                </pt>
                <pt idx="232">
                  <v>-0.04187843806451367</v>
                </pt>
                <pt idx="233">
                  <v>-0.02844379264712511</v>
                </pt>
                <pt idx="234">
                  <v>-0.02447242845180228</v>
                </pt>
                <pt idx="235">
                  <v>-0.008173913043478318</v>
                </pt>
                <pt idx="236">
                  <v>0.009579790966898809</v>
                </pt>
                <pt idx="237">
                  <v>0.008556010697003277</v>
                </pt>
                <pt idx="238">
                  <v>0.05319646119950244</v>
                </pt>
                <pt idx="239">
                  <v>0.02246518778947429</v>
                </pt>
                <pt idx="240">
                  <v>0.04367633155814927</v>
                </pt>
                <pt idx="241">
                  <v>0.05796248691110197</v>
                </pt>
                <pt idx="242">
                  <v>0.02201990797132687</v>
                </pt>
                <pt idx="243">
                  <v>0.00833406629094127</v>
                </pt>
                <pt idx="244">
                  <v>0.04926348514954823</v>
                </pt>
                <pt idx="245">
                  <v>0.05776965564492021</v>
                </pt>
                <pt idx="246">
                  <v>0.0676581279425877</v>
                </pt>
                <pt idx="247">
                  <v>0.04004909696650887</v>
                </pt>
                <pt idx="248">
                  <v>0.01947656564021808</v>
                </pt>
                <pt idx="249">
                  <v>0.01740220384950265</v>
                </pt>
                <pt idx="250">
                  <v>0.004808768336906219</v>
                </pt>
                <pt idx="251">
                  <v>0.07044727835592669</v>
                </pt>
                <pt idx="252">
                  <v>0.03153238283047231</v>
                </pt>
                <pt idx="253">
                  <v>0.004530626571073187</v>
                </pt>
                <pt idx="254">
                  <v>0.006536092755863095</v>
                </pt>
                <pt idx="255">
                  <v>0.03023454924621632</v>
                </pt>
                <pt idx="256">
                  <v>0.04782869302789421</v>
                </pt>
                <pt idx="257">
                  <v>0.01469360580415497</v>
                </pt>
                <pt idx="258">
                  <v>0.001423337868352842</v>
                </pt>
                <pt idx="259">
                  <v>0.01200002075006299</v>
                </pt>
                <pt idx="260">
                  <v>0.01896264334537832</v>
                </pt>
                <pt idx="261">
                  <v>0.005567930170114702</v>
                </pt>
                <pt idx="262">
                  <v>0.002665190297162199</v>
                </pt>
                <pt idx="263">
                  <v>-0.01814019813869721</v>
                </pt>
                <pt idx="264">
                  <v>0.0008377177687140621</v>
                </pt>
                <pt idx="265">
                  <v>0.01679214961866964</v>
                </pt>
                <pt idx="266">
                  <v>0.03623837802716003</v>
                </pt>
                <pt idx="267">
                  <v>0.05638761814449325</v>
                </pt>
                <pt idx="268">
                  <v>0.006196231052847174</v>
                </pt>
                <pt idx="269">
                  <v>0.03717102460647561</v>
                </pt>
                <pt idx="270">
                  <v>0.08602027998622222</v>
                </pt>
                <pt idx="271">
                  <v>0.04196787277259129</v>
                </pt>
                <pt idx="272">
                  <v>0.03940573425073161</v>
                </pt>
                <pt idx="273">
                  <v>0.05960835334591513</v>
                </pt>
                <pt idx="274">
                  <v>0.06654638844301763</v>
                </pt>
                <pt idx="275">
                  <v>0.06790217826121311</v>
                </pt>
                <pt idx="276">
                  <v>0.07191777795452323</v>
                </pt>
                <pt idx="277">
                  <v>0.06967383463187179</v>
                </pt>
                <pt idx="278">
                  <v>0.05259304408118624</v>
                </pt>
                <pt idx="279">
                  <v>0.04789560452433</v>
                </pt>
                <pt idx="280">
                  <v>0.04088583916018801</v>
                </pt>
                <pt idx="281">
                  <v>-0.007325436982238686</v>
                </pt>
                <pt idx="282">
                  <v>-0.033103970306999</v>
                </pt>
                <pt idx="283">
                  <v>0.004369782211923979</v>
                </pt>
                <pt idx="284">
                  <v>0.01371227925331293</v>
                </pt>
                <pt idx="285">
                  <v>0.01908858179347483</v>
                </pt>
                <pt idx="286">
                  <v>-8.187119013016753e-05</v>
                </pt>
                <pt idx="287">
                  <v>-0.0003459642082131469</v>
                </pt>
                <pt idx="288">
                  <v>-0.02433618156442673</v>
                </pt>
                <pt idx="289">
                  <v>-0.04292176501157466</v>
                </pt>
                <pt idx="290">
                  <v>-0.01406260218186155</v>
                </pt>
                <pt idx="291">
                  <v>-0.03755195119999621</v>
                </pt>
                <pt idx="292">
                  <v>-0.02911464712174735</v>
                </pt>
                <pt idx="293">
                  <v>0.02698857320706053</v>
                </pt>
                <pt idx="294">
                  <v>0.009544318831707957</v>
                </pt>
                <pt idx="295">
                  <v>0.02542378070060504</v>
                </pt>
                <pt idx="296">
                  <v>0.03317404008954036</v>
                </pt>
                <pt idx="297">
                  <v>0.01401404619122976</v>
                </pt>
                <pt idx="298">
                  <v>0.02112570062793129</v>
                </pt>
                <pt idx="299">
                  <v>-0.02822612886017853</v>
                </pt>
                <pt idx="300">
                  <v>-0.005773766842668055</v>
                </pt>
                <pt idx="301">
                  <v>0.04683965599582388</v>
                </pt>
                <pt idx="302">
                  <v>0.01345275796613127</v>
                </pt>
                <pt idx="303">
                  <v>0.04777589088459434</v>
                </pt>
                <pt idx="304">
                  <v>0.06991486648987319</v>
                </pt>
                <pt idx="305">
                  <v>0.0507066508884849</v>
                </pt>
                <pt idx="306">
                  <v>0.04929967049001331</v>
                </pt>
                <pt idx="307">
                  <v>0.05470152221342506</v>
                </pt>
                <pt idx="308">
                  <v>0.02543065779055108</v>
                </pt>
                <pt idx="309">
                  <v>0.0002324724027078266</v>
                </pt>
                <pt idx="310">
                  <v>0.006872236306821434</v>
                </pt>
                <pt idx="311">
                  <v>0.07286302875493524</v>
                </pt>
                <pt idx="312">
                  <v>0.04343027540646826</v>
                </pt>
                <pt idx="313">
                  <v>0.0435520662033845</v>
                </pt>
                <pt idx="314">
                  <v>0.04609372489894119</v>
                </pt>
                <pt idx="315">
                  <v>0.01702917152858812</v>
                </pt>
                <pt idx="316">
                  <v>0.01505534106420627</v>
                </pt>
                <pt idx="317">
                  <v>0.0338299995879554</v>
                </pt>
                <pt idx="318">
                  <v>0.02699977322722978</v>
                </pt>
                <pt idx="319">
                  <v>0.003425022022042365</v>
                </pt>
                <pt idx="320">
                  <v>0.01055649233430259</v>
                </pt>
                <pt idx="321">
                  <v>0.02199757721454809</v>
                </pt>
                <pt idx="322">
                  <v>0.03727347466499895</v>
                </pt>
                <pt idx="323">
                  <v>0.01276059462447935</v>
                </pt>
                <pt idx="324">
                  <v>0.04295842744089115</v>
                </pt>
                <pt idx="325">
                  <v>-0.01532578735710094</v>
                </pt>
                <pt idx="326">
                  <v>0.01278939082321685</v>
                </pt>
                <pt idx="327">
                  <v>0.05936135402492432</v>
                </pt>
                <pt idx="328">
                  <v>0.02897642639908521</v>
                </pt>
                <pt idx="329">
                  <v>-0.0226415971675585</v>
                </pt>
                <pt idx="330">
                  <v>0.01854139252112278</v>
                </pt>
                <pt idx="331">
                  <v>0.03027653061109349</v>
                </pt>
                <pt idx="332">
                  <v>0.02330362176272551</v>
                </pt>
                <pt idx="333">
                  <v>0.07506788016337175</v>
                </pt>
                <pt idx="334">
                  <v>0.08103601086140426</v>
                </pt>
                <pt idx="335">
                  <v>0.06171738577604475</v>
                </pt>
                <pt idx="336">
                  <v>0.02714137008859684</v>
                </pt>
                <pt idx="337">
                  <v>0.04864783009224787</v>
                </pt>
                <pt idx="338">
                  <v>0.02142012352709273</v>
                </pt>
                <pt idx="339">
                  <v>-0.02304152456372726</v>
                </pt>
                <pt idx="340">
                  <v>-0.005530964940145404</v>
                </pt>
                <pt idx="341">
                  <v>0.007137533161606605</v>
                </pt>
                <pt idx="342">
                  <v>0.004835436685932027</v>
                </pt>
                <pt idx="343">
                  <v>-0.02149687370970007</v>
                </pt>
                <pt idx="344">
                  <v>-0.002541019151120327</v>
                </pt>
                <pt idx="345">
                  <v>-0.05811262700184819</v>
                </pt>
                <pt idx="346">
                  <v>-0.09146414699434668</v>
                </pt>
                <pt idx="347">
                  <v>-0.05314031261011241</v>
                </pt>
                <pt idx="348">
                  <v>-0.02906149457873595</v>
                </pt>
                <pt idx="349">
                  <v>0.004347550209063173</v>
                </pt>
                <pt idx="350">
                  <v>0.03343185961763886</v>
                </pt>
                <pt idx="351">
                  <v>0.03531812810262759</v>
                </pt>
                <pt idx="352">
                  <v>0.03303325209587135</v>
                </pt>
                <pt idx="353">
                  <v>0.06153308011818708</v>
                </pt>
                <pt idx="354">
                  <v>0.01088706409579656</v>
                </pt>
                <pt idx="355">
                  <v>0.05203400359287466</v>
                </pt>
                <pt idx="356">
                  <v>0.05525186015741879</v>
                </pt>
                <pt idx="357">
                  <v>0.07564631313406274</v>
                </pt>
                <pt idx="358">
                  <v>0.07898917581710171</v>
                </pt>
                <pt idx="359">
                  <v>0.07117111242526378</v>
                </pt>
                <pt idx="360">
                  <v>0.08889905680746499</v>
                </pt>
                <pt idx="361">
                  <v>0.02390496398896788</v>
                </pt>
                <pt idx="362">
                  <v>0.001930187645309361</v>
                </pt>
                <pt idx="363">
                  <v>0.007146245330152472</v>
                </pt>
                <pt idx="364">
                  <v>-0.02046986974691918</v>
                </pt>
                <pt idx="365">
                  <v>-0.0004608988268799856</v>
                </pt>
                <pt idx="366">
                  <v>0.0270940790407381</v>
                </pt>
                <pt idx="367">
                  <v>-0.000638349483575292</v>
                </pt>
                <pt idx="368">
                  <v>-0.007316945002049466</v>
                </pt>
                <pt idx="369">
                  <v>-0.001596529393962033</v>
                </pt>
                <pt idx="370">
                  <v>0.02083490923347866</v>
                </pt>
                <pt idx="371">
                  <v>0.02292902979325462</v>
                </pt>
                <pt idx="372">
                  <v>0.0107700874510964</v>
                </pt>
                <pt idx="373">
                  <v>0.004306392141259968</v>
                </pt>
                <pt idx="374">
                  <v>0.0181825133095232</v>
                </pt>
                <pt idx="375">
                  <v>0.03964528684624879</v>
                </pt>
                <pt idx="376">
                  <v>0.04360738823169599</v>
                </pt>
                <pt idx="377">
                  <v>-0.002535582426039295</v>
                </pt>
                <pt idx="378">
                  <v>-0.03109534076189907</v>
                </pt>
                <pt idx="379">
                  <v>0.01882843406534904</v>
                </pt>
                <pt idx="380">
                  <v>0.0155760337438383</v>
                </pt>
                <pt idx="381">
                  <v>0.01626437880296963</v>
                </pt>
                <pt idx="382">
                  <v>0.02257838615782323</v>
                </pt>
                <pt idx="383">
                  <v>-0.01079301301440987</v>
                </pt>
                <pt idx="384">
                  <v>-0.03179217484374787</v>
                </pt>
                <pt idx="385">
                  <v>0.0390987303584782</v>
                </pt>
                <pt idx="386">
                  <v>0.004105388322172918</v>
                </pt>
                <pt idx="387">
                  <v>-0.01671471273089469</v>
                </pt>
                <pt idx="388">
                  <v>0.03903361093870526</v>
                </pt>
                <pt idx="389">
                  <v>0.0556387429714309</v>
                </pt>
                <pt idx="390">
                  <v>0.07787631236310266</v>
                </pt>
                <pt idx="391">
                  <v>0.04768288732615138</v>
                </pt>
                <pt idx="392">
                  <v>0.02503544472707558</v>
                </pt>
                <pt idx="393">
                  <v>0.01276980062191333</v>
                </pt>
                <pt idx="394">
                  <v>0.0246283196588716</v>
                </pt>
                <pt idx="395">
                  <v>-0.04243470287617478</v>
                </pt>
                <pt idx="396">
                  <v>0.00513359417730731</v>
                </pt>
                <pt idx="397">
                  <v>0.0008287825052475596</v>
                </pt>
                <pt idx="398">
                  <v>0.0118347190539703</v>
                </pt>
                <pt idx="399">
                  <v>0.02580662606496281</v>
                </pt>
                <pt idx="400">
                  <v>-0.001631868580183738</v>
                </pt>
                <pt idx="401">
                  <v>0.01278419386793585</v>
                </pt>
                <pt idx="402">
                  <v>0.007718357712853282</v>
                </pt>
                <pt idx="403">
                  <v>-0.03528374506180167</v>
                </pt>
                <pt idx="404">
                  <v>0.003668427823911338</v>
                </pt>
                <pt idx="405">
                  <v>0.01688492004445447</v>
                </pt>
                <pt idx="406">
                  <v>-0.04445294430532564</v>
                </pt>
                <pt idx="407">
                  <v>0.06163140095885754</v>
                </pt>
                <pt idx="408">
                  <v>0.08726508947306312</v>
                </pt>
                <pt idx="409">
                  <v>0.01085182883974858</v>
                </pt>
                <pt idx="410">
                  <v>0.0354266484201838</v>
                </pt>
                <pt idx="411">
                  <v>0.02446190500329487</v>
                </pt>
                <pt idx="412">
                  <v>0.0008626717397819847</v>
                </pt>
                <pt idx="413">
                  <v>-0.0248430720601171</v>
                </pt>
                <pt idx="414">
                  <v>0.0299023101000351</v>
                </pt>
                <pt idx="415">
                  <v>0.06302506239235119</v>
                </pt>
                <pt idx="416">
                  <v>0.02927562313677089</v>
                </pt>
                <pt idx="417">
                  <v>0.02563240905288255</v>
                </pt>
                <pt idx="418">
                  <v>0.03903951798688649</v>
                </pt>
                <pt idx="419">
                  <v>0.02966393525419881</v>
                </pt>
                <pt idx="420">
                  <v>-0.0169723052094641</v>
                </pt>
                <pt idx="421">
                  <v>0.02299420409018722</v>
                </pt>
                <pt idx="422">
                  <v>0.006896845753968204</v>
                </pt>
                <pt idx="423">
                  <v>-0.006959082731143038</v>
                </pt>
                <pt idx="424">
                  <v>0.02632661331784879</v>
                </pt>
                <pt idx="425">
                  <v>0.0237431221089412</v>
                </pt>
                <pt idx="426">
                  <v>-0.05814025909317378</v>
                </pt>
                <pt idx="427">
                  <v>-0.04010589091135432</v>
                </pt>
                <pt idx="428">
                  <v>-0.02143828273212088</v>
                </pt>
                <pt idx="429">
                  <v>-0.008686129447730253</v>
                </pt>
                <pt idx="430">
                  <v>0.006445878199488124</v>
                </pt>
                <pt idx="431">
                  <v>-0.007064347095383101</v>
                </pt>
                <pt idx="432">
                  <v>-0.0487441880463823</v>
                </pt>
                <pt idx="433">
                  <v>-0.02858032157786701</v>
                </pt>
                <pt idx="434">
                  <v>-0.03317568212948264</v>
                </pt>
                <pt idx="435">
                  <v>-0.03498544017316325</v>
                </pt>
                <pt idx="436">
                  <v>-0.05697899078360476</v>
                </pt>
                <pt idx="437">
                  <v>-0.05705566369786973</v>
                </pt>
                <pt idx="438">
                  <v>-0.01090262853364192</v>
                </pt>
                <pt idx="439">
                  <v>-0.01914507745772502</v>
                </pt>
                <pt idx="440">
                  <v>-0.004280783156954331</v>
                </pt>
                <pt idx="441">
                  <v>-0.04715907117086268</v>
                </pt>
                <pt idx="442">
                  <v>0.008690312663852897</v>
                </pt>
                <pt idx="443">
                  <v>0.01485295247713884</v>
                </pt>
                <pt idx="444">
                  <v>0.06014540172439827</v>
                </pt>
                <pt idx="445">
                  <v>0.01100252679907686</v>
                </pt>
                <pt idx="446">
                  <v>-0.01574489581826814</v>
                </pt>
                <pt idx="447">
                  <v>0.03986616271144431</v>
                </pt>
                <pt idx="448">
                  <v>0.06968360574459311</v>
                </pt>
                <pt idx="449">
                  <v>0.0750851080005744</v>
                </pt>
                <pt idx="450">
                  <v>0.06652230049890939</v>
                </pt>
                <pt idx="451">
                  <v>0.05501738467545507</v>
                </pt>
                <pt idx="452">
                  <v>-0.002099579477873645</v>
                </pt>
                <pt idx="453">
                  <v>0.04132846940391171</v>
                </pt>
                <pt idx="454">
                  <v>0.04026271266839547</v>
                </pt>
                <pt idx="455">
                  <v>0.01369644785260382</v>
                </pt>
                <pt idx="456">
                  <v>-0.01868140067384434</v>
                </pt>
                <pt idx="457">
                  <v>0.01285153934643097</v>
                </pt>
                <pt idx="458">
                  <v>0.04070953234897551</v>
                </pt>
                <pt idx="459">
                  <v>-0.006496885626211616</v>
                </pt>
                <pt idx="460">
                  <v>-0.01474241189364037</v>
                </pt>
                <pt idx="461">
                  <v>0.0106665095173553</v>
                </pt>
                <pt idx="462">
                  <v>0.006808238056199517</v>
                </pt>
                <pt idx="463">
                  <v>-0.01120471216696226</v>
                </pt>
                <pt idx="464">
                  <v>0.00936876040354629</v>
                </pt>
                <pt idx="465">
                  <v>-0.01032943970342126</v>
                </pt>
                <pt idx="466">
                  <v>-0.07201661337239676</v>
                </pt>
                <pt idx="467">
                  <v>-0.07814449271172655</v>
                </pt>
                <pt idx="468">
                  <v>-0.05488836883214344</v>
                </pt>
                <pt idx="469">
                  <v>-0.06549208678543177</v>
                </pt>
                <pt idx="470">
                  <v>-0.02808722870290454</v>
                </pt>
                <pt idx="471">
                  <v>0.01929424371402695</v>
                </pt>
                <pt idx="472">
                  <v>-0.01391934803212796</v>
                </pt>
                <pt idx="473">
                  <v>-0.01297376093294468</v>
                </pt>
                <pt idx="474">
                  <v>-0.02312047630165768</v>
                </pt>
                <pt idx="475">
                  <v>-0.02266831169448438</v>
                </pt>
                <pt idx="476">
                  <v>0.008294738573794433</v>
                </pt>
                <pt idx="477">
                  <v>0.005761410878554443</v>
                </pt>
                <pt idx="478">
                  <v>-0.009962757386588212</v>
                </pt>
                <pt idx="479">
                  <v>0.03216209959169922</v>
                </pt>
                <pt idx="480">
                  <v>0.03096568469707156</v>
                </pt>
                <pt idx="481">
                  <v>0.08829428886583679</v>
                </pt>
                <pt idx="482">
                  <v>0.04709987764405464</v>
                </pt>
                <pt idx="483">
                  <v>-0.01769925390113209</v>
                </pt>
                <pt idx="484">
                  <v>-0.007023838756395681</v>
                </pt>
                <pt idx="485">
                  <v>-0.0254566041451287</v>
                </pt>
                <pt idx="486">
                  <v>-0.01671655941220174</v>
                </pt>
                <pt idx="487">
                  <v>0.01305648624798515</v>
                </pt>
                <pt idx="488">
                  <v>0.009627265546188469</v>
                </pt>
                <pt idx="489">
                  <v>0.0317494455002358</v>
                </pt>
                <pt idx="490">
                  <v>0.08855906177812979</v>
                </pt>
                <pt idx="491">
                  <v>0.08270844569416316</v>
                </pt>
                <pt idx="492">
                  <v>0.06654593508870432</v>
                </pt>
                <pt idx="493">
                  <v>0.0204112431249337</v>
                </pt>
                <pt idx="494">
                  <v>-0.00479817100872975</v>
                </pt>
                <pt idx="495">
                  <v>0.01473360115648493</v>
                </pt>
                <pt idx="496">
                  <v>0.008476517986105261</v>
                </pt>
                <pt idx="497">
                  <v>-0.01283093974004714</v>
                </pt>
                <pt idx="498">
                  <v>-0.002037740741040828</v>
                </pt>
                <pt idx="499">
                  <v>0.006668626850923937</v>
                </pt>
                <pt idx="500">
                  <v>-0.001837722682227787</v>
                </pt>
                <pt idx="501">
                  <v>0.01649469674167884</v>
                </pt>
                <pt idx="502">
                  <v>-0.03692892533094209</v>
                </pt>
                <pt idx="503">
                  <v>-0.03632692917953205</v>
                </pt>
                <pt idx="504">
                  <v>0.0224785187001094</v>
                </pt>
                <pt idx="505">
                  <v>-0.003114370089070667</v>
                </pt>
                <pt idx="506">
                  <v>-0.003131737161841134</v>
                </pt>
                <pt idx="507">
                  <v>-0.01296027012614941</v>
                </pt>
                <pt idx="508">
                  <v>0.01238871623954728</v>
                </pt>
                <pt idx="509">
                  <v>0.02852332680036222</v>
                </pt>
                <pt idx="510">
                  <v>0.02320278153276579</v>
                </pt>
                <pt idx="511">
                  <v>0.0113742258393323</v>
                </pt>
                <pt idx="512">
                  <v>-0.009108786173046127</v>
                </pt>
                <pt idx="513">
                  <v>-0.06385119498795963</v>
                </pt>
                <pt idx="514">
                  <v>-0.05479965478979161</v>
                </pt>
                <pt idx="515">
                  <v>-0.02535692683818176</v>
                </pt>
                <pt idx="516">
                  <v>-0.07561026834336358</v>
                </pt>
                <pt idx="517">
                  <v>-0.08579979919236655</v>
                </pt>
                <pt idx="518">
                  <v>-0.001234964260882744</v>
                </pt>
                <pt idx="519">
                  <v>-0.004434627372685168</v>
                </pt>
                <pt idx="520">
                  <v>0.01574077644083656</v>
                </pt>
                <pt idx="521">
                  <v>0.02413815406506704</v>
                </pt>
                <pt idx="522">
                  <v>0.0416149665896001</v>
                </pt>
                <pt idx="523">
                  <v>0.00738097272851403</v>
                </pt>
                <pt idx="524">
                  <v>-0.007910328358327881</v>
                </pt>
                <pt idx="525">
                  <v>-0.006440557908722568</v>
                </pt>
                <pt idx="526">
                  <v>0.07755904895571908</v>
                </pt>
                <pt idx="527">
                  <v>-0.01974857610340073</v>
                </pt>
                <pt idx="528">
                  <v>-0.06630200830182525</v>
                </pt>
                <pt idx="529">
                  <v>0.04643407922825883</v>
                </pt>
                <pt idx="530">
                  <v>-0.0177092372012305</v>
                </pt>
                <pt idx="531">
                  <v>0.008807639628671432</v>
                </pt>
                <pt idx="532">
                  <v>-0.01861918272202131</v>
                </pt>
                <pt idx="533">
                  <v>-0.01452163428139485</v>
                </pt>
                <pt idx="534">
                  <v>-0.05053248217441644</v>
                </pt>
                <pt idx="535">
                  <v>-0.03161173121983898</v>
                </pt>
                <pt idx="536">
                  <v>0.01857581408520279</v>
                </pt>
                <pt idx="537">
                  <v>0.04444378050815856</v>
                </pt>
                <pt idx="538">
                  <v>0.01614501070555976</v>
                </pt>
                <pt idx="539">
                  <v>0.1011924425793742</v>
                </pt>
                <pt idx="540">
                  <v>0.08269978864496978</v>
                </pt>
                <pt idx="541">
                  <v>0.03834855776445983</v>
                </pt>
                <pt idx="542">
                  <v>0.082137121060028</v>
                </pt>
                <pt idx="543">
                  <v>0.03566235836238783</v>
                </pt>
                <pt idx="544">
                  <v>0.03442509954825169</v>
                </pt>
                <pt idx="545">
                  <v>0.02169229904651289</v>
                </pt>
                <pt idx="546">
                  <v>0.04981406226807927</v>
                </pt>
                <pt idx="547">
                  <v>0.051635354509736</v>
                </pt>
                <pt idx="548">
                  <v>0.04663864759161173</v>
                </pt>
                <pt idx="549">
                  <v>0.06386487811470122</v>
                </pt>
                <pt idx="550">
                  <v>-0.01657370107870572</v>
                </pt>
                <pt idx="551">
                  <v>-0.03000888842656269</v>
                </pt>
                <pt idx="552">
                  <v>0.04296533933717718</v>
                </pt>
                <pt idx="553">
                  <v>0.02871213573850558</v>
                </pt>
                <pt idx="554">
                  <v>-0.04536907771155575</v>
                </pt>
                <pt idx="555">
                  <v>-0.002366025824084174</v>
                </pt>
                <pt idx="556">
                  <v>-0.03483743298281126</v>
                </pt>
                <pt idx="557">
                  <v>0.002766629450176991</v>
                </pt>
                <pt idx="558">
                  <v>-0.01474620215556687</v>
                </pt>
                <pt idx="559">
                  <v>0.008307177914932774</v>
                </pt>
                <pt idx="560">
                  <v>-0.01799239837417519</v>
                </pt>
                <pt idx="561">
                  <v>-0.02097492318219489</v>
                </pt>
                <pt idx="562">
                  <v>-0.009700345568754274</v>
                </pt>
                <pt idx="563">
                  <v>-0.05064962546834407</v>
                </pt>
                <pt idx="564">
                  <v>-0.03036853190793522</v>
                </pt>
                <pt idx="565">
                  <v>-0.06782113810476982</v>
                </pt>
                <pt idx="566">
                  <v>-0.02460752723696852</v>
                </pt>
                <pt idx="567">
                  <v>-0.05483102205171115</v>
                </pt>
                <pt idx="568">
                  <v>-0.002303611872690529</v>
                </pt>
                <pt idx="569">
                  <v>0.005811502907195044</v>
                </pt>
                <pt idx="570">
                  <v>-0.007509633080006469</v>
                </pt>
                <pt idx="571">
                  <v>-0.04017761334910932</v>
                </pt>
                <pt idx="572">
                  <v>-0.02237188181645526</v>
                </pt>
                <pt idx="573">
                  <v>-0.06756864260387313</v>
                </pt>
                <pt idx="574">
                  <v>0.01876971794048812</v>
                </pt>
                <pt idx="575">
                  <v>0.02764873309839689</v>
                </pt>
                <pt idx="576">
                  <v>0.05766849930133064</v>
                </pt>
                <pt idx="577">
                  <v>0.02008219370786061</v>
                </pt>
                <pt idx="578">
                  <v>0.01735817778982103</v>
                </pt>
                <pt idx="579">
                  <v>0.03253144655685999</v>
                </pt>
                <pt idx="580">
                  <v>0.0471593381264307</v>
                </pt>
                <pt idx="581">
                  <v>-0.01415156168525192</v>
                </pt>
                <pt idx="582">
                  <v>0.02460245584932348</v>
                </pt>
                <pt idx="583">
                  <v>0.02840821398466896</v>
                </pt>
                <pt idx="584">
                  <v>-0.005883097476331671</v>
                </pt>
                <pt idx="585">
                  <v>0.04751167528982553</v>
                </pt>
                <pt idx="586">
                  <v>-0.03933078024729782</v>
                </pt>
                <pt idx="587">
                  <v>0.06449979242055298</v>
                </pt>
                <pt idx="588">
                  <v>-0.006656885879034287</v>
                </pt>
                <pt idx="589">
                  <v>0.03067092462933275</v>
                </pt>
                <pt idx="590">
                  <v>0.03859418575502144</v>
                </pt>
                <pt idx="591">
                  <v>0.05285925622624836</v>
                </pt>
                <pt idx="592">
                  <v>0.0146739740198493</v>
                </pt>
                <pt idx="593">
                  <v>0.03727603227503271</v>
                </pt>
                <pt idx="594">
                  <v>0.01065714449169511</v>
                </pt>
                <pt idx="595">
                  <v>0.009384517998456887</v>
                </pt>
                <pt idx="596">
                  <v>0.0107205424424715</v>
                </pt>
                <pt idx="597">
                  <v>0.02620678420999554</v>
                </pt>
                <pt idx="598">
                  <v>0.09203956222391525</v>
                </pt>
                <pt idx="599">
                  <v>-0.06547913756621075</v>
                </pt>
                <pt idx="600">
                  <v>-0.05827120097190432</v>
                </pt>
                <pt idx="601">
                  <v>0.04202199490984216</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Utilities!$B$463:$B$622</f>
              <numCache>
                <formatCode>0.0</formatCode>
                <ptCount val="160"/>
                <pt idx="0">
                  <v>101.6906</v>
                </pt>
                <pt idx="1">
                  <v>103.1989</v>
                </pt>
                <pt idx="2">
                  <v>99.7079</v>
                </pt>
                <pt idx="3">
                  <v>96.6383</v>
                </pt>
                <pt idx="4">
                  <v>100.6944</v>
                </pt>
                <pt idx="5">
                  <v>102.6969</v>
                </pt>
                <pt idx="6">
                  <v>101.814</v>
                </pt>
                <pt idx="7">
                  <v>102.0969</v>
                </pt>
                <pt idx="8">
                  <v>102.1356</v>
                </pt>
                <pt idx="9">
                  <v>98.76439999999999</v>
                </pt>
                <pt idx="10">
                  <v>99.9667</v>
                </pt>
                <pt idx="11">
                  <v>105.2646</v>
                </pt>
                <pt idx="12">
                  <v>103.0834</v>
                </pt>
                <pt idx="13">
                  <v>101.271</v>
                </pt>
                <pt idx="14">
                  <v>100.9893</v>
                </pt>
                <pt idx="15">
                  <v>100.5724</v>
                </pt>
                <pt idx="16">
                  <v>100.0402</v>
                </pt>
                <pt idx="17">
                  <v>101.1829</v>
                </pt>
                <pt idx="18">
                  <v>102.9</v>
                </pt>
                <pt idx="19">
                  <v>102.792</v>
                </pt>
                <pt idx="20">
                  <v>100.9912</v>
                </pt>
                <pt idx="21">
                  <v>99.6897</v>
                </pt>
                <pt idx="22">
                  <v>98.9341</v>
                </pt>
                <pt idx="23">
                  <v>97.68380000000001</v>
                </pt>
                <pt idx="24">
                  <v>95.02800000000001</v>
                </pt>
                <pt idx="25">
                  <v>95.7124</v>
                </pt>
                <pt idx="26">
                  <v>94.3753</v>
                </pt>
                <pt idx="27">
                  <v>97.74760000000001</v>
                </pt>
                <pt idx="28">
                  <v>101.9704</v>
                </pt>
                <pt idx="29">
                  <v>99.7745</v>
                </pt>
                <pt idx="30">
                  <v>101.565</v>
                </pt>
                <pt idx="31">
                  <v>100.4154</v>
                </pt>
                <pt idx="32">
                  <v>98.70189999999999</v>
                </pt>
                <pt idx="33">
                  <v>100.5166</v>
                </pt>
                <pt idx="34">
                  <v>99.50409999999999</v>
                </pt>
                <pt idx="35">
                  <v>96.7106</v>
                </pt>
                <pt idx="36">
                  <v>98.0843</v>
                </pt>
                <pt idx="37">
                  <v>98.67619999999999</v>
                </pt>
                <pt idx="38">
                  <v>102.7081</v>
                </pt>
                <pt idx="39">
                  <v>102.3515</v>
                </pt>
                <pt idx="40">
                  <v>100.1656</v>
                </pt>
                <pt idx="41">
                  <v>99.0737</v>
                </pt>
                <pt idx="42">
                  <v>98.9795</v>
                </pt>
                <pt idx="43">
                  <v>98.7368</v>
                </pt>
                <pt idx="44">
                  <v>99.9906</v>
                </pt>
                <pt idx="45">
                  <v>101.4843</v>
                </pt>
                <pt idx="46">
                  <v>102.6633</v>
                </pt>
                <pt idx="47">
                  <v>105.2752</v>
                </pt>
                <pt idx="48">
                  <v>106.1967</v>
                </pt>
                <pt idx="49">
                  <v>105.2427</v>
                </pt>
                <pt idx="50">
                  <v>104.8045</v>
                </pt>
                <pt idx="51">
                  <v>101.8604</v>
                </pt>
                <pt idx="52">
                  <v>101.6414</v>
                </pt>
                <pt idx="53">
                  <v>99.9135</v>
                </pt>
                <pt idx="54">
                  <v>97.70950000000001</v>
                </pt>
                <pt idx="55">
                  <v>98.5356</v>
                </pt>
                <pt idx="56">
                  <v>100.6574</v>
                </pt>
                <pt idx="57">
                  <v>101.2978</v>
                </pt>
                <pt idx="58">
                  <v>104.3567</v>
                </pt>
                <pt idx="59">
                  <v>101.3875</v>
                </pt>
                <pt idx="60">
                  <v>102.3389</v>
                </pt>
                <pt idx="61">
                  <v>107.6084</v>
                </pt>
                <pt idx="62">
                  <v>104.4781</v>
                </pt>
                <pt idx="63">
                  <v>101.5414</v>
                </pt>
                <pt idx="64">
                  <v>100.3241</v>
                </pt>
                <pt idx="65">
                  <v>101.1513</v>
                </pt>
                <pt idx="66">
                  <v>100.4965</v>
                </pt>
                <pt idx="67">
                  <v>100.8219</v>
                </pt>
                <pt idx="68">
                  <v>101.8023</v>
                </pt>
                <pt idx="69">
                  <v>100.3751</v>
                </pt>
                <pt idx="70">
                  <v>97.6934</v>
                </pt>
                <pt idx="71">
                  <v>95.83150000000001</v>
                </pt>
                <pt idx="72">
                  <v>99.7439</v>
                </pt>
                <pt idx="73">
                  <v>99.4721</v>
                </pt>
                <pt idx="74">
                  <v>95.51390000000001</v>
                </pt>
                <pt idx="75">
                  <v>101.416</v>
                </pt>
                <pt idx="76">
                  <v>99.8792</v>
                </pt>
                <pt idx="77">
                  <v>102.7435</v>
                </pt>
                <pt idx="78">
                  <v>102.9223</v>
                </pt>
                <pt idx="79">
                  <v>105.0176</v>
                </pt>
                <pt idx="80">
                  <v>102.5537</v>
                </pt>
                <pt idx="81">
                  <v>99.58110000000001</v>
                </pt>
                <pt idx="82">
                  <v>97.0642</v>
                </pt>
                <pt idx="83">
                  <v>103.2641</v>
                </pt>
                <pt idx="84">
                  <v>97.7741</v>
                </pt>
                <pt idx="85">
                  <v>92.87690000000001</v>
                </pt>
                <pt idx="86">
                  <v>99.949</v>
                </pt>
                <pt idx="87">
                  <v>99.62</v>
                </pt>
                <pt idx="88">
                  <v>100.7589</v>
                </pt>
                <pt idx="89">
                  <v>100.8305</v>
                </pt>
                <pt idx="90">
                  <v>101.4277</v>
                </pt>
                <pt idx="91">
                  <v>99.71080000000001</v>
                </pt>
                <pt idx="92">
                  <v>99.31180000000001</v>
                </pt>
                <pt idx="93">
                  <v>101.4309</v>
                </pt>
                <pt idx="94">
                  <v>101.3781</v>
                </pt>
                <pt idx="95">
                  <v>104.9313</v>
                </pt>
                <pt idx="96">
                  <v>107.6681</v>
                </pt>
                <pt idx="97">
                  <v>100.5578</v>
                </pt>
                <pt idx="98">
                  <v>103.7819</v>
                </pt>
                <pt idx="99">
                  <v>107.8025</v>
                </pt>
                <pt idx="100">
                  <v>104.3522</v>
                </pt>
                <pt idx="101">
                  <v>104.3016</v>
                </pt>
                <pt idx="102">
                  <v>103.6279</v>
                </pt>
                <pt idx="103">
                  <v>104.6778</v>
                </pt>
                <pt idx="104">
                  <v>104.4398</v>
                </pt>
                <pt idx="105">
                  <v>106.1615</v>
                </pt>
                <pt idx="106">
                  <v>107.8526</v>
                </pt>
                <pt idx="107">
                  <v>103.1922</v>
                </pt>
                <pt idx="108">
                  <v>104.4371</v>
                </pt>
                <pt idx="109">
                  <v>104.8783</v>
                </pt>
                <pt idx="110">
                  <v>106.7617</v>
                </pt>
                <pt idx="111">
                  <v>102.9116</v>
                </pt>
                <pt idx="112">
                  <v>104.1053</v>
                </pt>
                <pt idx="113">
                  <v>100.668</v>
                </pt>
                <pt idx="114">
                  <v>103.9146</v>
                </pt>
                <pt idx="115">
                  <v>103.1342</v>
                </pt>
                <pt idx="116">
                  <v>105.3074</v>
                </pt>
                <pt idx="117">
                  <v>104.2514</v>
                </pt>
                <pt idx="118">
                  <v>105.5904</v>
                </pt>
                <pt idx="119">
                  <v>102.1912</v>
                </pt>
                <pt idx="120">
                  <v>99.1474</v>
                </pt>
                <pt idx="121">
                  <v>101.6933</v>
                </pt>
                <pt idx="122">
                  <v>99.521</v>
                </pt>
                <pt idx="123">
                  <v>100.3792</v>
                </pt>
                <pt idx="124">
                  <v>98.39709999999999</v>
                </pt>
                <pt idx="125">
                  <v>100.4361</v>
                </pt>
                <pt idx="126">
                  <v>104.5185</v>
                </pt>
                <pt idx="127">
                  <v>102.3597</v>
                </pt>
                <pt idx="128">
                  <v>101.0764</v>
                </pt>
                <pt idx="129">
                  <v>101.9191</v>
                </pt>
                <pt idx="130">
                  <v>98.4558</v>
                </pt>
                <pt idx="131">
                  <v>104.1093</v>
                </pt>
                <pt idx="132">
                  <v>101.8887</v>
                </pt>
                <pt idx="133">
                  <v>107.5578</v>
                </pt>
                <pt idx="134">
                  <v>101.5196</v>
                </pt>
                <pt idx="135">
                  <v>102.1216</v>
                </pt>
                <pt idx="136">
                  <v>101.5981</v>
                </pt>
                <pt idx="137">
                  <v>105.1726</v>
                </pt>
                <pt idx="138">
                  <v>103.0394</v>
                </pt>
                <pt idx="139">
                  <v>104.878</v>
                </pt>
                <pt idx="140">
                  <v>103.9478</v>
                </pt>
                <pt idx="141">
                  <v>101.3195</v>
                </pt>
                <pt idx="142">
                  <v>103.1336</v>
                </pt>
                <pt idx="143">
                  <v>100.0146</v>
                </pt>
                <pt idx="144">
                  <v>108.4605</v>
                </pt>
                <pt idx="145">
                  <v>106.8418</v>
                </pt>
                <pt idx="146">
                  <v>104.6333</v>
                </pt>
                <pt idx="147">
                  <v>106.0629</v>
                </pt>
                <pt idx="148">
                  <v>106.9685</v>
                </pt>
                <pt idx="149">
                  <v>106.7159</v>
                </pt>
                <pt idx="150">
                  <v>106.8803</v>
                </pt>
                <pt idx="151">
                  <v>105.9957</v>
                </pt>
                <pt idx="152">
                  <v>104.9233</v>
                </pt>
                <pt idx="153">
                  <v>102.4057</v>
                </pt>
                <pt idx="154">
                  <v>105.8364</v>
                </pt>
                <pt idx="155">
                  <v>109.2199</v>
                </pt>
                <pt idx="156">
                  <v>101.3586</v>
                </pt>
                <pt idx="157">
                  <v>100.616</v>
                </pt>
                <pt idx="158">
                  <v>109.0302</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pt idx="158">
                  <v>44986</v>
                </pt>
              </numCache>
            </numRef>
          </cat>
          <val>
            <numRef>
              <f>Utilities!$D$463:$D$624</f>
              <numCache>
                <formatCode>0.0%</formatCode>
                <ptCount val="162"/>
                <pt idx="0">
                  <v>0.01485295247713884</v>
                </pt>
                <pt idx="1">
                  <v>0.06014540172439827</v>
                </pt>
                <pt idx="2">
                  <v>0.01100252679907686</v>
                </pt>
                <pt idx="3">
                  <v>-0.01574489581826814</v>
                </pt>
                <pt idx="4">
                  <v>0.03986616271144431</v>
                </pt>
                <pt idx="5">
                  <v>0.06968360574459311</v>
                </pt>
                <pt idx="6">
                  <v>0.0750851080005744</v>
                </pt>
                <pt idx="7">
                  <v>0.06652230049890939</v>
                </pt>
                <pt idx="8">
                  <v>0.05501738467545507</v>
                </pt>
                <pt idx="9">
                  <v>-0.002099579477873645</v>
                </pt>
                <pt idx="10">
                  <v>0.04132846940391171</v>
                </pt>
                <pt idx="11">
                  <v>0.04026271266839547</v>
                </pt>
                <pt idx="12">
                  <v>0.01369644785260382</v>
                </pt>
                <pt idx="13">
                  <v>-0.01868140067384434</v>
                </pt>
                <pt idx="14">
                  <v>0.01285153934643097</v>
                </pt>
                <pt idx="15">
                  <v>0.04070953234897551</v>
                </pt>
                <pt idx="16">
                  <v>-0.006496885626211616</v>
                </pt>
                <pt idx="17">
                  <v>-0.01474241189364037</v>
                </pt>
                <pt idx="18">
                  <v>0.0106665095173553</v>
                </pt>
                <pt idx="19">
                  <v>0.006808238056199517</v>
                </pt>
                <pt idx="20">
                  <v>-0.01120471216696226</v>
                </pt>
                <pt idx="21">
                  <v>0.00936876040354629</v>
                </pt>
                <pt idx="22">
                  <v>-0.01032943970342126</v>
                </pt>
                <pt idx="23">
                  <v>-0.07201661337239676</v>
                </pt>
                <pt idx="24">
                  <v>-0.07814449271172655</v>
                </pt>
                <pt idx="25">
                  <v>-0.05488836883214344</v>
                </pt>
                <pt idx="26">
                  <v>-0.06549208678543177</v>
                </pt>
                <pt idx="27">
                  <v>-0.02808722870290454</v>
                </pt>
                <pt idx="28">
                  <v>0.01929424371402695</v>
                </pt>
                <pt idx="29">
                  <v>-0.01391934803212796</v>
                </pt>
                <pt idx="30">
                  <v>-0.01297376093294468</v>
                </pt>
                <pt idx="31">
                  <v>-0.02312047630165768</v>
                </pt>
                <pt idx="32">
                  <v>-0.02266831169448438</v>
                </pt>
                <pt idx="33">
                  <v>0.008294738573794433</v>
                </pt>
                <pt idx="34">
                  <v>0.005761410878554443</v>
                </pt>
                <pt idx="35">
                  <v>-0.009962757386588212</v>
                </pt>
                <pt idx="36">
                  <v>0.03216209959169922</v>
                </pt>
                <pt idx="37">
                  <v>0.03096568469707156</v>
                </pt>
                <pt idx="38">
                  <v>0.08829428886583679</v>
                </pt>
                <pt idx="39">
                  <v>0.04709987764405464</v>
                </pt>
                <pt idx="40">
                  <v>-0.01769925390113209</v>
                </pt>
                <pt idx="41">
                  <v>-0.007023838756395681</v>
                </pt>
                <pt idx="42">
                  <v>-0.0254566041451287</v>
                </pt>
                <pt idx="43">
                  <v>-0.01671655941220174</v>
                </pt>
                <pt idx="44">
                  <v>0.01305648624798515</v>
                </pt>
                <pt idx="45">
                  <v>0.009627265546188469</v>
                </pt>
                <pt idx="46">
                  <v>0.0317494455002358</v>
                </pt>
                <pt idx="47">
                  <v>0.08855906177812979</v>
                </pt>
                <pt idx="48">
                  <v>0.08270844569416316</v>
                </pt>
                <pt idx="49">
                  <v>0.06654593508870432</v>
                </pt>
                <pt idx="50">
                  <v>0.0204112431249337</v>
                </pt>
                <pt idx="51">
                  <v>-0.00479817100872975</v>
                </pt>
                <pt idx="52">
                  <v>0.01473360115648493</v>
                </pt>
                <pt idx="53">
                  <v>0.008476517986105261</v>
                </pt>
                <pt idx="54">
                  <v>-0.01283093974004714</v>
                </pt>
                <pt idx="55">
                  <v>-0.002037740741040828</v>
                </pt>
                <pt idx="56">
                  <v>0.006668626850923937</v>
                </pt>
                <pt idx="57">
                  <v>-0.001837722682227787</v>
                </pt>
                <pt idx="58">
                  <v>0.01649469674167884</v>
                </pt>
                <pt idx="59">
                  <v>-0.03692892533094209</v>
                </pt>
                <pt idx="60">
                  <v>-0.03632692917953205</v>
                </pt>
                <pt idx="61">
                  <v>0.0224785187001094</v>
                </pt>
                <pt idx="62">
                  <v>-0.003114370089070667</v>
                </pt>
                <pt idx="63">
                  <v>-0.003131737161841134</v>
                </pt>
                <pt idx="64">
                  <v>-0.01296027012614941</v>
                </pt>
                <pt idx="65">
                  <v>0.01238871623954728</v>
                </pt>
                <pt idx="66">
                  <v>0.02852332680036222</v>
                </pt>
                <pt idx="67">
                  <v>0.02320278153276579</v>
                </pt>
                <pt idx="68">
                  <v>0.0113742258393323</v>
                </pt>
                <pt idx="69">
                  <v>-0.009108786173046127</v>
                </pt>
                <pt idx="70">
                  <v>-0.06385119498795963</v>
                </pt>
                <pt idx="71">
                  <v>-0.05479965478979161</v>
                </pt>
                <pt idx="72">
                  <v>-0.02535692683818176</v>
                </pt>
                <pt idx="73">
                  <v>-0.07561026834336358</v>
                </pt>
                <pt idx="74">
                  <v>-0.08579979919236655</v>
                </pt>
                <pt idx="75">
                  <v>-0.001234964260882744</v>
                </pt>
                <pt idx="76">
                  <v>-0.004434627372685168</v>
                </pt>
                <pt idx="77">
                  <v>0.01574077644083656</v>
                </pt>
                <pt idx="78">
                  <v>0.02413815406506704</v>
                </pt>
                <pt idx="79">
                  <v>0.0416149665896001</v>
                </pt>
                <pt idx="80">
                  <v>0.00738097272851403</v>
                </pt>
                <pt idx="81">
                  <v>-0.007910328358327881</v>
                </pt>
                <pt idx="82">
                  <v>-0.006440557908722568</v>
                </pt>
                <pt idx="83">
                  <v>0.07755904895571908</v>
                </pt>
                <pt idx="84">
                  <v>-0.01974857610340073</v>
                </pt>
                <pt idx="85">
                  <v>-0.06630200830182525</v>
                </pt>
                <pt idx="86">
                  <v>0.04643407922825883</v>
                </pt>
                <pt idx="87">
                  <v>-0.0177092372012305</v>
                </pt>
                <pt idx="88">
                  <v>0.008807639628671432</v>
                </pt>
                <pt idx="89">
                  <v>-0.01861918272202131</v>
                </pt>
                <pt idx="90">
                  <v>-0.01452163428139485</v>
                </pt>
                <pt idx="91">
                  <v>-0.05053248217441644</v>
                </pt>
                <pt idx="92">
                  <v>-0.03161173121983898</v>
                </pt>
                <pt idx="93">
                  <v>0.01857581408520279</v>
                </pt>
                <pt idx="94">
                  <v>0.04444378050815856</v>
                </pt>
                <pt idx="95">
                  <v>0.01614501070555976</v>
                </pt>
                <pt idx="96">
                  <v>0.1011924425793742</v>
                </pt>
                <pt idx="97">
                  <v>0.08269978864496978</v>
                </pt>
                <pt idx="98">
                  <v>0.03834855776445983</v>
                </pt>
                <pt idx="99">
                  <v>0.082137121060028</v>
                </pt>
                <pt idx="100">
                  <v>0.03566235836238783</v>
                </pt>
                <pt idx="101">
                  <v>0.03442509954825169</v>
                </pt>
                <pt idx="102">
                  <v>0.02169229904651289</v>
                </pt>
                <pt idx="103">
                  <v>0.04981406226807927</v>
                </pt>
                <pt idx="104">
                  <v>0.051635354509736</v>
                </pt>
                <pt idx="105">
                  <v>0.04663864759161173</v>
                </pt>
                <pt idx="106">
                  <v>0.06386487811470122</v>
                </pt>
                <pt idx="107">
                  <v>-0.01657370107870572</v>
                </pt>
                <pt idx="108">
                  <v>-0.03000888842656269</v>
                </pt>
                <pt idx="109">
                  <v>0.04296533933717718</v>
                </pt>
                <pt idx="110">
                  <v>0.02871213573850558</v>
                </pt>
                <pt idx="111">
                  <v>-0.04536907771155575</v>
                </pt>
                <pt idx="112">
                  <v>-0.002366025824084174</v>
                </pt>
                <pt idx="113">
                  <v>-0.03483743298281126</v>
                </pt>
                <pt idx="114">
                  <v>0.002766629450176991</v>
                </pt>
                <pt idx="115">
                  <v>-0.01474620215556687</v>
                </pt>
                <pt idx="116">
                  <v>0.008307177914932774</v>
                </pt>
                <pt idx="117">
                  <v>-0.01799239837417519</v>
                </pt>
                <pt idx="118">
                  <v>-0.02097492318219489</v>
                </pt>
                <pt idx="119">
                  <v>-0.009700345568754274</v>
                </pt>
                <pt idx="120">
                  <v>-0.05064962546834407</v>
                </pt>
                <pt idx="121">
                  <v>-0.03036853190793522</v>
                </pt>
                <pt idx="122">
                  <v>-0.06782113810476982</v>
                </pt>
                <pt idx="123">
                  <v>-0.02460752723696852</v>
                </pt>
                <pt idx="124">
                  <v>-0.05483102205171115</v>
                </pt>
                <pt idx="125">
                  <v>-0.002303611872690529</v>
                </pt>
                <pt idx="126">
                  <v>0.005811502907195044</v>
                </pt>
                <pt idx="127">
                  <v>-0.007509633080006469</v>
                </pt>
                <pt idx="128">
                  <v>-0.04017761334910932</v>
                </pt>
                <pt idx="129">
                  <v>-0.02237188181645526</v>
                </pt>
                <pt idx="130">
                  <v>-0.06756864260387313</v>
                </pt>
                <pt idx="131">
                  <v>0.01876971794048812</v>
                </pt>
                <pt idx="132">
                  <v>0.02764873309839689</v>
                </pt>
                <pt idx="133">
                  <v>0.05766849930133064</v>
                </pt>
                <pt idx="134">
                  <v>0.02008219370786061</v>
                </pt>
                <pt idx="135">
                  <v>0.01735817778982103</v>
                </pt>
                <pt idx="136">
                  <v>0.03253144655685999</v>
                </pt>
                <pt idx="137">
                  <v>0.0471593381264307</v>
                </pt>
                <pt idx="138">
                  <v>-0.01415156168525192</v>
                </pt>
                <pt idx="139">
                  <v>0.02460245584932348</v>
                </pt>
                <pt idx="140">
                  <v>0.02840821398466896</v>
                </pt>
                <pt idx="141">
                  <v>-0.005883097476331671</v>
                </pt>
                <pt idx="142">
                  <v>0.04751167528982553</v>
                </pt>
                <pt idx="143">
                  <v>-0.03933078024729782</v>
                </pt>
                <pt idx="144">
                  <v>0.06449979242055298</v>
                </pt>
                <pt idx="145">
                  <v>-0.006656885879034287</v>
                </pt>
                <pt idx="146">
                  <v>0.03067092462933275</v>
                </pt>
                <pt idx="147">
                  <v>0.03859418575502144</v>
                </pt>
                <pt idx="148">
                  <v>0.05285925622624836</v>
                </pt>
                <pt idx="149">
                  <v>0.0146739740198493</v>
                </pt>
                <pt idx="150">
                  <v>0.03727603227503271</v>
                </pt>
                <pt idx="151">
                  <v>0.01065714449169511</v>
                </pt>
                <pt idx="152">
                  <v>0.009384517998456887</v>
                </pt>
                <pt idx="153">
                  <v>0.0107205424424715</v>
                </pt>
                <pt idx="154">
                  <v>0.02620678420999554</v>
                </pt>
                <pt idx="155">
                  <v>0.09203956222391525</v>
                </pt>
                <pt idx="156">
                  <v>-0.06547913756621075</v>
                </pt>
                <pt idx="157">
                  <v>-0.05827120097190432</v>
                </pt>
                <pt idx="158">
                  <v>0.04202199490984216</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s>
</file>

<file path=xl/drawings/_rels/drawing4.xml.rels><Relationships xmlns="http://schemas.openxmlformats.org/package/2006/relationships"><Relationship Type="http://schemas.openxmlformats.org/officeDocument/2006/relationships/chart" Target="/xl/charts/chart8.xml" Id="rId1"/><Relationship Type="http://schemas.openxmlformats.org/officeDocument/2006/relationships/chart" Target="/xl/charts/chart9.xml" Id="rId2"/></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 Type="http://schemas.openxmlformats.org/officeDocument/2006/relationships/chart" Target="/xl/charts/chart13.xml" Id="rId4"/></Relationships>
</file>

<file path=xl/drawings/_rels/drawing6.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 Type="http://schemas.openxmlformats.org/officeDocument/2006/relationships/chart" Target="/xl/charts/chart16.xml" Id="rId3"/><Relationship Type="http://schemas.openxmlformats.org/officeDocument/2006/relationships/chart" Target="/xl/charts/chart17.xml" Id="rId4"/></Relationships>
</file>

<file path=xl/drawings/_rels/drawing7.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 Type="http://schemas.openxmlformats.org/officeDocument/2006/relationships/chart" Target="/xl/charts/chart20.xml" Id="rId3"/><Relationship Type="http://schemas.openxmlformats.org/officeDocument/2006/relationships/chart" Target="/xl/charts/chart21.xml" Id="rId4"/></Relationships>
</file>

<file path=xl/drawings/_rels/drawing8.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 Type="http://schemas.openxmlformats.org/officeDocument/2006/relationships/chart" Target="/xl/charts/chart24.xml" Id="rId3"/><Relationship Type="http://schemas.openxmlformats.org/officeDocument/2006/relationships/chart" Target="/xl/charts/chart25.xml" Id="rId4"/></Relationships>
</file>

<file path=xl/drawings/_rels/drawing9.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 Type="http://schemas.openxmlformats.org/officeDocument/2006/relationships/chart" Target="/xl/charts/chart28.xml" Id="rId3"/><Relationship Type="http://schemas.openxmlformats.org/officeDocument/2006/relationships/chart" Target="/xl/charts/chart29.xml" Id="rId4"/></Relationships>
</file>

<file path=xl/drawings/_rels/drawing10.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 Type="http://schemas.openxmlformats.org/officeDocument/2006/relationships/chart" Target="/xl/charts/chart32.xml" Id="rId3"/><Relationship Type="http://schemas.openxmlformats.org/officeDocument/2006/relationships/chart" Target="/xl/charts/chart33.xml" Id="rId4"/></Relationships>
</file>

<file path=xl/drawings/_rels/drawing11.xml.rels><Relationships xmlns="http://schemas.openxmlformats.org/package/2006/relationships"><Relationship Type="http://schemas.openxmlformats.org/officeDocument/2006/relationships/chart" Target="/xl/charts/chart34.xml" Id="rId1"/><Relationship Type="http://schemas.openxmlformats.org/officeDocument/2006/relationships/chart" Target="/xl/charts/chart35.xml" Id="rId2"/><Relationship Type="http://schemas.openxmlformats.org/officeDocument/2006/relationships/chart" Target="/xl/charts/chart36.xml" Id="rId3"/><Relationship Type="http://schemas.openxmlformats.org/officeDocument/2006/relationships/chart" Target="/xl/charts/chart37.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221190</colOff>
      <row>576</row>
      <rowOff>64030</rowOff>
    </from>
    <to>
      <col>14</col>
      <colOff>539750</colOff>
      <row>599</row>
      <rowOff>134938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216957</colOff>
      <row>600</row>
      <rowOff>47094</rowOff>
    </from>
    <to>
      <col>14</col>
      <colOff>523876</colOff>
      <row>622</row>
      <rowOff>96838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92603</colOff>
      <row>576</row>
      <rowOff>46565</rowOff>
    </from>
    <to>
      <col>26</col>
      <colOff>298979</colOff>
      <row>599</row>
      <rowOff>131762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82550</colOff>
      <row>600</row>
      <rowOff>33866</rowOff>
    </from>
    <to>
      <col>26</col>
      <colOff>260351</colOff>
      <row>622</row>
      <rowOff>119064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205578</colOff>
      <row>582</row>
      <rowOff>166688</rowOff>
    </from>
    <to>
      <col>14</col>
      <colOff>455612</colOff>
      <row>603</row>
      <rowOff>98426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230981</colOff>
      <row>604</row>
      <rowOff>34130</rowOff>
    </from>
    <to>
      <col>14</col>
      <colOff>439737</colOff>
      <row>624</row>
      <rowOff>139699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556419</colOff>
      <row>604</row>
      <rowOff>76201</rowOff>
    </from>
    <to>
      <col>25</col>
      <colOff>593196</colOff>
      <row>624</row>
      <rowOff>144993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580230</colOff>
      <row>582</row>
      <rowOff>177800</rowOff>
    </from>
    <to>
      <col>25</col>
      <colOff>552979</colOff>
      <row>603</row>
      <rowOff>161925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7" headerRowCount="1" totalsRowShown="0" headerRowDxfId="70" dataDxfId="68" headerRowBorderDxfId="69">
  <autoFilter ref="A6:D1257"/>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21" headerRowCount="1" totalsRowShown="0" headerRowDxfId="63" dataDxfId="61" headerRowBorderDxfId="62" tableBorderDxfId="60">
  <autoFilter ref="A6:D621"/>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80" headerRowCount="1" totalsRowShown="0" headerRowDxfId="55" dataDxfId="53" headerRowBorderDxfId="54">
  <autoFilter ref="A5:C680"/>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21" headerRowCount="1" totalsRowShown="0" headerRowDxfId="49" dataDxfId="47" headerRowBorderDxfId="48" tableBorderDxfId="46">
  <autoFilter ref="A6:D621"/>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21" headerRowCount="1" totalsRowShown="0" headerRowBorderDxfId="41" tableBorderDxfId="40">
  <autoFilter ref="A6:D621"/>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21" headerRowCount="1" totalsRowShown="0" headerRowBorderDxfId="35" tableBorderDxfId="34">
  <autoFilter ref="A6:D621"/>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21" headerRowCount="1" totalsRowShown="0" headerRowBorderDxfId="29" tableBorderDxfId="28">
  <autoFilter ref="A6:D621"/>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21" headerRowCount="1" totalsRowShown="0" headerRowBorderDxfId="23" tableBorderDxfId="22">
  <autoFilter ref="A6:D621"/>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21" headerRowCount="1" totalsRowShown="0" headerRowDxfId="17" dataDxfId="15" headerRowBorderDxfId="16" tableBorderDxfId="14">
  <autoFilter ref="A6:D621"/>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21" headerRowCount="1" totalsRowShown="0" headerRowDxfId="9" dataDxfId="7" headerRowBorderDxfId="8" tableBorderDxfId="6">
  <autoFilter ref="A6:D621"/>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70" zoomScaleNormal="70" workbookViewId="0">
      <selection activeCell="Z14" sqref="Z14"/>
    </sheetView>
  </sheetViews>
  <sheetFormatPr baseColWidth="8" defaultColWidth="9.1796875" defaultRowHeight="14.5"/>
  <cols>
    <col width="9.1796875" customWidth="1" style="88" min="1" max="1"/>
    <col width="12.81640625" customWidth="1" style="88" min="2" max="10"/>
    <col width="3" customWidth="1" style="88" min="11" max="13"/>
    <col width="19" customWidth="1" style="88" min="14" max="14"/>
    <col width="9.1796875" customWidth="1" style="88" min="15" max="15"/>
    <col width="12.36328125" customWidth="1" style="88" min="16" max="19"/>
    <col width="9.1796875" customWidth="1" style="88" min="20" max="47"/>
    <col width="9.1796875" customWidth="1" style="88" min="48" max="16384"/>
  </cols>
  <sheetData>
    <row r="1">
      <c r="B1" s="87" t="n"/>
    </row>
    <row r="2" ht="16" customHeight="1" thickBot="1">
      <c r="B2" s="89" t="n"/>
      <c r="C2" s="89" t="n"/>
      <c r="D2" s="89" t="n"/>
      <c r="E2" s="89" t="n"/>
      <c r="F2" s="89" t="n"/>
      <c r="G2" s="89" t="n"/>
      <c r="H2" s="89" t="n"/>
      <c r="I2" s="89" t="n"/>
      <c r="J2" s="89" t="n"/>
    </row>
    <row r="3" ht="16" customHeight="1" thickBot="1">
      <c r="B3" s="90" t="inlineStr">
        <is>
          <t>Industrial Production and Capacity Utilization</t>
        </is>
      </c>
      <c r="C3" s="91" t="n"/>
      <c r="D3" s="91" t="n"/>
      <c r="E3" s="91" t="n"/>
      <c r="F3" s="91" t="n"/>
      <c r="G3" s="91" t="n"/>
      <c r="H3" s="91" t="n"/>
      <c r="I3" s="91" t="n"/>
      <c r="J3" s="92" t="n"/>
    </row>
    <row r="5">
      <c r="B5" s="82" t="inlineStr">
        <is>
          <t>Definition</t>
        </is>
      </c>
      <c r="C5" s="83" t="n"/>
      <c r="D5" s="83" t="n"/>
      <c r="E5" s="83" t="n"/>
      <c r="F5" s="83" t="n"/>
      <c r="G5" s="83" t="n"/>
      <c r="H5" s="83" t="n"/>
      <c r="I5" s="83" t="n"/>
      <c r="J5" s="84" t="n"/>
    </row>
    <row r="7" ht="245.25" customHeight="1">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c r="B8" s="94" t="inlineStr">
        <is>
          <t>https://www.federalreserve.gov/releases/g17/About.htm</t>
        </is>
      </c>
    </row>
    <row r="9" ht="15" customHeight="1">
      <c r="B9" s="2" t="inlineStr">
        <is>
          <t>https://www.federalreserve.gov/releases/g17/download.htm</t>
        </is>
      </c>
    </row>
    <row r="10" ht="15" customHeight="1">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thickBot="1"/>
    <row r="14">
      <c r="B14" s="82" t="inlineStr">
        <is>
          <t>TO DO LIST</t>
        </is>
      </c>
      <c r="C14" s="83" t="n"/>
      <c r="D14" s="83" t="n"/>
      <c r="E14" s="83" t="n"/>
      <c r="F14" s="84" t="n"/>
      <c r="G14" s="82" t="inlineStr">
        <is>
          <t>Comments</t>
        </is>
      </c>
      <c r="H14" s="83" t="n"/>
      <c r="I14" s="83" t="n"/>
      <c r="J14" s="84" t="n"/>
      <c r="P14" s="41" t="n">
        <v>44986</v>
      </c>
      <c r="Q14" s="42" t="n"/>
    </row>
    <row r="15" ht="16" customHeight="1" thickBot="1">
      <c r="P15" s="43" t="inlineStr">
        <is>
          <t>mom</t>
        </is>
      </c>
      <c r="Q15" s="43" t="inlineStr">
        <is>
          <t>yoy</t>
        </is>
      </c>
    </row>
    <row r="16" ht="16" customHeight="1">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8" t="inlineStr">
        <is>
          <t>INDPRO</t>
        </is>
      </c>
    </row>
    <row r="17">
      <c r="B17" s="88" t="inlineStr">
        <is>
          <t>Manufacturing</t>
        </is>
      </c>
      <c r="D17" s="88" t="inlineStr">
        <is>
          <t>https://fred.stlouisfed.org/series/IPMAN</t>
        </is>
      </c>
      <c r="I17" s="11" t="n">
        <v>2447752</v>
      </c>
      <c r="J17" s="25" t="n">
        <v>0.725968397007331</v>
      </c>
      <c r="N17" s="78" t="inlineStr">
        <is>
          <t>Manufacturing</t>
        </is>
      </c>
      <c r="O17" s="79"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c r="B18" s="88" t="inlineStr">
        <is>
          <t>Mining</t>
        </is>
      </c>
      <c r="D18" s="88" t="inlineStr">
        <is>
          <t>https://fred.stlouisfed.org/series/IPMINE</t>
        </is>
      </c>
      <c r="G18" s="96" t="n"/>
      <c r="H18" s="96" t="n"/>
      <c r="I18" s="23" t="n">
        <v>608173</v>
      </c>
      <c r="J18" s="26" t="n">
        <v>0.1803754538503654</v>
      </c>
      <c r="N18" s="78" t="inlineStr">
        <is>
          <t>Mining</t>
        </is>
      </c>
      <c r="O18" s="79"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c r="B19" s="88" t="inlineStr">
        <is>
          <t>Utilities</t>
        </is>
      </c>
      <c r="D19" s="88" t="inlineStr">
        <is>
          <t>https://fred.stlouisfed.org/series/IPUTIL</t>
        </is>
      </c>
      <c r="G19" s="96" t="n"/>
      <c r="H19" s="96" t="n"/>
      <c r="I19" s="23" t="n">
        <v>315781</v>
      </c>
      <c r="J19" s="26" t="n">
        <v>0.09365614914230364</v>
      </c>
      <c r="N19" s="78" t="inlineStr">
        <is>
          <t>Utilities</t>
        </is>
      </c>
      <c r="O19" s="79"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c r="B20" s="88" t="inlineStr">
        <is>
          <t>Industrial Production Index</t>
        </is>
      </c>
      <c r="D20" s="88" t="inlineStr">
        <is>
          <t>https://fred.stlouisfed.org/series/INDPRO</t>
        </is>
      </c>
      <c r="G20" s="52" t="n"/>
      <c r="H20" s="52" t="n"/>
      <c r="I20" s="24" t="n">
        <v>3371706</v>
      </c>
      <c r="J20" s="27" t="n">
        <v>1</v>
      </c>
      <c r="N20" s="78" t="inlineStr">
        <is>
          <t>Materials</t>
        </is>
      </c>
      <c r="O20" s="79"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8" t="inlineStr">
        <is>
          <t>IPMAT</t>
        </is>
      </c>
    </row>
    <row r="21" ht="15.75" customHeight="1">
      <c r="G21" s="96" t="n"/>
      <c r="N21" s="78" t="inlineStr">
        <is>
          <t>Consumer Goods</t>
        </is>
      </c>
      <c r="O21" s="79"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8" t="inlineStr">
        <is>
          <t>IPCONGD</t>
        </is>
      </c>
    </row>
    <row r="22" ht="15.75" customHeight="1">
      <c r="B22" s="1" t="inlineStr">
        <is>
          <t>Major Market Groups</t>
        </is>
      </c>
      <c r="I22" s="11" t="n"/>
      <c r="J22" s="12" t="inlineStr">
        <is>
          <t>Weight</t>
        </is>
      </c>
      <c r="N22" s="78" t="inlineStr">
        <is>
          <t>Business Equipment</t>
        </is>
      </c>
      <c r="O22" s="79"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8" t="inlineStr">
        <is>
          <t>IPBUSEQ</t>
        </is>
      </c>
    </row>
    <row r="23" ht="17.25" customHeight="1" thickBot="1">
      <c r="B23" s="88" t="inlineStr">
        <is>
          <t>Industrial Production Index</t>
        </is>
      </c>
      <c r="D23" s="88" t="inlineStr">
        <is>
          <t>https://fred.stlouisfed.org/series/INDPRO</t>
        </is>
      </c>
      <c r="I23" s="11" t="n">
        <v>3371706</v>
      </c>
      <c r="J23" s="25" t="n">
        <v>1</v>
      </c>
      <c r="N23" s="80" t="inlineStr">
        <is>
          <t>Construction supplies</t>
        </is>
      </c>
      <c r="O23" s="81"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8" t="inlineStr">
        <is>
          <t>IPB54100S</t>
        </is>
      </c>
    </row>
    <row r="24" ht="15.75" customHeight="1">
      <c r="B24" s="88" t="inlineStr">
        <is>
          <t>Materials</t>
        </is>
      </c>
      <c r="D24" s="88" t="inlineStr">
        <is>
          <t>https://fred.stlouisfed.org/series/IPMAT</t>
        </is>
      </c>
      <c r="G24" s="96" t="n"/>
      <c r="H24" s="96" t="n"/>
      <c r="I24" s="23" t="n">
        <v>1624304</v>
      </c>
      <c r="J24" s="26" t="n">
        <v>0.4817</v>
      </c>
    </row>
    <row r="25" ht="15.75" customHeight="1">
      <c r="B25" s="88" t="inlineStr">
        <is>
          <t>Consumer Goods</t>
        </is>
      </c>
      <c r="D25" s="88" t="inlineStr">
        <is>
          <t>https://fred.stlouisfed.org/series/IPCONGD</t>
        </is>
      </c>
      <c r="G25" s="96" t="n"/>
      <c r="H25" s="96" t="n"/>
      <c r="I25" s="23" t="n">
        <v>850761</v>
      </c>
      <c r="J25" s="26" t="n">
        <v>0.2523</v>
      </c>
    </row>
    <row r="26" ht="15.75" customHeight="1">
      <c r="B26" s="88" t="inlineStr">
        <is>
          <t>Others</t>
        </is>
      </c>
      <c r="G26" s="52" t="n"/>
      <c r="H26" s="52" t="n"/>
      <c r="I26" s="24" t="n">
        <v>423708</v>
      </c>
      <c r="J26" s="27" t="n">
        <v>0.1258</v>
      </c>
    </row>
    <row r="27" ht="15.75" customHeight="1" thickBot="1">
      <c r="B27" s="88" t="inlineStr">
        <is>
          <t>Business Equipment</t>
        </is>
      </c>
      <c r="D27" s="88" t="inlineStr">
        <is>
          <t>https://fred.stlouisfed.org/series/IPBUSEQ</t>
        </is>
      </c>
      <c r="G27" s="53" t="n"/>
      <c r="H27" s="53" t="n"/>
      <c r="I27" s="24" t="n">
        <v>333915</v>
      </c>
      <c r="J27" s="27" t="n">
        <v>0.099</v>
      </c>
    </row>
    <row r="28" ht="15.75" customHeight="1" thickBot="1">
      <c r="B28" s="88" t="inlineStr">
        <is>
          <t>Construction supplies</t>
        </is>
      </c>
      <c r="D28" s="88" t="inlineStr">
        <is>
          <t>https://fred.stlouisfed.org/series/IPB54100S</t>
        </is>
      </c>
      <c r="G28" s="53" t="n"/>
      <c r="H28" s="53" t="n"/>
      <c r="I28" s="24" t="n">
        <v>139018</v>
      </c>
      <c r="J28" s="27" t="n">
        <v>0.0412</v>
      </c>
      <c r="N28" s="42">
        <f>DATE(YEAR($P$14),MONTH($P$14)-1,DAY($P$14))</f>
        <v/>
      </c>
    </row>
    <row r="29" ht="15.75" customHeight="1" thickBot="1">
      <c r="B29" s="88" t="n"/>
      <c r="G29" s="96" t="inlineStr">
        <is>
          <t xml:space="preserve"> = Final Products + Materials</t>
        </is>
      </c>
      <c r="N29" s="50">
        <f>DATE(YEAR($P$14)-1,MONTH($P$14),DAY($P$14))</f>
        <v/>
      </c>
    </row>
    <row r="30">
      <c r="G30" s="96" t="inlineStr">
        <is>
          <t>Materials = Materials ex. Energy Materials + Energy Materials</t>
        </is>
      </c>
    </row>
    <row r="32">
      <c r="B32" s="1" t="inlineStr">
        <is>
          <t>Capacity Utilization</t>
        </is>
      </c>
      <c r="D32" s="94" t="inlineStr">
        <is>
          <t>https://fred.stlouisfed.org/series/TCU</t>
        </is>
      </c>
    </row>
    <row r="34">
      <c r="B34" s="1" t="n"/>
    </row>
    <row r="35" ht="33.75" customHeight="1">
      <c r="B35" s="95"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54"/>
  <sheetViews>
    <sheetView zoomScale="70" zoomScaleNormal="70" workbookViewId="0">
      <pane ySplit="1" topLeftCell="A1221" activePane="bottomLeft" state="frozen"/>
      <selection activeCell="K1265" sqref="K1265"/>
      <selection pane="bottomLeft" activeCell="K1265" sqref="K1265"/>
    </sheetView>
  </sheetViews>
  <sheetFormatPr baseColWidth="8" defaultColWidth="8.81640625" defaultRowHeight="14.5"/>
  <cols>
    <col width="12.6328125" customWidth="1" min="1" max="1"/>
    <col width="11.6328125" customWidth="1" min="2" max="9"/>
    <col width="10.6328125" customWidth="1" min="10" max="10"/>
    <col width="9.1796875" customWidth="1" min="11" max="256"/>
    <col width="12.6328125" customWidth="1" min="257" max="257"/>
    <col width="11.6328125" customWidth="1" min="258" max="265"/>
    <col width="10.6328125" customWidth="1" min="266" max="266"/>
    <col width="9.1796875" customWidth="1" min="267" max="512"/>
    <col width="12.6328125" customWidth="1" min="513" max="513"/>
    <col width="11.6328125" customWidth="1" min="514" max="521"/>
    <col width="10.6328125" customWidth="1" min="522" max="522"/>
    <col width="9.1796875" customWidth="1" min="523" max="768"/>
    <col width="12.6328125" customWidth="1" min="769" max="769"/>
    <col width="11.6328125" customWidth="1" min="770" max="777"/>
    <col width="10.6328125" customWidth="1" min="778" max="778"/>
    <col width="9.1796875" customWidth="1" min="779" max="1024"/>
    <col width="12.6328125" customWidth="1" min="1025" max="1025"/>
    <col width="11.6328125" customWidth="1" min="1026" max="1033"/>
    <col width="10.6328125" customWidth="1" min="1034" max="1034"/>
    <col width="9.1796875" customWidth="1" min="1035" max="1280"/>
    <col width="12.6328125" customWidth="1" min="1281" max="1281"/>
    <col width="11.6328125" customWidth="1" min="1282" max="1289"/>
    <col width="10.6328125" customWidth="1" min="1290" max="1290"/>
    <col width="9.1796875" customWidth="1" min="1291" max="1536"/>
    <col width="12.6328125" customWidth="1" min="1537" max="1537"/>
    <col width="11.6328125" customWidth="1" min="1538" max="1545"/>
    <col width="10.6328125" customWidth="1" min="1546" max="1546"/>
    <col width="9.1796875" customWidth="1" min="1547" max="1792"/>
    <col width="12.6328125" customWidth="1" min="1793" max="1793"/>
    <col width="11.6328125" customWidth="1" min="1794" max="1801"/>
    <col width="10.6328125" customWidth="1" min="1802" max="1802"/>
    <col width="9.1796875" customWidth="1" min="1803" max="2048"/>
    <col width="12.6328125" customWidth="1" min="2049" max="2049"/>
    <col width="11.6328125" customWidth="1" min="2050" max="2057"/>
    <col width="10.6328125" customWidth="1" min="2058" max="2058"/>
    <col width="9.1796875" customWidth="1" min="2059" max="2304"/>
    <col width="12.6328125" customWidth="1" min="2305" max="2305"/>
    <col width="11.6328125" customWidth="1" min="2306" max="2313"/>
    <col width="10.6328125" customWidth="1" min="2314" max="2314"/>
    <col width="9.1796875" customWidth="1" min="2315" max="2560"/>
    <col width="12.6328125" customWidth="1" min="2561" max="2561"/>
    <col width="11.6328125" customWidth="1" min="2562" max="2569"/>
    <col width="10.6328125" customWidth="1" min="2570" max="2570"/>
    <col width="9.1796875" customWidth="1" min="2571" max="2816"/>
    <col width="12.6328125" customWidth="1" min="2817" max="2817"/>
    <col width="11.6328125" customWidth="1" min="2818" max="2825"/>
    <col width="10.6328125" customWidth="1" min="2826" max="2826"/>
    <col width="9.1796875" customWidth="1" min="2827" max="3072"/>
    <col width="12.6328125" customWidth="1" min="3073" max="3073"/>
    <col width="11.6328125" customWidth="1" min="3074" max="3081"/>
    <col width="10.6328125" customWidth="1" min="3082" max="3082"/>
    <col width="9.1796875" customWidth="1" min="3083" max="3328"/>
    <col width="12.6328125" customWidth="1" min="3329" max="3329"/>
    <col width="11.6328125" customWidth="1" min="3330" max="3337"/>
    <col width="10.6328125" customWidth="1" min="3338" max="3338"/>
    <col width="9.1796875" customWidth="1" min="3339" max="3584"/>
    <col width="12.6328125" customWidth="1" min="3585" max="3585"/>
    <col width="11.6328125" customWidth="1" min="3586" max="3593"/>
    <col width="10.6328125" customWidth="1" min="3594" max="3594"/>
    <col width="9.1796875" customWidth="1" min="3595" max="3840"/>
    <col width="12.6328125" customWidth="1" min="3841" max="3841"/>
    <col width="11.6328125" customWidth="1" min="3842" max="3849"/>
    <col width="10.6328125" customWidth="1" min="3850" max="3850"/>
    <col width="9.1796875" customWidth="1" min="3851" max="4096"/>
    <col width="12.6328125" customWidth="1" min="4097" max="4097"/>
    <col width="11.6328125" customWidth="1" min="4098" max="4105"/>
    <col width="10.6328125" customWidth="1" min="4106" max="4106"/>
    <col width="9.1796875" customWidth="1" min="4107" max="4352"/>
    <col width="12.6328125" customWidth="1" min="4353" max="4353"/>
    <col width="11.6328125" customWidth="1" min="4354" max="4361"/>
    <col width="10.6328125" customWidth="1" min="4362" max="4362"/>
    <col width="9.1796875" customWidth="1" min="4363" max="4608"/>
    <col width="12.6328125" customWidth="1" min="4609" max="4609"/>
    <col width="11.6328125" customWidth="1" min="4610" max="4617"/>
    <col width="10.6328125" customWidth="1" min="4618" max="4618"/>
    <col width="9.1796875" customWidth="1" min="4619" max="4864"/>
    <col width="12.6328125" customWidth="1" min="4865" max="4865"/>
    <col width="11.6328125" customWidth="1" min="4866" max="4873"/>
    <col width="10.6328125" customWidth="1" min="4874" max="4874"/>
    <col width="9.1796875" customWidth="1" min="4875" max="5120"/>
    <col width="12.6328125" customWidth="1" min="5121" max="5121"/>
    <col width="11.6328125" customWidth="1" min="5122" max="5129"/>
    <col width="10.6328125" customWidth="1" min="5130" max="5130"/>
    <col width="9.1796875" customWidth="1" min="5131" max="5376"/>
    <col width="12.6328125" customWidth="1" min="5377" max="5377"/>
    <col width="11.6328125" customWidth="1" min="5378" max="5385"/>
    <col width="10.6328125" customWidth="1" min="5386" max="5386"/>
    <col width="9.1796875" customWidth="1" min="5387" max="5632"/>
    <col width="12.6328125" customWidth="1" min="5633" max="5633"/>
    <col width="11.6328125" customWidth="1" min="5634" max="5641"/>
    <col width="10.6328125" customWidth="1" min="5642" max="5642"/>
    <col width="9.1796875" customWidth="1" min="5643" max="5888"/>
    <col width="12.6328125" customWidth="1" min="5889" max="5889"/>
    <col width="11.6328125" customWidth="1" min="5890" max="5897"/>
    <col width="10.6328125" customWidth="1" min="5898" max="5898"/>
    <col width="9.1796875" customWidth="1" min="5899" max="6144"/>
    <col width="12.6328125" customWidth="1" min="6145" max="6145"/>
    <col width="11.6328125" customWidth="1" min="6146" max="6153"/>
    <col width="10.6328125" customWidth="1" min="6154" max="6154"/>
    <col width="9.1796875" customWidth="1" min="6155" max="6400"/>
    <col width="12.6328125" customWidth="1" min="6401" max="6401"/>
    <col width="11.6328125" customWidth="1" min="6402" max="6409"/>
    <col width="10.6328125" customWidth="1" min="6410" max="6410"/>
    <col width="9.1796875" customWidth="1" min="6411" max="6656"/>
    <col width="12.6328125" customWidth="1" min="6657" max="6657"/>
    <col width="11.6328125" customWidth="1" min="6658" max="6665"/>
    <col width="10.6328125" customWidth="1" min="6666" max="6666"/>
    <col width="9.1796875" customWidth="1" min="6667" max="6912"/>
    <col width="12.6328125" customWidth="1" min="6913" max="6913"/>
    <col width="11.6328125" customWidth="1" min="6914" max="6921"/>
    <col width="10.6328125" customWidth="1" min="6922" max="6922"/>
    <col width="9.1796875" customWidth="1" min="6923" max="7168"/>
    <col width="12.6328125" customWidth="1" min="7169" max="7169"/>
    <col width="11.6328125" customWidth="1" min="7170" max="7177"/>
    <col width="10.6328125" customWidth="1" min="7178" max="7178"/>
    <col width="9.1796875" customWidth="1" min="7179" max="7424"/>
    <col width="12.6328125" customWidth="1" min="7425" max="7425"/>
    <col width="11.6328125" customWidth="1" min="7426" max="7433"/>
    <col width="10.6328125" customWidth="1" min="7434" max="7434"/>
    <col width="9.1796875" customWidth="1" min="7435" max="7680"/>
    <col width="12.6328125" customWidth="1" min="7681" max="7681"/>
    <col width="11.6328125" customWidth="1" min="7682" max="7689"/>
    <col width="10.6328125" customWidth="1" min="7690" max="7690"/>
    <col width="9.1796875" customWidth="1" min="7691" max="7936"/>
    <col width="12.6328125" customWidth="1" min="7937" max="7937"/>
    <col width="11.6328125" customWidth="1" min="7938" max="7945"/>
    <col width="10.6328125" customWidth="1" min="7946" max="7946"/>
    <col width="9.1796875" customWidth="1" min="7947" max="8192"/>
    <col width="12.6328125" customWidth="1" min="8193" max="8193"/>
    <col width="11.6328125" customWidth="1" min="8194" max="8201"/>
    <col width="10.6328125" customWidth="1" min="8202" max="8202"/>
    <col width="9.1796875" customWidth="1" min="8203" max="8448"/>
    <col width="12.6328125" customWidth="1" min="8449" max="8449"/>
    <col width="11.6328125" customWidth="1" min="8450" max="8457"/>
    <col width="10.6328125" customWidth="1" min="8458" max="8458"/>
    <col width="9.1796875" customWidth="1" min="8459" max="8704"/>
    <col width="12.6328125" customWidth="1" min="8705" max="8705"/>
    <col width="11.6328125" customWidth="1" min="8706" max="8713"/>
    <col width="10.6328125" customWidth="1" min="8714" max="8714"/>
    <col width="9.1796875" customWidth="1" min="8715" max="8960"/>
    <col width="12.6328125" customWidth="1" min="8961" max="8961"/>
    <col width="11.6328125" customWidth="1" min="8962" max="8969"/>
    <col width="10.6328125" customWidth="1" min="8970" max="8970"/>
    <col width="9.1796875" customWidth="1" min="8971" max="9216"/>
    <col width="12.6328125" customWidth="1" min="9217" max="9217"/>
    <col width="11.6328125" customWidth="1" min="9218" max="9225"/>
    <col width="10.6328125" customWidth="1" min="9226" max="9226"/>
    <col width="9.1796875" customWidth="1" min="9227" max="9472"/>
    <col width="12.6328125" customWidth="1" min="9473" max="9473"/>
    <col width="11.6328125" customWidth="1" min="9474" max="9481"/>
    <col width="10.6328125" customWidth="1" min="9482" max="9482"/>
    <col width="9.1796875" customWidth="1" min="9483" max="9728"/>
    <col width="12.6328125" customWidth="1" min="9729" max="9729"/>
    <col width="11.6328125" customWidth="1" min="9730" max="9737"/>
    <col width="10.6328125" customWidth="1" min="9738" max="9738"/>
    <col width="9.1796875" customWidth="1" min="9739" max="9984"/>
    <col width="12.6328125" customWidth="1" min="9985" max="9985"/>
    <col width="11.6328125" customWidth="1" min="9986" max="9993"/>
    <col width="10.6328125" customWidth="1" min="9994" max="9994"/>
    <col width="9.1796875" customWidth="1" min="9995" max="10240"/>
    <col width="12.6328125" customWidth="1" min="10241" max="10241"/>
    <col width="11.6328125" customWidth="1" min="10242" max="10249"/>
    <col width="10.6328125" customWidth="1" min="10250" max="10250"/>
    <col width="9.1796875" customWidth="1" min="10251" max="10496"/>
    <col width="12.6328125" customWidth="1" min="10497" max="10497"/>
    <col width="11.6328125" customWidth="1" min="10498" max="10505"/>
    <col width="10.6328125" customWidth="1" min="10506" max="10506"/>
    <col width="9.1796875" customWidth="1" min="10507" max="10752"/>
    <col width="12.6328125" customWidth="1" min="10753" max="10753"/>
    <col width="11.6328125" customWidth="1" min="10754" max="10761"/>
    <col width="10.6328125" customWidth="1" min="10762" max="10762"/>
    <col width="9.1796875" customWidth="1" min="10763" max="11008"/>
    <col width="12.6328125" customWidth="1" min="11009" max="11009"/>
    <col width="11.6328125" customWidth="1" min="11010" max="11017"/>
    <col width="10.6328125" customWidth="1" min="11018" max="11018"/>
    <col width="9.1796875" customWidth="1" min="11019" max="11264"/>
    <col width="12.6328125" customWidth="1" min="11265" max="11265"/>
    <col width="11.6328125" customWidth="1" min="11266" max="11273"/>
    <col width="10.6328125" customWidth="1" min="11274" max="11274"/>
    <col width="9.1796875" customWidth="1" min="11275" max="11520"/>
    <col width="12.6328125" customWidth="1" min="11521" max="11521"/>
    <col width="11.6328125" customWidth="1" min="11522" max="11529"/>
    <col width="10.6328125" customWidth="1" min="11530" max="11530"/>
    <col width="9.1796875" customWidth="1" min="11531" max="11776"/>
    <col width="12.6328125" customWidth="1" min="11777" max="11777"/>
    <col width="11.6328125" customWidth="1" min="11778" max="11785"/>
    <col width="10.6328125" customWidth="1" min="11786" max="11786"/>
    <col width="9.1796875" customWidth="1" min="11787" max="12032"/>
    <col width="12.6328125" customWidth="1" min="12033" max="12033"/>
    <col width="11.6328125" customWidth="1" min="12034" max="12041"/>
    <col width="10.6328125" customWidth="1" min="12042" max="12042"/>
    <col width="9.1796875" customWidth="1" min="12043" max="12288"/>
    <col width="12.6328125" customWidth="1" min="12289" max="12289"/>
    <col width="11.6328125" customWidth="1" min="12290" max="12297"/>
    <col width="10.6328125" customWidth="1" min="12298" max="12298"/>
    <col width="9.1796875" customWidth="1" min="12299" max="12544"/>
    <col width="12.6328125" customWidth="1" min="12545" max="12545"/>
    <col width="11.6328125" customWidth="1" min="12546" max="12553"/>
    <col width="10.6328125" customWidth="1" min="12554" max="12554"/>
    <col width="9.1796875" customWidth="1" min="12555" max="12800"/>
    <col width="12.6328125" customWidth="1" min="12801" max="12801"/>
    <col width="11.6328125" customWidth="1" min="12802" max="12809"/>
    <col width="10.6328125" customWidth="1" min="12810" max="12810"/>
    <col width="9.1796875" customWidth="1" min="12811" max="13056"/>
    <col width="12.6328125" customWidth="1" min="13057" max="13057"/>
    <col width="11.6328125" customWidth="1" min="13058" max="13065"/>
    <col width="10.6328125" customWidth="1" min="13066" max="13066"/>
    <col width="9.1796875" customWidth="1" min="13067" max="13312"/>
    <col width="12.6328125" customWidth="1" min="13313" max="13313"/>
    <col width="11.6328125" customWidth="1" min="13314" max="13321"/>
    <col width="10.6328125" customWidth="1" min="13322" max="13322"/>
    <col width="9.1796875" customWidth="1" min="13323" max="13568"/>
    <col width="12.6328125" customWidth="1" min="13569" max="13569"/>
    <col width="11.6328125" customWidth="1" min="13570" max="13577"/>
    <col width="10.6328125" customWidth="1" min="13578" max="13578"/>
    <col width="9.1796875" customWidth="1" min="13579" max="13824"/>
    <col width="12.6328125" customWidth="1" min="13825" max="13825"/>
    <col width="11.6328125" customWidth="1" min="13826" max="13833"/>
    <col width="10.6328125" customWidth="1" min="13834" max="13834"/>
    <col width="9.1796875" customWidth="1" min="13835" max="14080"/>
    <col width="12.6328125" customWidth="1" min="14081" max="14081"/>
    <col width="11.6328125" customWidth="1" min="14082" max="14089"/>
    <col width="10.6328125" customWidth="1" min="14090" max="14090"/>
    <col width="9.1796875" customWidth="1" min="14091" max="14336"/>
    <col width="12.6328125" customWidth="1" min="14337" max="14337"/>
    <col width="11.6328125" customWidth="1" min="14338" max="14345"/>
    <col width="10.6328125" customWidth="1" min="14346" max="14346"/>
    <col width="9.1796875" customWidth="1" min="14347" max="14592"/>
    <col width="12.6328125" customWidth="1" min="14593" max="14593"/>
    <col width="11.6328125" customWidth="1" min="14594" max="14601"/>
    <col width="10.6328125" customWidth="1" min="14602" max="14602"/>
    <col width="9.1796875" customWidth="1" min="14603" max="14848"/>
    <col width="12.6328125" customWidth="1" min="14849" max="14849"/>
    <col width="11.6328125" customWidth="1" min="14850" max="14857"/>
    <col width="10.6328125" customWidth="1" min="14858" max="14858"/>
    <col width="9.1796875" customWidth="1" min="14859" max="15104"/>
    <col width="12.6328125" customWidth="1" min="15105" max="15105"/>
    <col width="11.6328125" customWidth="1" min="15106" max="15113"/>
    <col width="10.6328125" customWidth="1" min="15114" max="15114"/>
    <col width="9.1796875" customWidth="1" min="15115" max="15360"/>
    <col width="12.6328125" customWidth="1" min="15361" max="15361"/>
    <col width="11.6328125" customWidth="1" min="15362" max="15369"/>
    <col width="10.6328125" customWidth="1" min="15370" max="15370"/>
    <col width="9.1796875" customWidth="1" min="15371" max="15616"/>
    <col width="12.6328125" customWidth="1" min="15617" max="15617"/>
    <col width="11.6328125" customWidth="1" min="15618" max="15625"/>
    <col width="10.6328125" customWidth="1" min="15626" max="15626"/>
    <col width="9.1796875" customWidth="1" min="15627" max="15872"/>
    <col width="12.6328125" customWidth="1" min="15873" max="15873"/>
    <col width="11.6328125" customWidth="1" min="15874" max="15881"/>
    <col width="10.6328125" customWidth="1" min="15882" max="15882"/>
    <col width="9.1796875" customWidth="1" min="15883" max="16128"/>
    <col width="12.6328125" customWidth="1" min="16129" max="16129"/>
    <col width="11.6328125" customWidth="1" min="16130" max="16137"/>
    <col width="10.6328125" customWidth="1" min="16138" max="16138"/>
    <col width="9.1796875" customWidth="1"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4.8665</v>
      </c>
      <c r="C2" t="n">
        <v/>
      </c>
      <c r="D2" t="n">
        <v/>
      </c>
      <c r="E2" t="n">
        <v/>
      </c>
      <c r="F2" t="n">
        <v/>
      </c>
      <c r="G2" t="n">
        <v/>
      </c>
      <c r="H2" t="n">
        <v>23.5594</v>
      </c>
      <c r="I2" t="n">
        <v/>
      </c>
      <c r="J2" t="n">
        <v/>
      </c>
      <c r="K2" t="n">
        <v/>
      </c>
    </row>
    <row r="3">
      <c r="A3" s="98" t="n">
        <v>6972</v>
      </c>
      <c r="B3" t="n">
        <v>4.6514</v>
      </c>
      <c r="C3" t="n">
        <v/>
      </c>
      <c r="D3" t="n">
        <v/>
      </c>
      <c r="E3" t="n">
        <v/>
      </c>
      <c r="F3" t="n">
        <v/>
      </c>
      <c r="G3" t="n">
        <v/>
      </c>
      <c r="H3" t="n">
        <v>20.8119</v>
      </c>
      <c r="I3" t="n">
        <v/>
      </c>
      <c r="J3" t="n">
        <v/>
      </c>
      <c r="K3" t="n">
        <v/>
      </c>
    </row>
    <row r="4">
      <c r="A4" s="98" t="n">
        <v>7000</v>
      </c>
      <c r="B4" t="n">
        <v>4.517</v>
      </c>
      <c r="C4" t="n">
        <v/>
      </c>
      <c r="D4" t="n">
        <v/>
      </c>
      <c r="E4" t="n">
        <v/>
      </c>
      <c r="F4" t="n">
        <v/>
      </c>
      <c r="G4" t="n">
        <v/>
      </c>
      <c r="H4" t="n">
        <v>19.8503</v>
      </c>
      <c r="I4" t="n">
        <v/>
      </c>
      <c r="J4" t="n">
        <v/>
      </c>
      <c r="K4" t="n">
        <v/>
      </c>
    </row>
    <row r="5">
      <c r="A5" s="98" t="n">
        <v>7031</v>
      </c>
      <c r="B5" t="n">
        <v>4.5976</v>
      </c>
      <c r="C5" t="n">
        <v/>
      </c>
      <c r="D5" t="n">
        <v/>
      </c>
      <c r="E5" t="n">
        <v/>
      </c>
      <c r="F5" t="n">
        <v/>
      </c>
      <c r="G5" t="n">
        <v/>
      </c>
      <c r="H5" t="n">
        <v>21.224</v>
      </c>
      <c r="I5" t="n">
        <v/>
      </c>
      <c r="J5" t="n">
        <v/>
      </c>
      <c r="K5" t="n">
        <v/>
      </c>
    </row>
    <row r="6">
      <c r="A6" s="98" t="n">
        <v>7061</v>
      </c>
      <c r="B6" t="n">
        <v>4.6245</v>
      </c>
      <c r="C6" t="n">
        <v/>
      </c>
      <c r="D6" t="n">
        <v/>
      </c>
      <c r="E6" t="n">
        <v/>
      </c>
      <c r="F6" t="n">
        <v/>
      </c>
      <c r="G6" t="n">
        <v/>
      </c>
      <c r="H6" t="n">
        <v>22.117</v>
      </c>
      <c r="I6" t="n">
        <v/>
      </c>
      <c r="J6" t="n">
        <v/>
      </c>
      <c r="K6" t="n">
        <v/>
      </c>
    </row>
    <row r="7">
      <c r="A7" s="98" t="n">
        <v>7092</v>
      </c>
      <c r="B7" t="n">
        <v>4.9203</v>
      </c>
      <c r="C7" t="n">
        <v/>
      </c>
      <c r="D7" t="n">
        <v/>
      </c>
      <c r="E7" t="n">
        <v/>
      </c>
      <c r="F7" t="n">
        <v/>
      </c>
      <c r="G7" t="n">
        <v/>
      </c>
      <c r="H7" t="n">
        <v>22.7352</v>
      </c>
      <c r="I7" t="n">
        <v/>
      </c>
      <c r="J7" t="n">
        <v/>
      </c>
      <c r="K7" t="n">
        <v/>
      </c>
    </row>
    <row r="8">
      <c r="A8" s="98" t="n">
        <v>7122</v>
      </c>
      <c r="B8" t="n">
        <v>5.216</v>
      </c>
      <c r="C8" t="n">
        <v/>
      </c>
      <c r="D8" t="n">
        <v/>
      </c>
      <c r="E8" t="n">
        <v/>
      </c>
      <c r="F8" t="n">
        <v/>
      </c>
      <c r="G8" t="n">
        <v/>
      </c>
      <c r="H8" t="n">
        <v>24.1089</v>
      </c>
      <c r="I8" t="n">
        <v/>
      </c>
      <c r="J8" t="n">
        <v/>
      </c>
      <c r="K8" t="n">
        <v/>
      </c>
    </row>
    <row r="9">
      <c r="A9" s="98" t="n">
        <v>7153</v>
      </c>
      <c r="B9" t="n">
        <v>5.2967</v>
      </c>
      <c r="C9" t="n">
        <v/>
      </c>
      <c r="D9" t="n">
        <v/>
      </c>
      <c r="E9" t="n">
        <v/>
      </c>
      <c r="F9" t="n">
        <v/>
      </c>
      <c r="G9" t="n">
        <v/>
      </c>
      <c r="H9" t="n">
        <v>23.422</v>
      </c>
      <c r="I9" t="n">
        <v/>
      </c>
      <c r="J9" t="n">
        <v/>
      </c>
      <c r="K9" t="n">
        <v/>
      </c>
    </row>
    <row r="10">
      <c r="A10" s="98" t="n">
        <v>7184</v>
      </c>
      <c r="B10" t="n">
        <v>5.1891</v>
      </c>
      <c r="C10" t="n">
        <v/>
      </c>
      <c r="D10" t="n">
        <v/>
      </c>
      <c r="E10" t="n">
        <v/>
      </c>
      <c r="F10" t="n">
        <v/>
      </c>
      <c r="G10" t="n">
        <v/>
      </c>
      <c r="H10" t="n">
        <v>25.2765</v>
      </c>
      <c r="I10" t="n">
        <v/>
      </c>
      <c r="J10" t="n">
        <v/>
      </c>
      <c r="K10" t="n">
        <v/>
      </c>
    </row>
    <row r="11">
      <c r="A11" s="98" t="n">
        <v>7214</v>
      </c>
      <c r="B11" t="n">
        <v>5.1354</v>
      </c>
      <c r="C11" t="n">
        <v/>
      </c>
      <c r="D11" t="n">
        <v/>
      </c>
      <c r="E11" t="n">
        <v/>
      </c>
      <c r="F11" t="n">
        <v/>
      </c>
      <c r="G11" t="n">
        <v/>
      </c>
      <c r="H11" t="n">
        <v>26.0321</v>
      </c>
      <c r="I11" t="n">
        <v/>
      </c>
      <c r="J11" t="n">
        <v/>
      </c>
      <c r="K11" t="n">
        <v/>
      </c>
    </row>
    <row r="12">
      <c r="A12" s="98" t="n">
        <v>7245</v>
      </c>
      <c r="B12" t="n">
        <v>5.0547</v>
      </c>
      <c r="C12" t="n">
        <v/>
      </c>
      <c r="D12" t="n">
        <v/>
      </c>
      <c r="E12" t="n">
        <v/>
      </c>
      <c r="F12" t="n">
        <v/>
      </c>
      <c r="G12" t="n">
        <v/>
      </c>
      <c r="H12" t="n">
        <v>18.7514</v>
      </c>
      <c r="I12" t="n">
        <v/>
      </c>
      <c r="J12" t="n">
        <v/>
      </c>
      <c r="K12" t="n">
        <v/>
      </c>
    </row>
    <row r="13">
      <c r="A13" s="98" t="n">
        <v>7275</v>
      </c>
      <c r="B13" t="n">
        <v>5.1354</v>
      </c>
      <c r="C13" t="n">
        <v/>
      </c>
      <c r="D13" t="n">
        <v/>
      </c>
      <c r="E13" t="n">
        <v/>
      </c>
      <c r="F13" t="n">
        <v/>
      </c>
      <c r="G13" t="n">
        <v/>
      </c>
      <c r="H13" t="n">
        <v>22.9412</v>
      </c>
      <c r="I13" t="n">
        <v/>
      </c>
      <c r="J13" t="n">
        <v/>
      </c>
      <c r="K13" t="n">
        <v/>
      </c>
    </row>
    <row r="14">
      <c r="A14" s="98" t="n">
        <v>7306</v>
      </c>
      <c r="B14" t="n">
        <v>5.6193</v>
      </c>
      <c r="C14" t="n">
        <v/>
      </c>
      <c r="D14" t="n">
        <v/>
      </c>
      <c r="E14" t="n">
        <v/>
      </c>
      <c r="F14" t="n">
        <v/>
      </c>
      <c r="G14" t="n">
        <v/>
      </c>
      <c r="H14" t="n">
        <v>25.62</v>
      </c>
      <c r="I14" t="n">
        <v/>
      </c>
      <c r="J14" t="n">
        <v/>
      </c>
      <c r="K14" t="n">
        <v/>
      </c>
    </row>
    <row r="15">
      <c r="A15" s="98" t="n">
        <v>7337</v>
      </c>
      <c r="B15" t="n">
        <v>5.6193</v>
      </c>
      <c r="C15" t="n">
        <v/>
      </c>
      <c r="D15" t="n">
        <v/>
      </c>
      <c r="E15" t="n">
        <v/>
      </c>
      <c r="F15" t="n">
        <v/>
      </c>
      <c r="G15" t="n">
        <v/>
      </c>
      <c r="H15" t="n">
        <v>25.2765</v>
      </c>
      <c r="I15" t="n">
        <v/>
      </c>
      <c r="J15" t="n">
        <v/>
      </c>
      <c r="K15" t="n">
        <v/>
      </c>
    </row>
    <row r="16">
      <c r="A16" s="98" t="n">
        <v>7366</v>
      </c>
      <c r="B16" t="n">
        <v>5.5118</v>
      </c>
      <c r="C16" t="n">
        <v/>
      </c>
      <c r="D16" t="n">
        <v/>
      </c>
      <c r="E16" t="n">
        <v/>
      </c>
      <c r="F16" t="n">
        <v/>
      </c>
      <c r="G16" t="n">
        <v/>
      </c>
      <c r="H16" t="n">
        <v>25.8947</v>
      </c>
      <c r="I16" t="n">
        <v/>
      </c>
      <c r="J16" t="n">
        <v/>
      </c>
      <c r="K16" t="n">
        <v/>
      </c>
    </row>
    <row r="17">
      <c r="A17" s="98" t="n">
        <v>7397</v>
      </c>
      <c r="B17" t="n">
        <v>5.216</v>
      </c>
      <c r="C17" t="n">
        <v/>
      </c>
      <c r="D17" t="n">
        <v/>
      </c>
      <c r="E17" t="n">
        <v/>
      </c>
      <c r="F17" t="n">
        <v/>
      </c>
      <c r="G17" t="n">
        <v/>
      </c>
      <c r="H17" t="n">
        <v>24.3836</v>
      </c>
      <c r="I17" t="n">
        <v/>
      </c>
      <c r="J17" t="n">
        <v/>
      </c>
      <c r="K17" t="n">
        <v/>
      </c>
    </row>
    <row r="18">
      <c r="A18" s="98" t="n">
        <v>7427</v>
      </c>
      <c r="B18" t="n">
        <v>5.3505</v>
      </c>
      <c r="C18" t="n">
        <v/>
      </c>
      <c r="D18" t="n">
        <v/>
      </c>
      <c r="E18" t="n">
        <v/>
      </c>
      <c r="F18" t="n">
        <v/>
      </c>
      <c r="G18" t="n">
        <v/>
      </c>
      <c r="H18" t="n">
        <v>25.2765</v>
      </c>
      <c r="I18" t="n">
        <v/>
      </c>
      <c r="J18" t="n">
        <v/>
      </c>
      <c r="K18" t="n">
        <v/>
      </c>
    </row>
    <row r="19">
      <c r="A19" s="98" t="n">
        <v>7458</v>
      </c>
      <c r="B19" t="n">
        <v>5.4042</v>
      </c>
      <c r="C19" t="n">
        <v/>
      </c>
      <c r="D19" t="n">
        <v/>
      </c>
      <c r="E19" t="n">
        <v/>
      </c>
      <c r="F19" t="n">
        <v/>
      </c>
      <c r="G19" t="n">
        <v/>
      </c>
      <c r="H19" t="n">
        <v>26.3755</v>
      </c>
      <c r="I19" t="n">
        <v/>
      </c>
      <c r="J19" t="n">
        <v/>
      </c>
      <c r="K19" t="n">
        <v/>
      </c>
    </row>
    <row r="20">
      <c r="A20" s="98" t="n">
        <v>7488</v>
      </c>
      <c r="B20" t="n">
        <v>5.2698</v>
      </c>
      <c r="C20" t="n">
        <v/>
      </c>
      <c r="D20" t="n">
        <v/>
      </c>
      <c r="E20" t="n">
        <v/>
      </c>
      <c r="F20" t="n">
        <v/>
      </c>
      <c r="G20" t="n">
        <v/>
      </c>
      <c r="H20" t="n">
        <v>26.2382</v>
      </c>
      <c r="I20" t="n">
        <v/>
      </c>
      <c r="J20" t="n">
        <v/>
      </c>
      <c r="K20" t="n">
        <v/>
      </c>
    </row>
    <row r="21">
      <c r="A21" s="98" t="n">
        <v>7519</v>
      </c>
      <c r="B21" t="n">
        <v>5.2967</v>
      </c>
      <c r="C21" t="n">
        <v/>
      </c>
      <c r="D21" t="n">
        <v/>
      </c>
      <c r="E21" t="n">
        <v/>
      </c>
      <c r="F21" t="n">
        <v/>
      </c>
      <c r="G21" t="n">
        <v/>
      </c>
      <c r="H21" t="n">
        <v>27.1311</v>
      </c>
      <c r="I21" t="n">
        <v/>
      </c>
      <c r="J21" t="n">
        <v/>
      </c>
      <c r="K21" t="n">
        <v/>
      </c>
    </row>
    <row r="22">
      <c r="A22" s="98" t="n">
        <v>7550</v>
      </c>
      <c r="B22" t="n">
        <v>5.1085</v>
      </c>
      <c r="C22" t="n">
        <v/>
      </c>
      <c r="D22" t="n">
        <v/>
      </c>
      <c r="E22" t="n">
        <v/>
      </c>
      <c r="F22" t="n">
        <v/>
      </c>
      <c r="G22" t="n">
        <v/>
      </c>
      <c r="H22" t="n">
        <v>25.2765</v>
      </c>
      <c r="I22" t="n">
        <v/>
      </c>
      <c r="J22" t="n">
        <v/>
      </c>
      <c r="K22" t="n">
        <v/>
      </c>
    </row>
    <row r="23">
      <c r="A23" s="98" t="n">
        <v>7580</v>
      </c>
      <c r="B23" t="n">
        <v>4.8934</v>
      </c>
      <c r="C23" t="n">
        <v/>
      </c>
      <c r="D23" t="n">
        <v/>
      </c>
      <c r="E23" t="n">
        <v/>
      </c>
      <c r="F23" t="n">
        <v/>
      </c>
      <c r="G23" t="n">
        <v/>
      </c>
      <c r="H23" t="n">
        <v>27.1998</v>
      </c>
      <c r="I23" t="n">
        <v/>
      </c>
      <c r="J23" t="n">
        <v/>
      </c>
      <c r="K23" t="n">
        <v/>
      </c>
    </row>
    <row r="24">
      <c r="A24" s="98" t="n">
        <v>7611</v>
      </c>
      <c r="B24" t="n">
        <v>4.4901</v>
      </c>
      <c r="C24" t="n">
        <v/>
      </c>
      <c r="D24" t="n">
        <v/>
      </c>
      <c r="E24" t="n">
        <v/>
      </c>
      <c r="F24" t="n">
        <v/>
      </c>
      <c r="G24" t="n">
        <v/>
      </c>
      <c r="H24" t="n">
        <v>27.9553</v>
      </c>
      <c r="I24" t="n">
        <v/>
      </c>
      <c r="J24" t="n">
        <v/>
      </c>
      <c r="K24" t="n">
        <v/>
      </c>
    </row>
    <row r="25">
      <c r="A25" s="98" t="n">
        <v>7641</v>
      </c>
      <c r="B25" t="n">
        <v>4.2212</v>
      </c>
      <c r="C25" t="n">
        <v/>
      </c>
      <c r="D25" t="n">
        <v/>
      </c>
      <c r="E25" t="n">
        <v/>
      </c>
      <c r="F25" t="n">
        <v/>
      </c>
      <c r="G25" t="n">
        <v/>
      </c>
      <c r="H25" t="n">
        <v>28.23</v>
      </c>
      <c r="I25" t="n">
        <v/>
      </c>
      <c r="J25" t="n">
        <v/>
      </c>
      <c r="K25" t="n">
        <v/>
      </c>
    </row>
    <row r="26">
      <c r="A26" s="98" t="n">
        <v>7672</v>
      </c>
      <c r="B26" t="n">
        <v>3.9792</v>
      </c>
      <c r="C26" t="n">
        <v/>
      </c>
      <c r="D26" t="n">
        <v/>
      </c>
      <c r="E26" t="n">
        <v/>
      </c>
      <c r="F26" t="n">
        <v/>
      </c>
      <c r="G26" t="n">
        <v/>
      </c>
      <c r="H26" t="n">
        <v>24.3149</v>
      </c>
      <c r="I26" t="n">
        <v/>
      </c>
      <c r="J26" t="n">
        <v/>
      </c>
      <c r="K26" t="n">
        <v/>
      </c>
    </row>
    <row r="27">
      <c r="A27" s="98" t="n">
        <v>7703</v>
      </c>
      <c r="B27" t="n">
        <v>3.8986</v>
      </c>
      <c r="C27" t="n">
        <v/>
      </c>
      <c r="D27" t="n">
        <v/>
      </c>
      <c r="E27" t="n">
        <v/>
      </c>
      <c r="F27" t="n">
        <v/>
      </c>
      <c r="G27" t="n">
        <v/>
      </c>
      <c r="H27" t="n">
        <v>23.0786</v>
      </c>
      <c r="I27" t="n">
        <v/>
      </c>
      <c r="J27" t="n">
        <v/>
      </c>
      <c r="K27" t="n">
        <v/>
      </c>
    </row>
    <row r="28">
      <c r="A28" s="98" t="n">
        <v>7731</v>
      </c>
      <c r="B28" t="n">
        <v>3.791</v>
      </c>
      <c r="C28" t="n">
        <v/>
      </c>
      <c r="D28" t="n">
        <v/>
      </c>
      <c r="E28" t="n">
        <v/>
      </c>
      <c r="F28" t="n">
        <v/>
      </c>
      <c r="G28" t="n">
        <v/>
      </c>
      <c r="H28" t="n">
        <v>21.4988</v>
      </c>
      <c r="I28" t="n">
        <v/>
      </c>
      <c r="J28" t="n">
        <v/>
      </c>
      <c r="K28" t="n">
        <v/>
      </c>
    </row>
    <row r="29">
      <c r="A29" s="98" t="n">
        <v>7762</v>
      </c>
      <c r="B29" t="n">
        <v>3.791</v>
      </c>
      <c r="C29" t="n">
        <v/>
      </c>
      <c r="D29" t="n">
        <v/>
      </c>
      <c r="E29" t="n">
        <v/>
      </c>
      <c r="F29" t="n">
        <v/>
      </c>
      <c r="G29" t="n">
        <v/>
      </c>
      <c r="H29" t="n">
        <v>21.4988</v>
      </c>
      <c r="I29" t="n">
        <v/>
      </c>
      <c r="J29" t="n">
        <v/>
      </c>
      <c r="K29" t="n">
        <v/>
      </c>
    </row>
    <row r="30">
      <c r="A30" s="98" t="n">
        <v>7792</v>
      </c>
      <c r="B30" t="n">
        <v>3.8986</v>
      </c>
      <c r="C30" t="n">
        <v/>
      </c>
      <c r="D30" t="n">
        <v/>
      </c>
      <c r="E30" t="n">
        <v/>
      </c>
      <c r="F30" t="n">
        <v/>
      </c>
      <c r="G30" t="n">
        <v/>
      </c>
      <c r="H30" t="n">
        <v>21.9109</v>
      </c>
      <c r="I30" t="n">
        <v/>
      </c>
      <c r="J30" t="n">
        <v/>
      </c>
      <c r="K30" t="n">
        <v/>
      </c>
    </row>
    <row r="31">
      <c r="A31" s="98" t="n">
        <v>7823</v>
      </c>
      <c r="B31" t="n">
        <v>3.8717</v>
      </c>
      <c r="C31" t="n">
        <v/>
      </c>
      <c r="D31" t="n">
        <v/>
      </c>
      <c r="E31" t="n">
        <v/>
      </c>
      <c r="F31" t="n">
        <v/>
      </c>
      <c r="G31" t="n">
        <v/>
      </c>
      <c r="H31" t="n">
        <v>21.0867</v>
      </c>
      <c r="I31" t="n">
        <v/>
      </c>
      <c r="J31" t="n">
        <v/>
      </c>
      <c r="K31" t="n">
        <v/>
      </c>
    </row>
    <row r="32">
      <c r="A32" s="98" t="n">
        <v>7853</v>
      </c>
      <c r="B32" t="n">
        <v>3.8448</v>
      </c>
      <c r="C32" t="n">
        <v/>
      </c>
      <c r="D32" t="n">
        <v/>
      </c>
      <c r="E32" t="n">
        <v/>
      </c>
      <c r="F32" t="n">
        <v/>
      </c>
      <c r="G32" t="n">
        <v/>
      </c>
      <c r="H32" t="n">
        <v>20.1937</v>
      </c>
      <c r="I32" t="n">
        <v/>
      </c>
      <c r="J32" t="n">
        <v/>
      </c>
      <c r="K32" t="n">
        <v/>
      </c>
    </row>
    <row r="33">
      <c r="A33" s="98" t="n">
        <v>7884</v>
      </c>
      <c r="B33" t="n">
        <v>3.9792</v>
      </c>
      <c r="C33" t="n">
        <v/>
      </c>
      <c r="D33" t="n">
        <v/>
      </c>
      <c r="E33" t="n">
        <v/>
      </c>
      <c r="F33" t="n">
        <v/>
      </c>
      <c r="G33" t="n">
        <v/>
      </c>
      <c r="H33" t="n">
        <v>20.3998</v>
      </c>
      <c r="I33" t="n">
        <v/>
      </c>
      <c r="J33" t="n">
        <v/>
      </c>
      <c r="K33" t="n">
        <v/>
      </c>
    </row>
    <row r="34">
      <c r="A34" s="98" t="n">
        <v>7915</v>
      </c>
      <c r="B34" t="n">
        <v>4.0061</v>
      </c>
      <c r="C34" t="n">
        <v/>
      </c>
      <c r="D34" t="n">
        <v/>
      </c>
      <c r="E34" t="n">
        <v/>
      </c>
      <c r="F34" t="n">
        <v/>
      </c>
      <c r="G34" t="n">
        <v/>
      </c>
      <c r="H34" t="n">
        <v>19.9877</v>
      </c>
      <c r="I34" t="n">
        <v/>
      </c>
      <c r="J34" t="n">
        <v/>
      </c>
      <c r="K34" t="n">
        <v/>
      </c>
    </row>
    <row r="35">
      <c r="A35" s="98" t="n">
        <v>7945</v>
      </c>
      <c r="B35" t="n">
        <v>4.2481</v>
      </c>
      <c r="C35" t="n">
        <v/>
      </c>
      <c r="D35" t="n">
        <v/>
      </c>
      <c r="E35" t="n">
        <v/>
      </c>
      <c r="F35" t="n">
        <v/>
      </c>
      <c r="G35" t="n">
        <v/>
      </c>
      <c r="H35" t="n">
        <v>21.2927</v>
      </c>
      <c r="I35" t="n">
        <v/>
      </c>
      <c r="J35" t="n">
        <v/>
      </c>
      <c r="K35" t="n">
        <v/>
      </c>
    </row>
    <row r="36">
      <c r="A36" s="98" t="n">
        <v>7976</v>
      </c>
      <c r="B36" t="n">
        <v>4.1943</v>
      </c>
      <c r="C36" t="n">
        <v/>
      </c>
      <c r="D36" t="n">
        <v/>
      </c>
      <c r="E36" t="n">
        <v/>
      </c>
      <c r="F36" t="n">
        <v/>
      </c>
      <c r="G36" t="n">
        <v/>
      </c>
      <c r="H36" t="n">
        <v>20.3998</v>
      </c>
      <c r="I36" t="n">
        <v/>
      </c>
      <c r="J36" t="n">
        <v/>
      </c>
      <c r="K36" t="n">
        <v/>
      </c>
    </row>
    <row r="37">
      <c r="A37" s="98" t="n">
        <v>8006</v>
      </c>
      <c r="B37" t="n">
        <v>4.1674</v>
      </c>
      <c r="C37" t="n">
        <v/>
      </c>
      <c r="D37" t="n">
        <v/>
      </c>
      <c r="E37" t="n">
        <v/>
      </c>
      <c r="F37" t="n">
        <v/>
      </c>
      <c r="G37" t="n">
        <v/>
      </c>
      <c r="H37" t="n">
        <v>20.6745</v>
      </c>
      <c r="I37" t="n">
        <v/>
      </c>
      <c r="J37" t="n">
        <v/>
      </c>
      <c r="K37" t="n">
        <v/>
      </c>
    </row>
    <row r="38">
      <c r="A38" s="98" t="n">
        <v>8037</v>
      </c>
      <c r="B38" t="n">
        <v>4.3288</v>
      </c>
      <c r="C38" t="n">
        <v/>
      </c>
      <c r="D38" t="n">
        <v/>
      </c>
      <c r="E38" t="n">
        <v/>
      </c>
      <c r="F38" t="n">
        <v/>
      </c>
      <c r="G38" t="n">
        <v/>
      </c>
      <c r="H38" t="n">
        <v>23.0099</v>
      </c>
      <c r="I38" t="n">
        <v/>
      </c>
      <c r="J38" t="n">
        <v/>
      </c>
      <c r="K38" t="n">
        <v/>
      </c>
    </row>
    <row r="39">
      <c r="A39" s="98" t="n">
        <v>8068</v>
      </c>
      <c r="B39" t="n">
        <v>4.517</v>
      </c>
      <c r="C39" t="n">
        <v/>
      </c>
      <c r="D39" t="n">
        <v/>
      </c>
      <c r="E39" t="n">
        <v/>
      </c>
      <c r="F39" t="n">
        <v/>
      </c>
      <c r="G39" t="n">
        <v/>
      </c>
      <c r="H39" t="n">
        <v>25.3452</v>
      </c>
      <c r="I39" t="n">
        <v/>
      </c>
      <c r="J39" t="n">
        <v/>
      </c>
      <c r="K39" t="n">
        <v/>
      </c>
    </row>
    <row r="40">
      <c r="A40" s="98" t="n">
        <v>8096</v>
      </c>
      <c r="B40" t="n">
        <v>4.7589</v>
      </c>
      <c r="C40" t="n">
        <v/>
      </c>
      <c r="D40" t="n">
        <v/>
      </c>
      <c r="E40" t="n">
        <v/>
      </c>
      <c r="F40" t="n">
        <v/>
      </c>
      <c r="G40" t="n">
        <v/>
      </c>
      <c r="H40" t="n">
        <v>27.3371</v>
      </c>
      <c r="I40" t="n">
        <v/>
      </c>
      <c r="J40" t="n">
        <v/>
      </c>
      <c r="K40" t="n">
        <v/>
      </c>
    </row>
    <row r="41">
      <c r="A41" s="98" t="n">
        <v>8127</v>
      </c>
      <c r="B41" t="n">
        <v>4.5976</v>
      </c>
      <c r="C41" t="n">
        <v/>
      </c>
      <c r="D41" t="n">
        <v/>
      </c>
      <c r="E41" t="n">
        <v/>
      </c>
      <c r="F41" t="n">
        <v/>
      </c>
      <c r="G41" t="n">
        <v/>
      </c>
      <c r="H41" t="n">
        <v>15.8665</v>
      </c>
      <c r="I41" t="n">
        <v/>
      </c>
      <c r="J41" t="n">
        <v/>
      </c>
      <c r="K41" t="n">
        <v/>
      </c>
    </row>
    <row r="42">
      <c r="A42" s="98" t="n">
        <v>8157</v>
      </c>
      <c r="B42" t="n">
        <v>4.8396</v>
      </c>
      <c r="C42" t="n">
        <v/>
      </c>
      <c r="D42" t="n">
        <v/>
      </c>
      <c r="E42" t="n">
        <v/>
      </c>
      <c r="F42" t="n">
        <v/>
      </c>
      <c r="G42" t="n">
        <v/>
      </c>
      <c r="H42" t="n">
        <v>16.0726</v>
      </c>
      <c r="I42" t="n">
        <v/>
      </c>
      <c r="J42" t="n">
        <v/>
      </c>
      <c r="K42" t="n">
        <v/>
      </c>
    </row>
    <row r="43">
      <c r="A43" s="98" t="n">
        <v>8188</v>
      </c>
      <c r="B43" t="n">
        <v>5.0816</v>
      </c>
      <c r="C43" t="n">
        <v/>
      </c>
      <c r="D43" t="n">
        <v/>
      </c>
      <c r="E43" t="n">
        <v/>
      </c>
      <c r="F43" t="n">
        <v/>
      </c>
      <c r="G43" t="n">
        <v/>
      </c>
      <c r="H43" t="n">
        <v>17.5837</v>
      </c>
      <c r="I43" t="n">
        <v/>
      </c>
      <c r="J43" t="n">
        <v/>
      </c>
      <c r="K43" t="n">
        <v/>
      </c>
    </row>
    <row r="44">
      <c r="A44" s="98" t="n">
        <v>8218</v>
      </c>
      <c r="B44" t="n">
        <v>5.0816</v>
      </c>
      <c r="C44" t="n">
        <v/>
      </c>
      <c r="D44" t="n">
        <v/>
      </c>
      <c r="E44" t="n">
        <v/>
      </c>
      <c r="F44" t="n">
        <v/>
      </c>
      <c r="G44" t="n">
        <v/>
      </c>
      <c r="H44" t="n">
        <v>16.8968</v>
      </c>
      <c r="I44" t="n">
        <v/>
      </c>
      <c r="J44" t="n">
        <v/>
      </c>
      <c r="K44" t="n">
        <v/>
      </c>
    </row>
    <row r="45">
      <c r="A45" s="98" t="n">
        <v>8249</v>
      </c>
      <c r="B45" t="n">
        <v>4.974</v>
      </c>
      <c r="C45" t="n">
        <v/>
      </c>
      <c r="D45" t="n">
        <v/>
      </c>
      <c r="E45" t="n">
        <v/>
      </c>
      <c r="F45" t="n">
        <v/>
      </c>
      <c r="G45" t="n">
        <v/>
      </c>
      <c r="H45" t="n">
        <v>18.614</v>
      </c>
      <c r="I45" t="n">
        <v/>
      </c>
      <c r="J45" t="n">
        <v/>
      </c>
      <c r="K45" t="n">
        <v/>
      </c>
    </row>
    <row r="46">
      <c r="A46" s="98" t="n">
        <v>8280</v>
      </c>
      <c r="B46" t="n">
        <v>5.2429</v>
      </c>
      <c r="C46" t="n">
        <v/>
      </c>
      <c r="D46" t="n">
        <v/>
      </c>
      <c r="E46" t="n">
        <v/>
      </c>
      <c r="F46" t="n">
        <v/>
      </c>
      <c r="G46" t="n">
        <v/>
      </c>
      <c r="H46" t="n">
        <v>24.3836</v>
      </c>
      <c r="I46" t="n">
        <v/>
      </c>
      <c r="J46" t="n">
        <v/>
      </c>
      <c r="K46" t="n">
        <v/>
      </c>
    </row>
    <row r="47">
      <c r="A47" s="98" t="n">
        <v>8310</v>
      </c>
      <c r="B47" t="n">
        <v>5.5387</v>
      </c>
      <c r="C47" t="n">
        <v/>
      </c>
      <c r="D47" t="n">
        <v/>
      </c>
      <c r="E47" t="n">
        <v/>
      </c>
      <c r="F47" t="n">
        <v/>
      </c>
      <c r="G47" t="n">
        <v/>
      </c>
      <c r="H47" t="n">
        <v>26.8563</v>
      </c>
      <c r="I47" t="n">
        <v/>
      </c>
      <c r="J47" t="n">
        <v/>
      </c>
      <c r="K47" t="n">
        <v/>
      </c>
    </row>
    <row r="48">
      <c r="A48" s="98" t="n">
        <v>8341</v>
      </c>
      <c r="B48" t="n">
        <v>5.7806</v>
      </c>
      <c r="C48" t="n">
        <v/>
      </c>
      <c r="D48" t="n">
        <v/>
      </c>
      <c r="E48" t="n">
        <v/>
      </c>
      <c r="F48" t="n">
        <v/>
      </c>
      <c r="G48" t="n">
        <v/>
      </c>
      <c r="H48" t="n">
        <v>28.1614</v>
      </c>
      <c r="I48" t="n">
        <v/>
      </c>
      <c r="J48" t="n">
        <v/>
      </c>
      <c r="K48" t="n">
        <v/>
      </c>
    </row>
    <row r="49">
      <c r="A49" s="98" t="n">
        <v>8371</v>
      </c>
      <c r="B49" t="n">
        <v>5.942</v>
      </c>
      <c r="C49" t="n">
        <v/>
      </c>
      <c r="D49" t="n">
        <v/>
      </c>
      <c r="E49" t="n">
        <v/>
      </c>
      <c r="F49" t="n">
        <v/>
      </c>
      <c r="G49" t="n">
        <v/>
      </c>
      <c r="H49" t="n">
        <v>29.9472</v>
      </c>
      <c r="I49" t="n">
        <v/>
      </c>
      <c r="J49" t="n">
        <v/>
      </c>
      <c r="K49" t="n">
        <v/>
      </c>
    </row>
    <row r="50">
      <c r="A50" s="98" t="n">
        <v>8402</v>
      </c>
      <c r="B50" t="n">
        <v>5.8075</v>
      </c>
      <c r="C50" t="n">
        <v/>
      </c>
      <c r="D50" t="n">
        <v/>
      </c>
      <c r="E50" t="n">
        <v/>
      </c>
      <c r="F50" t="n">
        <v/>
      </c>
      <c r="G50" t="n">
        <v/>
      </c>
      <c r="H50" t="n">
        <v>29.6724</v>
      </c>
      <c r="I50" t="n">
        <v/>
      </c>
      <c r="J50" t="n">
        <v/>
      </c>
      <c r="K50" t="n">
        <v/>
      </c>
    </row>
    <row r="51">
      <c r="A51" s="98" t="n">
        <v>8433</v>
      </c>
      <c r="B51" t="n">
        <v>5.8882</v>
      </c>
      <c r="C51" t="n">
        <v/>
      </c>
      <c r="D51" t="n">
        <v/>
      </c>
      <c r="E51" t="n">
        <v/>
      </c>
      <c r="F51" t="n">
        <v/>
      </c>
      <c r="G51" t="n">
        <v/>
      </c>
      <c r="H51" t="n">
        <v>29.8785</v>
      </c>
      <c r="I51" t="n">
        <v/>
      </c>
      <c r="J51" t="n">
        <v/>
      </c>
      <c r="K51" t="n">
        <v/>
      </c>
    </row>
    <row r="52">
      <c r="A52" s="98" t="n">
        <v>8461</v>
      </c>
      <c r="B52" t="n">
        <v>6.0764</v>
      </c>
      <c r="C52" t="n">
        <v/>
      </c>
      <c r="D52" t="n">
        <v/>
      </c>
      <c r="E52" t="n">
        <v/>
      </c>
      <c r="F52" t="n">
        <v/>
      </c>
      <c r="G52" t="n">
        <v/>
      </c>
      <c r="H52" t="n">
        <v>30.9775</v>
      </c>
      <c r="I52" t="n">
        <v/>
      </c>
      <c r="J52" t="n">
        <v/>
      </c>
      <c r="K52" t="n">
        <v/>
      </c>
    </row>
    <row r="53">
      <c r="A53" s="98" t="n">
        <v>8492</v>
      </c>
      <c r="B53" t="n">
        <v>6.2108</v>
      </c>
      <c r="C53" t="n">
        <v/>
      </c>
      <c r="D53" t="n">
        <v/>
      </c>
      <c r="E53" t="n">
        <v/>
      </c>
      <c r="F53" t="n">
        <v/>
      </c>
      <c r="G53" t="n">
        <v/>
      </c>
      <c r="H53" t="n">
        <v>33.0381</v>
      </c>
      <c r="I53" t="n">
        <v/>
      </c>
      <c r="J53" t="n">
        <v/>
      </c>
      <c r="K53" t="n">
        <v/>
      </c>
    </row>
    <row r="54">
      <c r="A54" s="98" t="n">
        <v>8522</v>
      </c>
      <c r="B54" t="n">
        <v>6.2915</v>
      </c>
      <c r="C54" t="n">
        <v/>
      </c>
      <c r="D54" t="n">
        <v/>
      </c>
      <c r="E54" t="n">
        <v/>
      </c>
      <c r="F54" t="n">
        <v/>
      </c>
      <c r="G54" t="n">
        <v/>
      </c>
      <c r="H54" t="n">
        <v>32.2138</v>
      </c>
      <c r="I54" t="n">
        <v/>
      </c>
      <c r="J54" t="n">
        <v/>
      </c>
      <c r="K54" t="n">
        <v/>
      </c>
    </row>
    <row r="55">
      <c r="A55" s="98" t="n">
        <v>8553</v>
      </c>
      <c r="B55" t="n">
        <v>6.2377</v>
      </c>
      <c r="C55" t="n">
        <v/>
      </c>
      <c r="D55" t="n">
        <v/>
      </c>
      <c r="E55" t="n">
        <v/>
      </c>
      <c r="F55" t="n">
        <v/>
      </c>
      <c r="G55" t="n">
        <v/>
      </c>
      <c r="H55" t="n">
        <v>32.1452</v>
      </c>
      <c r="I55" t="n">
        <v/>
      </c>
      <c r="J55" t="n">
        <v/>
      </c>
      <c r="K55" t="n">
        <v/>
      </c>
    </row>
    <row r="56">
      <c r="A56" s="98" t="n">
        <v>8583</v>
      </c>
      <c r="B56" t="n">
        <v>6.1839</v>
      </c>
      <c r="C56" t="n">
        <v/>
      </c>
      <c r="D56" t="n">
        <v/>
      </c>
      <c r="E56" t="n">
        <v/>
      </c>
      <c r="F56" t="n">
        <v/>
      </c>
      <c r="G56" t="n">
        <v/>
      </c>
      <c r="H56" t="n">
        <v>32.9007</v>
      </c>
      <c r="I56" t="n">
        <v/>
      </c>
      <c r="J56" t="n">
        <v/>
      </c>
      <c r="K56" t="n">
        <v/>
      </c>
    </row>
    <row r="57">
      <c r="A57" s="98" t="n">
        <v>8614</v>
      </c>
      <c r="B57" t="n">
        <v>6.0764</v>
      </c>
      <c r="C57" t="n">
        <v/>
      </c>
      <c r="D57" t="n">
        <v/>
      </c>
      <c r="E57" t="n">
        <v/>
      </c>
      <c r="F57" t="n">
        <v/>
      </c>
      <c r="G57" t="n">
        <v/>
      </c>
      <c r="H57" t="n">
        <v>32.5573</v>
      </c>
      <c r="I57" t="n">
        <v/>
      </c>
      <c r="J57" t="n">
        <v/>
      </c>
      <c r="K57" t="n">
        <v/>
      </c>
    </row>
    <row r="58">
      <c r="A58" s="98" t="n">
        <v>8645</v>
      </c>
      <c r="B58" t="n">
        <v>5.942</v>
      </c>
      <c r="C58" t="n">
        <v/>
      </c>
      <c r="D58" t="n">
        <v/>
      </c>
      <c r="E58" t="n">
        <v/>
      </c>
      <c r="F58" t="n">
        <v/>
      </c>
      <c r="G58" t="n">
        <v/>
      </c>
      <c r="H58" t="n">
        <v>29.9472</v>
      </c>
      <c r="I58" t="n">
        <v/>
      </c>
      <c r="J58" t="n">
        <v/>
      </c>
      <c r="K58" t="n">
        <v/>
      </c>
    </row>
    <row r="59">
      <c r="A59" s="98" t="n">
        <v>8675</v>
      </c>
      <c r="B59" t="n">
        <v>5.9151</v>
      </c>
      <c r="C59" t="n">
        <v/>
      </c>
      <c r="D59" t="n">
        <v/>
      </c>
      <c r="E59" t="n">
        <v/>
      </c>
      <c r="F59" t="n">
        <v/>
      </c>
      <c r="G59" t="n">
        <v/>
      </c>
      <c r="H59" t="n">
        <v>31.3896</v>
      </c>
      <c r="I59" t="n">
        <v/>
      </c>
      <c r="J59" t="n">
        <v/>
      </c>
      <c r="K59" t="n">
        <v/>
      </c>
    </row>
    <row r="60">
      <c r="A60" s="98" t="n">
        <v>8706</v>
      </c>
      <c r="B60" t="n">
        <v>5.9151</v>
      </c>
      <c r="C60" t="n">
        <v/>
      </c>
      <c r="D60" t="n">
        <v/>
      </c>
      <c r="E60" t="n">
        <v/>
      </c>
      <c r="F60" t="n">
        <v/>
      </c>
      <c r="G60" t="n">
        <v/>
      </c>
      <c r="H60" t="n">
        <v>31.3896</v>
      </c>
      <c r="I60" t="n">
        <v/>
      </c>
      <c r="J60" t="n">
        <v/>
      </c>
      <c r="K60" t="n">
        <v/>
      </c>
    </row>
    <row r="61">
      <c r="A61" s="98" t="n">
        <v>8736</v>
      </c>
      <c r="B61" t="n">
        <v>5.7806</v>
      </c>
      <c r="C61" t="n">
        <v/>
      </c>
      <c r="D61" t="n">
        <v/>
      </c>
      <c r="E61" t="n">
        <v/>
      </c>
      <c r="F61" t="n">
        <v/>
      </c>
      <c r="G61" t="n">
        <v/>
      </c>
      <c r="H61" t="n">
        <v>29.2603</v>
      </c>
      <c r="I61" t="n">
        <v/>
      </c>
      <c r="J61" t="n">
        <v/>
      </c>
      <c r="K61" t="n">
        <v/>
      </c>
    </row>
    <row r="62">
      <c r="A62" s="98" t="n">
        <v>8767</v>
      </c>
      <c r="B62" t="n">
        <v>5.9151</v>
      </c>
      <c r="C62" t="n">
        <v/>
      </c>
      <c r="D62" t="n">
        <v/>
      </c>
      <c r="E62" t="n">
        <v/>
      </c>
      <c r="F62" t="n">
        <v/>
      </c>
      <c r="G62" t="n">
        <v/>
      </c>
      <c r="H62" t="n">
        <v>30.2219</v>
      </c>
      <c r="I62" t="n">
        <v/>
      </c>
      <c r="J62" t="n">
        <v/>
      </c>
      <c r="K62" t="n">
        <v/>
      </c>
    </row>
    <row r="63">
      <c r="A63" s="98" t="n">
        <v>8798</v>
      </c>
      <c r="B63" t="n">
        <v>6.0226</v>
      </c>
      <c r="C63" t="n">
        <v/>
      </c>
      <c r="D63" t="n">
        <v/>
      </c>
      <c r="E63" t="n">
        <v/>
      </c>
      <c r="F63" t="n">
        <v/>
      </c>
      <c r="G63" t="n">
        <v/>
      </c>
      <c r="H63" t="n">
        <v>31.4583</v>
      </c>
      <c r="I63" t="n">
        <v/>
      </c>
      <c r="J63" t="n">
        <v/>
      </c>
      <c r="K63" t="n">
        <v/>
      </c>
    </row>
    <row r="64">
      <c r="A64" s="98" t="n">
        <v>8827</v>
      </c>
      <c r="B64" t="n">
        <v>5.9151</v>
      </c>
      <c r="C64" t="n">
        <v/>
      </c>
      <c r="D64" t="n">
        <v/>
      </c>
      <c r="E64" t="n">
        <v/>
      </c>
      <c r="F64" t="n">
        <v/>
      </c>
      <c r="G64" t="n">
        <v/>
      </c>
      <c r="H64" t="n">
        <v>29.6724</v>
      </c>
      <c r="I64" t="n">
        <v/>
      </c>
      <c r="J64" t="n">
        <v/>
      </c>
      <c r="K64" t="n">
        <v/>
      </c>
    </row>
    <row r="65">
      <c r="A65" s="98" t="n">
        <v>8858</v>
      </c>
      <c r="B65" t="n">
        <v>5.7269</v>
      </c>
      <c r="C65" t="n">
        <v/>
      </c>
      <c r="D65" t="n">
        <v/>
      </c>
      <c r="E65" t="n">
        <v/>
      </c>
      <c r="F65" t="n">
        <v/>
      </c>
      <c r="G65" t="n">
        <v/>
      </c>
      <c r="H65" t="n">
        <v>27.4745</v>
      </c>
      <c r="I65" t="n">
        <v/>
      </c>
      <c r="J65" t="n">
        <v/>
      </c>
      <c r="K65" t="n">
        <v/>
      </c>
    </row>
    <row r="66">
      <c r="A66" s="98" t="n">
        <v>8888</v>
      </c>
      <c r="B66" t="n">
        <v>5.4849</v>
      </c>
      <c r="C66" t="n">
        <v/>
      </c>
      <c r="D66" t="n">
        <v/>
      </c>
      <c r="E66" t="n">
        <v/>
      </c>
      <c r="F66" t="n">
        <v/>
      </c>
      <c r="G66" t="n">
        <v/>
      </c>
      <c r="H66" t="n">
        <v>27.6119</v>
      </c>
      <c r="I66" t="n">
        <v/>
      </c>
      <c r="J66" t="n">
        <v/>
      </c>
      <c r="K66" t="n">
        <v/>
      </c>
    </row>
    <row r="67">
      <c r="A67" s="98" t="n">
        <v>8919</v>
      </c>
      <c r="B67" t="n">
        <v>5.2429</v>
      </c>
      <c r="C67" t="n">
        <v/>
      </c>
      <c r="D67" t="n">
        <v/>
      </c>
      <c r="E67" t="n">
        <v/>
      </c>
      <c r="F67" t="n">
        <v/>
      </c>
      <c r="G67" t="n">
        <v/>
      </c>
      <c r="H67" t="n">
        <v>27.4745</v>
      </c>
      <c r="I67" t="n">
        <v/>
      </c>
      <c r="J67" t="n">
        <v/>
      </c>
      <c r="K67" t="n">
        <v/>
      </c>
    </row>
    <row r="68">
      <c r="A68" s="98" t="n">
        <v>8949</v>
      </c>
      <c r="B68" t="n">
        <v>5.1622</v>
      </c>
      <c r="C68" t="n">
        <v/>
      </c>
      <c r="D68" t="n">
        <v/>
      </c>
      <c r="E68" t="n">
        <v/>
      </c>
      <c r="F68" t="n">
        <v/>
      </c>
      <c r="G68" t="n">
        <v/>
      </c>
      <c r="H68" t="n">
        <v>27.4058</v>
      </c>
      <c r="I68" t="n">
        <v/>
      </c>
      <c r="J68" t="n">
        <v/>
      </c>
      <c r="K68" t="n">
        <v/>
      </c>
    </row>
    <row r="69">
      <c r="A69" s="98" t="n">
        <v>8980</v>
      </c>
      <c r="B69" t="n">
        <v>5.3505</v>
      </c>
      <c r="C69" t="n">
        <v/>
      </c>
      <c r="D69" t="n">
        <v/>
      </c>
      <c r="E69" t="n">
        <v/>
      </c>
      <c r="F69" t="n">
        <v/>
      </c>
      <c r="G69" t="n">
        <v/>
      </c>
      <c r="H69" t="n">
        <v>27.1311</v>
      </c>
      <c r="I69" t="n">
        <v/>
      </c>
      <c r="J69" t="n">
        <v/>
      </c>
      <c r="K69" t="n">
        <v/>
      </c>
    </row>
    <row r="70">
      <c r="A70" s="98" t="n">
        <v>9011</v>
      </c>
      <c r="B70" t="n">
        <v>5.5387</v>
      </c>
      <c r="C70" t="n">
        <v/>
      </c>
      <c r="D70" t="n">
        <v/>
      </c>
      <c r="E70" t="n">
        <v/>
      </c>
      <c r="F70" t="n">
        <v/>
      </c>
      <c r="G70" t="n">
        <v/>
      </c>
      <c r="H70" t="n">
        <v>28.9856</v>
      </c>
      <c r="I70" t="n">
        <v/>
      </c>
      <c r="J70" t="n">
        <v/>
      </c>
      <c r="K70" t="n">
        <v/>
      </c>
    </row>
    <row r="71">
      <c r="A71" s="98" t="n">
        <v>9041</v>
      </c>
      <c r="B71" t="n">
        <v>5.6731</v>
      </c>
      <c r="C71" t="n">
        <v/>
      </c>
      <c r="D71" t="n">
        <v/>
      </c>
      <c r="E71" t="n">
        <v/>
      </c>
      <c r="F71" t="n">
        <v/>
      </c>
      <c r="G71" t="n">
        <v/>
      </c>
      <c r="H71" t="n">
        <v>28.7796</v>
      </c>
      <c r="I71" t="n">
        <v/>
      </c>
      <c r="J71" t="n">
        <v/>
      </c>
      <c r="K71" t="n">
        <v/>
      </c>
    </row>
    <row r="72">
      <c r="A72" s="98" t="n">
        <v>9072</v>
      </c>
      <c r="B72" t="n">
        <v>5.7806</v>
      </c>
      <c r="C72" t="n">
        <v/>
      </c>
      <c r="D72" t="n">
        <v/>
      </c>
      <c r="E72" t="n">
        <v/>
      </c>
      <c r="F72" t="n">
        <v/>
      </c>
      <c r="G72" t="n">
        <v/>
      </c>
      <c r="H72" t="n">
        <v>28.3674</v>
      </c>
      <c r="I72" t="n">
        <v/>
      </c>
      <c r="J72" t="n">
        <v/>
      </c>
      <c r="K72" t="n">
        <v/>
      </c>
    </row>
    <row r="73">
      <c r="A73" s="98" t="n">
        <v>9102</v>
      </c>
      <c r="B73" t="n">
        <v>5.942</v>
      </c>
      <c r="C73" t="n">
        <v/>
      </c>
      <c r="D73" t="n">
        <v/>
      </c>
      <c r="E73" t="n">
        <v/>
      </c>
      <c r="F73" t="n">
        <v/>
      </c>
      <c r="G73" t="n">
        <v/>
      </c>
      <c r="H73" t="n">
        <v>28.9169</v>
      </c>
      <c r="I73" t="n">
        <v/>
      </c>
      <c r="J73" t="n">
        <v/>
      </c>
      <c r="K73" t="n">
        <v/>
      </c>
    </row>
    <row r="74">
      <c r="A74" s="98" t="n">
        <v>9133</v>
      </c>
      <c r="B74" t="n">
        <v>6.1302</v>
      </c>
      <c r="C74" t="n">
        <v/>
      </c>
      <c r="D74" t="n">
        <v/>
      </c>
      <c r="E74" t="n">
        <v/>
      </c>
      <c r="F74" t="n">
        <v/>
      </c>
      <c r="G74" t="n">
        <v/>
      </c>
      <c r="H74" t="n">
        <v>30.0846</v>
      </c>
      <c r="I74" t="n">
        <v/>
      </c>
      <c r="J74" t="n">
        <v/>
      </c>
      <c r="K74" t="n">
        <v/>
      </c>
    </row>
    <row r="75">
      <c r="A75" s="98" t="n">
        <v>9164</v>
      </c>
      <c r="B75" t="n">
        <v>6.1302</v>
      </c>
      <c r="C75" t="n">
        <v/>
      </c>
      <c r="D75" t="n">
        <v/>
      </c>
      <c r="E75" t="n">
        <v/>
      </c>
      <c r="F75" t="n">
        <v/>
      </c>
      <c r="G75" t="n">
        <v/>
      </c>
      <c r="H75" t="n">
        <v>29.2603</v>
      </c>
      <c r="I75" t="n">
        <v/>
      </c>
      <c r="J75" t="n">
        <v/>
      </c>
      <c r="K75" t="n">
        <v/>
      </c>
    </row>
    <row r="76">
      <c r="A76" s="98" t="n">
        <v>9192</v>
      </c>
      <c r="B76" t="n">
        <v>6.1302</v>
      </c>
      <c r="C76" t="n">
        <v/>
      </c>
      <c r="D76" t="n">
        <v/>
      </c>
      <c r="E76" t="n">
        <v/>
      </c>
      <c r="F76" t="n">
        <v/>
      </c>
      <c r="G76" t="n">
        <v/>
      </c>
      <c r="H76" t="n">
        <v>28.4361</v>
      </c>
      <c r="I76" t="n">
        <v/>
      </c>
      <c r="J76" t="n">
        <v/>
      </c>
      <c r="K76" t="n">
        <v/>
      </c>
    </row>
    <row r="77">
      <c r="A77" s="98" t="n">
        <v>9223</v>
      </c>
      <c r="B77" t="n">
        <v>6.1839</v>
      </c>
      <c r="C77" t="n">
        <v/>
      </c>
      <c r="D77" t="n">
        <v/>
      </c>
      <c r="E77" t="n">
        <v/>
      </c>
      <c r="F77" t="n">
        <v/>
      </c>
      <c r="G77" t="n">
        <v/>
      </c>
      <c r="H77" t="n">
        <v>30.0159</v>
      </c>
      <c r="I77" t="n">
        <v/>
      </c>
      <c r="J77" t="n">
        <v/>
      </c>
      <c r="K77" t="n">
        <v/>
      </c>
    </row>
    <row r="78">
      <c r="A78" s="98" t="n">
        <v>9253</v>
      </c>
      <c r="B78" t="n">
        <v>6.1571</v>
      </c>
      <c r="C78" t="n">
        <v/>
      </c>
      <c r="D78" t="n">
        <v/>
      </c>
      <c r="E78" t="n">
        <v/>
      </c>
      <c r="F78" t="n">
        <v/>
      </c>
      <c r="G78" t="n">
        <v/>
      </c>
      <c r="H78" t="n">
        <v>30.9088</v>
      </c>
      <c r="I78" t="n">
        <v/>
      </c>
      <c r="J78" t="n">
        <v/>
      </c>
      <c r="K78" t="n">
        <v/>
      </c>
    </row>
    <row r="79">
      <c r="A79" s="98" t="n">
        <v>9284</v>
      </c>
      <c r="B79" t="n">
        <v>6.1033</v>
      </c>
      <c r="C79" t="n">
        <v/>
      </c>
      <c r="D79" t="n">
        <v/>
      </c>
      <c r="E79" t="n">
        <v/>
      </c>
      <c r="F79" t="n">
        <v/>
      </c>
      <c r="G79" t="n">
        <v/>
      </c>
      <c r="H79" t="n">
        <v>30.6341</v>
      </c>
      <c r="I79" t="n">
        <v/>
      </c>
      <c r="J79" t="n">
        <v/>
      </c>
      <c r="K79" t="n">
        <v/>
      </c>
    </row>
    <row r="80">
      <c r="A80" s="98" t="n">
        <v>9314</v>
      </c>
      <c r="B80" t="n">
        <v>6.2646</v>
      </c>
      <c r="C80" t="n">
        <v/>
      </c>
      <c r="D80" t="n">
        <v/>
      </c>
      <c r="E80" t="n">
        <v/>
      </c>
      <c r="F80" t="n">
        <v/>
      </c>
      <c r="G80" t="n">
        <v/>
      </c>
      <c r="H80" t="n">
        <v>31.1149</v>
      </c>
      <c r="I80" t="n">
        <v/>
      </c>
      <c r="J80" t="n">
        <v/>
      </c>
      <c r="K80" t="n">
        <v/>
      </c>
    </row>
    <row r="81">
      <c r="A81" s="98" t="n">
        <v>9345</v>
      </c>
      <c r="B81" t="n">
        <v>6.1571</v>
      </c>
      <c r="C81" t="n">
        <v/>
      </c>
      <c r="D81" t="n">
        <v/>
      </c>
      <c r="E81" t="n">
        <v/>
      </c>
      <c r="F81" t="n">
        <v/>
      </c>
      <c r="G81" t="n">
        <v/>
      </c>
      <c r="H81" t="n">
        <v>31.8017</v>
      </c>
      <c r="I81" t="n">
        <v/>
      </c>
      <c r="J81" t="n">
        <v/>
      </c>
      <c r="K81" t="n">
        <v/>
      </c>
    </row>
    <row r="82">
      <c r="A82" s="98" t="n">
        <v>9376</v>
      </c>
      <c r="B82" t="n">
        <v>6.0764</v>
      </c>
      <c r="C82" t="n">
        <v/>
      </c>
      <c r="D82" t="n">
        <v/>
      </c>
      <c r="E82" t="n">
        <v/>
      </c>
      <c r="F82" t="n">
        <v/>
      </c>
      <c r="G82" t="n">
        <v/>
      </c>
      <c r="H82" t="n">
        <v>27.4058</v>
      </c>
      <c r="I82" t="n">
        <v/>
      </c>
      <c r="J82" t="n">
        <v/>
      </c>
      <c r="K82" t="n">
        <v/>
      </c>
    </row>
    <row r="83">
      <c r="A83" s="98" t="n">
        <v>9406</v>
      </c>
      <c r="B83" t="n">
        <v>6.3184</v>
      </c>
      <c r="C83" t="n">
        <v/>
      </c>
      <c r="D83" t="n">
        <v/>
      </c>
      <c r="E83" t="n">
        <v/>
      </c>
      <c r="F83" t="n">
        <v/>
      </c>
      <c r="G83" t="n">
        <v/>
      </c>
      <c r="H83" t="n">
        <v>27.3371</v>
      </c>
      <c r="I83" t="n">
        <v/>
      </c>
      <c r="J83" t="n">
        <v/>
      </c>
      <c r="K83" t="n">
        <v/>
      </c>
    </row>
    <row r="84">
      <c r="A84" s="98" t="n">
        <v>9437</v>
      </c>
      <c r="B84" t="n">
        <v>6.4528</v>
      </c>
      <c r="C84" t="n">
        <v/>
      </c>
      <c r="D84" t="n">
        <v/>
      </c>
      <c r="E84" t="n">
        <v/>
      </c>
      <c r="F84" t="n">
        <v/>
      </c>
      <c r="G84" t="n">
        <v/>
      </c>
      <c r="H84" t="n">
        <v>27.8866</v>
      </c>
      <c r="I84" t="n">
        <v/>
      </c>
      <c r="J84" t="n">
        <v/>
      </c>
      <c r="K84" t="n">
        <v/>
      </c>
    </row>
    <row r="85">
      <c r="A85" s="98" t="n">
        <v>9467</v>
      </c>
      <c r="B85" t="n">
        <v>6.5335</v>
      </c>
      <c r="C85" t="n">
        <v/>
      </c>
      <c r="D85" t="n">
        <v/>
      </c>
      <c r="E85" t="n">
        <v/>
      </c>
      <c r="F85" t="n">
        <v/>
      </c>
      <c r="G85" t="n">
        <v/>
      </c>
      <c r="H85" t="n">
        <v>27.6119</v>
      </c>
      <c r="I85" t="n">
        <v/>
      </c>
      <c r="J85" t="n">
        <v/>
      </c>
      <c r="K85" t="n">
        <v/>
      </c>
    </row>
    <row r="86">
      <c r="A86" s="98" t="n">
        <v>9498</v>
      </c>
      <c r="B86" t="n">
        <v>6.4259</v>
      </c>
      <c r="C86" t="n">
        <v/>
      </c>
      <c r="D86" t="n">
        <v/>
      </c>
      <c r="E86" t="n">
        <v/>
      </c>
      <c r="F86" t="n">
        <v/>
      </c>
      <c r="G86" t="n">
        <v/>
      </c>
      <c r="H86" t="n">
        <v>27.1997</v>
      </c>
      <c r="I86" t="n">
        <v/>
      </c>
      <c r="J86" t="n">
        <v/>
      </c>
      <c r="K86" t="n">
        <v/>
      </c>
    </row>
    <row r="87">
      <c r="A87" s="98" t="n">
        <v>9529</v>
      </c>
      <c r="B87" t="n">
        <v>6.4259</v>
      </c>
      <c r="C87" t="n">
        <v/>
      </c>
      <c r="D87" t="n">
        <v/>
      </c>
      <c r="E87" t="n">
        <v/>
      </c>
      <c r="F87" t="n">
        <v/>
      </c>
      <c r="G87" t="n">
        <v/>
      </c>
      <c r="H87" t="n">
        <v>28.4361</v>
      </c>
      <c r="I87" t="n">
        <v/>
      </c>
      <c r="J87" t="n">
        <v/>
      </c>
      <c r="K87" t="n">
        <v/>
      </c>
    </row>
    <row r="88">
      <c r="A88" s="98" t="n">
        <v>9557</v>
      </c>
      <c r="B88" t="n">
        <v>6.5066</v>
      </c>
      <c r="C88" t="n">
        <v/>
      </c>
      <c r="D88" t="n">
        <v/>
      </c>
      <c r="E88" t="n">
        <v/>
      </c>
      <c r="F88" t="n">
        <v/>
      </c>
      <c r="G88" t="n">
        <v/>
      </c>
      <c r="H88" t="n">
        <v>31.3896</v>
      </c>
      <c r="I88" t="n">
        <v/>
      </c>
      <c r="J88" t="n">
        <v/>
      </c>
      <c r="K88" t="n">
        <v/>
      </c>
    </row>
    <row r="89">
      <c r="A89" s="98" t="n">
        <v>9588</v>
      </c>
      <c r="B89" t="n">
        <v>6.5066</v>
      </c>
      <c r="C89" t="n">
        <v/>
      </c>
      <c r="D89" t="n">
        <v/>
      </c>
      <c r="E89" t="n">
        <v/>
      </c>
      <c r="F89" t="n">
        <v/>
      </c>
      <c r="G89" t="n">
        <v/>
      </c>
      <c r="H89" t="n">
        <v>31.4583</v>
      </c>
      <c r="I89" t="n">
        <v/>
      </c>
      <c r="J89" t="n">
        <v/>
      </c>
      <c r="K89" t="n">
        <v/>
      </c>
    </row>
    <row r="90">
      <c r="A90" s="98" t="n">
        <v>9618</v>
      </c>
      <c r="B90" t="n">
        <v>6.4528</v>
      </c>
      <c r="C90" t="n">
        <v/>
      </c>
      <c r="D90" t="n">
        <v/>
      </c>
      <c r="E90" t="n">
        <v/>
      </c>
      <c r="F90" t="n">
        <v/>
      </c>
      <c r="G90" t="n">
        <v/>
      </c>
      <c r="H90" t="n">
        <v>30.7714</v>
      </c>
      <c r="I90" t="n">
        <v/>
      </c>
      <c r="J90" t="n">
        <v/>
      </c>
      <c r="K90" t="n">
        <v/>
      </c>
    </row>
    <row r="91">
      <c r="A91" s="98" t="n">
        <v>9649</v>
      </c>
      <c r="B91" t="n">
        <v>6.5335</v>
      </c>
      <c r="C91" t="n">
        <v/>
      </c>
      <c r="D91" t="n">
        <v/>
      </c>
      <c r="E91" t="n">
        <v/>
      </c>
      <c r="F91" t="n">
        <v/>
      </c>
      <c r="G91" t="n">
        <v/>
      </c>
      <c r="H91" t="n">
        <v>31.733</v>
      </c>
      <c r="I91" t="n">
        <v/>
      </c>
      <c r="J91" t="n">
        <v/>
      </c>
      <c r="K91" t="n">
        <v/>
      </c>
    </row>
    <row r="92">
      <c r="A92" s="98" t="n">
        <v>9679</v>
      </c>
      <c r="B92" t="n">
        <v>6.5604</v>
      </c>
      <c r="C92" t="n">
        <v/>
      </c>
      <c r="D92" t="n">
        <v/>
      </c>
      <c r="E92" t="n">
        <v/>
      </c>
      <c r="F92" t="n">
        <v/>
      </c>
      <c r="G92" t="n">
        <v/>
      </c>
      <c r="H92" t="n">
        <v>32.1452</v>
      </c>
      <c r="I92" t="n">
        <v/>
      </c>
      <c r="J92" t="n">
        <v/>
      </c>
      <c r="K92" t="n">
        <v/>
      </c>
    </row>
    <row r="93">
      <c r="A93" s="98" t="n">
        <v>9710</v>
      </c>
      <c r="B93" t="n">
        <v>6.641</v>
      </c>
      <c r="C93" t="n">
        <v/>
      </c>
      <c r="D93" t="n">
        <v/>
      </c>
      <c r="E93" t="n">
        <v/>
      </c>
      <c r="F93" t="n">
        <v/>
      </c>
      <c r="G93" t="n">
        <v/>
      </c>
      <c r="H93" t="n">
        <v>32.3512</v>
      </c>
      <c r="I93" t="n">
        <v/>
      </c>
      <c r="J93" t="n">
        <v/>
      </c>
      <c r="K93" t="n">
        <v/>
      </c>
    </row>
    <row r="94">
      <c r="A94" s="98" t="n">
        <v>9741</v>
      </c>
      <c r="B94" t="n">
        <v>6.7486</v>
      </c>
      <c r="C94" t="n">
        <v/>
      </c>
      <c r="D94" t="n">
        <v/>
      </c>
      <c r="E94" t="n">
        <v/>
      </c>
      <c r="F94" t="n">
        <v/>
      </c>
      <c r="G94" t="n">
        <v/>
      </c>
      <c r="H94" t="n">
        <v>32.7634</v>
      </c>
      <c r="I94" t="n">
        <v/>
      </c>
      <c r="J94" t="n">
        <v/>
      </c>
      <c r="K94" t="n">
        <v/>
      </c>
    </row>
    <row r="95">
      <c r="A95" s="98" t="n">
        <v>9771</v>
      </c>
      <c r="B95" t="n">
        <v>6.7486</v>
      </c>
      <c r="C95" t="n">
        <v/>
      </c>
      <c r="D95" t="n">
        <v/>
      </c>
      <c r="E95" t="n">
        <v/>
      </c>
      <c r="F95" t="n">
        <v/>
      </c>
      <c r="G95" t="n">
        <v/>
      </c>
      <c r="H95" t="n">
        <v>33.5189</v>
      </c>
      <c r="I95" t="n">
        <v/>
      </c>
      <c r="J95" t="n">
        <v/>
      </c>
      <c r="K95" t="n">
        <v/>
      </c>
    </row>
    <row r="96">
      <c r="A96" s="98" t="n">
        <v>9802</v>
      </c>
      <c r="B96" t="n">
        <v>6.7217</v>
      </c>
      <c r="C96" t="n">
        <v/>
      </c>
      <c r="D96" t="n">
        <v/>
      </c>
      <c r="E96" t="n">
        <v/>
      </c>
      <c r="F96" t="n">
        <v/>
      </c>
      <c r="G96" t="n">
        <v/>
      </c>
      <c r="H96" t="n">
        <v>34.7552</v>
      </c>
      <c r="I96" t="n">
        <v/>
      </c>
      <c r="J96" t="n">
        <v/>
      </c>
      <c r="K96" t="n">
        <v/>
      </c>
    </row>
    <row r="97">
      <c r="A97" s="98" t="n">
        <v>9832</v>
      </c>
      <c r="B97" t="n">
        <v>6.6948</v>
      </c>
      <c r="C97" t="n">
        <v/>
      </c>
      <c r="D97" t="n">
        <v/>
      </c>
      <c r="E97" t="n">
        <v/>
      </c>
      <c r="F97" t="n">
        <v/>
      </c>
      <c r="G97" t="n">
        <v/>
      </c>
      <c r="H97" t="n">
        <v>34.8239</v>
      </c>
      <c r="I97" t="n">
        <v/>
      </c>
      <c r="J97" t="n">
        <v/>
      </c>
      <c r="K97" t="n">
        <v/>
      </c>
    </row>
    <row r="98">
      <c r="A98" s="98" t="n">
        <v>9863</v>
      </c>
      <c r="B98" t="n">
        <v>6.6679</v>
      </c>
      <c r="C98" t="n">
        <v/>
      </c>
      <c r="D98" t="n">
        <v/>
      </c>
      <c r="E98" t="n">
        <v/>
      </c>
      <c r="F98" t="n">
        <v/>
      </c>
      <c r="G98" t="n">
        <v/>
      </c>
      <c r="H98" t="n">
        <v>33.931</v>
      </c>
      <c r="I98" t="n">
        <v/>
      </c>
      <c r="J98" t="n">
        <v/>
      </c>
      <c r="K98" t="n">
        <v/>
      </c>
    </row>
    <row r="99">
      <c r="A99" s="98" t="n">
        <v>9894</v>
      </c>
      <c r="B99" t="n">
        <v>6.7217</v>
      </c>
      <c r="C99" t="n">
        <v/>
      </c>
      <c r="D99" t="n">
        <v/>
      </c>
      <c r="E99" t="n">
        <v/>
      </c>
      <c r="F99" t="n">
        <v/>
      </c>
      <c r="G99" t="n">
        <v/>
      </c>
      <c r="H99" t="n">
        <v>34.4805</v>
      </c>
      <c r="I99" t="n">
        <v/>
      </c>
      <c r="J99" t="n">
        <v/>
      </c>
      <c r="K99" t="n">
        <v/>
      </c>
    </row>
    <row r="100">
      <c r="A100" s="98" t="n">
        <v>9922</v>
      </c>
      <c r="B100" t="n">
        <v>6.8023</v>
      </c>
      <c r="C100" t="n">
        <v/>
      </c>
      <c r="D100" t="n">
        <v/>
      </c>
      <c r="E100" t="n">
        <v/>
      </c>
      <c r="F100" t="n">
        <v/>
      </c>
      <c r="G100" t="n">
        <v/>
      </c>
      <c r="H100" t="n">
        <v>36.1289</v>
      </c>
      <c r="I100" t="n">
        <v/>
      </c>
      <c r="J100" t="n">
        <v/>
      </c>
      <c r="K100" t="n">
        <v/>
      </c>
    </row>
    <row r="101">
      <c r="A101" s="98" t="n">
        <v>9953</v>
      </c>
      <c r="B101" t="n">
        <v>6.641</v>
      </c>
      <c r="C101" t="n">
        <v/>
      </c>
      <c r="D101" t="n">
        <v/>
      </c>
      <c r="E101" t="n">
        <v/>
      </c>
      <c r="F101" t="n">
        <v/>
      </c>
      <c r="G101" t="n">
        <v/>
      </c>
      <c r="H101" t="n">
        <v>31.8017</v>
      </c>
      <c r="I101" t="n">
        <v/>
      </c>
      <c r="J101" t="n">
        <v/>
      </c>
      <c r="K101" t="n">
        <v/>
      </c>
    </row>
    <row r="102">
      <c r="A102" s="98" t="n">
        <v>9983</v>
      </c>
      <c r="B102" t="n">
        <v>6.6948</v>
      </c>
      <c r="C102" t="n">
        <v/>
      </c>
      <c r="D102" t="n">
        <v/>
      </c>
      <c r="E102" t="n">
        <v/>
      </c>
      <c r="F102" t="n">
        <v/>
      </c>
      <c r="G102" t="n">
        <v/>
      </c>
      <c r="H102" t="n">
        <v>32.0078</v>
      </c>
      <c r="I102" t="n">
        <v/>
      </c>
      <c r="J102" t="n">
        <v/>
      </c>
      <c r="K102" t="n">
        <v/>
      </c>
    </row>
    <row r="103">
      <c r="A103" s="98" t="n">
        <v>10014</v>
      </c>
      <c r="B103" t="n">
        <v>6.6679</v>
      </c>
      <c r="C103" t="n">
        <v/>
      </c>
      <c r="D103" t="n">
        <v/>
      </c>
      <c r="E103" t="n">
        <v/>
      </c>
      <c r="F103" t="n">
        <v/>
      </c>
      <c r="G103" t="n">
        <v/>
      </c>
      <c r="H103" t="n">
        <v>31.5957</v>
      </c>
      <c r="I103" t="n">
        <v/>
      </c>
      <c r="J103" t="n">
        <v/>
      </c>
      <c r="K103" t="n">
        <v/>
      </c>
    </row>
    <row r="104">
      <c r="A104" s="98" t="n">
        <v>10044</v>
      </c>
      <c r="B104" t="n">
        <v>6.5872</v>
      </c>
      <c r="C104" t="n">
        <v/>
      </c>
      <c r="D104" t="n">
        <v/>
      </c>
      <c r="E104" t="n">
        <v/>
      </c>
      <c r="F104" t="n">
        <v/>
      </c>
      <c r="G104" t="n">
        <v/>
      </c>
      <c r="H104" t="n">
        <v>30.3593</v>
      </c>
      <c r="I104" t="n">
        <v/>
      </c>
      <c r="J104" t="n">
        <v/>
      </c>
      <c r="K104" t="n">
        <v/>
      </c>
    </row>
    <row r="105">
      <c r="A105" s="98" t="n">
        <v>10075</v>
      </c>
      <c r="B105" t="n">
        <v>6.5872</v>
      </c>
      <c r="C105" t="n">
        <v/>
      </c>
      <c r="D105" t="n">
        <v/>
      </c>
      <c r="E105" t="n">
        <v/>
      </c>
      <c r="F105" t="n">
        <v/>
      </c>
      <c r="G105" t="n">
        <v/>
      </c>
      <c r="H105" t="n">
        <v>31.9391</v>
      </c>
      <c r="I105" t="n">
        <v/>
      </c>
      <c r="J105" t="n">
        <v/>
      </c>
      <c r="K105" t="n">
        <v/>
      </c>
    </row>
    <row r="106">
      <c r="A106" s="98" t="n">
        <v>10106</v>
      </c>
      <c r="B106" t="n">
        <v>6.4797</v>
      </c>
      <c r="C106" t="n">
        <v/>
      </c>
      <c r="D106" t="n">
        <v/>
      </c>
      <c r="E106" t="n">
        <v/>
      </c>
      <c r="F106" t="n">
        <v/>
      </c>
      <c r="G106" t="n">
        <v/>
      </c>
      <c r="H106" t="n">
        <v>31.1835</v>
      </c>
      <c r="I106" t="n">
        <v/>
      </c>
      <c r="J106" t="n">
        <v/>
      </c>
      <c r="K106" t="n">
        <v/>
      </c>
    </row>
    <row r="107">
      <c r="A107" s="98" t="n">
        <v>10136</v>
      </c>
      <c r="B107" t="n">
        <v>6.3453</v>
      </c>
      <c r="C107" t="n">
        <v/>
      </c>
      <c r="D107" t="n">
        <v/>
      </c>
      <c r="E107" t="n">
        <v/>
      </c>
      <c r="F107" t="n">
        <v/>
      </c>
      <c r="G107" t="n">
        <v/>
      </c>
      <c r="H107" t="n">
        <v>30.6341</v>
      </c>
      <c r="I107" t="n">
        <v/>
      </c>
      <c r="J107" t="n">
        <v/>
      </c>
      <c r="K107" t="n">
        <v/>
      </c>
    </row>
    <row r="108">
      <c r="A108" s="98" t="n">
        <v>10167</v>
      </c>
      <c r="B108" t="n">
        <v>6.3453</v>
      </c>
      <c r="C108" t="n">
        <v/>
      </c>
      <c r="D108" t="n">
        <v/>
      </c>
      <c r="E108" t="n">
        <v/>
      </c>
      <c r="F108" t="n">
        <v/>
      </c>
      <c r="G108" t="n">
        <v/>
      </c>
      <c r="H108" t="n">
        <v>30.428</v>
      </c>
      <c r="I108" t="n">
        <v/>
      </c>
      <c r="J108" t="n">
        <v/>
      </c>
      <c r="K108" t="n">
        <v/>
      </c>
    </row>
    <row r="109">
      <c r="A109" s="98" t="n">
        <v>10197</v>
      </c>
      <c r="B109" t="n">
        <v>6.3722</v>
      </c>
      <c r="C109" t="n">
        <v/>
      </c>
      <c r="D109" t="n">
        <v/>
      </c>
      <c r="E109" t="n">
        <v/>
      </c>
      <c r="F109" t="n">
        <v/>
      </c>
      <c r="G109" t="n">
        <v/>
      </c>
      <c r="H109" t="n">
        <v>29.9472</v>
      </c>
      <c r="I109" t="n">
        <v/>
      </c>
      <c r="J109" t="n">
        <v/>
      </c>
      <c r="K109" t="n">
        <v/>
      </c>
    </row>
    <row r="110">
      <c r="A110" s="98" t="n">
        <v>10228</v>
      </c>
      <c r="B110" t="n">
        <v>6.5066</v>
      </c>
      <c r="C110" t="n">
        <v/>
      </c>
      <c r="D110" t="n">
        <v/>
      </c>
      <c r="E110" t="n">
        <v/>
      </c>
      <c r="F110" t="n">
        <v/>
      </c>
      <c r="G110" t="n">
        <v/>
      </c>
      <c r="H110" t="n">
        <v>30.222</v>
      </c>
      <c r="I110" t="n">
        <v/>
      </c>
      <c r="J110" t="n">
        <v/>
      </c>
      <c r="K110" t="n">
        <v/>
      </c>
    </row>
    <row r="111">
      <c r="A111" s="98" t="n">
        <v>10259</v>
      </c>
      <c r="B111" t="n">
        <v>6.5604</v>
      </c>
      <c r="C111" t="n">
        <v/>
      </c>
      <c r="D111" t="n">
        <v/>
      </c>
      <c r="E111" t="n">
        <v/>
      </c>
      <c r="F111" t="n">
        <v/>
      </c>
      <c r="G111" t="n">
        <v/>
      </c>
      <c r="H111" t="n">
        <v>30.0159</v>
      </c>
      <c r="I111" t="n">
        <v/>
      </c>
      <c r="J111" t="n">
        <v/>
      </c>
      <c r="K111" t="n">
        <v/>
      </c>
    </row>
    <row r="112">
      <c r="A112" s="98" t="n">
        <v>10288</v>
      </c>
      <c r="B112" t="n">
        <v>6.6141</v>
      </c>
      <c r="C112" t="n">
        <v/>
      </c>
      <c r="D112" t="n">
        <v/>
      </c>
      <c r="E112" t="n">
        <v/>
      </c>
      <c r="F112" t="n">
        <v/>
      </c>
      <c r="G112" t="n">
        <v/>
      </c>
      <c r="H112" t="n">
        <v>31.527</v>
      </c>
      <c r="I112" t="n">
        <v/>
      </c>
      <c r="J112" t="n">
        <v/>
      </c>
      <c r="K112" t="n">
        <v/>
      </c>
    </row>
    <row r="113">
      <c r="A113" s="98" t="n">
        <v>10319</v>
      </c>
      <c r="B113" t="n">
        <v>6.5872</v>
      </c>
      <c r="C113" t="n">
        <v/>
      </c>
      <c r="D113" t="n">
        <v/>
      </c>
      <c r="E113" t="n">
        <v/>
      </c>
      <c r="F113" t="n">
        <v/>
      </c>
      <c r="G113" t="n">
        <v/>
      </c>
      <c r="H113" t="n">
        <v>30.6341</v>
      </c>
      <c r="I113" t="n">
        <v/>
      </c>
      <c r="J113" t="n">
        <v/>
      </c>
      <c r="K113" t="n">
        <v/>
      </c>
    </row>
    <row r="114">
      <c r="A114" s="98" t="n">
        <v>10349</v>
      </c>
      <c r="B114" t="n">
        <v>6.6679</v>
      </c>
      <c r="C114" t="n">
        <v/>
      </c>
      <c r="D114" t="n">
        <v/>
      </c>
      <c r="E114" t="n">
        <v/>
      </c>
      <c r="F114" t="n">
        <v/>
      </c>
      <c r="G114" t="n">
        <v/>
      </c>
      <c r="H114" t="n">
        <v>31.527</v>
      </c>
      <c r="I114" t="n">
        <v/>
      </c>
      <c r="J114" t="n">
        <v/>
      </c>
      <c r="K114" t="n">
        <v/>
      </c>
    </row>
    <row r="115">
      <c r="A115" s="98" t="n">
        <v>10380</v>
      </c>
      <c r="B115" t="n">
        <v>6.7217</v>
      </c>
      <c r="C115" t="n">
        <v/>
      </c>
      <c r="D115" t="n">
        <v/>
      </c>
      <c r="E115" t="n">
        <v/>
      </c>
      <c r="F115" t="n">
        <v/>
      </c>
      <c r="G115" t="n">
        <v/>
      </c>
      <c r="H115" t="n">
        <v>30.7028</v>
      </c>
      <c r="I115" t="n">
        <v/>
      </c>
      <c r="J115" t="n">
        <v/>
      </c>
      <c r="K115" t="n">
        <v/>
      </c>
    </row>
    <row r="116">
      <c r="A116" s="98" t="n">
        <v>10410</v>
      </c>
      <c r="B116" t="n">
        <v>6.8023</v>
      </c>
      <c r="C116" t="n">
        <v/>
      </c>
      <c r="D116" t="n">
        <v/>
      </c>
      <c r="E116" t="n">
        <v/>
      </c>
      <c r="F116" t="n">
        <v/>
      </c>
      <c r="G116" t="n">
        <v/>
      </c>
      <c r="H116" t="n">
        <v>30.7714</v>
      </c>
      <c r="I116" t="n">
        <v/>
      </c>
      <c r="J116" t="n">
        <v/>
      </c>
      <c r="K116" t="n">
        <v/>
      </c>
    </row>
    <row r="117">
      <c r="A117" s="98" t="n">
        <v>10441</v>
      </c>
      <c r="B117" t="n">
        <v>6.9368</v>
      </c>
      <c r="C117" t="n">
        <v/>
      </c>
      <c r="D117" t="n">
        <v/>
      </c>
      <c r="E117" t="n">
        <v/>
      </c>
      <c r="F117" t="n">
        <v/>
      </c>
      <c r="G117" t="n">
        <v/>
      </c>
      <c r="H117" t="n">
        <v>31.733</v>
      </c>
      <c r="I117" t="n">
        <v/>
      </c>
      <c r="J117" t="n">
        <v/>
      </c>
      <c r="K117" t="n">
        <v/>
      </c>
    </row>
    <row r="118">
      <c r="A118" s="98" t="n">
        <v>10472</v>
      </c>
      <c r="B118" t="n">
        <v>6.9905</v>
      </c>
      <c r="C118" t="n">
        <v/>
      </c>
      <c r="D118" t="n">
        <v/>
      </c>
      <c r="E118" t="n">
        <v/>
      </c>
      <c r="F118" t="n">
        <v/>
      </c>
      <c r="G118" t="n">
        <v/>
      </c>
      <c r="H118" t="n">
        <v>31.9391</v>
      </c>
      <c r="I118" t="n">
        <v/>
      </c>
      <c r="J118" t="n">
        <v/>
      </c>
      <c r="K118" t="n">
        <v/>
      </c>
    </row>
    <row r="119">
      <c r="A119" s="98" t="n">
        <v>10502</v>
      </c>
      <c r="B119" t="n">
        <v>7.125</v>
      </c>
      <c r="C119" t="n">
        <v/>
      </c>
      <c r="D119" t="n">
        <v/>
      </c>
      <c r="E119" t="n">
        <v/>
      </c>
      <c r="F119" t="n">
        <v/>
      </c>
      <c r="G119" t="n">
        <v/>
      </c>
      <c r="H119" t="n">
        <v>32.7633</v>
      </c>
      <c r="I119" t="n">
        <v/>
      </c>
      <c r="J119" t="n">
        <v/>
      </c>
      <c r="K119" t="n">
        <v/>
      </c>
    </row>
    <row r="120">
      <c r="A120" s="98" t="n">
        <v>10533</v>
      </c>
      <c r="B120" t="n">
        <v>7.2594</v>
      </c>
      <c r="C120" t="n">
        <v/>
      </c>
      <c r="D120" t="n">
        <v/>
      </c>
      <c r="E120" t="n">
        <v/>
      </c>
      <c r="F120" t="n">
        <v/>
      </c>
      <c r="G120" t="n">
        <v/>
      </c>
      <c r="H120" t="n">
        <v>33.5876</v>
      </c>
      <c r="I120" t="n">
        <v/>
      </c>
      <c r="J120" t="n">
        <v/>
      </c>
      <c r="K120" t="n">
        <v/>
      </c>
    </row>
    <row r="121">
      <c r="A121" s="98" t="n">
        <v>10563</v>
      </c>
      <c r="B121" t="n">
        <v>7.3938</v>
      </c>
      <c r="C121" t="n">
        <v/>
      </c>
      <c r="D121" t="n">
        <v/>
      </c>
      <c r="E121" t="n">
        <v/>
      </c>
      <c r="F121" t="n">
        <v/>
      </c>
      <c r="G121" t="n">
        <v/>
      </c>
      <c r="H121" t="n">
        <v>32.7633</v>
      </c>
      <c r="I121" t="n">
        <v/>
      </c>
      <c r="J121" t="n">
        <v/>
      </c>
      <c r="K121" t="n">
        <v/>
      </c>
    </row>
    <row r="122">
      <c r="A122" s="98" t="n">
        <v>10594</v>
      </c>
      <c r="B122" t="n">
        <v>7.5014</v>
      </c>
      <c r="C122" t="n">
        <v/>
      </c>
      <c r="D122" t="n">
        <v/>
      </c>
      <c r="E122" t="n">
        <v/>
      </c>
      <c r="F122" t="n">
        <v/>
      </c>
      <c r="G122" t="n">
        <v/>
      </c>
      <c r="H122" t="n">
        <v>34.4805</v>
      </c>
      <c r="I122" t="n">
        <v/>
      </c>
      <c r="J122" t="n">
        <v/>
      </c>
      <c r="K122" t="n">
        <v/>
      </c>
    </row>
    <row r="123">
      <c r="A123" s="98" t="n">
        <v>10625</v>
      </c>
      <c r="B123" t="n">
        <v>7.4745</v>
      </c>
      <c r="C123" t="n">
        <v/>
      </c>
      <c r="D123" t="n">
        <v/>
      </c>
      <c r="E123" t="n">
        <v/>
      </c>
      <c r="F123" t="n">
        <v/>
      </c>
      <c r="G123" t="n">
        <v/>
      </c>
      <c r="H123" t="n">
        <v>35.1673</v>
      </c>
      <c r="I123" t="n">
        <v/>
      </c>
      <c r="J123" t="n">
        <v/>
      </c>
      <c r="K123" t="n">
        <v/>
      </c>
    </row>
    <row r="124">
      <c r="A124" s="98" t="n">
        <v>10653</v>
      </c>
      <c r="B124" t="n">
        <v>7.5014</v>
      </c>
      <c r="C124" t="n">
        <v/>
      </c>
      <c r="D124" t="n">
        <v/>
      </c>
      <c r="E124" t="n">
        <v/>
      </c>
      <c r="F124" t="n">
        <v/>
      </c>
      <c r="G124" t="n">
        <v/>
      </c>
      <c r="H124" t="n">
        <v>32.9694</v>
      </c>
      <c r="I124" t="n">
        <v/>
      </c>
      <c r="J124" t="n">
        <v/>
      </c>
      <c r="K124" t="n">
        <v/>
      </c>
    </row>
    <row r="125">
      <c r="A125" s="98" t="n">
        <v>10684</v>
      </c>
      <c r="B125" t="n">
        <v>7.6358</v>
      </c>
      <c r="C125" t="n">
        <v/>
      </c>
      <c r="D125" t="n">
        <v/>
      </c>
      <c r="E125" t="n">
        <v/>
      </c>
      <c r="F125" t="n">
        <v/>
      </c>
      <c r="G125" t="n">
        <v/>
      </c>
      <c r="H125" t="n">
        <v>34.6179</v>
      </c>
      <c r="I125" t="n">
        <v/>
      </c>
      <c r="J125" t="n">
        <v/>
      </c>
      <c r="K125" t="n">
        <v/>
      </c>
    </row>
    <row r="126">
      <c r="A126" s="98" t="n">
        <v>10714</v>
      </c>
      <c r="B126" t="n">
        <v>7.7703</v>
      </c>
      <c r="C126" t="n">
        <v/>
      </c>
      <c r="D126" t="n">
        <v/>
      </c>
      <c r="E126" t="n">
        <v/>
      </c>
      <c r="F126" t="n">
        <v/>
      </c>
      <c r="G126" t="n">
        <v/>
      </c>
      <c r="H126" t="n">
        <v>34.2744</v>
      </c>
      <c r="I126" t="n">
        <v/>
      </c>
      <c r="J126" t="n">
        <v/>
      </c>
      <c r="K126" t="n">
        <v/>
      </c>
    </row>
    <row r="127">
      <c r="A127" s="98" t="n">
        <v>10745</v>
      </c>
      <c r="B127" t="n">
        <v>7.824</v>
      </c>
      <c r="C127" t="n">
        <v/>
      </c>
      <c r="D127" t="n">
        <v/>
      </c>
      <c r="E127" t="n">
        <v/>
      </c>
      <c r="F127" t="n">
        <v/>
      </c>
      <c r="G127" t="n">
        <v/>
      </c>
      <c r="H127" t="n">
        <v>34.0684</v>
      </c>
      <c r="I127" t="n">
        <v/>
      </c>
      <c r="J127" t="n">
        <v/>
      </c>
      <c r="K127" t="n">
        <v/>
      </c>
    </row>
    <row r="128">
      <c r="A128" s="98" t="n">
        <v>10775</v>
      </c>
      <c r="B128" t="n">
        <v>7.9316</v>
      </c>
      <c r="C128" t="n">
        <v/>
      </c>
      <c r="D128" t="n">
        <v/>
      </c>
      <c r="E128" t="n">
        <v/>
      </c>
      <c r="F128" t="n">
        <v/>
      </c>
      <c r="G128" t="n">
        <v/>
      </c>
      <c r="H128" t="n">
        <v>34.9613</v>
      </c>
      <c r="I128" t="n">
        <v/>
      </c>
      <c r="J128" t="n">
        <v/>
      </c>
      <c r="K128" t="n">
        <v/>
      </c>
    </row>
    <row r="129">
      <c r="A129" s="98" t="n">
        <v>10806</v>
      </c>
      <c r="B129" t="n">
        <v>7.8509</v>
      </c>
      <c r="C129" t="n">
        <v/>
      </c>
      <c r="D129" t="n">
        <v/>
      </c>
      <c r="E129" t="n">
        <v/>
      </c>
      <c r="F129" t="n">
        <v/>
      </c>
      <c r="G129" t="n">
        <v/>
      </c>
      <c r="H129" t="n">
        <v>34.6866</v>
      </c>
      <c r="I129" t="n">
        <v/>
      </c>
      <c r="J129" t="n">
        <v/>
      </c>
      <c r="K129" t="n">
        <v/>
      </c>
    </row>
    <row r="130">
      <c r="A130" s="98" t="n">
        <v>10837</v>
      </c>
      <c r="B130" t="n">
        <v>7.7972</v>
      </c>
      <c r="C130" t="n">
        <v/>
      </c>
      <c r="D130" t="n">
        <v/>
      </c>
      <c r="E130" t="n">
        <v/>
      </c>
      <c r="F130" t="n">
        <v/>
      </c>
      <c r="G130" t="n">
        <v/>
      </c>
      <c r="H130" t="n">
        <v>35.3047</v>
      </c>
      <c r="I130" t="n">
        <v/>
      </c>
      <c r="J130" t="n">
        <v/>
      </c>
      <c r="K130" t="n">
        <v/>
      </c>
    </row>
    <row r="131">
      <c r="A131" s="98" t="n">
        <v>10867</v>
      </c>
      <c r="B131" t="n">
        <v>7.6627</v>
      </c>
      <c r="C131" t="n">
        <v/>
      </c>
      <c r="D131" t="n">
        <v/>
      </c>
      <c r="E131" t="n">
        <v/>
      </c>
      <c r="F131" t="n">
        <v/>
      </c>
      <c r="G131" t="n">
        <v/>
      </c>
      <c r="H131" t="n">
        <v>34.4118</v>
      </c>
      <c r="I131" t="n">
        <v/>
      </c>
      <c r="J131" t="n">
        <v/>
      </c>
      <c r="K131" t="n">
        <v/>
      </c>
    </row>
    <row r="132">
      <c r="A132" s="98" t="n">
        <v>10898</v>
      </c>
      <c r="B132" t="n">
        <v>7.2863</v>
      </c>
      <c r="C132" t="n">
        <v/>
      </c>
      <c r="D132" t="n">
        <v/>
      </c>
      <c r="E132" t="n">
        <v/>
      </c>
      <c r="F132" t="n">
        <v/>
      </c>
      <c r="G132" t="n">
        <v/>
      </c>
      <c r="H132" t="n">
        <v>32.9007</v>
      </c>
      <c r="I132" t="n">
        <v/>
      </c>
      <c r="J132" t="n">
        <v/>
      </c>
      <c r="K132" t="n">
        <v/>
      </c>
    </row>
    <row r="133">
      <c r="A133" s="98" t="n">
        <v>10928</v>
      </c>
      <c r="B133" t="n">
        <v>6.9637</v>
      </c>
      <c r="C133" t="n">
        <v/>
      </c>
      <c r="D133" t="n">
        <v/>
      </c>
      <c r="E133" t="n">
        <v/>
      </c>
      <c r="F133" t="n">
        <v/>
      </c>
      <c r="G133" t="n">
        <v/>
      </c>
      <c r="H133" t="n">
        <v>33.8623</v>
      </c>
      <c r="I133" t="n">
        <v/>
      </c>
      <c r="J133" t="n">
        <v/>
      </c>
      <c r="K133" t="n">
        <v/>
      </c>
    </row>
    <row r="134">
      <c r="A134" s="98" t="n">
        <v>10959</v>
      </c>
      <c r="B134" t="n">
        <v>6.9637</v>
      </c>
      <c r="C134" t="n">
        <v/>
      </c>
      <c r="D134" t="n">
        <v/>
      </c>
      <c r="E134" t="n">
        <v/>
      </c>
      <c r="F134" t="n">
        <v/>
      </c>
      <c r="G134" t="n">
        <v/>
      </c>
      <c r="H134" t="n">
        <v>32.9007</v>
      </c>
      <c r="I134" t="n">
        <v/>
      </c>
      <c r="J134" t="n">
        <v/>
      </c>
      <c r="K134" t="n">
        <v/>
      </c>
    </row>
    <row r="135">
      <c r="A135" s="98" t="n">
        <v>10990</v>
      </c>
      <c r="B135" t="n">
        <v>6.9368</v>
      </c>
      <c r="C135" t="n">
        <v/>
      </c>
      <c r="D135" t="n">
        <v/>
      </c>
      <c r="E135" t="n">
        <v/>
      </c>
      <c r="F135" t="n">
        <v/>
      </c>
      <c r="G135" t="n">
        <v/>
      </c>
      <c r="H135" t="n">
        <v>32.0078</v>
      </c>
      <c r="I135" t="n">
        <v/>
      </c>
      <c r="J135" t="n">
        <v/>
      </c>
      <c r="K135" t="n">
        <v/>
      </c>
    </row>
    <row r="136">
      <c r="A136" s="98" t="n">
        <v>11018</v>
      </c>
      <c r="B136" t="n">
        <v>6.8292</v>
      </c>
      <c r="C136" t="n">
        <v/>
      </c>
      <c r="D136" t="n">
        <v/>
      </c>
      <c r="E136" t="n">
        <v/>
      </c>
      <c r="F136" t="n">
        <v/>
      </c>
      <c r="G136" t="n">
        <v/>
      </c>
      <c r="H136" t="n">
        <v>30.1533</v>
      </c>
      <c r="I136" t="n">
        <v/>
      </c>
      <c r="J136" t="n">
        <v/>
      </c>
      <c r="K136" t="n">
        <v/>
      </c>
    </row>
    <row r="137">
      <c r="A137" s="98" t="n">
        <v>11049</v>
      </c>
      <c r="B137" t="n">
        <v>6.7755</v>
      </c>
      <c r="C137" t="n">
        <v/>
      </c>
      <c r="D137" t="n">
        <v/>
      </c>
      <c r="E137" t="n">
        <v/>
      </c>
      <c r="F137" t="n">
        <v/>
      </c>
      <c r="G137" t="n">
        <v/>
      </c>
      <c r="H137" t="n">
        <v>30.7714</v>
      </c>
      <c r="I137" t="n">
        <v/>
      </c>
      <c r="J137" t="n">
        <v/>
      </c>
      <c r="K137" t="n">
        <v/>
      </c>
    </row>
    <row r="138">
      <c r="A138" s="98" t="n">
        <v>11079</v>
      </c>
      <c r="B138" t="n">
        <v>6.6679</v>
      </c>
      <c r="C138" t="n">
        <v/>
      </c>
      <c r="D138" t="n">
        <v/>
      </c>
      <c r="E138" t="n">
        <v/>
      </c>
      <c r="F138" t="n">
        <v/>
      </c>
      <c r="G138" t="n">
        <v/>
      </c>
      <c r="H138" t="n">
        <v>30.6341</v>
      </c>
      <c r="I138" t="n">
        <v/>
      </c>
      <c r="J138" t="n">
        <v/>
      </c>
      <c r="K138" t="n">
        <v/>
      </c>
    </row>
    <row r="139">
      <c r="A139" s="98" t="n">
        <v>11110</v>
      </c>
      <c r="B139" t="n">
        <v>6.4797</v>
      </c>
      <c r="C139" t="n">
        <v/>
      </c>
      <c r="D139" t="n">
        <v/>
      </c>
      <c r="E139" t="n">
        <v/>
      </c>
      <c r="F139" t="n">
        <v/>
      </c>
      <c r="G139" t="n">
        <v/>
      </c>
      <c r="H139" t="n">
        <v>30.428</v>
      </c>
      <c r="I139" t="n">
        <v/>
      </c>
      <c r="J139" t="n">
        <v/>
      </c>
      <c r="K139" t="n">
        <v/>
      </c>
    </row>
    <row r="140">
      <c r="A140" s="98" t="n">
        <v>11140</v>
      </c>
      <c r="B140" t="n">
        <v>6.1839</v>
      </c>
      <c r="C140" t="n">
        <v/>
      </c>
      <c r="D140" t="n">
        <v/>
      </c>
      <c r="E140" t="n">
        <v/>
      </c>
      <c r="F140" t="n">
        <v/>
      </c>
      <c r="G140" t="n">
        <v/>
      </c>
      <c r="H140" t="n">
        <v>30.0159</v>
      </c>
      <c r="I140" t="n">
        <v/>
      </c>
      <c r="J140" t="n">
        <v/>
      </c>
      <c r="K140" t="n">
        <v/>
      </c>
    </row>
    <row r="141">
      <c r="A141" s="98" t="n">
        <v>11171</v>
      </c>
      <c r="B141" t="n">
        <v>6.0495</v>
      </c>
      <c r="C141" t="n">
        <v/>
      </c>
      <c r="D141" t="n">
        <v/>
      </c>
      <c r="E141" t="n">
        <v/>
      </c>
      <c r="F141" t="n">
        <v/>
      </c>
      <c r="G141" t="n">
        <v/>
      </c>
      <c r="H141" t="n">
        <v>29.1917</v>
      </c>
      <c r="I141" t="n">
        <v/>
      </c>
      <c r="J141" t="n">
        <v/>
      </c>
      <c r="K141" t="n">
        <v/>
      </c>
    </row>
    <row r="142">
      <c r="A142" s="98" t="n">
        <v>11202</v>
      </c>
      <c r="B142" t="n">
        <v>5.942</v>
      </c>
      <c r="C142" t="n">
        <v/>
      </c>
      <c r="D142" t="n">
        <v/>
      </c>
      <c r="E142" t="n">
        <v/>
      </c>
      <c r="F142" t="n">
        <v/>
      </c>
      <c r="G142" t="n">
        <v/>
      </c>
      <c r="H142" t="n">
        <v>28.5048</v>
      </c>
      <c r="I142" t="n">
        <v/>
      </c>
      <c r="J142" t="n">
        <v/>
      </c>
      <c r="K142" t="n">
        <v/>
      </c>
    </row>
    <row r="143">
      <c r="A143" s="98" t="n">
        <v>11232</v>
      </c>
      <c r="B143" t="n">
        <v>5.7806</v>
      </c>
      <c r="C143" t="n">
        <v/>
      </c>
      <c r="D143" t="n">
        <v/>
      </c>
      <c r="E143" t="n">
        <v/>
      </c>
      <c r="F143" t="n">
        <v/>
      </c>
      <c r="G143" t="n">
        <v/>
      </c>
      <c r="H143" t="n">
        <v>28.3674</v>
      </c>
      <c r="I143" t="n">
        <v/>
      </c>
      <c r="J143" t="n">
        <v/>
      </c>
      <c r="K143" t="n">
        <v/>
      </c>
    </row>
    <row r="144">
      <c r="A144" s="98" t="n">
        <v>11263</v>
      </c>
      <c r="B144" t="n">
        <v>5.6462</v>
      </c>
      <c r="C144" t="n">
        <v/>
      </c>
      <c r="D144" t="n">
        <v/>
      </c>
      <c r="E144" t="n">
        <v/>
      </c>
      <c r="F144" t="n">
        <v/>
      </c>
      <c r="G144" t="n">
        <v/>
      </c>
      <c r="H144" t="n">
        <v>27.9553</v>
      </c>
      <c r="I144" t="n">
        <v/>
      </c>
      <c r="J144" t="n">
        <v/>
      </c>
      <c r="K144" t="n">
        <v/>
      </c>
    </row>
    <row r="145">
      <c r="A145" s="98" t="n">
        <v>11293</v>
      </c>
      <c r="B145" t="n">
        <v>5.5118</v>
      </c>
      <c r="C145" t="n">
        <v/>
      </c>
      <c r="D145" t="n">
        <v/>
      </c>
      <c r="E145" t="n">
        <v/>
      </c>
      <c r="F145" t="n">
        <v/>
      </c>
      <c r="G145" t="n">
        <v/>
      </c>
      <c r="H145" t="n">
        <v>27.2684</v>
      </c>
      <c r="I145" t="n">
        <v/>
      </c>
      <c r="J145" t="n">
        <v/>
      </c>
      <c r="K145" t="n">
        <v/>
      </c>
    </row>
    <row r="146">
      <c r="A146" s="98" t="n">
        <v>11324</v>
      </c>
      <c r="B146" t="n">
        <v>5.4849</v>
      </c>
      <c r="C146" t="n">
        <v/>
      </c>
      <c r="D146" t="n">
        <v/>
      </c>
      <c r="E146" t="n">
        <v/>
      </c>
      <c r="F146" t="n">
        <v/>
      </c>
      <c r="G146" t="n">
        <v/>
      </c>
      <c r="H146" t="n">
        <v>26.3068</v>
      </c>
      <c r="I146" t="n">
        <v/>
      </c>
      <c r="J146" t="n">
        <v/>
      </c>
      <c r="K146" t="n">
        <v/>
      </c>
    </row>
    <row r="147">
      <c r="A147" s="98" t="n">
        <v>11355</v>
      </c>
      <c r="B147" t="n">
        <v>5.5118</v>
      </c>
      <c r="C147" t="n">
        <v/>
      </c>
      <c r="D147" t="n">
        <v/>
      </c>
      <c r="E147" t="n">
        <v/>
      </c>
      <c r="F147" t="n">
        <v/>
      </c>
      <c r="G147" t="n">
        <v/>
      </c>
      <c r="H147" t="n">
        <v>25.5513</v>
      </c>
      <c r="I147" t="n">
        <v/>
      </c>
      <c r="J147" t="n">
        <v/>
      </c>
      <c r="K147" t="n">
        <v/>
      </c>
    </row>
    <row r="148">
      <c r="A148" s="98" t="n">
        <v>11383</v>
      </c>
      <c r="B148" t="n">
        <v>5.6193</v>
      </c>
      <c r="C148" t="n">
        <v/>
      </c>
      <c r="D148" t="n">
        <v/>
      </c>
      <c r="E148" t="n">
        <v/>
      </c>
      <c r="F148" t="n">
        <v/>
      </c>
      <c r="G148" t="n">
        <v/>
      </c>
      <c r="H148" t="n">
        <v>26.5129</v>
      </c>
      <c r="I148" t="n">
        <v/>
      </c>
      <c r="J148" t="n">
        <v/>
      </c>
      <c r="K148" t="n">
        <v/>
      </c>
    </row>
    <row r="149">
      <c r="A149" s="98" t="n">
        <v>11414</v>
      </c>
      <c r="B149" t="n">
        <v>5.6462</v>
      </c>
      <c r="C149" t="n">
        <v/>
      </c>
      <c r="D149" t="n">
        <v/>
      </c>
      <c r="E149" t="n">
        <v/>
      </c>
      <c r="F149" t="n">
        <v/>
      </c>
      <c r="G149" t="n">
        <v/>
      </c>
      <c r="H149" t="n">
        <v>26.7189</v>
      </c>
      <c r="I149" t="n">
        <v/>
      </c>
      <c r="J149" t="n">
        <v/>
      </c>
      <c r="K149" t="n">
        <v/>
      </c>
    </row>
    <row r="150">
      <c r="A150" s="98" t="n">
        <v>11444</v>
      </c>
      <c r="B150" t="n">
        <v>5.5656</v>
      </c>
      <c r="C150" t="n">
        <v/>
      </c>
      <c r="D150" t="n">
        <v/>
      </c>
      <c r="E150" t="n">
        <v/>
      </c>
      <c r="F150" t="n">
        <v/>
      </c>
      <c r="G150" t="n">
        <v/>
      </c>
      <c r="H150" t="n">
        <v>26.1695</v>
      </c>
      <c r="I150" t="n">
        <v/>
      </c>
      <c r="J150" t="n">
        <v/>
      </c>
      <c r="K150" t="n">
        <v/>
      </c>
    </row>
    <row r="151">
      <c r="A151" s="98" t="n">
        <v>11475</v>
      </c>
      <c r="B151" t="n">
        <v>5.4311</v>
      </c>
      <c r="C151" t="n">
        <v/>
      </c>
      <c r="D151" t="n">
        <v/>
      </c>
      <c r="E151" t="n">
        <v/>
      </c>
      <c r="F151" t="n">
        <v/>
      </c>
      <c r="G151" t="n">
        <v/>
      </c>
      <c r="H151" t="n">
        <v>26.4442</v>
      </c>
      <c r="I151" t="n">
        <v/>
      </c>
      <c r="J151" t="n">
        <v/>
      </c>
      <c r="K151" t="n">
        <v/>
      </c>
    </row>
    <row r="152">
      <c r="A152" s="98" t="n">
        <v>11505</v>
      </c>
      <c r="B152" t="n">
        <v>5.3505</v>
      </c>
      <c r="C152" t="n">
        <v/>
      </c>
      <c r="D152" t="n">
        <v/>
      </c>
      <c r="E152" t="n">
        <v/>
      </c>
      <c r="F152" t="n">
        <v/>
      </c>
      <c r="G152" t="n">
        <v/>
      </c>
      <c r="H152" t="n">
        <v>26.3068</v>
      </c>
      <c r="I152" t="n">
        <v/>
      </c>
      <c r="J152" t="n">
        <v/>
      </c>
      <c r="K152" t="n">
        <v/>
      </c>
    </row>
    <row r="153">
      <c r="A153" s="98" t="n">
        <v>11536</v>
      </c>
      <c r="B153" t="n">
        <v>5.1622</v>
      </c>
      <c r="C153" t="n">
        <v/>
      </c>
      <c r="D153" t="n">
        <v/>
      </c>
      <c r="E153" t="n">
        <v/>
      </c>
      <c r="F153" t="n">
        <v/>
      </c>
      <c r="G153" t="n">
        <v/>
      </c>
      <c r="H153" t="n">
        <v>24.4523</v>
      </c>
      <c r="I153" t="n">
        <v/>
      </c>
      <c r="J153" t="n">
        <v/>
      </c>
      <c r="K153" t="n">
        <v/>
      </c>
    </row>
    <row r="154">
      <c r="A154" s="98" t="n">
        <v>11567</v>
      </c>
      <c r="B154" t="n">
        <v>4.9203</v>
      </c>
      <c r="C154" t="n">
        <v/>
      </c>
      <c r="D154" t="n">
        <v/>
      </c>
      <c r="E154" t="n">
        <v/>
      </c>
      <c r="F154" t="n">
        <v/>
      </c>
      <c r="G154" t="n">
        <v/>
      </c>
      <c r="H154" t="n">
        <v>23.9028</v>
      </c>
      <c r="I154" t="n">
        <v/>
      </c>
      <c r="J154" t="n">
        <v/>
      </c>
      <c r="K154" t="n">
        <v/>
      </c>
    </row>
    <row r="155">
      <c r="A155" s="98" t="n">
        <v>11597</v>
      </c>
      <c r="B155" t="n">
        <v>4.7321</v>
      </c>
      <c r="C155" t="n">
        <v/>
      </c>
      <c r="D155" t="n">
        <v/>
      </c>
      <c r="E155" t="n">
        <v/>
      </c>
      <c r="F155" t="n">
        <v/>
      </c>
      <c r="G155" t="n">
        <v/>
      </c>
      <c r="H155" t="n">
        <v>25.0705</v>
      </c>
      <c r="I155" t="n">
        <v/>
      </c>
      <c r="J155" t="n">
        <v/>
      </c>
      <c r="K155" t="n">
        <v/>
      </c>
    </row>
    <row r="156">
      <c r="A156" s="98" t="n">
        <v>11628</v>
      </c>
      <c r="B156" t="n">
        <v>4.6783</v>
      </c>
      <c r="C156" t="n">
        <v/>
      </c>
      <c r="D156" t="n">
        <v/>
      </c>
      <c r="E156" t="n">
        <v/>
      </c>
      <c r="F156" t="n">
        <v/>
      </c>
      <c r="G156" t="n">
        <v/>
      </c>
      <c r="H156" t="n">
        <v>25.2079</v>
      </c>
      <c r="I156" t="n">
        <v/>
      </c>
      <c r="J156" t="n">
        <v/>
      </c>
      <c r="K156" t="n">
        <v/>
      </c>
    </row>
    <row r="157">
      <c r="A157" s="98" t="n">
        <v>11658</v>
      </c>
      <c r="B157" t="n">
        <v>4.6514</v>
      </c>
      <c r="C157" t="n">
        <v/>
      </c>
      <c r="D157" t="n">
        <v/>
      </c>
      <c r="E157" t="n">
        <v/>
      </c>
      <c r="F157" t="n">
        <v/>
      </c>
      <c r="G157" t="n">
        <v/>
      </c>
      <c r="H157" t="n">
        <v>24.7957</v>
      </c>
      <c r="I157" t="n">
        <v/>
      </c>
      <c r="J157" t="n">
        <v/>
      </c>
      <c r="K157" t="n">
        <v/>
      </c>
    </row>
    <row r="158">
      <c r="A158" s="98" t="n">
        <v>11689</v>
      </c>
      <c r="B158" t="n">
        <v>4.517</v>
      </c>
      <c r="C158" t="n">
        <v/>
      </c>
      <c r="D158" t="n">
        <v/>
      </c>
      <c r="E158" t="n">
        <v/>
      </c>
      <c r="F158" t="n">
        <v/>
      </c>
      <c r="G158" t="n">
        <v/>
      </c>
      <c r="H158" t="n">
        <v>22.4604</v>
      </c>
      <c r="I158" t="n">
        <v/>
      </c>
      <c r="J158" t="n">
        <v/>
      </c>
      <c r="K158" t="n">
        <v/>
      </c>
    </row>
    <row r="159">
      <c r="A159" s="98" t="n">
        <v>11720</v>
      </c>
      <c r="B159" t="n">
        <v>4.4094</v>
      </c>
      <c r="C159" t="n">
        <v/>
      </c>
      <c r="D159" t="n">
        <v/>
      </c>
      <c r="E159" t="n">
        <v/>
      </c>
      <c r="F159" t="n">
        <v/>
      </c>
      <c r="G159" t="n">
        <v/>
      </c>
      <c r="H159" t="n">
        <v>22.1856</v>
      </c>
      <c r="I159" t="n">
        <v/>
      </c>
      <c r="J159" t="n">
        <v/>
      </c>
      <c r="K159" t="n">
        <v/>
      </c>
    </row>
    <row r="160">
      <c r="A160" s="98" t="n">
        <v>11749</v>
      </c>
      <c r="B160" t="n">
        <v>4.3556</v>
      </c>
      <c r="C160" t="n">
        <v/>
      </c>
      <c r="D160" t="n">
        <v/>
      </c>
      <c r="E160" t="n">
        <v/>
      </c>
      <c r="F160" t="n">
        <v/>
      </c>
      <c r="G160" t="n">
        <v/>
      </c>
      <c r="H160" t="n">
        <v>23.5594</v>
      </c>
      <c r="I160" t="n">
        <v/>
      </c>
      <c r="J160" t="n">
        <v/>
      </c>
      <c r="K160" t="n">
        <v/>
      </c>
    </row>
    <row r="161">
      <c r="A161" s="98" t="n">
        <v>11780</v>
      </c>
      <c r="B161" t="n">
        <v>4.0599</v>
      </c>
      <c r="C161" t="n">
        <v/>
      </c>
      <c r="D161" t="n">
        <v/>
      </c>
      <c r="E161" t="n">
        <v/>
      </c>
      <c r="F161" t="n">
        <v/>
      </c>
      <c r="G161" t="n">
        <v/>
      </c>
      <c r="H161" t="n">
        <v>22.0483</v>
      </c>
      <c r="I161" t="n">
        <v/>
      </c>
      <c r="J161" t="n">
        <v/>
      </c>
      <c r="K161" t="n">
        <v/>
      </c>
    </row>
    <row r="162">
      <c r="A162" s="98" t="n">
        <v>11810</v>
      </c>
      <c r="B162" t="n">
        <v>3.9255</v>
      </c>
      <c r="C162" t="n">
        <v/>
      </c>
      <c r="D162" t="n">
        <v/>
      </c>
      <c r="E162" t="n">
        <v/>
      </c>
      <c r="F162" t="n">
        <v/>
      </c>
      <c r="G162" t="n">
        <v/>
      </c>
      <c r="H162" t="n">
        <v>20.1937</v>
      </c>
      <c r="I162" t="n">
        <v/>
      </c>
      <c r="J162" t="n">
        <v/>
      </c>
      <c r="K162" t="n">
        <v/>
      </c>
    </row>
    <row r="163">
      <c r="A163" s="98" t="n">
        <v>11841</v>
      </c>
      <c r="B163" t="n">
        <v>3.791</v>
      </c>
      <c r="C163" t="n">
        <v/>
      </c>
      <c r="D163" t="n">
        <v/>
      </c>
      <c r="E163" t="n">
        <v/>
      </c>
      <c r="F163" t="n">
        <v/>
      </c>
      <c r="G163" t="n">
        <v/>
      </c>
      <c r="H163" t="n">
        <v>19.2321</v>
      </c>
      <c r="I163" t="n">
        <v/>
      </c>
      <c r="J163" t="n">
        <v/>
      </c>
      <c r="K163" t="n">
        <v/>
      </c>
    </row>
    <row r="164">
      <c r="A164" s="98" t="n">
        <v>11871</v>
      </c>
      <c r="B164" t="n">
        <v>3.6835</v>
      </c>
      <c r="C164" t="n">
        <v/>
      </c>
      <c r="D164" t="n">
        <v/>
      </c>
      <c r="E164" t="n">
        <v/>
      </c>
      <c r="F164" t="n">
        <v/>
      </c>
      <c r="G164" t="n">
        <v/>
      </c>
      <c r="H164" t="n">
        <v>19.6443</v>
      </c>
      <c r="I164" t="n">
        <v/>
      </c>
      <c r="J164" t="n">
        <v/>
      </c>
      <c r="K164" t="n">
        <v/>
      </c>
    </row>
    <row r="165">
      <c r="A165" s="98" t="n">
        <v>11902</v>
      </c>
      <c r="B165" t="n">
        <v>3.791</v>
      </c>
      <c r="C165" t="n">
        <v/>
      </c>
      <c r="D165" t="n">
        <v/>
      </c>
      <c r="E165" t="n">
        <v/>
      </c>
      <c r="F165" t="n">
        <v/>
      </c>
      <c r="G165" t="n">
        <v/>
      </c>
      <c r="H165" t="n">
        <v>20.2624</v>
      </c>
      <c r="I165" t="n">
        <v/>
      </c>
      <c r="J165" t="n">
        <v/>
      </c>
      <c r="K165" t="n">
        <v/>
      </c>
    </row>
    <row r="166">
      <c r="A166" s="98" t="n">
        <v>11933</v>
      </c>
      <c r="B166" t="n">
        <v>4.033</v>
      </c>
      <c r="C166" t="n">
        <v/>
      </c>
      <c r="D166" t="n">
        <v/>
      </c>
      <c r="E166" t="n">
        <v/>
      </c>
      <c r="F166" t="n">
        <v/>
      </c>
      <c r="G166" t="n">
        <v/>
      </c>
      <c r="H166" t="n">
        <v>21.4301</v>
      </c>
      <c r="I166" t="n">
        <v/>
      </c>
      <c r="J166" t="n">
        <v/>
      </c>
      <c r="K166" t="n">
        <v/>
      </c>
    </row>
    <row r="167">
      <c r="A167" s="98" t="n">
        <v>11963</v>
      </c>
      <c r="B167" t="n">
        <v>4.1674</v>
      </c>
      <c r="C167" t="n">
        <v/>
      </c>
      <c r="D167" t="n">
        <v/>
      </c>
      <c r="E167" t="n">
        <v/>
      </c>
      <c r="F167" t="n">
        <v/>
      </c>
      <c r="G167" t="n">
        <v/>
      </c>
      <c r="H167" t="n">
        <v>21.9796</v>
      </c>
      <c r="I167" t="n">
        <v/>
      </c>
      <c r="J167" t="n">
        <v/>
      </c>
      <c r="K167" t="n">
        <v/>
      </c>
    </row>
    <row r="168">
      <c r="A168" s="98" t="n">
        <v>11994</v>
      </c>
      <c r="B168" t="n">
        <v>4.1674</v>
      </c>
      <c r="C168" t="n">
        <v/>
      </c>
      <c r="D168" t="n">
        <v/>
      </c>
      <c r="E168" t="n">
        <v/>
      </c>
      <c r="F168" t="n">
        <v/>
      </c>
      <c r="G168" t="n">
        <v/>
      </c>
      <c r="H168" t="n">
        <v>22.117</v>
      </c>
      <c r="I168" t="n">
        <v/>
      </c>
      <c r="J168" t="n">
        <v/>
      </c>
      <c r="K168" t="n">
        <v/>
      </c>
    </row>
    <row r="169">
      <c r="A169" s="98" t="n">
        <v>12024</v>
      </c>
      <c r="B169" t="n">
        <v>4.0868</v>
      </c>
      <c r="C169" t="n">
        <v/>
      </c>
      <c r="D169" t="n">
        <v/>
      </c>
      <c r="E169" t="n">
        <v/>
      </c>
      <c r="F169" t="n">
        <v/>
      </c>
      <c r="G169" t="n">
        <v/>
      </c>
      <c r="H169" t="n">
        <v>20.9493</v>
      </c>
      <c r="I169" t="n">
        <v/>
      </c>
      <c r="J169" t="n">
        <v/>
      </c>
      <c r="K169" t="n">
        <v/>
      </c>
    </row>
    <row r="170">
      <c r="A170" s="98" t="n">
        <v>12055</v>
      </c>
      <c r="B170" t="n">
        <v>4.0061</v>
      </c>
      <c r="C170" t="n">
        <v/>
      </c>
      <c r="D170" t="n">
        <v/>
      </c>
      <c r="E170" t="n">
        <v/>
      </c>
      <c r="F170" t="n">
        <v/>
      </c>
      <c r="G170" t="n">
        <v/>
      </c>
      <c r="H170" t="n">
        <v>21.0867</v>
      </c>
      <c r="I170" t="n">
        <v/>
      </c>
      <c r="J170" t="n">
        <v/>
      </c>
      <c r="K170" t="n">
        <v/>
      </c>
    </row>
    <row r="171">
      <c r="A171" s="98" t="n">
        <v>12086</v>
      </c>
      <c r="B171" t="n">
        <v>4.033</v>
      </c>
      <c r="C171" t="n">
        <v/>
      </c>
      <c r="D171" t="n">
        <v/>
      </c>
      <c r="E171" t="n">
        <v/>
      </c>
      <c r="F171" t="n">
        <v/>
      </c>
      <c r="G171" t="n">
        <v/>
      </c>
      <c r="H171" t="n">
        <v>22.117</v>
      </c>
      <c r="I171" t="n">
        <v/>
      </c>
      <c r="J171" t="n">
        <v/>
      </c>
      <c r="K171" t="n">
        <v/>
      </c>
    </row>
    <row r="172">
      <c r="A172" s="98" t="n">
        <v>12114</v>
      </c>
      <c r="B172" t="n">
        <v>3.791</v>
      </c>
      <c r="C172" t="n">
        <v/>
      </c>
      <c r="D172" t="n">
        <v/>
      </c>
      <c r="E172" t="n">
        <v/>
      </c>
      <c r="F172" t="n">
        <v/>
      </c>
      <c r="G172" t="n">
        <v/>
      </c>
      <c r="H172" t="n">
        <v>22.8038</v>
      </c>
      <c r="I172" t="n">
        <v/>
      </c>
      <c r="J172" t="n">
        <v/>
      </c>
      <c r="K172" t="n">
        <v/>
      </c>
    </row>
    <row r="173">
      <c r="A173" s="98" t="n">
        <v>12145</v>
      </c>
      <c r="B173" t="n">
        <v>4.0599</v>
      </c>
      <c r="C173" t="n">
        <v/>
      </c>
      <c r="D173" t="n">
        <v/>
      </c>
      <c r="E173" t="n">
        <v/>
      </c>
      <c r="F173" t="n">
        <v/>
      </c>
      <c r="G173" t="n">
        <v/>
      </c>
      <c r="H173" t="n">
        <v>20.8119</v>
      </c>
      <c r="I173" t="n">
        <v/>
      </c>
      <c r="J173" t="n">
        <v/>
      </c>
      <c r="K173" t="n">
        <v/>
      </c>
    </row>
    <row r="174">
      <c r="A174" s="98" t="n">
        <v>12175</v>
      </c>
      <c r="B174" t="n">
        <v>4.7321</v>
      </c>
      <c r="C174" t="n">
        <v/>
      </c>
      <c r="D174" t="n">
        <v/>
      </c>
      <c r="E174" t="n">
        <v/>
      </c>
      <c r="F174" t="n">
        <v/>
      </c>
      <c r="G174" t="n">
        <v/>
      </c>
      <c r="H174" t="n">
        <v>24.2462</v>
      </c>
      <c r="I174" t="n">
        <v/>
      </c>
      <c r="J174" t="n">
        <v/>
      </c>
      <c r="K174" t="n">
        <v/>
      </c>
    </row>
    <row r="175">
      <c r="A175" s="98" t="n">
        <v>12206</v>
      </c>
      <c r="B175" t="n">
        <v>5.458</v>
      </c>
      <c r="C175" t="n">
        <v/>
      </c>
      <c r="D175" t="n">
        <v/>
      </c>
      <c r="E175" t="n">
        <v/>
      </c>
      <c r="F175" t="n">
        <v/>
      </c>
      <c r="G175" t="n">
        <v/>
      </c>
      <c r="H175" t="n">
        <v>25.5513</v>
      </c>
      <c r="I175" t="n">
        <v/>
      </c>
      <c r="J175" t="n">
        <v/>
      </c>
      <c r="K175" t="n">
        <v/>
      </c>
    </row>
    <row r="176">
      <c r="A176" s="98" t="n">
        <v>12236</v>
      </c>
      <c r="B176" t="n">
        <v>5.9688</v>
      </c>
      <c r="C176" t="n">
        <v/>
      </c>
      <c r="D176" t="n">
        <v/>
      </c>
      <c r="E176" t="n">
        <v/>
      </c>
      <c r="F176" t="n">
        <v/>
      </c>
      <c r="G176" t="n">
        <v/>
      </c>
      <c r="H176" t="n">
        <v>26.719</v>
      </c>
      <c r="I176" t="n">
        <v/>
      </c>
      <c r="J176" t="n">
        <v/>
      </c>
      <c r="K176" t="n">
        <v/>
      </c>
    </row>
    <row r="177">
      <c r="A177" s="98" t="n">
        <v>12267</v>
      </c>
      <c r="B177" t="n">
        <v>5.7269</v>
      </c>
      <c r="C177" t="n">
        <v/>
      </c>
      <c r="D177" t="n">
        <v/>
      </c>
      <c r="E177" t="n">
        <v/>
      </c>
      <c r="F177" t="n">
        <v/>
      </c>
      <c r="G177" t="n">
        <v/>
      </c>
      <c r="H177" t="n">
        <v>27.8179</v>
      </c>
      <c r="I177" t="n">
        <v/>
      </c>
      <c r="J177" t="n">
        <v/>
      </c>
      <c r="K177" t="n">
        <v/>
      </c>
    </row>
    <row r="178">
      <c r="A178" s="98" t="n">
        <v>12298</v>
      </c>
      <c r="B178" t="n">
        <v>5.4042</v>
      </c>
      <c r="C178" t="n">
        <v/>
      </c>
      <c r="D178" t="n">
        <v/>
      </c>
      <c r="E178" t="n">
        <v/>
      </c>
      <c r="F178" t="n">
        <v/>
      </c>
      <c r="G178" t="n">
        <v/>
      </c>
      <c r="H178" t="n">
        <v>26.0321</v>
      </c>
      <c r="I178" t="n">
        <v/>
      </c>
      <c r="J178" t="n">
        <v/>
      </c>
      <c r="K178" t="n">
        <v/>
      </c>
    </row>
    <row r="179">
      <c r="A179" s="98" t="n">
        <v>12328</v>
      </c>
      <c r="B179" t="n">
        <v>5.1354</v>
      </c>
      <c r="C179" t="n">
        <v/>
      </c>
      <c r="D179" t="n">
        <v/>
      </c>
      <c r="E179" t="n">
        <v/>
      </c>
      <c r="F179" t="n">
        <v/>
      </c>
      <c r="G179" t="n">
        <v/>
      </c>
      <c r="H179" t="n">
        <v>24.521</v>
      </c>
      <c r="I179" t="n">
        <v/>
      </c>
      <c r="J179" t="n">
        <v/>
      </c>
      <c r="K179" t="n">
        <v/>
      </c>
    </row>
    <row r="180">
      <c r="A180" s="98" t="n">
        <v>12359</v>
      </c>
      <c r="B180" t="n">
        <v>4.8396</v>
      </c>
      <c r="C180" t="n">
        <v/>
      </c>
      <c r="D180" t="n">
        <v/>
      </c>
      <c r="E180" t="n">
        <v/>
      </c>
      <c r="F180" t="n">
        <v/>
      </c>
      <c r="G180" t="n">
        <v/>
      </c>
      <c r="H180" t="n">
        <v>24.521</v>
      </c>
      <c r="I180" t="n">
        <v/>
      </c>
      <c r="J180" t="n">
        <v/>
      </c>
      <c r="K180" t="n">
        <v/>
      </c>
    </row>
    <row r="181">
      <c r="A181" s="98" t="n">
        <v>12389</v>
      </c>
      <c r="B181" t="n">
        <v>4.8665</v>
      </c>
      <c r="C181" t="n">
        <v/>
      </c>
      <c r="D181" t="n">
        <v/>
      </c>
      <c r="E181" t="n">
        <v/>
      </c>
      <c r="F181" t="n">
        <v/>
      </c>
      <c r="G181" t="n">
        <v/>
      </c>
      <c r="H181" t="n">
        <v>24.4523</v>
      </c>
      <c r="I181" t="n">
        <v/>
      </c>
      <c r="J181" t="n">
        <v/>
      </c>
      <c r="K181" t="n">
        <v/>
      </c>
    </row>
    <row r="182">
      <c r="A182" s="98" t="n">
        <v>12420</v>
      </c>
      <c r="B182" t="n">
        <v>5.0278</v>
      </c>
      <c r="C182" t="n">
        <v/>
      </c>
      <c r="D182" t="n">
        <v/>
      </c>
      <c r="E182" t="n">
        <v/>
      </c>
      <c r="F182" t="n">
        <v/>
      </c>
      <c r="G182" t="n">
        <v/>
      </c>
      <c r="H182" t="n">
        <v>25.0705</v>
      </c>
      <c r="I182" t="n">
        <v/>
      </c>
      <c r="J182" t="n">
        <v/>
      </c>
      <c r="K182" t="n">
        <v/>
      </c>
    </row>
    <row r="183">
      <c r="A183" s="98" t="n">
        <v>12451</v>
      </c>
      <c r="B183" t="n">
        <v>5.2698</v>
      </c>
      <c r="C183" t="n">
        <v/>
      </c>
      <c r="D183" t="n">
        <v/>
      </c>
      <c r="E183" t="n">
        <v/>
      </c>
      <c r="F183" t="n">
        <v/>
      </c>
      <c r="G183" t="n">
        <v/>
      </c>
      <c r="H183" t="n">
        <v>25.4826</v>
      </c>
      <c r="I183" t="n">
        <v/>
      </c>
      <c r="J183" t="n">
        <v/>
      </c>
      <c r="K183" t="n">
        <v/>
      </c>
    </row>
    <row r="184">
      <c r="A184" s="98" t="n">
        <v>12479</v>
      </c>
      <c r="B184" t="n">
        <v>5.5118</v>
      </c>
      <c r="C184" t="n">
        <v/>
      </c>
      <c r="D184" t="n">
        <v/>
      </c>
      <c r="E184" t="n">
        <v/>
      </c>
      <c r="F184" t="n">
        <v/>
      </c>
      <c r="G184" t="n">
        <v/>
      </c>
      <c r="H184" t="n">
        <v>27.3371</v>
      </c>
      <c r="I184" t="n">
        <v/>
      </c>
      <c r="J184" t="n">
        <v/>
      </c>
      <c r="K184" t="n">
        <v/>
      </c>
    </row>
    <row r="185">
      <c r="A185" s="98" t="n">
        <v>12510</v>
      </c>
      <c r="B185" t="n">
        <v>5.5118</v>
      </c>
      <c r="C185" t="n">
        <v/>
      </c>
      <c r="D185" t="n">
        <v/>
      </c>
      <c r="E185" t="n">
        <v/>
      </c>
      <c r="F185" t="n">
        <v/>
      </c>
      <c r="G185" t="n">
        <v/>
      </c>
      <c r="H185" t="n">
        <v>25.6886</v>
      </c>
      <c r="I185" t="n">
        <v/>
      </c>
      <c r="J185" t="n">
        <v/>
      </c>
      <c r="K185" t="n">
        <v/>
      </c>
    </row>
    <row r="186">
      <c r="A186" s="98" t="n">
        <v>12540</v>
      </c>
      <c r="B186" t="n">
        <v>5.6193</v>
      </c>
      <c r="C186" t="n">
        <v/>
      </c>
      <c r="D186" t="n">
        <v/>
      </c>
      <c r="E186" t="n">
        <v/>
      </c>
      <c r="F186" t="n">
        <v/>
      </c>
      <c r="G186" t="n">
        <v/>
      </c>
      <c r="H186" t="n">
        <v>25.9634</v>
      </c>
      <c r="I186" t="n">
        <v/>
      </c>
      <c r="J186" t="n">
        <v/>
      </c>
      <c r="K186" t="n">
        <v/>
      </c>
    </row>
    <row r="187">
      <c r="A187" s="98" t="n">
        <v>12571</v>
      </c>
      <c r="B187" t="n">
        <v>5.5118</v>
      </c>
      <c r="C187" t="n">
        <v/>
      </c>
      <c r="D187" t="n">
        <v/>
      </c>
      <c r="E187" t="n">
        <v/>
      </c>
      <c r="F187" t="n">
        <v/>
      </c>
      <c r="G187" t="n">
        <v/>
      </c>
      <c r="H187" t="n">
        <v>25.7573</v>
      </c>
      <c r="I187" t="n">
        <v/>
      </c>
      <c r="J187" t="n">
        <v/>
      </c>
      <c r="K187" t="n">
        <v/>
      </c>
    </row>
    <row r="188">
      <c r="A188" s="98" t="n">
        <v>12601</v>
      </c>
      <c r="B188" t="n">
        <v>5.1354</v>
      </c>
      <c r="C188" t="n">
        <v/>
      </c>
      <c r="D188" t="n">
        <v/>
      </c>
      <c r="E188" t="n">
        <v/>
      </c>
      <c r="F188" t="n">
        <v/>
      </c>
      <c r="G188" t="n">
        <v/>
      </c>
      <c r="H188" t="n">
        <v>25.4826</v>
      </c>
      <c r="I188" t="n">
        <v/>
      </c>
      <c r="J188" t="n">
        <v/>
      </c>
      <c r="K188" t="n">
        <v/>
      </c>
    </row>
    <row r="189">
      <c r="A189" s="98" t="n">
        <v>12632</v>
      </c>
      <c r="B189" t="n">
        <v>5.0816</v>
      </c>
      <c r="C189" t="n">
        <v/>
      </c>
      <c r="D189" t="n">
        <v/>
      </c>
      <c r="E189" t="n">
        <v/>
      </c>
      <c r="F189" t="n">
        <v/>
      </c>
      <c r="G189" t="n">
        <v/>
      </c>
      <c r="H189" t="n">
        <v>25.1392</v>
      </c>
      <c r="I189" t="n">
        <v/>
      </c>
      <c r="J189" t="n">
        <v/>
      </c>
      <c r="K189" t="n">
        <v/>
      </c>
    </row>
    <row r="190">
      <c r="A190" s="98" t="n">
        <v>12663</v>
      </c>
      <c r="B190" t="n">
        <v>4.7858</v>
      </c>
      <c r="C190" t="n">
        <v/>
      </c>
      <c r="D190" t="n">
        <v/>
      </c>
      <c r="E190" t="n">
        <v/>
      </c>
      <c r="F190" t="n">
        <v/>
      </c>
      <c r="G190" t="n">
        <v/>
      </c>
      <c r="H190" t="n">
        <v>25.2079</v>
      </c>
      <c r="I190" t="n">
        <v/>
      </c>
      <c r="J190" t="n">
        <v/>
      </c>
      <c r="K190" t="n">
        <v/>
      </c>
    </row>
    <row r="191">
      <c r="A191" s="98" t="n">
        <v>12693</v>
      </c>
      <c r="B191" t="n">
        <v>5.0009</v>
      </c>
      <c r="C191" t="n">
        <v/>
      </c>
      <c r="D191" t="n">
        <v/>
      </c>
      <c r="E191" t="n">
        <v/>
      </c>
      <c r="F191" t="n">
        <v/>
      </c>
      <c r="G191" t="n">
        <v/>
      </c>
      <c r="H191" t="n">
        <v>24.7957</v>
      </c>
      <c r="I191" t="n">
        <v/>
      </c>
      <c r="J191" t="n">
        <v/>
      </c>
      <c r="K191" t="n">
        <v/>
      </c>
    </row>
    <row r="192">
      <c r="A192" s="98" t="n">
        <v>12724</v>
      </c>
      <c r="B192" t="n">
        <v>5.0547</v>
      </c>
      <c r="C192" t="n">
        <v/>
      </c>
      <c r="D192" t="n">
        <v/>
      </c>
      <c r="E192" t="n">
        <v/>
      </c>
      <c r="F192" t="n">
        <v/>
      </c>
      <c r="G192" t="n">
        <v/>
      </c>
      <c r="H192" t="n">
        <v>24.9331</v>
      </c>
      <c r="I192" t="n">
        <v/>
      </c>
      <c r="J192" t="n">
        <v/>
      </c>
      <c r="K192" t="n">
        <v/>
      </c>
    </row>
    <row r="193">
      <c r="A193" s="98" t="n">
        <v>12754</v>
      </c>
      <c r="B193" t="n">
        <v>5.3773</v>
      </c>
      <c r="C193" t="n">
        <v/>
      </c>
      <c r="D193" t="n">
        <v/>
      </c>
      <c r="E193" t="n">
        <v/>
      </c>
      <c r="F193" t="n">
        <v/>
      </c>
      <c r="G193" t="n">
        <v/>
      </c>
      <c r="H193" t="n">
        <v>25.6887</v>
      </c>
      <c r="I193" t="n">
        <v/>
      </c>
      <c r="J193" t="n">
        <v/>
      </c>
      <c r="K193" t="n">
        <v/>
      </c>
    </row>
    <row r="194">
      <c r="A194" s="98" t="n">
        <v>12785</v>
      </c>
      <c r="B194" t="n">
        <v>5.8075</v>
      </c>
      <c r="C194" t="n">
        <v/>
      </c>
      <c r="D194" t="n">
        <v/>
      </c>
      <c r="E194" t="n">
        <v/>
      </c>
      <c r="F194" t="n">
        <v/>
      </c>
      <c r="G194" t="n">
        <v/>
      </c>
      <c r="H194" t="n">
        <v>26.9937</v>
      </c>
      <c r="I194" t="n">
        <v/>
      </c>
      <c r="J194" t="n">
        <v/>
      </c>
      <c r="K194" t="n">
        <v/>
      </c>
    </row>
    <row r="195">
      <c r="A195" s="98" t="n">
        <v>12816</v>
      </c>
      <c r="B195" t="n">
        <v>5.9151</v>
      </c>
      <c r="C195" t="n">
        <v/>
      </c>
      <c r="D195" t="n">
        <v/>
      </c>
      <c r="E195" t="n">
        <v/>
      </c>
      <c r="F195" t="n">
        <v/>
      </c>
      <c r="G195" t="n">
        <v/>
      </c>
      <c r="H195" t="n">
        <v>27.1311</v>
      </c>
      <c r="I195" t="n">
        <v/>
      </c>
      <c r="J195" t="n">
        <v/>
      </c>
      <c r="K195" t="n">
        <v/>
      </c>
    </row>
    <row r="196">
      <c r="A196" s="98" t="n">
        <v>12844</v>
      </c>
      <c r="B196" t="n">
        <v>5.8882</v>
      </c>
      <c r="C196" t="n">
        <v/>
      </c>
      <c r="D196" t="n">
        <v/>
      </c>
      <c r="E196" t="n">
        <v/>
      </c>
      <c r="F196" t="n">
        <v/>
      </c>
      <c r="G196" t="n">
        <v/>
      </c>
      <c r="H196" t="n">
        <v>27.9553</v>
      </c>
      <c r="I196" t="n">
        <v/>
      </c>
      <c r="J196" t="n">
        <v/>
      </c>
      <c r="K196" t="n">
        <v/>
      </c>
    </row>
    <row r="197">
      <c r="A197" s="98" t="n">
        <v>12875</v>
      </c>
      <c r="B197" t="n">
        <v>5.7806</v>
      </c>
      <c r="C197" t="n">
        <v/>
      </c>
      <c r="D197" t="n">
        <v/>
      </c>
      <c r="E197" t="n">
        <v/>
      </c>
      <c r="F197" t="n">
        <v/>
      </c>
      <c r="G197" t="n">
        <v/>
      </c>
      <c r="H197" t="n">
        <v>25.62</v>
      </c>
      <c r="I197" t="n">
        <v/>
      </c>
      <c r="J197" t="n">
        <v/>
      </c>
      <c r="K197" t="n">
        <v/>
      </c>
    </row>
    <row r="198">
      <c r="A198" s="98" t="n">
        <v>12905</v>
      </c>
      <c r="B198" t="n">
        <v>5.7806</v>
      </c>
      <c r="C198" t="n">
        <v/>
      </c>
      <c r="D198" t="n">
        <v/>
      </c>
      <c r="E198" t="n">
        <v/>
      </c>
      <c r="F198" t="n">
        <v/>
      </c>
      <c r="G198" t="n">
        <v/>
      </c>
      <c r="H198" t="n">
        <v>26.719</v>
      </c>
      <c r="I198" t="n">
        <v/>
      </c>
      <c r="J198" t="n">
        <v/>
      </c>
      <c r="K198" t="n">
        <v/>
      </c>
    </row>
    <row r="199">
      <c r="A199" s="98" t="n">
        <v>12936</v>
      </c>
      <c r="B199" t="n">
        <v>5.8613</v>
      </c>
      <c r="C199" t="n">
        <v/>
      </c>
      <c r="D199" t="n">
        <v/>
      </c>
      <c r="E199" t="n">
        <v/>
      </c>
      <c r="F199" t="n">
        <v/>
      </c>
      <c r="G199" t="n">
        <v/>
      </c>
      <c r="H199" t="n">
        <v>29.123</v>
      </c>
      <c r="I199" t="n">
        <v/>
      </c>
      <c r="J199" t="n">
        <v/>
      </c>
      <c r="K199" t="n">
        <v/>
      </c>
    </row>
    <row r="200">
      <c r="A200" s="98" t="n">
        <v>12966</v>
      </c>
      <c r="B200" t="n">
        <v>5.8613</v>
      </c>
      <c r="C200" t="n">
        <v/>
      </c>
      <c r="D200" t="n">
        <v/>
      </c>
      <c r="E200" t="n">
        <v/>
      </c>
      <c r="F200" t="n">
        <v/>
      </c>
      <c r="G200" t="n">
        <v/>
      </c>
      <c r="H200" t="n">
        <v>26.3068</v>
      </c>
      <c r="I200" t="n">
        <v/>
      </c>
      <c r="J200" t="n">
        <v/>
      </c>
      <c r="K200" t="n">
        <v/>
      </c>
    </row>
    <row r="201">
      <c r="A201" s="98" t="n">
        <v>12997</v>
      </c>
      <c r="B201" t="n">
        <v>6.0764</v>
      </c>
      <c r="C201" t="n">
        <v/>
      </c>
      <c r="D201" t="n">
        <v/>
      </c>
      <c r="E201" t="n">
        <v/>
      </c>
      <c r="F201" t="n">
        <v/>
      </c>
      <c r="G201" t="n">
        <v/>
      </c>
      <c r="H201" t="n">
        <v>26.5129</v>
      </c>
      <c r="I201" t="n">
        <v/>
      </c>
      <c r="J201" t="n">
        <v/>
      </c>
      <c r="K201" t="n">
        <v/>
      </c>
    </row>
    <row r="202">
      <c r="A202" s="98" t="n">
        <v>13028</v>
      </c>
      <c r="B202" t="n">
        <v>6.2377</v>
      </c>
      <c r="C202" t="n">
        <v/>
      </c>
      <c r="D202" t="n">
        <v/>
      </c>
      <c r="E202" t="n">
        <v/>
      </c>
      <c r="F202" t="n">
        <v/>
      </c>
      <c r="G202" t="n">
        <v/>
      </c>
      <c r="H202" t="n">
        <v>27.1311</v>
      </c>
      <c r="I202" t="n">
        <v/>
      </c>
      <c r="J202" t="n">
        <v/>
      </c>
      <c r="K202" t="n">
        <v/>
      </c>
    </row>
    <row r="203">
      <c r="A203" s="98" t="n">
        <v>13058</v>
      </c>
      <c r="B203" t="n">
        <v>6.4259</v>
      </c>
      <c r="C203" t="n">
        <v/>
      </c>
      <c r="D203" t="n">
        <v/>
      </c>
      <c r="E203" t="n">
        <v/>
      </c>
      <c r="F203" t="n">
        <v/>
      </c>
      <c r="G203" t="n">
        <v/>
      </c>
      <c r="H203" t="n">
        <v>28.7795</v>
      </c>
      <c r="I203" t="n">
        <v/>
      </c>
      <c r="J203" t="n">
        <v/>
      </c>
      <c r="K203" t="n">
        <v/>
      </c>
    </row>
    <row r="204">
      <c r="A204" s="98" t="n">
        <v>13089</v>
      </c>
      <c r="B204" t="n">
        <v>6.5604</v>
      </c>
      <c r="C204" t="n">
        <v/>
      </c>
      <c r="D204" t="n">
        <v/>
      </c>
      <c r="E204" t="n">
        <v/>
      </c>
      <c r="F204" t="n">
        <v/>
      </c>
      <c r="G204" t="n">
        <v/>
      </c>
      <c r="H204" t="n">
        <v>29.0543</v>
      </c>
      <c r="I204" t="n">
        <v/>
      </c>
      <c r="J204" t="n">
        <v/>
      </c>
      <c r="K204" t="n">
        <v/>
      </c>
    </row>
    <row r="205">
      <c r="A205" s="98" t="n">
        <v>13119</v>
      </c>
      <c r="B205" t="n">
        <v>6.641</v>
      </c>
      <c r="C205" t="n">
        <v/>
      </c>
      <c r="D205" t="n">
        <v/>
      </c>
      <c r="E205" t="n">
        <v/>
      </c>
      <c r="F205" t="n">
        <v/>
      </c>
      <c r="G205" t="n">
        <v/>
      </c>
      <c r="H205" t="n">
        <v>29.8098</v>
      </c>
      <c r="I205" t="n">
        <v/>
      </c>
      <c r="J205" t="n">
        <v/>
      </c>
      <c r="K205" t="n">
        <v/>
      </c>
    </row>
    <row r="206">
      <c r="A206" s="98" t="n">
        <v>13150</v>
      </c>
      <c r="B206" t="n">
        <v>6.5335</v>
      </c>
      <c r="C206" t="n">
        <v/>
      </c>
      <c r="D206" t="n">
        <v/>
      </c>
      <c r="E206" t="n">
        <v/>
      </c>
      <c r="F206" t="n">
        <v/>
      </c>
      <c r="G206" t="n">
        <v/>
      </c>
      <c r="H206" t="n">
        <v>30.3593</v>
      </c>
      <c r="I206" t="n">
        <v/>
      </c>
      <c r="J206" t="n">
        <v/>
      </c>
      <c r="K206" t="n">
        <v/>
      </c>
    </row>
    <row r="207">
      <c r="A207" s="98" t="n">
        <v>13181</v>
      </c>
      <c r="B207" t="n">
        <v>6.3722</v>
      </c>
      <c r="C207" t="n">
        <v/>
      </c>
      <c r="D207" t="n">
        <v/>
      </c>
      <c r="E207" t="n">
        <v/>
      </c>
      <c r="F207" t="n">
        <v/>
      </c>
      <c r="G207" t="n">
        <v/>
      </c>
      <c r="H207" t="n">
        <v>31.2522</v>
      </c>
      <c r="I207" t="n">
        <v/>
      </c>
      <c r="J207" t="n">
        <v/>
      </c>
      <c r="K207" t="n">
        <v/>
      </c>
    </row>
    <row r="208">
      <c r="A208" s="98" t="n">
        <v>13210</v>
      </c>
      <c r="B208" t="n">
        <v>6.4528</v>
      </c>
      <c r="C208" t="n">
        <v/>
      </c>
      <c r="D208" t="n">
        <v/>
      </c>
      <c r="E208" t="n">
        <v/>
      </c>
      <c r="F208" t="n">
        <v/>
      </c>
      <c r="G208" t="n">
        <v/>
      </c>
      <c r="H208" t="n">
        <v>29.1916</v>
      </c>
      <c r="I208" t="n">
        <v/>
      </c>
      <c r="J208" t="n">
        <v/>
      </c>
      <c r="K208" t="n">
        <v/>
      </c>
    </row>
    <row r="209">
      <c r="A209" s="98" t="n">
        <v>13241</v>
      </c>
      <c r="B209" t="n">
        <v>6.8561</v>
      </c>
      <c r="C209" t="n">
        <v/>
      </c>
      <c r="D209" t="n">
        <v/>
      </c>
      <c r="E209" t="n">
        <v/>
      </c>
      <c r="F209" t="n">
        <v/>
      </c>
      <c r="G209" t="n">
        <v/>
      </c>
      <c r="H209" t="n">
        <v>31.3896</v>
      </c>
      <c r="I209" t="n">
        <v/>
      </c>
      <c r="J209" t="n">
        <v/>
      </c>
      <c r="K209" t="n">
        <v/>
      </c>
    </row>
    <row r="210">
      <c r="A210" s="98" t="n">
        <v>13271</v>
      </c>
      <c r="B210" t="n">
        <v>6.9905</v>
      </c>
      <c r="C210" t="n">
        <v/>
      </c>
      <c r="D210" t="n">
        <v/>
      </c>
      <c r="E210" t="n">
        <v/>
      </c>
      <c r="F210" t="n">
        <v/>
      </c>
      <c r="G210" t="n">
        <v/>
      </c>
      <c r="H210" t="n">
        <v>30.6341</v>
      </c>
      <c r="I210" t="n">
        <v/>
      </c>
      <c r="J210" t="n">
        <v/>
      </c>
      <c r="K210" t="n">
        <v/>
      </c>
    </row>
    <row r="211">
      <c r="A211" s="98" t="n">
        <v>13302</v>
      </c>
      <c r="B211" t="n">
        <v>7.125</v>
      </c>
      <c r="C211" t="n">
        <v/>
      </c>
      <c r="D211" t="n">
        <v/>
      </c>
      <c r="E211" t="n">
        <v/>
      </c>
      <c r="F211" t="n">
        <v/>
      </c>
      <c r="G211" t="n">
        <v/>
      </c>
      <c r="H211" t="n">
        <v>31.0462</v>
      </c>
      <c r="I211" t="n">
        <v/>
      </c>
      <c r="J211" t="n">
        <v/>
      </c>
      <c r="K211" t="n">
        <v/>
      </c>
    </row>
    <row r="212">
      <c r="A212" s="98" t="n">
        <v>13332</v>
      </c>
      <c r="B212" t="n">
        <v>7.2594</v>
      </c>
      <c r="C212" t="n">
        <v/>
      </c>
      <c r="D212" t="n">
        <v/>
      </c>
      <c r="E212" t="n">
        <v/>
      </c>
      <c r="F212" t="n">
        <v/>
      </c>
      <c r="G212" t="n">
        <v/>
      </c>
      <c r="H212" t="n">
        <v>31.6644</v>
      </c>
      <c r="I212" t="n">
        <v/>
      </c>
      <c r="J212" t="n">
        <v/>
      </c>
      <c r="K212" t="n">
        <v/>
      </c>
    </row>
    <row r="213">
      <c r="A213" s="98" t="n">
        <v>13363</v>
      </c>
      <c r="B213" t="n">
        <v>7.367</v>
      </c>
      <c r="C213" t="n">
        <v/>
      </c>
      <c r="D213" t="n">
        <v/>
      </c>
      <c r="E213" t="n">
        <v/>
      </c>
      <c r="F213" t="n">
        <v/>
      </c>
      <c r="G213" t="n">
        <v/>
      </c>
      <c r="H213" t="n">
        <v>31.6644</v>
      </c>
      <c r="I213" t="n">
        <v/>
      </c>
      <c r="J213" t="n">
        <v/>
      </c>
      <c r="K213" t="n">
        <v/>
      </c>
    </row>
    <row r="214">
      <c r="A214" s="98" t="n">
        <v>13394</v>
      </c>
      <c r="B214" t="n">
        <v>7.5014</v>
      </c>
      <c r="C214" t="n">
        <v/>
      </c>
      <c r="D214" t="n">
        <v/>
      </c>
      <c r="E214" t="n">
        <v/>
      </c>
      <c r="F214" t="n">
        <v/>
      </c>
      <c r="G214" t="n">
        <v/>
      </c>
      <c r="H214" t="n">
        <v>32.1451</v>
      </c>
      <c r="I214" t="n">
        <v/>
      </c>
      <c r="J214" t="n">
        <v/>
      </c>
      <c r="K214" t="n">
        <v/>
      </c>
    </row>
    <row r="215">
      <c r="A215" s="98" t="n">
        <v>13424</v>
      </c>
      <c r="B215" t="n">
        <v>7.6089</v>
      </c>
      <c r="C215" t="n">
        <v/>
      </c>
      <c r="D215" t="n">
        <v/>
      </c>
      <c r="E215" t="n">
        <v/>
      </c>
      <c r="F215" t="n">
        <v/>
      </c>
      <c r="G215" t="n">
        <v/>
      </c>
      <c r="H215" t="n">
        <v>32.7633</v>
      </c>
      <c r="I215" t="n">
        <v/>
      </c>
      <c r="J215" t="n">
        <v/>
      </c>
      <c r="K215" t="n">
        <v/>
      </c>
    </row>
    <row r="216">
      <c r="A216" s="98" t="n">
        <v>13455</v>
      </c>
      <c r="B216" t="n">
        <v>7.824</v>
      </c>
      <c r="C216" t="n">
        <v/>
      </c>
      <c r="D216" t="n">
        <v/>
      </c>
      <c r="E216" t="n">
        <v/>
      </c>
      <c r="F216" t="n">
        <v/>
      </c>
      <c r="G216" t="n">
        <v/>
      </c>
      <c r="H216" t="n">
        <v>34.2058</v>
      </c>
      <c r="I216" t="n">
        <v/>
      </c>
      <c r="J216" t="n">
        <v/>
      </c>
      <c r="K216" t="n">
        <v/>
      </c>
    </row>
    <row r="217">
      <c r="A217" s="98" t="n">
        <v>13485</v>
      </c>
      <c r="B217" t="n">
        <v>8.066000000000001</v>
      </c>
      <c r="C217" t="n">
        <v/>
      </c>
      <c r="D217" t="n">
        <v/>
      </c>
      <c r="E217" t="n">
        <v/>
      </c>
      <c r="F217" t="n">
        <v/>
      </c>
      <c r="G217" t="n">
        <v/>
      </c>
      <c r="H217" t="n">
        <v>34.4805</v>
      </c>
      <c r="I217" t="n">
        <v/>
      </c>
      <c r="J217" t="n">
        <v/>
      </c>
      <c r="K217" t="n">
        <v/>
      </c>
    </row>
    <row r="218">
      <c r="A218" s="98" t="n">
        <v>13516</v>
      </c>
      <c r="B218" t="n">
        <v>8.039099999999999</v>
      </c>
      <c r="C218" t="n">
        <v/>
      </c>
      <c r="D218" t="n">
        <v/>
      </c>
      <c r="E218" t="n">
        <v/>
      </c>
      <c r="F218" t="n">
        <v/>
      </c>
      <c r="G218" t="n">
        <v/>
      </c>
      <c r="H218" t="n">
        <v>33.8623</v>
      </c>
      <c r="I218" t="n">
        <v/>
      </c>
      <c r="J218" t="n">
        <v/>
      </c>
      <c r="K218" t="n">
        <v/>
      </c>
    </row>
    <row r="219">
      <c r="A219" s="98" t="n">
        <v>13547</v>
      </c>
      <c r="B219" t="n">
        <v>8.146699999999999</v>
      </c>
      <c r="C219" t="n">
        <v/>
      </c>
      <c r="D219" t="n">
        <v/>
      </c>
      <c r="E219" t="n">
        <v/>
      </c>
      <c r="F219" t="n">
        <v/>
      </c>
      <c r="G219" t="n">
        <v/>
      </c>
      <c r="H219" t="n">
        <v>34.7552</v>
      </c>
      <c r="I219" t="n">
        <v/>
      </c>
      <c r="J219" t="n">
        <v/>
      </c>
      <c r="K219" t="n">
        <v/>
      </c>
    </row>
    <row r="220">
      <c r="A220" s="98" t="n">
        <v>13575</v>
      </c>
      <c r="B220" t="n">
        <v>8.334899999999999</v>
      </c>
      <c r="C220" t="n">
        <v/>
      </c>
      <c r="D220" t="n">
        <v/>
      </c>
      <c r="E220" t="n">
        <v/>
      </c>
      <c r="F220" t="n">
        <v/>
      </c>
      <c r="G220" t="n">
        <v/>
      </c>
      <c r="H220" t="n">
        <v>38.2582</v>
      </c>
      <c r="I220" t="n">
        <v/>
      </c>
      <c r="J220" t="n">
        <v/>
      </c>
      <c r="K220" t="n">
        <v/>
      </c>
    </row>
    <row r="221">
      <c r="A221" s="98" t="n">
        <v>13606</v>
      </c>
      <c r="B221" t="n">
        <v>8.334899999999999</v>
      </c>
      <c r="C221" t="n">
        <v/>
      </c>
      <c r="D221" t="n">
        <v/>
      </c>
      <c r="E221" t="n">
        <v/>
      </c>
      <c r="F221" t="n">
        <v/>
      </c>
      <c r="G221" t="n">
        <v/>
      </c>
      <c r="H221" t="n">
        <v>35.236</v>
      </c>
      <c r="I221" t="n">
        <v/>
      </c>
      <c r="J221" t="n">
        <v/>
      </c>
      <c r="K221" t="n">
        <v/>
      </c>
    </row>
    <row r="222">
      <c r="A222" s="98" t="n">
        <v>13636</v>
      </c>
      <c r="B222" t="n">
        <v>8.361800000000001</v>
      </c>
      <c r="C222" t="n">
        <v/>
      </c>
      <c r="D222" t="n">
        <v/>
      </c>
      <c r="E222" t="n">
        <v/>
      </c>
      <c r="F222" t="n">
        <v/>
      </c>
      <c r="G222" t="n">
        <v/>
      </c>
      <c r="H222" t="n">
        <v>35.6482</v>
      </c>
      <c r="I222" t="n">
        <v/>
      </c>
      <c r="J222" t="n">
        <v/>
      </c>
      <c r="K222" t="n">
        <v/>
      </c>
    </row>
    <row r="223">
      <c r="A223" s="98" t="n">
        <v>13667</v>
      </c>
      <c r="B223" t="n">
        <v>8.254200000000001</v>
      </c>
      <c r="C223" t="n">
        <v/>
      </c>
      <c r="D223" t="n">
        <v/>
      </c>
      <c r="E223" t="n">
        <v/>
      </c>
      <c r="F223" t="n">
        <v/>
      </c>
      <c r="G223" t="n">
        <v/>
      </c>
      <c r="H223" t="n">
        <v>36.8158</v>
      </c>
      <c r="I223" t="n">
        <v/>
      </c>
      <c r="J223" t="n">
        <v/>
      </c>
      <c r="K223" t="n">
        <v/>
      </c>
    </row>
    <row r="224">
      <c r="A224" s="98" t="n">
        <v>13697</v>
      </c>
      <c r="B224" t="n">
        <v>8.308</v>
      </c>
      <c r="C224" t="n">
        <v/>
      </c>
      <c r="D224" t="n">
        <v/>
      </c>
      <c r="E224" t="n">
        <v/>
      </c>
      <c r="F224" t="n">
        <v/>
      </c>
      <c r="G224" t="n">
        <v/>
      </c>
      <c r="H224" t="n">
        <v>36.3351</v>
      </c>
      <c r="I224" t="n">
        <v/>
      </c>
      <c r="J224" t="n">
        <v/>
      </c>
      <c r="K224" t="n">
        <v/>
      </c>
    </row>
    <row r="225">
      <c r="A225" s="98" t="n">
        <v>13728</v>
      </c>
      <c r="B225" t="n">
        <v>8.254200000000001</v>
      </c>
      <c r="C225" t="n">
        <v/>
      </c>
      <c r="D225" t="n">
        <v/>
      </c>
      <c r="E225" t="n">
        <v/>
      </c>
      <c r="F225" t="n">
        <v/>
      </c>
      <c r="G225" t="n">
        <v/>
      </c>
      <c r="H225" t="n">
        <v>36.8158</v>
      </c>
      <c r="I225" t="n">
        <v/>
      </c>
      <c r="J225" t="n">
        <v/>
      </c>
      <c r="K225" t="n">
        <v/>
      </c>
    </row>
    <row r="226">
      <c r="A226" s="98" t="n">
        <v>13759</v>
      </c>
      <c r="B226" t="n">
        <v>7.9854</v>
      </c>
      <c r="C226" t="n">
        <v/>
      </c>
      <c r="D226" t="n">
        <v/>
      </c>
      <c r="E226" t="n">
        <v/>
      </c>
      <c r="F226" t="n">
        <v/>
      </c>
      <c r="G226" t="n">
        <v/>
      </c>
      <c r="H226" t="n">
        <v>37.2279</v>
      </c>
      <c r="I226" t="n">
        <v/>
      </c>
      <c r="J226" t="n">
        <v/>
      </c>
      <c r="K226" t="n">
        <v/>
      </c>
    </row>
    <row r="227">
      <c r="A227" s="98" t="n">
        <v>13789</v>
      </c>
      <c r="B227" t="n">
        <v>7.3938</v>
      </c>
      <c r="C227" t="n">
        <v/>
      </c>
      <c r="D227" t="n">
        <v/>
      </c>
      <c r="E227" t="n">
        <v/>
      </c>
      <c r="F227" t="n">
        <v/>
      </c>
      <c r="G227" t="n">
        <v/>
      </c>
      <c r="H227" t="n">
        <v>36.129</v>
      </c>
      <c r="I227" t="n">
        <v/>
      </c>
      <c r="J227" t="n">
        <v/>
      </c>
      <c r="K227" t="n">
        <v/>
      </c>
    </row>
    <row r="228">
      <c r="A228" s="98" t="n">
        <v>13820</v>
      </c>
      <c r="B228" t="n">
        <v>6.6679</v>
      </c>
      <c r="C228" t="n">
        <v/>
      </c>
      <c r="D228" t="n">
        <v/>
      </c>
      <c r="E228" t="n">
        <v/>
      </c>
      <c r="F228" t="n">
        <v/>
      </c>
      <c r="G228" t="n">
        <v/>
      </c>
      <c r="H228" t="n">
        <v>35.236</v>
      </c>
      <c r="I228" t="n">
        <v/>
      </c>
      <c r="J228" t="n">
        <v/>
      </c>
      <c r="K228" t="n">
        <v/>
      </c>
    </row>
    <row r="229">
      <c r="A229" s="98" t="n">
        <v>13850</v>
      </c>
      <c r="B229" t="n">
        <v>6.0764</v>
      </c>
      <c r="C229" t="n">
        <v/>
      </c>
      <c r="D229" t="n">
        <v/>
      </c>
      <c r="E229" t="n">
        <v/>
      </c>
      <c r="F229" t="n">
        <v/>
      </c>
      <c r="G229" t="n">
        <v/>
      </c>
      <c r="H229" t="n">
        <v>34.4118</v>
      </c>
      <c r="I229" t="n">
        <v/>
      </c>
      <c r="J229" t="n">
        <v/>
      </c>
      <c r="K229" t="n">
        <v/>
      </c>
    </row>
    <row r="230">
      <c r="A230" s="98" t="n">
        <v>13881</v>
      </c>
      <c r="B230" t="n">
        <v>5.942</v>
      </c>
      <c r="C230" t="n">
        <v/>
      </c>
      <c r="D230" t="n">
        <v/>
      </c>
      <c r="E230" t="n">
        <v/>
      </c>
      <c r="F230" t="n">
        <v/>
      </c>
      <c r="G230" t="n">
        <v/>
      </c>
      <c r="H230" t="n">
        <v>32.9694</v>
      </c>
      <c r="I230" t="n">
        <v/>
      </c>
      <c r="J230" t="n">
        <v/>
      </c>
      <c r="K230" t="n">
        <v/>
      </c>
    </row>
    <row r="231">
      <c r="A231" s="98" t="n">
        <v>13912</v>
      </c>
      <c r="B231" t="n">
        <v>5.8882</v>
      </c>
      <c r="C231" t="n">
        <v/>
      </c>
      <c r="D231" t="n">
        <v/>
      </c>
      <c r="E231" t="n">
        <v/>
      </c>
      <c r="F231" t="n">
        <v/>
      </c>
      <c r="G231" t="n">
        <v/>
      </c>
      <c r="H231" t="n">
        <v>31.2522</v>
      </c>
      <c r="I231" t="n">
        <v/>
      </c>
      <c r="J231" t="n">
        <v/>
      </c>
      <c r="K231" t="n">
        <v/>
      </c>
    </row>
    <row r="232">
      <c r="A232" s="98" t="n">
        <v>13940</v>
      </c>
      <c r="B232" t="n">
        <v>5.8882</v>
      </c>
      <c r="C232" t="n">
        <v/>
      </c>
      <c r="D232" t="n">
        <v/>
      </c>
      <c r="E232" t="n">
        <v/>
      </c>
      <c r="F232" t="n">
        <v/>
      </c>
      <c r="G232" t="n">
        <v/>
      </c>
      <c r="H232" t="n">
        <v>31.3209</v>
      </c>
      <c r="I232" t="n">
        <v/>
      </c>
      <c r="J232" t="n">
        <v/>
      </c>
      <c r="K232" t="n">
        <v/>
      </c>
    </row>
    <row r="233">
      <c r="A233" s="98" t="n">
        <v>13971</v>
      </c>
      <c r="B233" t="n">
        <v>5.7806</v>
      </c>
      <c r="C233" t="n">
        <v/>
      </c>
      <c r="D233" t="n">
        <v/>
      </c>
      <c r="E233" t="n">
        <v/>
      </c>
      <c r="F233" t="n">
        <v/>
      </c>
      <c r="G233" t="n">
        <v/>
      </c>
      <c r="H233" t="n">
        <v>30.3593</v>
      </c>
      <c r="I233" t="n">
        <v/>
      </c>
      <c r="J233" t="n">
        <v/>
      </c>
      <c r="K233" t="n">
        <v/>
      </c>
    </row>
    <row r="234">
      <c r="A234" s="98" t="n">
        <v>14001</v>
      </c>
      <c r="B234" t="n">
        <v>5.6462</v>
      </c>
      <c r="C234" t="n">
        <v/>
      </c>
      <c r="D234" t="n">
        <v/>
      </c>
      <c r="E234" t="n">
        <v/>
      </c>
      <c r="F234" t="n">
        <v/>
      </c>
      <c r="G234" t="n">
        <v/>
      </c>
      <c r="H234" t="n">
        <v>28.6422</v>
      </c>
      <c r="I234" t="n">
        <v/>
      </c>
      <c r="J234" t="n">
        <v/>
      </c>
      <c r="K234" t="n">
        <v/>
      </c>
    </row>
    <row r="235">
      <c r="A235" s="98" t="n">
        <v>14032</v>
      </c>
      <c r="B235" t="n">
        <v>5.7</v>
      </c>
      <c r="C235" t="n">
        <v/>
      </c>
      <c r="D235" t="n">
        <v/>
      </c>
      <c r="E235" t="n">
        <v/>
      </c>
      <c r="F235" t="n">
        <v/>
      </c>
      <c r="G235" t="n">
        <v/>
      </c>
      <c r="H235" t="n">
        <v>29.3977</v>
      </c>
      <c r="I235" t="n">
        <v/>
      </c>
      <c r="J235" t="n">
        <v/>
      </c>
      <c r="K235" t="n">
        <v/>
      </c>
    </row>
    <row r="236">
      <c r="A236" s="98" t="n">
        <v>14062</v>
      </c>
      <c r="B236" t="n">
        <v>6.0226</v>
      </c>
      <c r="C236" t="n">
        <v/>
      </c>
      <c r="D236" t="n">
        <v/>
      </c>
      <c r="E236" t="n">
        <v/>
      </c>
      <c r="F236" t="n">
        <v/>
      </c>
      <c r="G236" t="n">
        <v/>
      </c>
      <c r="H236" t="n">
        <v>30.1533</v>
      </c>
      <c r="I236" t="n">
        <v/>
      </c>
      <c r="J236" t="n">
        <v/>
      </c>
      <c r="K236" t="n">
        <v/>
      </c>
    </row>
    <row r="237">
      <c r="A237" s="98" t="n">
        <v>14093</v>
      </c>
      <c r="B237" t="n">
        <v>6.3453</v>
      </c>
      <c r="C237" t="n">
        <v/>
      </c>
      <c r="D237" t="n">
        <v/>
      </c>
      <c r="E237" t="n">
        <v/>
      </c>
      <c r="F237" t="n">
        <v/>
      </c>
      <c r="G237" t="n">
        <v/>
      </c>
      <c r="H237" t="n">
        <v>31.0462</v>
      </c>
      <c r="I237" t="n">
        <v/>
      </c>
      <c r="J237" t="n">
        <v/>
      </c>
      <c r="K237" t="n">
        <v/>
      </c>
    </row>
    <row r="238">
      <c r="A238" s="98" t="n">
        <v>14124</v>
      </c>
      <c r="B238" t="n">
        <v>6.5335</v>
      </c>
      <c r="C238" t="n">
        <v/>
      </c>
      <c r="D238" t="n">
        <v/>
      </c>
      <c r="E238" t="n">
        <v/>
      </c>
      <c r="F238" t="n">
        <v/>
      </c>
      <c r="G238" t="n">
        <v/>
      </c>
      <c r="H238" t="n">
        <v>31.2523</v>
      </c>
      <c r="I238" t="n">
        <v/>
      </c>
      <c r="J238" t="n">
        <v/>
      </c>
      <c r="K238" t="n">
        <v/>
      </c>
    </row>
    <row r="239">
      <c r="A239" s="98" t="n">
        <v>14154</v>
      </c>
      <c r="B239" t="n">
        <v>6.6948</v>
      </c>
      <c r="C239" t="n">
        <v/>
      </c>
      <c r="D239" t="n">
        <v/>
      </c>
      <c r="E239" t="n">
        <v/>
      </c>
      <c r="F239" t="n">
        <v/>
      </c>
      <c r="G239" t="n">
        <v/>
      </c>
      <c r="H239" t="n">
        <v>31.5957</v>
      </c>
      <c r="I239" t="n">
        <v/>
      </c>
      <c r="J239" t="n">
        <v/>
      </c>
      <c r="K239" t="n">
        <v/>
      </c>
    </row>
    <row r="240">
      <c r="A240" s="98" t="n">
        <v>14185</v>
      </c>
      <c r="B240" t="n">
        <v>6.9637</v>
      </c>
      <c r="C240" t="n">
        <v/>
      </c>
      <c r="D240" t="n">
        <v/>
      </c>
      <c r="E240" t="n">
        <v/>
      </c>
      <c r="F240" t="n">
        <v/>
      </c>
      <c r="G240" t="n">
        <v/>
      </c>
      <c r="H240" t="n">
        <v>32.626</v>
      </c>
      <c r="I240" t="n">
        <v/>
      </c>
      <c r="J240" t="n">
        <v/>
      </c>
      <c r="K240" t="n">
        <v/>
      </c>
    </row>
    <row r="241">
      <c r="A241" s="98" t="n">
        <v>14215</v>
      </c>
      <c r="B241" t="n">
        <v>7.0443</v>
      </c>
      <c r="C241" t="n">
        <v/>
      </c>
      <c r="D241" t="n">
        <v/>
      </c>
      <c r="E241" t="n">
        <v/>
      </c>
      <c r="F241" t="n">
        <v/>
      </c>
      <c r="G241" t="n">
        <v/>
      </c>
      <c r="H241" t="n">
        <v>32.626</v>
      </c>
      <c r="I241" t="n">
        <v/>
      </c>
      <c r="J241" t="n">
        <v/>
      </c>
      <c r="K241" t="n">
        <v/>
      </c>
    </row>
    <row r="242">
      <c r="A242" s="98" t="n">
        <v>14246</v>
      </c>
      <c r="B242" t="n">
        <v>7.0443</v>
      </c>
      <c r="C242" t="n">
        <v/>
      </c>
      <c r="D242" t="n">
        <v/>
      </c>
      <c r="E242" t="n">
        <v>11.8201</v>
      </c>
      <c r="F242" t="n">
        <v/>
      </c>
      <c r="G242" t="n">
        <v>6.1507</v>
      </c>
      <c r="H242" t="n">
        <v>32.0078</v>
      </c>
      <c r="I242" t="n">
        <v>3.3284</v>
      </c>
      <c r="J242" t="n">
        <v/>
      </c>
      <c r="K242" t="n">
        <v/>
      </c>
    </row>
    <row r="243">
      <c r="A243" s="98" t="n">
        <v>14277</v>
      </c>
      <c r="B243" t="n">
        <v>7.0981</v>
      </c>
      <c r="C243" t="n">
        <v/>
      </c>
      <c r="D243" t="n">
        <v/>
      </c>
      <c r="E243" t="n">
        <v>11.8201</v>
      </c>
      <c r="F243" t="n">
        <v/>
      </c>
      <c r="G243" t="n">
        <v>6.2484</v>
      </c>
      <c r="H243" t="n">
        <v>32.1452</v>
      </c>
      <c r="I243" t="n">
        <v>3.3538</v>
      </c>
      <c r="J243" t="n">
        <v/>
      </c>
      <c r="K243" t="n">
        <v/>
      </c>
    </row>
    <row r="244">
      <c r="A244" s="98" t="n">
        <v>14305</v>
      </c>
      <c r="B244" t="n">
        <v>7.125</v>
      </c>
      <c r="C244" t="n">
        <v/>
      </c>
      <c r="D244" t="n">
        <v/>
      </c>
      <c r="E244" t="n">
        <v>12.0139</v>
      </c>
      <c r="F244" t="n">
        <v/>
      </c>
      <c r="G244" t="n">
        <v>6.2484</v>
      </c>
      <c r="H244" t="n">
        <v>32.9007</v>
      </c>
      <c r="I244" t="n">
        <v>3.43</v>
      </c>
      <c r="J244" t="n">
        <v/>
      </c>
      <c r="K244" t="n">
        <v/>
      </c>
    </row>
    <row r="245">
      <c r="A245" s="98" t="n">
        <v>14336</v>
      </c>
      <c r="B245" t="n">
        <v>7.0981</v>
      </c>
      <c r="C245" t="n">
        <v/>
      </c>
      <c r="D245" t="n">
        <v/>
      </c>
      <c r="E245" t="n">
        <v>12.0139</v>
      </c>
      <c r="F245" t="n">
        <v/>
      </c>
      <c r="G245" t="n">
        <v>6.0531</v>
      </c>
      <c r="H245" t="n">
        <v>30.9775</v>
      </c>
      <c r="I245" t="n">
        <v>3.4554</v>
      </c>
      <c r="J245" t="n">
        <v/>
      </c>
      <c r="K245" t="n">
        <v/>
      </c>
    </row>
    <row r="246">
      <c r="A246" s="98" t="n">
        <v>14366</v>
      </c>
      <c r="B246" t="n">
        <v>7.0712</v>
      </c>
      <c r="C246" t="n">
        <v/>
      </c>
      <c r="D246" t="n">
        <v/>
      </c>
      <c r="E246" t="n">
        <v>12.0526</v>
      </c>
      <c r="F246" t="n">
        <v/>
      </c>
      <c r="G246" t="n">
        <v>6.0287</v>
      </c>
      <c r="H246" t="n">
        <v>31.2522</v>
      </c>
      <c r="I246" t="n">
        <v>3.4809</v>
      </c>
      <c r="J246" t="n">
        <v/>
      </c>
      <c r="K246" t="n">
        <v/>
      </c>
    </row>
    <row r="247">
      <c r="A247" s="98" t="n">
        <v>14397</v>
      </c>
      <c r="B247" t="n">
        <v>7.2325</v>
      </c>
      <c r="C247" t="n">
        <v/>
      </c>
      <c r="D247" t="n">
        <v/>
      </c>
      <c r="E247" t="n">
        <v>12.1689</v>
      </c>
      <c r="F247" t="n">
        <v/>
      </c>
      <c r="G247" t="n">
        <v>6.3216</v>
      </c>
      <c r="H247" t="n">
        <v>32.7633</v>
      </c>
      <c r="I247" t="n">
        <v>3.5063</v>
      </c>
      <c r="J247" t="n">
        <v/>
      </c>
      <c r="K247" t="n">
        <v/>
      </c>
    </row>
    <row r="248">
      <c r="A248" s="98" t="n">
        <v>14427</v>
      </c>
      <c r="B248" t="n">
        <v>7.4476</v>
      </c>
      <c r="C248" t="n">
        <v/>
      </c>
      <c r="D248" t="n">
        <v/>
      </c>
      <c r="E248" t="n">
        <v>12.3239</v>
      </c>
      <c r="F248" t="n">
        <v/>
      </c>
      <c r="G248" t="n">
        <v>6.5901</v>
      </c>
      <c r="H248" t="n">
        <v>33.9997</v>
      </c>
      <c r="I248" t="n">
        <v>3.5063</v>
      </c>
      <c r="J248" t="n">
        <v/>
      </c>
      <c r="K248" t="n">
        <v/>
      </c>
    </row>
    <row r="249">
      <c r="A249" s="98" t="n">
        <v>14458</v>
      </c>
      <c r="B249" t="n">
        <v>7.5552</v>
      </c>
      <c r="C249" t="n">
        <v/>
      </c>
      <c r="D249" t="n">
        <v/>
      </c>
      <c r="E249" t="n">
        <v>12.3627</v>
      </c>
      <c r="F249" t="n">
        <v/>
      </c>
      <c r="G249" t="n">
        <v>6.6633</v>
      </c>
      <c r="H249" t="n">
        <v>29.5351</v>
      </c>
      <c r="I249" t="n">
        <v>3.5317</v>
      </c>
      <c r="J249" t="n">
        <v/>
      </c>
      <c r="K249" t="n">
        <v/>
      </c>
    </row>
    <row r="250">
      <c r="A250" s="98" t="n">
        <v>14489</v>
      </c>
      <c r="B250" t="n">
        <v>8.0122</v>
      </c>
      <c r="C250" t="n">
        <v/>
      </c>
      <c r="D250" t="n">
        <v/>
      </c>
      <c r="E250" t="n">
        <v>12.5564</v>
      </c>
      <c r="F250" t="n">
        <v/>
      </c>
      <c r="G250" t="n">
        <v>7.4199</v>
      </c>
      <c r="H250" t="n">
        <v>35.5795</v>
      </c>
      <c r="I250" t="n">
        <v>3.6333</v>
      </c>
      <c r="J250" t="n">
        <v/>
      </c>
      <c r="K250" t="n">
        <v/>
      </c>
    </row>
    <row r="251">
      <c r="A251" s="98" t="n">
        <v>14519</v>
      </c>
      <c r="B251" t="n">
        <v>8.4155</v>
      </c>
      <c r="C251" t="n">
        <v/>
      </c>
      <c r="D251" t="n">
        <v/>
      </c>
      <c r="E251" t="n">
        <v>12.6727</v>
      </c>
      <c r="F251" t="n">
        <v/>
      </c>
      <c r="G251" t="n">
        <v>8.127800000000001</v>
      </c>
      <c r="H251" t="n">
        <v>37.2279</v>
      </c>
      <c r="I251" t="n">
        <v>3.6333</v>
      </c>
      <c r="J251" t="n">
        <v/>
      </c>
      <c r="K251" t="n">
        <v/>
      </c>
    </row>
    <row r="252">
      <c r="A252" s="98" t="n">
        <v>14550</v>
      </c>
      <c r="B252" t="n">
        <v>8.630599999999999</v>
      </c>
      <c r="C252" t="n">
        <v/>
      </c>
      <c r="D252" t="n">
        <v/>
      </c>
      <c r="E252" t="n">
        <v>12.789</v>
      </c>
      <c r="F252" t="n">
        <v/>
      </c>
      <c r="G252" t="n">
        <v>8.2742</v>
      </c>
      <c r="H252" t="n">
        <v>37.2279</v>
      </c>
      <c r="I252" t="n">
        <v>3.6841</v>
      </c>
      <c r="J252" t="n">
        <v/>
      </c>
      <c r="K252" t="n">
        <v/>
      </c>
    </row>
    <row r="253">
      <c r="A253" s="98" t="n">
        <v>14580</v>
      </c>
      <c r="B253" t="n">
        <v>8.630599999999999</v>
      </c>
      <c r="C253" t="n">
        <v/>
      </c>
      <c r="D253" t="n">
        <v/>
      </c>
      <c r="E253" t="n">
        <v>12.8277</v>
      </c>
      <c r="F253" t="n">
        <v/>
      </c>
      <c r="G253" t="n">
        <v>8.2742</v>
      </c>
      <c r="H253" t="n">
        <v>36.1977</v>
      </c>
      <c r="I253" t="n">
        <v>3.6841</v>
      </c>
      <c r="J253" t="n">
        <v/>
      </c>
      <c r="K253" t="n">
        <v/>
      </c>
    </row>
    <row r="254">
      <c r="A254" s="98" t="n">
        <v>14611</v>
      </c>
      <c r="B254" t="n">
        <v>8.523099999999999</v>
      </c>
      <c r="C254" t="n">
        <v/>
      </c>
      <c r="D254" t="n">
        <v/>
      </c>
      <c r="E254" t="n">
        <v>12.789</v>
      </c>
      <c r="F254" t="n">
        <v/>
      </c>
      <c r="G254" t="n">
        <v>8.054600000000001</v>
      </c>
      <c r="H254" t="n">
        <v>37.228</v>
      </c>
      <c r="I254" t="n">
        <v>3.7095</v>
      </c>
      <c r="J254" t="n">
        <v/>
      </c>
      <c r="K254" t="n">
        <v/>
      </c>
    </row>
    <row r="255">
      <c r="A255" s="98" t="n">
        <v>14642</v>
      </c>
      <c r="B255" t="n">
        <v>8.254200000000001</v>
      </c>
      <c r="C255" t="n">
        <v/>
      </c>
      <c r="D255" t="n">
        <v/>
      </c>
      <c r="E255" t="n">
        <v>12.7502</v>
      </c>
      <c r="F255" t="n">
        <v/>
      </c>
      <c r="G255" t="n">
        <v>7.6152</v>
      </c>
      <c r="H255" t="n">
        <v>36.4724</v>
      </c>
      <c r="I255" t="n">
        <v>3.7603</v>
      </c>
      <c r="J255" t="n">
        <v/>
      </c>
      <c r="K255" t="n">
        <v/>
      </c>
    </row>
    <row r="256">
      <c r="A256" s="98" t="n">
        <v>14671</v>
      </c>
      <c r="B256" t="n">
        <v>8.066000000000001</v>
      </c>
      <c r="C256" t="n">
        <v/>
      </c>
      <c r="D256" t="n">
        <v/>
      </c>
      <c r="E256" t="n">
        <v>12.5952</v>
      </c>
      <c r="F256" t="n">
        <v/>
      </c>
      <c r="G256" t="n">
        <v>7.3223</v>
      </c>
      <c r="H256" t="n">
        <v>37.2279</v>
      </c>
      <c r="I256" t="n">
        <v>3.7857</v>
      </c>
      <c r="J256" t="n">
        <v/>
      </c>
      <c r="K256" t="n">
        <v/>
      </c>
    </row>
    <row r="257">
      <c r="A257" s="98" t="n">
        <v>14702</v>
      </c>
      <c r="B257" t="n">
        <v>8.2273</v>
      </c>
      <c r="C257" t="n">
        <v/>
      </c>
      <c r="D257" t="n">
        <v/>
      </c>
      <c r="E257" t="n">
        <v>12.6727</v>
      </c>
      <c r="F257" t="n">
        <v/>
      </c>
      <c r="G257" t="n">
        <v>7.542</v>
      </c>
      <c r="H257" t="n">
        <v>40.3875</v>
      </c>
      <c r="I257" t="n">
        <v>3.7857</v>
      </c>
      <c r="J257" t="n">
        <v/>
      </c>
      <c r="K257" t="n">
        <v/>
      </c>
    </row>
    <row r="258">
      <c r="A258" s="98" t="n">
        <v>14732</v>
      </c>
      <c r="B258" t="n">
        <v>8.4693</v>
      </c>
      <c r="C258" t="n">
        <v/>
      </c>
      <c r="D258" t="n">
        <v/>
      </c>
      <c r="E258" t="n">
        <v>12.7502</v>
      </c>
      <c r="F258" t="n">
        <v/>
      </c>
      <c r="G258" t="n">
        <v>7.8837</v>
      </c>
      <c r="H258" t="n">
        <v>38.2582</v>
      </c>
      <c r="I258" t="n">
        <v>3.8366</v>
      </c>
      <c r="J258" t="n">
        <v/>
      </c>
      <c r="K258" t="n">
        <v/>
      </c>
    </row>
    <row r="259">
      <c r="A259" s="98" t="n">
        <v>14763</v>
      </c>
      <c r="B259" t="n">
        <v>8.738200000000001</v>
      </c>
      <c r="C259" t="n">
        <v/>
      </c>
      <c r="D259" t="n">
        <v/>
      </c>
      <c r="E259" t="n">
        <v>12.8665</v>
      </c>
      <c r="F259" t="n">
        <v/>
      </c>
      <c r="G259" t="n">
        <v>8.2986</v>
      </c>
      <c r="H259" t="n">
        <v>37.2966</v>
      </c>
      <c r="I259" t="n">
        <v>3.862</v>
      </c>
      <c r="J259" t="n">
        <v/>
      </c>
      <c r="K259" t="n">
        <v/>
      </c>
    </row>
    <row r="260">
      <c r="A260" s="98" t="n">
        <v>14793</v>
      </c>
      <c r="B260" t="n">
        <v>8.845700000000001</v>
      </c>
      <c r="C260" t="n">
        <v/>
      </c>
      <c r="D260" t="n">
        <v/>
      </c>
      <c r="E260" t="n">
        <v>12.8277</v>
      </c>
      <c r="F260" t="n">
        <v/>
      </c>
      <c r="G260" t="n">
        <v>8.5183</v>
      </c>
      <c r="H260" t="n">
        <v>37.2966</v>
      </c>
      <c r="I260" t="n">
        <v>3.862</v>
      </c>
      <c r="J260" t="n">
        <v/>
      </c>
      <c r="K260" t="n">
        <v/>
      </c>
    </row>
    <row r="261">
      <c r="A261" s="98" t="n">
        <v>14824</v>
      </c>
      <c r="B261" t="n">
        <v>8.8995</v>
      </c>
      <c r="C261" t="n">
        <v/>
      </c>
      <c r="D261" t="n">
        <v/>
      </c>
      <c r="E261" t="n">
        <v>12.8277</v>
      </c>
      <c r="F261" t="n">
        <v/>
      </c>
      <c r="G261" t="n">
        <v>8.5915</v>
      </c>
      <c r="H261" t="n">
        <v>36.2663</v>
      </c>
      <c r="I261" t="n">
        <v>3.9128</v>
      </c>
      <c r="J261" t="n">
        <v/>
      </c>
      <c r="K261" t="n">
        <v/>
      </c>
    </row>
    <row r="262">
      <c r="A262" s="98" t="n">
        <v>14855</v>
      </c>
      <c r="B262" t="n">
        <v>9.0877</v>
      </c>
      <c r="C262" t="n">
        <v/>
      </c>
      <c r="D262" t="n">
        <v/>
      </c>
      <c r="E262" t="n">
        <v>13.1765</v>
      </c>
      <c r="F262" t="n">
        <v/>
      </c>
      <c r="G262" t="n">
        <v>8.6892</v>
      </c>
      <c r="H262" t="n">
        <v>36.335</v>
      </c>
      <c r="I262" t="n">
        <v>3.9382</v>
      </c>
      <c r="J262" t="n">
        <v/>
      </c>
      <c r="K262" t="n">
        <v/>
      </c>
    </row>
    <row r="263">
      <c r="A263" s="98" t="n">
        <v>14885</v>
      </c>
      <c r="B263" t="n">
        <v>9.222099999999999</v>
      </c>
      <c r="C263" t="n">
        <v/>
      </c>
      <c r="D263" t="n">
        <v/>
      </c>
      <c r="E263" t="n">
        <v>13.409</v>
      </c>
      <c r="F263" t="n">
        <v/>
      </c>
      <c r="G263" t="n">
        <v>8.786799999999999</v>
      </c>
      <c r="H263" t="n">
        <v>35.7169</v>
      </c>
      <c r="I263" t="n">
        <v>3.989</v>
      </c>
      <c r="J263" t="n">
        <v/>
      </c>
      <c r="K263" t="n">
        <v/>
      </c>
    </row>
    <row r="264">
      <c r="A264" s="98" t="n">
        <v>14916</v>
      </c>
      <c r="B264" t="n">
        <v>9.437200000000001</v>
      </c>
      <c r="C264" t="n">
        <v/>
      </c>
      <c r="D264" t="n">
        <v/>
      </c>
      <c r="E264" t="n">
        <v>13.6803</v>
      </c>
      <c r="F264" t="n">
        <v/>
      </c>
      <c r="G264" t="n">
        <v>8.957599999999999</v>
      </c>
      <c r="H264" t="n">
        <v>36.8158</v>
      </c>
      <c r="I264" t="n">
        <v>4.0906</v>
      </c>
      <c r="J264" t="n">
        <v/>
      </c>
      <c r="K264" t="n">
        <v/>
      </c>
    </row>
    <row r="265">
      <c r="A265" s="98" t="n">
        <v>14946</v>
      </c>
      <c r="B265" t="n">
        <v>9.7599</v>
      </c>
      <c r="C265" t="n">
        <v/>
      </c>
      <c r="D265" t="n">
        <v/>
      </c>
      <c r="E265" t="n">
        <v>14.1066</v>
      </c>
      <c r="F265" t="n">
        <v/>
      </c>
      <c r="G265" t="n">
        <v>9.274900000000001</v>
      </c>
      <c r="H265" t="n">
        <v>37.7774</v>
      </c>
      <c r="I265" t="n">
        <v>4.0906</v>
      </c>
      <c r="J265" t="n">
        <v/>
      </c>
      <c r="K265" t="n">
        <v/>
      </c>
    </row>
    <row r="266">
      <c r="A266" s="98" t="n">
        <v>14977</v>
      </c>
      <c r="B266" t="n">
        <v>10.0019</v>
      </c>
      <c r="C266" t="n">
        <v/>
      </c>
      <c r="D266" t="n">
        <v/>
      </c>
      <c r="E266" t="n">
        <v>14.3779</v>
      </c>
      <c r="F266" t="n">
        <v/>
      </c>
      <c r="G266" t="n">
        <v>9.397</v>
      </c>
      <c r="H266" t="n">
        <v>37.434</v>
      </c>
      <c r="I266" t="n">
        <v>4.1415</v>
      </c>
      <c r="J266" t="n">
        <v/>
      </c>
      <c r="K266" t="n">
        <v/>
      </c>
    </row>
    <row r="267">
      <c r="A267" s="98" t="n">
        <v>15008</v>
      </c>
      <c r="B267" t="n">
        <v>10.2976</v>
      </c>
      <c r="C267" t="n">
        <v/>
      </c>
      <c r="D267" t="n">
        <v/>
      </c>
      <c r="E267" t="n">
        <v>14.8042</v>
      </c>
      <c r="F267" t="n">
        <v/>
      </c>
      <c r="G267" t="n">
        <v>9.6655</v>
      </c>
      <c r="H267" t="n">
        <v>37.7088</v>
      </c>
      <c r="I267" t="n">
        <v>4.1669</v>
      </c>
      <c r="J267" t="n">
        <v/>
      </c>
      <c r="K267" t="n">
        <v/>
      </c>
    </row>
    <row r="268">
      <c r="A268" s="98" t="n">
        <v>15036</v>
      </c>
      <c r="B268" t="n">
        <v>10.6203</v>
      </c>
      <c r="C268" t="n">
        <v/>
      </c>
      <c r="D268" t="n">
        <v/>
      </c>
      <c r="E268" t="n">
        <v>15.1917</v>
      </c>
      <c r="F268" t="n">
        <v/>
      </c>
      <c r="G268" t="n">
        <v>10.0072</v>
      </c>
      <c r="H268" t="n">
        <v>40.044</v>
      </c>
      <c r="I268" t="n">
        <v>4.2431</v>
      </c>
      <c r="J268" t="n">
        <v/>
      </c>
      <c r="K268" t="n">
        <v/>
      </c>
    </row>
    <row r="269">
      <c r="A269" s="98" t="n">
        <v>15067</v>
      </c>
      <c r="B269" t="n">
        <v>10.6471</v>
      </c>
      <c r="C269" t="n">
        <v/>
      </c>
      <c r="D269" t="n">
        <v/>
      </c>
      <c r="E269" t="n">
        <v>15.463</v>
      </c>
      <c r="F269" t="n">
        <v/>
      </c>
      <c r="G269" t="n">
        <v>9.7875</v>
      </c>
      <c r="H269" t="n">
        <v>32.0765</v>
      </c>
      <c r="I269" t="n">
        <v>4.2685</v>
      </c>
      <c r="J269" t="n">
        <v/>
      </c>
      <c r="K269" t="n">
        <v/>
      </c>
    </row>
    <row r="270">
      <c r="A270" s="98" t="n">
        <v>15097</v>
      </c>
      <c r="B270" t="n">
        <v>11.1311</v>
      </c>
      <c r="C270" t="n">
        <v/>
      </c>
      <c r="D270" t="n">
        <v/>
      </c>
      <c r="E270" t="n">
        <v>15.9281</v>
      </c>
      <c r="F270" t="n">
        <v/>
      </c>
      <c r="G270" t="n">
        <v>10.3977</v>
      </c>
      <c r="H270" t="n">
        <v>39.0825</v>
      </c>
      <c r="I270" t="n">
        <v>4.3193</v>
      </c>
      <c r="J270" t="n">
        <v/>
      </c>
      <c r="K270" t="n">
        <v/>
      </c>
    </row>
    <row r="271">
      <c r="A271" s="98" t="n">
        <v>15128</v>
      </c>
      <c r="B271" t="n">
        <v>11.2118</v>
      </c>
      <c r="C271" t="n">
        <v/>
      </c>
      <c r="D271" t="n">
        <v/>
      </c>
      <c r="E271" t="n">
        <v>15.9668</v>
      </c>
      <c r="F271" t="n">
        <v/>
      </c>
      <c r="G271" t="n">
        <v>10.5441</v>
      </c>
      <c r="H271" t="n">
        <v>40.1128</v>
      </c>
      <c r="I271" t="n">
        <v>4.3701</v>
      </c>
      <c r="J271" t="n">
        <v/>
      </c>
      <c r="K271" t="n">
        <v/>
      </c>
    </row>
    <row r="272">
      <c r="A272" s="98" t="n">
        <v>15158</v>
      </c>
      <c r="B272" t="n">
        <v>11.3462</v>
      </c>
      <c r="C272" t="n">
        <v/>
      </c>
      <c r="D272" t="n">
        <v/>
      </c>
      <c r="E272" t="n">
        <v>15.9668</v>
      </c>
      <c r="F272" t="n">
        <v/>
      </c>
      <c r="G272" t="n">
        <v>10.6906</v>
      </c>
      <c r="H272" t="n">
        <v>39.9754</v>
      </c>
      <c r="I272" t="n">
        <v>4.4209</v>
      </c>
      <c r="J272" t="n">
        <v/>
      </c>
      <c r="K272" t="n">
        <v/>
      </c>
    </row>
    <row r="273">
      <c r="A273" s="98" t="n">
        <v>15189</v>
      </c>
      <c r="B273" t="n">
        <v>11.4806</v>
      </c>
      <c r="C273" t="n">
        <v/>
      </c>
      <c r="D273" t="n">
        <v/>
      </c>
      <c r="E273" t="n">
        <v>16.0056</v>
      </c>
      <c r="F273" t="n">
        <v/>
      </c>
      <c r="G273" t="n">
        <v>10.7638</v>
      </c>
      <c r="H273" t="n">
        <v>40.6622</v>
      </c>
      <c r="I273" t="n">
        <v>4.4463</v>
      </c>
      <c r="J273" t="n">
        <v/>
      </c>
      <c r="K273" t="n">
        <v/>
      </c>
    </row>
    <row r="274">
      <c r="A274" s="98" t="n">
        <v>15220</v>
      </c>
      <c r="B274" t="n">
        <v>11.4806</v>
      </c>
      <c r="C274" t="n">
        <v/>
      </c>
      <c r="D274" t="n">
        <v/>
      </c>
      <c r="E274" t="n">
        <v>15.9281</v>
      </c>
      <c r="F274" t="n">
        <v/>
      </c>
      <c r="G274" t="n">
        <v>10.7638</v>
      </c>
      <c r="H274" t="n">
        <v>41.1431</v>
      </c>
      <c r="I274" t="n">
        <v>4.4972</v>
      </c>
      <c r="J274" t="n">
        <v/>
      </c>
      <c r="K274" t="n">
        <v/>
      </c>
    </row>
    <row r="275">
      <c r="A275" s="98" t="n">
        <v>15250</v>
      </c>
      <c r="B275" t="n">
        <v>11.5882</v>
      </c>
      <c r="C275" t="n">
        <v/>
      </c>
      <c r="D275" t="n">
        <v/>
      </c>
      <c r="E275" t="n">
        <v>15.9281</v>
      </c>
      <c r="F275" t="n">
        <v/>
      </c>
      <c r="G275" t="n">
        <v>10.8126</v>
      </c>
      <c r="H275" t="n">
        <v>42.1047</v>
      </c>
      <c r="I275" t="n">
        <v>4.5226</v>
      </c>
      <c r="J275" t="n">
        <v/>
      </c>
      <c r="K275" t="n">
        <v/>
      </c>
    </row>
    <row r="276">
      <c r="A276" s="98" t="n">
        <v>15281</v>
      </c>
      <c r="B276" t="n">
        <v>11.642</v>
      </c>
      <c r="C276" t="n">
        <v/>
      </c>
      <c r="D276" t="n">
        <v/>
      </c>
      <c r="E276" t="n">
        <v>15.9668</v>
      </c>
      <c r="F276" t="n">
        <v/>
      </c>
      <c r="G276" t="n">
        <v>10.8858</v>
      </c>
      <c r="H276" t="n">
        <v>41.4865</v>
      </c>
      <c r="I276" t="n">
        <v>4.548</v>
      </c>
      <c r="J276" t="n">
        <v/>
      </c>
      <c r="K276" t="n">
        <v/>
      </c>
    </row>
    <row r="277">
      <c r="A277" s="98" t="n">
        <v>15311</v>
      </c>
      <c r="B277" t="n">
        <v>11.8302</v>
      </c>
      <c r="C277" t="n">
        <v/>
      </c>
      <c r="D277" t="n">
        <v/>
      </c>
      <c r="E277" t="n">
        <v>15.9668</v>
      </c>
      <c r="F277" t="n">
        <v/>
      </c>
      <c r="G277" t="n">
        <v>11.1055</v>
      </c>
      <c r="H277" t="n">
        <v>42.2421</v>
      </c>
      <c r="I277" t="n">
        <v>4.6496</v>
      </c>
      <c r="J277" t="n">
        <v/>
      </c>
      <c r="K277" t="n">
        <v/>
      </c>
    </row>
    <row r="278">
      <c r="A278" s="98" t="n">
        <v>15342</v>
      </c>
      <c r="B278" t="n">
        <v>12.0721</v>
      </c>
      <c r="C278" t="n">
        <v/>
      </c>
      <c r="D278" t="n">
        <v/>
      </c>
      <c r="E278" t="n">
        <v>16.2769</v>
      </c>
      <c r="F278" t="n">
        <v/>
      </c>
      <c r="G278" t="n">
        <v>11.1299</v>
      </c>
      <c r="H278" t="n">
        <v>41.6925</v>
      </c>
      <c r="I278" t="n">
        <v>4.7512</v>
      </c>
      <c r="J278" t="n">
        <v/>
      </c>
      <c r="K278" t="n">
        <v/>
      </c>
    </row>
    <row r="279">
      <c r="A279" s="98" t="n">
        <v>15373</v>
      </c>
      <c r="B279" t="n">
        <v>12.2872</v>
      </c>
      <c r="C279" t="n">
        <v/>
      </c>
      <c r="D279" t="n">
        <v/>
      </c>
      <c r="E279" t="n">
        <v>16.0831</v>
      </c>
      <c r="F279" t="n">
        <v/>
      </c>
      <c r="G279" t="n">
        <v>11.3008</v>
      </c>
      <c r="H279" t="n">
        <v>41.9673</v>
      </c>
      <c r="I279" t="n">
        <v>4.7766</v>
      </c>
      <c r="J279" t="n">
        <v/>
      </c>
      <c r="K279" t="n">
        <v/>
      </c>
    </row>
    <row r="280">
      <c r="A280" s="98" t="n">
        <v>15401</v>
      </c>
      <c r="B280" t="n">
        <v>12.4217</v>
      </c>
      <c r="C280" t="n">
        <v/>
      </c>
      <c r="D280" t="n">
        <v/>
      </c>
      <c r="E280" t="n">
        <v>16.0831</v>
      </c>
      <c r="F280" t="n">
        <v/>
      </c>
      <c r="G280" t="n">
        <v>11.3984</v>
      </c>
      <c r="H280" t="n">
        <v>40.3188</v>
      </c>
      <c r="I280" t="n">
        <v>4.8021</v>
      </c>
      <c r="J280" t="n">
        <v/>
      </c>
      <c r="K280" t="n">
        <v/>
      </c>
    </row>
    <row r="281">
      <c r="A281" s="98" t="n">
        <v>15432</v>
      </c>
      <c r="B281" t="n">
        <v>12.0721</v>
      </c>
      <c r="C281" t="n">
        <v/>
      </c>
      <c r="D281" t="n">
        <v/>
      </c>
      <c r="E281" t="n">
        <v>13.8741</v>
      </c>
      <c r="F281" t="n">
        <v/>
      </c>
      <c r="G281" t="n">
        <v>11.6913</v>
      </c>
      <c r="H281" t="n">
        <v>41.5552</v>
      </c>
      <c r="I281" t="n">
        <v>4.8275</v>
      </c>
      <c r="J281" t="n">
        <v/>
      </c>
      <c r="K281" t="n">
        <v/>
      </c>
    </row>
    <row r="282">
      <c r="A282" s="98" t="n">
        <v>15462</v>
      </c>
      <c r="B282" t="n">
        <v>12.099</v>
      </c>
      <c r="C282" t="n">
        <v/>
      </c>
      <c r="D282" t="n">
        <v/>
      </c>
      <c r="E282" t="n">
        <v>13.7191</v>
      </c>
      <c r="F282" t="n">
        <v/>
      </c>
      <c r="G282" t="n">
        <v>11.6669</v>
      </c>
      <c r="H282" t="n">
        <v>40.5248</v>
      </c>
      <c r="I282" t="n">
        <v>4.8021</v>
      </c>
      <c r="J282" t="n">
        <v/>
      </c>
      <c r="K282" t="n">
        <v/>
      </c>
    </row>
    <row r="283">
      <c r="A283" s="98" t="n">
        <v>15493</v>
      </c>
      <c r="B283" t="n">
        <v>12.1259</v>
      </c>
      <c r="C283" t="n">
        <v/>
      </c>
      <c r="D283" t="n">
        <v/>
      </c>
      <c r="E283" t="n">
        <v>13.4865</v>
      </c>
      <c r="F283" t="n">
        <v/>
      </c>
      <c r="G283" t="n">
        <v>11.6913</v>
      </c>
      <c r="H283" t="n">
        <v>40.0441</v>
      </c>
      <c r="I283" t="n">
        <v>4.8275</v>
      </c>
      <c r="J283" t="n">
        <v/>
      </c>
      <c r="K283" t="n">
        <v/>
      </c>
    </row>
    <row r="284">
      <c r="A284" s="98" t="n">
        <v>15523</v>
      </c>
      <c r="B284" t="n">
        <v>12.4217</v>
      </c>
      <c r="C284" t="n">
        <v/>
      </c>
      <c r="D284" t="n">
        <v/>
      </c>
      <c r="E284" t="n">
        <v>13.6803</v>
      </c>
      <c r="F284" t="n">
        <v/>
      </c>
      <c r="G284" t="n">
        <v>11.911</v>
      </c>
      <c r="H284" t="n">
        <v>39.9067</v>
      </c>
      <c r="I284" t="n">
        <v>4.9545</v>
      </c>
      <c r="J284" t="n">
        <v/>
      </c>
      <c r="K284" t="n">
        <v/>
      </c>
    </row>
    <row r="285">
      <c r="A285" s="98" t="n">
        <v>15554</v>
      </c>
      <c r="B285" t="n">
        <v>12.7981</v>
      </c>
      <c r="C285" t="n">
        <v/>
      </c>
      <c r="D285" t="n">
        <v/>
      </c>
      <c r="E285" t="n">
        <v>13.7966</v>
      </c>
      <c r="F285" t="n">
        <v/>
      </c>
      <c r="G285" t="n">
        <v>12.2527</v>
      </c>
      <c r="H285" t="n">
        <v>41.0743</v>
      </c>
      <c r="I285" t="n">
        <v>5.0053</v>
      </c>
      <c r="J285" t="n">
        <v/>
      </c>
      <c r="K285" t="n">
        <v/>
      </c>
    </row>
    <row r="286">
      <c r="A286" s="98" t="n">
        <v>15585</v>
      </c>
      <c r="B286" t="n">
        <v>13.0938</v>
      </c>
      <c r="C286" t="n">
        <v/>
      </c>
      <c r="D286" t="n">
        <v/>
      </c>
      <c r="E286" t="n">
        <v>13.8353</v>
      </c>
      <c r="F286" t="n">
        <v/>
      </c>
      <c r="G286" t="n">
        <v>12.3991</v>
      </c>
      <c r="H286" t="n">
        <v>40.8683</v>
      </c>
      <c r="I286" t="n">
        <v>5.0307</v>
      </c>
      <c r="J286" t="n">
        <v/>
      </c>
      <c r="K286" t="n">
        <v/>
      </c>
    </row>
    <row r="287">
      <c r="A287" s="98" t="n">
        <v>15615</v>
      </c>
      <c r="B287" t="n">
        <v>13.524</v>
      </c>
      <c r="C287" t="n">
        <v/>
      </c>
      <c r="D287" t="n">
        <v/>
      </c>
      <c r="E287" t="n">
        <v>14.0679</v>
      </c>
      <c r="F287" t="n">
        <v/>
      </c>
      <c r="G287" t="n">
        <v>12.7408</v>
      </c>
      <c r="H287" t="n">
        <v>40.5249</v>
      </c>
      <c r="I287" t="n">
        <v>5.0561</v>
      </c>
      <c r="J287" t="n">
        <v/>
      </c>
      <c r="K287" t="n">
        <v/>
      </c>
    </row>
    <row r="288">
      <c r="A288" s="98" t="n">
        <v>15646</v>
      </c>
      <c r="B288" t="n">
        <v>13.8467</v>
      </c>
      <c r="C288" t="n">
        <v/>
      </c>
      <c r="D288" t="n">
        <v/>
      </c>
      <c r="E288" t="n">
        <v>14.1454</v>
      </c>
      <c r="F288" t="n">
        <v/>
      </c>
      <c r="G288" t="n">
        <v>12.9361</v>
      </c>
      <c r="H288" t="n">
        <v>40.7996</v>
      </c>
      <c r="I288" t="n">
        <v>5.1069</v>
      </c>
      <c r="J288" t="n">
        <v/>
      </c>
      <c r="K288" t="n">
        <v/>
      </c>
    </row>
    <row r="289">
      <c r="A289" s="98" t="n">
        <v>15676</v>
      </c>
      <c r="B289" t="n">
        <v>14.1693</v>
      </c>
      <c r="C289" t="n">
        <v/>
      </c>
      <c r="D289" t="n">
        <v/>
      </c>
      <c r="E289" t="n">
        <v>14.4554</v>
      </c>
      <c r="F289" t="n">
        <v/>
      </c>
      <c r="G289" t="n">
        <v>13.0825</v>
      </c>
      <c r="H289" t="n">
        <v>40.3188</v>
      </c>
      <c r="I289" t="n">
        <v>5.1832</v>
      </c>
      <c r="J289" t="n">
        <v/>
      </c>
      <c r="K289" t="n">
        <v/>
      </c>
    </row>
    <row r="290">
      <c r="A290" s="98" t="n">
        <v>15707</v>
      </c>
      <c r="B290" t="n">
        <v>14.3037</v>
      </c>
      <c r="C290" t="n">
        <v/>
      </c>
      <c r="D290" t="n">
        <v/>
      </c>
      <c r="E290" t="n">
        <v>14.0291</v>
      </c>
      <c r="F290" t="n">
        <v/>
      </c>
      <c r="G290" t="n">
        <v>13.2778</v>
      </c>
      <c r="H290" t="n">
        <v>39.0825</v>
      </c>
      <c r="I290" t="n">
        <v>5.1578</v>
      </c>
      <c r="J290" t="n">
        <v/>
      </c>
      <c r="K290" t="n">
        <v/>
      </c>
    </row>
    <row r="291">
      <c r="A291" s="98" t="n">
        <v>15738</v>
      </c>
      <c r="B291" t="n">
        <v>14.6801</v>
      </c>
      <c r="C291" t="n">
        <v/>
      </c>
      <c r="D291" t="n">
        <v/>
      </c>
      <c r="E291" t="n">
        <v>14.1454</v>
      </c>
      <c r="F291" t="n">
        <v/>
      </c>
      <c r="G291" t="n">
        <v>13.6195</v>
      </c>
      <c r="H291" t="n">
        <v>41.1431</v>
      </c>
      <c r="I291" t="n">
        <v>5.2086</v>
      </c>
      <c r="J291" t="n">
        <v/>
      </c>
      <c r="K291" t="n">
        <v/>
      </c>
    </row>
    <row r="292">
      <c r="A292" s="98" t="n">
        <v>15766</v>
      </c>
      <c r="B292" t="n">
        <v>14.7877</v>
      </c>
      <c r="C292" t="n">
        <v/>
      </c>
      <c r="D292" t="n">
        <v/>
      </c>
      <c r="E292" t="n">
        <v>14.1841</v>
      </c>
      <c r="F292" t="n">
        <v/>
      </c>
      <c r="G292" t="n">
        <v>13.7659</v>
      </c>
      <c r="H292" t="n">
        <v>42.4481</v>
      </c>
      <c r="I292" t="n">
        <v>5.2594</v>
      </c>
      <c r="J292" t="n">
        <v/>
      </c>
      <c r="K292" t="n">
        <v/>
      </c>
    </row>
    <row r="293">
      <c r="A293" s="98" t="n">
        <v>15797</v>
      </c>
      <c r="B293" t="n">
        <v>14.9759</v>
      </c>
      <c r="C293" t="n">
        <v/>
      </c>
      <c r="D293" t="n">
        <v/>
      </c>
      <c r="E293" t="n">
        <v>14.3391</v>
      </c>
      <c r="F293" t="n">
        <v/>
      </c>
      <c r="G293" t="n">
        <v>13.888</v>
      </c>
      <c r="H293" t="n">
        <v>43.0663</v>
      </c>
      <c r="I293" t="n">
        <v>5.3102</v>
      </c>
      <c r="J293" t="n">
        <v/>
      </c>
      <c r="K293" t="n">
        <v/>
      </c>
    </row>
    <row r="294">
      <c r="A294" s="98" t="n">
        <v>15827</v>
      </c>
      <c r="B294" t="n">
        <v>15.0834</v>
      </c>
      <c r="C294" t="n">
        <v/>
      </c>
      <c r="D294" t="n">
        <v/>
      </c>
      <c r="E294" t="n">
        <v>14.5717</v>
      </c>
      <c r="F294" t="n">
        <v/>
      </c>
      <c r="G294" t="n">
        <v>13.8636</v>
      </c>
      <c r="H294" t="n">
        <v>41.6238</v>
      </c>
      <c r="I294" t="n">
        <v>5.3356</v>
      </c>
      <c r="J294" t="n">
        <v/>
      </c>
      <c r="K294" t="n">
        <v/>
      </c>
    </row>
    <row r="295">
      <c r="A295" s="98" t="n">
        <v>15858</v>
      </c>
      <c r="B295" t="n">
        <v>15.0028</v>
      </c>
      <c r="C295" t="n">
        <v/>
      </c>
      <c r="D295" t="n">
        <v/>
      </c>
      <c r="E295" t="n">
        <v>14.8042</v>
      </c>
      <c r="F295" t="n">
        <v/>
      </c>
      <c r="G295" t="n">
        <v>13.5219</v>
      </c>
      <c r="H295" t="n">
        <v>36.8159</v>
      </c>
      <c r="I295" t="n">
        <v>5.4372</v>
      </c>
      <c r="J295" t="n">
        <v/>
      </c>
      <c r="K295" t="n">
        <v/>
      </c>
    </row>
    <row r="296">
      <c r="A296" s="98" t="n">
        <v>15888</v>
      </c>
      <c r="B296" t="n">
        <v>15.4599</v>
      </c>
      <c r="C296" t="n">
        <v/>
      </c>
      <c r="D296" t="n">
        <v/>
      </c>
      <c r="E296" t="n">
        <v>15.0367</v>
      </c>
      <c r="F296" t="n">
        <v/>
      </c>
      <c r="G296" t="n">
        <v>14.0344</v>
      </c>
      <c r="H296" t="n">
        <v>42.7228</v>
      </c>
      <c r="I296" t="n">
        <v>5.4372</v>
      </c>
      <c r="J296" t="n">
        <v/>
      </c>
      <c r="K296" t="n">
        <v/>
      </c>
    </row>
    <row r="297">
      <c r="A297" s="98" t="n">
        <v>15919</v>
      </c>
      <c r="B297" t="n">
        <v>15.7825</v>
      </c>
      <c r="C297" t="n">
        <v/>
      </c>
      <c r="D297" t="n">
        <v/>
      </c>
      <c r="E297" t="n">
        <v>15.1142</v>
      </c>
      <c r="F297" t="n">
        <v/>
      </c>
      <c r="G297" t="n">
        <v>14.3029</v>
      </c>
      <c r="H297" t="n">
        <v>42.4481</v>
      </c>
      <c r="I297" t="n">
        <v>5.4881</v>
      </c>
      <c r="J297" t="n">
        <v/>
      </c>
      <c r="K297" t="n">
        <v/>
      </c>
    </row>
    <row r="298">
      <c r="A298" s="98" t="n">
        <v>15950</v>
      </c>
      <c r="B298" t="n">
        <v>16.1858</v>
      </c>
      <c r="C298" t="n">
        <v/>
      </c>
      <c r="D298" t="n">
        <v/>
      </c>
      <c r="E298" t="n">
        <v>15.2305</v>
      </c>
      <c r="F298" t="n">
        <v/>
      </c>
      <c r="G298" t="n">
        <v>14.669</v>
      </c>
      <c r="H298" t="n">
        <v>43.0663</v>
      </c>
      <c r="I298" t="n">
        <v>5.6151</v>
      </c>
      <c r="J298" t="n">
        <v/>
      </c>
      <c r="K298" t="n">
        <v/>
      </c>
    </row>
    <row r="299">
      <c r="A299" s="98" t="n">
        <v>15980</v>
      </c>
      <c r="B299" t="n">
        <v>16.4278</v>
      </c>
      <c r="C299" t="n">
        <v/>
      </c>
      <c r="D299" t="n">
        <v/>
      </c>
      <c r="E299" t="n">
        <v>15.1142</v>
      </c>
      <c r="F299" t="n">
        <v/>
      </c>
      <c r="G299" t="n">
        <v>14.9131</v>
      </c>
      <c r="H299" t="n">
        <v>42.7228</v>
      </c>
      <c r="I299" t="n">
        <v>5.6405</v>
      </c>
      <c r="J299" t="n">
        <v/>
      </c>
      <c r="K299" t="n">
        <v/>
      </c>
    </row>
    <row r="300">
      <c r="A300" s="98" t="n">
        <v>16011</v>
      </c>
      <c r="B300" t="n">
        <v>16.6429</v>
      </c>
      <c r="C300" t="n">
        <v/>
      </c>
      <c r="D300" t="n">
        <v/>
      </c>
      <c r="E300" t="n">
        <v>15.0755</v>
      </c>
      <c r="F300" t="n">
        <v/>
      </c>
      <c r="G300" t="n">
        <v>15.0352</v>
      </c>
      <c r="H300" t="n">
        <v>41.83</v>
      </c>
      <c r="I300" t="n">
        <v>5.6913</v>
      </c>
      <c r="J300" t="n">
        <v/>
      </c>
      <c r="K300" t="n">
        <v/>
      </c>
    </row>
    <row r="301">
      <c r="A301" s="98" t="n">
        <v>16041</v>
      </c>
      <c r="B301" t="n">
        <v>16.4278</v>
      </c>
      <c r="C301" t="n">
        <v/>
      </c>
      <c r="D301" t="n">
        <v/>
      </c>
      <c r="E301" t="n">
        <v>14.7654</v>
      </c>
      <c r="F301" t="n">
        <v/>
      </c>
      <c r="G301" t="n">
        <v>15.0351</v>
      </c>
      <c r="H301" t="n">
        <v>43.9592</v>
      </c>
      <c r="I301" t="n">
        <v>5.6913</v>
      </c>
      <c r="J301" t="n">
        <v/>
      </c>
      <c r="K301" t="n">
        <v/>
      </c>
    </row>
    <row r="302">
      <c r="A302" s="98" t="n">
        <v>16072</v>
      </c>
      <c r="B302" t="n">
        <v>16.616</v>
      </c>
      <c r="C302" t="n">
        <v/>
      </c>
      <c r="D302" t="n">
        <v/>
      </c>
      <c r="E302" t="n">
        <v>14.9205</v>
      </c>
      <c r="F302" t="n">
        <v/>
      </c>
      <c r="G302" t="n">
        <v>15.1816</v>
      </c>
      <c r="H302" t="n">
        <v>43.5471</v>
      </c>
      <c r="I302" t="n">
        <v>5.6659</v>
      </c>
      <c r="J302" t="n">
        <v/>
      </c>
      <c r="K302" t="n">
        <v/>
      </c>
    </row>
    <row r="303">
      <c r="A303" s="98" t="n">
        <v>16103</v>
      </c>
      <c r="B303" t="n">
        <v>16.7504</v>
      </c>
      <c r="C303" t="n">
        <v/>
      </c>
      <c r="D303" t="n">
        <v/>
      </c>
      <c r="E303" t="n">
        <v>14.998</v>
      </c>
      <c r="F303" t="n">
        <v/>
      </c>
      <c r="G303" t="n">
        <v>15.3036</v>
      </c>
      <c r="H303" t="n">
        <v>44.7834</v>
      </c>
      <c r="I303" t="n">
        <v>5.7167</v>
      </c>
      <c r="J303" t="n">
        <v/>
      </c>
      <c r="K303" t="n">
        <v/>
      </c>
    </row>
    <row r="304">
      <c r="A304" s="98" t="n">
        <v>16132</v>
      </c>
      <c r="B304" t="n">
        <v>16.7235</v>
      </c>
      <c r="C304" t="n">
        <v/>
      </c>
      <c r="D304" t="n">
        <v/>
      </c>
      <c r="E304" t="n">
        <v>15.1917</v>
      </c>
      <c r="F304" t="n">
        <v/>
      </c>
      <c r="G304" t="n">
        <v>15.2304</v>
      </c>
      <c r="H304" t="n">
        <v>44.5087</v>
      </c>
      <c r="I304" t="n">
        <v>5.8184</v>
      </c>
      <c r="J304" t="n">
        <v/>
      </c>
      <c r="K304" t="n">
        <v/>
      </c>
    </row>
    <row r="305">
      <c r="A305" s="98" t="n">
        <v>16163</v>
      </c>
      <c r="B305" t="n">
        <v>16.7235</v>
      </c>
      <c r="C305" t="n">
        <v/>
      </c>
      <c r="D305" t="n">
        <v/>
      </c>
      <c r="E305" t="n">
        <v>15.2692</v>
      </c>
      <c r="F305" t="n">
        <v/>
      </c>
      <c r="G305" t="n">
        <v>15.1816</v>
      </c>
      <c r="H305" t="n">
        <v>45.745</v>
      </c>
      <c r="I305" t="n">
        <v>5.8692</v>
      </c>
      <c r="J305" t="n">
        <v/>
      </c>
      <c r="K305" t="n">
        <v/>
      </c>
    </row>
    <row r="306">
      <c r="A306" s="98" t="n">
        <v>16193</v>
      </c>
      <c r="B306" t="n">
        <v>16.616</v>
      </c>
      <c r="C306" t="n">
        <v/>
      </c>
      <c r="D306" t="n">
        <v/>
      </c>
      <c r="E306" t="n">
        <v>15.3855</v>
      </c>
      <c r="F306" t="n">
        <v/>
      </c>
      <c r="G306" t="n">
        <v>14.9619</v>
      </c>
      <c r="H306" t="n">
        <v>46.0198</v>
      </c>
      <c r="I306" t="n">
        <v>5.8438</v>
      </c>
      <c r="J306" t="n">
        <v/>
      </c>
      <c r="K306" t="n">
        <v/>
      </c>
    </row>
    <row r="307">
      <c r="A307" s="98" t="n">
        <v>16224</v>
      </c>
      <c r="B307" t="n">
        <v>16.5622</v>
      </c>
      <c r="C307" t="n">
        <v/>
      </c>
      <c r="D307" t="n">
        <v/>
      </c>
      <c r="E307" t="n">
        <v>15.463</v>
      </c>
      <c r="F307" t="n">
        <v/>
      </c>
      <c r="G307" t="n">
        <v>14.7423</v>
      </c>
      <c r="H307" t="n">
        <v>44.646</v>
      </c>
      <c r="I307" t="n">
        <v>5.8184</v>
      </c>
      <c r="J307" t="n">
        <v/>
      </c>
      <c r="K307" t="n">
        <v/>
      </c>
    </row>
    <row r="308">
      <c r="A308" s="98" t="n">
        <v>16254</v>
      </c>
      <c r="B308" t="n">
        <v>16.5353</v>
      </c>
      <c r="C308" t="n">
        <v/>
      </c>
      <c r="D308" t="n">
        <v/>
      </c>
      <c r="E308" t="n">
        <v>15.5405</v>
      </c>
      <c r="F308" t="n">
        <v/>
      </c>
      <c r="G308" t="n">
        <v>14.5226</v>
      </c>
      <c r="H308" t="n">
        <v>44.1652</v>
      </c>
      <c r="I308" t="n">
        <v>5.7421</v>
      </c>
      <c r="J308" t="n">
        <v/>
      </c>
      <c r="K308" t="n">
        <v/>
      </c>
    </row>
    <row r="309">
      <c r="A309" s="98" t="n">
        <v>16285</v>
      </c>
      <c r="B309" t="n">
        <v>16.7504</v>
      </c>
      <c r="C309" t="n">
        <v/>
      </c>
      <c r="D309" t="n">
        <v/>
      </c>
      <c r="E309" t="n">
        <v>15.8893</v>
      </c>
      <c r="F309" t="n">
        <v/>
      </c>
      <c r="G309" t="n">
        <v>14.6934</v>
      </c>
      <c r="H309" t="n">
        <v>44.5774</v>
      </c>
      <c r="I309" t="n">
        <v>5.793</v>
      </c>
      <c r="J309" t="n">
        <v/>
      </c>
      <c r="K309" t="n">
        <v/>
      </c>
    </row>
    <row r="310">
      <c r="A310" s="98" t="n">
        <v>16316</v>
      </c>
      <c r="B310" t="n">
        <v>16.6429</v>
      </c>
      <c r="C310" t="n">
        <v/>
      </c>
      <c r="D310" t="n">
        <v/>
      </c>
      <c r="E310" t="n">
        <v>15.5405</v>
      </c>
      <c r="F310" t="n">
        <v/>
      </c>
      <c r="G310" t="n">
        <v>14.669</v>
      </c>
      <c r="H310" t="n">
        <v>44.7834</v>
      </c>
      <c r="I310" t="n">
        <v>5.7929</v>
      </c>
      <c r="J310" t="n">
        <v/>
      </c>
      <c r="K310" t="n">
        <v/>
      </c>
    </row>
    <row r="311">
      <c r="A311" s="98" t="n">
        <v>16346</v>
      </c>
      <c r="B311" t="n">
        <v>16.6967</v>
      </c>
      <c r="C311" t="n">
        <v/>
      </c>
      <c r="D311" t="n">
        <v/>
      </c>
      <c r="E311" t="n">
        <v>15.5793</v>
      </c>
      <c r="F311" t="n">
        <v/>
      </c>
      <c r="G311" t="n">
        <v>14.7179</v>
      </c>
      <c r="H311" t="n">
        <v>44.8521</v>
      </c>
      <c r="I311" t="n">
        <v>5.7929</v>
      </c>
      <c r="J311" t="n">
        <v/>
      </c>
      <c r="K311" t="n">
        <v/>
      </c>
    </row>
    <row r="312">
      <c r="A312" s="98" t="n">
        <v>16377</v>
      </c>
      <c r="B312" t="n">
        <v>16.5622</v>
      </c>
      <c r="C312" t="n">
        <v/>
      </c>
      <c r="D312" t="n">
        <v/>
      </c>
      <c r="E312" t="n">
        <v>15.5405</v>
      </c>
      <c r="F312" t="n">
        <v/>
      </c>
      <c r="G312" t="n">
        <v>14.7423</v>
      </c>
      <c r="H312" t="n">
        <v>45.2642</v>
      </c>
      <c r="I312" t="n">
        <v>5.7929</v>
      </c>
      <c r="J312" t="n">
        <v/>
      </c>
      <c r="K312" t="n">
        <v/>
      </c>
    </row>
    <row r="313">
      <c r="A313" s="98" t="n">
        <v>16407</v>
      </c>
      <c r="B313" t="n">
        <v>16.5084</v>
      </c>
      <c r="C313" t="n">
        <v/>
      </c>
      <c r="D313" t="n">
        <v/>
      </c>
      <c r="E313" t="n">
        <v>15.5405</v>
      </c>
      <c r="F313" t="n">
        <v/>
      </c>
      <c r="G313" t="n">
        <v>14.8155</v>
      </c>
      <c r="H313" t="n">
        <v>44.0965</v>
      </c>
      <c r="I313" t="n">
        <v>5.8184</v>
      </c>
      <c r="J313" t="n">
        <v/>
      </c>
      <c r="K313" t="n">
        <v/>
      </c>
    </row>
    <row r="314">
      <c r="A314" s="98" t="n">
        <v>16438</v>
      </c>
      <c r="B314" t="n">
        <v>16.3471</v>
      </c>
      <c r="C314" t="n">
        <v/>
      </c>
      <c r="D314" t="n">
        <v/>
      </c>
      <c r="E314" t="n">
        <v>15.773</v>
      </c>
      <c r="F314" t="n">
        <v/>
      </c>
      <c r="G314" t="n">
        <v>14.6446</v>
      </c>
      <c r="H314" t="n">
        <v>43.6845</v>
      </c>
      <c r="I314" t="n">
        <v>5.92</v>
      </c>
      <c r="J314" t="n">
        <v/>
      </c>
      <c r="K314" t="n">
        <v/>
      </c>
    </row>
    <row r="315">
      <c r="A315" s="98" t="n">
        <v>16469</v>
      </c>
      <c r="B315" t="n">
        <v>16.2934</v>
      </c>
      <c r="C315" t="n">
        <v/>
      </c>
      <c r="D315" t="n">
        <v/>
      </c>
      <c r="E315" t="n">
        <v>15.6568</v>
      </c>
      <c r="F315" t="n">
        <v/>
      </c>
      <c r="G315" t="n">
        <v>14.7911</v>
      </c>
      <c r="H315" t="n">
        <v>44.5087</v>
      </c>
      <c r="I315" t="n">
        <v>5.9454</v>
      </c>
      <c r="J315" t="n">
        <v/>
      </c>
      <c r="K315" t="n">
        <v/>
      </c>
    </row>
    <row r="316">
      <c r="A316" s="98" t="n">
        <v>16497</v>
      </c>
      <c r="B316" t="n">
        <v>16.1858</v>
      </c>
      <c r="C316" t="n">
        <v/>
      </c>
      <c r="D316" t="n">
        <v/>
      </c>
      <c r="E316" t="n">
        <v>15.618</v>
      </c>
      <c r="F316" t="n">
        <v/>
      </c>
      <c r="G316" t="n">
        <v>14.8155</v>
      </c>
      <c r="H316" t="n">
        <v>45.5389</v>
      </c>
      <c r="I316" t="n">
        <v>5.8946</v>
      </c>
      <c r="J316" t="n">
        <v/>
      </c>
      <c r="K316" t="n">
        <v/>
      </c>
    </row>
    <row r="317">
      <c r="A317" s="98" t="n">
        <v>16528</v>
      </c>
      <c r="B317" t="n">
        <v>15.8901</v>
      </c>
      <c r="C317" t="n">
        <v/>
      </c>
      <c r="D317" t="n">
        <v/>
      </c>
      <c r="E317" t="n">
        <v>15.7343</v>
      </c>
      <c r="F317" t="n">
        <v/>
      </c>
      <c r="G317" t="n">
        <v>14.5958</v>
      </c>
      <c r="H317" t="n">
        <v>45.9511</v>
      </c>
      <c r="I317" t="n">
        <v>5.8946</v>
      </c>
      <c r="J317" t="n">
        <v/>
      </c>
      <c r="K317" t="n">
        <v/>
      </c>
    </row>
    <row r="318">
      <c r="A318" s="98" t="n">
        <v>16558</v>
      </c>
      <c r="B318" t="n">
        <v>15.4599</v>
      </c>
      <c r="C318" t="n">
        <v/>
      </c>
      <c r="D318" t="n">
        <v/>
      </c>
      <c r="E318" t="n">
        <v>15.773</v>
      </c>
      <c r="F318" t="n">
        <v/>
      </c>
      <c r="G318" t="n">
        <v>14.2053</v>
      </c>
      <c r="H318" t="n">
        <v>44.7147</v>
      </c>
      <c r="I318" t="n">
        <v>5.9454</v>
      </c>
      <c r="J318" t="n">
        <v/>
      </c>
      <c r="K318" t="n">
        <v/>
      </c>
    </row>
    <row r="319">
      <c r="A319" s="98" t="n">
        <v>16589</v>
      </c>
      <c r="B319" t="n">
        <v>15.1103</v>
      </c>
      <c r="C319" t="n">
        <v/>
      </c>
      <c r="D319" t="n">
        <v/>
      </c>
      <c r="E319" t="n">
        <v>15.8893</v>
      </c>
      <c r="F319" t="n">
        <v/>
      </c>
      <c r="G319" t="n">
        <v>13.8392</v>
      </c>
      <c r="H319" t="n">
        <v>45.2642</v>
      </c>
      <c r="I319" t="n">
        <v>5.9962</v>
      </c>
      <c r="J319" t="n">
        <v/>
      </c>
      <c r="K319" t="n">
        <v/>
      </c>
    </row>
    <row r="320">
      <c r="A320" s="98" t="n">
        <v>16619</v>
      </c>
      <c r="B320" t="n">
        <v>14.7608</v>
      </c>
      <c r="C320" t="n">
        <v/>
      </c>
      <c r="D320" t="n">
        <v/>
      </c>
      <c r="E320" t="n">
        <v>15.8506</v>
      </c>
      <c r="F320" t="n">
        <v/>
      </c>
      <c r="G320" t="n">
        <v>13.3266</v>
      </c>
      <c r="H320" t="n">
        <v>45.1955</v>
      </c>
      <c r="I320" t="n">
        <v>5.9454</v>
      </c>
      <c r="J320" t="n">
        <v/>
      </c>
      <c r="K320" t="n">
        <v/>
      </c>
    </row>
    <row r="321">
      <c r="A321" s="98" t="n">
        <v>16650</v>
      </c>
      <c r="B321" t="n">
        <v>13.2283</v>
      </c>
      <c r="C321" t="n">
        <v/>
      </c>
      <c r="D321" t="n">
        <v/>
      </c>
      <c r="E321" t="n">
        <v>15.153</v>
      </c>
      <c r="F321" t="n">
        <v/>
      </c>
      <c r="G321" t="n">
        <v>12.0818</v>
      </c>
      <c r="H321" t="n">
        <v>43.9592</v>
      </c>
      <c r="I321" t="n">
        <v>5.8692</v>
      </c>
      <c r="J321" t="n">
        <v/>
      </c>
      <c r="K321" t="n">
        <v/>
      </c>
    </row>
    <row r="322">
      <c r="A322" s="98" t="n">
        <v>16681</v>
      </c>
      <c r="B322" t="n">
        <v>12.0453</v>
      </c>
      <c r="C322" t="n">
        <v/>
      </c>
      <c r="D322" t="n">
        <v/>
      </c>
      <c r="E322" t="n">
        <v>15.8893</v>
      </c>
      <c r="F322" t="n">
        <v/>
      </c>
      <c r="G322" t="n">
        <v>11.1787</v>
      </c>
      <c r="H322" t="n">
        <v>42.036</v>
      </c>
      <c r="I322" t="n">
        <v>5.7929</v>
      </c>
      <c r="J322" t="n">
        <v/>
      </c>
      <c r="K322" t="n">
        <v/>
      </c>
    </row>
    <row r="323">
      <c r="A323" s="98" t="n">
        <v>16711</v>
      </c>
      <c r="B323" t="n">
        <v>11.5613</v>
      </c>
      <c r="C323" t="n">
        <v/>
      </c>
      <c r="D323" t="n">
        <v/>
      </c>
      <c r="E323" t="n">
        <v>16.1218</v>
      </c>
      <c r="F323" t="n">
        <v/>
      </c>
      <c r="G323" t="n">
        <v>10.5685</v>
      </c>
      <c r="H323" t="n">
        <v>38.8077</v>
      </c>
      <c r="I323" t="n">
        <v>5.7929</v>
      </c>
      <c r="J323" t="n">
        <v/>
      </c>
      <c r="K323" t="n">
        <v/>
      </c>
    </row>
    <row r="324">
      <c r="A324" s="98" t="n">
        <v>16742</v>
      </c>
      <c r="B324" t="n">
        <v>11.9915</v>
      </c>
      <c r="C324" t="n">
        <v/>
      </c>
      <c r="D324" t="n">
        <v/>
      </c>
      <c r="E324" t="n">
        <v>16.5869</v>
      </c>
      <c r="F324" t="n">
        <v/>
      </c>
      <c r="G324" t="n">
        <v>11.3008</v>
      </c>
      <c r="H324" t="n">
        <v>43.9592</v>
      </c>
      <c r="I324" t="n">
        <v>5.7929</v>
      </c>
      <c r="J324" t="n">
        <v/>
      </c>
      <c r="K324" t="n">
        <v/>
      </c>
    </row>
    <row r="325">
      <c r="A325" s="98" t="n">
        <v>16772</v>
      </c>
      <c r="B325" t="n">
        <v>12.0453</v>
      </c>
      <c r="C325" t="n">
        <v/>
      </c>
      <c r="D325" t="n">
        <v/>
      </c>
      <c r="E325" t="n">
        <v>16.7807</v>
      </c>
      <c r="F325" t="n">
        <v/>
      </c>
      <c r="G325" t="n">
        <v>11.4228</v>
      </c>
      <c r="H325" t="n">
        <v>42.9289</v>
      </c>
      <c r="I325" t="n">
        <v>5.8692</v>
      </c>
      <c r="J325" t="n">
        <v/>
      </c>
      <c r="K325" t="n">
        <v/>
      </c>
    </row>
    <row r="326">
      <c r="A326" s="98" t="n">
        <v>16803</v>
      </c>
      <c r="B326" t="n">
        <v>11.3731</v>
      </c>
      <c r="C326" t="n">
        <v/>
      </c>
      <c r="D326" t="n">
        <v/>
      </c>
      <c r="E326" t="n">
        <v>17.517</v>
      </c>
      <c r="F326" t="n">
        <v/>
      </c>
      <c r="G326" t="n">
        <v>10.0072</v>
      </c>
      <c r="H326" t="n">
        <v>43.6845</v>
      </c>
      <c r="I326" t="n">
        <v>5.8438</v>
      </c>
      <c r="J326" t="n">
        <v/>
      </c>
      <c r="K326" t="n">
        <v/>
      </c>
    </row>
    <row r="327">
      <c r="A327" s="98" t="n">
        <v>16834</v>
      </c>
      <c r="B327" t="n">
        <v>10.8085</v>
      </c>
      <c r="C327" t="n">
        <v/>
      </c>
      <c r="D327" t="n">
        <v/>
      </c>
      <c r="E327" t="n">
        <v>18.2146</v>
      </c>
      <c r="F327" t="n">
        <v/>
      </c>
      <c r="G327" t="n">
        <v>8.811199999999999</v>
      </c>
      <c r="H327" t="n">
        <v>44.3713</v>
      </c>
      <c r="I327" t="n">
        <v>5.8692</v>
      </c>
      <c r="J327" t="n">
        <v/>
      </c>
      <c r="K327" t="n">
        <v/>
      </c>
    </row>
    <row r="328">
      <c r="A328" s="98" t="n">
        <v>16862</v>
      </c>
      <c r="B328" t="n">
        <v>11.9377</v>
      </c>
      <c r="C328" t="n">
        <v/>
      </c>
      <c r="D328" t="n">
        <v/>
      </c>
      <c r="E328" t="n">
        <v>18.0983</v>
      </c>
      <c r="F328" t="n">
        <v/>
      </c>
      <c r="G328" t="n">
        <v>11.0811</v>
      </c>
      <c r="H328" t="n">
        <v>43.7531</v>
      </c>
      <c r="I328" t="n">
        <v>5.8692</v>
      </c>
      <c r="J328" t="n">
        <v/>
      </c>
      <c r="K328" t="n">
        <v/>
      </c>
    </row>
    <row r="329">
      <c r="A329" s="98" t="n">
        <v>16893</v>
      </c>
      <c r="B329" t="n">
        <v>11.7226</v>
      </c>
      <c r="C329" t="n">
        <v/>
      </c>
      <c r="D329" t="n">
        <v/>
      </c>
      <c r="E329" t="n">
        <v>18.2921</v>
      </c>
      <c r="F329" t="n">
        <v/>
      </c>
      <c r="G329" t="n">
        <v>10.3489</v>
      </c>
      <c r="H329" t="n">
        <v>33.7936</v>
      </c>
      <c r="I329" t="n">
        <v>5.9708</v>
      </c>
      <c r="J329" t="n">
        <v/>
      </c>
      <c r="K329" t="n">
        <v/>
      </c>
    </row>
    <row r="330">
      <c r="A330" s="98" t="n">
        <v>16923</v>
      </c>
      <c r="B330" t="n">
        <v>11.2924</v>
      </c>
      <c r="C330" t="n">
        <v/>
      </c>
      <c r="D330" t="n">
        <v/>
      </c>
      <c r="E330" t="n">
        <v>18.3696</v>
      </c>
      <c r="F330" t="n">
        <v/>
      </c>
      <c r="G330" t="n">
        <v>9.5678</v>
      </c>
      <c r="H330" t="n">
        <v>37.3653</v>
      </c>
      <c r="I330" t="n">
        <v>5.9708</v>
      </c>
      <c r="J330" t="n">
        <v/>
      </c>
      <c r="K330" t="n">
        <v/>
      </c>
    </row>
    <row r="331">
      <c r="A331" s="98" t="n">
        <v>16954</v>
      </c>
      <c r="B331" t="n">
        <v>11.9915</v>
      </c>
      <c r="C331" t="n">
        <v/>
      </c>
      <c r="D331" t="n">
        <v/>
      </c>
      <c r="E331" t="n">
        <v>18.4083</v>
      </c>
      <c r="F331" t="n">
        <v/>
      </c>
      <c r="G331" t="n">
        <v>10.9103</v>
      </c>
      <c r="H331" t="n">
        <v>43.4097</v>
      </c>
      <c r="I331" t="n">
        <v>5.9962</v>
      </c>
      <c r="J331" t="n">
        <v/>
      </c>
      <c r="K331" t="n">
        <v/>
      </c>
    </row>
    <row r="332">
      <c r="A332" s="98" t="n">
        <v>16984</v>
      </c>
      <c r="B332" t="n">
        <v>12.3948</v>
      </c>
      <c r="C332" t="n">
        <v/>
      </c>
      <c r="D332" t="n">
        <v/>
      </c>
      <c r="E332" t="n">
        <v>18.8347</v>
      </c>
      <c r="F332" t="n">
        <v/>
      </c>
      <c r="G332" t="n">
        <v>11.5449</v>
      </c>
      <c r="H332" t="n">
        <v>46.2945</v>
      </c>
      <c r="I332" t="n">
        <v>6.1233</v>
      </c>
      <c r="J332" t="n">
        <v/>
      </c>
      <c r="K332" t="n">
        <v/>
      </c>
    </row>
    <row r="333">
      <c r="A333" s="98" t="n">
        <v>17015</v>
      </c>
      <c r="B333" t="n">
        <v>12.8519</v>
      </c>
      <c r="C333" t="n">
        <v/>
      </c>
      <c r="D333" t="n">
        <v/>
      </c>
      <c r="E333" t="n">
        <v>19.4547</v>
      </c>
      <c r="F333" t="n">
        <v/>
      </c>
      <c r="G333" t="n">
        <v>11.9842</v>
      </c>
      <c r="H333" t="n">
        <v>44.9895</v>
      </c>
      <c r="I333" t="n">
        <v>6.2503</v>
      </c>
      <c r="J333" t="n">
        <v/>
      </c>
      <c r="K333" t="n">
        <v/>
      </c>
    </row>
    <row r="334">
      <c r="A334" s="98" t="n">
        <v>17046</v>
      </c>
      <c r="B334" t="n">
        <v>13.0938</v>
      </c>
      <c r="C334" t="n">
        <v/>
      </c>
      <c r="D334" t="n">
        <v/>
      </c>
      <c r="E334" t="n">
        <v>19.8422</v>
      </c>
      <c r="F334" t="n">
        <v/>
      </c>
      <c r="G334" t="n">
        <v>12.0574</v>
      </c>
      <c r="H334" t="n">
        <v>45.6764</v>
      </c>
      <c r="I334" t="n">
        <v>6.3519</v>
      </c>
      <c r="J334" t="n">
        <v/>
      </c>
      <c r="K334" t="n">
        <v/>
      </c>
    </row>
    <row r="335">
      <c r="A335" s="98" t="n">
        <v>17076</v>
      </c>
      <c r="B335" t="n">
        <v>13.3358</v>
      </c>
      <c r="C335" t="n">
        <v/>
      </c>
      <c r="D335" t="n">
        <v/>
      </c>
      <c r="E335" t="n">
        <v>20.0748</v>
      </c>
      <c r="F335" t="n">
        <v/>
      </c>
      <c r="G335" t="n">
        <v>12.3259</v>
      </c>
      <c r="H335" t="n">
        <v>45.3329</v>
      </c>
      <c r="I335" t="n">
        <v>6.4281</v>
      </c>
      <c r="J335" t="n">
        <v/>
      </c>
      <c r="K335" t="n">
        <v/>
      </c>
    </row>
    <row r="336">
      <c r="A336" s="98" t="n">
        <v>17107</v>
      </c>
      <c r="B336" t="n">
        <v>13.4165</v>
      </c>
      <c r="C336" t="n">
        <v/>
      </c>
      <c r="D336" t="n">
        <v/>
      </c>
      <c r="E336" t="n">
        <v>20.3461</v>
      </c>
      <c r="F336" t="n">
        <v/>
      </c>
      <c r="G336" t="n">
        <v>12.3015</v>
      </c>
      <c r="H336" t="n">
        <v>43.341</v>
      </c>
      <c r="I336" t="n">
        <v>6.4535</v>
      </c>
      <c r="J336" t="n">
        <v/>
      </c>
      <c r="K336" t="n">
        <v/>
      </c>
    </row>
    <row r="337">
      <c r="A337" s="98" t="n">
        <v>17137</v>
      </c>
      <c r="B337" t="n">
        <v>13.4971</v>
      </c>
      <c r="C337" t="n">
        <v/>
      </c>
      <c r="D337" t="n">
        <v/>
      </c>
      <c r="E337" t="n">
        <v>20.4623</v>
      </c>
      <c r="F337" t="n">
        <v/>
      </c>
      <c r="G337" t="n">
        <v>12.3747</v>
      </c>
      <c r="H337" t="n">
        <v>44.3713</v>
      </c>
      <c r="I337" t="n">
        <v>6.479</v>
      </c>
      <c r="J337" t="n">
        <v/>
      </c>
      <c r="K337" t="n">
        <v/>
      </c>
    </row>
    <row r="338">
      <c r="A338" s="98" t="n">
        <v>17168</v>
      </c>
      <c r="B338" t="n">
        <v>13.6585</v>
      </c>
      <c r="C338" t="n">
        <v>24.0228</v>
      </c>
      <c r="D338" t="n">
        <v>5.4405</v>
      </c>
      <c r="E338" t="n">
        <v>20.036</v>
      </c>
      <c r="F338" t="n">
        <v/>
      </c>
      <c r="G338" t="n">
        <v>12.3747</v>
      </c>
      <c r="H338" t="n">
        <v>47.3935</v>
      </c>
      <c r="I338" t="n">
        <v>6.2503</v>
      </c>
      <c r="J338" t="n">
        <v/>
      </c>
      <c r="K338" t="n">
        <v/>
      </c>
    </row>
    <row r="339">
      <c r="A339" s="98" t="n">
        <v>17199</v>
      </c>
      <c r="B339" t="n">
        <v>13.7391</v>
      </c>
      <c r="C339" t="n">
        <v>24.7439</v>
      </c>
      <c r="D339" t="n">
        <v>5.4993</v>
      </c>
      <c r="E339" t="n">
        <v>19.9585</v>
      </c>
      <c r="F339" t="n">
        <v/>
      </c>
      <c r="G339" t="n">
        <v>12.4723</v>
      </c>
      <c r="H339" t="n">
        <v>47.943</v>
      </c>
      <c r="I339" t="n">
        <v>6.3011</v>
      </c>
      <c r="J339" t="n">
        <v/>
      </c>
      <c r="K339" t="n">
        <v/>
      </c>
    </row>
    <row r="340">
      <c r="A340" s="98" t="n">
        <v>17227</v>
      </c>
      <c r="B340" t="n">
        <v>13.8198</v>
      </c>
      <c r="C340" t="n">
        <v>25.0143</v>
      </c>
      <c r="D340" t="n">
        <v>5.5286</v>
      </c>
      <c r="E340" t="n">
        <v>20.036</v>
      </c>
      <c r="F340" t="n">
        <v/>
      </c>
      <c r="G340" t="n">
        <v>12.8873</v>
      </c>
      <c r="H340" t="n">
        <v>48.8359</v>
      </c>
      <c r="I340" t="n">
        <v>6.3519</v>
      </c>
      <c r="J340" t="n">
        <v/>
      </c>
      <c r="K340" t="n">
        <v/>
      </c>
    </row>
    <row r="341">
      <c r="A341" s="98" t="n">
        <v>17258</v>
      </c>
      <c r="B341" t="n">
        <v>13.7122</v>
      </c>
      <c r="C341" t="n">
        <v>25.2397</v>
      </c>
      <c r="D341" t="n">
        <v>5.6069</v>
      </c>
      <c r="E341" t="n">
        <v>19.9585</v>
      </c>
      <c r="F341" t="n">
        <v/>
      </c>
      <c r="G341" t="n">
        <v>12.57</v>
      </c>
      <c r="H341" t="n">
        <v>44.7147</v>
      </c>
      <c r="I341" t="n">
        <v>6.479</v>
      </c>
      <c r="J341" t="n">
        <v/>
      </c>
      <c r="K341" t="n">
        <v/>
      </c>
    </row>
    <row r="342">
      <c r="A342" s="98" t="n">
        <v>17288</v>
      </c>
      <c r="B342" t="n">
        <v>13.766</v>
      </c>
      <c r="C342" t="n">
        <v>25.5552</v>
      </c>
      <c r="D342" t="n">
        <v>5.6362</v>
      </c>
      <c r="E342" t="n">
        <v>19.8035</v>
      </c>
      <c r="F342" t="n">
        <v/>
      </c>
      <c r="G342" t="n">
        <v>12.6188</v>
      </c>
      <c r="H342" t="n">
        <v>48.4238</v>
      </c>
      <c r="I342" t="n">
        <v>6.5806</v>
      </c>
      <c r="J342" t="n">
        <v/>
      </c>
      <c r="K342" t="n">
        <v/>
      </c>
    </row>
    <row r="343">
      <c r="A343" s="98" t="n">
        <v>17319</v>
      </c>
      <c r="B343" t="n">
        <v>13.766</v>
      </c>
      <c r="C343" t="n">
        <v>25.6003</v>
      </c>
      <c r="D343" t="n">
        <v>5.6754</v>
      </c>
      <c r="E343" t="n">
        <v>19.8423</v>
      </c>
      <c r="F343" t="n">
        <v/>
      </c>
      <c r="G343" t="n">
        <v>12.4968</v>
      </c>
      <c r="H343" t="n">
        <v>48.0117</v>
      </c>
      <c r="I343" t="n">
        <v>6.606</v>
      </c>
      <c r="J343" t="n">
        <v/>
      </c>
      <c r="K343" t="n">
        <v/>
      </c>
    </row>
    <row r="344">
      <c r="A344" s="98" t="n">
        <v>17349</v>
      </c>
      <c r="B344" t="n">
        <v>13.6853</v>
      </c>
      <c r="C344" t="n">
        <v>24.9693</v>
      </c>
      <c r="D344" t="n">
        <v>5.5775</v>
      </c>
      <c r="E344" t="n">
        <v>19.9198</v>
      </c>
      <c r="F344" t="n">
        <v/>
      </c>
      <c r="G344" t="n">
        <v>12.3747</v>
      </c>
      <c r="H344" t="n">
        <v>48.7672</v>
      </c>
      <c r="I344" t="n">
        <v>6.6568</v>
      </c>
      <c r="J344" t="n">
        <v/>
      </c>
      <c r="K344" t="n">
        <v/>
      </c>
    </row>
    <row r="345">
      <c r="A345" s="98" t="n">
        <v>17380</v>
      </c>
      <c r="B345" t="n">
        <v>13.766</v>
      </c>
      <c r="C345" t="n">
        <v>25.3299</v>
      </c>
      <c r="D345" t="n">
        <v>5.6754</v>
      </c>
      <c r="E345" t="n">
        <v>20.0748</v>
      </c>
      <c r="F345" t="n">
        <v/>
      </c>
      <c r="G345" t="n">
        <v>12.3503</v>
      </c>
      <c r="H345" t="n">
        <v>49.5915</v>
      </c>
      <c r="I345" t="n">
        <v>6.733</v>
      </c>
      <c r="J345" t="n">
        <v/>
      </c>
      <c r="K345" t="n">
        <v/>
      </c>
    </row>
    <row r="346">
      <c r="A346" s="98" t="n">
        <v>17411</v>
      </c>
      <c r="B346" t="n">
        <v>13.8736</v>
      </c>
      <c r="C346" t="n">
        <v>25.5552</v>
      </c>
      <c r="D346" t="n">
        <v>5.7537</v>
      </c>
      <c r="E346" t="n">
        <v>20.2686</v>
      </c>
      <c r="F346" t="n">
        <v/>
      </c>
      <c r="G346" t="n">
        <v>12.5212</v>
      </c>
      <c r="H346" t="n">
        <v>50.141</v>
      </c>
      <c r="I346" t="n">
        <v>6.8093</v>
      </c>
      <c r="J346" t="n">
        <v/>
      </c>
      <c r="K346" t="n">
        <v/>
      </c>
    </row>
    <row r="347">
      <c r="A347" s="98" t="n">
        <v>17441</v>
      </c>
      <c r="B347" t="n">
        <v>14.008</v>
      </c>
      <c r="C347" t="n">
        <v>25.5101</v>
      </c>
      <c r="D347" t="n">
        <v>5.7928</v>
      </c>
      <c r="E347" t="n">
        <v>20.5786</v>
      </c>
      <c r="F347" t="n">
        <v/>
      </c>
      <c r="G347" t="n">
        <v>12.6188</v>
      </c>
      <c r="H347" t="n">
        <v>49.9349</v>
      </c>
      <c r="I347" t="n">
        <v>6.8601</v>
      </c>
      <c r="J347" t="n">
        <v/>
      </c>
      <c r="K347" t="n">
        <v/>
      </c>
    </row>
    <row r="348">
      <c r="A348" s="98" t="n">
        <v>17472</v>
      </c>
      <c r="B348" t="n">
        <v>14.1962</v>
      </c>
      <c r="C348" t="n">
        <v>26.0059</v>
      </c>
      <c r="D348" t="n">
        <v>5.7928</v>
      </c>
      <c r="E348" t="n">
        <v>20.8886</v>
      </c>
      <c r="F348" t="n">
        <v/>
      </c>
      <c r="G348" t="n">
        <v>12.9117</v>
      </c>
      <c r="H348" t="n">
        <v>50.347</v>
      </c>
      <c r="I348" t="n">
        <v>6.9109</v>
      </c>
      <c r="J348" t="n">
        <v/>
      </c>
      <c r="K348" t="n">
        <v/>
      </c>
    </row>
    <row r="349">
      <c r="A349" s="98" t="n">
        <v>17502</v>
      </c>
      <c r="B349" t="n">
        <v>14.25</v>
      </c>
      <c r="C349" t="n">
        <v>26.051</v>
      </c>
      <c r="D349" t="n">
        <v>5.8417</v>
      </c>
      <c r="E349" t="n">
        <v>20.9274</v>
      </c>
      <c r="F349" t="n">
        <v/>
      </c>
      <c r="G349" t="n">
        <v>12.7652</v>
      </c>
      <c r="H349" t="n">
        <v>50.2783</v>
      </c>
      <c r="I349" t="n">
        <v>6.9617</v>
      </c>
      <c r="J349" t="n">
        <v/>
      </c>
      <c r="K349" t="n">
        <v/>
      </c>
    </row>
    <row r="350">
      <c r="A350" s="98" t="n">
        <v>17533</v>
      </c>
      <c r="B350" t="n">
        <v>14.3306</v>
      </c>
      <c r="C350" t="n">
        <v>27.2228</v>
      </c>
      <c r="D350" t="n">
        <v>5.8907</v>
      </c>
      <c r="E350" t="n">
        <v>20.8111</v>
      </c>
      <c r="F350" t="n">
        <v/>
      </c>
      <c r="G350" t="n">
        <v>12.814</v>
      </c>
      <c r="H350" t="n">
        <v>50.9652</v>
      </c>
      <c r="I350" t="n">
        <v>7.0887</v>
      </c>
      <c r="J350" t="n">
        <v/>
      </c>
      <c r="K350" t="n">
        <v/>
      </c>
    </row>
    <row r="351">
      <c r="A351" s="98" t="n">
        <v>17564</v>
      </c>
      <c r="B351" t="n">
        <v>14.3575</v>
      </c>
      <c r="C351" t="n">
        <v>26.9524</v>
      </c>
      <c r="D351" t="n">
        <v>5.8613</v>
      </c>
      <c r="E351" t="n">
        <v>20.8886</v>
      </c>
      <c r="F351" t="n">
        <v/>
      </c>
      <c r="G351" t="n">
        <v>12.8873</v>
      </c>
      <c r="H351" t="n">
        <v>51.0339</v>
      </c>
      <c r="I351" t="n">
        <v>7.1142</v>
      </c>
      <c r="J351" t="n">
        <v/>
      </c>
      <c r="K351" t="n">
        <v/>
      </c>
    </row>
    <row r="352">
      <c r="A352" s="98" t="n">
        <v>17593</v>
      </c>
      <c r="B352" t="n">
        <v>14.1962</v>
      </c>
      <c r="C352" t="n">
        <v>27.0425</v>
      </c>
      <c r="D352" t="n">
        <v>5.9005</v>
      </c>
      <c r="E352" t="n">
        <v>20.6561</v>
      </c>
      <c r="F352" t="n">
        <v/>
      </c>
      <c r="G352" t="n">
        <v>12.7652</v>
      </c>
      <c r="H352" t="n">
        <v>46.0198</v>
      </c>
      <c r="I352" t="n">
        <v>7.2666</v>
      </c>
      <c r="J352" t="n">
        <v/>
      </c>
      <c r="K352" t="n">
        <v/>
      </c>
    </row>
    <row r="353">
      <c r="A353" s="98" t="n">
        <v>17624</v>
      </c>
      <c r="B353" t="n">
        <v>14.2231</v>
      </c>
      <c r="C353" t="n">
        <v>26.8622</v>
      </c>
      <c r="D353" t="n">
        <v>5.8613</v>
      </c>
      <c r="E353" t="n">
        <v>20.8111</v>
      </c>
      <c r="F353" t="n">
        <v/>
      </c>
      <c r="G353" t="n">
        <v>12.6676</v>
      </c>
      <c r="H353" t="n">
        <v>47.1874</v>
      </c>
      <c r="I353" t="n">
        <v>7.2158</v>
      </c>
      <c r="J353" t="n">
        <v/>
      </c>
      <c r="K353" t="n">
        <v/>
      </c>
    </row>
    <row r="354">
      <c r="A354" s="98" t="n">
        <v>17654</v>
      </c>
      <c r="B354" t="n">
        <v>14.4651</v>
      </c>
      <c r="C354" t="n">
        <v>27.0876</v>
      </c>
      <c r="D354" t="n">
        <v>5.8417</v>
      </c>
      <c r="E354" t="n">
        <v>20.7336</v>
      </c>
      <c r="F354" t="n">
        <v/>
      </c>
      <c r="G354" t="n">
        <v>13.3266</v>
      </c>
      <c r="H354" t="n">
        <v>53.0258</v>
      </c>
      <c r="I354" t="n">
        <v>7.2666</v>
      </c>
      <c r="J354" t="n">
        <v/>
      </c>
      <c r="K354" t="n">
        <v/>
      </c>
    </row>
    <row r="355">
      <c r="A355" s="98" t="n">
        <v>17685</v>
      </c>
      <c r="B355" t="n">
        <v>14.6533</v>
      </c>
      <c r="C355" t="n">
        <v>26.7721</v>
      </c>
      <c r="D355" t="n">
        <v>5.92</v>
      </c>
      <c r="E355" t="n">
        <v>21.0824</v>
      </c>
      <c r="F355" t="n">
        <v/>
      </c>
      <c r="G355" t="n">
        <v>13.351</v>
      </c>
      <c r="H355" t="n">
        <v>53.0258</v>
      </c>
      <c r="I355" t="n">
        <v>7.3174</v>
      </c>
      <c r="J355" t="n">
        <v/>
      </c>
      <c r="K355" t="n">
        <v/>
      </c>
    </row>
    <row r="356">
      <c r="A356" s="98" t="n">
        <v>17715</v>
      </c>
      <c r="B356" t="n">
        <v>14.6533</v>
      </c>
      <c r="C356" t="n">
        <v>27.4932</v>
      </c>
      <c r="D356" t="n">
        <v>5.9494</v>
      </c>
      <c r="E356" t="n">
        <v>21.0436</v>
      </c>
      <c r="F356" t="n">
        <v/>
      </c>
      <c r="G356" t="n">
        <v>13.4487</v>
      </c>
      <c r="H356" t="n">
        <v>53.0258</v>
      </c>
      <c r="I356" t="n">
        <v>7.419</v>
      </c>
      <c r="J356" t="n">
        <v/>
      </c>
      <c r="K356" t="n">
        <v/>
      </c>
    </row>
    <row r="357">
      <c r="A357" s="98" t="n">
        <v>17746</v>
      </c>
      <c r="B357" t="n">
        <v>14.5995</v>
      </c>
      <c r="C357" t="n">
        <v>27.4031</v>
      </c>
      <c r="D357" t="n">
        <v>5.9396</v>
      </c>
      <c r="E357" t="n">
        <v>20.8499</v>
      </c>
      <c r="F357" t="n">
        <v/>
      </c>
      <c r="G357" t="n">
        <v>13.2778</v>
      </c>
      <c r="H357" t="n">
        <v>52.8884</v>
      </c>
      <c r="I357" t="n">
        <v>7.4699</v>
      </c>
      <c r="J357" t="n">
        <v/>
      </c>
      <c r="K357" t="n">
        <v/>
      </c>
    </row>
    <row r="358">
      <c r="A358" s="98" t="n">
        <v>17777</v>
      </c>
      <c r="B358" t="n">
        <v>14.4919</v>
      </c>
      <c r="C358" t="n">
        <v>27.0425</v>
      </c>
      <c r="D358" t="n">
        <v>5.9102</v>
      </c>
      <c r="E358" t="n">
        <v>20.7336</v>
      </c>
      <c r="F358" t="n">
        <v/>
      </c>
      <c r="G358" t="n">
        <v>13.3022</v>
      </c>
      <c r="H358" t="n">
        <v>51.7894</v>
      </c>
      <c r="I358" t="n">
        <v>7.5715</v>
      </c>
      <c r="J358" t="n">
        <v/>
      </c>
      <c r="K358" t="n">
        <v/>
      </c>
    </row>
    <row r="359">
      <c r="A359" s="98" t="n">
        <v>17807</v>
      </c>
      <c r="B359" t="n">
        <v>14.5995</v>
      </c>
      <c r="C359" t="n">
        <v>27.6285</v>
      </c>
      <c r="D359" t="n">
        <v>5.832</v>
      </c>
      <c r="E359" t="n">
        <v>20.9661</v>
      </c>
      <c r="F359" t="n">
        <v/>
      </c>
      <c r="G359" t="n">
        <v>13.3266</v>
      </c>
      <c r="H359" t="n">
        <v>52.4076</v>
      </c>
      <c r="I359" t="n">
        <v>7.6477</v>
      </c>
      <c r="J359" t="n">
        <v/>
      </c>
      <c r="K359" t="n">
        <v/>
      </c>
    </row>
    <row r="360">
      <c r="A360" s="98" t="n">
        <v>17838</v>
      </c>
      <c r="B360" t="n">
        <v>14.4113</v>
      </c>
      <c r="C360" t="n">
        <v>26.8172</v>
      </c>
      <c r="D360" t="n">
        <v>5.7928</v>
      </c>
      <c r="E360" t="n">
        <v>20.7336</v>
      </c>
      <c r="F360" t="n">
        <v/>
      </c>
      <c r="G360" t="n">
        <v>13.2046</v>
      </c>
      <c r="H360" t="n">
        <v>51.5834</v>
      </c>
      <c r="I360" t="n">
        <v>7.7239</v>
      </c>
      <c r="J360" t="n">
        <v/>
      </c>
      <c r="K360" t="n">
        <v/>
      </c>
    </row>
    <row r="361">
      <c r="A361" s="98" t="n">
        <v>17868</v>
      </c>
      <c r="B361" t="n">
        <v>14.2768</v>
      </c>
      <c r="C361" t="n">
        <v>26.5918</v>
      </c>
      <c r="D361" t="n">
        <v>5.7439</v>
      </c>
      <c r="E361" t="n">
        <v>20.5011</v>
      </c>
      <c r="F361" t="n">
        <v/>
      </c>
      <c r="G361" t="n">
        <v>13.1314</v>
      </c>
      <c r="H361" t="n">
        <v>51.5147</v>
      </c>
      <c r="I361" t="n">
        <v>7.7239</v>
      </c>
      <c r="J361" t="n">
        <v/>
      </c>
      <c r="K361" t="n">
        <v/>
      </c>
    </row>
    <row r="362">
      <c r="A362" s="98" t="n">
        <v>17899</v>
      </c>
      <c r="B362" t="n">
        <v>14.1424</v>
      </c>
      <c r="C362" t="n">
        <v>25.8707</v>
      </c>
      <c r="D362" t="n">
        <v>5.6069</v>
      </c>
      <c r="E362" t="n">
        <v>20.2685</v>
      </c>
      <c r="F362" t="n">
        <v/>
      </c>
      <c r="G362" t="n">
        <v>12.8873</v>
      </c>
      <c r="H362" t="n">
        <v>50.2096</v>
      </c>
      <c r="I362" t="n">
        <v>7.6731</v>
      </c>
      <c r="J362" t="n">
        <v/>
      </c>
      <c r="K362" t="n">
        <v/>
      </c>
    </row>
    <row r="363">
      <c r="A363" s="98" t="n">
        <v>17930</v>
      </c>
      <c r="B363" t="n">
        <v>14.008</v>
      </c>
      <c r="C363" t="n">
        <v>25.3299</v>
      </c>
      <c r="D363" t="n">
        <v>5.5873</v>
      </c>
      <c r="E363" t="n">
        <v>20.191</v>
      </c>
      <c r="F363" t="n">
        <v/>
      </c>
      <c r="G363" t="n">
        <v>12.8141</v>
      </c>
      <c r="H363" t="n">
        <v>50.0036</v>
      </c>
      <c r="I363" t="n">
        <v>7.6985</v>
      </c>
      <c r="J363" t="n">
        <v/>
      </c>
      <c r="K363" t="n">
        <v/>
      </c>
    </row>
    <row r="364">
      <c r="A364" s="98" t="n">
        <v>17958</v>
      </c>
      <c r="B364" t="n">
        <v>13.7391</v>
      </c>
      <c r="C364" t="n">
        <v>25.0143</v>
      </c>
      <c r="D364" t="n">
        <v>5.4601</v>
      </c>
      <c r="E364" t="n">
        <v>20.3461</v>
      </c>
      <c r="F364" t="n">
        <v/>
      </c>
      <c r="G364" t="n">
        <v>12.3015</v>
      </c>
      <c r="H364" t="n">
        <v>45.3329</v>
      </c>
      <c r="I364" t="n">
        <v>7.6985</v>
      </c>
      <c r="J364" t="n">
        <v/>
      </c>
      <c r="K364" t="n">
        <v/>
      </c>
    </row>
    <row r="365">
      <c r="A365" s="98" t="n">
        <v>17989</v>
      </c>
      <c r="B365" t="n">
        <v>13.6585</v>
      </c>
      <c r="C365" t="n">
        <v>24.6087</v>
      </c>
      <c r="D365" t="n">
        <v>5.3721</v>
      </c>
      <c r="E365" t="n">
        <v>20.3073</v>
      </c>
      <c r="F365" t="n">
        <v/>
      </c>
      <c r="G365" t="n">
        <v>12.1306</v>
      </c>
      <c r="H365" t="n">
        <v>49.4541</v>
      </c>
      <c r="I365" t="n">
        <v>7.7239</v>
      </c>
      <c r="J365" t="n">
        <v/>
      </c>
      <c r="K365" t="n">
        <v/>
      </c>
    </row>
    <row r="366">
      <c r="A366" s="98" t="n">
        <v>18019</v>
      </c>
      <c r="B366" t="n">
        <v>13.4702</v>
      </c>
      <c r="C366" t="n">
        <v>24.3383</v>
      </c>
      <c r="D366" t="n">
        <v>5.2546</v>
      </c>
      <c r="E366" t="n">
        <v>20.3073</v>
      </c>
      <c r="F366" t="n">
        <v/>
      </c>
      <c r="G366" t="n">
        <v>11.7889</v>
      </c>
      <c r="H366" t="n">
        <v>48.5612</v>
      </c>
      <c r="I366" t="n">
        <v>7.7239</v>
      </c>
      <c r="J366" t="n">
        <v/>
      </c>
      <c r="K366" t="n">
        <v/>
      </c>
    </row>
    <row r="367">
      <c r="A367" s="98" t="n">
        <v>18050</v>
      </c>
      <c r="B367" t="n">
        <v>13.4434</v>
      </c>
      <c r="C367" t="n">
        <v>24.2932</v>
      </c>
      <c r="D367" t="n">
        <v>5.1666</v>
      </c>
      <c r="E367" t="n">
        <v>20.5398</v>
      </c>
      <c r="F367" t="n">
        <v/>
      </c>
      <c r="G367" t="n">
        <v>11.6181</v>
      </c>
      <c r="H367" t="n">
        <v>45.1955</v>
      </c>
      <c r="I367" t="n">
        <v>7.8256</v>
      </c>
      <c r="J367" t="n">
        <v/>
      </c>
      <c r="K367" t="n">
        <v/>
      </c>
    </row>
    <row r="368">
      <c r="A368" s="98" t="n">
        <v>18080</v>
      </c>
      <c r="B368" t="n">
        <v>13.4165</v>
      </c>
      <c r="C368" t="n">
        <v>24.0228</v>
      </c>
      <c r="D368" t="n">
        <v>5.0687</v>
      </c>
      <c r="E368" t="n">
        <v>20.7336</v>
      </c>
      <c r="F368" t="n">
        <v/>
      </c>
      <c r="G368" t="n">
        <v>11.5693</v>
      </c>
      <c r="H368" t="n">
        <v>44.0279</v>
      </c>
      <c r="I368" t="n">
        <v>7.9272</v>
      </c>
      <c r="J368" t="n">
        <v/>
      </c>
      <c r="K368" t="n">
        <v/>
      </c>
    </row>
    <row r="369">
      <c r="A369" s="98" t="n">
        <v>18111</v>
      </c>
      <c r="B369" t="n">
        <v>13.5509</v>
      </c>
      <c r="C369" t="n">
        <v>24.2482</v>
      </c>
      <c r="D369" t="n">
        <v>5.0198</v>
      </c>
      <c r="E369" t="n">
        <v>20.9274</v>
      </c>
      <c r="F369" t="n">
        <v/>
      </c>
      <c r="G369" t="n">
        <v>11.7645</v>
      </c>
      <c r="H369" t="n">
        <v>43.8905</v>
      </c>
      <c r="I369" t="n">
        <v>8.003399999999999</v>
      </c>
      <c r="J369" t="n">
        <v/>
      </c>
      <c r="K369" t="n">
        <v/>
      </c>
    </row>
    <row r="370">
      <c r="A370" s="98" t="n">
        <v>18142</v>
      </c>
      <c r="B370" t="n">
        <v>13.6854</v>
      </c>
      <c r="C370" t="n">
        <v>25.0144</v>
      </c>
      <c r="D370" t="n">
        <v>4.9904</v>
      </c>
      <c r="E370" t="n">
        <v>21.2374</v>
      </c>
      <c r="F370" t="n">
        <v/>
      </c>
      <c r="G370" t="n">
        <v>11.9598</v>
      </c>
      <c r="H370" t="n">
        <v>39.632</v>
      </c>
      <c r="I370" t="n">
        <v>8.003399999999999</v>
      </c>
      <c r="J370" t="n">
        <v/>
      </c>
      <c r="K370" t="n">
        <v/>
      </c>
    </row>
    <row r="371">
      <c r="A371" s="98" t="n">
        <v>18172</v>
      </c>
      <c r="B371" t="n">
        <v>13.1745</v>
      </c>
      <c r="C371" t="n">
        <v>24.2031</v>
      </c>
      <c r="D371" t="n">
        <v>4.7849</v>
      </c>
      <c r="E371" t="n">
        <v>21.3149</v>
      </c>
      <c r="F371" t="n">
        <v/>
      </c>
      <c r="G371" t="n">
        <v>10.7394</v>
      </c>
      <c r="H371" t="n">
        <v>37.2966</v>
      </c>
      <c r="I371" t="n">
        <v>8.0288</v>
      </c>
      <c r="J371" t="n">
        <v/>
      </c>
      <c r="K371" t="n">
        <v/>
      </c>
    </row>
    <row r="372">
      <c r="A372" s="98" t="n">
        <v>18203</v>
      </c>
      <c r="B372" t="n">
        <v>13.524</v>
      </c>
      <c r="C372" t="n">
        <v>25.0144</v>
      </c>
      <c r="D372" t="n">
        <v>4.6382</v>
      </c>
      <c r="E372" t="n">
        <v>21.0049</v>
      </c>
      <c r="F372" t="n">
        <v/>
      </c>
      <c r="G372" t="n">
        <v>11.7401</v>
      </c>
      <c r="H372" t="n">
        <v>46.844</v>
      </c>
      <c r="I372" t="n">
        <v>8.155900000000001</v>
      </c>
      <c r="J372" t="n">
        <v/>
      </c>
      <c r="K372" t="n">
        <v/>
      </c>
    </row>
    <row r="373">
      <c r="A373" s="98" t="n">
        <v>18233</v>
      </c>
      <c r="B373" t="n">
        <v>13.766</v>
      </c>
      <c r="C373" t="n">
        <v>26.0961</v>
      </c>
      <c r="D373" t="n">
        <v>4.6479</v>
      </c>
      <c r="E373" t="n">
        <v>20.7724</v>
      </c>
      <c r="F373" t="n">
        <v/>
      </c>
      <c r="G373" t="n">
        <v>12.3015</v>
      </c>
      <c r="H373" t="n">
        <v>45.0582</v>
      </c>
      <c r="I373" t="n">
        <v>8.308299999999999</v>
      </c>
      <c r="J373" t="n">
        <v/>
      </c>
      <c r="K373" t="n">
        <v/>
      </c>
    </row>
    <row r="374">
      <c r="A374" s="98" t="n">
        <v>18264</v>
      </c>
      <c r="B374" t="n">
        <v>14.008</v>
      </c>
      <c r="C374" t="n">
        <v>25.7806</v>
      </c>
      <c r="D374" t="n">
        <v>4.736</v>
      </c>
      <c r="E374" t="n">
        <v>21.625</v>
      </c>
      <c r="F374" t="n">
        <v/>
      </c>
      <c r="G374" t="n">
        <v>12.3991</v>
      </c>
      <c r="H374" t="n">
        <v>44.1652</v>
      </c>
      <c r="I374" t="n">
        <v>8.41</v>
      </c>
      <c r="J374" t="n">
        <v/>
      </c>
      <c r="K374" t="n">
        <v/>
      </c>
    </row>
    <row r="375">
      <c r="A375" s="98" t="n">
        <v>18295</v>
      </c>
      <c r="B375" t="n">
        <v>14.0618</v>
      </c>
      <c r="C375" t="n">
        <v>26.7721</v>
      </c>
      <c r="D375" t="n">
        <v>4.8828</v>
      </c>
      <c r="E375" t="n">
        <v>21.6637</v>
      </c>
      <c r="F375" t="n">
        <v/>
      </c>
      <c r="G375" t="n">
        <v>12.1795</v>
      </c>
      <c r="H375" t="n">
        <v>40.6622</v>
      </c>
      <c r="I375" t="n">
        <v>8.4862</v>
      </c>
      <c r="J375" t="n">
        <v/>
      </c>
      <c r="K375" t="n">
        <v/>
      </c>
    </row>
    <row r="376">
      <c r="A376" s="98" t="n">
        <v>18323</v>
      </c>
      <c r="B376" t="n">
        <v>14.5188</v>
      </c>
      <c r="C376" t="n">
        <v>27.4031</v>
      </c>
      <c r="D376" t="n">
        <v>4.9317</v>
      </c>
      <c r="E376" t="n">
        <v>22.1288</v>
      </c>
      <c r="F376" t="n">
        <v/>
      </c>
      <c r="G376" t="n">
        <v>13.0093</v>
      </c>
      <c r="H376" t="n">
        <v>50.347</v>
      </c>
      <c r="I376" t="n">
        <v>8.6386</v>
      </c>
      <c r="J376" t="n">
        <v/>
      </c>
      <c r="K376" t="n">
        <v/>
      </c>
    </row>
    <row r="377">
      <c r="A377" s="98" t="n">
        <v>18354</v>
      </c>
      <c r="B377" t="n">
        <v>15.0028</v>
      </c>
      <c r="C377" t="n">
        <v>28.8454</v>
      </c>
      <c r="D377" t="n">
        <v>5.0785</v>
      </c>
      <c r="E377" t="n">
        <v>22.7488</v>
      </c>
      <c r="F377" t="n">
        <v/>
      </c>
      <c r="G377" t="n">
        <v>13.5463</v>
      </c>
      <c r="H377" t="n">
        <v>49.7288</v>
      </c>
      <c r="I377" t="n">
        <v>8.7402</v>
      </c>
      <c r="J377" t="n">
        <v/>
      </c>
      <c r="K377" t="n">
        <v/>
      </c>
    </row>
    <row r="378">
      <c r="A378" s="98" t="n">
        <v>18384</v>
      </c>
      <c r="B378" t="n">
        <v>15.3523</v>
      </c>
      <c r="C378" t="n">
        <v>29.1158</v>
      </c>
      <c r="D378" t="n">
        <v>5.2938</v>
      </c>
      <c r="E378" t="n">
        <v>23.2526</v>
      </c>
      <c r="F378" t="n">
        <v/>
      </c>
      <c r="G378" t="n">
        <v>13.9368</v>
      </c>
      <c r="H378" t="n">
        <v>49.9349</v>
      </c>
      <c r="I378" t="n">
        <v>8.8927</v>
      </c>
      <c r="J378" t="n">
        <v/>
      </c>
      <c r="K378" t="n">
        <v/>
      </c>
    </row>
    <row r="379">
      <c r="A379" s="98" t="n">
        <v>18415</v>
      </c>
      <c r="B379" t="n">
        <v>15.8094</v>
      </c>
      <c r="C379" t="n">
        <v>30.1524</v>
      </c>
      <c r="D379" t="n">
        <v>5.4993</v>
      </c>
      <c r="E379" t="n">
        <v>23.8727</v>
      </c>
      <c r="F379" t="n">
        <v/>
      </c>
      <c r="G379" t="n">
        <v>14.4738</v>
      </c>
      <c r="H379" t="n">
        <v>51.5147</v>
      </c>
      <c r="I379" t="n">
        <v>8.9435</v>
      </c>
      <c r="J379" t="n">
        <v/>
      </c>
      <c r="K379" t="n">
        <v/>
      </c>
    </row>
    <row r="380">
      <c r="A380" s="98" t="n">
        <v>18445</v>
      </c>
      <c r="B380" t="n">
        <v>16.3202</v>
      </c>
      <c r="C380" t="n">
        <v>30.9186</v>
      </c>
      <c r="D380" t="n">
        <v>5.6852</v>
      </c>
      <c r="E380" t="n">
        <v>24.609</v>
      </c>
      <c r="F380" t="n">
        <v/>
      </c>
      <c r="G380" t="n">
        <v>14.8643</v>
      </c>
      <c r="H380" t="n">
        <v>52.4763</v>
      </c>
      <c r="I380" t="n">
        <v>8.994300000000001</v>
      </c>
      <c r="J380" t="n">
        <v/>
      </c>
      <c r="K380" t="n">
        <v/>
      </c>
    </row>
    <row r="381">
      <c r="A381" s="98" t="n">
        <v>18476</v>
      </c>
      <c r="B381" t="n">
        <v>16.8311</v>
      </c>
      <c r="C381" t="n">
        <v>31.5046</v>
      </c>
      <c r="D381" t="n">
        <v>5.9983</v>
      </c>
      <c r="E381" t="n">
        <v>25.3841</v>
      </c>
      <c r="F381" t="n">
        <v/>
      </c>
      <c r="G381" t="n">
        <v>15.3036</v>
      </c>
      <c r="H381" t="n">
        <v>53.5753</v>
      </c>
      <c r="I381" t="n">
        <v>9.0959</v>
      </c>
      <c r="J381" t="n">
        <v/>
      </c>
      <c r="K381" t="n">
        <v/>
      </c>
    </row>
    <row r="382">
      <c r="A382" s="98" t="n">
        <v>18507</v>
      </c>
      <c r="B382" t="n">
        <v>16.7235</v>
      </c>
      <c r="C382" t="n">
        <v>31.5947</v>
      </c>
      <c r="D382" t="n">
        <v>5.8515</v>
      </c>
      <c r="E382" t="n">
        <v>24.7641</v>
      </c>
      <c r="F382" t="n">
        <v/>
      </c>
      <c r="G382" t="n">
        <v>15.4745</v>
      </c>
      <c r="H382" t="n">
        <v>54.3995</v>
      </c>
      <c r="I382" t="n">
        <v>9.1722</v>
      </c>
      <c r="J382" t="n">
        <v/>
      </c>
      <c r="K382" t="n">
        <v/>
      </c>
    </row>
    <row r="383">
      <c r="A383" s="98" t="n">
        <v>18537</v>
      </c>
      <c r="B383" t="n">
        <v>16.8311</v>
      </c>
      <c r="C383" t="n">
        <v>31.8652</v>
      </c>
      <c r="D383" t="n">
        <v>5.9689</v>
      </c>
      <c r="E383" t="n">
        <v>24.5703</v>
      </c>
      <c r="F383" t="n">
        <v/>
      </c>
      <c r="G383" t="n">
        <v>15.6698</v>
      </c>
      <c r="H383" t="n">
        <v>54.5369</v>
      </c>
      <c r="I383" t="n">
        <v>9.375400000000001</v>
      </c>
      <c r="J383" t="n">
        <v/>
      </c>
      <c r="K383" t="n">
        <v/>
      </c>
    </row>
    <row r="384">
      <c r="A384" s="98" t="n">
        <v>18568</v>
      </c>
      <c r="B384" t="n">
        <v>16.8042</v>
      </c>
      <c r="C384" t="n">
        <v>31.9102</v>
      </c>
      <c r="D384" t="n">
        <v>6.0179</v>
      </c>
      <c r="E384" t="n">
        <v>24.454</v>
      </c>
      <c r="F384" t="n">
        <v/>
      </c>
      <c r="G384" t="n">
        <v>15.4989</v>
      </c>
      <c r="H384" t="n">
        <v>53.3693</v>
      </c>
      <c r="I384" t="n">
        <v>9.4262</v>
      </c>
      <c r="J384" t="n">
        <v/>
      </c>
      <c r="K384" t="n">
        <v/>
      </c>
    </row>
    <row r="385">
      <c r="A385" s="98" t="n">
        <v>18598</v>
      </c>
      <c r="B385" t="n">
        <v>17.1</v>
      </c>
      <c r="C385" t="n">
        <v>31.9553</v>
      </c>
      <c r="D385" t="n">
        <v>6.1157</v>
      </c>
      <c r="E385" t="n">
        <v>24.8416</v>
      </c>
      <c r="F385" t="n">
        <v/>
      </c>
      <c r="G385" t="n">
        <v>15.743</v>
      </c>
      <c r="H385" t="n">
        <v>54.056</v>
      </c>
      <c r="I385" t="n">
        <v>9.527900000000001</v>
      </c>
      <c r="J385" t="n">
        <v/>
      </c>
      <c r="K385" t="n">
        <v/>
      </c>
    </row>
    <row r="386">
      <c r="A386" s="98" t="n">
        <v>18629</v>
      </c>
      <c r="B386" t="n">
        <v>17.1537</v>
      </c>
      <c r="C386" t="n">
        <v>32.2257</v>
      </c>
      <c r="D386" t="n">
        <v>6.194</v>
      </c>
      <c r="E386" t="n">
        <v>24.9966</v>
      </c>
      <c r="F386" t="n">
        <v/>
      </c>
      <c r="G386" t="n">
        <v>15.5721</v>
      </c>
      <c r="H386" t="n">
        <v>54.8116</v>
      </c>
      <c r="I386" t="n">
        <v>9.680300000000001</v>
      </c>
      <c r="J386" t="n">
        <v/>
      </c>
      <c r="K386" t="n">
        <v/>
      </c>
    </row>
    <row r="387">
      <c r="A387" s="98" t="n">
        <v>18660</v>
      </c>
      <c r="B387" t="n">
        <v>17.2613</v>
      </c>
      <c r="C387" t="n">
        <v>31.9102</v>
      </c>
      <c r="D387" t="n">
        <v>6.2821</v>
      </c>
      <c r="E387" t="n">
        <v>24.9579</v>
      </c>
      <c r="F387" t="n">
        <v/>
      </c>
      <c r="G387" t="n">
        <v>15.6698</v>
      </c>
      <c r="H387" t="n">
        <v>53.85</v>
      </c>
      <c r="I387" t="n">
        <v>9.8582</v>
      </c>
      <c r="J387" t="n">
        <v/>
      </c>
      <c r="K387" t="n">
        <v/>
      </c>
    </row>
    <row r="388">
      <c r="A388" s="98" t="n">
        <v>18688</v>
      </c>
      <c r="B388" t="n">
        <v>17.3419</v>
      </c>
      <c r="C388" t="n">
        <v>32.0454</v>
      </c>
      <c r="D388" t="n">
        <v>6.3701</v>
      </c>
      <c r="E388" t="n">
        <v>24.6091</v>
      </c>
      <c r="F388" t="n">
        <v/>
      </c>
      <c r="G388" t="n">
        <v>15.9871</v>
      </c>
      <c r="H388" t="n">
        <v>54.3308</v>
      </c>
      <c r="I388" t="n">
        <v>9.9598</v>
      </c>
      <c r="J388" t="n">
        <v/>
      </c>
      <c r="K388" t="n">
        <v/>
      </c>
    </row>
    <row r="389">
      <c r="A389" s="98" t="n">
        <v>18719</v>
      </c>
      <c r="B389" t="n">
        <v>17.3688</v>
      </c>
      <c r="C389" t="n">
        <v>31.9102</v>
      </c>
      <c r="D389" t="n">
        <v>6.5267</v>
      </c>
      <c r="E389" t="n">
        <v>24.144</v>
      </c>
      <c r="F389" t="n">
        <v/>
      </c>
      <c r="G389" t="n">
        <v>16.1091</v>
      </c>
      <c r="H389" t="n">
        <v>55.0864</v>
      </c>
      <c r="I389" t="n">
        <v>10.1123</v>
      </c>
      <c r="J389" t="n">
        <v/>
      </c>
      <c r="K389" t="n">
        <v/>
      </c>
    </row>
    <row r="390">
      <c r="A390" s="98" t="n">
        <v>18749</v>
      </c>
      <c r="B390" t="n">
        <v>17.3151</v>
      </c>
      <c r="C390" t="n">
        <v>31.6849</v>
      </c>
      <c r="D390" t="n">
        <v>6.5854</v>
      </c>
      <c r="E390" t="n">
        <v>23.7177</v>
      </c>
      <c r="F390" t="n">
        <v/>
      </c>
      <c r="G390" t="n">
        <v>16.2311</v>
      </c>
      <c r="H390" t="n">
        <v>55.2925</v>
      </c>
      <c r="I390" t="n">
        <v>10.1631</v>
      </c>
      <c r="J390" t="n">
        <v/>
      </c>
      <c r="K390" t="n">
        <v/>
      </c>
    </row>
    <row r="391">
      <c r="A391" s="98" t="n">
        <v>18780</v>
      </c>
      <c r="B391" t="n">
        <v>17.2344</v>
      </c>
      <c r="C391" t="n">
        <v>31.4595</v>
      </c>
      <c r="D391" t="n">
        <v>6.6637</v>
      </c>
      <c r="E391" t="n">
        <v>23.4077</v>
      </c>
      <c r="F391" t="n">
        <v/>
      </c>
      <c r="G391" t="n">
        <v>16.3043</v>
      </c>
      <c r="H391" t="n">
        <v>55.4298</v>
      </c>
      <c r="I391" t="n">
        <v>10.2393</v>
      </c>
      <c r="J391" t="n">
        <v/>
      </c>
      <c r="K391" t="n">
        <v/>
      </c>
    </row>
    <row r="392">
      <c r="A392" s="98" t="n">
        <v>18810</v>
      </c>
      <c r="B392" t="n">
        <v>16.9655</v>
      </c>
      <c r="C392" t="n">
        <v>30.6933</v>
      </c>
      <c r="D392" t="n">
        <v>6.7224</v>
      </c>
      <c r="E392" t="n">
        <v>22.6326</v>
      </c>
      <c r="F392" t="n">
        <v/>
      </c>
      <c r="G392" t="n">
        <v>16.0115</v>
      </c>
      <c r="H392" t="n">
        <v>55.4985</v>
      </c>
      <c r="I392" t="n">
        <v>10.2901</v>
      </c>
      <c r="J392" t="n">
        <v/>
      </c>
      <c r="K392" t="n">
        <v/>
      </c>
    </row>
    <row r="393">
      <c r="A393" s="98" t="n">
        <v>18841</v>
      </c>
      <c r="B393" t="n">
        <v>16.8042</v>
      </c>
      <c r="C393" t="n">
        <v>30.5581</v>
      </c>
      <c r="D393" t="n">
        <v>6.8105</v>
      </c>
      <c r="E393" t="n">
        <v>22.1288</v>
      </c>
      <c r="F393" t="n">
        <v/>
      </c>
      <c r="G393" t="n">
        <v>15.743</v>
      </c>
      <c r="H393" t="n">
        <v>55.9793</v>
      </c>
      <c r="I393" t="n">
        <v>10.3917</v>
      </c>
      <c r="J393" t="n">
        <v/>
      </c>
      <c r="K393" t="n">
        <v/>
      </c>
    </row>
    <row r="394">
      <c r="A394" s="98" t="n">
        <v>18872</v>
      </c>
      <c r="B394" t="n">
        <v>16.9118</v>
      </c>
      <c r="C394" t="n">
        <v>30.513</v>
      </c>
      <c r="D394" t="n">
        <v>6.9572</v>
      </c>
      <c r="E394" t="n">
        <v>22.3613</v>
      </c>
      <c r="F394" t="n">
        <v/>
      </c>
      <c r="G394" t="n">
        <v>15.8406</v>
      </c>
      <c r="H394" t="n">
        <v>56.3227</v>
      </c>
      <c r="I394" t="n">
        <v>10.468</v>
      </c>
      <c r="J394" t="n">
        <v/>
      </c>
      <c r="K394" t="n">
        <v/>
      </c>
    </row>
    <row r="395">
      <c r="A395" s="98" t="n">
        <v>18902</v>
      </c>
      <c r="B395" t="n">
        <v>16.8849</v>
      </c>
      <c r="C395" t="n">
        <v>30.2426</v>
      </c>
      <c r="D395" t="n">
        <v>7.0747</v>
      </c>
      <c r="E395" t="n">
        <v>22.2063</v>
      </c>
      <c r="F395" t="n">
        <v/>
      </c>
      <c r="G395" t="n">
        <v>15.6209</v>
      </c>
      <c r="H395" t="n">
        <v>57.353</v>
      </c>
      <c r="I395" t="n">
        <v>10.468</v>
      </c>
      <c r="J395" t="n">
        <v/>
      </c>
      <c r="K395" t="n">
        <v/>
      </c>
    </row>
    <row r="396">
      <c r="A396" s="98" t="n">
        <v>18933</v>
      </c>
      <c r="B396" t="n">
        <v>17.0193</v>
      </c>
      <c r="C396" t="n">
        <v>29.9722</v>
      </c>
      <c r="D396" t="n">
        <v>7.2019</v>
      </c>
      <c r="E396" t="n">
        <v>22.5938</v>
      </c>
      <c r="F396" t="n">
        <v/>
      </c>
      <c r="G396" t="n">
        <v>15.6698</v>
      </c>
      <c r="H396" t="n">
        <v>56.9409</v>
      </c>
      <c r="I396" t="n">
        <v>10.6204</v>
      </c>
      <c r="J396" t="n">
        <v/>
      </c>
      <c r="K396" t="n">
        <v/>
      </c>
    </row>
    <row r="397">
      <c r="A397" s="98" t="n">
        <v>18963</v>
      </c>
      <c r="B397" t="n">
        <v>17.1268</v>
      </c>
      <c r="C397" t="n">
        <v>30.0623</v>
      </c>
      <c r="D397" t="n">
        <v>7.2899</v>
      </c>
      <c r="E397" t="n">
        <v>22.7488</v>
      </c>
      <c r="F397" t="n">
        <v/>
      </c>
      <c r="G397" t="n">
        <v>15.6942</v>
      </c>
      <c r="H397" t="n">
        <v>56.8035</v>
      </c>
      <c r="I397" t="n">
        <v>10.6458</v>
      </c>
      <c r="J397" t="n">
        <v/>
      </c>
      <c r="K397" t="n">
        <v/>
      </c>
    </row>
    <row r="398">
      <c r="A398" s="98" t="n">
        <v>18994</v>
      </c>
      <c r="B398" t="n">
        <v>17.315</v>
      </c>
      <c r="C398" t="n">
        <v>30.4679</v>
      </c>
      <c r="D398" t="n">
        <v>7.4759</v>
      </c>
      <c r="E398" t="n">
        <v>22.9426</v>
      </c>
      <c r="F398" t="n">
        <v/>
      </c>
      <c r="G398" t="n">
        <v>16.0603</v>
      </c>
      <c r="H398" t="n">
        <v>57.1469</v>
      </c>
      <c r="I398" t="n">
        <v>10.7729</v>
      </c>
      <c r="J398" t="n">
        <v/>
      </c>
      <c r="K398" t="n">
        <v/>
      </c>
    </row>
    <row r="399">
      <c r="A399" s="98" t="n">
        <v>19025</v>
      </c>
      <c r="B399" t="n">
        <v>17.4226</v>
      </c>
      <c r="C399" t="n">
        <v>30.6933</v>
      </c>
      <c r="D399" t="n">
        <v>7.5639</v>
      </c>
      <c r="E399" t="n">
        <v>23.0976</v>
      </c>
      <c r="F399" t="n">
        <v/>
      </c>
      <c r="G399" t="n">
        <v>15.9138</v>
      </c>
      <c r="H399" t="n">
        <v>57.6964</v>
      </c>
      <c r="I399" t="n">
        <v>10.8491</v>
      </c>
      <c r="J399" t="n">
        <v/>
      </c>
      <c r="K399" t="n">
        <v/>
      </c>
    </row>
    <row r="400">
      <c r="A400" s="98" t="n">
        <v>19054</v>
      </c>
      <c r="B400" t="n">
        <v>17.4764</v>
      </c>
      <c r="C400" t="n">
        <v>30.513</v>
      </c>
      <c r="D400" t="n">
        <v>7.6324</v>
      </c>
      <c r="E400" t="n">
        <v>23.2139</v>
      </c>
      <c r="F400" t="n">
        <v/>
      </c>
      <c r="G400" t="n">
        <v>15.9138</v>
      </c>
      <c r="H400" t="n">
        <v>57.353</v>
      </c>
      <c r="I400" t="n">
        <v>10.8745</v>
      </c>
      <c r="J400" t="n">
        <v/>
      </c>
      <c r="K400" t="n">
        <v/>
      </c>
    </row>
    <row r="401">
      <c r="A401" s="98" t="n">
        <v>19085</v>
      </c>
      <c r="B401" t="n">
        <v>17.315</v>
      </c>
      <c r="C401" t="n">
        <v>30.0172</v>
      </c>
      <c r="D401" t="n">
        <v>7.6031</v>
      </c>
      <c r="E401" t="n">
        <v>23.2139</v>
      </c>
      <c r="F401" t="n">
        <v/>
      </c>
      <c r="G401" t="n">
        <v>15.6209</v>
      </c>
      <c r="H401" t="n">
        <v>56.8035</v>
      </c>
      <c r="I401" t="n">
        <v>10.7983</v>
      </c>
      <c r="J401" t="n">
        <v/>
      </c>
      <c r="K401" t="n">
        <v/>
      </c>
    </row>
    <row r="402">
      <c r="A402" s="98" t="n">
        <v>19115</v>
      </c>
      <c r="B402" t="n">
        <v>17.1537</v>
      </c>
      <c r="C402" t="n">
        <v>29.5665</v>
      </c>
      <c r="D402" t="n">
        <v>7.6422</v>
      </c>
      <c r="E402" t="n">
        <v>23.1751</v>
      </c>
      <c r="F402" t="n">
        <v/>
      </c>
      <c r="G402" t="n">
        <v>15.4013</v>
      </c>
      <c r="H402" t="n">
        <v>50.6218</v>
      </c>
      <c r="I402" t="n">
        <v>10.8491</v>
      </c>
      <c r="J402" t="n">
        <v/>
      </c>
      <c r="K402" t="n">
        <v/>
      </c>
    </row>
    <row r="403">
      <c r="A403" s="98" t="n">
        <v>19146</v>
      </c>
      <c r="B403" t="n">
        <v>16.9924</v>
      </c>
      <c r="C403" t="n">
        <v>29.3862</v>
      </c>
      <c r="D403" t="n">
        <v>7.6911</v>
      </c>
      <c r="E403" t="n">
        <v>23.834</v>
      </c>
      <c r="F403" t="n">
        <v/>
      </c>
      <c r="G403" t="n">
        <v>14.5226</v>
      </c>
      <c r="H403" t="n">
        <v>51.1026</v>
      </c>
      <c r="I403" t="n">
        <v>10.8999</v>
      </c>
      <c r="J403" t="n">
        <v/>
      </c>
      <c r="K403" t="n">
        <v/>
      </c>
    </row>
    <row r="404">
      <c r="A404" s="98" t="n">
        <v>19176</v>
      </c>
      <c r="B404" t="n">
        <v>16.7235</v>
      </c>
      <c r="C404" t="n">
        <v>29.3412</v>
      </c>
      <c r="D404" t="n">
        <v>7.3193</v>
      </c>
      <c r="E404" t="n">
        <v>23.4077</v>
      </c>
      <c r="F404" t="n">
        <v/>
      </c>
      <c r="G404" t="n">
        <v>14.2053</v>
      </c>
      <c r="H404" t="n">
        <v>50.8278</v>
      </c>
      <c r="I404" t="n">
        <v>11.0015</v>
      </c>
      <c r="J404" t="n">
        <v/>
      </c>
      <c r="K404" t="n">
        <v/>
      </c>
    </row>
    <row r="405">
      <c r="A405" s="98" t="n">
        <v>19207</v>
      </c>
      <c r="B405" t="n">
        <v>17.799</v>
      </c>
      <c r="C405" t="n">
        <v>31.3243</v>
      </c>
      <c r="D405" t="n">
        <v>7.4465</v>
      </c>
      <c r="E405" t="n">
        <v>23.8727</v>
      </c>
      <c r="F405" t="n">
        <v/>
      </c>
      <c r="G405" t="n">
        <v>16.0115</v>
      </c>
      <c r="H405" t="n">
        <v>54.1248</v>
      </c>
      <c r="I405" t="n">
        <v>11.2302</v>
      </c>
      <c r="J405" t="n">
        <v/>
      </c>
      <c r="K405" t="n">
        <v/>
      </c>
    </row>
    <row r="406">
      <c r="A406" s="98" t="n">
        <v>19238</v>
      </c>
      <c r="B406" t="n">
        <v>18.4443</v>
      </c>
      <c r="C406" t="n">
        <v>31.6398</v>
      </c>
      <c r="D406" t="n">
        <v>7.6226</v>
      </c>
      <c r="E406" t="n">
        <v>24.4928</v>
      </c>
      <c r="F406" t="n">
        <v/>
      </c>
      <c r="G406" t="n">
        <v>17.061</v>
      </c>
      <c r="H406" t="n">
        <v>58.1086</v>
      </c>
      <c r="I406" t="n">
        <v>11.4081</v>
      </c>
      <c r="J406" t="n">
        <v/>
      </c>
      <c r="K406" t="n">
        <v/>
      </c>
    </row>
    <row r="407">
      <c r="A407" s="98" t="n">
        <v>19268</v>
      </c>
      <c r="B407" t="n">
        <v>18.6325</v>
      </c>
      <c r="C407" t="n">
        <v>32.0905</v>
      </c>
      <c r="D407" t="n">
        <v>7.7009</v>
      </c>
      <c r="E407" t="n">
        <v>24.8803</v>
      </c>
      <c r="F407" t="n">
        <v/>
      </c>
      <c r="G407" t="n">
        <v>16.9634</v>
      </c>
      <c r="H407" t="n">
        <v>54.2622</v>
      </c>
      <c r="I407" t="n">
        <v>11.5097</v>
      </c>
      <c r="J407" t="n">
        <v/>
      </c>
      <c r="K407" t="n">
        <v/>
      </c>
    </row>
    <row r="408">
      <c r="A408" s="98" t="n">
        <v>19299</v>
      </c>
      <c r="B408" t="n">
        <v>19.0089</v>
      </c>
      <c r="C408" t="n">
        <v>32.6313</v>
      </c>
      <c r="D408" t="n">
        <v>7.7988</v>
      </c>
      <c r="E408" t="n">
        <v>25.3842</v>
      </c>
      <c r="F408" t="n">
        <v/>
      </c>
      <c r="G408" t="n">
        <v>17.4759</v>
      </c>
      <c r="H408" t="n">
        <v>57.9025</v>
      </c>
      <c r="I408" t="n">
        <v>11.5859</v>
      </c>
      <c r="J408" t="n">
        <v/>
      </c>
      <c r="K408" t="n">
        <v/>
      </c>
    </row>
    <row r="409">
      <c r="A409" s="98" t="n">
        <v>19329</v>
      </c>
      <c r="B409" t="n">
        <v>19.1164</v>
      </c>
      <c r="C409" t="n">
        <v>32.7665</v>
      </c>
      <c r="D409" t="n">
        <v>7.877</v>
      </c>
      <c r="E409" t="n">
        <v>25.3841</v>
      </c>
      <c r="F409" t="n">
        <v/>
      </c>
      <c r="G409" t="n">
        <v>17.5247</v>
      </c>
      <c r="H409" t="n">
        <v>56.5975</v>
      </c>
      <c r="I409" t="n">
        <v>11.6621</v>
      </c>
      <c r="J409" t="n">
        <v/>
      </c>
      <c r="K409" t="n">
        <v/>
      </c>
    </row>
    <row r="410">
      <c r="A410" s="98" t="n">
        <v>19360</v>
      </c>
      <c r="B410" t="n">
        <v>19.1702</v>
      </c>
      <c r="C410" t="n">
        <v>33.3074</v>
      </c>
      <c r="D410" t="n">
        <v>7.9358</v>
      </c>
      <c r="E410" t="n">
        <v>25.6167</v>
      </c>
      <c r="F410" t="n">
        <v/>
      </c>
      <c r="G410" t="n">
        <v>17.4271</v>
      </c>
      <c r="H410" t="n">
        <v>55.9106</v>
      </c>
      <c r="I410" t="n">
        <v>11.6113</v>
      </c>
      <c r="J410" t="n">
        <v/>
      </c>
      <c r="K410" t="n">
        <v/>
      </c>
    </row>
    <row r="411">
      <c r="A411" s="98" t="n">
        <v>19391</v>
      </c>
      <c r="B411" t="n">
        <v>19.2778</v>
      </c>
      <c r="C411" t="n">
        <v>33.8032</v>
      </c>
      <c r="D411" t="n">
        <v>7.9651</v>
      </c>
      <c r="E411" t="n">
        <v>25.8104</v>
      </c>
      <c r="F411" t="n">
        <v/>
      </c>
      <c r="G411" t="n">
        <v>17.842</v>
      </c>
      <c r="H411" t="n">
        <v>55.4985</v>
      </c>
      <c r="I411" t="n">
        <v>11.6113</v>
      </c>
      <c r="J411" t="n">
        <v/>
      </c>
      <c r="K411" t="n">
        <v/>
      </c>
    </row>
    <row r="412">
      <c r="A412" s="98" t="n">
        <v>19419</v>
      </c>
      <c r="B412" t="n">
        <v>19.4391</v>
      </c>
      <c r="C412" t="n">
        <v>33.8933</v>
      </c>
      <c r="D412" t="n">
        <v>8.0238</v>
      </c>
      <c r="E412" t="n">
        <v>25.8492</v>
      </c>
      <c r="F412" t="n">
        <v/>
      </c>
      <c r="G412" t="n">
        <v>18.0617</v>
      </c>
      <c r="H412" t="n">
        <v>55.8419</v>
      </c>
      <c r="I412" t="n">
        <v>11.7638</v>
      </c>
      <c r="J412" t="n">
        <v/>
      </c>
      <c r="K412" t="n">
        <v/>
      </c>
    </row>
    <row r="413">
      <c r="A413" s="98" t="n">
        <v>19450</v>
      </c>
      <c r="B413" t="n">
        <v>19.5198</v>
      </c>
      <c r="C413" t="n">
        <v>34.0285</v>
      </c>
      <c r="D413" t="n">
        <v>8.0336</v>
      </c>
      <c r="E413" t="n">
        <v>25.7717</v>
      </c>
      <c r="F413" t="n">
        <v/>
      </c>
      <c r="G413" t="n">
        <v>18.2082</v>
      </c>
      <c r="H413" t="n">
        <v>56.1853</v>
      </c>
      <c r="I413" t="n">
        <v>11.8908</v>
      </c>
      <c r="J413" t="n">
        <v/>
      </c>
      <c r="K413" t="n">
        <v/>
      </c>
    </row>
    <row r="414">
      <c r="A414" s="98" t="n">
        <v>19480</v>
      </c>
      <c r="B414" t="n">
        <v>19.6273</v>
      </c>
      <c r="C414" t="n">
        <v>33.3074</v>
      </c>
      <c r="D414" t="n">
        <v>7.9847</v>
      </c>
      <c r="E414" t="n">
        <v>25.8879</v>
      </c>
      <c r="F414" t="n">
        <v/>
      </c>
      <c r="G414" t="n">
        <v>18.5743</v>
      </c>
      <c r="H414" t="n">
        <v>56.9409</v>
      </c>
      <c r="I414" t="n">
        <v>12.0432</v>
      </c>
      <c r="J414" t="n">
        <v/>
      </c>
      <c r="K414" t="n">
        <v/>
      </c>
    </row>
    <row r="415">
      <c r="A415" s="98" t="n">
        <v>19511</v>
      </c>
      <c r="B415" t="n">
        <v>19.5466</v>
      </c>
      <c r="C415" t="n">
        <v>33.0821</v>
      </c>
      <c r="D415" t="n">
        <v>7.9358</v>
      </c>
      <c r="E415" t="n">
        <v>25.5004</v>
      </c>
      <c r="F415" t="n">
        <v/>
      </c>
      <c r="G415" t="n">
        <v>18.5987</v>
      </c>
      <c r="H415" t="n">
        <v>57.4904</v>
      </c>
      <c r="I415" t="n">
        <v>12.1703</v>
      </c>
      <c r="J415" t="n">
        <v/>
      </c>
      <c r="K415" t="n">
        <v/>
      </c>
    </row>
    <row r="416">
      <c r="A416" s="98" t="n">
        <v>19541</v>
      </c>
      <c r="B416" t="n">
        <v>19.7886</v>
      </c>
      <c r="C416" t="n">
        <v>33.5327</v>
      </c>
      <c r="D416" t="n">
        <v>8.0532</v>
      </c>
      <c r="E416" t="n">
        <v>25.5392</v>
      </c>
      <c r="F416" t="n">
        <v/>
      </c>
      <c r="G416" t="n">
        <v>18.8184</v>
      </c>
      <c r="H416" t="n">
        <v>58.1773</v>
      </c>
      <c r="I416" t="n">
        <v>12.2719</v>
      </c>
      <c r="J416" t="n">
        <v/>
      </c>
      <c r="K416" t="n">
        <v/>
      </c>
    </row>
    <row r="417">
      <c r="A417" s="98" t="n">
        <v>19572</v>
      </c>
      <c r="B417" t="n">
        <v>19.6811</v>
      </c>
      <c r="C417" t="n">
        <v>33.3975</v>
      </c>
      <c r="D417" t="n">
        <v>8.0238</v>
      </c>
      <c r="E417" t="n">
        <v>25.3842</v>
      </c>
      <c r="F417" t="n">
        <v/>
      </c>
      <c r="G417" t="n">
        <v>18.3302</v>
      </c>
      <c r="H417" t="n">
        <v>58.5894</v>
      </c>
      <c r="I417" t="n">
        <v>12.2465</v>
      </c>
      <c r="J417" t="n">
        <v/>
      </c>
      <c r="K417" t="n">
        <v/>
      </c>
    </row>
    <row r="418">
      <c r="A418" s="98" t="n">
        <v>19603</v>
      </c>
      <c r="B418" t="n">
        <v>19.2778</v>
      </c>
      <c r="C418" t="n">
        <v>32.7666</v>
      </c>
      <c r="D418" t="n">
        <v>7.9358</v>
      </c>
      <c r="E418" t="n">
        <v>25.0354</v>
      </c>
      <c r="F418" t="n">
        <v/>
      </c>
      <c r="G418" t="n">
        <v>17.8664</v>
      </c>
      <c r="H418" t="n">
        <v>58.0399</v>
      </c>
      <c r="I418" t="n">
        <v>12.2465</v>
      </c>
      <c r="J418" t="n">
        <v/>
      </c>
      <c r="K418" t="n">
        <v/>
      </c>
    </row>
    <row r="419">
      <c r="A419" s="98" t="n">
        <v>19633</v>
      </c>
      <c r="B419" t="n">
        <v>19.1165</v>
      </c>
      <c r="C419" t="n">
        <v>32.8567</v>
      </c>
      <c r="D419" t="n">
        <v>7.9358</v>
      </c>
      <c r="E419" t="n">
        <v>25.0354</v>
      </c>
      <c r="F419" t="n">
        <v/>
      </c>
      <c r="G419" t="n">
        <v>17.3051</v>
      </c>
      <c r="H419" t="n">
        <v>56.4601</v>
      </c>
      <c r="I419" t="n">
        <v>12.2973</v>
      </c>
      <c r="J419" t="n">
        <v/>
      </c>
      <c r="K419" t="n">
        <v/>
      </c>
    </row>
    <row r="420">
      <c r="A420" s="98" t="n">
        <v>19664</v>
      </c>
      <c r="B420" t="n">
        <v>18.6594</v>
      </c>
      <c r="C420" t="n">
        <v>32.3159</v>
      </c>
      <c r="D420" t="n">
        <v>7.6618</v>
      </c>
      <c r="E420" t="n">
        <v>24.6478</v>
      </c>
      <c r="F420" t="n">
        <v/>
      </c>
      <c r="G420" t="n">
        <v>16.8657</v>
      </c>
      <c r="H420" t="n">
        <v>55.5671</v>
      </c>
      <c r="I420" t="n">
        <v>12.2211</v>
      </c>
      <c r="J420" t="n">
        <v/>
      </c>
      <c r="K420" t="n">
        <v/>
      </c>
    </row>
    <row r="421">
      <c r="A421" s="98" t="n">
        <v>19694</v>
      </c>
      <c r="B421" t="n">
        <v>18.2023</v>
      </c>
      <c r="C421" t="n">
        <v>31.5496</v>
      </c>
      <c r="D421" t="n">
        <v>7.5346</v>
      </c>
      <c r="E421" t="n">
        <v>24.2603</v>
      </c>
      <c r="F421" t="n">
        <v/>
      </c>
      <c r="G421" t="n">
        <v>16.4752</v>
      </c>
      <c r="H421" t="n">
        <v>54.949</v>
      </c>
      <c r="I421" t="n">
        <v>12.2211</v>
      </c>
      <c r="J421" t="n">
        <v/>
      </c>
      <c r="K421" t="n">
        <v/>
      </c>
    </row>
    <row r="422">
      <c r="A422" s="98" t="n">
        <v>19725</v>
      </c>
      <c r="B422" t="n">
        <v>18.0679</v>
      </c>
      <c r="C422" t="n">
        <v>32.1355</v>
      </c>
      <c r="D422" t="n">
        <v>7.3095</v>
      </c>
      <c r="E422" t="n">
        <v>24.3765</v>
      </c>
      <c r="F422" t="n">
        <v/>
      </c>
      <c r="G422" t="n">
        <v>16.28</v>
      </c>
      <c r="H422" t="n">
        <v>54.7429</v>
      </c>
      <c r="I422" t="n">
        <v>12.5006</v>
      </c>
      <c r="J422" t="n">
        <v/>
      </c>
      <c r="K422" t="n">
        <v/>
      </c>
    </row>
    <row r="423">
      <c r="A423" s="98" t="n">
        <v>19756</v>
      </c>
      <c r="B423" t="n">
        <v>18.1217</v>
      </c>
      <c r="C423" t="n">
        <v>32.2257</v>
      </c>
      <c r="D423" t="n">
        <v>7.2214</v>
      </c>
      <c r="E423" t="n">
        <v>24.6478</v>
      </c>
      <c r="F423" t="n">
        <v/>
      </c>
      <c r="G423" t="n">
        <v>16.2555</v>
      </c>
      <c r="H423" t="n">
        <v>54.8116</v>
      </c>
      <c r="I423" t="n">
        <v>12.5006</v>
      </c>
      <c r="J423" t="n">
        <v/>
      </c>
      <c r="K423" t="n">
        <v/>
      </c>
    </row>
    <row r="424">
      <c r="A424" s="98" t="n">
        <v>19784</v>
      </c>
      <c r="B424" t="n">
        <v>18.0141</v>
      </c>
      <c r="C424" t="n">
        <v>32.0003</v>
      </c>
      <c r="D424" t="n">
        <v>7.1138</v>
      </c>
      <c r="E424" t="n">
        <v>24.6866</v>
      </c>
      <c r="F424" t="n">
        <v/>
      </c>
      <c r="G424" t="n">
        <v>16.0847</v>
      </c>
      <c r="H424" t="n">
        <v>54.8116</v>
      </c>
      <c r="I424" t="n">
        <v>12.6276</v>
      </c>
      <c r="J424" t="n">
        <v/>
      </c>
      <c r="K424" t="n">
        <v/>
      </c>
    </row>
    <row r="425">
      <c r="A425" s="98" t="n">
        <v>19815</v>
      </c>
      <c r="B425" t="n">
        <v>17.9066</v>
      </c>
      <c r="C425" t="n">
        <v>32.0004</v>
      </c>
      <c r="D425" t="n">
        <v>6.9866</v>
      </c>
      <c r="E425" t="n">
        <v>24.6866</v>
      </c>
      <c r="F425" t="n">
        <v/>
      </c>
      <c r="G425" t="n">
        <v>16.0603</v>
      </c>
      <c r="H425" t="n">
        <v>54.8116</v>
      </c>
      <c r="I425" t="n">
        <v>12.7293</v>
      </c>
      <c r="J425" t="n">
        <v/>
      </c>
      <c r="K425" t="n">
        <v/>
      </c>
    </row>
    <row r="426">
      <c r="A426" s="98" t="n">
        <v>19845</v>
      </c>
      <c r="B426" t="n">
        <v>18.0141</v>
      </c>
      <c r="C426" t="n">
        <v>32.406</v>
      </c>
      <c r="D426" t="n">
        <v>6.9768</v>
      </c>
      <c r="E426" t="n">
        <v>24.8416</v>
      </c>
      <c r="F426" t="n">
        <v/>
      </c>
      <c r="G426" t="n">
        <v>16.2799</v>
      </c>
      <c r="H426" t="n">
        <v>55.5672</v>
      </c>
      <c r="I426" t="n">
        <v>12.7547</v>
      </c>
      <c r="J426" t="n">
        <v/>
      </c>
      <c r="K426" t="n">
        <v/>
      </c>
    </row>
    <row r="427">
      <c r="A427" s="98" t="n">
        <v>19876</v>
      </c>
      <c r="B427" t="n">
        <v>18.0679</v>
      </c>
      <c r="C427" t="n">
        <v>31.6398</v>
      </c>
      <c r="D427" t="n">
        <v>6.8887</v>
      </c>
      <c r="E427" t="n">
        <v>24.9966</v>
      </c>
      <c r="F427" t="n">
        <v/>
      </c>
      <c r="G427" t="n">
        <v>16.4752</v>
      </c>
      <c r="H427" t="n">
        <v>56.7348</v>
      </c>
      <c r="I427" t="n">
        <v>12.8563</v>
      </c>
      <c r="J427" t="n">
        <v/>
      </c>
      <c r="K427" t="n">
        <v/>
      </c>
    </row>
    <row r="428">
      <c r="A428" s="98" t="n">
        <v>19906</v>
      </c>
      <c r="B428" t="n">
        <v>18.0948</v>
      </c>
      <c r="C428" t="n">
        <v>31.5947</v>
      </c>
      <c r="D428" t="n">
        <v>6.8692</v>
      </c>
      <c r="E428" t="n">
        <v>25.0741</v>
      </c>
      <c r="F428" t="n">
        <v/>
      </c>
      <c r="G428" t="n">
        <v>16.5484</v>
      </c>
      <c r="H428" t="n">
        <v>56.5974</v>
      </c>
      <c r="I428" t="n">
        <v>12.9579</v>
      </c>
      <c r="J428" t="n">
        <v/>
      </c>
      <c r="K428" t="n">
        <v/>
      </c>
    </row>
    <row r="429">
      <c r="A429" s="98" t="n">
        <v>19937</v>
      </c>
      <c r="B429" t="n">
        <v>18.0679</v>
      </c>
      <c r="C429" t="n">
        <v>31.4145</v>
      </c>
      <c r="D429" t="n">
        <v>6.83</v>
      </c>
      <c r="E429" t="n">
        <v>25.1129</v>
      </c>
      <c r="F429" t="n">
        <v/>
      </c>
      <c r="G429" t="n">
        <v>16.4508</v>
      </c>
      <c r="H429" t="n">
        <v>55.1551</v>
      </c>
      <c r="I429" t="n">
        <v>12.9833</v>
      </c>
      <c r="J429" t="n">
        <v/>
      </c>
      <c r="K429" t="n">
        <v/>
      </c>
    </row>
    <row r="430">
      <c r="A430" s="98" t="n">
        <v>19968</v>
      </c>
      <c r="B430" t="n">
        <v>18.0948</v>
      </c>
      <c r="C430" t="n">
        <v>32.9919</v>
      </c>
      <c r="D430" t="n">
        <v>6.7518</v>
      </c>
      <c r="E430" t="n">
        <v>25.3454</v>
      </c>
      <c r="F430" t="n">
        <v/>
      </c>
      <c r="G430" t="n">
        <v>16.3288</v>
      </c>
      <c r="H430" t="n">
        <v>54.3995</v>
      </c>
      <c r="I430" t="n">
        <v>13.1104</v>
      </c>
      <c r="J430" t="n">
        <v/>
      </c>
      <c r="K430" t="n">
        <v/>
      </c>
    </row>
    <row r="431">
      <c r="A431" s="98" t="n">
        <v>19998</v>
      </c>
      <c r="B431" t="n">
        <v>18.3099</v>
      </c>
      <c r="C431" t="n">
        <v>34.0736</v>
      </c>
      <c r="D431" t="n">
        <v>6.7322</v>
      </c>
      <c r="E431" t="n">
        <v>25.4229</v>
      </c>
      <c r="F431" t="n">
        <v/>
      </c>
      <c r="G431" t="n">
        <v>16.6705</v>
      </c>
      <c r="H431" t="n">
        <v>54.949</v>
      </c>
      <c r="I431" t="n">
        <v>13.3644</v>
      </c>
      <c r="J431" t="n">
        <v/>
      </c>
      <c r="K431" t="n">
        <v/>
      </c>
    </row>
    <row r="432">
      <c r="A432" s="98" t="n">
        <v>20029</v>
      </c>
      <c r="B432" t="n">
        <v>18.6056</v>
      </c>
      <c r="C432" t="n">
        <v>34.3891</v>
      </c>
      <c r="D432" t="n">
        <v>6.8594</v>
      </c>
      <c r="E432" t="n">
        <v>25.9655</v>
      </c>
      <c r="F432" t="n">
        <v/>
      </c>
      <c r="G432" t="n">
        <v>16.9878</v>
      </c>
      <c r="H432" t="n">
        <v>56.048</v>
      </c>
      <c r="I432" t="n">
        <v>13.5169</v>
      </c>
      <c r="J432" t="n">
        <v/>
      </c>
      <c r="K432" t="n">
        <v/>
      </c>
    </row>
    <row r="433">
      <c r="A433" s="98" t="n">
        <v>20059</v>
      </c>
      <c r="B433" t="n">
        <v>18.8476</v>
      </c>
      <c r="C433" t="n">
        <v>34.7046</v>
      </c>
      <c r="D433" t="n">
        <v>6.879</v>
      </c>
      <c r="E433" t="n">
        <v>26.4305</v>
      </c>
      <c r="F433" t="n">
        <v/>
      </c>
      <c r="G433" t="n">
        <v>17.2807</v>
      </c>
      <c r="H433" t="n">
        <v>56.7349</v>
      </c>
      <c r="I433" t="n">
        <v>13.6185</v>
      </c>
      <c r="J433" t="n">
        <v/>
      </c>
      <c r="K433" t="n">
        <v/>
      </c>
    </row>
    <row r="434">
      <c r="A434" s="98" t="n">
        <v>20090</v>
      </c>
      <c r="B434" t="n">
        <v>19.2778</v>
      </c>
      <c r="C434" t="n">
        <v>35.2004</v>
      </c>
      <c r="D434" t="n">
        <v>6.9279</v>
      </c>
      <c r="E434" t="n">
        <v>27.0118</v>
      </c>
      <c r="F434" t="n">
        <v/>
      </c>
      <c r="G434" t="n">
        <v>17.8909</v>
      </c>
      <c r="H434" t="n">
        <v>58.3833</v>
      </c>
      <c r="I434" t="n">
        <v>13.5677</v>
      </c>
      <c r="J434" t="n">
        <v/>
      </c>
      <c r="K434" t="n">
        <v/>
      </c>
    </row>
    <row r="435">
      <c r="A435" s="98" t="n">
        <v>20121</v>
      </c>
      <c r="B435" t="n">
        <v>19.5198</v>
      </c>
      <c r="C435" t="n">
        <v>35.6962</v>
      </c>
      <c r="D435" t="n">
        <v>7.0355</v>
      </c>
      <c r="E435" t="n">
        <v>27.1281</v>
      </c>
      <c r="F435" t="n">
        <v/>
      </c>
      <c r="G435" t="n">
        <v>18.3302</v>
      </c>
      <c r="H435" t="n">
        <v>59.551</v>
      </c>
      <c r="I435" t="n">
        <v>13.8726</v>
      </c>
      <c r="J435" t="n">
        <v/>
      </c>
      <c r="K435" t="n">
        <v/>
      </c>
    </row>
    <row r="436">
      <c r="A436" s="98" t="n">
        <v>20149</v>
      </c>
      <c r="B436" t="n">
        <v>19.9768</v>
      </c>
      <c r="C436" t="n">
        <v>36.868</v>
      </c>
      <c r="D436" t="n">
        <v>7.104</v>
      </c>
      <c r="E436" t="n">
        <v>27.6319</v>
      </c>
      <c r="F436" t="n">
        <v/>
      </c>
      <c r="G436" t="n">
        <v>18.8184</v>
      </c>
      <c r="H436" t="n">
        <v>59.3449</v>
      </c>
      <c r="I436" t="n">
        <v>14.0759</v>
      </c>
      <c r="J436" t="n">
        <v/>
      </c>
      <c r="K436" t="n">
        <v/>
      </c>
    </row>
    <row r="437">
      <c r="A437" s="98" t="n">
        <v>20180</v>
      </c>
      <c r="B437" t="n">
        <v>20.2188</v>
      </c>
      <c r="C437" t="n">
        <v>37.1384</v>
      </c>
      <c r="D437" t="n">
        <v>7.3487</v>
      </c>
      <c r="E437" t="n">
        <v>27.8256</v>
      </c>
      <c r="F437" t="n">
        <v/>
      </c>
      <c r="G437" t="n">
        <v>19.1845</v>
      </c>
      <c r="H437" t="n">
        <v>60.5812</v>
      </c>
      <c r="I437" t="n">
        <v>14.2029</v>
      </c>
      <c r="J437" t="n">
        <v/>
      </c>
      <c r="K437" t="n">
        <v/>
      </c>
    </row>
    <row r="438">
      <c r="A438" s="98" t="n">
        <v>20210</v>
      </c>
      <c r="B438" t="n">
        <v>20.5414</v>
      </c>
      <c r="C438" t="n">
        <v>37.2737</v>
      </c>
      <c r="D438" t="n">
        <v>7.4563</v>
      </c>
      <c r="E438" t="n">
        <v>28.2132</v>
      </c>
      <c r="F438" t="n">
        <v/>
      </c>
      <c r="G438" t="n">
        <v>19.5506</v>
      </c>
      <c r="H438" t="n">
        <v>60.9247</v>
      </c>
      <c r="I438" t="n">
        <v>14.2791</v>
      </c>
      <c r="J438" t="n">
        <v/>
      </c>
      <c r="K438" t="n">
        <v/>
      </c>
    </row>
    <row r="439">
      <c r="A439" s="98" t="n">
        <v>20241</v>
      </c>
      <c r="B439" t="n">
        <v>20.5684</v>
      </c>
      <c r="C439" t="n">
        <v>37.9497</v>
      </c>
      <c r="D439" t="n">
        <v>7.5444</v>
      </c>
      <c r="E439" t="n">
        <v>27.9807</v>
      </c>
      <c r="F439" t="n">
        <v/>
      </c>
      <c r="G439" t="n">
        <v>19.5994</v>
      </c>
      <c r="H439" t="n">
        <v>61.8176</v>
      </c>
      <c r="I439" t="n">
        <v>14.3045</v>
      </c>
      <c r="J439" t="n">
        <v/>
      </c>
      <c r="K439" t="n">
        <v/>
      </c>
    </row>
    <row r="440">
      <c r="A440" s="98" t="n">
        <v>20271</v>
      </c>
      <c r="B440" t="n">
        <v>20.7297</v>
      </c>
      <c r="C440" t="n">
        <v>37.9948</v>
      </c>
      <c r="D440" t="n">
        <v>7.5639</v>
      </c>
      <c r="E440" t="n">
        <v>28.0582</v>
      </c>
      <c r="F440" t="n">
        <v/>
      </c>
      <c r="G440" t="n">
        <v>19.8435</v>
      </c>
      <c r="H440" t="n">
        <v>61.8863</v>
      </c>
      <c r="I440" t="n">
        <v>14.3553</v>
      </c>
      <c r="J440" t="n">
        <v/>
      </c>
      <c r="K440" t="n">
        <v/>
      </c>
    </row>
    <row r="441">
      <c r="A441" s="98" t="n">
        <v>20302</v>
      </c>
      <c r="B441" t="n">
        <v>20.7028</v>
      </c>
      <c r="C441" t="n">
        <v>37.9948</v>
      </c>
      <c r="D441" t="n">
        <v>7.6128</v>
      </c>
      <c r="E441" t="n">
        <v>28.1357</v>
      </c>
      <c r="F441" t="n">
        <v/>
      </c>
      <c r="G441" t="n">
        <v>19.8191</v>
      </c>
      <c r="H441" t="n">
        <v>62.6419</v>
      </c>
      <c r="I441" t="n">
        <v>14.7111</v>
      </c>
      <c r="J441" t="n">
        <v/>
      </c>
      <c r="K441" t="n">
        <v/>
      </c>
    </row>
    <row r="442">
      <c r="A442" s="98" t="n">
        <v>20333</v>
      </c>
      <c r="B442" t="n">
        <v>20.8372</v>
      </c>
      <c r="C442" t="n">
        <v>38.2202</v>
      </c>
      <c r="D442" t="n">
        <v>7.6618</v>
      </c>
      <c r="E442" t="n">
        <v>28.2908</v>
      </c>
      <c r="F442" t="n">
        <v/>
      </c>
      <c r="G442" t="n">
        <v>20.0387</v>
      </c>
      <c r="H442" t="n">
        <v>63.1914</v>
      </c>
      <c r="I442" t="n">
        <v>14.9143</v>
      </c>
      <c r="J442" t="n">
        <v/>
      </c>
      <c r="K442" t="n">
        <v/>
      </c>
    </row>
    <row r="443">
      <c r="A443" s="98" t="n">
        <v>20363</v>
      </c>
      <c r="B443" t="n">
        <v>21.1867</v>
      </c>
      <c r="C443" t="n">
        <v>38.2201</v>
      </c>
      <c r="D443" t="n">
        <v>8.013999999999999</v>
      </c>
      <c r="E443" t="n">
        <v>28.8333</v>
      </c>
      <c r="F443" t="n">
        <v/>
      </c>
      <c r="G443" t="n">
        <v>20.2584</v>
      </c>
      <c r="H443" t="n">
        <v>64.2217</v>
      </c>
      <c r="I443" t="n">
        <v>15.0668</v>
      </c>
      <c r="J443" t="n">
        <v/>
      </c>
      <c r="K443" t="n">
        <v/>
      </c>
    </row>
    <row r="444">
      <c r="A444" s="98" t="n">
        <v>20394</v>
      </c>
      <c r="B444" t="n">
        <v>21.2405</v>
      </c>
      <c r="C444" t="n">
        <v>38.6708</v>
      </c>
      <c r="D444" t="n">
        <v>8.0532</v>
      </c>
      <c r="E444" t="n">
        <v>28.9108</v>
      </c>
      <c r="F444" t="n">
        <v/>
      </c>
      <c r="G444" t="n">
        <v>20.1608</v>
      </c>
      <c r="H444" t="n">
        <v>64.49639999999999</v>
      </c>
      <c r="I444" t="n">
        <v>15.1938</v>
      </c>
      <c r="J444" t="n">
        <v/>
      </c>
      <c r="K444" t="n">
        <v/>
      </c>
    </row>
    <row r="445">
      <c r="A445" s="98" t="n">
        <v>20424</v>
      </c>
      <c r="B445" t="n">
        <v>21.3212</v>
      </c>
      <c r="C445" t="n">
        <v>38.8962</v>
      </c>
      <c r="D445" t="n">
        <v>8.190200000000001</v>
      </c>
      <c r="E445" t="n">
        <v>29.0658</v>
      </c>
      <c r="F445" t="n">
        <v/>
      </c>
      <c r="G445" t="n">
        <v>20.3072</v>
      </c>
      <c r="H445" t="n">
        <v>64.29040000000001</v>
      </c>
      <c r="I445" t="n">
        <v>15.3717</v>
      </c>
      <c r="J445" t="n">
        <v/>
      </c>
      <c r="K445" t="n">
        <v/>
      </c>
    </row>
    <row r="446">
      <c r="A446" s="98" t="n">
        <v>20455</v>
      </c>
      <c r="B446" t="n">
        <v>21.4556</v>
      </c>
      <c r="C446" t="n">
        <v>39.5272</v>
      </c>
      <c r="D446" t="n">
        <v>8.248900000000001</v>
      </c>
      <c r="E446" t="n">
        <v>29.1046</v>
      </c>
      <c r="F446" t="n">
        <v/>
      </c>
      <c r="G446" t="n">
        <v>20.4049</v>
      </c>
      <c r="H446" t="n">
        <v>64.49639999999999</v>
      </c>
      <c r="I446" t="n">
        <v>15.4225</v>
      </c>
      <c r="J446" t="n">
        <v/>
      </c>
      <c r="K446" t="n">
        <v/>
      </c>
    </row>
    <row r="447">
      <c r="A447" s="98" t="n">
        <v>20486</v>
      </c>
      <c r="B447" t="n">
        <v>21.2674</v>
      </c>
      <c r="C447" t="n">
        <v>39.392</v>
      </c>
      <c r="D447" t="n">
        <v>8.366300000000001</v>
      </c>
      <c r="E447" t="n">
        <v>29.0271</v>
      </c>
      <c r="F447" t="n">
        <v/>
      </c>
      <c r="G447" t="n">
        <v>20.0143</v>
      </c>
      <c r="H447" t="n">
        <v>64.0842</v>
      </c>
      <c r="I447" t="n">
        <v>15.6003</v>
      </c>
      <c r="J447" t="n">
        <v/>
      </c>
      <c r="K447" t="n">
        <v/>
      </c>
    </row>
    <row r="448">
      <c r="A448" s="98" t="n">
        <v>20515</v>
      </c>
      <c r="B448" t="n">
        <v>21.2674</v>
      </c>
      <c r="C448" t="n">
        <v>39.3018</v>
      </c>
      <c r="D448" t="n">
        <v>8.4642</v>
      </c>
      <c r="E448" t="n">
        <v>28.9883</v>
      </c>
      <c r="F448" t="n">
        <v/>
      </c>
      <c r="G448" t="n">
        <v>19.9411</v>
      </c>
      <c r="H448" t="n">
        <v>64.9772</v>
      </c>
      <c r="I448" t="n">
        <v>15.702</v>
      </c>
      <c r="J448" t="n">
        <v/>
      </c>
      <c r="K448" t="n">
        <v/>
      </c>
    </row>
    <row r="449">
      <c r="A449" s="98" t="n">
        <v>20546</v>
      </c>
      <c r="B449" t="n">
        <v>21.4287</v>
      </c>
      <c r="C449" t="n">
        <v>39.1216</v>
      </c>
      <c r="D449" t="n">
        <v>8.7088</v>
      </c>
      <c r="E449" t="n">
        <v>29.1046</v>
      </c>
      <c r="F449" t="n">
        <v/>
      </c>
      <c r="G449" t="n">
        <v>20.0876</v>
      </c>
      <c r="H449" t="n">
        <v>66.3509</v>
      </c>
      <c r="I449" t="n">
        <v>15.829</v>
      </c>
      <c r="J449" t="n">
        <v/>
      </c>
      <c r="K449" t="n">
        <v/>
      </c>
    </row>
    <row r="450">
      <c r="A450" s="98" t="n">
        <v>20576</v>
      </c>
      <c r="B450" t="n">
        <v>21.2405</v>
      </c>
      <c r="C450" t="n">
        <v>38.5807</v>
      </c>
      <c r="D450" t="n">
        <v>8.679399999999999</v>
      </c>
      <c r="E450" t="n">
        <v>28.9495</v>
      </c>
      <c r="F450" t="n">
        <v/>
      </c>
      <c r="G450" t="n">
        <v>19.7214</v>
      </c>
      <c r="H450" t="n">
        <v>65.458</v>
      </c>
      <c r="I450" t="n">
        <v>16.0322</v>
      </c>
      <c r="J450" t="n">
        <v/>
      </c>
      <c r="K450" t="n">
        <v/>
      </c>
    </row>
    <row r="451">
      <c r="A451" s="98" t="n">
        <v>20607</v>
      </c>
      <c r="B451" t="n">
        <v>21.0523</v>
      </c>
      <c r="C451" t="n">
        <v>38.13</v>
      </c>
      <c r="D451" t="n">
        <v>8.7088</v>
      </c>
      <c r="E451" t="n">
        <v>28.872</v>
      </c>
      <c r="F451" t="n">
        <v/>
      </c>
      <c r="G451" t="n">
        <v>19.453</v>
      </c>
      <c r="H451" t="n">
        <v>65.458</v>
      </c>
      <c r="I451" t="n">
        <v>16.0068</v>
      </c>
      <c r="J451" t="n">
        <v/>
      </c>
      <c r="K451" t="n">
        <v/>
      </c>
    </row>
    <row r="452">
      <c r="A452" s="98" t="n">
        <v>20637</v>
      </c>
      <c r="B452" t="n">
        <v>20.407</v>
      </c>
      <c r="C452" t="n">
        <v>36.1469</v>
      </c>
      <c r="D452" t="n">
        <v>8.7088</v>
      </c>
      <c r="E452" t="n">
        <v>28.9496</v>
      </c>
      <c r="F452" t="n">
        <v/>
      </c>
      <c r="G452" t="n">
        <v>17.8909</v>
      </c>
      <c r="H452" t="n">
        <v>61.8863</v>
      </c>
      <c r="I452" t="n">
        <v>15.9052</v>
      </c>
      <c r="J452" t="n">
        <v/>
      </c>
      <c r="K452" t="n">
        <v/>
      </c>
    </row>
    <row r="453">
      <c r="A453" s="98" t="n">
        <v>20668</v>
      </c>
      <c r="B453" t="n">
        <v>21.2405</v>
      </c>
      <c r="C453" t="n">
        <v>37.9948</v>
      </c>
      <c r="D453" t="n">
        <v>8.8164</v>
      </c>
      <c r="E453" t="n">
        <v>29.1046</v>
      </c>
      <c r="F453" t="n">
        <v/>
      </c>
      <c r="G453" t="n">
        <v>19.5262</v>
      </c>
      <c r="H453" t="n">
        <v>65.1146</v>
      </c>
      <c r="I453" t="n">
        <v>15.8798</v>
      </c>
      <c r="J453" t="n">
        <v/>
      </c>
      <c r="K453" t="n">
        <v/>
      </c>
    </row>
    <row r="454">
      <c r="A454" s="98" t="n">
        <v>20699</v>
      </c>
      <c r="B454" t="n">
        <v>21.7245</v>
      </c>
      <c r="C454" t="n">
        <v>38.9864</v>
      </c>
      <c r="D454" t="n">
        <v>8.855600000000001</v>
      </c>
      <c r="E454" t="n">
        <v>29.0658</v>
      </c>
      <c r="F454" t="n">
        <v/>
      </c>
      <c r="G454" t="n">
        <v>20.5757</v>
      </c>
      <c r="H454" t="n">
        <v>65.87009999999999</v>
      </c>
      <c r="I454" t="n">
        <v>15.9052</v>
      </c>
      <c r="J454" t="n">
        <v/>
      </c>
      <c r="K454" t="n">
        <v/>
      </c>
    </row>
    <row r="455">
      <c r="A455" s="98" t="n">
        <v>20729</v>
      </c>
      <c r="B455" t="n">
        <v>21.9127</v>
      </c>
      <c r="C455" t="n">
        <v>38.7159</v>
      </c>
      <c r="D455" t="n">
        <v>8.924099999999999</v>
      </c>
      <c r="E455" t="n">
        <v>29.2983</v>
      </c>
      <c r="F455" t="n">
        <v/>
      </c>
      <c r="G455" t="n">
        <v>20.893</v>
      </c>
      <c r="H455" t="n">
        <v>66.00749999999999</v>
      </c>
      <c r="I455" t="n">
        <v>16.0831</v>
      </c>
      <c r="J455" t="n">
        <v/>
      </c>
      <c r="K455" t="n">
        <v/>
      </c>
    </row>
    <row r="456">
      <c r="A456" s="98" t="n">
        <v>20760</v>
      </c>
      <c r="B456" t="n">
        <v>21.7245</v>
      </c>
      <c r="C456" t="n">
        <v>38.4004</v>
      </c>
      <c r="D456" t="n">
        <v>9.0708</v>
      </c>
      <c r="E456" t="n">
        <v>29.1433</v>
      </c>
      <c r="F456" t="n">
        <v/>
      </c>
      <c r="G456" t="n">
        <v>20.4293</v>
      </c>
      <c r="H456" t="n">
        <v>66.14490000000001</v>
      </c>
      <c r="I456" t="n">
        <v>16.1847</v>
      </c>
      <c r="J456" t="n">
        <v/>
      </c>
      <c r="K456" t="n">
        <v/>
      </c>
    </row>
    <row r="457">
      <c r="A457" s="98" t="n">
        <v>20790</v>
      </c>
      <c r="B457" t="n">
        <v>22.0471</v>
      </c>
      <c r="C457" t="n">
        <v>39.1215</v>
      </c>
      <c r="D457" t="n">
        <v>9.1785</v>
      </c>
      <c r="E457" t="n">
        <v>29.3758</v>
      </c>
      <c r="F457" t="n">
        <v/>
      </c>
      <c r="G457" t="n">
        <v>20.7954</v>
      </c>
      <c r="H457" t="n">
        <v>65.11450000000001</v>
      </c>
      <c r="I457" t="n">
        <v>16.2609</v>
      </c>
      <c r="J457" t="n">
        <v/>
      </c>
      <c r="K457" t="n">
        <v/>
      </c>
    </row>
    <row r="458">
      <c r="A458" s="98" t="n">
        <v>20821</v>
      </c>
      <c r="B458" t="n">
        <v>21.9665</v>
      </c>
      <c r="C458" t="n">
        <v>38.5356</v>
      </c>
      <c r="D458" t="n">
        <v>9.3057</v>
      </c>
      <c r="E458" t="n">
        <v>29.5696</v>
      </c>
      <c r="F458" t="n">
        <v/>
      </c>
      <c r="G458" t="n">
        <v>20.4049</v>
      </c>
      <c r="H458" t="n">
        <v>65.38930000000001</v>
      </c>
      <c r="I458" t="n">
        <v>16.4388</v>
      </c>
      <c r="J458" t="n">
        <v/>
      </c>
      <c r="K458" t="n">
        <v/>
      </c>
    </row>
    <row r="459">
      <c r="A459" s="98" t="n">
        <v>20852</v>
      </c>
      <c r="B459" t="n">
        <v>22.1816</v>
      </c>
      <c r="C459" t="n">
        <v>39.7075</v>
      </c>
      <c r="D459" t="n">
        <v>9.511200000000001</v>
      </c>
      <c r="E459" t="n">
        <v>29.9184</v>
      </c>
      <c r="F459" t="n">
        <v/>
      </c>
      <c r="G459" t="n">
        <v>20.5269</v>
      </c>
      <c r="H459" t="n">
        <v>66.4883</v>
      </c>
      <c r="I459" t="n">
        <v>16.6166</v>
      </c>
      <c r="J459" t="n">
        <v/>
      </c>
      <c r="K459" t="n">
        <v/>
      </c>
    </row>
    <row r="460">
      <c r="A460" s="98" t="n">
        <v>20880</v>
      </c>
      <c r="B460" t="n">
        <v>22.1547</v>
      </c>
      <c r="C460" t="n">
        <v>39.0765</v>
      </c>
      <c r="D460" t="n">
        <v>9.462199999999999</v>
      </c>
      <c r="E460" t="n">
        <v>29.9959</v>
      </c>
      <c r="F460" t="n">
        <v/>
      </c>
      <c r="G460" t="n">
        <v>20.4537</v>
      </c>
      <c r="H460" t="n">
        <v>67.10639999999999</v>
      </c>
      <c r="I460" t="n">
        <v>16.642</v>
      </c>
      <c r="J460" t="n">
        <v/>
      </c>
      <c r="K460" t="n">
        <v/>
      </c>
    </row>
    <row r="461">
      <c r="A461" s="98" t="n">
        <v>20911</v>
      </c>
      <c r="B461" t="n">
        <v>21.8589</v>
      </c>
      <c r="C461" t="n">
        <v>38.2201</v>
      </c>
      <c r="D461" t="n">
        <v>9.276300000000001</v>
      </c>
      <c r="E461" t="n">
        <v>29.6859</v>
      </c>
      <c r="F461" t="n">
        <v/>
      </c>
      <c r="G461" t="n">
        <v>20.1852</v>
      </c>
      <c r="H461" t="n">
        <v>66.62569999999999</v>
      </c>
      <c r="I461" t="n">
        <v>16.7691</v>
      </c>
      <c r="J461" t="n">
        <v/>
      </c>
      <c r="K461" t="n">
        <v/>
      </c>
    </row>
    <row r="462">
      <c r="A462" s="98" t="n">
        <v>20941</v>
      </c>
      <c r="B462" t="n">
        <v>21.7782</v>
      </c>
      <c r="C462" t="n">
        <v>38.0399</v>
      </c>
      <c r="D462" t="n">
        <v>9.109999999999999</v>
      </c>
      <c r="E462" t="n">
        <v>29.7634</v>
      </c>
      <c r="F462" t="n">
        <v/>
      </c>
      <c r="G462" t="n">
        <v>20.0876</v>
      </c>
      <c r="H462" t="n">
        <v>66.2135</v>
      </c>
      <c r="I462" t="n">
        <v>16.8961</v>
      </c>
      <c r="J462" t="n">
        <v/>
      </c>
      <c r="K462" t="n">
        <v/>
      </c>
    </row>
    <row r="463">
      <c r="A463" s="98" t="n">
        <v>20972</v>
      </c>
      <c r="B463" t="n">
        <v>21.832</v>
      </c>
      <c r="C463" t="n">
        <v>38.3103</v>
      </c>
      <c r="D463" t="n">
        <v>9.149100000000001</v>
      </c>
      <c r="E463" t="n">
        <v>29.8796</v>
      </c>
      <c r="F463" t="n">
        <v/>
      </c>
      <c r="G463" t="n">
        <v>20.1852</v>
      </c>
      <c r="H463" t="n">
        <v>65.5954</v>
      </c>
      <c r="I463" t="n">
        <v>16.8961</v>
      </c>
      <c r="J463" t="n">
        <v/>
      </c>
      <c r="K463" t="n">
        <v/>
      </c>
    </row>
    <row r="464">
      <c r="A464" s="98" t="n">
        <v>21002</v>
      </c>
      <c r="B464" t="n">
        <v>21.9665</v>
      </c>
      <c r="C464" t="n">
        <v>38.4004</v>
      </c>
      <c r="D464" t="n">
        <v>9.1883</v>
      </c>
      <c r="E464" t="n">
        <v>29.9959</v>
      </c>
      <c r="F464" t="n">
        <v/>
      </c>
      <c r="G464" t="n">
        <v>20.3072</v>
      </c>
      <c r="H464" t="n">
        <v>65.87009999999999</v>
      </c>
      <c r="I464" t="n">
        <v>17.1756</v>
      </c>
      <c r="J464" t="n">
        <v/>
      </c>
      <c r="K464" t="n">
        <v/>
      </c>
    </row>
    <row r="465">
      <c r="A465" s="98" t="n">
        <v>21033</v>
      </c>
      <c r="B465" t="n">
        <v>21.9665</v>
      </c>
      <c r="C465" t="n">
        <v>38.0849</v>
      </c>
      <c r="D465" t="n">
        <v>9.168699999999999</v>
      </c>
      <c r="E465" t="n">
        <v>30.1509</v>
      </c>
      <c r="F465" t="n">
        <v/>
      </c>
      <c r="G465" t="n">
        <v>20.356</v>
      </c>
      <c r="H465" t="n">
        <v>65.8014</v>
      </c>
      <c r="I465" t="n">
        <v>17.2772</v>
      </c>
      <c r="J465" t="n">
        <v/>
      </c>
      <c r="K465" t="n">
        <v/>
      </c>
    </row>
    <row r="466">
      <c r="A466" s="98" t="n">
        <v>21064</v>
      </c>
      <c r="B466" t="n">
        <v>21.7783</v>
      </c>
      <c r="C466" t="n">
        <v>37.8596</v>
      </c>
      <c r="D466" t="n">
        <v>9.051299999999999</v>
      </c>
      <c r="E466" t="n">
        <v>30.1509</v>
      </c>
      <c r="F466" t="n">
        <v/>
      </c>
      <c r="G466" t="n">
        <v>20.0875</v>
      </c>
      <c r="H466" t="n">
        <v>64.9772</v>
      </c>
      <c r="I466" t="n">
        <v>17.1248</v>
      </c>
      <c r="J466" t="n">
        <v/>
      </c>
      <c r="K466" t="n">
        <v/>
      </c>
    </row>
    <row r="467">
      <c r="A467" s="98" t="n">
        <v>21094</v>
      </c>
      <c r="B467" t="n">
        <v>21.4556</v>
      </c>
      <c r="C467" t="n">
        <v>37.4088</v>
      </c>
      <c r="D467" t="n">
        <v>8.8066</v>
      </c>
      <c r="E467" t="n">
        <v>29.6859</v>
      </c>
      <c r="F467" t="n">
        <v/>
      </c>
      <c r="G467" t="n">
        <v>19.7703</v>
      </c>
      <c r="H467" t="n">
        <v>64.0843</v>
      </c>
      <c r="I467" t="n">
        <v>17.201</v>
      </c>
      <c r="J467" t="n">
        <v/>
      </c>
      <c r="K467" t="n">
        <v/>
      </c>
    </row>
    <row r="468">
      <c r="A468" s="98" t="n">
        <v>21125</v>
      </c>
      <c r="B468" t="n">
        <v>20.9448</v>
      </c>
      <c r="C468" t="n">
        <v>36.9581</v>
      </c>
      <c r="D468" t="n">
        <v>8.5816</v>
      </c>
      <c r="E468" t="n">
        <v>29.6084</v>
      </c>
      <c r="F468" t="n">
        <v/>
      </c>
      <c r="G468" t="n">
        <v>19.0624</v>
      </c>
      <c r="H468" t="n">
        <v>62.1611</v>
      </c>
      <c r="I468" t="n">
        <v>17.4043</v>
      </c>
      <c r="J468" t="n">
        <v/>
      </c>
      <c r="K468" t="n">
        <v/>
      </c>
    </row>
    <row r="469">
      <c r="A469" s="98" t="n">
        <v>21155</v>
      </c>
      <c r="B469" t="n">
        <v>20.5414</v>
      </c>
      <c r="C469" t="n">
        <v>36.3722</v>
      </c>
      <c r="D469" t="n">
        <v>8.317399999999999</v>
      </c>
      <c r="E469" t="n">
        <v>29.4146</v>
      </c>
      <c r="F469" t="n">
        <v/>
      </c>
      <c r="G469" t="n">
        <v>18.4278</v>
      </c>
      <c r="H469" t="n">
        <v>61.5429</v>
      </c>
      <c r="I469" t="n">
        <v>17.3534</v>
      </c>
      <c r="J469" t="n">
        <v/>
      </c>
      <c r="K469" t="n">
        <v/>
      </c>
    </row>
    <row r="470">
      <c r="A470" s="98" t="n">
        <v>21186</v>
      </c>
      <c r="B470" t="n">
        <v>20.165</v>
      </c>
      <c r="C470" t="n">
        <v>35.9215</v>
      </c>
      <c r="D470" t="n">
        <v>8.151</v>
      </c>
      <c r="E470" t="n">
        <v>29.0271</v>
      </c>
      <c r="F470" t="n">
        <v/>
      </c>
      <c r="G470" t="n">
        <v>17.8909</v>
      </c>
      <c r="H470" t="n">
        <v>60.4439</v>
      </c>
      <c r="I470" t="n">
        <v>17.3789</v>
      </c>
      <c r="J470" t="n">
        <v/>
      </c>
      <c r="K470" t="n">
        <v/>
      </c>
    </row>
    <row r="471">
      <c r="A471" s="98" t="n">
        <v>21217</v>
      </c>
      <c r="B471" t="n">
        <v>19.7349</v>
      </c>
      <c r="C471" t="n">
        <v>34.7497</v>
      </c>
      <c r="D471" t="n">
        <v>7.8575</v>
      </c>
      <c r="E471" t="n">
        <v>28.8333</v>
      </c>
      <c r="F471" t="n">
        <v/>
      </c>
      <c r="G471" t="n">
        <v>17.3051</v>
      </c>
      <c r="H471" t="n">
        <v>59.6197</v>
      </c>
      <c r="I471" t="n">
        <v>17.4551</v>
      </c>
      <c r="J471" t="n">
        <v/>
      </c>
      <c r="K471" t="n">
        <v/>
      </c>
    </row>
    <row r="472">
      <c r="A472" s="98" t="n">
        <v>21245</v>
      </c>
      <c r="B472" t="n">
        <v>19.4929</v>
      </c>
      <c r="C472" t="n">
        <v>34.5694</v>
      </c>
      <c r="D472" t="n">
        <v>7.6911</v>
      </c>
      <c r="E472" t="n">
        <v>28.6008</v>
      </c>
      <c r="F472" t="n">
        <v/>
      </c>
      <c r="G472" t="n">
        <v>16.8657</v>
      </c>
      <c r="H472" t="n">
        <v>56.6661</v>
      </c>
      <c r="I472" t="n">
        <v>17.4805</v>
      </c>
      <c r="J472" t="n">
        <v/>
      </c>
      <c r="K472" t="n">
        <v/>
      </c>
    </row>
    <row r="473">
      <c r="A473" s="98" t="n">
        <v>21276</v>
      </c>
      <c r="B473" t="n">
        <v>19.1702</v>
      </c>
      <c r="C473" t="n">
        <v>34.1187</v>
      </c>
      <c r="D473" t="n">
        <v>7.5346</v>
      </c>
      <c r="E473" t="n">
        <v>28.2907</v>
      </c>
      <c r="F473" t="n">
        <v/>
      </c>
      <c r="G473" t="n">
        <v>16.4508</v>
      </c>
      <c r="H473" t="n">
        <v>55.5671</v>
      </c>
      <c r="I473" t="n">
        <v>17.3535</v>
      </c>
      <c r="J473" t="n">
        <v/>
      </c>
      <c r="K473" t="n">
        <v/>
      </c>
    </row>
    <row r="474">
      <c r="A474" s="98" t="n">
        <v>21306</v>
      </c>
      <c r="B474" t="n">
        <v>19.3584</v>
      </c>
      <c r="C474" t="n">
        <v>35.2905</v>
      </c>
      <c r="D474" t="n">
        <v>7.3487</v>
      </c>
      <c r="E474" t="n">
        <v>28.717</v>
      </c>
      <c r="F474" t="n">
        <v/>
      </c>
      <c r="G474" t="n">
        <v>16.6461</v>
      </c>
      <c r="H474" t="n">
        <v>55.4985</v>
      </c>
      <c r="I474" t="n">
        <v>17.4297</v>
      </c>
      <c r="J474" t="n">
        <v/>
      </c>
      <c r="K474" t="n">
        <v/>
      </c>
    </row>
    <row r="475">
      <c r="A475" s="98" t="n">
        <v>21337</v>
      </c>
      <c r="B475" t="n">
        <v>19.8693</v>
      </c>
      <c r="C475" t="n">
        <v>36.6877</v>
      </c>
      <c r="D475" t="n">
        <v>7.3486</v>
      </c>
      <c r="E475" t="n">
        <v>29.2984</v>
      </c>
      <c r="F475" t="n">
        <v/>
      </c>
      <c r="G475" t="n">
        <v>17.3539</v>
      </c>
      <c r="H475" t="n">
        <v>57.6278</v>
      </c>
      <c r="I475" t="n">
        <v>17.6075</v>
      </c>
      <c r="J475" t="n">
        <v/>
      </c>
      <c r="K475" t="n">
        <v/>
      </c>
    </row>
    <row r="476">
      <c r="A476" s="98" t="n">
        <v>21367</v>
      </c>
      <c r="B476" t="n">
        <v>20.165</v>
      </c>
      <c r="C476" t="n">
        <v>36.4624</v>
      </c>
      <c r="D476" t="n">
        <v>7.3976</v>
      </c>
      <c r="E476" t="n">
        <v>29.7246</v>
      </c>
      <c r="F476" t="n">
        <v/>
      </c>
      <c r="G476" t="n">
        <v>17.7932</v>
      </c>
      <c r="H476" t="n">
        <v>59.4823</v>
      </c>
      <c r="I476" t="n">
        <v>17.6838</v>
      </c>
      <c r="J476" t="n">
        <v/>
      </c>
      <c r="K476" t="n">
        <v/>
      </c>
    </row>
    <row r="477">
      <c r="A477" s="98" t="n">
        <v>21398</v>
      </c>
      <c r="B477" t="n">
        <v>20.5683</v>
      </c>
      <c r="C477" t="n">
        <v>38.0849</v>
      </c>
      <c r="D477" t="n">
        <v>7.5248</v>
      </c>
      <c r="E477" t="n">
        <v>29.8409</v>
      </c>
      <c r="F477" t="n">
        <v/>
      </c>
      <c r="G477" t="n">
        <v>18.3546</v>
      </c>
      <c r="H477" t="n">
        <v>61.6116</v>
      </c>
      <c r="I477" t="n">
        <v>17.887</v>
      </c>
      <c r="J477" t="n">
        <v/>
      </c>
      <c r="K477" t="n">
        <v/>
      </c>
    </row>
    <row r="478">
      <c r="A478" s="98" t="n">
        <v>21429</v>
      </c>
      <c r="B478" t="n">
        <v>20.7566</v>
      </c>
      <c r="C478" t="n">
        <v>38.1751</v>
      </c>
      <c r="D478" t="n">
        <v>7.5933</v>
      </c>
      <c r="E478" t="n">
        <v>29.4921</v>
      </c>
      <c r="F478" t="n">
        <v/>
      </c>
      <c r="G478" t="n">
        <v>18.794</v>
      </c>
      <c r="H478" t="n">
        <v>62.6418</v>
      </c>
      <c r="I478" t="n">
        <v>18.0649</v>
      </c>
      <c r="J478" t="n">
        <v/>
      </c>
      <c r="K478" t="n">
        <v/>
      </c>
    </row>
    <row r="479">
      <c r="A479" s="98" t="n">
        <v>21459</v>
      </c>
      <c r="B479" t="n">
        <v>20.9985</v>
      </c>
      <c r="C479" t="n">
        <v>38.13</v>
      </c>
      <c r="D479" t="n">
        <v>7.6911</v>
      </c>
      <c r="E479" t="n">
        <v>29.7634</v>
      </c>
      <c r="F479" t="n">
        <v/>
      </c>
      <c r="G479" t="n">
        <v>19.1113</v>
      </c>
      <c r="H479" t="n">
        <v>62.5732</v>
      </c>
      <c r="I479" t="n">
        <v>18.1665</v>
      </c>
      <c r="J479" t="n">
        <v/>
      </c>
      <c r="K479" t="n">
        <v/>
      </c>
    </row>
    <row r="480">
      <c r="A480" s="98" t="n">
        <v>21490</v>
      </c>
      <c r="B480" t="n">
        <v>21.6169</v>
      </c>
      <c r="C480" t="n">
        <v>39.6173</v>
      </c>
      <c r="D480" t="n">
        <v>7.8281</v>
      </c>
      <c r="E480" t="n">
        <v>31.1973</v>
      </c>
      <c r="F480" t="n">
        <v/>
      </c>
      <c r="G480" t="n">
        <v>19.6482</v>
      </c>
      <c r="H480" t="n">
        <v>62.4358</v>
      </c>
      <c r="I480" t="n">
        <v>18.2681</v>
      </c>
      <c r="J480" t="n">
        <v/>
      </c>
      <c r="K480" t="n">
        <v/>
      </c>
    </row>
    <row r="481">
      <c r="A481" s="98" t="n">
        <v>21520</v>
      </c>
      <c r="B481" t="n">
        <v>21.6438</v>
      </c>
      <c r="C481" t="n">
        <v>39.1215</v>
      </c>
      <c r="D481" t="n">
        <v>7.8868</v>
      </c>
      <c r="E481" t="n">
        <v>31.3523</v>
      </c>
      <c r="F481" t="n">
        <v/>
      </c>
      <c r="G481" t="n">
        <v>19.697</v>
      </c>
      <c r="H481" t="n">
        <v>62.7793</v>
      </c>
      <c r="I481" t="n">
        <v>18.5222</v>
      </c>
      <c r="J481" t="n">
        <v/>
      </c>
      <c r="K481" t="n">
        <v/>
      </c>
    </row>
    <row r="482">
      <c r="A482" s="98" t="n">
        <v>21551</v>
      </c>
      <c r="B482" t="n">
        <v>21.9665</v>
      </c>
      <c r="C482" t="n">
        <v>39.8878</v>
      </c>
      <c r="D482" t="n">
        <v>8.0434</v>
      </c>
      <c r="E482" t="n">
        <v>31.7011</v>
      </c>
      <c r="F482" t="n">
        <v/>
      </c>
      <c r="G482" t="n">
        <v>20.0387</v>
      </c>
      <c r="H482" t="n">
        <v>62.6418</v>
      </c>
      <c r="I482" t="n">
        <v>18.8017</v>
      </c>
      <c r="J482" t="n">
        <v/>
      </c>
      <c r="K482" t="n">
        <v/>
      </c>
    </row>
    <row r="483">
      <c r="A483" s="98" t="n">
        <v>21582</v>
      </c>
      <c r="B483" t="n">
        <v>22.3966</v>
      </c>
      <c r="C483" t="n">
        <v>40.9695</v>
      </c>
      <c r="D483" t="n">
        <v>8.151</v>
      </c>
      <c r="E483" t="n">
        <v>31.9337</v>
      </c>
      <c r="F483" t="n">
        <v/>
      </c>
      <c r="G483" t="n">
        <v>20.6733</v>
      </c>
      <c r="H483" t="n">
        <v>63.054</v>
      </c>
      <c r="I483" t="n">
        <v>18.9287</v>
      </c>
      <c r="J483" t="n">
        <v/>
      </c>
      <c r="K483" t="n">
        <v/>
      </c>
    </row>
    <row r="484">
      <c r="A484" s="98" t="n">
        <v>21610</v>
      </c>
      <c r="B484" t="n">
        <v>22.7193</v>
      </c>
      <c r="C484" t="n">
        <v>42.0061</v>
      </c>
      <c r="D484" t="n">
        <v>8.239100000000001</v>
      </c>
      <c r="E484" t="n">
        <v>31.9337</v>
      </c>
      <c r="F484" t="n">
        <v/>
      </c>
      <c r="G484" t="n">
        <v>21.2103</v>
      </c>
      <c r="H484" t="n">
        <v>63.1913</v>
      </c>
      <c r="I484" t="n">
        <v>19.0812</v>
      </c>
      <c r="J484" t="n">
        <v/>
      </c>
      <c r="K484" t="n">
        <v/>
      </c>
    </row>
    <row r="485">
      <c r="A485" s="98" t="n">
        <v>21641</v>
      </c>
      <c r="B485" t="n">
        <v>23.2032</v>
      </c>
      <c r="C485" t="n">
        <v>43.223</v>
      </c>
      <c r="D485" t="n">
        <v>8.4544</v>
      </c>
      <c r="E485" t="n">
        <v>32.4374</v>
      </c>
      <c r="F485" t="n">
        <v/>
      </c>
      <c r="G485" t="n">
        <v>21.7961</v>
      </c>
      <c r="H485" t="n">
        <v>65.0459</v>
      </c>
      <c r="I485" t="n">
        <v>19.2082</v>
      </c>
      <c r="J485" t="n">
        <v/>
      </c>
      <c r="K485" t="n">
        <v/>
      </c>
    </row>
    <row r="486">
      <c r="A486" s="98" t="n">
        <v>21671</v>
      </c>
      <c r="B486" t="n">
        <v>23.5528</v>
      </c>
      <c r="C486" t="n">
        <v>43.5836</v>
      </c>
      <c r="D486" t="n">
        <v>8.728400000000001</v>
      </c>
      <c r="E486" t="n">
        <v>32.5925</v>
      </c>
      <c r="F486" t="n">
        <v/>
      </c>
      <c r="G486" t="n">
        <v>22.3575</v>
      </c>
      <c r="H486" t="n">
        <v>66.4883</v>
      </c>
      <c r="I486" t="n">
        <v>19.4877</v>
      </c>
      <c r="J486" t="n">
        <v/>
      </c>
      <c r="K486" t="n">
        <v/>
      </c>
    </row>
    <row r="487">
      <c r="A487" s="98" t="n">
        <v>21702</v>
      </c>
      <c r="B487" t="n">
        <v>23.5797</v>
      </c>
      <c r="C487" t="n">
        <v>43.4033</v>
      </c>
      <c r="D487" t="n">
        <v>8.9338</v>
      </c>
      <c r="E487" t="n">
        <v>32.4375</v>
      </c>
      <c r="F487" t="n">
        <v/>
      </c>
      <c r="G487" t="n">
        <v>22.211</v>
      </c>
      <c r="H487" t="n">
        <v>65.1832</v>
      </c>
      <c r="I487" t="n">
        <v>19.691</v>
      </c>
      <c r="J487" t="n">
        <v/>
      </c>
      <c r="K487" t="n">
        <v/>
      </c>
    </row>
    <row r="488">
      <c r="A488" s="98" t="n">
        <v>21732</v>
      </c>
      <c r="B488" t="n">
        <v>23.015</v>
      </c>
      <c r="C488" t="n">
        <v>41.6906</v>
      </c>
      <c r="D488" t="n">
        <v>8.9534</v>
      </c>
      <c r="E488" t="n">
        <v>32.8637</v>
      </c>
      <c r="F488" t="n">
        <v/>
      </c>
      <c r="G488" t="n">
        <v>20.893</v>
      </c>
      <c r="H488" t="n">
        <v>62.161</v>
      </c>
      <c r="I488" t="n">
        <v>19.7926</v>
      </c>
      <c r="J488" t="n">
        <v/>
      </c>
      <c r="K488" t="n">
        <v/>
      </c>
    </row>
    <row r="489">
      <c r="A489" s="98" t="n">
        <v>21763</v>
      </c>
      <c r="B489" t="n">
        <v>22.2353</v>
      </c>
      <c r="C489" t="n">
        <v>39.0765</v>
      </c>
      <c r="D489" t="n">
        <v>8.8751</v>
      </c>
      <c r="E489" t="n">
        <v>32.9025</v>
      </c>
      <c r="F489" t="n">
        <v/>
      </c>
      <c r="G489" t="n">
        <v>19.3065</v>
      </c>
      <c r="H489" t="n">
        <v>58.8641</v>
      </c>
      <c r="I489" t="n">
        <v>19.5893</v>
      </c>
      <c r="J489" t="n">
        <v/>
      </c>
      <c r="K489" t="n">
        <v/>
      </c>
    </row>
    <row r="490">
      <c r="A490" s="98" t="n">
        <v>21794</v>
      </c>
      <c r="B490" t="n">
        <v>22.2084</v>
      </c>
      <c r="C490" t="n">
        <v>38.6258</v>
      </c>
      <c r="D490" t="n">
        <v>8.8066</v>
      </c>
      <c r="E490" t="n">
        <v>32.7863</v>
      </c>
      <c r="F490" t="n">
        <v/>
      </c>
      <c r="G490" t="n">
        <v>19.2821</v>
      </c>
      <c r="H490" t="n">
        <v>58.5207</v>
      </c>
      <c r="I490" t="n">
        <v>19.8942</v>
      </c>
      <c r="J490" t="n">
        <v/>
      </c>
      <c r="K490" t="n">
        <v/>
      </c>
    </row>
    <row r="491">
      <c r="A491" s="98" t="n">
        <v>21824</v>
      </c>
      <c r="B491" t="n">
        <v>22.0471</v>
      </c>
      <c r="C491" t="n">
        <v>38.761</v>
      </c>
      <c r="D491" t="n">
        <v>8.738099999999999</v>
      </c>
      <c r="E491" t="n">
        <v>32.6312</v>
      </c>
      <c r="F491" t="n">
        <v/>
      </c>
      <c r="G491" t="n">
        <v>19.0868</v>
      </c>
      <c r="H491" t="n">
        <v>58.8641</v>
      </c>
      <c r="I491" t="n">
        <v>19.8434</v>
      </c>
      <c r="J491" t="n">
        <v/>
      </c>
      <c r="K491" t="n">
        <v/>
      </c>
    </row>
    <row r="492">
      <c r="A492" s="98" t="n">
        <v>21855</v>
      </c>
      <c r="B492" t="n">
        <v>22.1816</v>
      </c>
      <c r="C492" t="n">
        <v>40.068</v>
      </c>
      <c r="D492" t="n">
        <v>8.601100000000001</v>
      </c>
      <c r="E492" t="n">
        <v>31.9337</v>
      </c>
      <c r="F492" t="n">
        <v/>
      </c>
      <c r="G492" t="n">
        <v>19.8435</v>
      </c>
      <c r="H492" t="n">
        <v>62.7792</v>
      </c>
      <c r="I492" t="n">
        <v>20.0213</v>
      </c>
      <c r="J492" t="n">
        <v/>
      </c>
      <c r="K492" t="n">
        <v/>
      </c>
    </row>
    <row r="493">
      <c r="A493" s="98" t="n">
        <v>21885</v>
      </c>
      <c r="B493" t="n">
        <v>23.5528</v>
      </c>
      <c r="C493" t="n">
        <v>43.223</v>
      </c>
      <c r="D493" t="n">
        <v>8.728400000000001</v>
      </c>
      <c r="E493" t="n">
        <v>32.98</v>
      </c>
      <c r="F493" t="n">
        <v/>
      </c>
      <c r="G493" t="n">
        <v>21.9669</v>
      </c>
      <c r="H493" t="n">
        <v>64.0843</v>
      </c>
      <c r="I493" t="n">
        <v>20.4024</v>
      </c>
      <c r="J493" t="n">
        <v/>
      </c>
      <c r="K493" t="n">
        <v/>
      </c>
    </row>
    <row r="494">
      <c r="A494" s="98" t="n">
        <v>21916</v>
      </c>
      <c r="B494" t="n">
        <v>24.1712</v>
      </c>
      <c r="C494" t="n">
        <v>42.9075</v>
      </c>
      <c r="D494" t="n">
        <v>9.051299999999999</v>
      </c>
      <c r="E494" t="n">
        <v>34.0264</v>
      </c>
      <c r="F494" t="n">
        <v/>
      </c>
      <c r="G494" t="n">
        <v>22.6016</v>
      </c>
      <c r="H494" t="n">
        <v>62.8479</v>
      </c>
      <c r="I494" t="n">
        <v>20.4532</v>
      </c>
      <c r="J494" t="n">
        <v/>
      </c>
      <c r="K494" t="n">
        <v/>
      </c>
    </row>
    <row r="495">
      <c r="A495" s="98" t="n">
        <v>21947</v>
      </c>
      <c r="B495" t="n">
        <v>23.9561</v>
      </c>
      <c r="C495" t="n">
        <v>42.4568</v>
      </c>
      <c r="D495" t="n">
        <v>9.109999999999999</v>
      </c>
      <c r="E495" t="n">
        <v>33.6388</v>
      </c>
      <c r="F495" t="n">
        <v/>
      </c>
      <c r="G495" t="n">
        <v>22.3087</v>
      </c>
      <c r="H495" t="n">
        <v>63.3974</v>
      </c>
      <c r="I495" t="n">
        <v>20.631</v>
      </c>
      <c r="J495" t="n">
        <v/>
      </c>
      <c r="K495" t="n">
        <v/>
      </c>
    </row>
    <row r="496">
      <c r="A496" s="98" t="n">
        <v>21976</v>
      </c>
      <c r="B496" t="n">
        <v>23.741</v>
      </c>
      <c r="C496" t="n">
        <v>41.1497</v>
      </c>
      <c r="D496" t="n">
        <v>9.1296</v>
      </c>
      <c r="E496" t="n">
        <v>33.6776</v>
      </c>
      <c r="F496" t="n">
        <v/>
      </c>
      <c r="G496" t="n">
        <v>21.9425</v>
      </c>
      <c r="H496" t="n">
        <v>63.6721</v>
      </c>
      <c r="I496" t="n">
        <v>20.9868</v>
      </c>
      <c r="J496" t="n">
        <v/>
      </c>
      <c r="K496" t="n">
        <v/>
      </c>
    </row>
    <row r="497">
      <c r="A497" s="98" t="n">
        <v>22007</v>
      </c>
      <c r="B497" t="n">
        <v>23.5528</v>
      </c>
      <c r="C497" t="n">
        <v>41.1498</v>
      </c>
      <c r="D497" t="n">
        <v>9.031700000000001</v>
      </c>
      <c r="E497" t="n">
        <v>33.9101</v>
      </c>
      <c r="F497" t="n">
        <v/>
      </c>
      <c r="G497" t="n">
        <v>21.43</v>
      </c>
      <c r="H497" t="n">
        <v>65.38930000000001</v>
      </c>
      <c r="I497" t="n">
        <v>20.9359</v>
      </c>
      <c r="J497" t="n">
        <v/>
      </c>
      <c r="K497" t="n">
        <v/>
      </c>
    </row>
    <row r="498">
      <c r="A498" s="98" t="n">
        <v>22037</v>
      </c>
      <c r="B498" t="n">
        <v>23.5259</v>
      </c>
      <c r="C498" t="n">
        <v>40.7441</v>
      </c>
      <c r="D498" t="n">
        <v>9.0611</v>
      </c>
      <c r="E498" t="n">
        <v>34.1039</v>
      </c>
      <c r="F498" t="n">
        <v/>
      </c>
      <c r="G498" t="n">
        <v>21.2347</v>
      </c>
      <c r="H498" t="n">
        <v>64.5651</v>
      </c>
      <c r="I498" t="n">
        <v>20.7327</v>
      </c>
      <c r="J498" t="n">
        <v/>
      </c>
      <c r="K498" t="n">
        <v/>
      </c>
    </row>
    <row r="499">
      <c r="A499" s="98" t="n">
        <v>22068</v>
      </c>
      <c r="B499" t="n">
        <v>23.2301</v>
      </c>
      <c r="C499" t="n">
        <v>39.9779</v>
      </c>
      <c r="D499" t="n">
        <v>8.9436</v>
      </c>
      <c r="E499" t="n">
        <v>33.8714</v>
      </c>
      <c r="F499" t="n">
        <v/>
      </c>
      <c r="G499" t="n">
        <v>20.893</v>
      </c>
      <c r="H499" t="n">
        <v>63.9469</v>
      </c>
      <c r="I499" t="n">
        <v>20.8343</v>
      </c>
      <c r="J499" t="n">
        <v/>
      </c>
      <c r="K499" t="n">
        <v/>
      </c>
    </row>
    <row r="500">
      <c r="A500" s="98" t="n">
        <v>22098</v>
      </c>
      <c r="B500" t="n">
        <v>23.1495</v>
      </c>
      <c r="C500" t="n">
        <v>40.3835</v>
      </c>
      <c r="D500" t="n">
        <v>8.836</v>
      </c>
      <c r="E500" t="n">
        <v>33.5613</v>
      </c>
      <c r="F500" t="n">
        <v/>
      </c>
      <c r="G500" t="n">
        <v>20.9174</v>
      </c>
      <c r="H500" t="n">
        <v>63.4661</v>
      </c>
      <c r="I500" t="n">
        <v>20.8851</v>
      </c>
      <c r="J500" t="n">
        <v/>
      </c>
      <c r="K500" t="n">
        <v/>
      </c>
    </row>
    <row r="501">
      <c r="A501" s="98" t="n">
        <v>22129</v>
      </c>
      <c r="B501" t="n">
        <v>23.1226</v>
      </c>
      <c r="C501" t="n">
        <v>39.392</v>
      </c>
      <c r="D501" t="n">
        <v>8.7186</v>
      </c>
      <c r="E501" t="n">
        <v>33.6389</v>
      </c>
      <c r="F501" t="n">
        <v/>
      </c>
      <c r="G501" t="n">
        <v>20.8198</v>
      </c>
      <c r="H501" t="n">
        <v>64.01560000000001</v>
      </c>
      <c r="I501" t="n">
        <v>21.0376</v>
      </c>
      <c r="J501" t="n">
        <v/>
      </c>
      <c r="K501" t="n">
        <v/>
      </c>
    </row>
    <row r="502">
      <c r="A502" s="98" t="n">
        <v>22160</v>
      </c>
      <c r="B502" t="n">
        <v>22.8806</v>
      </c>
      <c r="C502" t="n">
        <v>39.0314</v>
      </c>
      <c r="D502" t="n">
        <v>8.6403</v>
      </c>
      <c r="E502" t="n">
        <v>33.4838</v>
      </c>
      <c r="F502" t="n">
        <v/>
      </c>
      <c r="G502" t="n">
        <v>20.4781</v>
      </c>
      <c r="H502" t="n">
        <v>63.4661</v>
      </c>
      <c r="I502" t="n">
        <v>21.1392</v>
      </c>
      <c r="J502" t="n">
        <v/>
      </c>
      <c r="K502" t="n">
        <v/>
      </c>
    </row>
    <row r="503">
      <c r="A503" s="98" t="n">
        <v>22190</v>
      </c>
      <c r="B503" t="n">
        <v>22.8537</v>
      </c>
      <c r="C503" t="n">
        <v>39.1216</v>
      </c>
      <c r="D503" t="n">
        <v>8.5718</v>
      </c>
      <c r="E503" t="n">
        <v>33.8326</v>
      </c>
      <c r="F503" t="n">
        <v/>
      </c>
      <c r="G503" t="n">
        <v>20.4049</v>
      </c>
      <c r="H503" t="n">
        <v>63.1914</v>
      </c>
      <c r="I503" t="n">
        <v>21.1138</v>
      </c>
      <c r="J503" t="n">
        <v/>
      </c>
      <c r="K503" t="n">
        <v/>
      </c>
    </row>
    <row r="504">
      <c r="A504" s="98" t="n">
        <v>22221</v>
      </c>
      <c r="B504" t="n">
        <v>22.5311</v>
      </c>
      <c r="C504" t="n">
        <v>38.6708</v>
      </c>
      <c r="D504" t="n">
        <v>8.552199999999999</v>
      </c>
      <c r="E504" t="n">
        <v>33.2125</v>
      </c>
      <c r="F504" t="n">
        <v/>
      </c>
      <c r="G504" t="n">
        <v>19.8679</v>
      </c>
      <c r="H504" t="n">
        <v>62.9853</v>
      </c>
      <c r="I504" t="n">
        <v>21.1646</v>
      </c>
      <c r="J504" t="n">
        <v/>
      </c>
      <c r="K504" t="n">
        <v/>
      </c>
    </row>
    <row r="505">
      <c r="A505" s="98" t="n">
        <v>22251</v>
      </c>
      <c r="B505" t="n">
        <v>22.1009</v>
      </c>
      <c r="C505" t="n">
        <v>38.1751</v>
      </c>
      <c r="D505" t="n">
        <v>8.3565</v>
      </c>
      <c r="E505" t="n">
        <v>32.98</v>
      </c>
      <c r="F505" t="n">
        <v/>
      </c>
      <c r="G505" t="n">
        <v>19.3309</v>
      </c>
      <c r="H505" t="n">
        <v>62.9166</v>
      </c>
      <c r="I505" t="n">
        <v>21.19</v>
      </c>
      <c r="J505" t="n">
        <v/>
      </c>
      <c r="K505" t="n">
        <v/>
      </c>
    </row>
    <row r="506">
      <c r="A506" s="98" t="n">
        <v>22282</v>
      </c>
      <c r="B506" t="n">
        <v>22.1278</v>
      </c>
      <c r="C506" t="n">
        <v>37.8145</v>
      </c>
      <c r="D506" t="n">
        <v>8.4152</v>
      </c>
      <c r="E506" t="n">
        <v>32.7087</v>
      </c>
      <c r="F506" t="n">
        <v/>
      </c>
      <c r="G506" t="n">
        <v>19.5018</v>
      </c>
      <c r="H506" t="n">
        <v>62.8479</v>
      </c>
      <c r="I506" t="n">
        <v>21.2154</v>
      </c>
      <c r="J506" t="n">
        <v/>
      </c>
      <c r="K506" t="n">
        <v/>
      </c>
    </row>
    <row r="507">
      <c r="A507" s="98" t="n">
        <v>22313</v>
      </c>
      <c r="B507" t="n">
        <v>22.1009</v>
      </c>
      <c r="C507" t="n">
        <v>37.7694</v>
      </c>
      <c r="D507" t="n">
        <v>8.3369</v>
      </c>
      <c r="E507" t="n">
        <v>32.9025</v>
      </c>
      <c r="F507" t="n">
        <v/>
      </c>
      <c r="G507" t="n">
        <v>19.3553</v>
      </c>
      <c r="H507" t="n">
        <v>62.5732</v>
      </c>
      <c r="I507" t="n">
        <v>21.2917</v>
      </c>
      <c r="J507" t="n">
        <v/>
      </c>
      <c r="K507" t="n">
        <v/>
      </c>
    </row>
    <row r="508">
      <c r="A508" s="98" t="n">
        <v>22341</v>
      </c>
      <c r="B508" t="n">
        <v>22.2353</v>
      </c>
      <c r="C508" t="n">
        <v>38.6258</v>
      </c>
      <c r="D508" t="n">
        <v>8.327199999999999</v>
      </c>
      <c r="E508" t="n">
        <v>32.9025</v>
      </c>
      <c r="F508" t="n">
        <v/>
      </c>
      <c r="G508" t="n">
        <v>19.5262</v>
      </c>
      <c r="H508" t="n">
        <v>63.054</v>
      </c>
      <c r="I508" t="n">
        <v>21.3171</v>
      </c>
      <c r="J508" t="n">
        <v/>
      </c>
      <c r="K508" t="n">
        <v/>
      </c>
    </row>
    <row r="509">
      <c r="A509" s="98" t="n">
        <v>22372</v>
      </c>
      <c r="B509" t="n">
        <v>22.6924</v>
      </c>
      <c r="C509" t="n">
        <v>39.6173</v>
      </c>
      <c r="D509" t="n">
        <v>8.4152</v>
      </c>
      <c r="E509" t="n">
        <v>33.6776</v>
      </c>
      <c r="F509" t="n">
        <v/>
      </c>
      <c r="G509" t="n">
        <v>20.112</v>
      </c>
      <c r="H509" t="n">
        <v>62.8479</v>
      </c>
      <c r="I509" t="n">
        <v>21.6728</v>
      </c>
      <c r="J509" t="n">
        <v/>
      </c>
      <c r="K509" t="n">
        <v/>
      </c>
    </row>
    <row r="510">
      <c r="A510" s="98" t="n">
        <v>22402</v>
      </c>
      <c r="B510" t="n">
        <v>23.0419</v>
      </c>
      <c r="C510" t="n">
        <v>39.7525</v>
      </c>
      <c r="D510" t="n">
        <v>8.425000000000001</v>
      </c>
      <c r="E510" t="n">
        <v>34.0651</v>
      </c>
      <c r="F510" t="n">
        <v/>
      </c>
      <c r="G510" t="n">
        <v>20.7222</v>
      </c>
      <c r="H510" t="n">
        <v>62.9166</v>
      </c>
      <c r="I510" t="n">
        <v>22.1301</v>
      </c>
      <c r="J510" t="n">
        <v/>
      </c>
      <c r="K510" t="n">
        <v/>
      </c>
    </row>
    <row r="511">
      <c r="A511" s="98" t="n">
        <v>22433</v>
      </c>
      <c r="B511" t="n">
        <v>23.3646</v>
      </c>
      <c r="C511" t="n">
        <v>40.6089</v>
      </c>
      <c r="D511" t="n">
        <v>8.493499999999999</v>
      </c>
      <c r="E511" t="n">
        <v>34.4527</v>
      </c>
      <c r="F511" t="n">
        <v/>
      </c>
      <c r="G511" t="n">
        <v>21.0395</v>
      </c>
      <c r="H511" t="n">
        <v>63.4661</v>
      </c>
      <c r="I511" t="n">
        <v>22.0539</v>
      </c>
      <c r="J511" t="n">
        <v/>
      </c>
      <c r="K511" t="n">
        <v/>
      </c>
    </row>
    <row r="512">
      <c r="A512" s="98" t="n">
        <v>22463</v>
      </c>
      <c r="B512" t="n">
        <v>23.6334</v>
      </c>
      <c r="C512" t="n">
        <v>41.2399</v>
      </c>
      <c r="D512" t="n">
        <v>8.542400000000001</v>
      </c>
      <c r="E512" t="n">
        <v>34.7627</v>
      </c>
      <c r="F512" t="n">
        <v/>
      </c>
      <c r="G512" t="n">
        <v>21.3323</v>
      </c>
      <c r="H512" t="n">
        <v>63.6721</v>
      </c>
      <c r="I512" t="n">
        <v>22.0539</v>
      </c>
      <c r="J512" t="n">
        <v/>
      </c>
      <c r="K512" t="n">
        <v/>
      </c>
    </row>
    <row r="513">
      <c r="A513" s="98" t="n">
        <v>22494</v>
      </c>
      <c r="B513" t="n">
        <v>23.8485</v>
      </c>
      <c r="C513" t="n">
        <v>41.7357</v>
      </c>
      <c r="D513" t="n">
        <v>8.5816</v>
      </c>
      <c r="E513" t="n">
        <v>34.9952</v>
      </c>
      <c r="F513" t="n">
        <v/>
      </c>
      <c r="G513" t="n">
        <v>21.7473</v>
      </c>
      <c r="H513" t="n">
        <v>64.8399</v>
      </c>
      <c r="I513" t="n">
        <v>22.3842</v>
      </c>
      <c r="J513" t="n">
        <v/>
      </c>
      <c r="K513" t="n">
        <v/>
      </c>
    </row>
    <row r="514">
      <c r="A514" s="98" t="n">
        <v>22525</v>
      </c>
      <c r="B514" t="n">
        <v>23.8217</v>
      </c>
      <c r="C514" t="n">
        <v>42.0963</v>
      </c>
      <c r="D514" t="n">
        <v>8.7088</v>
      </c>
      <c r="E514" t="n">
        <v>34.4139</v>
      </c>
      <c r="F514" t="n">
        <v/>
      </c>
      <c r="G514" t="n">
        <v>21.7961</v>
      </c>
      <c r="H514" t="n">
        <v>64.7711</v>
      </c>
      <c r="I514" t="n">
        <v>22.6129</v>
      </c>
      <c r="J514" t="n">
        <v/>
      </c>
      <c r="K514" t="n">
        <v/>
      </c>
    </row>
    <row r="515">
      <c r="A515" s="98" t="n">
        <v>22555</v>
      </c>
      <c r="B515" t="n">
        <v>24.2787</v>
      </c>
      <c r="C515" t="n">
        <v>42.4117</v>
      </c>
      <c r="D515" t="n">
        <v>8.699</v>
      </c>
      <c r="E515" t="n">
        <v>35.3441</v>
      </c>
      <c r="F515" t="n">
        <v/>
      </c>
      <c r="G515" t="n">
        <v>22.1866</v>
      </c>
      <c r="H515" t="n">
        <v>66.14490000000001</v>
      </c>
      <c r="I515" t="n">
        <v>22.7653</v>
      </c>
      <c r="J515" t="n">
        <v/>
      </c>
      <c r="K515" t="n">
        <v/>
      </c>
    </row>
    <row r="516">
      <c r="A516" s="98" t="n">
        <v>22586</v>
      </c>
      <c r="B516" t="n">
        <v>24.6551</v>
      </c>
      <c r="C516" t="n">
        <v>42.0962</v>
      </c>
      <c r="D516" t="n">
        <v>8.9338</v>
      </c>
      <c r="E516" t="n">
        <v>35.9641</v>
      </c>
      <c r="F516" t="n">
        <v/>
      </c>
      <c r="G516" t="n">
        <v>22.4795</v>
      </c>
      <c r="H516" t="n">
        <v>66.2822</v>
      </c>
      <c r="I516" t="n">
        <v>22.7907</v>
      </c>
      <c r="J516" t="n">
        <v/>
      </c>
      <c r="K516" t="n">
        <v/>
      </c>
    </row>
    <row r="517">
      <c r="A517" s="98" t="n">
        <v>22616</v>
      </c>
      <c r="B517" t="n">
        <v>24.8702</v>
      </c>
      <c r="C517" t="n">
        <v>42.4117</v>
      </c>
      <c r="D517" t="n">
        <v>8.963200000000001</v>
      </c>
      <c r="E517" t="n">
        <v>36.0416</v>
      </c>
      <c r="F517" t="n">
        <v/>
      </c>
      <c r="G517" t="n">
        <v>22.7968</v>
      </c>
      <c r="H517" t="n">
        <v>66.2136</v>
      </c>
      <c r="I517" t="n">
        <v>22.8923</v>
      </c>
      <c r="J517" t="n">
        <v/>
      </c>
      <c r="K517" t="n">
        <v/>
      </c>
    </row>
    <row r="518">
      <c r="A518" s="98" t="n">
        <v>22647</v>
      </c>
      <c r="B518" t="n">
        <v>24.6551</v>
      </c>
      <c r="C518" t="n">
        <v>40.4286</v>
      </c>
      <c r="D518" t="n">
        <v>8.9338</v>
      </c>
      <c r="E518" t="n">
        <v>35.7703</v>
      </c>
      <c r="F518" t="n">
        <v/>
      </c>
      <c r="G518" t="n">
        <v>22.626</v>
      </c>
      <c r="H518" t="n">
        <v>65.664</v>
      </c>
      <c r="I518" t="n">
        <v>23.248</v>
      </c>
      <c r="J518" t="n">
        <v/>
      </c>
      <c r="K518" t="n">
        <v/>
      </c>
    </row>
    <row r="519">
      <c r="A519" s="98" t="n">
        <v>22678</v>
      </c>
      <c r="B519" t="n">
        <v>25.0584</v>
      </c>
      <c r="C519" t="n">
        <v>42.7723</v>
      </c>
      <c r="D519" t="n">
        <v>9.061</v>
      </c>
      <c r="E519" t="n">
        <v>36.0028</v>
      </c>
      <c r="F519" t="n">
        <v/>
      </c>
      <c r="G519" t="n">
        <v>22.9921</v>
      </c>
      <c r="H519" t="n">
        <v>66.00749999999999</v>
      </c>
      <c r="I519" t="n">
        <v>23.1718</v>
      </c>
      <c r="J519" t="n">
        <v/>
      </c>
      <c r="K519" t="n">
        <v/>
      </c>
    </row>
    <row r="520">
      <c r="A520" s="98" t="n">
        <v>22706</v>
      </c>
      <c r="B520" t="n">
        <v>25.1929</v>
      </c>
      <c r="C520" t="n">
        <v>43.3131</v>
      </c>
      <c r="D520" t="n">
        <v>9.1785</v>
      </c>
      <c r="E520" t="n">
        <v>36.2742</v>
      </c>
      <c r="F520" t="n">
        <v/>
      </c>
      <c r="G520" t="n">
        <v>23.0165</v>
      </c>
      <c r="H520" t="n">
        <v>66.3509</v>
      </c>
      <c r="I520" t="n">
        <v>23.3497</v>
      </c>
      <c r="J520" t="n">
        <v/>
      </c>
      <c r="K520" t="n">
        <v/>
      </c>
    </row>
    <row r="521">
      <c r="A521" s="98" t="n">
        <v>22737</v>
      </c>
      <c r="B521" t="n">
        <v>25.2466</v>
      </c>
      <c r="C521" t="n">
        <v>42.7272</v>
      </c>
      <c r="D521" t="n">
        <v>9.2372</v>
      </c>
      <c r="E521" t="n">
        <v>36.5842</v>
      </c>
      <c r="F521" t="n">
        <v/>
      </c>
      <c r="G521" t="n">
        <v>22.9921</v>
      </c>
      <c r="H521" t="n">
        <v>66.0761</v>
      </c>
      <c r="I521" t="n">
        <v>23.248</v>
      </c>
      <c r="J521" t="n">
        <v/>
      </c>
      <c r="K521" t="n">
        <v/>
      </c>
    </row>
    <row r="522">
      <c r="A522" s="98" t="n">
        <v>22767</v>
      </c>
      <c r="B522" t="n">
        <v>25.2197</v>
      </c>
      <c r="C522" t="n">
        <v>42.6822</v>
      </c>
      <c r="D522" t="n">
        <v>9.2372</v>
      </c>
      <c r="E522" t="n">
        <v>36.7779</v>
      </c>
      <c r="F522" t="n">
        <v/>
      </c>
      <c r="G522" t="n">
        <v>22.6748</v>
      </c>
      <c r="H522" t="n">
        <v>65.73269999999999</v>
      </c>
      <c r="I522" t="n">
        <v>23.6292</v>
      </c>
      <c r="J522" t="n">
        <v/>
      </c>
      <c r="K522" t="n">
        <v/>
      </c>
    </row>
    <row r="523">
      <c r="A523" s="98" t="n">
        <v>22798</v>
      </c>
      <c r="B523" t="n">
        <v>25.166</v>
      </c>
      <c r="C523" t="n">
        <v>42.9977</v>
      </c>
      <c r="D523" t="n">
        <v>9.3253</v>
      </c>
      <c r="E523" t="n">
        <v>36.5454</v>
      </c>
      <c r="F523" t="n">
        <v/>
      </c>
      <c r="G523" t="n">
        <v>22.6016</v>
      </c>
      <c r="H523" t="n">
        <v>65.6641</v>
      </c>
      <c r="I523" t="n">
        <v>23.807</v>
      </c>
      <c r="J523" t="n">
        <v/>
      </c>
      <c r="K523" t="n">
        <v/>
      </c>
    </row>
    <row r="524">
      <c r="A524" s="98" t="n">
        <v>22828</v>
      </c>
      <c r="B524" t="n">
        <v>25.4079</v>
      </c>
      <c r="C524" t="n">
        <v>42.8174</v>
      </c>
      <c r="D524" t="n">
        <v>9.403499999999999</v>
      </c>
      <c r="E524" t="n">
        <v>37.1655</v>
      </c>
      <c r="F524" t="n">
        <v/>
      </c>
      <c r="G524" t="n">
        <v>22.7968</v>
      </c>
      <c r="H524" t="n">
        <v>66.0762</v>
      </c>
      <c r="I524" t="n">
        <v>24.0103</v>
      </c>
      <c r="J524" t="n">
        <v/>
      </c>
      <c r="K524" t="n">
        <v/>
      </c>
    </row>
    <row r="525">
      <c r="A525" s="98" t="n">
        <v>22859</v>
      </c>
      <c r="B525" t="n">
        <v>25.4348</v>
      </c>
      <c r="C525" t="n">
        <v>43.5836</v>
      </c>
      <c r="D525" t="n">
        <v>9.5014</v>
      </c>
      <c r="E525" t="n">
        <v>36.7392</v>
      </c>
      <c r="F525" t="n">
        <v/>
      </c>
      <c r="G525" t="n">
        <v>22.8456</v>
      </c>
      <c r="H525" t="n">
        <v>66.6944</v>
      </c>
      <c r="I525" t="n">
        <v>23.9087</v>
      </c>
      <c r="J525" t="n">
        <v/>
      </c>
      <c r="K525" t="n">
        <v/>
      </c>
    </row>
    <row r="526">
      <c r="A526" s="98" t="n">
        <v>22890</v>
      </c>
      <c r="B526" t="n">
        <v>25.5962</v>
      </c>
      <c r="C526" t="n">
        <v>44.0794</v>
      </c>
      <c r="D526" t="n">
        <v>9.4916</v>
      </c>
      <c r="E526" t="n">
        <v>36.9717</v>
      </c>
      <c r="F526" t="n">
        <v/>
      </c>
      <c r="G526" t="n">
        <v>23.0409</v>
      </c>
      <c r="H526" t="n">
        <v>66.4883</v>
      </c>
      <c r="I526" t="n">
        <v>23.9849</v>
      </c>
      <c r="J526" t="n">
        <v/>
      </c>
      <c r="K526" t="n">
        <v/>
      </c>
    </row>
    <row r="527">
      <c r="A527" s="98" t="n">
        <v>22920</v>
      </c>
      <c r="B527" t="n">
        <v>25.6231</v>
      </c>
      <c r="C527" t="n">
        <v>43.3582</v>
      </c>
      <c r="D527" t="n">
        <v>9.5307</v>
      </c>
      <c r="E527" t="n">
        <v>36.8942</v>
      </c>
      <c r="F527" t="n">
        <v/>
      </c>
      <c r="G527" t="n">
        <v>23.0409</v>
      </c>
      <c r="H527" t="n">
        <v>65.6641</v>
      </c>
      <c r="I527" t="n">
        <v>24.1119</v>
      </c>
      <c r="J527" t="n">
        <v/>
      </c>
      <c r="K527" t="n">
        <v/>
      </c>
    </row>
    <row r="528">
      <c r="A528" s="98" t="n">
        <v>22951</v>
      </c>
      <c r="B528" t="n">
        <v>25.7306</v>
      </c>
      <c r="C528" t="n">
        <v>43.5385</v>
      </c>
      <c r="D528" t="n">
        <v>9.5307</v>
      </c>
      <c r="E528" t="n">
        <v>37.1267</v>
      </c>
      <c r="F528" t="n">
        <v/>
      </c>
      <c r="G528" t="n">
        <v>23.2362</v>
      </c>
      <c r="H528" t="n">
        <v>66.00749999999999</v>
      </c>
      <c r="I528" t="n">
        <v>24.366</v>
      </c>
      <c r="J528" t="n">
        <v/>
      </c>
      <c r="K528" t="n">
        <v/>
      </c>
    </row>
    <row r="529">
      <c r="A529" s="98" t="n">
        <v>22981</v>
      </c>
      <c r="B529" t="n">
        <v>25.7306</v>
      </c>
      <c r="C529" t="n">
        <v>43.8991</v>
      </c>
      <c r="D529" t="n">
        <v>9.472</v>
      </c>
      <c r="E529" t="n">
        <v>37.2818</v>
      </c>
      <c r="F529" t="n">
        <v/>
      </c>
      <c r="G529" t="n">
        <v>23.1141</v>
      </c>
      <c r="H529" t="n">
        <v>65.1833</v>
      </c>
      <c r="I529" t="n">
        <v>24.4168</v>
      </c>
      <c r="J529" t="n">
        <v/>
      </c>
      <c r="K529" t="n">
        <v/>
      </c>
    </row>
    <row r="530">
      <c r="A530" s="98" t="n">
        <v>23012</v>
      </c>
      <c r="B530" t="n">
        <v>25.9188</v>
      </c>
      <c r="C530" t="n">
        <v>42.8174</v>
      </c>
      <c r="D530" t="n">
        <v>9.4329</v>
      </c>
      <c r="E530" t="n">
        <v>37.7468</v>
      </c>
      <c r="F530" t="n">
        <v/>
      </c>
      <c r="G530" t="n">
        <v>23.2117</v>
      </c>
      <c r="H530" t="n">
        <v>66.1448</v>
      </c>
      <c r="I530" t="n">
        <v>24.8996</v>
      </c>
      <c r="J530" t="n">
        <v/>
      </c>
      <c r="K530" t="n">
        <v/>
      </c>
    </row>
    <row r="531">
      <c r="A531" s="98" t="n">
        <v>23043</v>
      </c>
      <c r="B531" t="n">
        <v>26.2146</v>
      </c>
      <c r="C531" t="n">
        <v>42.9075</v>
      </c>
      <c r="D531" t="n">
        <v>9.569900000000001</v>
      </c>
      <c r="E531" t="n">
        <v>38.1731</v>
      </c>
      <c r="F531" t="n">
        <v/>
      </c>
      <c r="G531" t="n">
        <v>23.5535</v>
      </c>
      <c r="H531" t="n">
        <v>67.51860000000001</v>
      </c>
      <c r="I531" t="n">
        <v>25.2298</v>
      </c>
      <c r="J531" t="n">
        <v/>
      </c>
      <c r="K531" t="n">
        <v/>
      </c>
    </row>
    <row r="532">
      <c r="A532" s="98" t="n">
        <v>23071</v>
      </c>
      <c r="B532" t="n">
        <v>26.3759</v>
      </c>
      <c r="C532" t="n">
        <v>43.4033</v>
      </c>
      <c r="D532" t="n">
        <v>9.511200000000001</v>
      </c>
      <c r="E532" t="n">
        <v>38.3281</v>
      </c>
      <c r="F532" t="n">
        <v/>
      </c>
      <c r="G532" t="n">
        <v>23.8952</v>
      </c>
      <c r="H532" t="n">
        <v>67.6559</v>
      </c>
      <c r="I532" t="n">
        <v>25.0266</v>
      </c>
      <c r="J532" t="n">
        <v/>
      </c>
      <c r="K532" t="n">
        <v/>
      </c>
    </row>
    <row r="533">
      <c r="A533" s="98" t="n">
        <v>23102</v>
      </c>
      <c r="B533" t="n">
        <v>26.6179</v>
      </c>
      <c r="C533" t="n">
        <v>44.8906</v>
      </c>
      <c r="D533" t="n">
        <v>9.5992</v>
      </c>
      <c r="E533" t="n">
        <v>38.4831</v>
      </c>
      <c r="F533" t="n">
        <v/>
      </c>
      <c r="G533" t="n">
        <v>24.1148</v>
      </c>
      <c r="H533" t="n">
        <v>67.65600000000001</v>
      </c>
      <c r="I533" t="n">
        <v>24.9503</v>
      </c>
      <c r="J533" t="n">
        <v/>
      </c>
      <c r="K533" t="n">
        <v/>
      </c>
    </row>
    <row r="534">
      <c r="A534" s="98" t="n">
        <v>23132</v>
      </c>
      <c r="B534" t="n">
        <v>26.9405</v>
      </c>
      <c r="C534" t="n">
        <v>45.8822</v>
      </c>
      <c r="D534" t="n">
        <v>9.569900000000001</v>
      </c>
      <c r="E534" t="n">
        <v>38.5606</v>
      </c>
      <c r="F534" t="n">
        <v/>
      </c>
      <c r="G534" t="n">
        <v>24.6762</v>
      </c>
      <c r="H534" t="n">
        <v>69.3045</v>
      </c>
      <c r="I534" t="n">
        <v>25.2298</v>
      </c>
      <c r="J534" t="n">
        <v/>
      </c>
      <c r="K534" t="n">
        <v/>
      </c>
    </row>
    <row r="535">
      <c r="A535" s="98" t="n">
        <v>23163</v>
      </c>
      <c r="B535" t="n">
        <v>27.0212</v>
      </c>
      <c r="C535" t="n">
        <v>45.7019</v>
      </c>
      <c r="D535" t="n">
        <v>9.609</v>
      </c>
      <c r="E535" t="n">
        <v>38.7932</v>
      </c>
      <c r="F535" t="n">
        <v/>
      </c>
      <c r="G535" t="n">
        <v>24.7739</v>
      </c>
      <c r="H535" t="n">
        <v>68.6862</v>
      </c>
      <c r="I535" t="n">
        <v>25.3823</v>
      </c>
      <c r="J535" t="n">
        <v/>
      </c>
      <c r="K535" t="n">
        <v/>
      </c>
    </row>
    <row r="536">
      <c r="A536" s="98" t="n">
        <v>23193</v>
      </c>
      <c r="B536" t="n">
        <v>26.9136</v>
      </c>
      <c r="C536" t="n">
        <v>45.5216</v>
      </c>
      <c r="D536" t="n">
        <v>9.746</v>
      </c>
      <c r="E536" t="n">
        <v>38.6769</v>
      </c>
      <c r="F536" t="n">
        <v/>
      </c>
      <c r="G536" t="n">
        <v>24.5298</v>
      </c>
      <c r="H536" t="n">
        <v>69.4418</v>
      </c>
      <c r="I536" t="n">
        <v>25.2299</v>
      </c>
      <c r="J536" t="n">
        <v/>
      </c>
      <c r="K536" t="n">
        <v/>
      </c>
    </row>
    <row r="537">
      <c r="A537" s="98" t="n">
        <v>23224</v>
      </c>
      <c r="B537" t="n">
        <v>26.9674</v>
      </c>
      <c r="C537" t="n">
        <v>45.6568</v>
      </c>
      <c r="D537" t="n">
        <v>9.9809</v>
      </c>
      <c r="E537" t="n">
        <v>38.987</v>
      </c>
      <c r="F537" t="n">
        <v/>
      </c>
      <c r="G537" t="n">
        <v>24.3101</v>
      </c>
      <c r="H537" t="n">
        <v>69.7166</v>
      </c>
      <c r="I537" t="n">
        <v>25.3823</v>
      </c>
      <c r="J537" t="n">
        <v/>
      </c>
      <c r="K537" t="n">
        <v/>
      </c>
    </row>
    <row r="538">
      <c r="A538" s="98" t="n">
        <v>23255</v>
      </c>
      <c r="B538" t="n">
        <v>27.2362</v>
      </c>
      <c r="C538" t="n">
        <v>45.3414</v>
      </c>
      <c r="D538" t="n">
        <v>9.951499999999999</v>
      </c>
      <c r="E538" t="n">
        <v>39.1032</v>
      </c>
      <c r="F538" t="n">
        <v/>
      </c>
      <c r="G538" t="n">
        <v>24.7982</v>
      </c>
      <c r="H538" t="n">
        <v>69.64790000000001</v>
      </c>
      <c r="I538" t="n">
        <v>25.611</v>
      </c>
      <c r="J538" t="n">
        <v/>
      </c>
      <c r="K538" t="n">
        <v/>
      </c>
    </row>
    <row r="539">
      <c r="A539" s="98" t="n">
        <v>23285</v>
      </c>
      <c r="B539" t="n">
        <v>27.4245</v>
      </c>
      <c r="C539" t="n">
        <v>46.0174</v>
      </c>
      <c r="D539" t="n">
        <v>10.1276</v>
      </c>
      <c r="E539" t="n">
        <v>39.3745</v>
      </c>
      <c r="F539" t="n">
        <v/>
      </c>
      <c r="G539" t="n">
        <v>24.9447</v>
      </c>
      <c r="H539" t="n">
        <v>69.2358</v>
      </c>
      <c r="I539" t="n">
        <v>25.8142</v>
      </c>
      <c r="J539" t="n">
        <v/>
      </c>
      <c r="K539" t="n">
        <v/>
      </c>
    </row>
    <row r="540">
      <c r="A540" s="98" t="n">
        <v>23316</v>
      </c>
      <c r="B540" t="n">
        <v>27.5589</v>
      </c>
      <c r="C540" t="n">
        <v>46.5583</v>
      </c>
      <c r="D540" t="n">
        <v>10.2059</v>
      </c>
      <c r="E540" t="n">
        <v>39.4132</v>
      </c>
      <c r="F540" t="n">
        <v/>
      </c>
      <c r="G540" t="n">
        <v>25.0911</v>
      </c>
      <c r="H540" t="n">
        <v>69.64790000000001</v>
      </c>
      <c r="I540" t="n">
        <v>26.0429</v>
      </c>
      <c r="J540" t="n">
        <v/>
      </c>
      <c r="K540" t="n">
        <v/>
      </c>
    </row>
    <row r="541">
      <c r="A541" s="98" t="n">
        <v>23346</v>
      </c>
      <c r="B541" t="n">
        <v>27.5051</v>
      </c>
      <c r="C541" t="n">
        <v>45.8822</v>
      </c>
      <c r="D541" t="n">
        <v>10.1863</v>
      </c>
      <c r="E541" t="n">
        <v>39.6458</v>
      </c>
      <c r="F541" t="n">
        <v/>
      </c>
      <c r="G541" t="n">
        <v>24.9447</v>
      </c>
      <c r="H541" t="n">
        <v>69.5792</v>
      </c>
      <c r="I541" t="n">
        <v>26.1191</v>
      </c>
      <c r="J541" t="n">
        <v/>
      </c>
      <c r="K541" t="n">
        <v/>
      </c>
    </row>
    <row r="542">
      <c r="A542" s="98" t="n">
        <v>23377</v>
      </c>
      <c r="B542" t="n">
        <v>27.7471</v>
      </c>
      <c r="C542" t="n">
        <v>46.1526</v>
      </c>
      <c r="D542" t="n">
        <v>10.4505</v>
      </c>
      <c r="E542" t="n">
        <v>40.0333</v>
      </c>
      <c r="F542" t="n">
        <v/>
      </c>
      <c r="G542" t="n">
        <v>25.14</v>
      </c>
      <c r="H542" t="n">
        <v>70.5408</v>
      </c>
      <c r="I542" t="n">
        <v>26.5511</v>
      </c>
      <c r="J542" t="n">
        <v/>
      </c>
      <c r="K542" t="n">
        <v/>
      </c>
    </row>
    <row r="543">
      <c r="A543" s="98" t="n">
        <v>23408</v>
      </c>
      <c r="B543" t="n">
        <v>27.9353</v>
      </c>
      <c r="C543" t="n">
        <v>47.3695</v>
      </c>
      <c r="D543" t="n">
        <v>10.4016</v>
      </c>
      <c r="E543" t="n">
        <v>39.9558</v>
      </c>
      <c r="F543" t="n">
        <v/>
      </c>
      <c r="G543" t="n">
        <v>25.5305</v>
      </c>
      <c r="H543" t="n">
        <v>71.02160000000001</v>
      </c>
      <c r="I543" t="n">
        <v>26.6019</v>
      </c>
      <c r="J543" t="n">
        <v/>
      </c>
      <c r="K543" t="n">
        <v/>
      </c>
    </row>
    <row r="544">
      <c r="A544" s="98" t="n">
        <v>23437</v>
      </c>
      <c r="B544" t="n">
        <v>27.9353</v>
      </c>
      <c r="C544" t="n">
        <v>47.5047</v>
      </c>
      <c r="D544" t="n">
        <v>10.5288</v>
      </c>
      <c r="E544" t="n">
        <v>39.762</v>
      </c>
      <c r="F544" t="n">
        <v/>
      </c>
      <c r="G544" t="n">
        <v>25.5305</v>
      </c>
      <c r="H544" t="n">
        <v>70.74679999999999</v>
      </c>
      <c r="I544" t="n">
        <v>26.8051</v>
      </c>
      <c r="J544" t="n">
        <v/>
      </c>
      <c r="K544" t="n">
        <v/>
      </c>
    </row>
    <row r="545">
      <c r="A545" s="98" t="n">
        <v>23468</v>
      </c>
      <c r="B545" t="n">
        <v>28.3924</v>
      </c>
      <c r="C545" t="n">
        <v>47.6851</v>
      </c>
      <c r="D545" t="n">
        <v>10.7735</v>
      </c>
      <c r="E545" t="n">
        <v>40.7696</v>
      </c>
      <c r="F545" t="n">
        <v/>
      </c>
      <c r="G545" t="n">
        <v>25.8234</v>
      </c>
      <c r="H545" t="n">
        <v>70.74679999999999</v>
      </c>
      <c r="I545" t="n">
        <v>27.237</v>
      </c>
      <c r="J545" t="n">
        <v/>
      </c>
      <c r="K545" t="n">
        <v/>
      </c>
    </row>
    <row r="546">
      <c r="A546" s="98" t="n">
        <v>23498</v>
      </c>
      <c r="B546" t="n">
        <v>28.5537</v>
      </c>
      <c r="C546" t="n">
        <v>47.9104</v>
      </c>
      <c r="D546" t="n">
        <v>10.8909</v>
      </c>
      <c r="E546" t="n">
        <v>41.0797</v>
      </c>
      <c r="F546" t="n">
        <v/>
      </c>
      <c r="G546" t="n">
        <v>26.043</v>
      </c>
      <c r="H546" t="n">
        <v>71.0903</v>
      </c>
      <c r="I546" t="n">
        <v>27.4403</v>
      </c>
      <c r="J546" t="n">
        <v/>
      </c>
      <c r="K546" t="n">
        <v/>
      </c>
    </row>
    <row r="547">
      <c r="A547" s="98" t="n">
        <v>23529</v>
      </c>
      <c r="B547" t="n">
        <v>28.6344</v>
      </c>
      <c r="C547" t="n">
        <v>47.5949</v>
      </c>
      <c r="D547" t="n">
        <v>10.93</v>
      </c>
      <c r="E547" t="n">
        <v>41.0022</v>
      </c>
      <c r="F547" t="n">
        <v/>
      </c>
      <c r="G547" t="n">
        <v>26.2139</v>
      </c>
      <c r="H547" t="n">
        <v>71.50239999999999</v>
      </c>
      <c r="I547" t="n">
        <v>27.7452</v>
      </c>
      <c r="J547" t="n">
        <v/>
      </c>
      <c r="K547" t="n">
        <v/>
      </c>
    </row>
    <row r="548">
      <c r="A548" s="98" t="n">
        <v>23559</v>
      </c>
      <c r="B548" t="n">
        <v>28.8226</v>
      </c>
      <c r="C548" t="n">
        <v>48.4963</v>
      </c>
      <c r="D548" t="n">
        <v>11.0768</v>
      </c>
      <c r="E548" t="n">
        <v>41.5835</v>
      </c>
      <c r="F548" t="n">
        <v/>
      </c>
      <c r="G548" t="n">
        <v>26.2627</v>
      </c>
      <c r="H548" t="n">
        <v>71.02160000000001</v>
      </c>
      <c r="I548" t="n">
        <v>27.9739</v>
      </c>
      <c r="J548" t="n">
        <v/>
      </c>
      <c r="K548" t="n">
        <v/>
      </c>
    </row>
    <row r="549">
      <c r="A549" s="98" t="n">
        <v>23590</v>
      </c>
      <c r="B549" t="n">
        <v>29.0108</v>
      </c>
      <c r="C549" t="n">
        <v>48.0006</v>
      </c>
      <c r="D549" t="n">
        <v>11.067</v>
      </c>
      <c r="E549" t="n">
        <v>41.506</v>
      </c>
      <c r="F549" t="n">
        <v/>
      </c>
      <c r="G549" t="n">
        <v>26.7997</v>
      </c>
      <c r="H549" t="n">
        <v>71.50239999999999</v>
      </c>
      <c r="I549" t="n">
        <v>27.9739</v>
      </c>
      <c r="J549" t="n">
        <v/>
      </c>
      <c r="K549" t="n">
        <v/>
      </c>
    </row>
    <row r="550">
      <c r="A550" s="98" t="n">
        <v>23621</v>
      </c>
      <c r="B550" t="n">
        <v>29.1183</v>
      </c>
      <c r="C550" t="n">
        <v>47.64</v>
      </c>
      <c r="D550" t="n">
        <v>11.1649</v>
      </c>
      <c r="E550" t="n">
        <v>41.041</v>
      </c>
      <c r="F550" t="n">
        <v/>
      </c>
      <c r="G550" t="n">
        <v>27.2146</v>
      </c>
      <c r="H550" t="n">
        <v>72.0519</v>
      </c>
      <c r="I550" t="n">
        <v>28.0501</v>
      </c>
      <c r="J550" t="n">
        <v/>
      </c>
      <c r="K550" t="n">
        <v/>
      </c>
    </row>
    <row r="551">
      <c r="A551" s="98" t="n">
        <v>23651</v>
      </c>
      <c r="B551" t="n">
        <v>28.715</v>
      </c>
      <c r="C551" t="n">
        <v>47.8203</v>
      </c>
      <c r="D551" t="n">
        <v>11.0768</v>
      </c>
      <c r="E551" t="n">
        <v>40.2271</v>
      </c>
      <c r="F551" t="n">
        <v/>
      </c>
      <c r="G551" t="n">
        <v>26.702</v>
      </c>
      <c r="H551" t="n">
        <v>72.1893</v>
      </c>
      <c r="I551" t="n">
        <v>28.1517</v>
      </c>
      <c r="J551" t="n">
        <v/>
      </c>
      <c r="K551" t="n">
        <v/>
      </c>
    </row>
    <row r="552">
      <c r="A552" s="98" t="n">
        <v>23682</v>
      </c>
      <c r="B552" t="n">
        <v>29.6023</v>
      </c>
      <c r="C552" t="n">
        <v>48.947</v>
      </c>
      <c r="D552" t="n">
        <v>11.4486</v>
      </c>
      <c r="E552" t="n">
        <v>41.7385</v>
      </c>
      <c r="F552" t="n">
        <v/>
      </c>
      <c r="G552" t="n">
        <v>27.5319</v>
      </c>
      <c r="H552" t="n">
        <v>73.2882</v>
      </c>
      <c r="I552" t="n">
        <v>28.0755</v>
      </c>
      <c r="J552" t="n">
        <v/>
      </c>
      <c r="K552" t="n">
        <v/>
      </c>
    </row>
    <row r="553">
      <c r="A553" s="98" t="n">
        <v>23712</v>
      </c>
      <c r="B553" t="n">
        <v>29.9518</v>
      </c>
      <c r="C553" t="n">
        <v>48.316</v>
      </c>
      <c r="D553" t="n">
        <v>11.6541</v>
      </c>
      <c r="E553" t="n">
        <v>42.5911</v>
      </c>
      <c r="F553" t="n">
        <v/>
      </c>
      <c r="G553" t="n">
        <v>27.8736</v>
      </c>
      <c r="H553" t="n">
        <v>72.39530000000001</v>
      </c>
      <c r="I553" t="n">
        <v>28.4058</v>
      </c>
      <c r="J553" t="n">
        <v/>
      </c>
      <c r="K553" t="n">
        <v/>
      </c>
    </row>
    <row r="554">
      <c r="A554" s="98" t="n">
        <v>23743</v>
      </c>
      <c r="B554" t="n">
        <v>30.2744</v>
      </c>
      <c r="C554" t="n">
        <v>48.6766</v>
      </c>
      <c r="D554" t="n">
        <v>11.6345</v>
      </c>
      <c r="E554" t="n">
        <v>43.2112</v>
      </c>
      <c r="F554" t="n">
        <v/>
      </c>
      <c r="G554" t="n">
        <v>28.1909</v>
      </c>
      <c r="H554" t="n">
        <v>72.67</v>
      </c>
      <c r="I554" t="n">
        <v>28.3296</v>
      </c>
      <c r="J554" t="n">
        <v/>
      </c>
      <c r="K554" t="n">
        <v/>
      </c>
    </row>
    <row r="555">
      <c r="A555" s="98" t="n">
        <v>23774</v>
      </c>
      <c r="B555" t="n">
        <v>30.4627</v>
      </c>
      <c r="C555" t="n">
        <v>49.9386</v>
      </c>
      <c r="D555" t="n">
        <v>11.8303</v>
      </c>
      <c r="E555" t="n">
        <v>43.3275</v>
      </c>
      <c r="F555" t="n">
        <v/>
      </c>
      <c r="G555" t="n">
        <v>28.2886</v>
      </c>
      <c r="H555" t="n">
        <v>72.73869999999999</v>
      </c>
      <c r="I555" t="n">
        <v>28.482</v>
      </c>
      <c r="J555" t="n">
        <v/>
      </c>
      <c r="K555" t="n">
        <v/>
      </c>
    </row>
    <row r="556">
      <c r="A556" s="98" t="n">
        <v>23802</v>
      </c>
      <c r="B556" t="n">
        <v>30.866</v>
      </c>
      <c r="C556" t="n">
        <v>50.3442</v>
      </c>
      <c r="D556" t="n">
        <v>11.9868</v>
      </c>
      <c r="E556" t="n">
        <v>43.715</v>
      </c>
      <c r="F556" t="n">
        <v/>
      </c>
      <c r="G556" t="n">
        <v>28.7279</v>
      </c>
      <c r="H556" t="n">
        <v>73.2882</v>
      </c>
      <c r="I556" t="n">
        <v>28.8123</v>
      </c>
      <c r="J556" t="n">
        <v/>
      </c>
      <c r="K556" t="n">
        <v/>
      </c>
    </row>
    <row r="557">
      <c r="A557" s="98" t="n">
        <v>23833</v>
      </c>
      <c r="B557" t="n">
        <v>31.0004</v>
      </c>
      <c r="C557" t="n">
        <v>49.6231</v>
      </c>
      <c r="D557" t="n">
        <v>12.0945</v>
      </c>
      <c r="E557" t="n">
        <v>43.5987</v>
      </c>
      <c r="F557" t="n">
        <v/>
      </c>
      <c r="G557" t="n">
        <v>29.0208</v>
      </c>
      <c r="H557" t="n">
        <v>73.2195</v>
      </c>
      <c r="I557" t="n">
        <v>29.2442</v>
      </c>
      <c r="J557" t="n">
        <v/>
      </c>
      <c r="K557" t="n">
        <v/>
      </c>
    </row>
    <row r="558">
      <c r="A558" s="98" t="n">
        <v>23863</v>
      </c>
      <c r="B558" t="n">
        <v>31.2424</v>
      </c>
      <c r="C558" t="n">
        <v>50.1189</v>
      </c>
      <c r="D558" t="n">
        <v>12.2706</v>
      </c>
      <c r="E558" t="n">
        <v>43.87</v>
      </c>
      <c r="F558" t="n">
        <v/>
      </c>
      <c r="G558" t="n">
        <v>29.1428</v>
      </c>
      <c r="H558" t="n">
        <v>73.2196</v>
      </c>
      <c r="I558" t="n">
        <v>29.0664</v>
      </c>
      <c r="J558" t="n">
        <v/>
      </c>
      <c r="K558" t="n">
        <v/>
      </c>
    </row>
    <row r="559">
      <c r="A559" s="98" t="n">
        <v>23894</v>
      </c>
      <c r="B559" t="n">
        <v>31.4844</v>
      </c>
      <c r="C559" t="n">
        <v>50.1639</v>
      </c>
      <c r="D559" t="n">
        <v>12.4467</v>
      </c>
      <c r="E559" t="n">
        <v>43.9863</v>
      </c>
      <c r="F559" t="n">
        <v/>
      </c>
      <c r="G559" t="n">
        <v>29.4845</v>
      </c>
      <c r="H559" t="n">
        <v>74.1125</v>
      </c>
      <c r="I559" t="n">
        <v>29.2443</v>
      </c>
      <c r="J559" t="n">
        <v/>
      </c>
      <c r="K559" t="n">
        <v/>
      </c>
    </row>
    <row r="560">
      <c r="A560" s="98" t="n">
        <v>23924</v>
      </c>
      <c r="B560" t="n">
        <v>31.7801</v>
      </c>
      <c r="C560" t="n">
        <v>51.5611</v>
      </c>
      <c r="D560" t="n">
        <v>12.662</v>
      </c>
      <c r="E560" t="n">
        <v>43.9863</v>
      </c>
      <c r="F560" t="n">
        <v/>
      </c>
      <c r="G560" t="n">
        <v>29.753</v>
      </c>
      <c r="H560" t="n">
        <v>74.0438</v>
      </c>
      <c r="I560" t="n">
        <v>29.0156</v>
      </c>
      <c r="J560" t="n">
        <v/>
      </c>
      <c r="K560" t="n">
        <v/>
      </c>
    </row>
    <row r="561">
      <c r="A561" s="98" t="n">
        <v>23955</v>
      </c>
      <c r="B561" t="n">
        <v>31.9145</v>
      </c>
      <c r="C561" t="n">
        <v>51.0653</v>
      </c>
      <c r="D561" t="n">
        <v>12.662</v>
      </c>
      <c r="E561" t="n">
        <v>43.9475</v>
      </c>
      <c r="F561" t="n">
        <v/>
      </c>
      <c r="G561" t="n">
        <v>30.0459</v>
      </c>
      <c r="H561" t="n">
        <v>74.79940000000001</v>
      </c>
      <c r="I561" t="n">
        <v>29.1934</v>
      </c>
      <c r="J561" t="n">
        <v/>
      </c>
      <c r="K561" t="n">
        <v/>
      </c>
    </row>
    <row r="562">
      <c r="A562" s="98" t="n">
        <v>23986</v>
      </c>
      <c r="B562" t="n">
        <v>31.9952</v>
      </c>
      <c r="C562" t="n">
        <v>50.6147</v>
      </c>
      <c r="D562" t="n">
        <v>12.9066</v>
      </c>
      <c r="E562" t="n">
        <v>44.6064</v>
      </c>
      <c r="F562" t="n">
        <v/>
      </c>
      <c r="G562" t="n">
        <v>29.8018</v>
      </c>
      <c r="H562" t="n">
        <v>73.2195</v>
      </c>
      <c r="I562" t="n">
        <v>29.7524</v>
      </c>
      <c r="J562" t="n">
        <v/>
      </c>
      <c r="K562" t="n">
        <v/>
      </c>
    </row>
    <row r="563">
      <c r="A563" s="98" t="n">
        <v>24016</v>
      </c>
      <c r="B563" t="n">
        <v>32.3179</v>
      </c>
      <c r="C563" t="n">
        <v>51.3809</v>
      </c>
      <c r="D563" t="n">
        <v>13.0925</v>
      </c>
      <c r="E563" t="n">
        <v>44.8389</v>
      </c>
      <c r="F563" t="n">
        <v/>
      </c>
      <c r="G563" t="n">
        <v>30.1191</v>
      </c>
      <c r="H563" t="n">
        <v>75.8296</v>
      </c>
      <c r="I563" t="n">
        <v>30.1843</v>
      </c>
      <c r="J563" t="n">
        <v/>
      </c>
      <c r="K563" t="n">
        <v/>
      </c>
    </row>
    <row r="564">
      <c r="A564" s="98" t="n">
        <v>24047</v>
      </c>
      <c r="B564" t="n">
        <v>32.4523</v>
      </c>
      <c r="C564" t="n">
        <v>52.102</v>
      </c>
      <c r="D564" t="n">
        <v>13.3372</v>
      </c>
      <c r="E564" t="n">
        <v>45.0714</v>
      </c>
      <c r="F564" t="n">
        <v/>
      </c>
      <c r="G564" t="n">
        <v>29.9971</v>
      </c>
      <c r="H564" t="n">
        <v>75.6236</v>
      </c>
      <c r="I564" t="n">
        <v>29.9811</v>
      </c>
      <c r="J564" t="n">
        <v/>
      </c>
      <c r="K564" t="n">
        <v/>
      </c>
    </row>
    <row r="565">
      <c r="A565" s="98" t="n">
        <v>24077</v>
      </c>
      <c r="B565" t="n">
        <v>32.8556</v>
      </c>
      <c r="C565" t="n">
        <v>53.2288</v>
      </c>
      <c r="D565" t="n">
        <v>13.6209</v>
      </c>
      <c r="E565" t="n">
        <v>45.3427</v>
      </c>
      <c r="F565" t="n">
        <v/>
      </c>
      <c r="G565" t="n">
        <v>30.3388</v>
      </c>
      <c r="H565" t="n">
        <v>76.37909999999999</v>
      </c>
      <c r="I565" t="n">
        <v>30.1335</v>
      </c>
      <c r="J565" t="n">
        <v/>
      </c>
      <c r="K565" t="n">
        <v/>
      </c>
    </row>
    <row r="566">
      <c r="A566" s="98" t="n">
        <v>24108</v>
      </c>
      <c r="B566" t="n">
        <v>33.1782</v>
      </c>
      <c r="C566" t="n">
        <v>53.1386</v>
      </c>
      <c r="D566" t="n">
        <v>13.8949</v>
      </c>
      <c r="E566" t="n">
        <v>45.5752</v>
      </c>
      <c r="F566" t="n">
        <v/>
      </c>
      <c r="G566" t="n">
        <v>30.7537</v>
      </c>
      <c r="H566" t="n">
        <v>76.7225</v>
      </c>
      <c r="I566" t="n">
        <v>30.1844</v>
      </c>
      <c r="J566" t="n">
        <v/>
      </c>
      <c r="K566" t="n">
        <v/>
      </c>
    </row>
    <row r="567">
      <c r="A567" s="98" t="n">
        <v>24139</v>
      </c>
      <c r="B567" t="n">
        <v>33.3933</v>
      </c>
      <c r="C567" t="n">
        <v>52.6428</v>
      </c>
      <c r="D567" t="n">
        <v>13.8558</v>
      </c>
      <c r="E567" t="n">
        <v>45.6915</v>
      </c>
      <c r="F567" t="n">
        <v/>
      </c>
      <c r="G567" t="n">
        <v>31.0955</v>
      </c>
      <c r="H567" t="n">
        <v>76.4478</v>
      </c>
      <c r="I567" t="n">
        <v>30.6417</v>
      </c>
      <c r="J567" t="n">
        <v/>
      </c>
      <c r="K567" t="n">
        <v/>
      </c>
    </row>
    <row r="568">
      <c r="A568" s="98" t="n">
        <v>24167</v>
      </c>
      <c r="B568" t="n">
        <v>33.8504</v>
      </c>
      <c r="C568" t="n">
        <v>53.6795</v>
      </c>
      <c r="D568" t="n">
        <v>14.1298</v>
      </c>
      <c r="E568" t="n">
        <v>46.0403</v>
      </c>
      <c r="F568" t="n">
        <v/>
      </c>
      <c r="G568" t="n">
        <v>31.6568</v>
      </c>
      <c r="H568" t="n">
        <v>78.2336</v>
      </c>
      <c r="I568" t="n">
        <v>30.7179</v>
      </c>
      <c r="J568" t="n">
        <v/>
      </c>
      <c r="K568" t="n">
        <v/>
      </c>
    </row>
    <row r="569">
      <c r="A569" s="98" t="n">
        <v>24198</v>
      </c>
      <c r="B569" t="n">
        <v>33.9042</v>
      </c>
      <c r="C569" t="n">
        <v>53.6795</v>
      </c>
      <c r="D569" t="n">
        <v>14.2374</v>
      </c>
      <c r="E569" t="n">
        <v>46.1953</v>
      </c>
      <c r="F569" t="n">
        <v/>
      </c>
      <c r="G569" t="n">
        <v>31.5836</v>
      </c>
      <c r="H569" t="n">
        <v>75.4862</v>
      </c>
      <c r="I569" t="n">
        <v>30.9212</v>
      </c>
      <c r="J569" t="n">
        <v/>
      </c>
      <c r="K569" t="n">
        <v/>
      </c>
    </row>
    <row r="570">
      <c r="A570" s="98" t="n">
        <v>24228</v>
      </c>
      <c r="B570" t="n">
        <v>34.2268</v>
      </c>
      <c r="C570" t="n">
        <v>53.9499</v>
      </c>
      <c r="D570" t="n">
        <v>14.4233</v>
      </c>
      <c r="E570" t="n">
        <v>46.1953</v>
      </c>
      <c r="F570" t="n">
        <v/>
      </c>
      <c r="G570" t="n">
        <v>31.9497</v>
      </c>
      <c r="H570" t="n">
        <v>78.02760000000001</v>
      </c>
      <c r="I570" t="n">
        <v>31.1244</v>
      </c>
      <c r="J570" t="n">
        <v/>
      </c>
      <c r="K570" t="n">
        <v/>
      </c>
    </row>
    <row r="571">
      <c r="A571" s="98" t="n">
        <v>24259</v>
      </c>
      <c r="B571" t="n">
        <v>34.3881</v>
      </c>
      <c r="C571" t="n">
        <v>53.1837</v>
      </c>
      <c r="D571" t="n">
        <v>14.5603</v>
      </c>
      <c r="E571" t="n">
        <v>46.3891</v>
      </c>
      <c r="F571" t="n">
        <v/>
      </c>
      <c r="G571" t="n">
        <v>32.145</v>
      </c>
      <c r="H571" t="n">
        <v>78.2336</v>
      </c>
      <c r="I571" t="n">
        <v>31.5564</v>
      </c>
      <c r="J571" t="n">
        <v/>
      </c>
      <c r="K571" t="n">
        <v/>
      </c>
    </row>
    <row r="572">
      <c r="A572" s="98" t="n">
        <v>24289</v>
      </c>
      <c r="B572" t="n">
        <v>34.5763</v>
      </c>
      <c r="C572" t="n">
        <v>53.6794</v>
      </c>
      <c r="D572" t="n">
        <v>14.7952</v>
      </c>
      <c r="E572" t="n">
        <v>46.3115</v>
      </c>
      <c r="F572" t="n">
        <v/>
      </c>
      <c r="G572" t="n">
        <v>32.2182</v>
      </c>
      <c r="H572" t="n">
        <v>78.4397</v>
      </c>
      <c r="I572" t="n">
        <v>32.0645</v>
      </c>
      <c r="J572" t="n">
        <v/>
      </c>
      <c r="K572" t="n">
        <v/>
      </c>
    </row>
    <row r="573">
      <c r="A573" s="98" t="n">
        <v>24320</v>
      </c>
      <c r="B573" t="n">
        <v>34.6032</v>
      </c>
      <c r="C573" t="n">
        <v>52.102</v>
      </c>
      <c r="D573" t="n">
        <v>14.8539</v>
      </c>
      <c r="E573" t="n">
        <v>46.1565</v>
      </c>
      <c r="F573" t="n">
        <v/>
      </c>
      <c r="G573" t="n">
        <v>32.4866</v>
      </c>
      <c r="H573" t="n">
        <v>78.7831</v>
      </c>
      <c r="I573" t="n">
        <v>32.1407</v>
      </c>
      <c r="J573" t="n">
        <v/>
      </c>
      <c r="K573" t="n">
        <v/>
      </c>
    </row>
    <row r="574">
      <c r="A574" s="98" t="n">
        <v>24351</v>
      </c>
      <c r="B574" t="n">
        <v>34.9259</v>
      </c>
      <c r="C574" t="n">
        <v>52.102</v>
      </c>
      <c r="D574" t="n">
        <v>15.0202</v>
      </c>
      <c r="E574" t="n">
        <v>46.3116</v>
      </c>
      <c r="F574" t="n">
        <v/>
      </c>
      <c r="G574" t="n">
        <v>32.804</v>
      </c>
      <c r="H574" t="n">
        <v>78.7831</v>
      </c>
      <c r="I574" t="n">
        <v>32.1153</v>
      </c>
      <c r="J574" t="n">
        <v/>
      </c>
      <c r="K574" t="n">
        <v/>
      </c>
    </row>
    <row r="575">
      <c r="A575" s="98" t="n">
        <v>24381</v>
      </c>
      <c r="B575" t="n">
        <v>35.1678</v>
      </c>
      <c r="C575" t="n">
        <v>52.147</v>
      </c>
      <c r="D575" t="n">
        <v>14.9713</v>
      </c>
      <c r="E575" t="n">
        <v>47.2804</v>
      </c>
      <c r="F575" t="n">
        <v/>
      </c>
      <c r="G575" t="n">
        <v>32.9504</v>
      </c>
      <c r="H575" t="n">
        <v>79.1266</v>
      </c>
      <c r="I575" t="n">
        <v>32.0645</v>
      </c>
      <c r="J575" t="n">
        <v/>
      </c>
      <c r="K575" t="n">
        <v/>
      </c>
    </row>
    <row r="576">
      <c r="A576" s="98" t="n">
        <v>24412</v>
      </c>
      <c r="B576" t="n">
        <v>34.9258</v>
      </c>
      <c r="C576" t="n">
        <v>52.1921</v>
      </c>
      <c r="D576" t="n">
        <v>14.756</v>
      </c>
      <c r="E576" t="n">
        <v>47.0479</v>
      </c>
      <c r="F576" t="n">
        <v/>
      </c>
      <c r="G576" t="n">
        <v>32.4623</v>
      </c>
      <c r="H576" t="n">
        <v>79.264</v>
      </c>
      <c r="I576" t="n">
        <v>32.3694</v>
      </c>
      <c r="J576" t="n">
        <v/>
      </c>
      <c r="K576" t="n">
        <v/>
      </c>
    </row>
    <row r="577">
      <c r="A577" s="98" t="n">
        <v>24442</v>
      </c>
      <c r="B577" t="n">
        <v>35.0065</v>
      </c>
      <c r="C577" t="n">
        <v>52.102</v>
      </c>
      <c r="D577" t="n">
        <v>14.9615</v>
      </c>
      <c r="E577" t="n">
        <v>46.9316</v>
      </c>
      <c r="F577" t="n">
        <v/>
      </c>
      <c r="G577" t="n">
        <v>32.4622</v>
      </c>
      <c r="H577" t="n">
        <v>79.8135</v>
      </c>
      <c r="I577" t="n">
        <v>32.3948</v>
      </c>
      <c r="J577" t="n">
        <v/>
      </c>
      <c r="K577" t="n">
        <v/>
      </c>
    </row>
    <row r="578">
      <c r="A578" s="98" t="n">
        <v>24473</v>
      </c>
      <c r="B578" t="n">
        <v>35.1716</v>
      </c>
      <c r="C578" t="n">
        <v>53.5375</v>
      </c>
      <c r="D578" t="n">
        <v>14.8562</v>
      </c>
      <c r="E578" t="n">
        <v>47.3572</v>
      </c>
      <c r="F578" t="n">
        <v/>
      </c>
      <c r="G578" t="n">
        <v>32.326</v>
      </c>
      <c r="H578" t="n">
        <v>79.72029999999999</v>
      </c>
      <c r="I578" t="n">
        <v>32.2791</v>
      </c>
      <c r="J578" t="n">
        <v>89.39019999999999</v>
      </c>
      <c r="K578" t="n">
        <v/>
      </c>
    </row>
    <row r="579">
      <c r="A579" s="98" t="n">
        <v>24504</v>
      </c>
      <c r="B579" t="n">
        <v>34.7727</v>
      </c>
      <c r="C579" t="n">
        <v>53.0246</v>
      </c>
      <c r="D579" t="n">
        <v>14.8745</v>
      </c>
      <c r="E579" t="n">
        <v>46.7202</v>
      </c>
      <c r="F579" t="n">
        <v/>
      </c>
      <c r="G579" t="n">
        <v>31.7113</v>
      </c>
      <c r="H579" t="n">
        <v>78.3892</v>
      </c>
      <c r="I579" t="n">
        <v>32.3665</v>
      </c>
      <c r="J579" t="n">
        <v>87.97499999999999</v>
      </c>
      <c r="K579" t="n">
        <v/>
      </c>
    </row>
    <row r="580">
      <c r="A580" s="98" t="n">
        <v>24532</v>
      </c>
      <c r="B580" t="n">
        <v>34.5767</v>
      </c>
      <c r="C580" t="n">
        <v>53.1227</v>
      </c>
      <c r="D580" t="n">
        <v>14.8496</v>
      </c>
      <c r="E580" t="n">
        <v>46.8702</v>
      </c>
      <c r="F580" t="n">
        <v/>
      </c>
      <c r="G580" t="n">
        <v>31.1247</v>
      </c>
      <c r="H580" t="n">
        <v>77.7516</v>
      </c>
      <c r="I580" t="n">
        <v>32.0851</v>
      </c>
      <c r="J580" t="n">
        <v>87.0835</v>
      </c>
      <c r="K580" t="n">
        <v/>
      </c>
    </row>
    <row r="581">
      <c r="A581" s="98" t="n">
        <v>24563</v>
      </c>
      <c r="B581" t="n">
        <v>34.9028</v>
      </c>
      <c r="C581" t="n">
        <v>52.9606</v>
      </c>
      <c r="D581" t="n">
        <v>14.8383</v>
      </c>
      <c r="E581" t="n">
        <v>47.6702</v>
      </c>
      <c r="F581" t="n">
        <v/>
      </c>
      <c r="G581" t="n">
        <v>31.4211</v>
      </c>
      <c r="H581" t="n">
        <v>78.1743</v>
      </c>
      <c r="I581" t="n">
        <v>33.4236</v>
      </c>
      <c r="J581" t="n">
        <v>87.5089</v>
      </c>
      <c r="K581" t="n">
        <v/>
      </c>
    </row>
    <row r="582">
      <c r="A582" s="98" t="n">
        <v>24593</v>
      </c>
      <c r="B582" t="n">
        <v>34.5983</v>
      </c>
      <c r="C582" t="n">
        <v>53.8038</v>
      </c>
      <c r="D582" t="n">
        <v>14.894</v>
      </c>
      <c r="E582" t="n">
        <v>46.7495</v>
      </c>
      <c r="F582" t="n">
        <v/>
      </c>
      <c r="G582" t="n">
        <v>31.0769</v>
      </c>
      <c r="H582" t="n">
        <v>76.9109</v>
      </c>
      <c r="I582" t="n">
        <v>33.082</v>
      </c>
      <c r="J582" t="n">
        <v>86.3566</v>
      </c>
      <c r="K582" t="n">
        <v/>
      </c>
    </row>
    <row r="583">
      <c r="A583" s="98" t="n">
        <v>24624</v>
      </c>
      <c r="B583" t="n">
        <v>34.594</v>
      </c>
      <c r="C583" t="n">
        <v>54.1053</v>
      </c>
      <c r="D583" t="n">
        <v>14.8134</v>
      </c>
      <c r="E583" t="n">
        <v>46.8896</v>
      </c>
      <c r="F583" t="n">
        <v/>
      </c>
      <c r="G583" t="n">
        <v>31.0127</v>
      </c>
      <c r="H583" t="n">
        <v>77.2514</v>
      </c>
      <c r="I583" t="n">
        <v>32.7771</v>
      </c>
      <c r="J583" t="n">
        <v>85.9603</v>
      </c>
      <c r="K583" t="n">
        <v/>
      </c>
    </row>
    <row r="584">
      <c r="A584" s="98" t="n">
        <v>24654</v>
      </c>
      <c r="B584" t="n">
        <v>34.5152</v>
      </c>
      <c r="C584" t="n">
        <v>54.3632</v>
      </c>
      <c r="D584" t="n">
        <v>14.5155</v>
      </c>
      <c r="E584" t="n">
        <v>46.8214</v>
      </c>
      <c r="F584" t="n">
        <v/>
      </c>
      <c r="G584" t="n">
        <v>31.0011</v>
      </c>
      <c r="H584" t="n">
        <v>79.67749999999999</v>
      </c>
      <c r="I584" t="n">
        <v>32.9431</v>
      </c>
      <c r="J584" t="n">
        <v>85.38330000000001</v>
      </c>
      <c r="K584" t="n">
        <v/>
      </c>
    </row>
    <row r="585">
      <c r="A585" s="98" t="n">
        <v>24685</v>
      </c>
      <c r="B585" t="n">
        <v>35.1765</v>
      </c>
      <c r="C585" t="n">
        <v>54.9119</v>
      </c>
      <c r="D585" t="n">
        <v>14.7833</v>
      </c>
      <c r="E585" t="n">
        <v>47.276</v>
      </c>
      <c r="F585" t="n">
        <v/>
      </c>
      <c r="G585" t="n">
        <v>31.923</v>
      </c>
      <c r="H585" t="n">
        <v>80.461</v>
      </c>
      <c r="I585" t="n">
        <v>32.4787</v>
      </c>
      <c r="J585" t="n">
        <v>86.6339</v>
      </c>
      <c r="K585" t="n">
        <v/>
      </c>
    </row>
    <row r="586">
      <c r="A586" s="98" t="n">
        <v>24716</v>
      </c>
      <c r="B586" t="n">
        <v>35.1194</v>
      </c>
      <c r="C586" t="n">
        <v>55.3727</v>
      </c>
      <c r="D586" t="n">
        <v>14.7076</v>
      </c>
      <c r="E586" t="n">
        <v>47.3692</v>
      </c>
      <c r="F586" t="n">
        <v/>
      </c>
      <c r="G586" t="n">
        <v>31.7151</v>
      </c>
      <c r="H586" t="n">
        <v>79.0849</v>
      </c>
      <c r="I586" t="n">
        <v>32.743</v>
      </c>
      <c r="J586" t="n">
        <v>86.1122</v>
      </c>
      <c r="K586" t="n">
        <v/>
      </c>
    </row>
    <row r="587">
      <c r="A587" s="98" t="n">
        <v>24746</v>
      </c>
      <c r="B587" t="n">
        <v>35.4054</v>
      </c>
      <c r="C587" t="n">
        <v>55.0758</v>
      </c>
      <c r="D587" t="n">
        <v>14.5856</v>
      </c>
      <c r="E587" t="n">
        <v>48.0039</v>
      </c>
      <c r="F587" t="n">
        <v/>
      </c>
      <c r="G587" t="n">
        <v>32.1156</v>
      </c>
      <c r="H587" t="n">
        <v>79.0192</v>
      </c>
      <c r="I587" t="n">
        <v>34.1343</v>
      </c>
      <c r="J587" t="n">
        <v>86.4325</v>
      </c>
      <c r="K587" t="n">
        <v/>
      </c>
    </row>
    <row r="588">
      <c r="A588" s="98" t="n">
        <v>24777</v>
      </c>
      <c r="B588" t="n">
        <v>35.9118</v>
      </c>
      <c r="C588" t="n">
        <v>55.4646</v>
      </c>
      <c r="D588" t="n">
        <v>14.9689</v>
      </c>
      <c r="E588" t="n">
        <v>49.0244</v>
      </c>
      <c r="F588" t="n">
        <v/>
      </c>
      <c r="G588" t="n">
        <v>32.4729</v>
      </c>
      <c r="H588" t="n">
        <v>78.6379</v>
      </c>
      <c r="I588" t="n">
        <v>34.1736</v>
      </c>
      <c r="J588" t="n">
        <v>87.2856</v>
      </c>
      <c r="K588" t="n">
        <v/>
      </c>
    </row>
    <row r="589">
      <c r="A589" s="98" t="n">
        <v>24807</v>
      </c>
      <c r="B589" t="n">
        <v>36.2985</v>
      </c>
      <c r="C589" t="n">
        <v>55.3994</v>
      </c>
      <c r="D589" t="n">
        <v>15.118</v>
      </c>
      <c r="E589" t="n">
        <v>49.825</v>
      </c>
      <c r="F589" t="n">
        <v/>
      </c>
      <c r="G589" t="n">
        <v>32.9004</v>
      </c>
      <c r="H589" t="n">
        <v>78.2757</v>
      </c>
      <c r="I589" t="n">
        <v>34.8575</v>
      </c>
      <c r="J589" t="n">
        <v>87.8417</v>
      </c>
      <c r="K589" t="n">
        <v/>
      </c>
    </row>
    <row r="590">
      <c r="A590" s="98" t="n">
        <v>24838</v>
      </c>
      <c r="B590" t="n">
        <v>36.2595</v>
      </c>
      <c r="C590" t="n">
        <v>55.7758</v>
      </c>
      <c r="D590" t="n">
        <v>15.184</v>
      </c>
      <c r="E590" t="n">
        <v>49.1558</v>
      </c>
      <c r="F590" t="n">
        <v/>
      </c>
      <c r="G590" t="n">
        <v>33.0449</v>
      </c>
      <c r="H590" t="n">
        <v>79.0891</v>
      </c>
      <c r="I590" t="n">
        <v>34.7156</v>
      </c>
      <c r="J590" t="n">
        <v>87.3848</v>
      </c>
      <c r="K590" t="n">
        <v/>
      </c>
    </row>
    <row r="591">
      <c r="A591" s="98" t="n">
        <v>24869</v>
      </c>
      <c r="B591" t="n">
        <v>36.3894</v>
      </c>
      <c r="C591" t="n">
        <v>56.341</v>
      </c>
      <c r="D591" t="n">
        <v>15.1978</v>
      </c>
      <c r="E591" t="n">
        <v>49.4184</v>
      </c>
      <c r="F591" t="n">
        <v/>
      </c>
      <c r="G591" t="n">
        <v>33.047</v>
      </c>
      <c r="H591" t="n">
        <v>80.2868</v>
      </c>
      <c r="I591" t="n">
        <v>34.5522</v>
      </c>
      <c r="J591" t="n">
        <v>87.3505</v>
      </c>
      <c r="K591" t="n">
        <v/>
      </c>
    </row>
    <row r="592">
      <c r="A592" s="98" t="n">
        <v>24898</v>
      </c>
      <c r="B592" t="n">
        <v>36.503</v>
      </c>
      <c r="C592" t="n">
        <v>56.451</v>
      </c>
      <c r="D592" t="n">
        <v>15.3295</v>
      </c>
      <c r="E592" t="n">
        <v>49.7119</v>
      </c>
      <c r="F592" t="n">
        <v/>
      </c>
      <c r="G592" t="n">
        <v>33.1733</v>
      </c>
      <c r="H592" t="n">
        <v>80.9849</v>
      </c>
      <c r="I592" t="n">
        <v>35.1331</v>
      </c>
      <c r="J592" t="n">
        <v>87.2771</v>
      </c>
      <c r="K592" t="n">
        <v/>
      </c>
    </row>
    <row r="593">
      <c r="A593" s="98" t="n">
        <v>24929</v>
      </c>
      <c r="B593" t="n">
        <v>36.5558</v>
      </c>
      <c r="C593" t="n">
        <v>56.7611</v>
      </c>
      <c r="D593" t="n">
        <v>15.2535</v>
      </c>
      <c r="E593" t="n">
        <v>49.6282</v>
      </c>
      <c r="F593" t="n">
        <v/>
      </c>
      <c r="G593" t="n">
        <v>33.4267</v>
      </c>
      <c r="H593" t="n">
        <v>81.54689999999999</v>
      </c>
      <c r="I593" t="n">
        <v>35.1411</v>
      </c>
      <c r="J593" t="n">
        <v>87.05970000000001</v>
      </c>
      <c r="K593" t="n">
        <v/>
      </c>
    </row>
    <row r="594">
      <c r="A594" s="98" t="n">
        <v>24959</v>
      </c>
      <c r="B594" t="n">
        <v>36.9659</v>
      </c>
      <c r="C594" t="n">
        <v>56.989</v>
      </c>
      <c r="D594" t="n">
        <v>15.4829</v>
      </c>
      <c r="E594" t="n">
        <v>49.8938</v>
      </c>
      <c r="F594" t="n">
        <v/>
      </c>
      <c r="G594" t="n">
        <v>33.9354</v>
      </c>
      <c r="H594" t="n">
        <v>81.8763</v>
      </c>
      <c r="I594" t="n">
        <v>35.5738</v>
      </c>
      <c r="J594" t="n">
        <v>87.6913</v>
      </c>
      <c r="K594" t="n">
        <v/>
      </c>
    </row>
    <row r="595">
      <c r="A595" s="98" t="n">
        <v>24990</v>
      </c>
      <c r="B595" t="n">
        <v>37.1017</v>
      </c>
      <c r="C595" t="n">
        <v>57.0181</v>
      </c>
      <c r="D595" t="n">
        <v>15.4479</v>
      </c>
      <c r="E595" t="n">
        <v>50.2007</v>
      </c>
      <c r="F595" t="n">
        <v/>
      </c>
      <c r="G595" t="n">
        <v>34.0724</v>
      </c>
      <c r="H595" t="n">
        <v>81.4905</v>
      </c>
      <c r="I595" t="n">
        <v>35.9631</v>
      </c>
      <c r="J595" t="n">
        <v>87.6699</v>
      </c>
      <c r="K595" t="n">
        <v/>
      </c>
    </row>
    <row r="596">
      <c r="A596" s="98" t="n">
        <v>25020</v>
      </c>
      <c r="B596" t="n">
        <v>37.0448</v>
      </c>
      <c r="C596" t="n">
        <v>57.0431</v>
      </c>
      <c r="D596" t="n">
        <v>15.2984</v>
      </c>
      <c r="E596" t="n">
        <v>50.0803</v>
      </c>
      <c r="F596" t="n">
        <v/>
      </c>
      <c r="G596" t="n">
        <v>34.1064</v>
      </c>
      <c r="H596" t="n">
        <v>82.9045</v>
      </c>
      <c r="I596" t="n">
        <v>35.5904</v>
      </c>
      <c r="J596" t="n">
        <v>87.19499999999999</v>
      </c>
      <c r="K596" t="n">
        <v/>
      </c>
    </row>
    <row r="597">
      <c r="A597" s="98" t="n">
        <v>25051</v>
      </c>
      <c r="B597" t="n">
        <v>37.1482</v>
      </c>
      <c r="C597" t="n">
        <v>57.3327</v>
      </c>
      <c r="D597" t="n">
        <v>15.4351</v>
      </c>
      <c r="E597" t="n">
        <v>50.6787</v>
      </c>
      <c r="F597" t="n">
        <v/>
      </c>
      <c r="G597" t="n">
        <v>33.851</v>
      </c>
      <c r="H597" t="n">
        <v>82.6182</v>
      </c>
      <c r="I597" t="n">
        <v>35.8756</v>
      </c>
      <c r="J597" t="n">
        <v>87.0996</v>
      </c>
      <c r="K597" t="n">
        <v/>
      </c>
    </row>
    <row r="598">
      <c r="A598" s="98" t="n">
        <v>25082</v>
      </c>
      <c r="B598" t="n">
        <v>37.2889</v>
      </c>
      <c r="C598" t="n">
        <v>56.8771</v>
      </c>
      <c r="D598" t="n">
        <v>15.601</v>
      </c>
      <c r="E598" t="n">
        <v>50.8802</v>
      </c>
      <c r="F598" t="n">
        <v/>
      </c>
      <c r="G598" t="n">
        <v>33.9897</v>
      </c>
      <c r="H598" t="n">
        <v>82.36199999999999</v>
      </c>
      <c r="I598" t="n">
        <v>36.4278</v>
      </c>
      <c r="J598" t="n">
        <v>87.0921</v>
      </c>
      <c r="K598" t="n">
        <v/>
      </c>
    </row>
    <row r="599">
      <c r="A599" s="98" t="n">
        <v>25112</v>
      </c>
      <c r="B599" t="n">
        <v>37.3629</v>
      </c>
      <c r="C599" t="n">
        <v>56.843</v>
      </c>
      <c r="D599" t="n">
        <v>15.7351</v>
      </c>
      <c r="E599" t="n">
        <v>51.2018</v>
      </c>
      <c r="F599" t="n">
        <v/>
      </c>
      <c r="G599" t="n">
        <v>34.0294</v>
      </c>
      <c r="H599" t="n">
        <v>80.2634</v>
      </c>
      <c r="I599" t="n">
        <v>36.3951</v>
      </c>
      <c r="J599" t="n">
        <v>86.9294</v>
      </c>
      <c r="K599" t="n">
        <v/>
      </c>
    </row>
    <row r="600">
      <c r="A600" s="98" t="n">
        <v>25143</v>
      </c>
      <c r="B600" t="n">
        <v>37.8462</v>
      </c>
      <c r="C600" t="n">
        <v>58.1843</v>
      </c>
      <c r="D600" t="n">
        <v>15.7464</v>
      </c>
      <c r="E600" t="n">
        <v>51.8689</v>
      </c>
      <c r="F600" t="n">
        <v/>
      </c>
      <c r="G600" t="n">
        <v>34.5731</v>
      </c>
      <c r="H600" t="n">
        <v>82.4699</v>
      </c>
      <c r="I600" t="n">
        <v>36.6196</v>
      </c>
      <c r="J600" t="n">
        <v>87.7166</v>
      </c>
      <c r="K600" t="n">
        <v/>
      </c>
    </row>
    <row r="601">
      <c r="A601" s="98" t="n">
        <v>25173</v>
      </c>
      <c r="B601" t="n">
        <v>37.9657</v>
      </c>
      <c r="C601" t="n">
        <v>59.257</v>
      </c>
      <c r="D601" t="n">
        <v>15.9123</v>
      </c>
      <c r="E601" t="n">
        <v>51.5805</v>
      </c>
      <c r="F601" t="n">
        <v/>
      </c>
      <c r="G601" t="n">
        <v>34.7537</v>
      </c>
      <c r="H601" t="n">
        <v>82.75279999999999</v>
      </c>
      <c r="I601" t="n">
        <v>37.8998</v>
      </c>
      <c r="J601" t="n">
        <v>87.65779999999999</v>
      </c>
      <c r="K601" t="n">
        <v/>
      </c>
    </row>
    <row r="602">
      <c r="A602" s="98" t="n">
        <v>25204</v>
      </c>
      <c r="B602" t="n">
        <v>38.1954</v>
      </c>
      <c r="C602" t="n">
        <v>59.6415</v>
      </c>
      <c r="D602" t="n">
        <v>16.1345</v>
      </c>
      <c r="E602" t="n">
        <v>51.8553</v>
      </c>
      <c r="F602" t="n">
        <v/>
      </c>
      <c r="G602" t="n">
        <v>34.9245</v>
      </c>
      <c r="H602" t="n">
        <v>83.1712</v>
      </c>
      <c r="I602" t="n">
        <v>37.656</v>
      </c>
      <c r="J602" t="n">
        <v>87.8613</v>
      </c>
      <c r="K602" t="n">
        <v/>
      </c>
    </row>
    <row r="603">
      <c r="A603" s="98" t="n">
        <v>25235</v>
      </c>
      <c r="B603" t="n">
        <v>38.4398</v>
      </c>
      <c r="C603" t="n">
        <v>60.209</v>
      </c>
      <c r="D603" t="n">
        <v>16.128</v>
      </c>
      <c r="E603" t="n">
        <v>52.2804</v>
      </c>
      <c r="F603" t="n">
        <v/>
      </c>
      <c r="G603" t="n">
        <v>35.3004</v>
      </c>
      <c r="H603" t="n">
        <v>82.797</v>
      </c>
      <c r="I603" t="n">
        <v>37.917</v>
      </c>
      <c r="J603" t="n">
        <v>88.1061</v>
      </c>
      <c r="K603" t="n">
        <v/>
      </c>
    </row>
    <row r="604">
      <c r="A604" s="98" t="n">
        <v>25263</v>
      </c>
      <c r="B604" t="n">
        <v>38.7412</v>
      </c>
      <c r="C604" t="n">
        <v>60.4275</v>
      </c>
      <c r="D604" t="n">
        <v>16.2881</v>
      </c>
      <c r="E604" t="n">
        <v>52.6462</v>
      </c>
      <c r="F604" t="n">
        <v/>
      </c>
      <c r="G604" t="n">
        <v>35.4661</v>
      </c>
      <c r="H604" t="n">
        <v>83.21429999999999</v>
      </c>
      <c r="I604" t="n">
        <v>38.3358</v>
      </c>
      <c r="J604" t="n">
        <v>88.4789</v>
      </c>
      <c r="K604" t="n">
        <v/>
      </c>
    </row>
    <row r="605">
      <c r="A605" s="98" t="n">
        <v>25294</v>
      </c>
      <c r="B605" t="n">
        <v>38.5987</v>
      </c>
      <c r="C605" t="n">
        <v>59.8592</v>
      </c>
      <c r="D605" t="n">
        <v>16.4557</v>
      </c>
      <c r="E605" t="n">
        <v>51.8686</v>
      </c>
      <c r="F605" t="n">
        <v/>
      </c>
      <c r="G605" t="n">
        <v>35.5689</v>
      </c>
      <c r="H605" t="n">
        <v>83.38330000000001</v>
      </c>
      <c r="I605" t="n">
        <v>38.1416</v>
      </c>
      <c r="J605" t="n">
        <v>87.8387</v>
      </c>
      <c r="K605" t="n">
        <v/>
      </c>
    </row>
    <row r="606">
      <c r="A606" s="98" t="n">
        <v>25324</v>
      </c>
      <c r="B606" t="n">
        <v>38.4528</v>
      </c>
      <c r="C606" t="n">
        <v>59.467</v>
      </c>
      <c r="D606" t="n">
        <v>16.3455</v>
      </c>
      <c r="E606" t="n">
        <v>51.4814</v>
      </c>
      <c r="F606" t="n">
        <v/>
      </c>
      <c r="G606" t="n">
        <v>35.4848</v>
      </c>
      <c r="H606" t="n">
        <v>84.13800000000001</v>
      </c>
      <c r="I606" t="n">
        <v>38.1687</v>
      </c>
      <c r="J606" t="n">
        <v>87.19540000000001</v>
      </c>
      <c r="K606" t="n">
        <v/>
      </c>
    </row>
    <row r="607">
      <c r="A607" s="98" t="n">
        <v>25355</v>
      </c>
      <c r="B607" t="n">
        <v>38.8285</v>
      </c>
      <c r="C607" t="n">
        <v>59.7832</v>
      </c>
      <c r="D607" t="n">
        <v>16.51</v>
      </c>
      <c r="E607" t="n">
        <v>52.0756</v>
      </c>
      <c r="F607" t="n">
        <v/>
      </c>
      <c r="G607" t="n">
        <v>35.9603</v>
      </c>
      <c r="H607" t="n">
        <v>86.4139</v>
      </c>
      <c r="I607" t="n">
        <v>38.8869</v>
      </c>
      <c r="J607" t="n">
        <v>87.73520000000001</v>
      </c>
      <c r="K607" t="n">
        <v/>
      </c>
    </row>
    <row r="608">
      <c r="A608" s="98" t="n">
        <v>25385</v>
      </c>
      <c r="B608" t="n">
        <v>39.0334</v>
      </c>
      <c r="C608" t="n">
        <v>59.2572</v>
      </c>
      <c r="D608" t="n">
        <v>16.6774</v>
      </c>
      <c r="E608" t="n">
        <v>52.9856</v>
      </c>
      <c r="F608" t="n">
        <v/>
      </c>
      <c r="G608" t="n">
        <v>35.9771</v>
      </c>
      <c r="H608" t="n">
        <v>84.4235</v>
      </c>
      <c r="I608" t="n">
        <v>39.5023</v>
      </c>
      <c r="J608" t="n">
        <v>87.88679999999999</v>
      </c>
      <c r="K608" t="n">
        <v/>
      </c>
    </row>
    <row r="609">
      <c r="A609" s="98" t="n">
        <v>25416</v>
      </c>
      <c r="B609" t="n">
        <v>39.1231</v>
      </c>
      <c r="C609" t="n">
        <v>59.1926</v>
      </c>
      <c r="D609" t="n">
        <v>16.6117</v>
      </c>
      <c r="E609" t="n">
        <v>52.8908</v>
      </c>
      <c r="F609" t="n">
        <v/>
      </c>
      <c r="G609" t="n">
        <v>36.3452</v>
      </c>
      <c r="H609" t="n">
        <v>84.69370000000001</v>
      </c>
      <c r="I609" t="n">
        <v>39.6989</v>
      </c>
      <c r="J609" t="n">
        <v>87.7786</v>
      </c>
      <c r="K609" t="n">
        <v/>
      </c>
    </row>
    <row r="610">
      <c r="A610" s="98" t="n">
        <v>25447</v>
      </c>
      <c r="B610" t="n">
        <v>39.1143</v>
      </c>
      <c r="C610" t="n">
        <v>59.2057</v>
      </c>
      <c r="D610" t="n">
        <v>16.7762</v>
      </c>
      <c r="E610" t="n">
        <v>52.4898</v>
      </c>
      <c r="F610" t="n">
        <v/>
      </c>
      <c r="G610" t="n">
        <v>36.4403</v>
      </c>
      <c r="H610" t="n">
        <v>85.5317</v>
      </c>
      <c r="I610" t="n">
        <v>39.2829</v>
      </c>
      <c r="J610" t="n">
        <v>87.45099999999999</v>
      </c>
      <c r="K610" t="n">
        <v/>
      </c>
    </row>
    <row r="611">
      <c r="A611" s="98" t="n">
        <v>25477</v>
      </c>
      <c r="B611" t="n">
        <v>39.1258</v>
      </c>
      <c r="C611" t="n">
        <v>59.4132</v>
      </c>
      <c r="D611" t="n">
        <v>16.8243</v>
      </c>
      <c r="E611" t="n">
        <v>52.5121</v>
      </c>
      <c r="F611" t="n">
        <v/>
      </c>
      <c r="G611" t="n">
        <v>36.4331</v>
      </c>
      <c r="H611" t="n">
        <v>85.9661</v>
      </c>
      <c r="I611" t="n">
        <v>39.5779</v>
      </c>
      <c r="J611" t="n">
        <v>87.1707</v>
      </c>
      <c r="K611" t="n">
        <v/>
      </c>
    </row>
    <row r="612">
      <c r="A612" s="98" t="n">
        <v>25508</v>
      </c>
      <c r="B612" t="n">
        <v>38.757</v>
      </c>
      <c r="C612" t="n">
        <v>59.0472</v>
      </c>
      <c r="D612" t="n">
        <v>16.4388</v>
      </c>
      <c r="E612" t="n">
        <v>52.0556</v>
      </c>
      <c r="F612" t="n">
        <v/>
      </c>
      <c r="G612" t="n">
        <v>36.2414</v>
      </c>
      <c r="H612" t="n">
        <v>86.34910000000001</v>
      </c>
      <c r="I612" t="n">
        <v>40.1645</v>
      </c>
      <c r="J612" t="n">
        <v>86.04819999999999</v>
      </c>
      <c r="K612" t="n">
        <v/>
      </c>
    </row>
    <row r="613">
      <c r="A613" s="98" t="n">
        <v>25538</v>
      </c>
      <c r="B613" t="n">
        <v>38.653</v>
      </c>
      <c r="C613" t="n">
        <v>58.7238</v>
      </c>
      <c r="D613" t="n">
        <v>16.3778</v>
      </c>
      <c r="E613" t="n">
        <v>52.1256</v>
      </c>
      <c r="F613" t="n">
        <v/>
      </c>
      <c r="G613" t="n">
        <v>36.0288</v>
      </c>
      <c r="H613" t="n">
        <v>87.6152</v>
      </c>
      <c r="I613" t="n">
        <v>40.1592</v>
      </c>
      <c r="J613" t="n">
        <v>85.5192</v>
      </c>
      <c r="K613" t="n">
        <v/>
      </c>
    </row>
    <row r="614">
      <c r="A614" s="98" t="n">
        <v>25569</v>
      </c>
      <c r="B614" t="n">
        <v>37.9372</v>
      </c>
      <c r="C614" t="n">
        <v>56.8847</v>
      </c>
      <c r="D614" t="n">
        <v>16.1495</v>
      </c>
      <c r="E614" t="n">
        <v>51.2515</v>
      </c>
      <c r="F614" t="n">
        <v/>
      </c>
      <c r="G614" t="n">
        <v>35.2009</v>
      </c>
      <c r="H614" t="n">
        <v>87.015</v>
      </c>
      <c r="I614" t="n">
        <v>40.2359</v>
      </c>
      <c r="J614" t="n">
        <v>83.65860000000001</v>
      </c>
      <c r="K614" t="n">
        <v/>
      </c>
    </row>
    <row r="615">
      <c r="A615" s="98" t="n">
        <v>25600</v>
      </c>
      <c r="B615" t="n">
        <v>37.9122</v>
      </c>
      <c r="C615" t="n">
        <v>56.6809</v>
      </c>
      <c r="D615" t="n">
        <v>16.218</v>
      </c>
      <c r="E615" t="n">
        <v>51.7574</v>
      </c>
      <c r="F615" t="n">
        <v/>
      </c>
      <c r="G615" t="n">
        <v>35.003</v>
      </c>
      <c r="H615" t="n">
        <v>86.0864</v>
      </c>
      <c r="I615" t="n">
        <v>40.2248</v>
      </c>
      <c r="J615" t="n">
        <v>83.34220000000001</v>
      </c>
      <c r="K615" t="n">
        <v/>
      </c>
    </row>
    <row r="616">
      <c r="A616" s="98" t="n">
        <v>25628</v>
      </c>
      <c r="B616" t="n">
        <v>37.863</v>
      </c>
      <c r="C616" t="n">
        <v>57.1793</v>
      </c>
      <c r="D616" t="n">
        <v>16.2508</v>
      </c>
      <c r="E616" t="n">
        <v>51.6954</v>
      </c>
      <c r="F616" t="n">
        <v/>
      </c>
      <c r="G616" t="n">
        <v>34.9208</v>
      </c>
      <c r="H616" t="n">
        <v>86.2086</v>
      </c>
      <c r="I616" t="n">
        <v>40.7579</v>
      </c>
      <c r="J616" t="n">
        <v>82.9743</v>
      </c>
      <c r="K616" t="n">
        <v/>
      </c>
    </row>
    <row r="617">
      <c r="A617" s="98" t="n">
        <v>25659</v>
      </c>
      <c r="B617" t="n">
        <v>37.7656</v>
      </c>
      <c r="C617" t="n">
        <v>57.7686</v>
      </c>
      <c r="D617" t="n">
        <v>16.2433</v>
      </c>
      <c r="E617" t="n">
        <v>51.9048</v>
      </c>
      <c r="F617" t="n">
        <v/>
      </c>
      <c r="G617" t="n">
        <v>34.6793</v>
      </c>
      <c r="H617" t="n">
        <v>85.92619999999999</v>
      </c>
      <c r="I617" t="n">
        <v>40.9943</v>
      </c>
      <c r="J617" t="n">
        <v>82.50369999999999</v>
      </c>
      <c r="K617" t="n">
        <v/>
      </c>
    </row>
    <row r="618">
      <c r="A618" s="98" t="n">
        <v>25689</v>
      </c>
      <c r="B618" t="n">
        <v>37.7216</v>
      </c>
      <c r="C618" t="n">
        <v>57.8197</v>
      </c>
      <c r="D618" t="n">
        <v>16.2268</v>
      </c>
      <c r="E618" t="n">
        <v>52.1865</v>
      </c>
      <c r="F618" t="n">
        <v/>
      </c>
      <c r="G618" t="n">
        <v>34.5644</v>
      </c>
      <c r="H618" t="n">
        <v>85.7098</v>
      </c>
      <c r="I618" t="n">
        <v>41.7576</v>
      </c>
      <c r="J618" t="n">
        <v>82.152</v>
      </c>
      <c r="K618" t="n">
        <v/>
      </c>
    </row>
    <row r="619">
      <c r="A619" s="98" t="n">
        <v>25720</v>
      </c>
      <c r="B619" t="n">
        <v>37.5996</v>
      </c>
      <c r="C619" t="n">
        <v>57.5756</v>
      </c>
      <c r="D619" t="n">
        <v>16.1283</v>
      </c>
      <c r="E619" t="n">
        <v>52.3172</v>
      </c>
      <c r="F619" t="n">
        <v/>
      </c>
      <c r="G619" t="n">
        <v>34.4088</v>
      </c>
      <c r="H619" t="n">
        <v>85.4919</v>
      </c>
      <c r="I619" t="n">
        <v>40.9232</v>
      </c>
      <c r="J619" t="n">
        <v>81.63330000000001</v>
      </c>
      <c r="K619" t="n">
        <v/>
      </c>
    </row>
    <row r="620">
      <c r="A620" s="98" t="n">
        <v>25750</v>
      </c>
      <c r="B620" t="n">
        <v>37.6919</v>
      </c>
      <c r="C620" t="n">
        <v>58.2384</v>
      </c>
      <c r="D620" t="n">
        <v>16.0864</v>
      </c>
      <c r="E620" t="n">
        <v>52.4427</v>
      </c>
      <c r="F620" t="n">
        <v/>
      </c>
      <c r="G620" t="n">
        <v>34.5817</v>
      </c>
      <c r="H620" t="n">
        <v>84.6634</v>
      </c>
      <c r="I620" t="n">
        <v>41.5406</v>
      </c>
      <c r="J620" t="n">
        <v>81.58150000000001</v>
      </c>
      <c r="K620" t="n">
        <v/>
      </c>
    </row>
    <row r="621">
      <c r="A621" s="98" t="n">
        <v>25781</v>
      </c>
      <c r="B621" t="n">
        <v>37.6247</v>
      </c>
      <c r="C621" t="n">
        <v>57.989</v>
      </c>
      <c r="D621" t="n">
        <v>16.0422</v>
      </c>
      <c r="E621" t="n">
        <v>51.5503</v>
      </c>
      <c r="F621" t="n">
        <v/>
      </c>
      <c r="G621" t="n">
        <v>35.0001</v>
      </c>
      <c r="H621" t="n">
        <v>87.0913</v>
      </c>
      <c r="I621" t="n">
        <v>42.0899</v>
      </c>
      <c r="J621" t="n">
        <v>81.1858</v>
      </c>
      <c r="K621" t="n">
        <v/>
      </c>
    </row>
    <row r="622">
      <c r="A622" s="98" t="n">
        <v>25812</v>
      </c>
      <c r="B622" t="n">
        <v>37.3654</v>
      </c>
      <c r="C622" t="n">
        <v>57.8537</v>
      </c>
      <c r="D622" t="n">
        <v>15.6998</v>
      </c>
      <c r="E622" t="n">
        <v>51.3543</v>
      </c>
      <c r="F622" t="n">
        <v/>
      </c>
      <c r="G622" t="n">
        <v>34.7587</v>
      </c>
      <c r="H622" t="n">
        <v>87.9967</v>
      </c>
      <c r="I622" t="n">
        <v>42.3361</v>
      </c>
      <c r="J622" t="n">
        <v>80.3792</v>
      </c>
      <c r="K622" t="n">
        <v/>
      </c>
    </row>
    <row r="623">
      <c r="A623" s="98" t="n">
        <v>25842</v>
      </c>
      <c r="B623" t="n">
        <v>36.6179</v>
      </c>
      <c r="C623" t="n">
        <v>57.2691</v>
      </c>
      <c r="D623" t="n">
        <v>15.1861</v>
      </c>
      <c r="E623" t="n">
        <v>50.7225</v>
      </c>
      <c r="F623" t="n">
        <v/>
      </c>
      <c r="G623" t="n">
        <v>33.8412</v>
      </c>
      <c r="H623" t="n">
        <v>89.5508</v>
      </c>
      <c r="I623" t="n">
        <v>41.7047</v>
      </c>
      <c r="J623" t="n">
        <v>78.5307</v>
      </c>
      <c r="K623" t="n">
        <v/>
      </c>
    </row>
    <row r="624">
      <c r="A624" s="98" t="n">
        <v>25873</v>
      </c>
      <c r="B624" t="n">
        <v>36.3961</v>
      </c>
      <c r="C624" t="n">
        <v>56.5649</v>
      </c>
      <c r="D624" t="n">
        <v>15.1017</v>
      </c>
      <c r="E624" t="n">
        <v>50.3839</v>
      </c>
      <c r="F624" t="n">
        <v/>
      </c>
      <c r="G624" t="n">
        <v>33.6386</v>
      </c>
      <c r="H624" t="n">
        <v>89.5949</v>
      </c>
      <c r="I624" t="n">
        <v>41.8844</v>
      </c>
      <c r="J624" t="n">
        <v>77.81740000000001</v>
      </c>
      <c r="K624" t="n">
        <v/>
      </c>
    </row>
    <row r="625">
      <c r="A625" s="98" t="n">
        <v>25903</v>
      </c>
      <c r="B625" t="n">
        <v>37.232</v>
      </c>
      <c r="C625" t="n">
        <v>57.1892</v>
      </c>
      <c r="D625" t="n">
        <v>15.2945</v>
      </c>
      <c r="E625" t="n">
        <v>52.5546</v>
      </c>
      <c r="F625" t="n">
        <v/>
      </c>
      <c r="G625" t="n">
        <v>34.3999</v>
      </c>
      <c r="H625" t="n">
        <v>89.0515</v>
      </c>
      <c r="I625" t="n">
        <v>41.8382</v>
      </c>
      <c r="J625" t="n">
        <v>79.36279999999999</v>
      </c>
      <c r="K625" t="n">
        <v/>
      </c>
    </row>
    <row r="626">
      <c r="A626" s="98" t="n">
        <v>25934</v>
      </c>
      <c r="B626" t="n">
        <v>37.5184</v>
      </c>
      <c r="C626" t="n">
        <v>57.2429</v>
      </c>
      <c r="D626" t="n">
        <v>14.96</v>
      </c>
      <c r="E626" t="n">
        <v>53.3397</v>
      </c>
      <c r="F626" t="n">
        <v/>
      </c>
      <c r="G626" t="n">
        <v>34.8801</v>
      </c>
      <c r="H626" t="n">
        <v>87.6677</v>
      </c>
      <c r="I626" t="n">
        <v>42.8803</v>
      </c>
      <c r="J626" t="n">
        <v>79.7501</v>
      </c>
      <c r="K626" t="n">
        <v/>
      </c>
    </row>
    <row r="627">
      <c r="A627" s="98" t="n">
        <v>25965</v>
      </c>
      <c r="B627" t="n">
        <v>37.4469</v>
      </c>
      <c r="C627" t="n">
        <v>57.6154</v>
      </c>
      <c r="D627" t="n">
        <v>15.0432</v>
      </c>
      <c r="E627" t="n">
        <v>53.3098</v>
      </c>
      <c r="F627" t="n">
        <v/>
      </c>
      <c r="G627" t="n">
        <v>34.6734</v>
      </c>
      <c r="H627" t="n">
        <v>86.14409999999999</v>
      </c>
      <c r="I627" t="n">
        <v>42.6211</v>
      </c>
      <c r="J627" t="n">
        <v>79.39579999999999</v>
      </c>
      <c r="K627" t="n">
        <v/>
      </c>
    </row>
    <row r="628">
      <c r="A628" s="98" t="n">
        <v>25993</v>
      </c>
      <c r="B628" t="n">
        <v>37.4063</v>
      </c>
      <c r="C628" t="n">
        <v>57.3924</v>
      </c>
      <c r="D628" t="n">
        <v>14.8924</v>
      </c>
      <c r="E628" t="n">
        <v>53.4619</v>
      </c>
      <c r="F628" t="n">
        <v/>
      </c>
      <c r="G628" t="n">
        <v>34.7396</v>
      </c>
      <c r="H628" t="n">
        <v>86.45829999999999</v>
      </c>
      <c r="I628" t="n">
        <v>42.9828</v>
      </c>
      <c r="J628" t="n">
        <v>79.1084</v>
      </c>
      <c r="K628" t="n">
        <v/>
      </c>
    </row>
    <row r="629">
      <c r="A629" s="98" t="n">
        <v>26024</v>
      </c>
      <c r="B629" t="n">
        <v>37.6164</v>
      </c>
      <c r="C629" t="n">
        <v>57.9279</v>
      </c>
      <c r="D629" t="n">
        <v>14.8035</v>
      </c>
      <c r="E629" t="n">
        <v>53.8997</v>
      </c>
      <c r="F629" t="n">
        <v/>
      </c>
      <c r="G629" t="n">
        <v>34.9693</v>
      </c>
      <c r="H629" t="n">
        <v>86.68640000000001</v>
      </c>
      <c r="I629" t="n">
        <v>43.1251</v>
      </c>
      <c r="J629" t="n">
        <v>79.35120000000001</v>
      </c>
      <c r="K629" t="n">
        <v/>
      </c>
    </row>
    <row r="630">
      <c r="A630" s="98" t="n">
        <v>26054</v>
      </c>
      <c r="B630" t="n">
        <v>37.8073</v>
      </c>
      <c r="C630" t="n">
        <v>58.1999</v>
      </c>
      <c r="D630" t="n">
        <v>14.702</v>
      </c>
      <c r="E630" t="n">
        <v>53.9464</v>
      </c>
      <c r="F630" t="n">
        <v/>
      </c>
      <c r="G630" t="n">
        <v>35.3811</v>
      </c>
      <c r="H630" t="n">
        <v>86.5022</v>
      </c>
      <c r="I630" t="n">
        <v>43.4978</v>
      </c>
      <c r="J630" t="n">
        <v>79.5523</v>
      </c>
      <c r="K630" t="n">
        <v/>
      </c>
    </row>
    <row r="631">
      <c r="A631" s="98" t="n">
        <v>26085</v>
      </c>
      <c r="B631" t="n">
        <v>37.9658</v>
      </c>
      <c r="C631" t="n">
        <v>58.8537</v>
      </c>
      <c r="D631" t="n">
        <v>14.7753</v>
      </c>
      <c r="E631" t="n">
        <v>54.3467</v>
      </c>
      <c r="F631" t="n">
        <v/>
      </c>
      <c r="G631" t="n">
        <v>35.5401</v>
      </c>
      <c r="H631" t="n">
        <v>86.2501</v>
      </c>
      <c r="I631" t="n">
        <v>43.8438</v>
      </c>
      <c r="J631" t="n">
        <v>79.6846</v>
      </c>
      <c r="K631" t="n">
        <v/>
      </c>
    </row>
    <row r="632">
      <c r="A632" s="98" t="n">
        <v>26115</v>
      </c>
      <c r="B632" t="n">
        <v>37.8556</v>
      </c>
      <c r="C632" t="n">
        <v>59.3727</v>
      </c>
      <c r="D632" t="n">
        <v>14.7994</v>
      </c>
      <c r="E632" t="n">
        <v>55.1877</v>
      </c>
      <c r="F632" t="n">
        <v/>
      </c>
      <c r="G632" t="n">
        <v>34.6825</v>
      </c>
      <c r="H632" t="n">
        <v>83.4504</v>
      </c>
      <c r="I632" t="n">
        <v>43.6392</v>
      </c>
      <c r="J632" t="n">
        <v>79.2535</v>
      </c>
      <c r="K632" t="n">
        <v/>
      </c>
    </row>
    <row r="633">
      <c r="A633" s="98" t="n">
        <v>26146</v>
      </c>
      <c r="B633" t="n">
        <v>37.6359</v>
      </c>
      <c r="C633" t="n">
        <v>58.3374</v>
      </c>
      <c r="D633" t="n">
        <v>15.0249</v>
      </c>
      <c r="E633" t="n">
        <v>54.5561</v>
      </c>
      <c r="F633" t="n">
        <v/>
      </c>
      <c r="G633" t="n">
        <v>34.4784</v>
      </c>
      <c r="H633" t="n">
        <v>85.2376</v>
      </c>
      <c r="I633" t="n">
        <v>43.274</v>
      </c>
      <c r="J633" t="n">
        <v>78.5958</v>
      </c>
      <c r="K633" t="n">
        <v/>
      </c>
    </row>
    <row r="634">
      <c r="A634" s="98" t="n">
        <v>26177</v>
      </c>
      <c r="B634" t="n">
        <v>38.2476</v>
      </c>
      <c r="C634" t="n">
        <v>60.5065</v>
      </c>
      <c r="D634" t="n">
        <v>15.3703</v>
      </c>
      <c r="E634" t="n">
        <v>55.0589</v>
      </c>
      <c r="F634" t="n">
        <v/>
      </c>
      <c r="G634" t="n">
        <v>35.1382</v>
      </c>
      <c r="H634" t="n">
        <v>84.6829</v>
      </c>
      <c r="I634" t="n">
        <v>43.5256</v>
      </c>
      <c r="J634" t="n">
        <v>79.6734</v>
      </c>
      <c r="K634" t="n">
        <v/>
      </c>
    </row>
    <row r="635">
      <c r="A635" s="98" t="n">
        <v>26207</v>
      </c>
      <c r="B635" t="n">
        <v>38.5339</v>
      </c>
      <c r="C635" t="n">
        <v>61.3519</v>
      </c>
      <c r="D635" t="n">
        <v>15.5208</v>
      </c>
      <c r="E635" t="n">
        <v>55.8037</v>
      </c>
      <c r="F635" t="n">
        <v/>
      </c>
      <c r="G635" t="n">
        <v>35.2432</v>
      </c>
      <c r="H635" t="n">
        <v>77.6056</v>
      </c>
      <c r="I635" t="n">
        <v>44.1528</v>
      </c>
      <c r="J635" t="n">
        <v>80.0694</v>
      </c>
      <c r="K635" t="n">
        <v/>
      </c>
    </row>
    <row r="636">
      <c r="A636" s="98" t="n">
        <v>26238</v>
      </c>
      <c r="B636" t="n">
        <v>38.6974</v>
      </c>
      <c r="C636" t="n">
        <v>61.5442</v>
      </c>
      <c r="D636" t="n">
        <v>15.5916</v>
      </c>
      <c r="E636" t="n">
        <v>56.2476</v>
      </c>
      <c r="F636" t="n">
        <v/>
      </c>
      <c r="G636" t="n">
        <v>35.3027</v>
      </c>
      <c r="H636" t="n">
        <v>80.71810000000001</v>
      </c>
      <c r="I636" t="n">
        <v>43.5253</v>
      </c>
      <c r="J636" t="n">
        <v>80.209</v>
      </c>
      <c r="K636" t="n">
        <v/>
      </c>
    </row>
    <row r="637">
      <c r="A637" s="98" t="n">
        <v>26268</v>
      </c>
      <c r="B637" t="n">
        <v>39.1441</v>
      </c>
      <c r="C637" t="n">
        <v>62.5966</v>
      </c>
      <c r="D637" t="n">
        <v>15.679</v>
      </c>
      <c r="E637" t="n">
        <v>56.6263</v>
      </c>
      <c r="F637" t="n">
        <v/>
      </c>
      <c r="G637" t="n">
        <v>36.0289</v>
      </c>
      <c r="H637" t="n">
        <v>86.0823</v>
      </c>
      <c r="I637" t="n">
        <v>43.2767</v>
      </c>
      <c r="J637" t="n">
        <v>80.9333</v>
      </c>
      <c r="K637" t="n">
        <v/>
      </c>
    </row>
    <row r="638">
      <c r="A638" s="98" t="n">
        <v>26299</v>
      </c>
      <c r="B638" t="n">
        <v>40.0823</v>
      </c>
      <c r="C638" t="n">
        <v>64.2957</v>
      </c>
      <c r="D638" t="n">
        <v>16.1826</v>
      </c>
      <c r="E638" t="n">
        <v>57.4783</v>
      </c>
      <c r="F638" t="n">
        <v>35.9488</v>
      </c>
      <c r="G638" t="n">
        <v>37.1483</v>
      </c>
      <c r="H638" t="n">
        <v>86.3942</v>
      </c>
      <c r="I638" t="n">
        <v>44.0744</v>
      </c>
      <c r="J638" t="n">
        <v>82.6639</v>
      </c>
      <c r="K638" t="n">
        <v/>
      </c>
    </row>
    <row r="639">
      <c r="A639" s="98" t="n">
        <v>26330</v>
      </c>
      <c r="B639" t="n">
        <v>40.485</v>
      </c>
      <c r="C639" t="n">
        <v>64.5723</v>
      </c>
      <c r="D639" t="n">
        <v>16.4452</v>
      </c>
      <c r="E639" t="n">
        <v>57.8309</v>
      </c>
      <c r="F639" t="n">
        <v>36.2194</v>
      </c>
      <c r="G639" t="n">
        <v>37.5507</v>
      </c>
      <c r="H639" t="n">
        <v>85.47799999999999</v>
      </c>
      <c r="I639" t="n">
        <v>46.1392</v>
      </c>
      <c r="J639" t="n">
        <v>83.2993</v>
      </c>
      <c r="K639" t="n">
        <v/>
      </c>
    </row>
    <row r="640">
      <c r="A640" s="98" t="n">
        <v>26359</v>
      </c>
      <c r="B640" t="n">
        <v>40.7718</v>
      </c>
      <c r="C640" t="n">
        <v>65.06319999999999</v>
      </c>
      <c r="D640" t="n">
        <v>16.6477</v>
      </c>
      <c r="E640" t="n">
        <v>57.812</v>
      </c>
      <c r="F640" t="n">
        <v>36.4664</v>
      </c>
      <c r="G640" t="n">
        <v>37.9277</v>
      </c>
      <c r="H640" t="n">
        <v>86.101</v>
      </c>
      <c r="I640" t="n">
        <v>46.3459</v>
      </c>
      <c r="J640" t="n">
        <v>83.6895</v>
      </c>
      <c r="K640" t="n">
        <v/>
      </c>
    </row>
    <row r="641">
      <c r="A641" s="98" t="n">
        <v>26390</v>
      </c>
      <c r="B641" t="n">
        <v>41.1759</v>
      </c>
      <c r="C641" t="n">
        <v>65.7796</v>
      </c>
      <c r="D641" t="n">
        <v>16.93</v>
      </c>
      <c r="E641" t="n">
        <v>58.4856</v>
      </c>
      <c r="F641" t="n">
        <v>36.8786</v>
      </c>
      <c r="G641" t="n">
        <v>38.2766</v>
      </c>
      <c r="H641" t="n">
        <v>86.9881</v>
      </c>
      <c r="I641" t="n">
        <v>46.2194</v>
      </c>
      <c r="J641" t="n">
        <v>84.31310000000001</v>
      </c>
      <c r="K641" t="n">
        <v/>
      </c>
    </row>
    <row r="642">
      <c r="A642" s="98" t="n">
        <v>26420</v>
      </c>
      <c r="B642" t="n">
        <v>41.1792</v>
      </c>
      <c r="C642" t="n">
        <v>66.1125</v>
      </c>
      <c r="D642" t="n">
        <v>16.9158</v>
      </c>
      <c r="E642" t="n">
        <v>58.2321</v>
      </c>
      <c r="F642" t="n">
        <v>36.9454</v>
      </c>
      <c r="G642" t="n">
        <v>38.366</v>
      </c>
      <c r="H642" t="n">
        <v>86.2604</v>
      </c>
      <c r="I642" t="n">
        <v>45.6428</v>
      </c>
      <c r="J642" t="n">
        <v>84.11190000000001</v>
      </c>
      <c r="K642" t="n">
        <v/>
      </c>
    </row>
    <row r="643">
      <c r="A643" s="98" t="n">
        <v>26451</v>
      </c>
      <c r="B643" t="n">
        <v>41.2864</v>
      </c>
      <c r="C643" t="n">
        <v>66.6888</v>
      </c>
      <c r="D643" t="n">
        <v>16.9789</v>
      </c>
      <c r="E643" t="n">
        <v>58.2479</v>
      </c>
      <c r="F643" t="n">
        <v>37.053</v>
      </c>
      <c r="G643" t="n">
        <v>38.4282</v>
      </c>
      <c r="H643" t="n">
        <v>86.3321</v>
      </c>
      <c r="I643" t="n">
        <v>45.3377</v>
      </c>
      <c r="J643" t="n">
        <v>84.1181</v>
      </c>
      <c r="K643" t="n">
        <v/>
      </c>
    </row>
    <row r="644">
      <c r="A644" s="98" t="n">
        <v>26481</v>
      </c>
      <c r="B644" t="n">
        <v>41.2475</v>
      </c>
      <c r="C644" t="n">
        <v>67.601</v>
      </c>
      <c r="D644" t="n">
        <v>16.9779</v>
      </c>
      <c r="E644" t="n">
        <v>58.6916</v>
      </c>
      <c r="F644" t="n">
        <v>37.0476</v>
      </c>
      <c r="G644" t="n">
        <v>38.1229</v>
      </c>
      <c r="H644" t="n">
        <v>86.16289999999999</v>
      </c>
      <c r="I644" t="n">
        <v>44.8841</v>
      </c>
      <c r="J644" t="n">
        <v>83.822</v>
      </c>
      <c r="K644" t="n">
        <v/>
      </c>
    </row>
    <row r="645">
      <c r="A645" s="98" t="n">
        <v>26512</v>
      </c>
      <c r="B645" t="n">
        <v>41.8173</v>
      </c>
      <c r="C645" t="n">
        <v>68.0701</v>
      </c>
      <c r="D645" t="n">
        <v>17.3288</v>
      </c>
      <c r="E645" t="n">
        <v>59.3293</v>
      </c>
      <c r="F645" t="n">
        <v>37.5429</v>
      </c>
      <c r="G645" t="n">
        <v>38.7337</v>
      </c>
      <c r="H645" t="n">
        <v>87.1515</v>
      </c>
      <c r="I645" t="n">
        <v>45.8272</v>
      </c>
      <c r="J645" t="n">
        <v>84.7529</v>
      </c>
      <c r="K645" t="n">
        <v/>
      </c>
    </row>
    <row r="646">
      <c r="A646" s="98" t="n">
        <v>26543</v>
      </c>
      <c r="B646" t="n">
        <v>42.1375</v>
      </c>
      <c r="C646" t="n">
        <v>68.67140000000001</v>
      </c>
      <c r="D646" t="n">
        <v>17.4714</v>
      </c>
      <c r="E646" t="n">
        <v>59.6506</v>
      </c>
      <c r="F646" t="n">
        <v>37.809</v>
      </c>
      <c r="G646" t="n">
        <v>39.1201</v>
      </c>
      <c r="H646" t="n">
        <v>87.2685</v>
      </c>
      <c r="I646" t="n">
        <v>46.3756</v>
      </c>
      <c r="J646" t="n">
        <v>85.16500000000001</v>
      </c>
      <c r="K646" t="n">
        <v/>
      </c>
    </row>
    <row r="647">
      <c r="A647" s="98" t="n">
        <v>26573</v>
      </c>
      <c r="B647" t="n">
        <v>42.6806</v>
      </c>
      <c r="C647" t="n">
        <v>69.7046</v>
      </c>
      <c r="D647" t="n">
        <v>17.8298</v>
      </c>
      <c r="E647" t="n">
        <v>60.4985</v>
      </c>
      <c r="F647" t="n">
        <v>38.3741</v>
      </c>
      <c r="G647" t="n">
        <v>39.5047</v>
      </c>
      <c r="H647" t="n">
        <v>86.896</v>
      </c>
      <c r="I647" t="n">
        <v>46.893</v>
      </c>
      <c r="J647" t="n">
        <v>86.01349999999999</v>
      </c>
      <c r="K647" t="n">
        <v/>
      </c>
    </row>
    <row r="648">
      <c r="A648" s="98" t="n">
        <v>26604</v>
      </c>
      <c r="B648" t="n">
        <v>43.1838</v>
      </c>
      <c r="C648" t="n">
        <v>70.1908</v>
      </c>
      <c r="D648" t="n">
        <v>18.1418</v>
      </c>
      <c r="E648" t="n">
        <v>60.9243</v>
      </c>
      <c r="F648" t="n">
        <v>38.8702</v>
      </c>
      <c r="G648" t="n">
        <v>40.085</v>
      </c>
      <c r="H648" t="n">
        <v>86.8439</v>
      </c>
      <c r="I648" t="n">
        <v>47.6299</v>
      </c>
      <c r="J648" t="n">
        <v>86.7659</v>
      </c>
      <c r="K648" t="n">
        <v/>
      </c>
    </row>
    <row r="649">
      <c r="A649" s="98" t="n">
        <v>26634</v>
      </c>
      <c r="B649" t="n">
        <v>43.669</v>
      </c>
      <c r="C649" t="n">
        <v>69.976</v>
      </c>
      <c r="D649" t="n">
        <v>18.3694</v>
      </c>
      <c r="E649" t="n">
        <v>61.4321</v>
      </c>
      <c r="F649" t="n">
        <v>39.4285</v>
      </c>
      <c r="G649" t="n">
        <v>40.7155</v>
      </c>
      <c r="H649" t="n">
        <v>86.7212</v>
      </c>
      <c r="I649" t="n">
        <v>47.6601</v>
      </c>
      <c r="J649" t="n">
        <v>87.4686</v>
      </c>
      <c r="K649" t="n">
        <v/>
      </c>
    </row>
    <row r="650">
      <c r="A650" s="98" t="n">
        <v>26665</v>
      </c>
      <c r="B650" t="n">
        <v>43.9874</v>
      </c>
      <c r="C650" t="n">
        <v>70.79170000000001</v>
      </c>
      <c r="D650" t="n">
        <v>18.6772</v>
      </c>
      <c r="E650" t="n">
        <v>61.3273</v>
      </c>
      <c r="F650" t="n">
        <v>39.7323</v>
      </c>
      <c r="G650" t="n">
        <v>41.0928</v>
      </c>
      <c r="H650" t="n">
        <v>86.78270000000001</v>
      </c>
      <c r="I650" t="n">
        <v>48.038</v>
      </c>
      <c r="J650" t="n">
        <v>87.82810000000001</v>
      </c>
      <c r="K650" t="n">
        <v/>
      </c>
    </row>
    <row r="651">
      <c r="A651" s="98" t="n">
        <v>26696</v>
      </c>
      <c r="B651" t="n">
        <v>44.6275</v>
      </c>
      <c r="C651" t="n">
        <v>72.1605</v>
      </c>
      <c r="D651" t="n">
        <v>19.0671</v>
      </c>
      <c r="E651" t="n">
        <v>62.1036</v>
      </c>
      <c r="F651" t="n">
        <v>40.3702</v>
      </c>
      <c r="G651" t="n">
        <v>41.7003</v>
      </c>
      <c r="H651" t="n">
        <v>86.9014</v>
      </c>
      <c r="I651" t="n">
        <v>48.4196</v>
      </c>
      <c r="J651" t="n">
        <v>88.8164</v>
      </c>
      <c r="K651" t="n">
        <v/>
      </c>
    </row>
    <row r="652">
      <c r="A652" s="98" t="n">
        <v>26724</v>
      </c>
      <c r="B652" t="n">
        <v>44.6439</v>
      </c>
      <c r="C652" t="n">
        <v>72.55110000000001</v>
      </c>
      <c r="D652" t="n">
        <v>19.2161</v>
      </c>
      <c r="E652" t="n">
        <v>62.2681</v>
      </c>
      <c r="F652" t="n">
        <v>40.4413</v>
      </c>
      <c r="G652" t="n">
        <v>41.5685</v>
      </c>
      <c r="H652" t="n">
        <v>86.0194</v>
      </c>
      <c r="I652" t="n">
        <v>48.0954</v>
      </c>
      <c r="J652" t="n">
        <v>88.5532</v>
      </c>
      <c r="K652" t="n">
        <v/>
      </c>
    </row>
    <row r="653">
      <c r="A653" s="98" t="n">
        <v>26755</v>
      </c>
      <c r="B653" t="n">
        <v>44.5779</v>
      </c>
      <c r="C653" t="n">
        <v>72.4076</v>
      </c>
      <c r="D653" t="n">
        <v>19.3696</v>
      </c>
      <c r="E653" t="n">
        <v>61.6179</v>
      </c>
      <c r="F653" t="n">
        <v>40.3808</v>
      </c>
      <c r="G653" t="n">
        <v>41.6444</v>
      </c>
      <c r="H653" t="n">
        <v>85.72020000000001</v>
      </c>
      <c r="I653" t="n">
        <v>48.2454</v>
      </c>
      <c r="J653" t="n">
        <v>88.12430000000001</v>
      </c>
      <c r="K653" t="n">
        <v/>
      </c>
    </row>
    <row r="654">
      <c r="A654" s="98" t="n">
        <v>26785</v>
      </c>
      <c r="B654" t="n">
        <v>44.8726</v>
      </c>
      <c r="C654" t="n">
        <v>72.7343</v>
      </c>
      <c r="D654" t="n">
        <v>19.5672</v>
      </c>
      <c r="E654" t="n">
        <v>61.9927</v>
      </c>
      <c r="F654" t="n">
        <v>40.6467</v>
      </c>
      <c r="G654" t="n">
        <v>41.9269</v>
      </c>
      <c r="H654" t="n">
        <v>86.1611</v>
      </c>
      <c r="I654" t="n">
        <v>48.7719</v>
      </c>
      <c r="J654" t="n">
        <v>88.40300000000001</v>
      </c>
      <c r="K654" t="n">
        <v/>
      </c>
    </row>
    <row r="655">
      <c r="A655" s="98" t="n">
        <v>26816</v>
      </c>
      <c r="B655" t="n">
        <v>44.9269</v>
      </c>
      <c r="C655" t="n">
        <v>72.9335</v>
      </c>
      <c r="D655" t="n">
        <v>19.7639</v>
      </c>
      <c r="E655" t="n">
        <v>61.5915</v>
      </c>
      <c r="F655" t="n">
        <v>40.6564</v>
      </c>
      <c r="G655" t="n">
        <v>42.0178</v>
      </c>
      <c r="H655" t="n">
        <v>86.47150000000001</v>
      </c>
      <c r="I655" t="n">
        <v>49.3808</v>
      </c>
      <c r="J655" t="n">
        <v>88.2029</v>
      </c>
      <c r="K655" t="n">
        <v/>
      </c>
    </row>
    <row r="656">
      <c r="A656" s="98" t="n">
        <v>26846</v>
      </c>
      <c r="B656" t="n">
        <v>45.0921</v>
      </c>
      <c r="C656" t="n">
        <v>73.50409999999999</v>
      </c>
      <c r="D656" t="n">
        <v>20.0039</v>
      </c>
      <c r="E656" t="n">
        <v>61.425</v>
      </c>
      <c r="F656" t="n">
        <v>40.8401</v>
      </c>
      <c r="G656" t="n">
        <v>42.1802</v>
      </c>
      <c r="H656" t="n">
        <v>87.8715</v>
      </c>
      <c r="I656" t="n">
        <v>48.8154</v>
      </c>
      <c r="J656" t="n">
        <v>88.2221</v>
      </c>
      <c r="K656" t="n">
        <v/>
      </c>
    </row>
    <row r="657">
      <c r="A657" s="98" t="n">
        <v>26877</v>
      </c>
      <c r="B657" t="n">
        <v>45.0305</v>
      </c>
      <c r="C657" t="n">
        <v>73.56359999999999</v>
      </c>
      <c r="D657" t="n">
        <v>20.0543</v>
      </c>
      <c r="E657" t="n">
        <v>60.862</v>
      </c>
      <c r="F657" t="n">
        <v>40.7324</v>
      </c>
      <c r="G657" t="n">
        <v>42.2377</v>
      </c>
      <c r="H657" t="n">
        <v>87.9991</v>
      </c>
      <c r="I657" t="n">
        <v>49.261</v>
      </c>
      <c r="J657" t="n">
        <v>87.80119999999999</v>
      </c>
      <c r="K657" t="n">
        <v/>
      </c>
    </row>
    <row r="658">
      <c r="A658" s="98" t="n">
        <v>26908</v>
      </c>
      <c r="B658" t="n">
        <v>45.3912</v>
      </c>
      <c r="C658" t="n">
        <v>73.45010000000001</v>
      </c>
      <c r="D658" t="n">
        <v>20.3964</v>
      </c>
      <c r="E658" t="n">
        <v>61.8129</v>
      </c>
      <c r="F658" t="n">
        <v>41.0769</v>
      </c>
      <c r="G658" t="n">
        <v>42.4269</v>
      </c>
      <c r="H658" t="n">
        <v>87.1927</v>
      </c>
      <c r="I658" t="n">
        <v>50.5669</v>
      </c>
      <c r="J658" t="n">
        <v>88.2072</v>
      </c>
      <c r="K658" t="n">
        <v/>
      </c>
    </row>
    <row r="659">
      <c r="A659" s="98" t="n">
        <v>26938</v>
      </c>
      <c r="B659" t="n">
        <v>45.7542</v>
      </c>
      <c r="C659" t="n">
        <v>73.41330000000001</v>
      </c>
      <c r="D659" t="n">
        <v>20.6869</v>
      </c>
      <c r="E659" t="n">
        <v>62.0763</v>
      </c>
      <c r="F659" t="n">
        <v>41.4799</v>
      </c>
      <c r="G659" t="n">
        <v>42.7727</v>
      </c>
      <c r="H659" t="n">
        <v>87.47280000000001</v>
      </c>
      <c r="I659" t="n">
        <v>50.2507</v>
      </c>
      <c r="J659" t="n">
        <v>88.6195</v>
      </c>
      <c r="K659" t="n">
        <v/>
      </c>
    </row>
    <row r="660">
      <c r="A660" s="98" t="n">
        <v>26969</v>
      </c>
      <c r="B660" t="n">
        <v>45.9606</v>
      </c>
      <c r="C660" t="n">
        <v>73.91459999999999</v>
      </c>
      <c r="D660" t="n">
        <v>20.8331</v>
      </c>
      <c r="E660" t="n">
        <v>62.2632</v>
      </c>
      <c r="F660" t="n">
        <v>41.7624</v>
      </c>
      <c r="G660" t="n">
        <v>43.0231</v>
      </c>
      <c r="H660" t="n">
        <v>87.11839999999999</v>
      </c>
      <c r="I660" t="n">
        <v>49.4743</v>
      </c>
      <c r="J660" t="n">
        <v>88.73260000000001</v>
      </c>
      <c r="K660" t="n">
        <v/>
      </c>
    </row>
    <row r="661">
      <c r="A661" s="98" t="n">
        <v>26999</v>
      </c>
      <c r="B661" t="n">
        <v>45.8321</v>
      </c>
      <c r="C661" t="n">
        <v>74.4892</v>
      </c>
      <c r="D661" t="n">
        <v>20.9104</v>
      </c>
      <c r="E661" t="n">
        <v>61.1607</v>
      </c>
      <c r="F661" t="n">
        <v>41.7691</v>
      </c>
      <c r="G661" t="n">
        <v>43.169</v>
      </c>
      <c r="H661" t="n">
        <v>88.244</v>
      </c>
      <c r="I661" t="n">
        <v>46.69</v>
      </c>
      <c r="J661" t="n">
        <v>88.2092</v>
      </c>
      <c r="K661" t="n">
        <v/>
      </c>
    </row>
    <row r="662">
      <c r="A662" s="98" t="n">
        <v>27030</v>
      </c>
      <c r="B662" t="n">
        <v>45.5297</v>
      </c>
      <c r="C662" t="n">
        <v>74.6313</v>
      </c>
      <c r="D662" t="n">
        <v>20.898</v>
      </c>
      <c r="E662" t="n">
        <v>60.3606</v>
      </c>
      <c r="F662" t="n">
        <v>41.4204</v>
      </c>
      <c r="G662" t="n">
        <v>42.8545</v>
      </c>
      <c r="H662" t="n">
        <v>88.00790000000001</v>
      </c>
      <c r="I662" t="n">
        <v>46.8631</v>
      </c>
      <c r="J662" t="n">
        <v>87.3603</v>
      </c>
      <c r="K662" t="n">
        <v>49.7</v>
      </c>
    </row>
    <row r="663">
      <c r="A663" s="98" t="n">
        <v>27061</v>
      </c>
      <c r="B663" t="n">
        <v>45.3982</v>
      </c>
      <c r="C663" t="n">
        <v>73.78279999999999</v>
      </c>
      <c r="D663" t="n">
        <v>20.8228</v>
      </c>
      <c r="E663" t="n">
        <v>60.1783</v>
      </c>
      <c r="F663" t="n">
        <v>41.2533</v>
      </c>
      <c r="G663" t="n">
        <v>42.7679</v>
      </c>
      <c r="H663" t="n">
        <v>88.02030000000001</v>
      </c>
      <c r="I663" t="n">
        <v>47.0655</v>
      </c>
      <c r="J663" t="n">
        <v>86.8532</v>
      </c>
      <c r="K663" t="n">
        <v>50</v>
      </c>
    </row>
    <row r="664">
      <c r="A664" s="98" t="n">
        <v>27089</v>
      </c>
      <c r="B664" t="n">
        <v>45.3907</v>
      </c>
      <c r="C664" t="n">
        <v>73.9132</v>
      </c>
      <c r="D664" t="n">
        <v>21.0008</v>
      </c>
      <c r="E664" t="n">
        <v>60.2827</v>
      </c>
      <c r="F664" t="n">
        <v>41.2236</v>
      </c>
      <c r="G664" t="n">
        <v>42.616</v>
      </c>
      <c r="H664" t="n">
        <v>87.26220000000001</v>
      </c>
      <c r="I664" t="n">
        <v>48.073</v>
      </c>
      <c r="J664" t="n">
        <v>86.5946</v>
      </c>
      <c r="K664" t="n">
        <v>50.5</v>
      </c>
    </row>
    <row r="665">
      <c r="A665" s="98" t="n">
        <v>27120</v>
      </c>
      <c r="B665" t="n">
        <v>45.253</v>
      </c>
      <c r="C665" t="n">
        <v>73.2304</v>
      </c>
      <c r="D665" t="n">
        <v>20.7536</v>
      </c>
      <c r="E665" t="n">
        <v>60.0994</v>
      </c>
      <c r="F665" t="n">
        <v>41.0428</v>
      </c>
      <c r="G665" t="n">
        <v>42.5544</v>
      </c>
      <c r="H665" t="n">
        <v>87.0829</v>
      </c>
      <c r="I665" t="n">
        <v>48.643</v>
      </c>
      <c r="J665" t="n">
        <v>86.102</v>
      </c>
      <c r="K665" t="n">
        <v>51.1</v>
      </c>
    </row>
    <row r="666">
      <c r="A666" s="98" t="n">
        <v>27150</v>
      </c>
      <c r="B666" t="n">
        <v>45.6185</v>
      </c>
      <c r="C666" t="n">
        <v>73.5748</v>
      </c>
      <c r="D666" t="n">
        <v>21.0989</v>
      </c>
      <c r="E666" t="n">
        <v>60.665</v>
      </c>
      <c r="F666" t="n">
        <v>41.3365</v>
      </c>
      <c r="G666" t="n">
        <v>42.84</v>
      </c>
      <c r="H666" t="n">
        <v>87.72190000000001</v>
      </c>
      <c r="I666" t="n">
        <v>49.2552</v>
      </c>
      <c r="J666" t="n">
        <v>86.57640000000001</v>
      </c>
      <c r="K666" t="n">
        <v>52.2</v>
      </c>
    </row>
    <row r="667">
      <c r="A667" s="98" t="n">
        <v>27181</v>
      </c>
      <c r="B667" t="n">
        <v>45.5354</v>
      </c>
      <c r="C667" t="n">
        <v>73.1403</v>
      </c>
      <c r="D667" t="n">
        <v>21.125</v>
      </c>
      <c r="E667" t="n">
        <v>60.8735</v>
      </c>
      <c r="F667" t="n">
        <v>41.3588</v>
      </c>
      <c r="G667" t="n">
        <v>42.6261</v>
      </c>
      <c r="H667" t="n">
        <v>86.31180000000001</v>
      </c>
      <c r="I667" t="n">
        <v>48.7837</v>
      </c>
      <c r="J667" t="n">
        <v>86.20869999999999</v>
      </c>
      <c r="K667" t="n">
        <v>53.1</v>
      </c>
    </row>
    <row r="668">
      <c r="A668" s="98" t="n">
        <v>27211</v>
      </c>
      <c r="B668" t="n">
        <v>45.6196</v>
      </c>
      <c r="C668" t="n">
        <v>71.8151</v>
      </c>
      <c r="D668" t="n">
        <v>21.1823</v>
      </c>
      <c r="E668" t="n">
        <v>60.8467</v>
      </c>
      <c r="F668" t="n">
        <v>41.3426</v>
      </c>
      <c r="G668" t="n">
        <v>42.8742</v>
      </c>
      <c r="H668" t="n">
        <v>86.8329</v>
      </c>
      <c r="I668" t="n">
        <v>49.8507</v>
      </c>
      <c r="J668" t="n">
        <v>86.17019999999999</v>
      </c>
      <c r="K668" t="n">
        <v>54</v>
      </c>
    </row>
    <row r="669">
      <c r="A669" s="98" t="n">
        <v>27242</v>
      </c>
      <c r="B669" t="n">
        <v>45.1411</v>
      </c>
      <c r="C669" t="n">
        <v>70.87479999999999</v>
      </c>
      <c r="D669" t="n">
        <v>21.1039</v>
      </c>
      <c r="E669" t="n">
        <v>60.7599</v>
      </c>
      <c r="F669" t="n">
        <v>40.9558</v>
      </c>
      <c r="G669" t="n">
        <v>42.1074</v>
      </c>
      <c r="H669" t="n">
        <v>84.40479999999999</v>
      </c>
      <c r="I669" t="n">
        <v>49.4212</v>
      </c>
      <c r="J669" t="n">
        <v>85.0813</v>
      </c>
      <c r="K669" t="n">
        <v>55</v>
      </c>
    </row>
    <row r="670">
      <c r="A670" s="98" t="n">
        <v>27273</v>
      </c>
      <c r="B670" t="n">
        <v>45.1475</v>
      </c>
      <c r="C670" t="n">
        <v>70.37479999999999</v>
      </c>
      <c r="D670" t="n">
        <v>21.4859</v>
      </c>
      <c r="E670" t="n">
        <v>60.2253</v>
      </c>
      <c r="F670" t="n">
        <v>41.0123</v>
      </c>
      <c r="G670" t="n">
        <v>42.2008</v>
      </c>
      <c r="H670" t="n">
        <v>85.4367</v>
      </c>
      <c r="I670" t="n">
        <v>48.7672</v>
      </c>
      <c r="J670" t="n">
        <v>84.9171</v>
      </c>
      <c r="K670" t="n">
        <v>55.7</v>
      </c>
    </row>
    <row r="671">
      <c r="A671" s="98" t="n">
        <v>27303</v>
      </c>
      <c r="B671" t="n">
        <v>45.0063</v>
      </c>
      <c r="C671" t="n">
        <v>69.12350000000001</v>
      </c>
      <c r="D671" t="n">
        <v>21.5039</v>
      </c>
      <c r="E671" t="n">
        <v>60.2333</v>
      </c>
      <c r="F671" t="n">
        <v>40.7206</v>
      </c>
      <c r="G671" t="n">
        <v>41.9974</v>
      </c>
      <c r="H671" t="n">
        <v>86.1895</v>
      </c>
      <c r="I671" t="n">
        <v>50.0124</v>
      </c>
      <c r="J671" t="n">
        <v>84.4837</v>
      </c>
      <c r="K671" t="n">
        <v>56.7</v>
      </c>
    </row>
    <row r="672">
      <c r="A672" s="98" t="n">
        <v>27334</v>
      </c>
      <c r="B672" t="n">
        <v>43.5222</v>
      </c>
      <c r="C672" t="n">
        <v>66.9507</v>
      </c>
      <c r="D672" t="n">
        <v>21.1874</v>
      </c>
      <c r="E672" t="n">
        <v>58.5305</v>
      </c>
      <c r="F672" t="n">
        <v>39.4681</v>
      </c>
      <c r="G672" t="n">
        <v>40.2119</v>
      </c>
      <c r="H672" t="n">
        <v>79.883</v>
      </c>
      <c r="I672" t="n">
        <v>48.9607</v>
      </c>
      <c r="J672" t="n">
        <v>81.5472</v>
      </c>
      <c r="K672" t="n">
        <v>57.4</v>
      </c>
    </row>
    <row r="673">
      <c r="A673" s="98" t="n">
        <v>27364</v>
      </c>
      <c r="B673" t="n">
        <v>41.9572</v>
      </c>
      <c r="C673" t="n">
        <v>63.8333</v>
      </c>
      <c r="D673" t="n">
        <v>20.3279</v>
      </c>
      <c r="E673" t="n">
        <v>56.5854</v>
      </c>
      <c r="F673" t="n">
        <v>37.6414</v>
      </c>
      <c r="G673" t="n">
        <v>38.6172</v>
      </c>
      <c r="H673" t="n">
        <v>81.98139999999999</v>
      </c>
      <c r="I673" t="n">
        <v>48.9913</v>
      </c>
      <c r="J673" t="n">
        <v>78.4766</v>
      </c>
      <c r="K673" t="n">
        <v>57.9</v>
      </c>
    </row>
    <row r="674">
      <c r="A674" s="98" t="n">
        <v>27395</v>
      </c>
      <c r="B674" t="n">
        <v>41.3766</v>
      </c>
      <c r="C674" t="n">
        <v>63.403</v>
      </c>
      <c r="D674" t="n">
        <v>19.846</v>
      </c>
      <c r="E674" t="n">
        <v>55.2951</v>
      </c>
      <c r="F674" t="n">
        <v>36.8443</v>
      </c>
      <c r="G674" t="n">
        <v>38.2962</v>
      </c>
      <c r="H674" t="n">
        <v>86.4251</v>
      </c>
      <c r="I674" t="n">
        <v>48.0445</v>
      </c>
      <c r="J674" t="n">
        <v>77.2606</v>
      </c>
      <c r="K674" t="n">
        <v>58.3</v>
      </c>
    </row>
    <row r="675">
      <c r="A675" s="98" t="n">
        <v>27426</v>
      </c>
      <c r="B675" t="n">
        <v>40.4317</v>
      </c>
      <c r="C675" t="n">
        <v>61.5558</v>
      </c>
      <c r="D675" t="n">
        <v>19.1913</v>
      </c>
      <c r="E675" t="n">
        <v>54.546</v>
      </c>
      <c r="F675" t="n">
        <v>35.8119</v>
      </c>
      <c r="G675" t="n">
        <v>37.3728</v>
      </c>
      <c r="H675" t="n">
        <v>85.31319999999999</v>
      </c>
      <c r="I675" t="n">
        <v>48.7617</v>
      </c>
      <c r="J675" t="n">
        <v>75.3723</v>
      </c>
      <c r="K675" t="n">
        <v>58.7</v>
      </c>
    </row>
    <row r="676">
      <c r="A676" s="98" t="n">
        <v>27454</v>
      </c>
      <c r="B676" t="n">
        <v>39.9919</v>
      </c>
      <c r="C676" t="n">
        <v>59.2327</v>
      </c>
      <c r="D676" t="n">
        <v>18.872</v>
      </c>
      <c r="E676" t="n">
        <v>54.6933</v>
      </c>
      <c r="F676" t="n">
        <v>35.3223</v>
      </c>
      <c r="G676" t="n">
        <v>36.8491</v>
      </c>
      <c r="H676" t="n">
        <v>83.6221</v>
      </c>
      <c r="I676" t="n">
        <v>49.904</v>
      </c>
      <c r="J676" t="n">
        <v>74.4335</v>
      </c>
      <c r="K676" t="n">
        <v>59</v>
      </c>
    </row>
    <row r="677">
      <c r="A677" s="98" t="n">
        <v>27485</v>
      </c>
      <c r="B677" t="n">
        <v>40.066</v>
      </c>
      <c r="C677" t="n">
        <v>58.7833</v>
      </c>
      <c r="D677" t="n">
        <v>18.7703</v>
      </c>
      <c r="E677" t="n">
        <v>55.8438</v>
      </c>
      <c r="F677" t="n">
        <v>35.3205</v>
      </c>
      <c r="G677" t="n">
        <v>36.6489</v>
      </c>
      <c r="H677" t="n">
        <v>83.3687</v>
      </c>
      <c r="I677" t="n">
        <v>51.2059</v>
      </c>
      <c r="J677" t="n">
        <v>74.45610000000001</v>
      </c>
      <c r="K677" t="n">
        <v>59.2</v>
      </c>
    </row>
    <row r="678">
      <c r="A678" s="98" t="n">
        <v>27515</v>
      </c>
      <c r="B678" t="n">
        <v>39.9521</v>
      </c>
      <c r="C678" t="n">
        <v>58.7681</v>
      </c>
      <c r="D678" t="n">
        <v>18.5191</v>
      </c>
      <c r="E678" t="n">
        <v>56.1027</v>
      </c>
      <c r="F678" t="n">
        <v>35.2545</v>
      </c>
      <c r="G678" t="n">
        <v>36.4051</v>
      </c>
      <c r="H678" t="n">
        <v>83.12260000000001</v>
      </c>
      <c r="I678" t="n">
        <v>50.3171</v>
      </c>
      <c r="J678" t="n">
        <v>74.1297</v>
      </c>
      <c r="K678" t="n">
        <v>59.3</v>
      </c>
    </row>
    <row r="679">
      <c r="A679" s="98" t="n">
        <v>27546</v>
      </c>
      <c r="B679" t="n">
        <v>40.2049</v>
      </c>
      <c r="C679" t="n">
        <v>58.4613</v>
      </c>
      <c r="D679" t="n">
        <v>18.3729</v>
      </c>
      <c r="E679" t="n">
        <v>56.8696</v>
      </c>
      <c r="F679" t="n">
        <v>35.5538</v>
      </c>
      <c r="G679" t="n">
        <v>36.663</v>
      </c>
      <c r="H679" t="n">
        <v>84.47839999999999</v>
      </c>
      <c r="I679" t="n">
        <v>49.1385</v>
      </c>
      <c r="J679" t="n">
        <v>74.4823</v>
      </c>
      <c r="K679" t="n">
        <v>59.5</v>
      </c>
    </row>
    <row r="680">
      <c r="A680" s="98" t="n">
        <v>27576</v>
      </c>
      <c r="B680" t="n">
        <v>40.6187</v>
      </c>
      <c r="C680" t="n">
        <v>59.198</v>
      </c>
      <c r="D680" t="n">
        <v>18.4876</v>
      </c>
      <c r="E680" t="n">
        <v>58.322</v>
      </c>
      <c r="F680" t="n">
        <v>36.0692</v>
      </c>
      <c r="G680" t="n">
        <v>36.8119</v>
      </c>
      <c r="H680" t="n">
        <v>82.3335</v>
      </c>
      <c r="I680" t="n">
        <v>49.8472</v>
      </c>
      <c r="J680" t="n">
        <v>75.13</v>
      </c>
      <c r="K680" t="n">
        <v>59.8</v>
      </c>
    </row>
    <row r="681">
      <c r="A681" s="98" t="n">
        <v>27607</v>
      </c>
      <c r="B681" t="n">
        <v>41.0204</v>
      </c>
      <c r="C681" t="n">
        <v>59.9386</v>
      </c>
      <c r="D681" t="n">
        <v>18.3775</v>
      </c>
      <c r="E681" t="n">
        <v>58.6408</v>
      </c>
      <c r="F681" t="n">
        <v>36.4482</v>
      </c>
      <c r="G681" t="n">
        <v>37.4306</v>
      </c>
      <c r="H681" t="n">
        <v>83.0209</v>
      </c>
      <c r="I681" t="n">
        <v>50.3107</v>
      </c>
      <c r="J681" t="n">
        <v>75.74930000000001</v>
      </c>
      <c r="K681" t="n">
        <v>59.9</v>
      </c>
    </row>
    <row r="682">
      <c r="A682" s="98" t="n">
        <v>27638</v>
      </c>
      <c r="B682" t="n">
        <v>41.5526</v>
      </c>
      <c r="C682" t="n">
        <v>60.5809</v>
      </c>
      <c r="D682" t="n">
        <v>18.6506</v>
      </c>
      <c r="E682" t="n">
        <v>59.5016</v>
      </c>
      <c r="F682" t="n">
        <v>37.0871</v>
      </c>
      <c r="G682" t="n">
        <v>37.9131</v>
      </c>
      <c r="H682" t="n">
        <v>82.6729</v>
      </c>
      <c r="I682" t="n">
        <v>50.0825</v>
      </c>
      <c r="J682" t="n">
        <v>76.6023</v>
      </c>
      <c r="K682" t="n">
        <v>60.2</v>
      </c>
    </row>
    <row r="683">
      <c r="A683" s="98" t="n">
        <v>27668</v>
      </c>
      <c r="B683" t="n">
        <v>41.7303</v>
      </c>
      <c r="C683" t="n">
        <v>60.9164</v>
      </c>
      <c r="D683" t="n">
        <v>18.7095</v>
      </c>
      <c r="E683" t="n">
        <v>59.5872</v>
      </c>
      <c r="F683" t="n">
        <v>37.2883</v>
      </c>
      <c r="G683" t="n">
        <v>38.1327</v>
      </c>
      <c r="H683" t="n">
        <v>82.8977</v>
      </c>
      <c r="I683" t="n">
        <v>49.9504</v>
      </c>
      <c r="J683" t="n">
        <v>76.7949</v>
      </c>
      <c r="K683" t="n">
        <v>60.6</v>
      </c>
    </row>
    <row r="684">
      <c r="A684" s="98" t="n">
        <v>27699</v>
      </c>
      <c r="B684" t="n">
        <v>41.7882</v>
      </c>
      <c r="C684" t="n">
        <v>61.1782</v>
      </c>
      <c r="D684" t="n">
        <v>18.6724</v>
      </c>
      <c r="E684" t="n">
        <v>59.7932</v>
      </c>
      <c r="F684" t="n">
        <v>37.3698</v>
      </c>
      <c r="G684" t="n">
        <v>38.2402</v>
      </c>
      <c r="H684" t="n">
        <v>83.92010000000001</v>
      </c>
      <c r="I684" t="n">
        <v>49.3736</v>
      </c>
      <c r="J684" t="n">
        <v>76.76130000000001</v>
      </c>
      <c r="K684" t="n">
        <v>61</v>
      </c>
    </row>
    <row r="685">
      <c r="A685" s="98" t="n">
        <v>27729</v>
      </c>
      <c r="B685" t="n">
        <v>42.3527</v>
      </c>
      <c r="C685" t="n">
        <v>61.2461</v>
      </c>
      <c r="D685" t="n">
        <v>19.0025</v>
      </c>
      <c r="E685" t="n">
        <v>60.355</v>
      </c>
      <c r="F685" t="n">
        <v>37.8905</v>
      </c>
      <c r="G685" t="n">
        <v>38.8407</v>
      </c>
      <c r="H685" t="n">
        <v>84.133</v>
      </c>
      <c r="I685" t="n">
        <v>50.2483</v>
      </c>
      <c r="J685" t="n">
        <v>77.6515</v>
      </c>
      <c r="K685" t="n">
        <v>61.4</v>
      </c>
    </row>
    <row r="686">
      <c r="A686" s="98" t="n">
        <v>27760</v>
      </c>
      <c r="B686" t="n">
        <v>42.9179</v>
      </c>
      <c r="C686" t="n">
        <v>62.6261</v>
      </c>
      <c r="D686" t="n">
        <v>19.1846</v>
      </c>
      <c r="E686" t="n">
        <v>61.0632</v>
      </c>
      <c r="F686" t="n">
        <v>38.3571</v>
      </c>
      <c r="G686" t="n">
        <v>39.4303</v>
      </c>
      <c r="H686" t="n">
        <v>85.6914</v>
      </c>
      <c r="I686" t="n">
        <v>51.4279</v>
      </c>
      <c r="J686" t="n">
        <v>78.5352</v>
      </c>
      <c r="K686" t="n">
        <v>61.7</v>
      </c>
    </row>
    <row r="687">
      <c r="A687" s="98" t="n">
        <v>27791</v>
      </c>
      <c r="B687" t="n">
        <v>43.3469</v>
      </c>
      <c r="C687" t="n">
        <v>63.7547</v>
      </c>
      <c r="D687" t="n">
        <v>19.3205</v>
      </c>
      <c r="E687" t="n">
        <v>61.3384</v>
      </c>
      <c r="F687" t="n">
        <v>38.9629</v>
      </c>
      <c r="G687" t="n">
        <v>39.9953</v>
      </c>
      <c r="H687" t="n">
        <v>85.2811</v>
      </c>
      <c r="I687" t="n">
        <v>50.3794</v>
      </c>
      <c r="J687" t="n">
        <v>79.1583</v>
      </c>
      <c r="K687" t="n">
        <v>61.9</v>
      </c>
    </row>
    <row r="688">
      <c r="A688" s="98" t="n">
        <v>27820</v>
      </c>
      <c r="B688" t="n">
        <v>43.4396</v>
      </c>
      <c r="C688" t="n">
        <v>62.8453</v>
      </c>
      <c r="D688" t="n">
        <v>19.4461</v>
      </c>
      <c r="E688" t="n">
        <v>61.2696</v>
      </c>
      <c r="F688" t="n">
        <v>39.0877</v>
      </c>
      <c r="G688" t="n">
        <v>40.1626</v>
      </c>
      <c r="H688" t="n">
        <v>84.2632</v>
      </c>
      <c r="I688" t="n">
        <v>50.7329</v>
      </c>
      <c r="J688" t="n">
        <v>79.1609</v>
      </c>
      <c r="K688" t="n">
        <v>62.2</v>
      </c>
    </row>
    <row r="689">
      <c r="A689" s="98" t="n">
        <v>27851</v>
      </c>
      <c r="B689" t="n">
        <v>43.6562</v>
      </c>
      <c r="C689" t="n">
        <v>63.6407</v>
      </c>
      <c r="D689" t="n">
        <v>19.5979</v>
      </c>
      <c r="E689" t="n">
        <v>61.4142</v>
      </c>
      <c r="F689" t="n">
        <v>39.2948</v>
      </c>
      <c r="G689" t="n">
        <v>40.4336</v>
      </c>
      <c r="H689" t="n">
        <v>83.9324</v>
      </c>
      <c r="I689" t="n">
        <v>51.1106</v>
      </c>
      <c r="J689" t="n">
        <v>79.3847</v>
      </c>
      <c r="K689" t="n">
        <v>62.3</v>
      </c>
    </row>
    <row r="690">
      <c r="A690" s="98" t="n">
        <v>27881</v>
      </c>
      <c r="B690" t="n">
        <v>43.842</v>
      </c>
      <c r="C690" t="n">
        <v>64.36109999999999</v>
      </c>
      <c r="D690" t="n">
        <v>19.7507</v>
      </c>
      <c r="E690" t="n">
        <v>61.8718</v>
      </c>
      <c r="F690" t="n">
        <v>39.4946</v>
      </c>
      <c r="G690" t="n">
        <v>40.4906</v>
      </c>
      <c r="H690" t="n">
        <v>84.11790000000001</v>
      </c>
      <c r="I690" t="n">
        <v>50.967</v>
      </c>
      <c r="J690" t="n">
        <v>79.5472</v>
      </c>
      <c r="K690" t="n">
        <v>62.4</v>
      </c>
    </row>
    <row r="691">
      <c r="A691" s="98" t="n">
        <v>27912</v>
      </c>
      <c r="B691" t="n">
        <v>43.8892</v>
      </c>
      <c r="C691" t="n">
        <v>64.867</v>
      </c>
      <c r="D691" t="n">
        <v>19.8371</v>
      </c>
      <c r="E691" t="n">
        <v>61.71</v>
      </c>
      <c r="F691" t="n">
        <v>39.5372</v>
      </c>
      <c r="G691" t="n">
        <v>40.6459</v>
      </c>
      <c r="H691" t="n">
        <v>83.61879999999999</v>
      </c>
      <c r="I691" t="n">
        <v>51.4188</v>
      </c>
      <c r="J691" t="n">
        <v>79.4537</v>
      </c>
      <c r="K691" t="n">
        <v>62.8</v>
      </c>
    </row>
    <row r="692">
      <c r="A692" s="98" t="n">
        <v>27942</v>
      </c>
      <c r="B692" t="n">
        <v>44.1328</v>
      </c>
      <c r="C692" t="n">
        <v>66.2471</v>
      </c>
      <c r="D692" t="n">
        <v>19.9844</v>
      </c>
      <c r="E692" t="n">
        <v>62.0886</v>
      </c>
      <c r="F692" t="n">
        <v>39.8146</v>
      </c>
      <c r="G692" t="n">
        <v>40.7551</v>
      </c>
      <c r="H692" t="n">
        <v>82.849</v>
      </c>
      <c r="I692" t="n">
        <v>51.6203</v>
      </c>
      <c r="J692" t="n">
        <v>79.7129</v>
      </c>
      <c r="K692" t="n">
        <v>63.1</v>
      </c>
    </row>
    <row r="693">
      <c r="A693" s="98" t="n">
        <v>27973</v>
      </c>
      <c r="B693" t="n">
        <v>44.4373</v>
      </c>
      <c r="C693" t="n">
        <v>65.5802</v>
      </c>
      <c r="D693" t="n">
        <v>20.3165</v>
      </c>
      <c r="E693" t="n">
        <v>62.2019</v>
      </c>
      <c r="F693" t="n">
        <v>40.0651</v>
      </c>
      <c r="G693" t="n">
        <v>41.1834</v>
      </c>
      <c r="H693" t="n">
        <v>83.9726</v>
      </c>
      <c r="I693" t="n">
        <v>51.8166</v>
      </c>
      <c r="J693" t="n">
        <v>80.0788</v>
      </c>
      <c r="K693" t="n">
        <v>63.5</v>
      </c>
    </row>
    <row r="694">
      <c r="A694" s="98" t="n">
        <v>28004</v>
      </c>
      <c r="B694" t="n">
        <v>44.5848</v>
      </c>
      <c r="C694" t="n">
        <v>66.0106</v>
      </c>
      <c r="D694" t="n">
        <v>20.2656</v>
      </c>
      <c r="E694" t="n">
        <v>62.2665</v>
      </c>
      <c r="F694" t="n">
        <v>40.171</v>
      </c>
      <c r="G694" t="n">
        <v>41.2859</v>
      </c>
      <c r="H694" t="n">
        <v>84.2291</v>
      </c>
      <c r="I694" t="n">
        <v>52.2433</v>
      </c>
      <c r="J694" t="n">
        <v>80.15860000000001</v>
      </c>
      <c r="K694" t="n">
        <v>63.9</v>
      </c>
    </row>
    <row r="695">
      <c r="A695" s="98" t="n">
        <v>28034</v>
      </c>
      <c r="B695" t="n">
        <v>44.5707</v>
      </c>
      <c r="C695" t="n">
        <v>65.965</v>
      </c>
      <c r="D695" t="n">
        <v>20.2887</v>
      </c>
      <c r="E695" t="n">
        <v>62.7095</v>
      </c>
      <c r="F695" t="n">
        <v>40.1055</v>
      </c>
      <c r="G695" t="n">
        <v>41.0405</v>
      </c>
      <c r="H695" t="n">
        <v>84.05719999999999</v>
      </c>
      <c r="I695" t="n">
        <v>52.7837</v>
      </c>
      <c r="J695" t="n">
        <v>79.9457</v>
      </c>
      <c r="K695" t="n">
        <v>64.09999999999999</v>
      </c>
    </row>
    <row r="696">
      <c r="A696" s="98" t="n">
        <v>28065</v>
      </c>
      <c r="B696" t="n">
        <v>45.2543</v>
      </c>
      <c r="C696" t="n">
        <v>66.2492</v>
      </c>
      <c r="D696" t="n">
        <v>20.9593</v>
      </c>
      <c r="E696" t="n">
        <v>63.8277</v>
      </c>
      <c r="F696" t="n">
        <v>40.6485</v>
      </c>
      <c r="G696" t="n">
        <v>41.6081</v>
      </c>
      <c r="H696" t="n">
        <v>84.67310000000001</v>
      </c>
      <c r="I696" t="n">
        <v>55.202</v>
      </c>
      <c r="J696" t="n">
        <v>80.9791</v>
      </c>
      <c r="K696" t="n">
        <v>64.59999999999999</v>
      </c>
    </row>
    <row r="697">
      <c r="A697" s="98" t="n">
        <v>28095</v>
      </c>
      <c r="B697" t="n">
        <v>45.7422</v>
      </c>
      <c r="C697" t="n">
        <v>66.7445</v>
      </c>
      <c r="D697" t="n">
        <v>21.2971</v>
      </c>
      <c r="E697" t="n">
        <v>64.51609999999999</v>
      </c>
      <c r="F697" t="n">
        <v>41.0963</v>
      </c>
      <c r="G697" t="n">
        <v>42.0676</v>
      </c>
      <c r="H697" t="n">
        <v>85.77379999999999</v>
      </c>
      <c r="I697" t="n">
        <v>55.6427</v>
      </c>
      <c r="J697" t="n">
        <v>81.6559</v>
      </c>
      <c r="K697" t="n">
        <v>64.90000000000001</v>
      </c>
    </row>
    <row r="698">
      <c r="A698" s="98" t="n">
        <v>28126</v>
      </c>
      <c r="B698" t="n">
        <v>45.4293</v>
      </c>
      <c r="C698" t="n">
        <v>65.5694</v>
      </c>
      <c r="D698" t="n">
        <v>21.3453</v>
      </c>
      <c r="E698" t="n">
        <v>64.2512</v>
      </c>
      <c r="F698" t="n">
        <v>40.9505</v>
      </c>
      <c r="G698" t="n">
        <v>41.6724</v>
      </c>
      <c r="H698" t="n">
        <v>83.1426</v>
      </c>
      <c r="I698" t="n">
        <v>55.1956</v>
      </c>
      <c r="J698" t="n">
        <v>80.9038</v>
      </c>
      <c r="K698" t="n">
        <v>65.09999999999999</v>
      </c>
    </row>
    <row r="699">
      <c r="A699" s="98" t="n">
        <v>28157</v>
      </c>
      <c r="B699" t="n">
        <v>46.1459</v>
      </c>
      <c r="C699" t="n">
        <v>67.07550000000001</v>
      </c>
      <c r="D699" t="n">
        <v>21.881</v>
      </c>
      <c r="E699" t="n">
        <v>65.13939999999999</v>
      </c>
      <c r="F699" t="n">
        <v>41.7038</v>
      </c>
      <c r="G699" t="n">
        <v>42.2819</v>
      </c>
      <c r="H699" t="n">
        <v>86.0506</v>
      </c>
      <c r="I699" t="n">
        <v>53.3811</v>
      </c>
      <c r="J699" t="n">
        <v>81.9747</v>
      </c>
      <c r="K699" t="n">
        <v>65.40000000000001</v>
      </c>
    </row>
    <row r="700">
      <c r="A700" s="98" t="n">
        <v>28185</v>
      </c>
      <c r="B700" t="n">
        <v>46.7314</v>
      </c>
      <c r="C700" t="n">
        <v>68.4936</v>
      </c>
      <c r="D700" t="n">
        <v>22.2288</v>
      </c>
      <c r="E700" t="n">
        <v>65.2302</v>
      </c>
      <c r="F700" t="n">
        <v>42.3193</v>
      </c>
      <c r="G700" t="n">
        <v>43.1042</v>
      </c>
      <c r="H700" t="n">
        <v>87.5797</v>
      </c>
      <c r="I700" t="n">
        <v>52.5708</v>
      </c>
      <c r="J700" t="n">
        <v>82.80419999999999</v>
      </c>
      <c r="K700" t="n">
        <v>65.7</v>
      </c>
    </row>
    <row r="701">
      <c r="A701" s="98" t="n">
        <v>28216</v>
      </c>
      <c r="B701" t="n">
        <v>47.188</v>
      </c>
      <c r="C701" t="n">
        <v>70.1007</v>
      </c>
      <c r="D701" t="n">
        <v>22.5407</v>
      </c>
      <c r="E701" t="n">
        <v>65.70950000000001</v>
      </c>
      <c r="F701" t="n">
        <v>42.7554</v>
      </c>
      <c r="G701" t="n">
        <v>43.4671</v>
      </c>
      <c r="H701" t="n">
        <v>87.3244</v>
      </c>
      <c r="I701" t="n">
        <v>53.2529</v>
      </c>
      <c r="J701" t="n">
        <v>83.3995</v>
      </c>
      <c r="K701" t="n">
        <v>65.90000000000001</v>
      </c>
    </row>
    <row r="702">
      <c r="A702" s="98" t="n">
        <v>28246</v>
      </c>
      <c r="B702" t="n">
        <v>47.552</v>
      </c>
      <c r="C702" t="n">
        <v>71.1425</v>
      </c>
      <c r="D702" t="n">
        <v>22.9951</v>
      </c>
      <c r="E702" t="n">
        <v>65.6896</v>
      </c>
      <c r="F702" t="n">
        <v>43.1006</v>
      </c>
      <c r="G702" t="n">
        <v>43.821</v>
      </c>
      <c r="H702" t="n">
        <v>87.2962</v>
      </c>
      <c r="I702" t="n">
        <v>54.1003</v>
      </c>
      <c r="J702" t="n">
        <v>83.8236</v>
      </c>
      <c r="K702" t="n">
        <v>66.09999999999999</v>
      </c>
    </row>
    <row r="703">
      <c r="A703" s="98" t="n">
        <v>28277</v>
      </c>
      <c r="B703" t="n">
        <v>47.9155</v>
      </c>
      <c r="C703" t="n">
        <v>71.70229999999999</v>
      </c>
      <c r="D703" t="n">
        <v>23.5103</v>
      </c>
      <c r="E703" t="n">
        <v>66.173</v>
      </c>
      <c r="F703" t="n">
        <v>43.4872</v>
      </c>
      <c r="G703" t="n">
        <v>44.0111</v>
      </c>
      <c r="H703" t="n">
        <v>86.64700000000001</v>
      </c>
      <c r="I703" t="n">
        <v>54.8187</v>
      </c>
      <c r="J703" t="n">
        <v>84.239</v>
      </c>
      <c r="K703" t="n">
        <v>66.5</v>
      </c>
    </row>
    <row r="704">
      <c r="A704" s="98" t="n">
        <v>28307</v>
      </c>
      <c r="B704" t="n">
        <v>47.9773</v>
      </c>
      <c r="C704" t="n">
        <v>71.7426</v>
      </c>
      <c r="D704" t="n">
        <v>23.6493</v>
      </c>
      <c r="E704" t="n">
        <v>66.3052</v>
      </c>
      <c r="F704" t="n">
        <v>43.4885</v>
      </c>
      <c r="G704" t="n">
        <v>43.9975</v>
      </c>
      <c r="H704" t="n">
        <v>87.04430000000001</v>
      </c>
      <c r="I704" t="n">
        <v>55.4779</v>
      </c>
      <c r="J704" t="n">
        <v>84.12</v>
      </c>
      <c r="K704" t="n">
        <v>66.8</v>
      </c>
    </row>
    <row r="705">
      <c r="A705" s="98" t="n">
        <v>28338</v>
      </c>
      <c r="B705" t="n">
        <v>48.0266</v>
      </c>
      <c r="C705" t="n">
        <v>72.3141</v>
      </c>
      <c r="D705" t="n">
        <v>23.7237</v>
      </c>
      <c r="E705" t="n">
        <v>66.43989999999999</v>
      </c>
      <c r="F705" t="n">
        <v>43.7262</v>
      </c>
      <c r="G705" t="n">
        <v>43.933</v>
      </c>
      <c r="H705" t="n">
        <v>85.03789999999999</v>
      </c>
      <c r="I705" t="n">
        <v>54.5694</v>
      </c>
      <c r="J705" t="n">
        <v>83.9765</v>
      </c>
      <c r="K705" t="n">
        <v>67.3</v>
      </c>
    </row>
    <row r="706">
      <c r="A706" s="98" t="n">
        <v>28369</v>
      </c>
      <c r="B706" t="n">
        <v>48.2179</v>
      </c>
      <c r="C706" t="n">
        <v>71.9755</v>
      </c>
      <c r="D706" t="n">
        <v>23.8188</v>
      </c>
      <c r="E706" t="n">
        <v>66.53789999999999</v>
      </c>
      <c r="F706" t="n">
        <v>43.7221</v>
      </c>
      <c r="G706" t="n">
        <v>44.2024</v>
      </c>
      <c r="H706" t="n">
        <v>87.9693</v>
      </c>
      <c r="I706" t="n">
        <v>54.7737</v>
      </c>
      <c r="J706" t="n">
        <v>84.0778</v>
      </c>
      <c r="K706" t="n">
        <v>67.8</v>
      </c>
    </row>
    <row r="707">
      <c r="A707" s="98" t="n">
        <v>28399</v>
      </c>
      <c r="B707" t="n">
        <v>48.295</v>
      </c>
      <c r="C707" t="n">
        <v>71.9607</v>
      </c>
      <c r="D707" t="n">
        <v>23.7208</v>
      </c>
      <c r="E707" t="n">
        <v>67.0617</v>
      </c>
      <c r="F707" t="n">
        <v>43.8226</v>
      </c>
      <c r="G707" t="n">
        <v>44.3665</v>
      </c>
      <c r="H707" t="n">
        <v>87.876</v>
      </c>
      <c r="I707" t="n">
        <v>54.7819</v>
      </c>
      <c r="J707" t="n">
        <v>83.97669999999999</v>
      </c>
      <c r="K707" t="n">
        <v>68.2</v>
      </c>
    </row>
    <row r="708">
      <c r="A708" s="98" t="n">
        <v>28430</v>
      </c>
      <c r="B708" t="n">
        <v>48.3823</v>
      </c>
      <c r="C708" t="n">
        <v>72.2916</v>
      </c>
      <c r="D708" t="n">
        <v>23.7233</v>
      </c>
      <c r="E708" t="n">
        <v>67.1461</v>
      </c>
      <c r="F708" t="n">
        <v>43.9398</v>
      </c>
      <c r="G708" t="n">
        <v>44.4631</v>
      </c>
      <c r="H708" t="n">
        <v>88.5543</v>
      </c>
      <c r="I708" t="n">
        <v>54.0574</v>
      </c>
      <c r="J708" t="n">
        <v>83.89109999999999</v>
      </c>
      <c r="K708" t="n">
        <v>68.8</v>
      </c>
    </row>
    <row r="709">
      <c r="A709" s="98" t="n">
        <v>28460</v>
      </c>
      <c r="B709" t="n">
        <v>48.4679</v>
      </c>
      <c r="C709" t="n">
        <v>73.05929999999999</v>
      </c>
      <c r="D709" t="n">
        <v>24.063</v>
      </c>
      <c r="E709" t="n">
        <v>67.7389</v>
      </c>
      <c r="F709" t="n">
        <v>44.4342</v>
      </c>
      <c r="G709" t="n">
        <v>44.1197</v>
      </c>
      <c r="H709" t="n">
        <v>81.0635</v>
      </c>
      <c r="I709" t="n">
        <v>54.8638</v>
      </c>
      <c r="J709" t="n">
        <v>83.8023</v>
      </c>
      <c r="K709" t="n">
        <v>69</v>
      </c>
    </row>
    <row r="710">
      <c r="A710" s="98" t="n">
        <v>28491</v>
      </c>
      <c r="B710" t="n">
        <v>47.7604</v>
      </c>
      <c r="C710" t="n">
        <v>71.6087</v>
      </c>
      <c r="D710" t="n">
        <v>23.5651</v>
      </c>
      <c r="E710" t="n">
        <v>65.93980000000001</v>
      </c>
      <c r="F710" t="n">
        <v>43.7471</v>
      </c>
      <c r="G710" t="n">
        <v>43.6983</v>
      </c>
      <c r="H710" t="n">
        <v>79.232</v>
      </c>
      <c r="I710" t="n">
        <v>54.944</v>
      </c>
      <c r="J710" t="n">
        <v>82.3473</v>
      </c>
      <c r="K710" t="n">
        <v>69.2</v>
      </c>
    </row>
    <row r="711">
      <c r="A711" s="98" t="n">
        <v>28522</v>
      </c>
      <c r="B711" t="n">
        <v>48.0271</v>
      </c>
      <c r="C711" t="n">
        <v>71.4256</v>
      </c>
      <c r="D711" t="n">
        <v>24.1629</v>
      </c>
      <c r="E711" t="n">
        <v>67.0462</v>
      </c>
      <c r="F711" t="n">
        <v>43.9139</v>
      </c>
      <c r="G711" t="n">
        <v>43.6233</v>
      </c>
      <c r="H711" t="n">
        <v>79.97669999999999</v>
      </c>
      <c r="I711" t="n">
        <v>55.8239</v>
      </c>
      <c r="J711" t="n">
        <v>82.5737</v>
      </c>
      <c r="K711" t="n">
        <v>69.5</v>
      </c>
    </row>
    <row r="712">
      <c r="A712" s="98" t="n">
        <v>28550</v>
      </c>
      <c r="B712" t="n">
        <v>48.9459</v>
      </c>
      <c r="C712" t="n">
        <v>72.7077</v>
      </c>
      <c r="D712" t="n">
        <v>24.8696</v>
      </c>
      <c r="E712" t="n">
        <v>68.3921</v>
      </c>
      <c r="F712" t="n">
        <v>44.6899</v>
      </c>
      <c r="G712" t="n">
        <v>44.2499</v>
      </c>
      <c r="H712" t="n">
        <v>84.0004</v>
      </c>
      <c r="I712" t="n">
        <v>55.7017</v>
      </c>
      <c r="J712" t="n">
        <v>83.91679999999999</v>
      </c>
      <c r="K712" t="n">
        <v>69.90000000000001</v>
      </c>
    </row>
    <row r="713">
      <c r="A713" s="98" t="n">
        <v>28581</v>
      </c>
      <c r="B713" t="n">
        <v>49.9198</v>
      </c>
      <c r="C713" t="n">
        <v>74.3368</v>
      </c>
      <c r="D713" t="n">
        <v>25.4088</v>
      </c>
      <c r="E713" t="n">
        <v>68.8356</v>
      </c>
      <c r="F713" t="n">
        <v>45.3905</v>
      </c>
      <c r="G713" t="n">
        <v>45.5353</v>
      </c>
      <c r="H713" t="n">
        <v>92.2118</v>
      </c>
      <c r="I713" t="n">
        <v>54.3139</v>
      </c>
      <c r="J713" t="n">
        <v>85.34820000000001</v>
      </c>
      <c r="K713" t="n">
        <v>70.59999999999999</v>
      </c>
    </row>
    <row r="714">
      <c r="A714" s="98" t="n">
        <v>28611</v>
      </c>
      <c r="B714" t="n">
        <v>50.1602</v>
      </c>
      <c r="C714" t="n">
        <v>74.3026</v>
      </c>
      <c r="D714" t="n">
        <v>25.5653</v>
      </c>
      <c r="E714" t="n">
        <v>68.4564</v>
      </c>
      <c r="F714" t="n">
        <v>45.6235</v>
      </c>
      <c r="G714" t="n">
        <v>45.9799</v>
      </c>
      <c r="H714" t="n">
        <v>91.76220000000001</v>
      </c>
      <c r="I714" t="n">
        <v>55.3583</v>
      </c>
      <c r="J714" t="n">
        <v>85.52079999999999</v>
      </c>
      <c r="K714" t="n">
        <v>71.09999999999999</v>
      </c>
    </row>
    <row r="715">
      <c r="A715" s="98" t="n">
        <v>28642</v>
      </c>
      <c r="B715" t="n">
        <v>50.4826</v>
      </c>
      <c r="C715" t="n">
        <v>74.9442</v>
      </c>
      <c r="D715" t="n">
        <v>25.971</v>
      </c>
      <c r="E715" t="n">
        <v>68.8177</v>
      </c>
      <c r="F715" t="n">
        <v>45.9633</v>
      </c>
      <c r="G715" t="n">
        <v>46.1762</v>
      </c>
      <c r="H715" t="n">
        <v>91.5596</v>
      </c>
      <c r="I715" t="n">
        <v>55.931</v>
      </c>
      <c r="J715" t="n">
        <v>85.8308</v>
      </c>
      <c r="K715" t="n">
        <v>71.7</v>
      </c>
    </row>
    <row r="716">
      <c r="A716" s="98" t="n">
        <v>28672</v>
      </c>
      <c r="B716" t="n">
        <v>50.4464</v>
      </c>
      <c r="C716" t="n">
        <v>74.8083</v>
      </c>
      <c r="D716" t="n">
        <v>26.1698</v>
      </c>
      <c r="E716" t="n">
        <v>68.4585</v>
      </c>
      <c r="F716" t="n">
        <v>45.9292</v>
      </c>
      <c r="G716" t="n">
        <v>46.1623</v>
      </c>
      <c r="H716" t="n">
        <v>92.4632</v>
      </c>
      <c r="I716" t="n">
        <v>55.2305</v>
      </c>
      <c r="J716" t="n">
        <v>85.53230000000001</v>
      </c>
      <c r="K716" t="n">
        <v>72.3</v>
      </c>
    </row>
    <row r="717">
      <c r="A717" s="98" t="n">
        <v>28703</v>
      </c>
      <c r="B717" t="n">
        <v>50.6531</v>
      </c>
      <c r="C717" t="n">
        <v>74.92749999999999</v>
      </c>
      <c r="D717" t="n">
        <v>26.6564</v>
      </c>
      <c r="E717" t="n">
        <v>68.3509</v>
      </c>
      <c r="F717" t="n">
        <v>46.188</v>
      </c>
      <c r="G717" t="n">
        <v>46.3248</v>
      </c>
      <c r="H717" t="n">
        <v>91.5076</v>
      </c>
      <c r="I717" t="n">
        <v>55.9967</v>
      </c>
      <c r="J717" t="n">
        <v>85.6465</v>
      </c>
      <c r="K717" t="n">
        <v>72.8</v>
      </c>
    </row>
    <row r="718">
      <c r="A718" s="98" t="n">
        <v>28734</v>
      </c>
      <c r="B718" t="n">
        <v>50.7724</v>
      </c>
      <c r="C718" t="n">
        <v>75.2002</v>
      </c>
      <c r="D718" t="n">
        <v>26.9312</v>
      </c>
      <c r="E718" t="n">
        <v>68.4631</v>
      </c>
      <c r="F718" t="n">
        <v>46.4248</v>
      </c>
      <c r="G718" t="n">
        <v>46.3799</v>
      </c>
      <c r="H718" t="n">
        <v>89.9404</v>
      </c>
      <c r="I718" t="n">
        <v>56.449</v>
      </c>
      <c r="J718" t="n">
        <v>85.6125</v>
      </c>
      <c r="K718" t="n">
        <v>73.5</v>
      </c>
    </row>
    <row r="719">
      <c r="A719" s="98" t="n">
        <v>28764</v>
      </c>
      <c r="B719" t="n">
        <v>51.1649</v>
      </c>
      <c r="C719" t="n">
        <v>75.9254</v>
      </c>
      <c r="D719" t="n">
        <v>27.4731</v>
      </c>
      <c r="E719" t="n">
        <v>68.357</v>
      </c>
      <c r="F719" t="n">
        <v>46.7505</v>
      </c>
      <c r="G719" t="n">
        <v>46.8295</v>
      </c>
      <c r="H719" t="n">
        <v>92.11</v>
      </c>
      <c r="I719" t="n">
        <v>56.0567</v>
      </c>
      <c r="J719" t="n">
        <v>86.0371</v>
      </c>
      <c r="K719" t="n">
        <v>73.40000000000001</v>
      </c>
    </row>
    <row r="720">
      <c r="A720" s="98" t="n">
        <v>28795</v>
      </c>
      <c r="B720" t="n">
        <v>51.5582</v>
      </c>
      <c r="C720" t="n">
        <v>76.4405</v>
      </c>
      <c r="D720" t="n">
        <v>27.9323</v>
      </c>
      <c r="E720" t="n">
        <v>68.5758</v>
      </c>
      <c r="F720" t="n">
        <v>47.1947</v>
      </c>
      <c r="G720" t="n">
        <v>47.2309</v>
      </c>
      <c r="H720" t="n">
        <v>91.9481</v>
      </c>
      <c r="I720" t="n">
        <v>56.254</v>
      </c>
      <c r="J720" t="n">
        <v>86.4614</v>
      </c>
      <c r="K720" t="n">
        <v>74.09999999999999</v>
      </c>
    </row>
    <row r="721">
      <c r="A721" s="98" t="n">
        <v>28825</v>
      </c>
      <c r="B721" t="n">
        <v>51.8153</v>
      </c>
      <c r="C721" t="n">
        <v>77.66</v>
      </c>
      <c r="D721" t="n">
        <v>28.2214</v>
      </c>
      <c r="E721" t="n">
        <v>68.7069</v>
      </c>
      <c r="F721" t="n">
        <v>47.5233</v>
      </c>
      <c r="G721" t="n">
        <v>47.4195</v>
      </c>
      <c r="H721" t="n">
        <v>91.268</v>
      </c>
      <c r="I721" t="n">
        <v>56.1696</v>
      </c>
      <c r="J721" t="n">
        <v>86.6562</v>
      </c>
      <c r="K721" t="n">
        <v>74.7</v>
      </c>
    </row>
    <row r="722">
      <c r="A722" s="98" t="n">
        <v>28856</v>
      </c>
      <c r="B722" t="n">
        <v>51.5359</v>
      </c>
      <c r="C722" t="n">
        <v>75.8305</v>
      </c>
      <c r="D722" t="n">
        <v>28.554</v>
      </c>
      <c r="E722" t="n">
        <v>68.562</v>
      </c>
      <c r="F722" t="n">
        <v>47.1867</v>
      </c>
      <c r="G722" t="n">
        <v>46.8638</v>
      </c>
      <c r="H722" t="n">
        <v>90.2685</v>
      </c>
      <c r="I722" t="n">
        <v>57.3184</v>
      </c>
      <c r="J722" t="n">
        <v>85.95659999999999</v>
      </c>
      <c r="K722" t="n">
        <v>75.3</v>
      </c>
    </row>
    <row r="723">
      <c r="A723" s="98" t="n">
        <v>28887</v>
      </c>
      <c r="B723" t="n">
        <v>51.7994</v>
      </c>
      <c r="C723" t="n">
        <v>76.31529999999999</v>
      </c>
      <c r="D723" t="n">
        <v>28.8752</v>
      </c>
      <c r="E723" t="n">
        <v>68.0805</v>
      </c>
      <c r="F723" t="n">
        <v>47.3334</v>
      </c>
      <c r="G723" t="n">
        <v>47.2576</v>
      </c>
      <c r="H723" t="n">
        <v>90.28</v>
      </c>
      <c r="I723" t="n">
        <v>59.117</v>
      </c>
      <c r="J723" t="n">
        <v>86.1651</v>
      </c>
      <c r="K723" t="n">
        <v>75.90000000000001</v>
      </c>
    </row>
    <row r="724">
      <c r="A724" s="98" t="n">
        <v>28915</v>
      </c>
      <c r="B724" t="n">
        <v>51.9544</v>
      </c>
      <c r="C724" t="n">
        <v>77.2533</v>
      </c>
      <c r="D724" t="n">
        <v>29.0861</v>
      </c>
      <c r="E724" t="n">
        <v>68.35809999999999</v>
      </c>
      <c r="F724" t="n">
        <v>47.5584</v>
      </c>
      <c r="G724" t="n">
        <v>47.3019</v>
      </c>
      <c r="H724" t="n">
        <v>90.5506</v>
      </c>
      <c r="I724" t="n">
        <v>58.1138</v>
      </c>
      <c r="J724" t="n">
        <v>86.1935</v>
      </c>
      <c r="K724" t="n">
        <v>76.40000000000001</v>
      </c>
    </row>
    <row r="725">
      <c r="A725" s="98" t="n">
        <v>28946</v>
      </c>
      <c r="B725" t="n">
        <v>51.334</v>
      </c>
      <c r="C725" t="n">
        <v>75.94370000000001</v>
      </c>
      <c r="D725" t="n">
        <v>28.4716</v>
      </c>
      <c r="E725" t="n">
        <v>67.0436</v>
      </c>
      <c r="F725" t="n">
        <v>46.7513</v>
      </c>
      <c r="G725" t="n">
        <v>46.9745</v>
      </c>
      <c r="H725" t="n">
        <v>91.729</v>
      </c>
      <c r="I725" t="n">
        <v>58.5805</v>
      </c>
      <c r="J725" t="n">
        <v>84.9421</v>
      </c>
      <c r="K725" t="n">
        <v>77</v>
      </c>
    </row>
    <row r="726">
      <c r="A726" s="98" t="n">
        <v>28976</v>
      </c>
      <c r="B726" t="n">
        <v>51.7922</v>
      </c>
      <c r="C726" t="n">
        <v>76.52119999999999</v>
      </c>
      <c r="D726" t="n">
        <v>29.3111</v>
      </c>
      <c r="E726" t="n">
        <v>67.54349999999999</v>
      </c>
      <c r="F726" t="n">
        <v>47.411</v>
      </c>
      <c r="G726" t="n">
        <v>47.2383</v>
      </c>
      <c r="H726" t="n">
        <v>91.20010000000001</v>
      </c>
      <c r="I726" t="n">
        <v>57.0729</v>
      </c>
      <c r="J726" t="n">
        <v>85.48009999999999</v>
      </c>
      <c r="K726" t="n">
        <v>77.40000000000001</v>
      </c>
    </row>
    <row r="727">
      <c r="A727" s="98" t="n">
        <v>29007</v>
      </c>
      <c r="B727" t="n">
        <v>51.7961</v>
      </c>
      <c r="C727" t="n">
        <v>76.845</v>
      </c>
      <c r="D727" t="n">
        <v>29.4256</v>
      </c>
      <c r="E727" t="n">
        <v>67.2821</v>
      </c>
      <c r="F727" t="n">
        <v>47.4656</v>
      </c>
      <c r="G727" t="n">
        <v>47.2641</v>
      </c>
      <c r="H727" t="n">
        <v>91.3203</v>
      </c>
      <c r="I727" t="n">
        <v>56.2648</v>
      </c>
      <c r="J727" t="n">
        <v>85.2706</v>
      </c>
      <c r="K727" t="n">
        <v>78</v>
      </c>
    </row>
    <row r="728">
      <c r="A728" s="98" t="n">
        <v>29037</v>
      </c>
      <c r="B728" t="n">
        <v>51.7124</v>
      </c>
      <c r="C728" t="n">
        <v>76.8865</v>
      </c>
      <c r="D728" t="n">
        <v>29.7126</v>
      </c>
      <c r="E728" t="n">
        <v>66.7702</v>
      </c>
      <c r="F728" t="n">
        <v>47.4936</v>
      </c>
      <c r="G728" t="n">
        <v>47.1298</v>
      </c>
      <c r="H728" t="n">
        <v>90.43049999999999</v>
      </c>
      <c r="I728" t="n">
        <v>55.2115</v>
      </c>
      <c r="J728" t="n">
        <v>84.9248</v>
      </c>
      <c r="K728" t="n">
        <v>78.5</v>
      </c>
    </row>
    <row r="729">
      <c r="A729" s="98" t="n">
        <v>29068</v>
      </c>
      <c r="B729" t="n">
        <v>51.3766</v>
      </c>
      <c r="C729" t="n">
        <v>76.1293</v>
      </c>
      <c r="D729" t="n">
        <v>29.3529</v>
      </c>
      <c r="E729" t="n">
        <v>66.0335</v>
      </c>
      <c r="F729" t="n">
        <v>46.8715</v>
      </c>
      <c r="G729" t="n">
        <v>46.8682</v>
      </c>
      <c r="H729" t="n">
        <v>92.46720000000001</v>
      </c>
      <c r="I729" t="n">
        <v>56.0765</v>
      </c>
      <c r="J729" t="n">
        <v>84.17529999999999</v>
      </c>
      <c r="K729" t="n">
        <v>78.8</v>
      </c>
    </row>
    <row r="730">
      <c r="A730" s="98" t="n">
        <v>29099</v>
      </c>
      <c r="B730" t="n">
        <v>51.3741</v>
      </c>
      <c r="C730" t="n">
        <v>76.1799</v>
      </c>
      <c r="D730" t="n">
        <v>30.0707</v>
      </c>
      <c r="E730" t="n">
        <v>66.3827</v>
      </c>
      <c r="F730" t="n">
        <v>46.9305</v>
      </c>
      <c r="G730" t="n">
        <v>46.5409</v>
      </c>
      <c r="H730" t="n">
        <v>92.1632</v>
      </c>
      <c r="I730" t="n">
        <v>55.6595</v>
      </c>
      <c r="J730" t="n">
        <v>83.9806</v>
      </c>
      <c r="K730" t="n">
        <v>79.7</v>
      </c>
    </row>
    <row r="731">
      <c r="A731" s="98" t="n">
        <v>29129</v>
      </c>
      <c r="B731" t="n">
        <v>51.7268</v>
      </c>
      <c r="C731" t="n">
        <v>76.8309</v>
      </c>
      <c r="D731" t="n">
        <v>29.7831</v>
      </c>
      <c r="E731" t="n">
        <v>66.6075</v>
      </c>
      <c r="F731" t="n">
        <v>47.1754</v>
      </c>
      <c r="G731" t="n">
        <v>47.0346</v>
      </c>
      <c r="H731" t="n">
        <v>93.45</v>
      </c>
      <c r="I731" t="n">
        <v>56.4802</v>
      </c>
      <c r="J731" t="n">
        <v>84.3728</v>
      </c>
      <c r="K731" t="n">
        <v>80.40000000000001</v>
      </c>
    </row>
    <row r="732">
      <c r="A732" s="98" t="n">
        <v>29160</v>
      </c>
      <c r="B732" t="n">
        <v>51.6422</v>
      </c>
      <c r="C732" t="n">
        <v>76.6617</v>
      </c>
      <c r="D732" t="n">
        <v>29.7336</v>
      </c>
      <c r="E732" t="n">
        <v>66.4164</v>
      </c>
      <c r="F732" t="n">
        <v>46.9972</v>
      </c>
      <c r="G732" t="n">
        <v>46.9194</v>
      </c>
      <c r="H732" t="n">
        <v>93.75149999999999</v>
      </c>
      <c r="I732" t="n">
        <v>56.8627</v>
      </c>
      <c r="J732" t="n">
        <v>84.0579</v>
      </c>
      <c r="K732" t="n">
        <v>81</v>
      </c>
    </row>
    <row r="733">
      <c r="A733" s="98" t="n">
        <v>29190</v>
      </c>
      <c r="B733" t="n">
        <v>51.6763</v>
      </c>
      <c r="C733" t="n">
        <v>76.8947</v>
      </c>
      <c r="D733" t="n">
        <v>29.9378</v>
      </c>
      <c r="E733" t="n">
        <v>66.4482</v>
      </c>
      <c r="F733" t="n">
        <v>47.1453</v>
      </c>
      <c r="G733" t="n">
        <v>46.829</v>
      </c>
      <c r="H733" t="n">
        <v>93.6314</v>
      </c>
      <c r="I733" t="n">
        <v>55.8256</v>
      </c>
      <c r="J733" t="n">
        <v>83.9436</v>
      </c>
      <c r="K733" t="n">
        <v>81.7</v>
      </c>
    </row>
    <row r="734">
      <c r="A734" s="98" t="n">
        <v>29221</v>
      </c>
      <c r="B734" t="n">
        <v>51.9545</v>
      </c>
      <c r="C734" t="n">
        <v>76.7231</v>
      </c>
      <c r="D734" t="n">
        <v>30.4731</v>
      </c>
      <c r="E734" t="n">
        <v>66.21850000000001</v>
      </c>
      <c r="F734" t="n">
        <v>47.389</v>
      </c>
      <c r="G734" t="n">
        <v>47.207</v>
      </c>
      <c r="H734" t="n">
        <v>95.4169</v>
      </c>
      <c r="I734" t="n">
        <v>54.9504</v>
      </c>
      <c r="J734" t="n">
        <v>84.2311</v>
      </c>
      <c r="K734" t="n">
        <v>83.3</v>
      </c>
    </row>
    <row r="735">
      <c r="A735" s="98" t="n">
        <v>29252</v>
      </c>
      <c r="B735" t="n">
        <v>51.9779</v>
      </c>
      <c r="C735" t="n">
        <v>75.5899</v>
      </c>
      <c r="D735" t="n">
        <v>30.6328</v>
      </c>
      <c r="E735" t="n">
        <v>66.4122</v>
      </c>
      <c r="F735" t="n">
        <v>47.3226</v>
      </c>
      <c r="G735" t="n">
        <v>47.1137</v>
      </c>
      <c r="H735" t="n">
        <v>94.3365</v>
      </c>
      <c r="I735" t="n">
        <v>56.9801</v>
      </c>
      <c r="J735" t="n">
        <v>84.1083</v>
      </c>
      <c r="K735" t="n">
        <v>84.2</v>
      </c>
    </row>
    <row r="736">
      <c r="A736" s="98" t="n">
        <v>29281</v>
      </c>
      <c r="B736" t="n">
        <v>51.7565</v>
      </c>
      <c r="C736" t="n">
        <v>74.57550000000001</v>
      </c>
      <c r="D736" t="n">
        <v>30.3646</v>
      </c>
      <c r="E736" t="n">
        <v>65.8954</v>
      </c>
      <c r="F736" t="n">
        <v>46.9301</v>
      </c>
      <c r="G736" t="n">
        <v>47.0442</v>
      </c>
      <c r="H736" t="n">
        <v>95.16370000000001</v>
      </c>
      <c r="I736" t="n">
        <v>58.088</v>
      </c>
      <c r="J736" t="n">
        <v>83.59350000000001</v>
      </c>
      <c r="K736" t="n">
        <v>84.7</v>
      </c>
    </row>
    <row r="737">
      <c r="A737" s="98" t="n">
        <v>29312</v>
      </c>
      <c r="B737" t="n">
        <v>50.7369</v>
      </c>
      <c r="C737" t="n">
        <v>71.15860000000001</v>
      </c>
      <c r="D737" t="n">
        <v>30.0646</v>
      </c>
      <c r="E737" t="n">
        <v>64.84739999999999</v>
      </c>
      <c r="F737" t="n">
        <v>45.9548</v>
      </c>
      <c r="G737" t="n">
        <v>45.9139</v>
      </c>
      <c r="H737" t="n">
        <v>94.0642</v>
      </c>
      <c r="I737" t="n">
        <v>56.4219</v>
      </c>
      <c r="J737" t="n">
        <v>81.7958</v>
      </c>
      <c r="K737" t="n">
        <v>85.5</v>
      </c>
    </row>
    <row r="738">
      <c r="A738" s="98" t="n">
        <v>29342</v>
      </c>
      <c r="B738" t="n">
        <v>49.49</v>
      </c>
      <c r="C738" t="n">
        <v>68.2692</v>
      </c>
      <c r="D738" t="n">
        <v>29.5991</v>
      </c>
      <c r="E738" t="n">
        <v>63.4668</v>
      </c>
      <c r="F738" t="n">
        <v>44.5242</v>
      </c>
      <c r="G738" t="n">
        <v>44.5638</v>
      </c>
      <c r="H738" t="n">
        <v>94.0292</v>
      </c>
      <c r="I738" t="n">
        <v>55.5371</v>
      </c>
      <c r="J738" t="n">
        <v>79.63800000000001</v>
      </c>
      <c r="K738" t="n">
        <v>85.7</v>
      </c>
    </row>
    <row r="739">
      <c r="A739" s="98" t="n">
        <v>29373</v>
      </c>
      <c r="B739" t="n">
        <v>48.8505</v>
      </c>
      <c r="C739" t="n">
        <v>66.92529999999999</v>
      </c>
      <c r="D739" t="n">
        <v>29.2393</v>
      </c>
      <c r="E739" t="n">
        <v>63.1004</v>
      </c>
      <c r="F739" t="n">
        <v>43.7954</v>
      </c>
      <c r="G739" t="n">
        <v>43.7923</v>
      </c>
      <c r="H739" t="n">
        <v>93.6773</v>
      </c>
      <c r="I739" t="n">
        <v>55.5452</v>
      </c>
      <c r="J739" t="n">
        <v>78.46080000000001</v>
      </c>
      <c r="K739" t="n">
        <v>86.59999999999999</v>
      </c>
    </row>
    <row r="740">
      <c r="A740" s="98" t="n">
        <v>29403</v>
      </c>
      <c r="B740" t="n">
        <v>48.4997</v>
      </c>
      <c r="C740" t="n">
        <v>66.3266</v>
      </c>
      <c r="D740" t="n">
        <v>29.2399</v>
      </c>
      <c r="E740" t="n">
        <v>63.1169</v>
      </c>
      <c r="F740" t="n">
        <v>43.2986</v>
      </c>
      <c r="G740" t="n">
        <v>43.1185</v>
      </c>
      <c r="H740" t="n">
        <v>92.0676</v>
      </c>
      <c r="I740" t="n">
        <v>57.6669</v>
      </c>
      <c r="J740" t="n">
        <v>77.7482</v>
      </c>
      <c r="K740" t="n">
        <v>87.7</v>
      </c>
    </row>
    <row r="741">
      <c r="A741" s="98" t="n">
        <v>29434</v>
      </c>
      <c r="B741" t="n">
        <v>48.6554</v>
      </c>
      <c r="C741" t="n">
        <v>67.3083</v>
      </c>
      <c r="D741" t="n">
        <v>29.1756</v>
      </c>
      <c r="E741" t="n">
        <v>63.3415</v>
      </c>
      <c r="F741" t="n">
        <v>43.6161</v>
      </c>
      <c r="G741" t="n">
        <v>43.2599</v>
      </c>
      <c r="H741" t="n">
        <v>90.3891</v>
      </c>
      <c r="I741" t="n">
        <v>57.9643</v>
      </c>
      <c r="J741" t="n">
        <v>77.8447</v>
      </c>
      <c r="K741" t="n">
        <v>88.40000000000001</v>
      </c>
    </row>
    <row r="742">
      <c r="A742" s="98" t="n">
        <v>29465</v>
      </c>
      <c r="B742" t="n">
        <v>49.4677</v>
      </c>
      <c r="C742" t="n">
        <v>68.9957</v>
      </c>
      <c r="D742" t="n">
        <v>29.7731</v>
      </c>
      <c r="E742" t="n">
        <v>63.9594</v>
      </c>
      <c r="F742" t="n">
        <v>44.3813</v>
      </c>
      <c r="G742" t="n">
        <v>44.1148</v>
      </c>
      <c r="H742" t="n">
        <v>92.0736</v>
      </c>
      <c r="I742" t="n">
        <v>58.7083</v>
      </c>
      <c r="J742" t="n">
        <v>78.9834</v>
      </c>
      <c r="K742" t="n">
        <v>88.8</v>
      </c>
    </row>
    <row r="743">
      <c r="A743" s="98" t="n">
        <v>29495</v>
      </c>
      <c r="B743" t="n">
        <v>50.0947</v>
      </c>
      <c r="C743" t="n">
        <v>70.44070000000001</v>
      </c>
      <c r="D743" t="n">
        <v>30.3244</v>
      </c>
      <c r="E743" t="n">
        <v>64.41840000000001</v>
      </c>
      <c r="F743" t="n">
        <v>45.2202</v>
      </c>
      <c r="G743" t="n">
        <v>44.7493</v>
      </c>
      <c r="H743" t="n">
        <v>91.7968</v>
      </c>
      <c r="I743" t="n">
        <v>58.2309</v>
      </c>
      <c r="J743" t="n">
        <v>79.8159</v>
      </c>
      <c r="K743" t="n">
        <v>89.59999999999999</v>
      </c>
    </row>
    <row r="744">
      <c r="A744" s="98" t="n">
        <v>29526</v>
      </c>
      <c r="B744" t="n">
        <v>50.9311</v>
      </c>
      <c r="C744" t="n">
        <v>71.8706</v>
      </c>
      <c r="D744" t="n">
        <v>30.7929</v>
      </c>
      <c r="E744" t="n">
        <v>64.7102</v>
      </c>
      <c r="F744" t="n">
        <v>46.0367</v>
      </c>
      <c r="G744" t="n">
        <v>45.7488</v>
      </c>
      <c r="H744" t="n">
        <v>93.4999</v>
      </c>
      <c r="I744" t="n">
        <v>58.4645</v>
      </c>
      <c r="J744" t="n">
        <v>80.9704</v>
      </c>
      <c r="K744" t="n">
        <v>90.09999999999999</v>
      </c>
    </row>
    <row r="745">
      <c r="A745" s="98" t="n">
        <v>29556</v>
      </c>
      <c r="B745" t="n">
        <v>51.2644</v>
      </c>
      <c r="C745" t="n">
        <v>71.8772</v>
      </c>
      <c r="D745" t="n">
        <v>30.9209</v>
      </c>
      <c r="E745" t="n">
        <v>64.723</v>
      </c>
      <c r="F745" t="n">
        <v>46.208</v>
      </c>
      <c r="G745" t="n">
        <v>46.2101</v>
      </c>
      <c r="H745" t="n">
        <v>95.46129999999999</v>
      </c>
      <c r="I745" t="n">
        <v>58.7288</v>
      </c>
      <c r="J745" t="n">
        <v>81.3163</v>
      </c>
      <c r="K745" t="n">
        <v>90.40000000000001</v>
      </c>
    </row>
    <row r="746">
      <c r="A746" s="98" t="n">
        <v>29587</v>
      </c>
      <c r="B746" t="n">
        <v>50.9453</v>
      </c>
      <c r="C746" t="n">
        <v>71.6079</v>
      </c>
      <c r="D746" t="n">
        <v>30.9529</v>
      </c>
      <c r="E746" t="n">
        <v>64.73260000000001</v>
      </c>
      <c r="F746" t="n">
        <v>46.0212</v>
      </c>
      <c r="G746" t="n">
        <v>45.6593</v>
      </c>
      <c r="H746" t="n">
        <v>94.3111</v>
      </c>
      <c r="I746" t="n">
        <v>57.8917</v>
      </c>
      <c r="J746" t="n">
        <v>80.6229</v>
      </c>
      <c r="K746" t="n">
        <v>91.40000000000001</v>
      </c>
    </row>
    <row r="747">
      <c r="A747" s="98" t="n">
        <v>29618</v>
      </c>
      <c r="B747" t="n">
        <v>50.7332</v>
      </c>
      <c r="C747" t="n">
        <v>71.0162</v>
      </c>
      <c r="D747" t="n">
        <v>30.5955</v>
      </c>
      <c r="E747" t="n">
        <v>64.60080000000001</v>
      </c>
      <c r="F747" t="n">
        <v>45.794</v>
      </c>
      <c r="G747" t="n">
        <v>45.542</v>
      </c>
      <c r="H747" t="n">
        <v>95.4443</v>
      </c>
      <c r="I747" t="n">
        <v>56.4213</v>
      </c>
      <c r="J747" t="n">
        <v>80.09439999999999</v>
      </c>
      <c r="K747" t="n">
        <v>92</v>
      </c>
    </row>
    <row r="748">
      <c r="A748" s="98" t="n">
        <v>29646</v>
      </c>
      <c r="B748" t="n">
        <v>50.9922</v>
      </c>
      <c r="C748" t="n">
        <v>71.29510000000001</v>
      </c>
      <c r="D748" t="n">
        <v>30.9021</v>
      </c>
      <c r="E748" t="n">
        <v>64.5543</v>
      </c>
      <c r="F748" t="n">
        <v>45.9447</v>
      </c>
      <c r="G748" t="n">
        <v>45.8256</v>
      </c>
      <c r="H748" t="n">
        <v>96.3081</v>
      </c>
      <c r="I748" t="n">
        <v>57.3485</v>
      </c>
      <c r="J748" t="n">
        <v>80.3057</v>
      </c>
      <c r="K748" t="n">
        <v>92.59999999999999</v>
      </c>
    </row>
    <row r="749">
      <c r="A749" s="98" t="n">
        <v>29677</v>
      </c>
      <c r="B749" t="n">
        <v>50.778</v>
      </c>
      <c r="C749" t="n">
        <v>71.348</v>
      </c>
      <c r="D749" t="n">
        <v>31.2526</v>
      </c>
      <c r="E749" t="n">
        <v>64.7346</v>
      </c>
      <c r="F749" t="n">
        <v>46.199</v>
      </c>
      <c r="G749" t="n">
        <v>45.2358</v>
      </c>
      <c r="H749" t="n">
        <v>91.2363</v>
      </c>
      <c r="I749" t="n">
        <v>57.3893</v>
      </c>
      <c r="J749" t="n">
        <v>79.7704</v>
      </c>
      <c r="K749" t="n">
        <v>93.5</v>
      </c>
    </row>
    <row r="750">
      <c r="A750" s="98" t="n">
        <v>29707</v>
      </c>
      <c r="B750" t="n">
        <v>51.0667</v>
      </c>
      <c r="C750" t="n">
        <v>71.3075</v>
      </c>
      <c r="D750" t="n">
        <v>31.2538</v>
      </c>
      <c r="E750" t="n">
        <v>65.3751</v>
      </c>
      <c r="F750" t="n">
        <v>46.404</v>
      </c>
      <c r="G750" t="n">
        <v>45.4583</v>
      </c>
      <c r="H750" t="n">
        <v>91.7787</v>
      </c>
      <c r="I750" t="n">
        <v>58.2102</v>
      </c>
      <c r="J750" t="n">
        <v>80.0226</v>
      </c>
      <c r="K750" t="n">
        <v>94</v>
      </c>
    </row>
    <row r="751">
      <c r="A751" s="98" t="n">
        <v>29738</v>
      </c>
      <c r="B751" t="n">
        <v>51.3355</v>
      </c>
      <c r="C751" t="n">
        <v>70.2024</v>
      </c>
      <c r="D751" t="n">
        <v>31.1302</v>
      </c>
      <c r="E751" t="n">
        <v>64.9192</v>
      </c>
      <c r="F751" t="n">
        <v>46.1847</v>
      </c>
      <c r="G751" t="n">
        <v>46.1015</v>
      </c>
      <c r="H751" t="n">
        <v>95.7324</v>
      </c>
      <c r="I751" t="n">
        <v>59.6578</v>
      </c>
      <c r="J751" t="n">
        <v>80.23990000000001</v>
      </c>
      <c r="K751" t="n">
        <v>94.59999999999999</v>
      </c>
    </row>
    <row r="752">
      <c r="A752" s="98" t="n">
        <v>29768</v>
      </c>
      <c r="B752" t="n">
        <v>51.6646</v>
      </c>
      <c r="C752" t="n">
        <v>70.4161</v>
      </c>
      <c r="D752" t="n">
        <v>31.1797</v>
      </c>
      <c r="E752" t="n">
        <v>65.3844</v>
      </c>
      <c r="F752" t="n">
        <v>46.2816</v>
      </c>
      <c r="G752" t="n">
        <v>46.3739</v>
      </c>
      <c r="H752" t="n">
        <v>98.7749</v>
      </c>
      <c r="I752" t="n">
        <v>59.5066</v>
      </c>
      <c r="J752" t="n">
        <v>80.5506</v>
      </c>
      <c r="K752" t="n">
        <v>94.8</v>
      </c>
    </row>
    <row r="753">
      <c r="A753" s="98" t="n">
        <v>29799</v>
      </c>
      <c r="B753" t="n">
        <v>51.6049</v>
      </c>
      <c r="C753" t="n">
        <v>70.1887</v>
      </c>
      <c r="D753" t="n">
        <v>31.1257</v>
      </c>
      <c r="E753" t="n">
        <v>65.37609999999999</v>
      </c>
      <c r="F753" t="n">
        <v>46.268</v>
      </c>
      <c r="G753" t="n">
        <v>46.315</v>
      </c>
      <c r="H753" t="n">
        <v>99.10550000000001</v>
      </c>
      <c r="I753" t="n">
        <v>58.2921</v>
      </c>
      <c r="J753" t="n">
        <v>80.25709999999999</v>
      </c>
      <c r="K753" t="n">
        <v>95.3</v>
      </c>
    </row>
    <row r="754">
      <c r="A754" s="98" t="n">
        <v>29830</v>
      </c>
      <c r="B754" t="n">
        <v>51.3527</v>
      </c>
      <c r="C754" t="n">
        <v>69.783</v>
      </c>
      <c r="D754" t="n">
        <v>31.1532</v>
      </c>
      <c r="E754" t="n">
        <v>64.9139</v>
      </c>
      <c r="F754" t="n">
        <v>46.0765</v>
      </c>
      <c r="G754" t="n">
        <v>45.9474</v>
      </c>
      <c r="H754" t="n">
        <v>98.4975</v>
      </c>
      <c r="I754" t="n">
        <v>57.4647</v>
      </c>
      <c r="J754" t="n">
        <v>79.6687</v>
      </c>
      <c r="K754" t="n">
        <v>95.90000000000001</v>
      </c>
    </row>
    <row r="755">
      <c r="A755" s="98" t="n">
        <v>29860</v>
      </c>
      <c r="B755" t="n">
        <v>50.9581</v>
      </c>
      <c r="C755" t="n">
        <v>67.6024</v>
      </c>
      <c r="D755" t="n">
        <v>31.0605</v>
      </c>
      <c r="E755" t="n">
        <v>65.2235</v>
      </c>
      <c r="F755" t="n">
        <v>45.6031</v>
      </c>
      <c r="G755" t="n">
        <v>45.3161</v>
      </c>
      <c r="H755" t="n">
        <v>97.85599999999999</v>
      </c>
      <c r="I755" t="n">
        <v>58.1774</v>
      </c>
      <c r="J755" t="n">
        <v>78.866</v>
      </c>
      <c r="K755" t="n">
        <v>96.5</v>
      </c>
    </row>
    <row r="756">
      <c r="A756" s="98" t="n">
        <v>29891</v>
      </c>
      <c r="B756" t="n">
        <v>50.3634</v>
      </c>
      <c r="C756" t="n">
        <v>66.5248</v>
      </c>
      <c r="D756" t="n">
        <v>30.5451</v>
      </c>
      <c r="E756" t="n">
        <v>65.1069</v>
      </c>
      <c r="F756" t="n">
        <v>44.9956</v>
      </c>
      <c r="G756" t="n">
        <v>44.5147</v>
      </c>
      <c r="H756" t="n">
        <v>96.9918</v>
      </c>
      <c r="I756" t="n">
        <v>57.664</v>
      </c>
      <c r="J756" t="n">
        <v>77.7627</v>
      </c>
      <c r="K756" t="n">
        <v>97</v>
      </c>
    </row>
    <row r="757">
      <c r="A757" s="98" t="n">
        <v>29921</v>
      </c>
      <c r="B757" t="n">
        <v>49.8181</v>
      </c>
      <c r="C757" t="n">
        <v>65.25320000000001</v>
      </c>
      <c r="D757" t="n">
        <v>30.1173</v>
      </c>
      <c r="E757" t="n">
        <v>64.4327</v>
      </c>
      <c r="F757" t="n">
        <v>44.2047</v>
      </c>
      <c r="G757" t="n">
        <v>43.9247</v>
      </c>
      <c r="H757" t="n">
        <v>96.9316</v>
      </c>
      <c r="I757" t="n">
        <v>58.7887</v>
      </c>
      <c r="J757" t="n">
        <v>76.7466</v>
      </c>
      <c r="K757" t="n">
        <v>97.59999999999999</v>
      </c>
    </row>
    <row r="758">
      <c r="A758" s="98" t="n">
        <v>29952</v>
      </c>
      <c r="B758" t="n">
        <v>48.7979</v>
      </c>
      <c r="C758" t="n">
        <v>63.0096</v>
      </c>
      <c r="D758" t="n">
        <v>28.9166</v>
      </c>
      <c r="E758" t="n">
        <v>63.2598</v>
      </c>
      <c r="F758" t="n">
        <v>43.1053</v>
      </c>
      <c r="G758" t="n">
        <v>43.1782</v>
      </c>
      <c r="H758" t="n">
        <v>95.79219999999999</v>
      </c>
      <c r="I758" t="n">
        <v>58.7019</v>
      </c>
      <c r="J758" t="n">
        <v>75.01220000000001</v>
      </c>
      <c r="K758" t="n">
        <v>98.09999999999999</v>
      </c>
    </row>
    <row r="759">
      <c r="A759" s="98" t="n">
        <v>29983</v>
      </c>
      <c r="B759" t="n">
        <v>49.7942</v>
      </c>
      <c r="C759" t="n">
        <v>65.2747</v>
      </c>
      <c r="D759" t="n">
        <v>29.9666</v>
      </c>
      <c r="E759" t="n">
        <v>65.0376</v>
      </c>
      <c r="F759" t="n">
        <v>44.3455</v>
      </c>
      <c r="G759" t="n">
        <v>43.6602</v>
      </c>
      <c r="H759" t="n">
        <v>96.81480000000001</v>
      </c>
      <c r="I759" t="n">
        <v>57.0803</v>
      </c>
      <c r="J759" t="n">
        <v>76.38330000000001</v>
      </c>
      <c r="K759" t="n">
        <v>98.09999999999999</v>
      </c>
    </row>
    <row r="760">
      <c r="A760" s="98" t="n">
        <v>30011</v>
      </c>
      <c r="B760" t="n">
        <v>49.459</v>
      </c>
      <c r="C760" t="n">
        <v>63.9264</v>
      </c>
      <c r="D760" t="n">
        <v>29.616</v>
      </c>
      <c r="E760" t="n">
        <v>64.67449999999999</v>
      </c>
      <c r="F760" t="n">
        <v>44.0129</v>
      </c>
      <c r="G760" t="n">
        <v>43.3929</v>
      </c>
      <c r="H760" t="n">
        <v>96.0147</v>
      </c>
      <c r="I760" t="n">
        <v>57.0889</v>
      </c>
      <c r="J760" t="n">
        <v>75.7186</v>
      </c>
      <c r="K760" t="n">
        <v>98.7</v>
      </c>
    </row>
    <row r="761">
      <c r="A761" s="98" t="n">
        <v>30042</v>
      </c>
      <c r="B761" t="n">
        <v>49.0072</v>
      </c>
      <c r="C761" t="n">
        <v>63.4319</v>
      </c>
      <c r="D761" t="n">
        <v>29.1713</v>
      </c>
      <c r="E761" t="n">
        <v>64.629</v>
      </c>
      <c r="F761" t="n">
        <v>43.6953</v>
      </c>
      <c r="G761" t="n">
        <v>42.86</v>
      </c>
      <c r="H761" t="n">
        <v>94.0154</v>
      </c>
      <c r="I761" t="n">
        <v>57.1523</v>
      </c>
      <c r="J761" t="n">
        <v>74.8888</v>
      </c>
      <c r="K761" t="n">
        <v>99</v>
      </c>
    </row>
    <row r="762">
      <c r="A762" s="98" t="n">
        <v>30072</v>
      </c>
      <c r="B762" t="n">
        <v>48.6784</v>
      </c>
      <c r="C762" t="n">
        <v>63.798</v>
      </c>
      <c r="D762" t="n">
        <v>28.9767</v>
      </c>
      <c r="E762" t="n">
        <v>64.6645</v>
      </c>
      <c r="F762" t="n">
        <v>43.6009</v>
      </c>
      <c r="G762" t="n">
        <v>42.3582</v>
      </c>
      <c r="H762" t="n">
        <v>92.4932</v>
      </c>
      <c r="I762" t="n">
        <v>55.6016</v>
      </c>
      <c r="J762" t="n">
        <v>74.2587</v>
      </c>
      <c r="K762" t="n">
        <v>99.40000000000001</v>
      </c>
    </row>
    <row r="763">
      <c r="A763" s="98" t="n">
        <v>30103</v>
      </c>
      <c r="B763" t="n">
        <v>48.5529</v>
      </c>
      <c r="C763" t="n">
        <v>63.2899</v>
      </c>
      <c r="D763" t="n">
        <v>28.4505</v>
      </c>
      <c r="E763" t="n">
        <v>65.10760000000001</v>
      </c>
      <c r="F763" t="n">
        <v>43.5637</v>
      </c>
      <c r="G763" t="n">
        <v>42.2396</v>
      </c>
      <c r="H763" t="n">
        <v>91.2146</v>
      </c>
      <c r="I763" t="n">
        <v>55.7917</v>
      </c>
      <c r="J763" t="n">
        <v>73.95010000000001</v>
      </c>
      <c r="K763" t="n">
        <v>99.90000000000001</v>
      </c>
    </row>
    <row r="764">
      <c r="A764" s="98" t="n">
        <v>30133</v>
      </c>
      <c r="B764" t="n">
        <v>48.3859</v>
      </c>
      <c r="C764" t="n">
        <v>63.1692</v>
      </c>
      <c r="D764" t="n">
        <v>28.3736</v>
      </c>
      <c r="E764" t="n">
        <v>65.26949999999999</v>
      </c>
      <c r="F764" t="n">
        <v>43.5071</v>
      </c>
      <c r="G764" t="n">
        <v>41.9306</v>
      </c>
      <c r="H764" t="n">
        <v>89.8917</v>
      </c>
      <c r="I764" t="n">
        <v>55.7783</v>
      </c>
      <c r="J764" t="n">
        <v>73.5908</v>
      </c>
      <c r="K764" t="n">
        <v>100.1</v>
      </c>
    </row>
    <row r="765">
      <c r="A765" s="98" t="n">
        <v>30164</v>
      </c>
      <c r="B765" t="n">
        <v>47.9495</v>
      </c>
      <c r="C765" t="n">
        <v>63.166</v>
      </c>
      <c r="D765" t="n">
        <v>27.6563</v>
      </c>
      <c r="E765" t="n">
        <v>65.08159999999999</v>
      </c>
      <c r="F765" t="n">
        <v>43.0853</v>
      </c>
      <c r="G765" t="n">
        <v>41.5103</v>
      </c>
      <c r="H765" t="n">
        <v>89.2119</v>
      </c>
      <c r="I765" t="n">
        <v>55.0817</v>
      </c>
      <c r="J765" t="n">
        <v>72.8353</v>
      </c>
      <c r="K765" t="n">
        <v>100.6</v>
      </c>
    </row>
    <row r="766">
      <c r="A766" s="98" t="n">
        <v>30195</v>
      </c>
      <c r="B766" t="n">
        <v>47.8258</v>
      </c>
      <c r="C766" t="n">
        <v>63.3763</v>
      </c>
      <c r="D766" t="n">
        <v>27.5418</v>
      </c>
      <c r="E766" t="n">
        <v>65.0612</v>
      </c>
      <c r="F766" t="n">
        <v>43.0038</v>
      </c>
      <c r="G766" t="n">
        <v>41.3061</v>
      </c>
      <c r="H766" t="n">
        <v>88.3389</v>
      </c>
      <c r="I766" t="n">
        <v>55.2589</v>
      </c>
      <c r="J766" t="n">
        <v>72.5682</v>
      </c>
      <c r="K766" t="n">
        <v>100.8</v>
      </c>
    </row>
    <row r="767">
      <c r="A767" s="98" t="n">
        <v>30225</v>
      </c>
      <c r="B767" t="n">
        <v>47.3656</v>
      </c>
      <c r="C767" t="n">
        <v>62.445</v>
      </c>
      <c r="D767" t="n">
        <v>26.9032</v>
      </c>
      <c r="E767" t="n">
        <v>65.0701</v>
      </c>
      <c r="F767" t="n">
        <v>42.443</v>
      </c>
      <c r="G767" t="n">
        <v>40.8117</v>
      </c>
      <c r="H767" t="n">
        <v>88.0325</v>
      </c>
      <c r="I767" t="n">
        <v>55.4189</v>
      </c>
      <c r="J767" t="n">
        <v>71.8027</v>
      </c>
      <c r="K767" t="n">
        <v>101.3</v>
      </c>
    </row>
    <row r="768">
      <c r="A768" s="98" t="n">
        <v>30256</v>
      </c>
      <c r="B768" t="n">
        <v>47.2148</v>
      </c>
      <c r="C768" t="n">
        <v>62.0862</v>
      </c>
      <c r="D768" t="n">
        <v>26.8019</v>
      </c>
      <c r="E768" t="n">
        <v>64.9559</v>
      </c>
      <c r="F768" t="n">
        <v>42.1852</v>
      </c>
      <c r="G768" t="n">
        <v>40.6533</v>
      </c>
      <c r="H768" t="n">
        <v>87.7927</v>
      </c>
      <c r="I768" t="n">
        <v>56.1548</v>
      </c>
      <c r="J768" t="n">
        <v>71.5184</v>
      </c>
      <c r="K768" t="n">
        <v>101.6</v>
      </c>
    </row>
    <row r="769">
      <c r="A769" s="98" t="n">
        <v>30286</v>
      </c>
      <c r="B769" t="n">
        <v>46.8797</v>
      </c>
      <c r="C769" t="n">
        <v>61.6512</v>
      </c>
      <c r="D769" t="n">
        <v>27.0942</v>
      </c>
      <c r="E769" t="n">
        <v>64.1215</v>
      </c>
      <c r="F769" t="n">
        <v>42.0504</v>
      </c>
      <c r="G769" t="n">
        <v>40.2911</v>
      </c>
      <c r="H769" t="n">
        <v>86.7285</v>
      </c>
      <c r="I769" t="n">
        <v>54.4385</v>
      </c>
      <c r="J769" t="n">
        <v>70.9657</v>
      </c>
      <c r="K769" t="n">
        <v>102.2</v>
      </c>
    </row>
    <row r="770">
      <c r="A770" s="98" t="n">
        <v>30317</v>
      </c>
      <c r="B770" t="n">
        <v>47.7491</v>
      </c>
      <c r="C770" t="n">
        <v>63.8469</v>
      </c>
      <c r="D770" t="n">
        <v>27.1261</v>
      </c>
      <c r="E770" t="n">
        <v>65.5034</v>
      </c>
      <c r="F770" t="n">
        <v>43.0464</v>
      </c>
      <c r="G770" t="n">
        <v>41.1948</v>
      </c>
      <c r="H770" t="n">
        <v>87.57769999999999</v>
      </c>
      <c r="I770" t="n">
        <v>54.32</v>
      </c>
      <c r="J770" t="n">
        <v>72.2448</v>
      </c>
      <c r="K770" t="n">
        <v>101.8</v>
      </c>
    </row>
    <row r="771">
      <c r="A771" s="98" t="n">
        <v>30348</v>
      </c>
      <c r="B771" t="n">
        <v>47.4548</v>
      </c>
      <c r="C771" t="n">
        <v>63.488</v>
      </c>
      <c r="D771" t="n">
        <v>27.0271</v>
      </c>
      <c r="E771" t="n">
        <v>64.6658</v>
      </c>
      <c r="F771" t="n">
        <v>43.0236</v>
      </c>
      <c r="G771" t="n">
        <v>41.0514</v>
      </c>
      <c r="H771" t="n">
        <v>85.84950000000001</v>
      </c>
      <c r="I771" t="n">
        <v>52.9218</v>
      </c>
      <c r="J771" t="n">
        <v>71.77</v>
      </c>
      <c r="K771" t="n">
        <v>102.2</v>
      </c>
    </row>
    <row r="772">
      <c r="A772" s="98" t="n">
        <v>30376</v>
      </c>
      <c r="B772" t="n">
        <v>47.8516</v>
      </c>
      <c r="C772" t="n">
        <v>64.23739999999999</v>
      </c>
      <c r="D772" t="n">
        <v>27.3175</v>
      </c>
      <c r="E772" t="n">
        <v>64.93689999999999</v>
      </c>
      <c r="F772" t="n">
        <v>43.4444</v>
      </c>
      <c r="G772" t="n">
        <v>41.4282</v>
      </c>
      <c r="H772" t="n">
        <v>84.7589</v>
      </c>
      <c r="I772" t="n">
        <v>54.8527</v>
      </c>
      <c r="J772" t="n">
        <v>72.3463</v>
      </c>
      <c r="K772" t="n">
        <v>102.5</v>
      </c>
    </row>
    <row r="773">
      <c r="A773" s="98" t="n">
        <v>30407</v>
      </c>
      <c r="B773" t="n">
        <v>48.4511</v>
      </c>
      <c r="C773" t="n">
        <v>65.12090000000001</v>
      </c>
      <c r="D773" t="n">
        <v>27.3688</v>
      </c>
      <c r="E773" t="n">
        <v>66.2526</v>
      </c>
      <c r="F773" t="n">
        <v>43.975</v>
      </c>
      <c r="G773" t="n">
        <v>41.9402</v>
      </c>
      <c r="H773" t="n">
        <v>85.6387</v>
      </c>
      <c r="I773" t="n">
        <v>55.8919</v>
      </c>
      <c r="J773" t="n">
        <v>73.2328</v>
      </c>
      <c r="K773" t="n">
        <v>102.4</v>
      </c>
    </row>
    <row r="774">
      <c r="A774" s="98" t="n">
        <v>30437</v>
      </c>
      <c r="B774" t="n">
        <v>48.7542</v>
      </c>
      <c r="C774" t="n">
        <v>66.3415</v>
      </c>
      <c r="D774" t="n">
        <v>27.7136</v>
      </c>
      <c r="E774" t="n">
        <v>66.4798</v>
      </c>
      <c r="F774" t="n">
        <v>44.5191</v>
      </c>
      <c r="G774" t="n">
        <v>42.2254</v>
      </c>
      <c r="H774" t="n">
        <v>85.2444</v>
      </c>
      <c r="I774" t="n">
        <v>54.8568</v>
      </c>
      <c r="J774" t="n">
        <v>73.67230000000001</v>
      </c>
      <c r="K774" t="n">
        <v>102.6</v>
      </c>
    </row>
    <row r="775">
      <c r="A775" s="98" t="n">
        <v>30468</v>
      </c>
      <c r="B775" t="n">
        <v>49.0496</v>
      </c>
      <c r="C775" t="n">
        <v>67.51900000000001</v>
      </c>
      <c r="D775" t="n">
        <v>27.9128</v>
      </c>
      <c r="E775" t="n">
        <v>66.7133</v>
      </c>
      <c r="F775" t="n">
        <v>44.89</v>
      </c>
      <c r="G775" t="n">
        <v>42.5296</v>
      </c>
      <c r="H775" t="n">
        <v>85.4781</v>
      </c>
      <c r="I775" t="n">
        <v>54.6942</v>
      </c>
      <c r="J775" t="n">
        <v>74.09910000000001</v>
      </c>
      <c r="K775" t="n">
        <v>102.8</v>
      </c>
    </row>
    <row r="776">
      <c r="A776" s="98" t="n">
        <v>30498</v>
      </c>
      <c r="B776" t="n">
        <v>49.7773</v>
      </c>
      <c r="C776" t="n">
        <v>68.9319</v>
      </c>
      <c r="D776" t="n">
        <v>28.4781</v>
      </c>
      <c r="E776" t="n">
        <v>67.59269999999999</v>
      </c>
      <c r="F776" t="n">
        <v>45.5618</v>
      </c>
      <c r="G776" t="n">
        <v>43.2058</v>
      </c>
      <c r="H776" t="n">
        <v>85.9986</v>
      </c>
      <c r="I776" t="n">
        <v>56.577</v>
      </c>
      <c r="J776" t="n">
        <v>75.1751</v>
      </c>
      <c r="K776" t="n">
        <v>103.1</v>
      </c>
    </row>
    <row r="777">
      <c r="A777" s="98" t="n">
        <v>30529</v>
      </c>
      <c r="B777" t="n">
        <v>50.3727</v>
      </c>
      <c r="C777" t="n">
        <v>69.2159</v>
      </c>
      <c r="D777" t="n">
        <v>28.7626</v>
      </c>
      <c r="E777" t="n">
        <v>68.2013</v>
      </c>
      <c r="F777" t="n">
        <v>45.9538</v>
      </c>
      <c r="G777" t="n">
        <v>43.8443</v>
      </c>
      <c r="H777" t="n">
        <v>86.7765</v>
      </c>
      <c r="I777" t="n">
        <v>58.8727</v>
      </c>
      <c r="J777" t="n">
        <v>76.044</v>
      </c>
      <c r="K777" t="n">
        <v>103.5</v>
      </c>
    </row>
    <row r="778">
      <c r="A778" s="98" t="n">
        <v>30560</v>
      </c>
      <c r="B778" t="n">
        <v>51.098</v>
      </c>
      <c r="C778" t="n">
        <v>70.0535</v>
      </c>
      <c r="D778" t="n">
        <v>29.5386</v>
      </c>
      <c r="E778" t="n">
        <v>69.0403</v>
      </c>
      <c r="F778" t="n">
        <v>46.8262</v>
      </c>
      <c r="G778" t="n">
        <v>44.4093</v>
      </c>
      <c r="H778" t="n">
        <v>87.3477</v>
      </c>
      <c r="I778" t="n">
        <v>58.7273</v>
      </c>
      <c r="J778" t="n">
        <v>77.0993</v>
      </c>
      <c r="K778" t="n">
        <v>103.5</v>
      </c>
    </row>
    <row r="779">
      <c r="A779" s="98" t="n">
        <v>30590</v>
      </c>
      <c r="B779" t="n">
        <v>51.4993</v>
      </c>
      <c r="C779" t="n">
        <v>71.18859999999999</v>
      </c>
      <c r="D779" t="n">
        <v>29.8817</v>
      </c>
      <c r="E779" t="n">
        <v>68.65430000000001</v>
      </c>
      <c r="F779" t="n">
        <v>47.3209</v>
      </c>
      <c r="G779" t="n">
        <v>44.9969</v>
      </c>
      <c r="H779" t="n">
        <v>88.22190000000001</v>
      </c>
      <c r="I779" t="n">
        <v>57.7992</v>
      </c>
      <c r="J779" t="n">
        <v>77.65430000000001</v>
      </c>
      <c r="K779" t="n">
        <v>103.6</v>
      </c>
    </row>
    <row r="780">
      <c r="A780" s="98" t="n">
        <v>30621</v>
      </c>
      <c r="B780" t="n">
        <v>51.727</v>
      </c>
      <c r="C780" t="n">
        <v>71.0176</v>
      </c>
      <c r="D780" t="n">
        <v>30.2009</v>
      </c>
      <c r="E780" t="n">
        <v>68.77</v>
      </c>
      <c r="F780" t="n">
        <v>47.5587</v>
      </c>
      <c r="G780" t="n">
        <v>45.2404</v>
      </c>
      <c r="H780" t="n">
        <v>88.2239</v>
      </c>
      <c r="I780" t="n">
        <v>58.1516</v>
      </c>
      <c r="J780" t="n">
        <v>77.9349</v>
      </c>
      <c r="K780" t="n">
        <v>103.8</v>
      </c>
    </row>
    <row r="781">
      <c r="A781" s="98" t="n">
        <v>30651</v>
      </c>
      <c r="B781" t="n">
        <v>51.9886</v>
      </c>
      <c r="C781" t="n">
        <v>71.23260000000001</v>
      </c>
      <c r="D781" t="n">
        <v>30.5055</v>
      </c>
      <c r="E781" t="n">
        <v>68.864</v>
      </c>
      <c r="F781" t="n">
        <v>47.7219</v>
      </c>
      <c r="G781" t="n">
        <v>45.4349</v>
      </c>
      <c r="H781" t="n">
        <v>87.2312</v>
      </c>
      <c r="I781" t="n">
        <v>60.8646</v>
      </c>
      <c r="J781" t="n">
        <v>78.25369999999999</v>
      </c>
      <c r="K781" t="n">
        <v>104.1</v>
      </c>
    </row>
    <row r="782">
      <c r="A782" s="98" t="n">
        <v>30682</v>
      </c>
      <c r="B782" t="n">
        <v>53.0175</v>
      </c>
      <c r="C782" t="n">
        <v>71.65649999999999</v>
      </c>
      <c r="D782" t="n">
        <v>31.1792</v>
      </c>
      <c r="E782" t="n">
        <v>70.22669999999999</v>
      </c>
      <c r="F782" t="n">
        <v>48.5939</v>
      </c>
      <c r="G782" t="n">
        <v>46.3702</v>
      </c>
      <c r="H782" t="n">
        <v>91.3313</v>
      </c>
      <c r="I782" t="n">
        <v>60.6461</v>
      </c>
      <c r="J782" t="n">
        <v>79.71259999999999</v>
      </c>
      <c r="K782" t="n">
        <v>104.5</v>
      </c>
    </row>
    <row r="783">
      <c r="A783" s="98" t="n">
        <v>30713</v>
      </c>
      <c r="B783" t="n">
        <v>53.2651</v>
      </c>
      <c r="C783" t="n">
        <v>73.27030000000001</v>
      </c>
      <c r="D783" t="n">
        <v>31.4408</v>
      </c>
      <c r="E783" t="n">
        <v>70.0951</v>
      </c>
      <c r="F783" t="n">
        <v>49.1311</v>
      </c>
      <c r="G783" t="n">
        <v>46.6129</v>
      </c>
      <c r="H783" t="n">
        <v>90.3317</v>
      </c>
      <c r="I783" t="n">
        <v>59.3598</v>
      </c>
      <c r="J783" t="n">
        <v>79.98139999999999</v>
      </c>
      <c r="K783" t="n">
        <v>104.7</v>
      </c>
    </row>
    <row r="784">
      <c r="A784" s="98" t="n">
        <v>30742</v>
      </c>
      <c r="B784" t="n">
        <v>53.5145</v>
      </c>
      <c r="C784" t="n">
        <v>72.7711</v>
      </c>
      <c r="D784" t="n">
        <v>31.7456</v>
      </c>
      <c r="E784" t="n">
        <v>70.3527</v>
      </c>
      <c r="F784" t="n">
        <v>49.3389</v>
      </c>
      <c r="G784" t="n">
        <v>46.8231</v>
      </c>
      <c r="H784" t="n">
        <v>89.6713</v>
      </c>
      <c r="I784" t="n">
        <v>60.8169</v>
      </c>
      <c r="J784" t="n">
        <v>80.2384</v>
      </c>
      <c r="K784" t="n">
        <v>105.2</v>
      </c>
    </row>
    <row r="785">
      <c r="A785" s="98" t="n">
        <v>30773</v>
      </c>
      <c r="B785" t="n">
        <v>53.8319</v>
      </c>
      <c r="C785" t="n">
        <v>73.2668</v>
      </c>
      <c r="D785" t="n">
        <v>32.0197</v>
      </c>
      <c r="E785" t="n">
        <v>70.5181</v>
      </c>
      <c r="F785" t="n">
        <v>49.5866</v>
      </c>
      <c r="G785" t="n">
        <v>47.136</v>
      </c>
      <c r="H785" t="n">
        <v>91.4306</v>
      </c>
      <c r="I785" t="n">
        <v>60.4988</v>
      </c>
      <c r="J785" t="n">
        <v>80.5838</v>
      </c>
      <c r="K785" t="n">
        <v>105.3</v>
      </c>
    </row>
    <row r="786">
      <c r="A786" s="98" t="n">
        <v>30803</v>
      </c>
      <c r="B786" t="n">
        <v>54.1204</v>
      </c>
      <c r="C786" t="n">
        <v>73.4637</v>
      </c>
      <c r="D786" t="n">
        <v>32.1799</v>
      </c>
      <c r="E786" t="n">
        <v>70.283</v>
      </c>
      <c r="F786" t="n">
        <v>49.7365</v>
      </c>
      <c r="G786" t="n">
        <v>47.4811</v>
      </c>
      <c r="H786" t="n">
        <v>92.79640000000001</v>
      </c>
      <c r="I786" t="n">
        <v>61.0638</v>
      </c>
      <c r="J786" t="n">
        <v>80.87179999999999</v>
      </c>
      <c r="K786" t="n">
        <v>105.3</v>
      </c>
    </row>
    <row r="787">
      <c r="A787" s="98" t="n">
        <v>30834</v>
      </c>
      <c r="B787" t="n">
        <v>54.3133</v>
      </c>
      <c r="C787" t="n">
        <v>73.9876</v>
      </c>
      <c r="D787" t="n">
        <v>32.5114</v>
      </c>
      <c r="E787" t="n">
        <v>70.2595</v>
      </c>
      <c r="F787" t="n">
        <v>49.9635</v>
      </c>
      <c r="G787" t="n">
        <v>47.5872</v>
      </c>
      <c r="H787" t="n">
        <v>93.1713</v>
      </c>
      <c r="I787" t="n">
        <v>60.7418</v>
      </c>
      <c r="J787" t="n">
        <v>81.0034</v>
      </c>
      <c r="K787" t="n">
        <v>105.5</v>
      </c>
    </row>
    <row r="788">
      <c r="A788" s="98" t="n">
        <v>30864</v>
      </c>
      <c r="B788" t="n">
        <v>54.4644</v>
      </c>
      <c r="C788" t="n">
        <v>73.732</v>
      </c>
      <c r="D788" t="n">
        <v>32.9689</v>
      </c>
      <c r="E788" t="n">
        <v>70.2435</v>
      </c>
      <c r="F788" t="n">
        <v>50.1714</v>
      </c>
      <c r="G788" t="n">
        <v>47.7234</v>
      </c>
      <c r="H788" t="n">
        <v>94.74169999999999</v>
      </c>
      <c r="I788" t="n">
        <v>59.099</v>
      </c>
      <c r="J788" t="n">
        <v>81.06229999999999</v>
      </c>
      <c r="K788" t="n">
        <v>105.7</v>
      </c>
    </row>
    <row r="789">
      <c r="A789" s="98" t="n">
        <v>30895</v>
      </c>
      <c r="B789" t="n">
        <v>54.53</v>
      </c>
      <c r="C789" t="n">
        <v>73.98180000000001</v>
      </c>
      <c r="D789" t="n">
        <v>33.2873</v>
      </c>
      <c r="E789" t="n">
        <v>69.9024</v>
      </c>
      <c r="F789" t="n">
        <v>50.2617</v>
      </c>
      <c r="G789" t="n">
        <v>47.6989</v>
      </c>
      <c r="H789" t="n">
        <v>93.75069999999999</v>
      </c>
      <c r="I789" t="n">
        <v>59.7258</v>
      </c>
      <c r="J789" t="n">
        <v>80.9851</v>
      </c>
      <c r="K789" t="n">
        <v>105.9</v>
      </c>
    </row>
    <row r="790">
      <c r="A790" s="98" t="n">
        <v>30926</v>
      </c>
      <c r="B790" t="n">
        <v>54.3775</v>
      </c>
      <c r="C790" t="n">
        <v>74.17700000000001</v>
      </c>
      <c r="D790" t="n">
        <v>33.3419</v>
      </c>
      <c r="E790" t="n">
        <v>69.66840000000001</v>
      </c>
      <c r="F790" t="n">
        <v>50.0761</v>
      </c>
      <c r="G790" t="n">
        <v>47.4464</v>
      </c>
      <c r="H790" t="n">
        <v>94.3604</v>
      </c>
      <c r="I790" t="n">
        <v>59.1035</v>
      </c>
      <c r="J790" t="n">
        <v>80.57729999999999</v>
      </c>
      <c r="K790" t="n">
        <v>106.2</v>
      </c>
    </row>
    <row r="791">
      <c r="A791" s="98" t="n">
        <v>30956</v>
      </c>
      <c r="B791" t="n">
        <v>54.3528</v>
      </c>
      <c r="C791" t="n">
        <v>73.9843</v>
      </c>
      <c r="D791" t="n">
        <v>33.6037</v>
      </c>
      <c r="E791" t="n">
        <v>70.29259999999999</v>
      </c>
      <c r="F791" t="n">
        <v>50.336</v>
      </c>
      <c r="G791" t="n">
        <v>47.059</v>
      </c>
      <c r="H791" t="n">
        <v>91.2736</v>
      </c>
      <c r="I791" t="n">
        <v>59.0717</v>
      </c>
      <c r="J791" t="n">
        <v>80.3528</v>
      </c>
      <c r="K791" t="n">
        <v>105.9</v>
      </c>
    </row>
    <row r="792">
      <c r="A792" s="98" t="n">
        <v>30987</v>
      </c>
      <c r="B792" t="n">
        <v>54.5344</v>
      </c>
      <c r="C792" t="n">
        <v>73.8432</v>
      </c>
      <c r="D792" t="n">
        <v>33.8958</v>
      </c>
      <c r="E792" t="n">
        <v>70.492</v>
      </c>
      <c r="F792" t="n">
        <v>50.4708</v>
      </c>
      <c r="G792" t="n">
        <v>47.2121</v>
      </c>
      <c r="H792" t="n">
        <v>91.3434</v>
      </c>
      <c r="I792" t="n">
        <v>59.832</v>
      </c>
      <c r="J792" t="n">
        <v>80.4271</v>
      </c>
      <c r="K792" t="n">
        <v>106.2</v>
      </c>
    </row>
    <row r="793">
      <c r="A793" s="98" t="n">
        <v>31017</v>
      </c>
      <c r="B793" t="n">
        <v>54.5608</v>
      </c>
      <c r="C793" t="n">
        <v>74.5089</v>
      </c>
      <c r="D793" t="n">
        <v>34.0959</v>
      </c>
      <c r="E793" t="n">
        <v>70.82129999999999</v>
      </c>
      <c r="F793" t="n">
        <v>50.6128</v>
      </c>
      <c r="G793" t="n">
        <v>47.0693</v>
      </c>
      <c r="H793" t="n">
        <v>91.46680000000001</v>
      </c>
      <c r="I793" t="n">
        <v>58.8258</v>
      </c>
      <c r="J793" t="n">
        <v>80.2683</v>
      </c>
      <c r="K793" t="n">
        <v>106.3</v>
      </c>
    </row>
    <row r="794">
      <c r="A794" s="98" t="n">
        <v>31048</v>
      </c>
      <c r="B794" t="n">
        <v>54.5342</v>
      </c>
      <c r="C794" t="n">
        <v>73.2894</v>
      </c>
      <c r="D794" t="n">
        <v>34.0467</v>
      </c>
      <c r="E794" t="n">
        <v>70.4171</v>
      </c>
      <c r="F794" t="n">
        <v>50.4877</v>
      </c>
      <c r="G794" t="n">
        <v>47.2183</v>
      </c>
      <c r="H794" t="n">
        <v>89.3241</v>
      </c>
      <c r="I794" t="n">
        <v>61.301</v>
      </c>
      <c r="J794" t="n">
        <v>80.0283</v>
      </c>
      <c r="K794" t="n">
        <v>106.9</v>
      </c>
    </row>
    <row r="795">
      <c r="A795" s="98" t="n">
        <v>31079</v>
      </c>
      <c r="B795" t="n">
        <v>54.7019</v>
      </c>
      <c r="C795" t="n">
        <v>73.4021</v>
      </c>
      <c r="D795" t="n">
        <v>33.8074</v>
      </c>
      <c r="E795" t="n">
        <v>70.8282</v>
      </c>
      <c r="F795" t="n">
        <v>50.268</v>
      </c>
      <c r="G795" t="n">
        <v>47.337</v>
      </c>
      <c r="H795" t="n">
        <v>91.0004</v>
      </c>
      <c r="I795" t="n">
        <v>63.4318</v>
      </c>
      <c r="J795" t="n">
        <v>80.0705</v>
      </c>
      <c r="K795" t="n">
        <v>107.3</v>
      </c>
    </row>
    <row r="796">
      <c r="A796" s="98" t="n">
        <v>31107</v>
      </c>
      <c r="B796" t="n">
        <v>54.7739</v>
      </c>
      <c r="C796" t="n">
        <v>75.35509999999999</v>
      </c>
      <c r="D796" t="n">
        <v>34.1674</v>
      </c>
      <c r="E796" t="n">
        <v>70.76220000000001</v>
      </c>
      <c r="F796" t="n">
        <v>50.6388</v>
      </c>
      <c r="G796" t="n">
        <v>47.2376</v>
      </c>
      <c r="H796" t="n">
        <v>91.2355</v>
      </c>
      <c r="I796" t="n">
        <v>60.513</v>
      </c>
      <c r="J796" t="n">
        <v>79.97199999999999</v>
      </c>
      <c r="K796" t="n">
        <v>107.6</v>
      </c>
    </row>
    <row r="797">
      <c r="A797" s="98" t="n">
        <v>31138</v>
      </c>
      <c r="B797" t="n">
        <v>54.6662</v>
      </c>
      <c r="C797" t="n">
        <v>75.2933</v>
      </c>
      <c r="D797" t="n">
        <v>33.8786</v>
      </c>
      <c r="E797" t="n">
        <v>70.3888</v>
      </c>
      <c r="F797" t="n">
        <v>50.4668</v>
      </c>
      <c r="G797" t="n">
        <v>47.2239</v>
      </c>
      <c r="H797" t="n">
        <v>90.9888</v>
      </c>
      <c r="I797" t="n">
        <v>61.1038</v>
      </c>
      <c r="J797" t="n">
        <v>79.6139</v>
      </c>
      <c r="K797" t="n">
        <v>107.6</v>
      </c>
    </row>
    <row r="798">
      <c r="A798" s="98" t="n">
        <v>31168</v>
      </c>
      <c r="B798" t="n">
        <v>54.7472</v>
      </c>
      <c r="C798" t="n">
        <v>75.611</v>
      </c>
      <c r="D798" t="n">
        <v>33.9581</v>
      </c>
      <c r="E798" t="n">
        <v>70.5039</v>
      </c>
      <c r="F798" t="n">
        <v>50.5752</v>
      </c>
      <c r="G798" t="n">
        <v>47.2599</v>
      </c>
      <c r="H798" t="n">
        <v>91.16589999999999</v>
      </c>
      <c r="I798" t="n">
        <v>60.9673</v>
      </c>
      <c r="J798" t="n">
        <v>79.5339</v>
      </c>
      <c r="K798" t="n">
        <v>107.8</v>
      </c>
    </row>
    <row r="799">
      <c r="A799" s="98" t="n">
        <v>31199</v>
      </c>
      <c r="B799" t="n">
        <v>54.7211</v>
      </c>
      <c r="C799" t="n">
        <v>75.9923</v>
      </c>
      <c r="D799" t="n">
        <v>33.9966</v>
      </c>
      <c r="E799" t="n">
        <v>70.74160000000001</v>
      </c>
      <c r="F799" t="n">
        <v>50.5914</v>
      </c>
      <c r="G799" t="n">
        <v>47.1182</v>
      </c>
      <c r="H799" t="n">
        <v>91.2694</v>
      </c>
      <c r="I799" t="n">
        <v>60.425</v>
      </c>
      <c r="J799" t="n">
        <v>79.30289999999999</v>
      </c>
      <c r="K799" t="n">
        <v>108.2</v>
      </c>
    </row>
    <row r="800">
      <c r="A800" s="98" t="n">
        <v>31229</v>
      </c>
      <c r="B800" t="n">
        <v>54.4381</v>
      </c>
      <c r="C800" t="n">
        <v>75.7333</v>
      </c>
      <c r="D800" t="n">
        <v>33.8425</v>
      </c>
      <c r="E800" t="n">
        <v>70.5134</v>
      </c>
      <c r="F800" t="n">
        <v>50.3715</v>
      </c>
      <c r="G800" t="n">
        <v>46.8377</v>
      </c>
      <c r="H800" t="n">
        <v>89.6992</v>
      </c>
      <c r="I800" t="n">
        <v>60.6389</v>
      </c>
      <c r="J800" t="n">
        <v>78.70869999999999</v>
      </c>
      <c r="K800" t="n">
        <v>108.4</v>
      </c>
    </row>
    <row r="801">
      <c r="A801" s="98" t="n">
        <v>31260</v>
      </c>
      <c r="B801" t="n">
        <v>54.619</v>
      </c>
      <c r="C801" t="n">
        <v>75.7992</v>
      </c>
      <c r="D801" t="n">
        <v>33.8855</v>
      </c>
      <c r="E801" t="n">
        <v>70.8344</v>
      </c>
      <c r="F801" t="n">
        <v>50.6306</v>
      </c>
      <c r="G801" t="n">
        <v>46.9089</v>
      </c>
      <c r="H801" t="n">
        <v>89.538</v>
      </c>
      <c r="I801" t="n">
        <v>60.505</v>
      </c>
      <c r="J801" t="n">
        <v>78.7942</v>
      </c>
      <c r="K801" t="n">
        <v>108.5</v>
      </c>
    </row>
    <row r="802">
      <c r="A802" s="98" t="n">
        <v>31291</v>
      </c>
      <c r="B802" t="n">
        <v>54.82</v>
      </c>
      <c r="C802" t="n">
        <v>75.759</v>
      </c>
      <c r="D802" t="n">
        <v>33.7945</v>
      </c>
      <c r="E802" t="n">
        <v>71.17230000000001</v>
      </c>
      <c r="F802" t="n">
        <v>50.679</v>
      </c>
      <c r="G802" t="n">
        <v>47.1449</v>
      </c>
      <c r="H802" t="n">
        <v>90.5775</v>
      </c>
      <c r="I802" t="n">
        <v>61.6756</v>
      </c>
      <c r="J802" t="n">
        <v>78.91800000000001</v>
      </c>
      <c r="K802" t="n">
        <v>107.9</v>
      </c>
    </row>
    <row r="803">
      <c r="A803" s="98" t="n">
        <v>31321</v>
      </c>
      <c r="B803" t="n">
        <v>54.6304</v>
      </c>
      <c r="C803" t="n">
        <v>75.87730000000001</v>
      </c>
      <c r="D803" t="n">
        <v>33.7433</v>
      </c>
      <c r="E803" t="n">
        <v>71.0817</v>
      </c>
      <c r="F803" t="n">
        <v>50.5837</v>
      </c>
      <c r="G803" t="n">
        <v>46.8696</v>
      </c>
      <c r="H803" t="n">
        <v>89.9764</v>
      </c>
      <c r="I803" t="n">
        <v>61.1207</v>
      </c>
      <c r="J803" t="n">
        <v>78.49120000000001</v>
      </c>
      <c r="K803" t="n">
        <v>108.9</v>
      </c>
    </row>
    <row r="804">
      <c r="A804" s="98" t="n">
        <v>31352</v>
      </c>
      <c r="B804" t="n">
        <v>54.8176</v>
      </c>
      <c r="C804" t="n">
        <v>75.8321</v>
      </c>
      <c r="D804" t="n">
        <v>34.0485</v>
      </c>
      <c r="E804" t="n">
        <v>71.4846</v>
      </c>
      <c r="F804" t="n">
        <v>50.9361</v>
      </c>
      <c r="G804" t="n">
        <v>46.9291</v>
      </c>
      <c r="H804" t="n">
        <v>88.8758</v>
      </c>
      <c r="I804" t="n">
        <v>61.0196</v>
      </c>
      <c r="J804" t="n">
        <v>78.6182</v>
      </c>
      <c r="K804" t="n">
        <v>109.1</v>
      </c>
    </row>
    <row r="805">
      <c r="A805" s="98" t="n">
        <v>31382</v>
      </c>
      <c r="B805" t="n">
        <v>55.3596</v>
      </c>
      <c r="C805" t="n">
        <v>75.55629999999999</v>
      </c>
      <c r="D805" t="n">
        <v>33.98</v>
      </c>
      <c r="E805" t="n">
        <v>72.1367</v>
      </c>
      <c r="F805" t="n">
        <v>51.1068</v>
      </c>
      <c r="G805" t="n">
        <v>47.5914</v>
      </c>
      <c r="H805" t="n">
        <v>90.7062</v>
      </c>
      <c r="I805" t="n">
        <v>63.9209</v>
      </c>
      <c r="J805" t="n">
        <v>79.2651</v>
      </c>
      <c r="K805" t="n">
        <v>109.1</v>
      </c>
    </row>
    <row r="806">
      <c r="A806" s="98" t="n">
        <v>31413</v>
      </c>
      <c r="B806" t="n">
        <v>55.6511</v>
      </c>
      <c r="C806" t="n">
        <v>77.1694</v>
      </c>
      <c r="D806" t="n">
        <v>34.0632</v>
      </c>
      <c r="E806" t="n">
        <v>72.9945</v>
      </c>
      <c r="F806" t="n">
        <v>51.7209</v>
      </c>
      <c r="G806" t="n">
        <v>47.6625</v>
      </c>
      <c r="H806" t="n">
        <v>90.4312</v>
      </c>
      <c r="I806" t="n">
        <v>61.8978</v>
      </c>
      <c r="J806" t="n">
        <v>79.56359999999999</v>
      </c>
      <c r="K806" t="n">
        <v>109.3</v>
      </c>
    </row>
    <row r="807">
      <c r="A807" s="98" t="n">
        <v>31444</v>
      </c>
      <c r="B807" t="n">
        <v>55.27</v>
      </c>
      <c r="C807" t="n">
        <v>76.43300000000001</v>
      </c>
      <c r="D807" t="n">
        <v>33.7065</v>
      </c>
      <c r="E807" t="n">
        <v>72.3652</v>
      </c>
      <c r="F807" t="n">
        <v>51.4553</v>
      </c>
      <c r="G807" t="n">
        <v>47.4809</v>
      </c>
      <c r="H807" t="n">
        <v>89.1978</v>
      </c>
      <c r="I807" t="n">
        <v>61.3652</v>
      </c>
      <c r="J807" t="n">
        <v>78.9134</v>
      </c>
      <c r="K807" t="n">
        <v>109.5</v>
      </c>
    </row>
    <row r="808">
      <c r="A808" s="98" t="n">
        <v>31472</v>
      </c>
      <c r="B808" t="n">
        <v>54.8828</v>
      </c>
      <c r="C808" t="n">
        <v>76.6407</v>
      </c>
      <c r="D808" t="n">
        <v>33.6812</v>
      </c>
      <c r="E808" t="n">
        <v>72.10339999999999</v>
      </c>
      <c r="F808" t="n">
        <v>51.2823</v>
      </c>
      <c r="G808" t="n">
        <v>46.9509</v>
      </c>
      <c r="H808" t="n">
        <v>86.8082</v>
      </c>
      <c r="I808" t="n">
        <v>60.5068</v>
      </c>
      <c r="J808" t="n">
        <v>78.2664</v>
      </c>
      <c r="K808" t="n">
        <v>109.6</v>
      </c>
    </row>
    <row r="809">
      <c r="A809" s="98" t="n">
        <v>31503</v>
      </c>
      <c r="B809" t="n">
        <v>54.9456</v>
      </c>
      <c r="C809" t="n">
        <v>77.38039999999999</v>
      </c>
      <c r="D809" t="n">
        <v>33.4645</v>
      </c>
      <c r="E809" t="n">
        <v>72.5823</v>
      </c>
      <c r="F809" t="n">
        <v>51.413</v>
      </c>
      <c r="G809" t="n">
        <v>46.8757</v>
      </c>
      <c r="H809" t="n">
        <v>83.9264</v>
      </c>
      <c r="I809" t="n">
        <v>60.8619</v>
      </c>
      <c r="J809" t="n">
        <v>78.2696</v>
      </c>
      <c r="K809" t="n">
        <v>110.1</v>
      </c>
    </row>
    <row r="810">
      <c r="A810" s="98" t="n">
        <v>31533</v>
      </c>
      <c r="B810" t="n">
        <v>55.0535</v>
      </c>
      <c r="C810" t="n">
        <v>77.83410000000001</v>
      </c>
      <c r="D810" t="n">
        <v>33.4168</v>
      </c>
      <c r="E810" t="n">
        <v>72.9877</v>
      </c>
      <c r="F810" t="n">
        <v>51.4759</v>
      </c>
      <c r="G810" t="n">
        <v>46.8858</v>
      </c>
      <c r="H810" t="n">
        <v>83.43219999999999</v>
      </c>
      <c r="I810" t="n">
        <v>61.5728</v>
      </c>
      <c r="J810" t="n">
        <v>78.3421</v>
      </c>
      <c r="K810" t="n">
        <v>110.2</v>
      </c>
    </row>
    <row r="811">
      <c r="A811" s="98" t="n">
        <v>31564</v>
      </c>
      <c r="B811" t="n">
        <v>54.837</v>
      </c>
      <c r="C811" t="n">
        <v>77.0321</v>
      </c>
      <c r="D811" t="n">
        <v>33.0677</v>
      </c>
      <c r="E811" t="n">
        <v>72.9823</v>
      </c>
      <c r="F811" t="n">
        <v>51.273</v>
      </c>
      <c r="G811" t="n">
        <v>46.634</v>
      </c>
      <c r="H811" t="n">
        <v>82.3002</v>
      </c>
      <c r="I811" t="n">
        <v>61.9346</v>
      </c>
      <c r="J811" t="n">
        <v>77.9558</v>
      </c>
      <c r="K811" t="n">
        <v>110.5</v>
      </c>
    </row>
    <row r="812">
      <c r="A812" s="98" t="n">
        <v>31594</v>
      </c>
      <c r="B812" t="n">
        <v>55.1716</v>
      </c>
      <c r="C812" t="n">
        <v>77.4511</v>
      </c>
      <c r="D812" t="n">
        <v>33.3087</v>
      </c>
      <c r="E812" t="n">
        <v>73.4243</v>
      </c>
      <c r="F812" t="n">
        <v>51.5502</v>
      </c>
      <c r="G812" t="n">
        <v>46.96</v>
      </c>
      <c r="H812" t="n">
        <v>81.9552</v>
      </c>
      <c r="I812" t="n">
        <v>63.0527</v>
      </c>
      <c r="J812" t="n">
        <v>78.3535</v>
      </c>
      <c r="K812" t="n">
        <v>110.7</v>
      </c>
    </row>
    <row r="813">
      <c r="A813" s="98" t="n">
        <v>31625</v>
      </c>
      <c r="B813" t="n">
        <v>55.0792</v>
      </c>
      <c r="C813" t="n">
        <v>78.24679999999999</v>
      </c>
      <c r="D813" t="n">
        <v>33.2864</v>
      </c>
      <c r="E813" t="n">
        <v>73.3595</v>
      </c>
      <c r="F813" t="n">
        <v>51.6957</v>
      </c>
      <c r="G813" t="n">
        <v>46.7637</v>
      </c>
      <c r="H813" t="n">
        <v>81.2029</v>
      </c>
      <c r="I813" t="n">
        <v>61.5011</v>
      </c>
      <c r="J813" t="n">
        <v>78.14190000000001</v>
      </c>
      <c r="K813" t="n">
        <v>110.8</v>
      </c>
    </row>
    <row r="814">
      <c r="A814" s="98" t="n">
        <v>31656</v>
      </c>
      <c r="B814" t="n">
        <v>55.2317</v>
      </c>
      <c r="C814" t="n">
        <v>78.33629999999999</v>
      </c>
      <c r="D814" t="n">
        <v>33.3748</v>
      </c>
      <c r="E814" t="n">
        <v>73.4842</v>
      </c>
      <c r="F814" t="n">
        <v>51.8413</v>
      </c>
      <c r="G814" t="n">
        <v>46.9465</v>
      </c>
      <c r="H814" t="n">
        <v>80.5702</v>
      </c>
      <c r="I814" t="n">
        <v>62.094</v>
      </c>
      <c r="J814" t="n">
        <v>78.2726</v>
      </c>
      <c r="K814" t="n">
        <v>110.7</v>
      </c>
    </row>
    <row r="815">
      <c r="A815" s="98" t="n">
        <v>31686</v>
      </c>
      <c r="B815" t="n">
        <v>55.4645</v>
      </c>
      <c r="C815" t="n">
        <v>78.3275</v>
      </c>
      <c r="D815" t="n">
        <v>33.2795</v>
      </c>
      <c r="E815" t="n">
        <v>73.7672</v>
      </c>
      <c r="F815" t="n">
        <v>52.0368</v>
      </c>
      <c r="G815" t="n">
        <v>47.2199</v>
      </c>
      <c r="H815" t="n">
        <v>81.0949</v>
      </c>
      <c r="I815" t="n">
        <v>62.4938</v>
      </c>
      <c r="J815" t="n">
        <v>78.5086</v>
      </c>
      <c r="K815" t="n">
        <v>111.8</v>
      </c>
    </row>
    <row r="816">
      <c r="A816" s="98" t="n">
        <v>31717</v>
      </c>
      <c r="B816" t="n">
        <v>55.6854</v>
      </c>
      <c r="C816" t="n">
        <v>78.5284</v>
      </c>
      <c r="D816" t="n">
        <v>33.2764</v>
      </c>
      <c r="E816" t="n">
        <v>74.2773</v>
      </c>
      <c r="F816" t="n">
        <v>52.2282</v>
      </c>
      <c r="G816" t="n">
        <v>47.4229</v>
      </c>
      <c r="H816" t="n">
        <v>82.07599999999999</v>
      </c>
      <c r="I816" t="n">
        <v>62.5284</v>
      </c>
      <c r="J816" t="n">
        <v>78.7174</v>
      </c>
      <c r="K816" t="n">
        <v>112</v>
      </c>
    </row>
    <row r="817">
      <c r="A817" s="98" t="n">
        <v>31747</v>
      </c>
      <c r="B817" t="n">
        <v>56.212</v>
      </c>
      <c r="C817" t="n">
        <v>79.0449</v>
      </c>
      <c r="D817" t="n">
        <v>33.6449</v>
      </c>
      <c r="E817" t="n">
        <v>75.0275</v>
      </c>
      <c r="F817" t="n">
        <v>52.743</v>
      </c>
      <c r="G817" t="n">
        <v>47.8195</v>
      </c>
      <c r="H817" t="n">
        <v>82.131</v>
      </c>
      <c r="I817" t="n">
        <v>63.4052</v>
      </c>
      <c r="J817" t="n">
        <v>79.3476</v>
      </c>
      <c r="K817" t="n">
        <v>112.1</v>
      </c>
    </row>
    <row r="818">
      <c r="A818" s="98" t="n">
        <v>31778</v>
      </c>
      <c r="B818" t="n">
        <v>56.0012</v>
      </c>
      <c r="C818" t="n">
        <v>79.8356</v>
      </c>
      <c r="D818" t="n">
        <v>33.6856</v>
      </c>
      <c r="E818" t="n">
        <v>74.22190000000001</v>
      </c>
      <c r="F818" t="n">
        <v>52.5503</v>
      </c>
      <c r="G818" t="n">
        <v>47.7224</v>
      </c>
      <c r="H818" t="n">
        <v>82.8327</v>
      </c>
      <c r="I818" t="n">
        <v>62.4938</v>
      </c>
      <c r="J818" t="n">
        <v>78.9277</v>
      </c>
      <c r="K818" t="n">
        <v>112.5</v>
      </c>
    </row>
    <row r="819">
      <c r="A819" s="98" t="n">
        <v>31809</v>
      </c>
      <c r="B819" t="n">
        <v>56.7438</v>
      </c>
      <c r="C819" t="n">
        <v>81.3886</v>
      </c>
      <c r="D819" t="n">
        <v>34.4511</v>
      </c>
      <c r="E819" t="n">
        <v>75.2075</v>
      </c>
      <c r="F819" t="n">
        <v>53.3353</v>
      </c>
      <c r="G819" t="n">
        <v>48.3095</v>
      </c>
      <c r="H819" t="n">
        <v>82.8927</v>
      </c>
      <c r="I819" t="n">
        <v>63.0964</v>
      </c>
      <c r="J819" t="n">
        <v>79.8385</v>
      </c>
      <c r="K819" t="n">
        <v>112.3</v>
      </c>
    </row>
    <row r="820">
      <c r="A820" s="98" t="n">
        <v>31837</v>
      </c>
      <c r="B820" t="n">
        <v>56.8235</v>
      </c>
      <c r="C820" t="n">
        <v>81.0663</v>
      </c>
      <c r="D820" t="n">
        <v>34.4148</v>
      </c>
      <c r="E820" t="n">
        <v>75.3768</v>
      </c>
      <c r="F820" t="n">
        <v>53.3533</v>
      </c>
      <c r="G820" t="n">
        <v>48.3762</v>
      </c>
      <c r="H820" t="n">
        <v>82.54989999999999</v>
      </c>
      <c r="I820" t="n">
        <v>63.7684</v>
      </c>
      <c r="J820" t="n">
        <v>79.80549999999999</v>
      </c>
      <c r="K820" t="n">
        <v>112.4</v>
      </c>
    </row>
    <row r="821">
      <c r="A821" s="98" t="n">
        <v>31868</v>
      </c>
      <c r="B821" t="n">
        <v>57.1954</v>
      </c>
      <c r="C821" t="n">
        <v>81.49850000000001</v>
      </c>
      <c r="D821" t="n">
        <v>34.7121</v>
      </c>
      <c r="E821" t="n">
        <v>75.2936</v>
      </c>
      <c r="F821" t="n">
        <v>53.6835</v>
      </c>
      <c r="G821" t="n">
        <v>48.8516</v>
      </c>
      <c r="H821" t="n">
        <v>83.1498</v>
      </c>
      <c r="I821" t="n">
        <v>64.3867</v>
      </c>
      <c r="J821" t="n">
        <v>80.1758</v>
      </c>
      <c r="K821" t="n">
        <v>112.9</v>
      </c>
    </row>
    <row r="822">
      <c r="A822" s="98" t="n">
        <v>31898</v>
      </c>
      <c r="B822" t="n">
        <v>57.5498</v>
      </c>
      <c r="C822" t="n">
        <v>82.1271</v>
      </c>
      <c r="D822" t="n">
        <v>35.0045</v>
      </c>
      <c r="E822" t="n">
        <v>75.8681</v>
      </c>
      <c r="F822" t="n">
        <v>54.0583</v>
      </c>
      <c r="G822" t="n">
        <v>49.0557</v>
      </c>
      <c r="H822" t="n">
        <v>82.9306</v>
      </c>
      <c r="I822" t="n">
        <v>64.8546</v>
      </c>
      <c r="J822" t="n">
        <v>80.5155</v>
      </c>
      <c r="K822" t="n">
        <v>113</v>
      </c>
    </row>
    <row r="823">
      <c r="A823" s="98" t="n">
        <v>31929</v>
      </c>
      <c r="B823" t="n">
        <v>57.8603</v>
      </c>
      <c r="C823" t="n">
        <v>82.3193</v>
      </c>
      <c r="D823" t="n">
        <v>35.229</v>
      </c>
      <c r="E823" t="n">
        <v>76.0805</v>
      </c>
      <c r="F823" t="n">
        <v>54.2685</v>
      </c>
      <c r="G823" t="n">
        <v>49.4247</v>
      </c>
      <c r="H823" t="n">
        <v>83.7073</v>
      </c>
      <c r="I823" t="n">
        <v>65.5881</v>
      </c>
      <c r="J823" t="n">
        <v>80.7902</v>
      </c>
      <c r="K823" t="n">
        <v>113.1</v>
      </c>
    </row>
    <row r="824">
      <c r="A824" s="98" t="n">
        <v>31959</v>
      </c>
      <c r="B824" t="n">
        <v>58.2501</v>
      </c>
      <c r="C824" t="n">
        <v>82.6835</v>
      </c>
      <c r="D824" t="n">
        <v>35.5327</v>
      </c>
      <c r="E824" t="n">
        <v>76.58759999999999</v>
      </c>
      <c r="F824" t="n">
        <v>54.6903</v>
      </c>
      <c r="G824" t="n">
        <v>49.7539</v>
      </c>
      <c r="H824" t="n">
        <v>84.0018</v>
      </c>
      <c r="I824" t="n">
        <v>65.7052</v>
      </c>
      <c r="J824" t="n">
        <v>81.1772</v>
      </c>
      <c r="K824" t="n">
        <v>113.3</v>
      </c>
    </row>
    <row r="825">
      <c r="A825" s="98" t="n">
        <v>31990</v>
      </c>
      <c r="B825" t="n">
        <v>58.6889</v>
      </c>
      <c r="C825" t="n">
        <v>83.2932</v>
      </c>
      <c r="D825" t="n">
        <v>36.0392</v>
      </c>
      <c r="E825" t="n">
        <v>76.98</v>
      </c>
      <c r="F825" t="n">
        <v>54.9859</v>
      </c>
      <c r="G825" t="n">
        <v>50.1348</v>
      </c>
      <c r="H825" t="n">
        <v>85.84399999999999</v>
      </c>
      <c r="I825" t="n">
        <v>66.5761</v>
      </c>
      <c r="J825" t="n">
        <v>81.6378</v>
      </c>
      <c r="K825" t="n">
        <v>113.6</v>
      </c>
    </row>
    <row r="826">
      <c r="A826" s="98" t="n">
        <v>32021</v>
      </c>
      <c r="B826" t="n">
        <v>58.9137</v>
      </c>
      <c r="C826" t="n">
        <v>83.7659</v>
      </c>
      <c r="D826" t="n">
        <v>36.6078</v>
      </c>
      <c r="E826" t="n">
        <v>76.77800000000001</v>
      </c>
      <c r="F826" t="n">
        <v>55.3803</v>
      </c>
      <c r="G826" t="n">
        <v>50.3421</v>
      </c>
      <c r="H826" t="n">
        <v>86.1932</v>
      </c>
      <c r="I826" t="n">
        <v>65.1661</v>
      </c>
      <c r="J826" t="n">
        <v>81.8095</v>
      </c>
      <c r="K826" t="n">
        <v>113.9</v>
      </c>
    </row>
    <row r="827">
      <c r="A827" s="98" t="n">
        <v>32051</v>
      </c>
      <c r="B827" t="n">
        <v>59.7083</v>
      </c>
      <c r="C827" t="n">
        <v>84.77670000000001</v>
      </c>
      <c r="D827" t="n">
        <v>37.346</v>
      </c>
      <c r="E827" t="n">
        <v>78.0885</v>
      </c>
      <c r="F827" t="n">
        <v>56.2464</v>
      </c>
      <c r="G827" t="n">
        <v>50.985</v>
      </c>
      <c r="H827" t="n">
        <v>86.9284</v>
      </c>
      <c r="I827" t="n">
        <v>65.8094</v>
      </c>
      <c r="J827" t="n">
        <v>82.7829</v>
      </c>
      <c r="K827" t="n">
        <v>114</v>
      </c>
    </row>
    <row r="828">
      <c r="A828" s="98" t="n">
        <v>32082</v>
      </c>
      <c r="B828" t="n">
        <v>60.0022</v>
      </c>
      <c r="C828" t="n">
        <v>84.7696</v>
      </c>
      <c r="D828" t="n">
        <v>37.5847</v>
      </c>
      <c r="E828" t="n">
        <v>78.11539999999999</v>
      </c>
      <c r="F828" t="n">
        <v>56.5301</v>
      </c>
      <c r="G828" t="n">
        <v>51.4569</v>
      </c>
      <c r="H828" t="n">
        <v>87.4277</v>
      </c>
      <c r="I828" t="n">
        <v>65.8383</v>
      </c>
      <c r="J828" t="n">
        <v>83.0749</v>
      </c>
      <c r="K828" t="n">
        <v>114.2</v>
      </c>
    </row>
    <row r="829">
      <c r="A829" s="98" t="n">
        <v>32112</v>
      </c>
      <c r="B829" t="n">
        <v>60.3336</v>
      </c>
      <c r="C829" t="n">
        <v>85.54730000000001</v>
      </c>
      <c r="D829" t="n">
        <v>38.0269</v>
      </c>
      <c r="E829" t="n">
        <v>78.28489999999999</v>
      </c>
      <c r="F829" t="n">
        <v>56.9317</v>
      </c>
      <c r="G829" t="n">
        <v>51.7556</v>
      </c>
      <c r="H829" t="n">
        <v>87.6095</v>
      </c>
      <c r="I829" t="n">
        <v>65.8409</v>
      </c>
      <c r="J829" t="n">
        <v>83.4335</v>
      </c>
      <c r="K829" t="n">
        <v>114.3</v>
      </c>
    </row>
    <row r="830">
      <c r="A830" s="98" t="n">
        <v>32143</v>
      </c>
      <c r="B830" t="n">
        <v>60.3186</v>
      </c>
      <c r="C830" t="n">
        <v>84.00749999999999</v>
      </c>
      <c r="D830" t="n">
        <v>38.0697</v>
      </c>
      <c r="E830" t="n">
        <v>78.5852</v>
      </c>
      <c r="F830" t="n">
        <v>56.7848</v>
      </c>
      <c r="G830" t="n">
        <v>51.5686</v>
      </c>
      <c r="H830" t="n">
        <v>86.36450000000001</v>
      </c>
      <c r="I830" t="n">
        <v>67.642</v>
      </c>
      <c r="J830" t="n">
        <v>83.3283</v>
      </c>
      <c r="K830" t="n">
        <v>115</v>
      </c>
    </row>
    <row r="831">
      <c r="A831" s="98" t="n">
        <v>32174</v>
      </c>
      <c r="B831" t="n">
        <v>60.6209</v>
      </c>
      <c r="C831" t="n">
        <v>84.803</v>
      </c>
      <c r="D831" t="n">
        <v>38.3743</v>
      </c>
      <c r="E831" t="n">
        <v>78.9487</v>
      </c>
      <c r="F831" t="n">
        <v>56.9915</v>
      </c>
      <c r="G831" t="n">
        <v>51.8182</v>
      </c>
      <c r="H831" t="n">
        <v>86.65989999999999</v>
      </c>
      <c r="I831" t="n">
        <v>69.04689999999999</v>
      </c>
      <c r="J831" t="n">
        <v>83.67740000000001</v>
      </c>
      <c r="K831" t="n">
        <v>115.3</v>
      </c>
    </row>
    <row r="832">
      <c r="A832" s="98" t="n">
        <v>32203</v>
      </c>
      <c r="B832" t="n">
        <v>60.7591</v>
      </c>
      <c r="C832" t="n">
        <v>85.17749999999999</v>
      </c>
      <c r="D832" t="n">
        <v>38.7977</v>
      </c>
      <c r="E832" t="n">
        <v>78.83150000000001</v>
      </c>
      <c r="F832" t="n">
        <v>57.1701</v>
      </c>
      <c r="G832" t="n">
        <v>51.9974</v>
      </c>
      <c r="H832" t="n">
        <v>87.3312</v>
      </c>
      <c r="I832" t="n">
        <v>68.7859</v>
      </c>
      <c r="J832" t="n">
        <v>83.8133</v>
      </c>
      <c r="K832" t="n">
        <v>115.6</v>
      </c>
    </row>
    <row r="833">
      <c r="A833" s="98" t="n">
        <v>32234</v>
      </c>
      <c r="B833" t="n">
        <v>61.1144</v>
      </c>
      <c r="C833" t="n">
        <v>84.87779999999999</v>
      </c>
      <c r="D833" t="n">
        <v>39.2318</v>
      </c>
      <c r="E833" t="n">
        <v>79.4686</v>
      </c>
      <c r="F833" t="n">
        <v>57.7029</v>
      </c>
      <c r="G833" t="n">
        <v>52.3274</v>
      </c>
      <c r="H833" t="n">
        <v>86.94750000000001</v>
      </c>
      <c r="I833" t="n">
        <v>68.03400000000001</v>
      </c>
      <c r="J833" t="n">
        <v>84.2599</v>
      </c>
      <c r="K833" t="n">
        <v>115.9</v>
      </c>
    </row>
    <row r="834">
      <c r="A834" s="98" t="n">
        <v>32264</v>
      </c>
      <c r="B834" t="n">
        <v>60.9952</v>
      </c>
      <c r="C834" t="n">
        <v>84.99939999999999</v>
      </c>
      <c r="D834" t="n">
        <v>39.4069</v>
      </c>
      <c r="E834" t="n">
        <v>79.0381</v>
      </c>
      <c r="F834" t="n">
        <v>57.5736</v>
      </c>
      <c r="G834" t="n">
        <v>52.3005</v>
      </c>
      <c r="H834" t="n">
        <v>87.67</v>
      </c>
      <c r="I834" t="n">
        <v>67.8066</v>
      </c>
      <c r="J834" t="n">
        <v>84.0591</v>
      </c>
      <c r="K834" t="n">
        <v>116.2</v>
      </c>
    </row>
    <row r="835">
      <c r="A835" s="98" t="n">
        <v>32295</v>
      </c>
      <c r="B835" t="n">
        <v>61.1697</v>
      </c>
      <c r="C835" t="n">
        <v>84.3772</v>
      </c>
      <c r="D835" t="n">
        <v>39.7326</v>
      </c>
      <c r="E835" t="n">
        <v>79.04049999999999</v>
      </c>
      <c r="F835" t="n">
        <v>57.7132</v>
      </c>
      <c r="G835" t="n">
        <v>52.5384</v>
      </c>
      <c r="H835" t="n">
        <v>87.4914</v>
      </c>
      <c r="I835" t="n">
        <v>68.7106</v>
      </c>
      <c r="J835" t="n">
        <v>84.26609999999999</v>
      </c>
      <c r="K835" t="n">
        <v>116.6</v>
      </c>
    </row>
    <row r="836">
      <c r="A836" s="98" t="n">
        <v>32325</v>
      </c>
      <c r="B836" t="n">
        <v>61.1749</v>
      </c>
      <c r="C836" t="n">
        <v>84.38930000000001</v>
      </c>
      <c r="D836" t="n">
        <v>39.387</v>
      </c>
      <c r="E836" t="n">
        <v>78.9906</v>
      </c>
      <c r="F836" t="n">
        <v>57.6879</v>
      </c>
      <c r="G836" t="n">
        <v>52.598</v>
      </c>
      <c r="H836" t="n">
        <v>87.2139</v>
      </c>
      <c r="I836" t="n">
        <v>69.3741</v>
      </c>
      <c r="J836" t="n">
        <v>84.23950000000001</v>
      </c>
      <c r="K836" t="n">
        <v>117.2</v>
      </c>
    </row>
    <row r="837">
      <c r="A837" s="98" t="n">
        <v>32356</v>
      </c>
      <c r="B837" t="n">
        <v>61.4851</v>
      </c>
      <c r="C837" t="n">
        <v>83.8674</v>
      </c>
      <c r="D837" t="n">
        <v>39.5477</v>
      </c>
      <c r="E837" t="n">
        <v>79.5188</v>
      </c>
      <c r="F837" t="n">
        <v>57.7836</v>
      </c>
      <c r="G837" t="n">
        <v>52.8831</v>
      </c>
      <c r="H837" t="n">
        <v>87.3948</v>
      </c>
      <c r="I837" t="n">
        <v>71.7927</v>
      </c>
      <c r="J837" t="n">
        <v>84.6276</v>
      </c>
      <c r="K837" t="n">
        <v>117.7</v>
      </c>
    </row>
    <row r="838">
      <c r="A838" s="98" t="n">
        <v>32387</v>
      </c>
      <c r="B838" t="n">
        <v>61.2844</v>
      </c>
      <c r="C838" t="n">
        <v>84.15600000000001</v>
      </c>
      <c r="D838" t="n">
        <v>39.9437</v>
      </c>
      <c r="E838" t="n">
        <v>79.0158</v>
      </c>
      <c r="F838" t="n">
        <v>57.9625</v>
      </c>
      <c r="G838" t="n">
        <v>52.6339</v>
      </c>
      <c r="H838" t="n">
        <v>86.29259999999999</v>
      </c>
      <c r="I838" t="n">
        <v>68.4992</v>
      </c>
      <c r="J838" t="n">
        <v>84.304</v>
      </c>
      <c r="K838" t="n">
        <v>118.1</v>
      </c>
    </row>
    <row r="839">
      <c r="A839" s="98" t="n">
        <v>32417</v>
      </c>
      <c r="B839" t="n">
        <v>61.5595</v>
      </c>
      <c r="C839" t="n">
        <v>84.4924</v>
      </c>
      <c r="D839" t="n">
        <v>40.1982</v>
      </c>
      <c r="E839" t="n">
        <v>79.6434</v>
      </c>
      <c r="F839" t="n">
        <v>58.2074</v>
      </c>
      <c r="G839" t="n">
        <v>52.759</v>
      </c>
      <c r="H839" t="n">
        <v>86.4512</v>
      </c>
      <c r="I839" t="n">
        <v>68.96720000000001</v>
      </c>
      <c r="J839" t="n">
        <v>84.623</v>
      </c>
      <c r="K839" t="n">
        <v>118.4</v>
      </c>
    </row>
    <row r="840">
      <c r="A840" s="98" t="n">
        <v>32448</v>
      </c>
      <c r="B840" t="n">
        <v>61.7128</v>
      </c>
      <c r="C840" t="n">
        <v>84.88079999999999</v>
      </c>
      <c r="D840" t="n">
        <v>40.2872</v>
      </c>
      <c r="E840" t="n">
        <v>79.8023</v>
      </c>
      <c r="F840" t="n">
        <v>58.4365</v>
      </c>
      <c r="G840" t="n">
        <v>52.9309</v>
      </c>
      <c r="H840" t="n">
        <v>86.4555</v>
      </c>
      <c r="I840" t="n">
        <v>68.6157</v>
      </c>
      <c r="J840" t="n">
        <v>84.7603</v>
      </c>
      <c r="K840" t="n">
        <v>118.7</v>
      </c>
    </row>
    <row r="841">
      <c r="A841" s="98" t="n">
        <v>32478</v>
      </c>
      <c r="B841" t="n">
        <v>61.9983</v>
      </c>
      <c r="C841" t="n">
        <v>84.881</v>
      </c>
      <c r="D841" t="n">
        <v>40.4432</v>
      </c>
      <c r="E841" t="n">
        <v>80.2205</v>
      </c>
      <c r="F841" t="n">
        <v>58.7163</v>
      </c>
      <c r="G841" t="n">
        <v>53.1989</v>
      </c>
      <c r="H841" t="n">
        <v>86.4036</v>
      </c>
      <c r="I841" t="n">
        <v>69.02549999999999</v>
      </c>
      <c r="J841" t="n">
        <v>85.0642</v>
      </c>
      <c r="K841" t="n">
        <v>119.2</v>
      </c>
    </row>
    <row r="842">
      <c r="A842" s="98" t="n">
        <v>32509</v>
      </c>
      <c r="B842" t="n">
        <v>62.1789</v>
      </c>
      <c r="C842" t="n">
        <v>86.46250000000001</v>
      </c>
      <c r="D842" t="n">
        <v>40.8501</v>
      </c>
      <c r="E842" t="n">
        <v>80.25530000000001</v>
      </c>
      <c r="F842" t="n">
        <v>59.2209</v>
      </c>
      <c r="G842" t="n">
        <v>53.3422</v>
      </c>
      <c r="H842" t="n">
        <v>86.1913</v>
      </c>
      <c r="I842" t="n">
        <v>66.71510000000001</v>
      </c>
      <c r="J842" t="n">
        <v>85.208</v>
      </c>
      <c r="K842" t="n">
        <v>119.9</v>
      </c>
    </row>
    <row r="843">
      <c r="A843" s="98" t="n">
        <v>32540</v>
      </c>
      <c r="B843" t="n">
        <v>61.9074</v>
      </c>
      <c r="C843" t="n">
        <v>84.2997</v>
      </c>
      <c r="D843" t="n">
        <v>40.6756</v>
      </c>
      <c r="E843" t="n">
        <v>80.2784</v>
      </c>
      <c r="F843" t="n">
        <v>58.6186</v>
      </c>
      <c r="G843" t="n">
        <v>52.9719</v>
      </c>
      <c r="H843" t="n">
        <v>84.6121</v>
      </c>
      <c r="I843" t="n">
        <v>70.0663</v>
      </c>
      <c r="J843" t="n">
        <v>84.71680000000001</v>
      </c>
      <c r="K843" t="n">
        <v>120.5</v>
      </c>
    </row>
    <row r="844">
      <c r="A844" s="98" t="n">
        <v>32568</v>
      </c>
      <c r="B844" t="n">
        <v>62.0592</v>
      </c>
      <c r="C844" t="n">
        <v>84.5103</v>
      </c>
      <c r="D844" t="n">
        <v>40.4727</v>
      </c>
      <c r="E844" t="n">
        <v>80.4196</v>
      </c>
      <c r="F844" t="n">
        <v>58.541</v>
      </c>
      <c r="G844" t="n">
        <v>53.1778</v>
      </c>
      <c r="H844" t="n">
        <v>85.2706</v>
      </c>
      <c r="I844" t="n">
        <v>71.9268</v>
      </c>
      <c r="J844" t="n">
        <v>84.7889</v>
      </c>
      <c r="K844" t="n">
        <v>120.7</v>
      </c>
    </row>
    <row r="845">
      <c r="A845" s="98" t="n">
        <v>32599</v>
      </c>
      <c r="B845" t="n">
        <v>62.0424</v>
      </c>
      <c r="C845" t="n">
        <v>84.49509999999999</v>
      </c>
      <c r="D845" t="n">
        <v>41.079</v>
      </c>
      <c r="E845" t="n">
        <v>80.2298</v>
      </c>
      <c r="F845" t="n">
        <v>58.6456</v>
      </c>
      <c r="G845" t="n">
        <v>53.0635</v>
      </c>
      <c r="H845" t="n">
        <v>86.99720000000001</v>
      </c>
      <c r="I845" t="n">
        <v>69.96559999999999</v>
      </c>
      <c r="J845" t="n">
        <v>84.61579999999999</v>
      </c>
      <c r="K845" t="n">
        <v>120.8</v>
      </c>
    </row>
    <row r="846">
      <c r="A846" s="98" t="n">
        <v>32629</v>
      </c>
      <c r="B846" t="n">
        <v>61.6948</v>
      </c>
      <c r="C846" t="n">
        <v>83.7996</v>
      </c>
      <c r="D846" t="n">
        <v>40.5293</v>
      </c>
      <c r="E846" t="n">
        <v>79.5265</v>
      </c>
      <c r="F846" t="n">
        <v>58.1628</v>
      </c>
      <c r="G846" t="n">
        <v>52.9093</v>
      </c>
      <c r="H846" t="n">
        <v>87.28319999999999</v>
      </c>
      <c r="I846" t="n">
        <v>70.29900000000001</v>
      </c>
      <c r="J846" t="n">
        <v>83.9786</v>
      </c>
      <c r="K846" t="n">
        <v>121.6</v>
      </c>
    </row>
    <row r="847">
      <c r="A847" s="98" t="n">
        <v>32660</v>
      </c>
      <c r="B847" t="n">
        <v>61.6915</v>
      </c>
      <c r="C847" t="n">
        <v>84.01179999999999</v>
      </c>
      <c r="D847" t="n">
        <v>41.0748</v>
      </c>
      <c r="E847" t="n">
        <v>79.5348</v>
      </c>
      <c r="F847" t="n">
        <v>58.2734</v>
      </c>
      <c r="G847" t="n">
        <v>52.6769</v>
      </c>
      <c r="H847" t="n">
        <v>86.1498</v>
      </c>
      <c r="I847" t="n">
        <v>70.1298</v>
      </c>
      <c r="J847" t="n">
        <v>83.7983</v>
      </c>
      <c r="K847" t="n">
        <v>122.2</v>
      </c>
    </row>
    <row r="848">
      <c r="A848" s="98" t="n">
        <v>32690</v>
      </c>
      <c r="B848" t="n">
        <v>61.0978</v>
      </c>
      <c r="C848" t="n">
        <v>83.9624</v>
      </c>
      <c r="D848" t="n">
        <v>40.5304</v>
      </c>
      <c r="E848" t="n">
        <v>77.77889999999999</v>
      </c>
      <c r="F848" t="n">
        <v>57.5666</v>
      </c>
      <c r="G848" t="n">
        <v>52.4642</v>
      </c>
      <c r="H848" t="n">
        <v>85.68689999999999</v>
      </c>
      <c r="I848" t="n">
        <v>70.49760000000001</v>
      </c>
      <c r="J848" t="n">
        <v>82.80880000000001</v>
      </c>
      <c r="K848" t="n">
        <v>122.1</v>
      </c>
    </row>
    <row r="849">
      <c r="A849" s="98" t="n">
        <v>32721</v>
      </c>
      <c r="B849" t="n">
        <v>61.6949</v>
      </c>
      <c r="C849" t="n">
        <v>83.9195</v>
      </c>
      <c r="D849" t="n">
        <v>41.1046</v>
      </c>
      <c r="E849" t="n">
        <v>79.1395</v>
      </c>
      <c r="F849" t="n">
        <v>58.1434</v>
      </c>
      <c r="G849" t="n">
        <v>52.8139</v>
      </c>
      <c r="H849" t="n">
        <v>86.5184</v>
      </c>
      <c r="I849" t="n">
        <v>71.4063</v>
      </c>
      <c r="J849" t="n">
        <v>83.4265</v>
      </c>
      <c r="K849" t="n">
        <v>122.7</v>
      </c>
    </row>
    <row r="850">
      <c r="A850" s="98" t="n">
        <v>32752</v>
      </c>
      <c r="B850" t="n">
        <v>61.4839</v>
      </c>
      <c r="C850" t="n">
        <v>83.7011</v>
      </c>
      <c r="D850" t="n">
        <v>40.9329</v>
      </c>
      <c r="E850" t="n">
        <v>78.8531</v>
      </c>
      <c r="F850" t="n">
        <v>58.0154</v>
      </c>
      <c r="G850" t="n">
        <v>52.578</v>
      </c>
      <c r="H850" t="n">
        <v>86.50069999999999</v>
      </c>
      <c r="I850" t="n">
        <v>70.4654</v>
      </c>
      <c r="J850" t="n">
        <v>82.94580000000001</v>
      </c>
      <c r="K850" t="n">
        <v>123.1</v>
      </c>
    </row>
    <row r="851">
      <c r="A851" s="98" t="n">
        <v>32782</v>
      </c>
      <c r="B851" t="n">
        <v>61.4105</v>
      </c>
      <c r="C851" t="n">
        <v>84.09220000000001</v>
      </c>
      <c r="D851" t="n">
        <v>40.3707</v>
      </c>
      <c r="E851" t="n">
        <v>79.02970000000001</v>
      </c>
      <c r="F851" t="n">
        <v>57.8665</v>
      </c>
      <c r="G851" t="n">
        <v>52.673</v>
      </c>
      <c r="H851" t="n">
        <v>85.8173</v>
      </c>
      <c r="I851" t="n">
        <v>71.37860000000001</v>
      </c>
      <c r="J851" t="n">
        <v>82.6489</v>
      </c>
      <c r="K851" t="n">
        <v>123.5</v>
      </c>
    </row>
    <row r="852">
      <c r="A852" s="98" t="n">
        <v>32813</v>
      </c>
      <c r="B852" t="n">
        <v>61.6172</v>
      </c>
      <c r="C852" t="n">
        <v>84.08839999999999</v>
      </c>
      <c r="D852" t="n">
        <v>40.6518</v>
      </c>
      <c r="E852" t="n">
        <v>79.3507</v>
      </c>
      <c r="F852" t="n">
        <v>57.9916</v>
      </c>
      <c r="G852" t="n">
        <v>52.8253</v>
      </c>
      <c r="H852" t="n">
        <v>86.4648</v>
      </c>
      <c r="I852" t="n">
        <v>72.0509</v>
      </c>
      <c r="J852" t="n">
        <v>82.7278</v>
      </c>
      <c r="K852" t="n">
        <v>123.9</v>
      </c>
    </row>
    <row r="853">
      <c r="A853" s="98" t="n">
        <v>32843</v>
      </c>
      <c r="B853" t="n">
        <v>61.9635</v>
      </c>
      <c r="C853" t="n">
        <v>82.9984</v>
      </c>
      <c r="D853" t="n">
        <v>41.2174</v>
      </c>
      <c r="E853" t="n">
        <v>80.6194</v>
      </c>
      <c r="F853" t="n">
        <v>58.017</v>
      </c>
      <c r="G853" t="n">
        <v>52.7551</v>
      </c>
      <c r="H853" t="n">
        <v>84.0685</v>
      </c>
      <c r="I853" t="n">
        <v>77.23690000000001</v>
      </c>
      <c r="J853" t="n">
        <v>82.99460000000001</v>
      </c>
      <c r="K853" t="n">
        <v>124.2</v>
      </c>
    </row>
    <row r="854">
      <c r="A854" s="98" t="n">
        <v>32874</v>
      </c>
      <c r="B854" t="n">
        <v>61.644</v>
      </c>
      <c r="C854" t="n">
        <v>84.8995</v>
      </c>
      <c r="D854" t="n">
        <v>40.8485</v>
      </c>
      <c r="E854" t="n">
        <v>78.93129999999999</v>
      </c>
      <c r="F854" t="n">
        <v>57.97</v>
      </c>
      <c r="G854" t="n">
        <v>52.6621</v>
      </c>
      <c r="H854" t="n">
        <v>88.0757</v>
      </c>
      <c r="I854" t="n">
        <v>71.4079</v>
      </c>
      <c r="J854" t="n">
        <v>82.3733</v>
      </c>
      <c r="K854" t="n">
        <v>124.5</v>
      </c>
    </row>
    <row r="855">
      <c r="A855" s="98" t="n">
        <v>32905</v>
      </c>
      <c r="B855" t="n">
        <v>62.2108</v>
      </c>
      <c r="C855" t="n">
        <v>85.253</v>
      </c>
      <c r="D855" t="n">
        <v>41.5649</v>
      </c>
      <c r="E855" t="n">
        <v>79.907</v>
      </c>
      <c r="F855" t="n">
        <v>58.7845</v>
      </c>
      <c r="G855" t="n">
        <v>53.1476</v>
      </c>
      <c r="H855" t="n">
        <v>87.32129999999999</v>
      </c>
      <c r="I855" t="n">
        <v>70.51139999999999</v>
      </c>
      <c r="J855" t="n">
        <v>82.9404</v>
      </c>
      <c r="K855" t="n">
        <v>124.9</v>
      </c>
    </row>
    <row r="856">
      <c r="A856" s="98" t="n">
        <v>32933</v>
      </c>
      <c r="B856" t="n">
        <v>62.5068</v>
      </c>
      <c r="C856" t="n">
        <v>85.0479</v>
      </c>
      <c r="D856" t="n">
        <v>42.2665</v>
      </c>
      <c r="E856" t="n">
        <v>80.4198</v>
      </c>
      <c r="F856" t="n">
        <v>59.0954</v>
      </c>
      <c r="G856" t="n">
        <v>53.2332</v>
      </c>
      <c r="H856" t="n">
        <v>86.6118</v>
      </c>
      <c r="I856" t="n">
        <v>71.4928</v>
      </c>
      <c r="J856" t="n">
        <v>83.15049999999999</v>
      </c>
      <c r="K856" t="n">
        <v>125.3</v>
      </c>
    </row>
    <row r="857">
      <c r="A857" s="98" t="n">
        <v>32964</v>
      </c>
      <c r="B857" t="n">
        <v>62.3597</v>
      </c>
      <c r="C857" t="n">
        <v>84.1944</v>
      </c>
      <c r="D857" t="n">
        <v>42.0235</v>
      </c>
      <c r="E857" t="n">
        <v>80.0698</v>
      </c>
      <c r="F857" t="n">
        <v>58.8633</v>
      </c>
      <c r="G857" t="n">
        <v>53.262</v>
      </c>
      <c r="H857" t="n">
        <v>86.95650000000001</v>
      </c>
      <c r="I857" t="n">
        <v>71.9802</v>
      </c>
      <c r="J857" t="n">
        <v>82.7796</v>
      </c>
      <c r="K857" t="n">
        <v>125.5</v>
      </c>
    </row>
    <row r="858">
      <c r="A858" s="98" t="n">
        <v>32994</v>
      </c>
      <c r="B858" t="n">
        <v>62.5474</v>
      </c>
      <c r="C858" t="n">
        <v>83.7453</v>
      </c>
      <c r="D858" t="n">
        <v>42.6226</v>
      </c>
      <c r="E858" t="n">
        <v>80.0147</v>
      </c>
      <c r="F858" t="n">
        <v>59.0444</v>
      </c>
      <c r="G858" t="n">
        <v>53.4112</v>
      </c>
      <c r="H858" t="n">
        <v>86.8539</v>
      </c>
      <c r="I858" t="n">
        <v>72.37860000000001</v>
      </c>
      <c r="J858" t="n">
        <v>82.8617</v>
      </c>
      <c r="K858" t="n">
        <v>126</v>
      </c>
    </row>
    <row r="859">
      <c r="A859" s="98" t="n">
        <v>33025</v>
      </c>
      <c r="B859" t="n">
        <v>62.7541</v>
      </c>
      <c r="C859" t="n">
        <v>84.10590000000001</v>
      </c>
      <c r="D859" t="n">
        <v>42.6614</v>
      </c>
      <c r="E859" t="n">
        <v>80.8674</v>
      </c>
      <c r="F859" t="n">
        <v>59.239</v>
      </c>
      <c r="G859" t="n">
        <v>53.4875</v>
      </c>
      <c r="H859" t="n">
        <v>86.60429999999999</v>
      </c>
      <c r="I859" t="n">
        <v>73.11750000000001</v>
      </c>
      <c r="J859" t="n">
        <v>82.9777</v>
      </c>
      <c r="K859" t="n">
        <v>126.4</v>
      </c>
    </row>
    <row r="860">
      <c r="A860" s="98" t="n">
        <v>33055</v>
      </c>
      <c r="B860" t="n">
        <v>62.6497</v>
      </c>
      <c r="C860" t="n">
        <v>83.3793</v>
      </c>
      <c r="D860" t="n">
        <v>42.8623</v>
      </c>
      <c r="E860" t="n">
        <v>80.1746</v>
      </c>
      <c r="F860" t="n">
        <v>59.098</v>
      </c>
      <c r="G860" t="n">
        <v>53.4953</v>
      </c>
      <c r="H860" t="n">
        <v>87.1683</v>
      </c>
      <c r="I860" t="n">
        <v>72.8753</v>
      </c>
      <c r="J860" t="n">
        <v>82.6936</v>
      </c>
      <c r="K860" t="n">
        <v>126.6</v>
      </c>
    </row>
    <row r="861">
      <c r="A861" s="98" t="n">
        <v>33086</v>
      </c>
      <c r="B861" t="n">
        <v>62.8761</v>
      </c>
      <c r="C861" t="n">
        <v>83.29689999999999</v>
      </c>
      <c r="D861" t="n">
        <v>43.0957</v>
      </c>
      <c r="E861" t="n">
        <v>80.4417</v>
      </c>
      <c r="F861" t="n">
        <v>59.3211</v>
      </c>
      <c r="G861" t="n">
        <v>53.8132</v>
      </c>
      <c r="H861" t="n">
        <v>86.8017</v>
      </c>
      <c r="I861" t="n">
        <v>73.57859999999999</v>
      </c>
      <c r="J861" t="n">
        <v>82.8569</v>
      </c>
      <c r="K861" t="n">
        <v>127.1</v>
      </c>
    </row>
    <row r="862">
      <c r="A862" s="98" t="n">
        <v>33117</v>
      </c>
      <c r="B862" t="n">
        <v>62.896</v>
      </c>
      <c r="C862" t="n">
        <v>82.9327</v>
      </c>
      <c r="D862" t="n">
        <v>43.1019</v>
      </c>
      <c r="E862" t="n">
        <v>80.9982</v>
      </c>
      <c r="F862" t="n">
        <v>59.2578</v>
      </c>
      <c r="G862" t="n">
        <v>53.6802</v>
      </c>
      <c r="H862" t="n">
        <v>87.28830000000001</v>
      </c>
      <c r="I862" t="n">
        <v>74.4486</v>
      </c>
      <c r="J862" t="n">
        <v>82.75830000000001</v>
      </c>
      <c r="K862" t="n">
        <v>127.7</v>
      </c>
    </row>
    <row r="863">
      <c r="A863" s="98" t="n">
        <v>33147</v>
      </c>
      <c r="B863" t="n">
        <v>62.506</v>
      </c>
      <c r="C863" t="n">
        <v>82.13590000000001</v>
      </c>
      <c r="D863" t="n">
        <v>43.001</v>
      </c>
      <c r="E863" t="n">
        <v>79.8927</v>
      </c>
      <c r="F863" t="n">
        <v>58.8571</v>
      </c>
      <c r="G863" t="n">
        <v>53.4551</v>
      </c>
      <c r="H863" t="n">
        <v>88.1525</v>
      </c>
      <c r="I863" t="n">
        <v>73.3181</v>
      </c>
      <c r="J863" t="n">
        <v>82.13120000000001</v>
      </c>
      <c r="K863" t="n">
        <v>128</v>
      </c>
    </row>
    <row r="864">
      <c r="A864" s="98" t="n">
        <v>33178</v>
      </c>
      <c r="B864" t="n">
        <v>61.7271</v>
      </c>
      <c r="C864" t="n">
        <v>82.1152</v>
      </c>
      <c r="D864" t="n">
        <v>41.9863</v>
      </c>
      <c r="E864" t="n">
        <v>78.9751</v>
      </c>
      <c r="F864" t="n">
        <v>58.1503</v>
      </c>
      <c r="G864" t="n">
        <v>52.784</v>
      </c>
      <c r="H864" t="n">
        <v>87.5472</v>
      </c>
      <c r="I864" t="n">
        <v>71.7946</v>
      </c>
      <c r="J864" t="n">
        <v>81.0047</v>
      </c>
      <c r="K864" t="n">
        <v>128.4</v>
      </c>
    </row>
    <row r="865">
      <c r="A865" s="98" t="n">
        <v>33208</v>
      </c>
      <c r="B865" t="n">
        <v>61.2939</v>
      </c>
      <c r="C865" t="n">
        <v>81.5364</v>
      </c>
      <c r="D865" t="n">
        <v>41.6138</v>
      </c>
      <c r="E865" t="n">
        <v>78.37860000000001</v>
      </c>
      <c r="F865" t="n">
        <v>57.6707</v>
      </c>
      <c r="G865" t="n">
        <v>52.3932</v>
      </c>
      <c r="H865" t="n">
        <v>86.1438</v>
      </c>
      <c r="I865" t="n">
        <v>72.28100000000001</v>
      </c>
      <c r="J865" t="n">
        <v>80.34269999999999</v>
      </c>
      <c r="K865" t="n">
        <v>128.6</v>
      </c>
    </row>
    <row r="866">
      <c r="A866" s="98" t="n">
        <v>33239</v>
      </c>
      <c r="B866" t="n">
        <v>61.0931</v>
      </c>
      <c r="C866" t="n">
        <v>78.58839999999999</v>
      </c>
      <c r="D866" t="n">
        <v>41.5054</v>
      </c>
      <c r="E866" t="n">
        <v>78.76779999999999</v>
      </c>
      <c r="F866" t="n">
        <v>57.3148</v>
      </c>
      <c r="G866" t="n">
        <v>52.1261</v>
      </c>
      <c r="H866" t="n">
        <v>86.1373</v>
      </c>
      <c r="I866" t="n">
        <v>73.5403</v>
      </c>
      <c r="J866" t="n">
        <v>79.9936</v>
      </c>
      <c r="K866" t="n">
        <v>129.5</v>
      </c>
    </row>
    <row r="867">
      <c r="A867" s="98" t="n">
        <v>33270</v>
      </c>
      <c r="B867" t="n">
        <v>60.6522</v>
      </c>
      <c r="C867" t="n">
        <v>78.33839999999999</v>
      </c>
      <c r="D867" t="n">
        <v>41.205</v>
      </c>
      <c r="E867" t="n">
        <v>78.0205</v>
      </c>
      <c r="F867" t="n">
        <v>56.8957</v>
      </c>
      <c r="G867" t="n">
        <v>51.8383</v>
      </c>
      <c r="H867" t="n">
        <v>87.51300000000001</v>
      </c>
      <c r="I867" t="n">
        <v>71.66670000000001</v>
      </c>
      <c r="J867" t="n">
        <v>79.33750000000001</v>
      </c>
      <c r="K867" t="n">
        <v>129.8</v>
      </c>
    </row>
    <row r="868">
      <c r="A868" s="98" t="n">
        <v>33298</v>
      </c>
      <c r="B868" t="n">
        <v>60.3069</v>
      </c>
      <c r="C868" t="n">
        <v>77.3741</v>
      </c>
      <c r="D868" t="n">
        <v>41.1449</v>
      </c>
      <c r="E868" t="n">
        <v>78.0655</v>
      </c>
      <c r="F868" t="n">
        <v>56.4981</v>
      </c>
      <c r="G868" t="n">
        <v>51.4164</v>
      </c>
      <c r="H868" t="n">
        <v>86.5919</v>
      </c>
      <c r="I868" t="n">
        <v>72.6395</v>
      </c>
      <c r="J868" t="n">
        <v>78.8116</v>
      </c>
      <c r="K868" t="n">
        <v>130.1</v>
      </c>
    </row>
    <row r="869">
      <c r="A869" s="98" t="n">
        <v>33329</v>
      </c>
      <c r="B869" t="n">
        <v>60.4658</v>
      </c>
      <c r="C869" t="n">
        <v>78.0044</v>
      </c>
      <c r="D869" t="n">
        <v>41.1545</v>
      </c>
      <c r="E869" t="n">
        <v>78.06019999999999</v>
      </c>
      <c r="F869" t="n">
        <v>56.7451</v>
      </c>
      <c r="G869" t="n">
        <v>51.6857</v>
      </c>
      <c r="H869" t="n">
        <v>85.7199</v>
      </c>
      <c r="I869" t="n">
        <v>72.5629</v>
      </c>
      <c r="J869" t="n">
        <v>78.94759999999999</v>
      </c>
      <c r="K869" t="n">
        <v>130.4</v>
      </c>
    </row>
    <row r="870">
      <c r="A870" s="98" t="n">
        <v>33359</v>
      </c>
      <c r="B870" t="n">
        <v>61.0671</v>
      </c>
      <c r="C870" t="n">
        <v>78.1001</v>
      </c>
      <c r="D870" t="n">
        <v>41.4315</v>
      </c>
      <c r="E870" t="n">
        <v>79.4151</v>
      </c>
      <c r="F870" t="n">
        <v>57.1511</v>
      </c>
      <c r="G870" t="n">
        <v>52.1701</v>
      </c>
      <c r="H870" t="n">
        <v>85.45610000000001</v>
      </c>
      <c r="I870" t="n">
        <v>75.7286</v>
      </c>
      <c r="J870" t="n">
        <v>79.6602</v>
      </c>
      <c r="K870" t="n">
        <v>130.6</v>
      </c>
    </row>
    <row r="871">
      <c r="A871" s="98" t="n">
        <v>33390</v>
      </c>
      <c r="B871" t="n">
        <v>61.5611</v>
      </c>
      <c r="C871" t="n">
        <v>79.42019999999999</v>
      </c>
      <c r="D871" t="n">
        <v>41.8627</v>
      </c>
      <c r="E871" t="n">
        <v>80.389</v>
      </c>
      <c r="F871" t="n">
        <v>57.7147</v>
      </c>
      <c r="G871" t="n">
        <v>52.458</v>
      </c>
      <c r="H871" t="n">
        <v>85.6272</v>
      </c>
      <c r="I871" t="n">
        <v>76.0057</v>
      </c>
      <c r="J871" t="n">
        <v>80.229</v>
      </c>
      <c r="K871" t="n">
        <v>130.7</v>
      </c>
    </row>
    <row r="872">
      <c r="A872" s="98" t="n">
        <v>33420</v>
      </c>
      <c r="B872" t="n">
        <v>61.723</v>
      </c>
      <c r="C872" t="n">
        <v>79.24979999999999</v>
      </c>
      <c r="D872" t="n">
        <v>42.1141</v>
      </c>
      <c r="E872" t="n">
        <v>80.1833</v>
      </c>
      <c r="F872" t="n">
        <v>58.0325</v>
      </c>
      <c r="G872" t="n">
        <v>52.8903</v>
      </c>
      <c r="H872" t="n">
        <v>84.74550000000001</v>
      </c>
      <c r="I872" t="n">
        <v>75.41540000000001</v>
      </c>
      <c r="J872" t="n">
        <v>80.3605</v>
      </c>
      <c r="K872" t="n">
        <v>131</v>
      </c>
    </row>
    <row r="873">
      <c r="A873" s="98" t="n">
        <v>33451</v>
      </c>
      <c r="B873" t="n">
        <v>61.736</v>
      </c>
      <c r="C873" t="n">
        <v>80.0252</v>
      </c>
      <c r="D873" t="n">
        <v>41.9302</v>
      </c>
      <c r="E873" t="n">
        <v>80.1866</v>
      </c>
      <c r="F873" t="n">
        <v>58.0837</v>
      </c>
      <c r="G873" t="n">
        <v>52.8555</v>
      </c>
      <c r="H873" t="n">
        <v>84.61279999999999</v>
      </c>
      <c r="I873" t="n">
        <v>74.87609999999999</v>
      </c>
      <c r="J873" t="n">
        <v>80.2919</v>
      </c>
      <c r="K873" t="n">
        <v>131.3</v>
      </c>
    </row>
    <row r="874">
      <c r="A874" s="98" t="n">
        <v>33482</v>
      </c>
      <c r="B874" t="n">
        <v>62.2464</v>
      </c>
      <c r="C874" t="n">
        <v>80.3439</v>
      </c>
      <c r="D874" t="n">
        <v>42.539</v>
      </c>
      <c r="E874" t="n">
        <v>81.34829999999999</v>
      </c>
      <c r="F874" t="n">
        <v>58.7157</v>
      </c>
      <c r="G874" t="n">
        <v>53.1249</v>
      </c>
      <c r="H874" t="n">
        <v>84.71550000000001</v>
      </c>
      <c r="I874" t="n">
        <v>74.75</v>
      </c>
      <c r="J874" t="n">
        <v>80.8617</v>
      </c>
      <c r="K874" t="n">
        <v>131.8</v>
      </c>
    </row>
    <row r="875">
      <c r="A875" s="98" t="n">
        <v>33512</v>
      </c>
      <c r="B875" t="n">
        <v>62.1825</v>
      </c>
      <c r="C875" t="n">
        <v>79.48269999999999</v>
      </c>
      <c r="D875" t="n">
        <v>42.245</v>
      </c>
      <c r="E875" t="n">
        <v>81.1635</v>
      </c>
      <c r="F875" t="n">
        <v>58.6417</v>
      </c>
      <c r="G875" t="n">
        <v>53.2336</v>
      </c>
      <c r="H875" t="n">
        <v>84.592</v>
      </c>
      <c r="I875" t="n">
        <v>74.66759999999999</v>
      </c>
      <c r="J875" t="n">
        <v>80.6759</v>
      </c>
      <c r="K875" t="n">
        <v>132.3</v>
      </c>
    </row>
    <row r="876">
      <c r="A876" s="98" t="n">
        <v>33543</v>
      </c>
      <c r="B876" t="n">
        <v>62.0983</v>
      </c>
      <c r="C876" t="n">
        <v>80.2235</v>
      </c>
      <c r="D876" t="n">
        <v>42.2312</v>
      </c>
      <c r="E876" t="n">
        <v>81.27809999999999</v>
      </c>
      <c r="F876" t="n">
        <v>58.529</v>
      </c>
      <c r="G876" t="n">
        <v>52.9942</v>
      </c>
      <c r="H876" t="n">
        <v>83.902</v>
      </c>
      <c r="I876" t="n">
        <v>75.3856</v>
      </c>
      <c r="J876" t="n">
        <v>80.45480000000001</v>
      </c>
      <c r="K876" t="n">
        <v>132.5</v>
      </c>
    </row>
    <row r="877">
      <c r="A877" s="98" t="n">
        <v>33573</v>
      </c>
      <c r="B877" t="n">
        <v>61.8108</v>
      </c>
      <c r="C877" t="n">
        <v>80.13160000000001</v>
      </c>
      <c r="D877" t="n">
        <v>42.1618</v>
      </c>
      <c r="E877" t="n">
        <v>80.2368</v>
      </c>
      <c r="F877" t="n">
        <v>58.3863</v>
      </c>
      <c r="G877" t="n">
        <v>52.9578</v>
      </c>
      <c r="H877" t="n">
        <v>84.3126</v>
      </c>
      <c r="I877" t="n">
        <v>73.3921</v>
      </c>
      <c r="J877" t="n">
        <v>79.962</v>
      </c>
      <c r="K877" t="n">
        <v>132.6</v>
      </c>
    </row>
    <row r="878">
      <c r="A878" s="98" t="n">
        <v>33604</v>
      </c>
      <c r="B878" t="n">
        <v>61.4898</v>
      </c>
      <c r="C878" t="n">
        <v>80.25149999999999</v>
      </c>
      <c r="D878" t="n">
        <v>41.4496</v>
      </c>
      <c r="E878" t="n">
        <v>79.4885</v>
      </c>
      <c r="F878" t="n">
        <v>58.076</v>
      </c>
      <c r="G878" t="n">
        <v>52.9161</v>
      </c>
      <c r="H878" t="n">
        <v>84.1097</v>
      </c>
      <c r="I878" t="n">
        <v>73.0419</v>
      </c>
      <c r="J878" t="n">
        <v>79.3991</v>
      </c>
      <c r="K878" t="n">
        <v>133</v>
      </c>
    </row>
    <row r="879">
      <c r="A879" s="98" t="n">
        <v>33635</v>
      </c>
      <c r="B879" t="n">
        <v>61.9299</v>
      </c>
      <c r="C879" t="n">
        <v>80.9504</v>
      </c>
      <c r="D879" t="n">
        <v>42.296</v>
      </c>
      <c r="E879" t="n">
        <v>80.2983</v>
      </c>
      <c r="F879" t="n">
        <v>58.6426</v>
      </c>
      <c r="G879" t="n">
        <v>53.1528</v>
      </c>
      <c r="H879" t="n">
        <v>83.08329999999999</v>
      </c>
      <c r="I879" t="n">
        <v>73.51349999999999</v>
      </c>
      <c r="J879" t="n">
        <v>79.81489999999999</v>
      </c>
      <c r="K879" t="n">
        <v>133.1</v>
      </c>
    </row>
    <row r="880">
      <c r="A880" s="98" t="n">
        <v>33664</v>
      </c>
      <c r="B880" t="n">
        <v>62.449</v>
      </c>
      <c r="C880" t="n">
        <v>81.5485</v>
      </c>
      <c r="D880" t="n">
        <v>42.7938</v>
      </c>
      <c r="E880" t="n">
        <v>81.0185</v>
      </c>
      <c r="F880" t="n">
        <v>59.2631</v>
      </c>
      <c r="G880" t="n">
        <v>53.592</v>
      </c>
      <c r="H880" t="n">
        <v>83.37130000000001</v>
      </c>
      <c r="I880" t="n">
        <v>73.2491</v>
      </c>
      <c r="J880" t="n">
        <v>80.3214</v>
      </c>
      <c r="K880" t="n">
        <v>133.4</v>
      </c>
    </row>
    <row r="881">
      <c r="A881" s="98" t="n">
        <v>33695</v>
      </c>
      <c r="B881" t="n">
        <v>62.9312</v>
      </c>
      <c r="C881" t="n">
        <v>82.1028</v>
      </c>
      <c r="D881" t="n">
        <v>43.2029</v>
      </c>
      <c r="E881" t="n">
        <v>81.7841</v>
      </c>
      <c r="F881" t="n">
        <v>59.6067</v>
      </c>
      <c r="G881" t="n">
        <v>54.0197</v>
      </c>
      <c r="H881" t="n">
        <v>84.31789999999999</v>
      </c>
      <c r="I881" t="n">
        <v>74.95489999999999</v>
      </c>
      <c r="J881" t="n">
        <v>80.7713</v>
      </c>
      <c r="K881" t="n">
        <v>133.8</v>
      </c>
    </row>
    <row r="882">
      <c r="A882" s="98" t="n">
        <v>33725</v>
      </c>
      <c r="B882" t="n">
        <v>63.1359</v>
      </c>
      <c r="C882" t="n">
        <v>82.90649999999999</v>
      </c>
      <c r="D882" t="n">
        <v>43.5485</v>
      </c>
      <c r="E882" t="n">
        <v>82.315</v>
      </c>
      <c r="F882" t="n">
        <v>59.9612</v>
      </c>
      <c r="G882" t="n">
        <v>54.044</v>
      </c>
      <c r="H882" t="n">
        <v>84.1161</v>
      </c>
      <c r="I882" t="n">
        <v>73.9015</v>
      </c>
      <c r="J882" t="n">
        <v>80.8582</v>
      </c>
      <c r="K882" t="n">
        <v>134.3</v>
      </c>
    </row>
    <row r="883">
      <c r="A883" s="98" t="n">
        <v>33756</v>
      </c>
      <c r="B883" t="n">
        <v>63.1736</v>
      </c>
      <c r="C883" t="n">
        <v>82.54389999999999</v>
      </c>
      <c r="D883" t="n">
        <v>43.6582</v>
      </c>
      <c r="E883" t="n">
        <v>81.9175</v>
      </c>
      <c r="F883" t="n">
        <v>60.1622</v>
      </c>
      <c r="G883" t="n">
        <v>54.2814</v>
      </c>
      <c r="H883" t="n">
        <v>83.2122</v>
      </c>
      <c r="I883" t="n">
        <v>72.8227</v>
      </c>
      <c r="J883" t="n">
        <v>80.7276</v>
      </c>
      <c r="K883" t="n">
        <v>134.1</v>
      </c>
    </row>
    <row r="884">
      <c r="A884" s="98" t="n">
        <v>33786</v>
      </c>
      <c r="B884" t="n">
        <v>63.7408</v>
      </c>
      <c r="C884" t="n">
        <v>83.0818</v>
      </c>
      <c r="D884" t="n">
        <v>44.1032</v>
      </c>
      <c r="E884" t="n">
        <v>82.9847</v>
      </c>
      <c r="F884" t="n">
        <v>60.7245</v>
      </c>
      <c r="G884" t="n">
        <v>54.6982</v>
      </c>
      <c r="H884" t="n">
        <v>84.3223</v>
      </c>
      <c r="I884" t="n">
        <v>73.27030000000001</v>
      </c>
      <c r="J884" t="n">
        <v>81.2728</v>
      </c>
      <c r="K884" t="n">
        <v>134.3</v>
      </c>
    </row>
    <row r="885">
      <c r="A885" s="98" t="n">
        <v>33817</v>
      </c>
      <c r="B885" t="n">
        <v>63.3917</v>
      </c>
      <c r="C885" t="n">
        <v>83.2924</v>
      </c>
      <c r="D885" t="n">
        <v>43.8909</v>
      </c>
      <c r="E885" t="n">
        <v>83.0153</v>
      </c>
      <c r="F885" t="n">
        <v>60.4475</v>
      </c>
      <c r="G885" t="n">
        <v>54.0934</v>
      </c>
      <c r="H885" t="n">
        <v>82.9273</v>
      </c>
      <c r="I885" t="n">
        <v>73.0437</v>
      </c>
      <c r="J885" t="n">
        <v>80.6532</v>
      </c>
      <c r="K885" t="n">
        <v>134.3</v>
      </c>
    </row>
    <row r="886">
      <c r="A886" s="98" t="n">
        <v>33848</v>
      </c>
      <c r="B886" t="n">
        <v>63.5927</v>
      </c>
      <c r="C886" t="n">
        <v>83.2527</v>
      </c>
      <c r="D886" t="n">
        <v>44.0753</v>
      </c>
      <c r="E886" t="n">
        <v>82.6581</v>
      </c>
      <c r="F886" t="n">
        <v>60.549</v>
      </c>
      <c r="G886" t="n">
        <v>54.5188</v>
      </c>
      <c r="H886" t="n">
        <v>83.4783</v>
      </c>
      <c r="I886" t="n">
        <v>74.139</v>
      </c>
      <c r="J886" t="n">
        <v>80.7402</v>
      </c>
      <c r="K886" t="n">
        <v>134.6</v>
      </c>
    </row>
    <row r="887">
      <c r="A887" s="98" t="n">
        <v>33878</v>
      </c>
      <c r="B887" t="n">
        <v>64.0282</v>
      </c>
      <c r="C887" t="n">
        <v>83.23050000000001</v>
      </c>
      <c r="D887" t="n">
        <v>44.2378</v>
      </c>
      <c r="E887" t="n">
        <v>83.75879999999999</v>
      </c>
      <c r="F887" t="n">
        <v>60.9311</v>
      </c>
      <c r="G887" t="n">
        <v>54.8222</v>
      </c>
      <c r="H887" t="n">
        <v>83.89279999999999</v>
      </c>
      <c r="I887" t="n">
        <v>75.38290000000001</v>
      </c>
      <c r="J887" t="n">
        <v>81.1307</v>
      </c>
      <c r="K887" t="n">
        <v>134.9</v>
      </c>
    </row>
    <row r="888">
      <c r="A888" s="98" t="n">
        <v>33909</v>
      </c>
      <c r="B888" t="n">
        <v>64.2732</v>
      </c>
      <c r="C888" t="n">
        <v>82.9551</v>
      </c>
      <c r="D888" t="n">
        <v>44.5553</v>
      </c>
      <c r="E888" t="n">
        <v>83.90089999999999</v>
      </c>
      <c r="F888" t="n">
        <v>61.1747</v>
      </c>
      <c r="G888" t="n">
        <v>55.1197</v>
      </c>
      <c r="H888" t="n">
        <v>83.80670000000001</v>
      </c>
      <c r="I888" t="n">
        <v>76.03060000000001</v>
      </c>
      <c r="J888" t="n">
        <v>81.2864</v>
      </c>
      <c r="K888" t="n">
        <v>135.1</v>
      </c>
    </row>
    <row r="889">
      <c r="A889" s="98" t="n">
        <v>33939</v>
      </c>
      <c r="B889" t="n">
        <v>64.3668</v>
      </c>
      <c r="C889" t="n">
        <v>83.28489999999999</v>
      </c>
      <c r="D889" t="n">
        <v>44.9615</v>
      </c>
      <c r="E889" t="n">
        <v>83.9175</v>
      </c>
      <c r="F889" t="n">
        <v>61.117</v>
      </c>
      <c r="G889" t="n">
        <v>55.0724</v>
      </c>
      <c r="H889" t="n">
        <v>84.06480000000001</v>
      </c>
      <c r="I889" t="n">
        <v>77.2963</v>
      </c>
      <c r="J889" t="n">
        <v>81.2604</v>
      </c>
      <c r="K889" t="n">
        <v>135.2</v>
      </c>
    </row>
    <row r="890">
      <c r="A890" s="98" t="n">
        <v>33970</v>
      </c>
      <c r="B890" t="n">
        <v>64.62560000000001</v>
      </c>
      <c r="C890" t="n">
        <v>83.5189</v>
      </c>
      <c r="D890" t="n">
        <v>45.1245</v>
      </c>
      <c r="E890" t="n">
        <v>84.4057</v>
      </c>
      <c r="F890" t="n">
        <v>61.6837</v>
      </c>
      <c r="G890" t="n">
        <v>55.2899</v>
      </c>
      <c r="H890" t="n">
        <v>83.64239999999999</v>
      </c>
      <c r="I890" t="n">
        <v>74.6828</v>
      </c>
      <c r="J890" t="n">
        <v>81.447</v>
      </c>
      <c r="K890" t="n">
        <v>135.6</v>
      </c>
    </row>
    <row r="891">
      <c r="A891" s="98" t="n">
        <v>34001</v>
      </c>
      <c r="B891" t="n">
        <v>64.929</v>
      </c>
      <c r="C891" t="n">
        <v>85.0462</v>
      </c>
      <c r="D891" t="n">
        <v>45.1772</v>
      </c>
      <c r="E891" t="n">
        <v>84.4988</v>
      </c>
      <c r="F891" t="n">
        <v>61.839</v>
      </c>
      <c r="G891" t="n">
        <v>55.6917</v>
      </c>
      <c r="H891" t="n">
        <v>83.26300000000001</v>
      </c>
      <c r="I891" t="n">
        <v>76.7243</v>
      </c>
      <c r="J891" t="n">
        <v>81.69799999999999</v>
      </c>
      <c r="K891" t="n">
        <v>135.9</v>
      </c>
    </row>
    <row r="892">
      <c r="A892" s="98" t="n">
        <v>34029</v>
      </c>
      <c r="B892" t="n">
        <v>64.872</v>
      </c>
      <c r="C892" t="n">
        <v>84.36879999999999</v>
      </c>
      <c r="D892" t="n">
        <v>45.2824</v>
      </c>
      <c r="E892" t="n">
        <v>84.5487</v>
      </c>
      <c r="F892" t="n">
        <v>61.719</v>
      </c>
      <c r="G892" t="n">
        <v>55.5221</v>
      </c>
      <c r="H892" t="n">
        <v>82.72150000000001</v>
      </c>
      <c r="I892" t="n">
        <v>77.4948</v>
      </c>
      <c r="J892" t="n">
        <v>81.502</v>
      </c>
      <c r="K892" t="n">
        <v>136.1</v>
      </c>
    </row>
    <row r="893">
      <c r="A893" s="98" t="n">
        <v>34060</v>
      </c>
      <c r="B893" t="n">
        <v>65.0611</v>
      </c>
      <c r="C893" t="n">
        <v>84.6373</v>
      </c>
      <c r="D893" t="n">
        <v>45.5901</v>
      </c>
      <c r="E893" t="n">
        <v>84.6234</v>
      </c>
      <c r="F893" t="n">
        <v>62.042</v>
      </c>
      <c r="G893" t="n">
        <v>55.7545</v>
      </c>
      <c r="H893" t="n">
        <v>82.83329999999999</v>
      </c>
      <c r="I893" t="n">
        <v>76.6054</v>
      </c>
      <c r="J893" t="n">
        <v>81.6217</v>
      </c>
      <c r="K893" t="n">
        <v>136.5</v>
      </c>
    </row>
    <row r="894">
      <c r="A894" s="98" t="n">
        <v>34090</v>
      </c>
      <c r="B894" t="n">
        <v>64.8104</v>
      </c>
      <c r="C894" t="n">
        <v>85.6272</v>
      </c>
      <c r="D894" t="n">
        <v>45.649</v>
      </c>
      <c r="E894" t="n">
        <v>84.0064</v>
      </c>
      <c r="F894" t="n">
        <v>61.98</v>
      </c>
      <c r="G894" t="n">
        <v>55.5412</v>
      </c>
      <c r="H894" t="n">
        <v>82.8655</v>
      </c>
      <c r="I894" t="n">
        <v>74.51739999999999</v>
      </c>
      <c r="J894" t="n">
        <v>81.19159999999999</v>
      </c>
      <c r="K894" t="n">
        <v>136.6</v>
      </c>
    </row>
    <row r="895">
      <c r="A895" s="98" t="n">
        <v>34121</v>
      </c>
      <c r="B895" t="n">
        <v>64.95529999999999</v>
      </c>
      <c r="C895" t="n">
        <v>85.5462</v>
      </c>
      <c r="D895" t="n">
        <v>45.3152</v>
      </c>
      <c r="E895" t="n">
        <v>84.1778</v>
      </c>
      <c r="F895" t="n">
        <v>61.8728</v>
      </c>
      <c r="G895" t="n">
        <v>55.8458</v>
      </c>
      <c r="H895" t="n">
        <v>83.6721</v>
      </c>
      <c r="I895" t="n">
        <v>76.4102</v>
      </c>
      <c r="J895" t="n">
        <v>81.25660000000001</v>
      </c>
      <c r="K895" t="n">
        <v>136.4</v>
      </c>
    </row>
    <row r="896">
      <c r="A896" s="98" t="n">
        <v>34151</v>
      </c>
      <c r="B896" t="n">
        <v>65.1198</v>
      </c>
      <c r="C896" t="n">
        <v>86.0162</v>
      </c>
      <c r="D896" t="n">
        <v>45.331</v>
      </c>
      <c r="E896" t="n">
        <v>84.8569</v>
      </c>
      <c r="F896" t="n">
        <v>62.0325</v>
      </c>
      <c r="G896" t="n">
        <v>55.7991</v>
      </c>
      <c r="H896" t="n">
        <v>82.7809</v>
      </c>
      <c r="I896" t="n">
        <v>77.5031</v>
      </c>
      <c r="J896" t="n">
        <v>81.3428</v>
      </c>
      <c r="K896" t="n">
        <v>136.6</v>
      </c>
    </row>
    <row r="897">
      <c r="A897" s="98" t="n">
        <v>34182</v>
      </c>
      <c r="B897" t="n">
        <v>65.04940000000001</v>
      </c>
      <c r="C897" t="n">
        <v>86.30240000000001</v>
      </c>
      <c r="D897" t="n">
        <v>44.9116</v>
      </c>
      <c r="E897" t="n">
        <v>84.7383</v>
      </c>
      <c r="F897" t="n">
        <v>61.94</v>
      </c>
      <c r="G897" t="n">
        <v>55.8658</v>
      </c>
      <c r="H897" t="n">
        <v>82.8531</v>
      </c>
      <c r="I897" t="n">
        <v>77.98569999999999</v>
      </c>
      <c r="J897" t="n">
        <v>81.12909999999999</v>
      </c>
      <c r="K897" t="n">
        <v>134.9</v>
      </c>
    </row>
    <row r="898">
      <c r="A898" s="98" t="n">
        <v>34213</v>
      </c>
      <c r="B898" t="n">
        <v>65.3882</v>
      </c>
      <c r="C898" t="n">
        <v>86.7876</v>
      </c>
      <c r="D898" t="n">
        <v>45.684</v>
      </c>
      <c r="E898" t="n">
        <v>85.00830000000001</v>
      </c>
      <c r="F898" t="n">
        <v>62.4006</v>
      </c>
      <c r="G898" t="n">
        <v>56.0633</v>
      </c>
      <c r="H898" t="n">
        <v>83.55840000000001</v>
      </c>
      <c r="I898" t="n">
        <v>77.1082</v>
      </c>
      <c r="J898" t="n">
        <v>81.4164</v>
      </c>
      <c r="K898" t="n">
        <v>134.9</v>
      </c>
    </row>
    <row r="899">
      <c r="A899" s="98" t="n">
        <v>34243</v>
      </c>
      <c r="B899" t="n">
        <v>65.8702</v>
      </c>
      <c r="C899" t="n">
        <v>87.57769999999999</v>
      </c>
      <c r="D899" t="n">
        <v>46.6534</v>
      </c>
      <c r="E899" t="n">
        <v>85.4267</v>
      </c>
      <c r="F899" t="n">
        <v>62.9387</v>
      </c>
      <c r="G899" t="n">
        <v>56.4994</v>
      </c>
      <c r="H899" t="n">
        <v>84.6524</v>
      </c>
      <c r="I899" t="n">
        <v>76.8511</v>
      </c>
      <c r="J899" t="n">
        <v>81.86920000000001</v>
      </c>
      <c r="K899" t="n">
        <v>135</v>
      </c>
    </row>
    <row r="900">
      <c r="A900" s="98" t="n">
        <v>34274</v>
      </c>
      <c r="B900" t="n">
        <v>66.17789999999999</v>
      </c>
      <c r="C900" t="n">
        <v>88.2871</v>
      </c>
      <c r="D900" t="n">
        <v>46.9205</v>
      </c>
      <c r="E900" t="n">
        <v>85.5436</v>
      </c>
      <c r="F900" t="n">
        <v>63.2337</v>
      </c>
      <c r="G900" t="n">
        <v>56.9216</v>
      </c>
      <c r="H900" t="n">
        <v>84.621</v>
      </c>
      <c r="I900" t="n">
        <v>77.3537</v>
      </c>
      <c r="J900" t="n">
        <v>82.0917</v>
      </c>
      <c r="K900" t="n">
        <v>135.3</v>
      </c>
    </row>
    <row r="901">
      <c r="A901" s="98" t="n">
        <v>34304</v>
      </c>
      <c r="B901" t="n">
        <v>66.56019999999999</v>
      </c>
      <c r="C901" t="n">
        <v>89.4752</v>
      </c>
      <c r="D901" t="n">
        <v>47.2186</v>
      </c>
      <c r="E901" t="n">
        <v>85.78919999999999</v>
      </c>
      <c r="F901" t="n">
        <v>63.651</v>
      </c>
      <c r="G901" t="n">
        <v>57.3295</v>
      </c>
      <c r="H901" t="n">
        <v>84.9234</v>
      </c>
      <c r="I901" t="n">
        <v>77.66800000000001</v>
      </c>
      <c r="J901" t="n">
        <v>82.3931</v>
      </c>
      <c r="K901" t="n">
        <v>135.7</v>
      </c>
    </row>
    <row r="902">
      <c r="A902" s="98" t="n">
        <v>34335</v>
      </c>
      <c r="B902" t="n">
        <v>66.7722</v>
      </c>
      <c r="C902" t="n">
        <v>89.1046</v>
      </c>
      <c r="D902" t="n">
        <v>47.4642</v>
      </c>
      <c r="E902" t="n">
        <v>86.3473</v>
      </c>
      <c r="F902" t="n">
        <v>63.732</v>
      </c>
      <c r="G902" t="n">
        <v>57.4183</v>
      </c>
      <c r="H902" t="n">
        <v>84.0188</v>
      </c>
      <c r="I902" t="n">
        <v>79.944</v>
      </c>
      <c r="J902" t="n">
        <v>82.47069999999999</v>
      </c>
      <c r="K902" t="n">
        <v>136.3</v>
      </c>
    </row>
    <row r="903">
      <c r="A903" s="98" t="n">
        <v>34366</v>
      </c>
      <c r="B903" t="n">
        <v>66.8068</v>
      </c>
      <c r="C903" t="n">
        <v>88.4451</v>
      </c>
      <c r="D903" t="n">
        <v>47.0113</v>
      </c>
      <c r="E903" t="n">
        <v>86.50920000000001</v>
      </c>
      <c r="F903" t="n">
        <v>63.8278</v>
      </c>
      <c r="G903" t="n">
        <v>57.6274</v>
      </c>
      <c r="H903" t="n">
        <v>84.6148</v>
      </c>
      <c r="I903" t="n">
        <v>79.14360000000001</v>
      </c>
      <c r="J903" t="n">
        <v>82.31619999999999</v>
      </c>
      <c r="K903" t="n">
        <v>136.3</v>
      </c>
    </row>
    <row r="904">
      <c r="A904" s="98" t="n">
        <v>34394</v>
      </c>
      <c r="B904" t="n">
        <v>67.4832</v>
      </c>
      <c r="C904" t="n">
        <v>90.0954</v>
      </c>
      <c r="D904" t="n">
        <v>47.5338</v>
      </c>
      <c r="E904" t="n">
        <v>87.25020000000001</v>
      </c>
      <c r="F904" t="n">
        <v>64.6889</v>
      </c>
      <c r="G904" t="n">
        <v>58.2283</v>
      </c>
      <c r="H904" t="n">
        <v>85.7311</v>
      </c>
      <c r="I904" t="n">
        <v>77.8459</v>
      </c>
      <c r="J904" t="n">
        <v>82.9362</v>
      </c>
      <c r="K904" t="n">
        <v>136.4</v>
      </c>
    </row>
    <row r="905">
      <c r="A905" s="98" t="n">
        <v>34425</v>
      </c>
      <c r="B905" t="n">
        <v>67.8771</v>
      </c>
      <c r="C905" t="n">
        <v>91.4941</v>
      </c>
      <c r="D905" t="n">
        <v>47.8533</v>
      </c>
      <c r="E905" t="n">
        <v>87.50369999999999</v>
      </c>
      <c r="F905" t="n">
        <v>65.2743</v>
      </c>
      <c r="G905" t="n">
        <v>58.6697</v>
      </c>
      <c r="H905" t="n">
        <v>85.01430000000001</v>
      </c>
      <c r="I905" t="n">
        <v>77.1061</v>
      </c>
      <c r="J905" t="n">
        <v>83.194</v>
      </c>
      <c r="K905" t="n">
        <v>136.6</v>
      </c>
    </row>
    <row r="906">
      <c r="A906" s="98" t="n">
        <v>34455</v>
      </c>
      <c r="B906" t="n">
        <v>68.1961</v>
      </c>
      <c r="C906" t="n">
        <v>92.2163</v>
      </c>
      <c r="D906" t="n">
        <v>47.999</v>
      </c>
      <c r="E906" t="n">
        <v>87.9902</v>
      </c>
      <c r="F906" t="n">
        <v>65.70910000000001</v>
      </c>
      <c r="G906" t="n">
        <v>59.0454</v>
      </c>
      <c r="H906" t="n">
        <v>85.28740000000001</v>
      </c>
      <c r="I906" t="n">
        <v>76.7704</v>
      </c>
      <c r="J906" t="n">
        <v>83.34520000000001</v>
      </c>
      <c r="K906" t="n">
        <v>137</v>
      </c>
    </row>
    <row r="907">
      <c r="A907" s="98" t="n">
        <v>34486</v>
      </c>
      <c r="B907" t="n">
        <v>68.65260000000001</v>
      </c>
      <c r="C907" t="n">
        <v>92.30719999999999</v>
      </c>
      <c r="D907" t="n">
        <v>48.2819</v>
      </c>
      <c r="E907" t="n">
        <v>88.6292</v>
      </c>
      <c r="F907" t="n">
        <v>65.9462</v>
      </c>
      <c r="G907" t="n">
        <v>59.496</v>
      </c>
      <c r="H907" t="n">
        <v>85.1728</v>
      </c>
      <c r="I907" t="n">
        <v>80.06480000000001</v>
      </c>
      <c r="J907" t="n">
        <v>83.6506</v>
      </c>
      <c r="K907" t="n">
        <v>137.2</v>
      </c>
    </row>
    <row r="908">
      <c r="A908" s="98" t="n">
        <v>34516</v>
      </c>
      <c r="B908" t="n">
        <v>68.7353</v>
      </c>
      <c r="C908" t="n">
        <v>93.2347</v>
      </c>
      <c r="D908" t="n">
        <v>48.8382</v>
      </c>
      <c r="E908" t="n">
        <v>88.1927</v>
      </c>
      <c r="F908" t="n">
        <v>66.2319</v>
      </c>
      <c r="G908" t="n">
        <v>59.6872</v>
      </c>
      <c r="H908" t="n">
        <v>85.1601</v>
      </c>
      <c r="I908" t="n">
        <v>78.64190000000001</v>
      </c>
      <c r="J908" t="n">
        <v>83.4915</v>
      </c>
      <c r="K908" t="n">
        <v>137.3</v>
      </c>
    </row>
    <row r="909">
      <c r="A909" s="98" t="n">
        <v>34547</v>
      </c>
      <c r="B909" t="n">
        <v>69.19540000000001</v>
      </c>
      <c r="C909" t="n">
        <v>93.20050000000001</v>
      </c>
      <c r="D909" t="n">
        <v>49.014</v>
      </c>
      <c r="E909" t="n">
        <v>89.3365</v>
      </c>
      <c r="F909" t="n">
        <v>66.7851</v>
      </c>
      <c r="G909" t="n">
        <v>60.1042</v>
      </c>
      <c r="H909" t="n">
        <v>85.1225</v>
      </c>
      <c r="I909" t="n">
        <v>78.0967</v>
      </c>
      <c r="J909" t="n">
        <v>83.7838</v>
      </c>
      <c r="K909" t="n">
        <v>137.6</v>
      </c>
    </row>
    <row r="910">
      <c r="A910" s="98" t="n">
        <v>34578</v>
      </c>
      <c r="B910" t="n">
        <v>69.40170000000001</v>
      </c>
      <c r="C910" t="n">
        <v>93.9913</v>
      </c>
      <c r="D910" t="n">
        <v>49.4829</v>
      </c>
      <c r="E910" t="n">
        <v>88.8165</v>
      </c>
      <c r="F910" t="n">
        <v>67.039</v>
      </c>
      <c r="G910" t="n">
        <v>60.4239</v>
      </c>
      <c r="H910" t="n">
        <v>84.7062</v>
      </c>
      <c r="I910" t="n">
        <v>78.0335</v>
      </c>
      <c r="J910" t="n">
        <v>83.7623</v>
      </c>
      <c r="K910" t="n">
        <v>137.7</v>
      </c>
    </row>
    <row r="911">
      <c r="A911" s="98" t="n">
        <v>34608</v>
      </c>
      <c r="B911" t="n">
        <v>69.96899999999999</v>
      </c>
      <c r="C911" t="n">
        <v>94.413</v>
      </c>
      <c r="D911" t="n">
        <v>50.3456</v>
      </c>
      <c r="E911" t="n">
        <v>89.7165</v>
      </c>
      <c r="F911" t="n">
        <v>67.7242</v>
      </c>
      <c r="G911" t="n">
        <v>60.782</v>
      </c>
      <c r="H911" t="n">
        <v>84.44750000000001</v>
      </c>
      <c r="I911" t="n">
        <v>78.30840000000001</v>
      </c>
      <c r="J911" t="n">
        <v>84.1694</v>
      </c>
      <c r="K911" t="n">
        <v>137.4</v>
      </c>
    </row>
    <row r="912">
      <c r="A912" s="98" t="n">
        <v>34639</v>
      </c>
      <c r="B912" t="n">
        <v>70.4367</v>
      </c>
      <c r="C912" t="n">
        <v>94.61239999999999</v>
      </c>
      <c r="D912" t="n">
        <v>50.9811</v>
      </c>
      <c r="E912" t="n">
        <v>89.794</v>
      </c>
      <c r="F912" t="n">
        <v>68.2818</v>
      </c>
      <c r="G912" t="n">
        <v>61.356</v>
      </c>
      <c r="H912" t="n">
        <v>85.1122</v>
      </c>
      <c r="I912" t="n">
        <v>77.78440000000001</v>
      </c>
      <c r="J912" t="n">
        <v>84.44889999999999</v>
      </c>
      <c r="K912" t="n">
        <v>137.6</v>
      </c>
    </row>
    <row r="913">
      <c r="A913" s="98" t="n">
        <v>34669</v>
      </c>
      <c r="B913" t="n">
        <v>71.1413</v>
      </c>
      <c r="C913" t="n">
        <v>95.33920000000001</v>
      </c>
      <c r="D913" t="n">
        <v>51.4767</v>
      </c>
      <c r="E913" t="n">
        <v>90.51819999999999</v>
      </c>
      <c r="F913" t="n">
        <v>69.047</v>
      </c>
      <c r="G913" t="n">
        <v>62.1232</v>
      </c>
      <c r="H913" t="n">
        <v>86.0758</v>
      </c>
      <c r="I913" t="n">
        <v>77.875</v>
      </c>
      <c r="J913" t="n">
        <v>85.0057</v>
      </c>
      <c r="K913" t="n">
        <v>137.9</v>
      </c>
    </row>
    <row r="914">
      <c r="A914" s="98" t="n">
        <v>34700</v>
      </c>
      <c r="B914" t="n">
        <v>71.2762</v>
      </c>
      <c r="C914" t="n">
        <v>95.6361</v>
      </c>
      <c r="D914" t="n">
        <v>51.8019</v>
      </c>
      <c r="E914" t="n">
        <v>90.3246</v>
      </c>
      <c r="F914" t="n">
        <v>69.1755</v>
      </c>
      <c r="G914" t="n">
        <v>62.3043</v>
      </c>
      <c r="H914" t="n">
        <v>85.6728</v>
      </c>
      <c r="I914" t="n">
        <v>78.49379999999999</v>
      </c>
      <c r="J914" t="n">
        <v>84.87909999999999</v>
      </c>
      <c r="K914" t="n">
        <v>138.4</v>
      </c>
    </row>
    <row r="915">
      <c r="A915" s="98" t="n">
        <v>34731</v>
      </c>
      <c r="B915" t="n">
        <v>71.1904</v>
      </c>
      <c r="C915" t="n">
        <v>94.34739999999999</v>
      </c>
      <c r="D915" t="n">
        <v>51.8161</v>
      </c>
      <c r="E915" t="n">
        <v>90.53530000000001</v>
      </c>
      <c r="F915" t="n">
        <v>68.996</v>
      </c>
      <c r="G915" t="n">
        <v>62.1766</v>
      </c>
      <c r="H915" t="n">
        <v>85.46169999999999</v>
      </c>
      <c r="I915" t="n">
        <v>79.2099</v>
      </c>
      <c r="J915" t="n">
        <v>84.4876</v>
      </c>
      <c r="K915" t="n">
        <v>138.7</v>
      </c>
    </row>
    <row r="916">
      <c r="A916" s="98" t="n">
        <v>34759</v>
      </c>
      <c r="B916" t="n">
        <v>71.2891</v>
      </c>
      <c r="C916" t="n">
        <v>94.3201</v>
      </c>
      <c r="D916" t="n">
        <v>52.2976</v>
      </c>
      <c r="E916" t="n">
        <v>90.4838</v>
      </c>
      <c r="F916" t="n">
        <v>69.17619999999999</v>
      </c>
      <c r="G916" t="n">
        <v>62.2246</v>
      </c>
      <c r="H916" t="n">
        <v>84.2967</v>
      </c>
      <c r="I916" t="n">
        <v>79.15309999999999</v>
      </c>
      <c r="J916" t="n">
        <v>84.3121</v>
      </c>
      <c r="K916" t="n">
        <v>139</v>
      </c>
    </row>
    <row r="917">
      <c r="A917" s="98" t="n">
        <v>34790</v>
      </c>
      <c r="B917" t="n">
        <v>71.1623</v>
      </c>
      <c r="C917" t="n">
        <v>93.57899999999999</v>
      </c>
      <c r="D917" t="n">
        <v>52.2143</v>
      </c>
      <c r="E917" t="n">
        <v>90.035</v>
      </c>
      <c r="F917" t="n">
        <v>68.9815</v>
      </c>
      <c r="G917" t="n">
        <v>62.2988</v>
      </c>
      <c r="H917" t="n">
        <v>84.6549</v>
      </c>
      <c r="I917" t="n">
        <v>79.9003</v>
      </c>
      <c r="J917" t="n">
        <v>83.869</v>
      </c>
      <c r="K917" t="n">
        <v>139.3</v>
      </c>
    </row>
    <row r="918">
      <c r="A918" s="98" t="n">
        <v>34820</v>
      </c>
      <c r="B918" t="n">
        <v>71.5044</v>
      </c>
      <c r="C918" t="n">
        <v>93.15770000000001</v>
      </c>
      <c r="D918" t="n">
        <v>52.8749</v>
      </c>
      <c r="E918" t="n">
        <v>90.3683</v>
      </c>
      <c r="F918" t="n">
        <v>69.2266</v>
      </c>
      <c r="G918" t="n">
        <v>62.5375</v>
      </c>
      <c r="H918" t="n">
        <v>84.8852</v>
      </c>
      <c r="I918" t="n">
        <v>81.0993</v>
      </c>
      <c r="J918" t="n">
        <v>83.9723</v>
      </c>
      <c r="K918" t="n">
        <v>139.7</v>
      </c>
    </row>
    <row r="919">
      <c r="A919" s="98" t="n">
        <v>34851</v>
      </c>
      <c r="B919" t="n">
        <v>71.74299999999999</v>
      </c>
      <c r="C919" t="n">
        <v>93.3154</v>
      </c>
      <c r="D919" t="n">
        <v>53.5531</v>
      </c>
      <c r="E919" t="n">
        <v>90.7467</v>
      </c>
      <c r="F919" t="n">
        <v>69.55540000000001</v>
      </c>
      <c r="G919" t="n">
        <v>62.5635</v>
      </c>
      <c r="H919" t="n">
        <v>84.8049</v>
      </c>
      <c r="I919" t="n">
        <v>80.5609</v>
      </c>
      <c r="J919" t="n">
        <v>83.9443</v>
      </c>
      <c r="K919" t="n">
        <v>139.8</v>
      </c>
    </row>
    <row r="920">
      <c r="A920" s="98" t="n">
        <v>34881</v>
      </c>
      <c r="B920" t="n">
        <v>71.44589999999999</v>
      </c>
      <c r="C920" t="n">
        <v>93.0715</v>
      </c>
      <c r="D920" t="n">
        <v>53.2786</v>
      </c>
      <c r="E920" t="n">
        <v>90.25530000000001</v>
      </c>
      <c r="F920" t="n">
        <v>69.0997</v>
      </c>
      <c r="G920" t="n">
        <v>62.2972</v>
      </c>
      <c r="H920" t="n">
        <v>85.42319999999999</v>
      </c>
      <c r="I920" t="n">
        <v>81.5651</v>
      </c>
      <c r="J920" t="n">
        <v>83.2835</v>
      </c>
      <c r="K920" t="n">
        <v>140.2</v>
      </c>
    </row>
    <row r="921">
      <c r="A921" s="98" t="n">
        <v>34912</v>
      </c>
      <c r="B921" t="n">
        <v>72.38</v>
      </c>
      <c r="C921" t="n">
        <v>93.91840000000001</v>
      </c>
      <c r="D921" t="n">
        <v>54.2964</v>
      </c>
      <c r="E921" t="n">
        <v>91.6219</v>
      </c>
      <c r="F921" t="n">
        <v>69.9333</v>
      </c>
      <c r="G921" t="n">
        <v>63.0346</v>
      </c>
      <c r="H921" t="n">
        <v>84.3207</v>
      </c>
      <c r="I921" t="n">
        <v>84.8146</v>
      </c>
      <c r="J921" t="n">
        <v>84.04640000000001</v>
      </c>
      <c r="K921" t="n">
        <v>140.2</v>
      </c>
    </row>
    <row r="922">
      <c r="A922" s="98" t="n">
        <v>34943</v>
      </c>
      <c r="B922" t="n">
        <v>72.6601</v>
      </c>
      <c r="C922" t="n">
        <v>95.4074</v>
      </c>
      <c r="D922" t="n">
        <v>54.7876</v>
      </c>
      <c r="E922" t="n">
        <v>91.7984</v>
      </c>
      <c r="F922" t="n">
        <v>70.5699</v>
      </c>
      <c r="G922" t="n">
        <v>63.2851</v>
      </c>
      <c r="H922" t="n">
        <v>85.4079</v>
      </c>
      <c r="I922" t="n">
        <v>81.30840000000001</v>
      </c>
      <c r="J922" t="n">
        <v>84.0356</v>
      </c>
      <c r="K922" t="n">
        <v>140.2</v>
      </c>
    </row>
    <row r="923">
      <c r="A923" s="98" t="n">
        <v>34973</v>
      </c>
      <c r="B923" t="n">
        <v>72.5428</v>
      </c>
      <c r="C923" t="n">
        <v>95.34529999999999</v>
      </c>
      <c r="D923" t="n">
        <v>54.7491</v>
      </c>
      <c r="E923" t="n">
        <v>90.96339999999999</v>
      </c>
      <c r="F923" t="n">
        <v>70.5167</v>
      </c>
      <c r="G923" t="n">
        <v>63.4189</v>
      </c>
      <c r="H923" t="n">
        <v>84.29519999999999</v>
      </c>
      <c r="I923" t="n">
        <v>81.3942</v>
      </c>
      <c r="J923" t="n">
        <v>83.5543</v>
      </c>
      <c r="K923" t="n">
        <v>141</v>
      </c>
    </row>
    <row r="924">
      <c r="A924" s="98" t="n">
        <v>35004</v>
      </c>
      <c r="B924" t="n">
        <v>72.7178</v>
      </c>
      <c r="C924" t="n">
        <v>95.4224</v>
      </c>
      <c r="D924" t="n">
        <v>54.958</v>
      </c>
      <c r="E924" t="n">
        <v>91.2586</v>
      </c>
      <c r="F924" t="n">
        <v>70.5883</v>
      </c>
      <c r="G924" t="n">
        <v>63.5678</v>
      </c>
      <c r="H924" t="n">
        <v>85.1588</v>
      </c>
      <c r="I924" t="n">
        <v>82.42100000000001</v>
      </c>
      <c r="J924" t="n">
        <v>83.4004</v>
      </c>
      <c r="K924" t="n">
        <v>141.3</v>
      </c>
    </row>
    <row r="925">
      <c r="A925" s="98" t="n">
        <v>35034</v>
      </c>
      <c r="B925" t="n">
        <v>72.96720000000001</v>
      </c>
      <c r="C925" t="n">
        <v>95.80029999999999</v>
      </c>
      <c r="D925" t="n">
        <v>55.3569</v>
      </c>
      <c r="E925" t="n">
        <v>91.5427</v>
      </c>
      <c r="F925" t="n">
        <v>70.876</v>
      </c>
      <c r="G925" t="n">
        <v>63.8033</v>
      </c>
      <c r="H925" t="n">
        <v>84.9256</v>
      </c>
      <c r="I925" t="n">
        <v>83.0573</v>
      </c>
      <c r="J925" t="n">
        <v>83.32210000000001</v>
      </c>
      <c r="K925" t="n">
        <v>141.5</v>
      </c>
    </row>
    <row r="926">
      <c r="A926" s="98" t="n">
        <v>35065</v>
      </c>
      <c r="B926" t="n">
        <v>72.5866</v>
      </c>
      <c r="C926" t="n">
        <v>94.5821</v>
      </c>
      <c r="D926" t="n">
        <v>54.7823</v>
      </c>
      <c r="E926" t="n">
        <v>90.51949999999999</v>
      </c>
      <c r="F926" t="n">
        <v>70.4422</v>
      </c>
      <c r="G926" t="n">
        <v>63.8105</v>
      </c>
      <c r="H926" t="n">
        <v>83.6361</v>
      </c>
      <c r="I926" t="n">
        <v>83.8237</v>
      </c>
      <c r="J926" t="n">
        <v>82.5181</v>
      </c>
      <c r="K926" t="n">
        <v>141.5</v>
      </c>
    </row>
    <row r="927">
      <c r="A927" s="98" t="n">
        <v>35096</v>
      </c>
      <c r="B927" t="n">
        <v>73.63890000000001</v>
      </c>
      <c r="C927" t="n">
        <v>95.5685</v>
      </c>
      <c r="D927" t="n">
        <v>56.1496</v>
      </c>
      <c r="E927" t="n">
        <v>91.8989</v>
      </c>
      <c r="F927" t="n">
        <v>71.49169999999999</v>
      </c>
      <c r="G927" t="n">
        <v>64.60209999999999</v>
      </c>
      <c r="H927" t="n">
        <v>84.9314</v>
      </c>
      <c r="I927" t="n">
        <v>84.90649999999999</v>
      </c>
      <c r="J927" t="n">
        <v>83.3398</v>
      </c>
      <c r="K927" t="n">
        <v>141.6</v>
      </c>
    </row>
    <row r="928">
      <c r="A928" s="98" t="n">
        <v>35125</v>
      </c>
      <c r="B928" t="n">
        <v>73.5202</v>
      </c>
      <c r="C928" t="n">
        <v>96.6865</v>
      </c>
      <c r="D928" t="n">
        <v>55.9859</v>
      </c>
      <c r="E928" t="n">
        <v>91.3253</v>
      </c>
      <c r="F928" t="n">
        <v>71.2976</v>
      </c>
      <c r="G928" t="n">
        <v>64.54730000000001</v>
      </c>
      <c r="H928" t="n">
        <v>86.0137</v>
      </c>
      <c r="I928" t="n">
        <v>84.66800000000001</v>
      </c>
      <c r="J928" t="n">
        <v>82.8259</v>
      </c>
      <c r="K928" t="n">
        <v>141.6</v>
      </c>
    </row>
    <row r="929">
      <c r="A929" s="98" t="n">
        <v>35156</v>
      </c>
      <c r="B929" t="n">
        <v>74.2664</v>
      </c>
      <c r="C929" t="n">
        <v>97.248</v>
      </c>
      <c r="D929" t="n">
        <v>57.3778</v>
      </c>
      <c r="E929" t="n">
        <v>92.1686</v>
      </c>
      <c r="F929" t="n">
        <v>72.2025</v>
      </c>
      <c r="G929" t="n">
        <v>65.1859</v>
      </c>
      <c r="H929" t="n">
        <v>86.5406</v>
      </c>
      <c r="I929" t="n">
        <v>84.10250000000001</v>
      </c>
      <c r="J929" t="n">
        <v>83.2807</v>
      </c>
      <c r="K929" t="n">
        <v>141.6</v>
      </c>
    </row>
    <row r="930">
      <c r="A930" s="98" t="n">
        <v>35186</v>
      </c>
      <c r="B930" t="n">
        <v>74.8145</v>
      </c>
      <c r="C930" t="n">
        <v>98.262</v>
      </c>
      <c r="D930" t="n">
        <v>58.1483</v>
      </c>
      <c r="E930" t="n">
        <v>92.3082</v>
      </c>
      <c r="F930" t="n">
        <v>72.7811</v>
      </c>
      <c r="G930" t="n">
        <v>65.74769999999999</v>
      </c>
      <c r="H930" t="n">
        <v>86.2204</v>
      </c>
      <c r="I930" t="n">
        <v>84.9836</v>
      </c>
      <c r="J930" t="n">
        <v>83.50579999999999</v>
      </c>
      <c r="K930" t="n">
        <v>142</v>
      </c>
    </row>
    <row r="931">
      <c r="A931" s="98" t="n">
        <v>35217</v>
      </c>
      <c r="B931" t="n">
        <v>75.3779</v>
      </c>
      <c r="C931" t="n">
        <v>99.8005</v>
      </c>
      <c r="D931" t="n">
        <v>59.0045</v>
      </c>
      <c r="E931" t="n">
        <v>92.97320000000001</v>
      </c>
      <c r="F931" t="n">
        <v>73.50839999999999</v>
      </c>
      <c r="G931" t="n">
        <v>66.2223</v>
      </c>
      <c r="H931" t="n">
        <v>87.5596</v>
      </c>
      <c r="I931" t="n">
        <v>83.85469999999999</v>
      </c>
      <c r="J931" t="n">
        <v>83.74379999999999</v>
      </c>
      <c r="K931" t="n">
        <v>142.2</v>
      </c>
    </row>
    <row r="932">
      <c r="A932" s="98" t="n">
        <v>35247</v>
      </c>
      <c r="B932" t="n">
        <v>75.3754</v>
      </c>
      <c r="C932" t="n">
        <v>99.4221</v>
      </c>
      <c r="D932" t="n">
        <v>59.7581</v>
      </c>
      <c r="E932" t="n">
        <v>92.479</v>
      </c>
      <c r="F932" t="n">
        <v>73.8378</v>
      </c>
      <c r="G932" t="n">
        <v>66.1926</v>
      </c>
      <c r="H932" t="n">
        <v>87.14919999999999</v>
      </c>
      <c r="I932" t="n">
        <v>80.9676</v>
      </c>
      <c r="J932" t="n">
        <v>83.35550000000001</v>
      </c>
      <c r="K932" t="n">
        <v>142.2</v>
      </c>
    </row>
    <row r="933">
      <c r="A933" s="98" t="n">
        <v>35278</v>
      </c>
      <c r="B933" t="n">
        <v>75.7568</v>
      </c>
      <c r="C933" t="n">
        <v>100.2327</v>
      </c>
      <c r="D933" t="n">
        <v>60.0396</v>
      </c>
      <c r="E933" t="n">
        <v>92.16160000000001</v>
      </c>
      <c r="F933" t="n">
        <v>74.1472</v>
      </c>
      <c r="G933" t="n">
        <v>66.7901</v>
      </c>
      <c r="H933" t="n">
        <v>87.2694</v>
      </c>
      <c r="I933" t="n">
        <v>82.0069</v>
      </c>
      <c r="J933" t="n">
        <v>83.39190000000001</v>
      </c>
      <c r="K933" t="n">
        <v>142.3</v>
      </c>
    </row>
    <row r="934">
      <c r="A934" s="98" t="n">
        <v>35309</v>
      </c>
      <c r="B934" t="n">
        <v>76.2304</v>
      </c>
      <c r="C934" t="n">
        <v>100.5379</v>
      </c>
      <c r="D934" t="n">
        <v>60.7099</v>
      </c>
      <c r="E934" t="n">
        <v>93.10339999999999</v>
      </c>
      <c r="F934" t="n">
        <v>74.7638</v>
      </c>
      <c r="G934" t="n">
        <v>67.0449</v>
      </c>
      <c r="H934" t="n">
        <v>87.4653</v>
      </c>
      <c r="I934" t="n">
        <v>81.66370000000001</v>
      </c>
      <c r="J934" t="n">
        <v>83.5254</v>
      </c>
      <c r="K934" t="n">
        <v>142.2</v>
      </c>
    </row>
    <row r="935">
      <c r="A935" s="98" t="n">
        <v>35339</v>
      </c>
      <c r="B935" t="n">
        <v>76.2193</v>
      </c>
      <c r="C935" t="n">
        <v>100.7074</v>
      </c>
      <c r="D935" t="n">
        <v>60.5817</v>
      </c>
      <c r="E935" t="n">
        <v>92.6024</v>
      </c>
      <c r="F935" t="n">
        <v>74.65560000000001</v>
      </c>
      <c r="G935" t="n">
        <v>67.20820000000001</v>
      </c>
      <c r="H935" t="n">
        <v>87.075</v>
      </c>
      <c r="I935" t="n">
        <v>82.5103</v>
      </c>
      <c r="J935" t="n">
        <v>83.1236</v>
      </c>
      <c r="K935" t="n">
        <v>142.3</v>
      </c>
    </row>
    <row r="936">
      <c r="A936" s="98" t="n">
        <v>35370</v>
      </c>
      <c r="B936" t="n">
        <v>76.89409999999999</v>
      </c>
      <c r="C936" t="n">
        <v>101.4402</v>
      </c>
      <c r="D936" t="n">
        <v>61.4855</v>
      </c>
      <c r="E936" t="n">
        <v>93.6794</v>
      </c>
      <c r="F936" t="n">
        <v>75.313</v>
      </c>
      <c r="G936" t="n">
        <v>67.65949999999999</v>
      </c>
      <c r="H936" t="n">
        <v>86.76430000000001</v>
      </c>
      <c r="I936" t="n">
        <v>83.9943</v>
      </c>
      <c r="J936" t="n">
        <v>83.46210000000001</v>
      </c>
      <c r="K936" t="n">
        <v>142.1</v>
      </c>
    </row>
    <row r="937">
      <c r="A937" s="98" t="n">
        <v>35400</v>
      </c>
      <c r="B937" t="n">
        <v>77.37309999999999</v>
      </c>
      <c r="C937" t="n">
        <v>100.9625</v>
      </c>
      <c r="D937" t="n">
        <v>62.58</v>
      </c>
      <c r="E937" t="n">
        <v>93.88679999999999</v>
      </c>
      <c r="F937" t="n">
        <v>75.9361</v>
      </c>
      <c r="G937" t="n">
        <v>68.1392</v>
      </c>
      <c r="H937" t="n">
        <v>86.898</v>
      </c>
      <c r="I937" t="n">
        <v>83.0505</v>
      </c>
      <c r="J937" t="n">
        <v>83.5793</v>
      </c>
      <c r="K937" t="n">
        <v>142.3</v>
      </c>
    </row>
    <row r="938">
      <c r="A938" s="98" t="n">
        <v>35431</v>
      </c>
      <c r="B938" t="n">
        <v>77.5138</v>
      </c>
      <c r="C938" t="n">
        <v>100.0137</v>
      </c>
      <c r="D938" t="n">
        <v>62.9298</v>
      </c>
      <c r="E938" t="n">
        <v>93.67570000000001</v>
      </c>
      <c r="F938" t="n">
        <v>76.0189</v>
      </c>
      <c r="G938" t="n">
        <v>68.3857</v>
      </c>
      <c r="H938" t="n">
        <v>86.60250000000001</v>
      </c>
      <c r="I938" t="n">
        <v>83.79470000000001</v>
      </c>
      <c r="J938" t="n">
        <v>83.3331</v>
      </c>
      <c r="K938" t="n">
        <v>142.5</v>
      </c>
    </row>
    <row r="939">
      <c r="A939" s="98" t="n">
        <v>35462</v>
      </c>
      <c r="B939" t="n">
        <v>78.4246</v>
      </c>
      <c r="C939" t="n">
        <v>101.9883</v>
      </c>
      <c r="D939" t="n">
        <v>63.9577</v>
      </c>
      <c r="E939" t="n">
        <v>94.2037</v>
      </c>
      <c r="F939" t="n">
        <v>77.059</v>
      </c>
      <c r="G939" t="n">
        <v>69.3289</v>
      </c>
      <c r="H939" t="n">
        <v>88.2403</v>
      </c>
      <c r="I939" t="n">
        <v>82.8402</v>
      </c>
      <c r="J939" t="n">
        <v>83.90000000000001</v>
      </c>
      <c r="K939" t="n">
        <v>142.4</v>
      </c>
    </row>
    <row r="940">
      <c r="A940" s="98" t="n">
        <v>35490</v>
      </c>
      <c r="B940" t="n">
        <v>78.92659999999999</v>
      </c>
      <c r="C940" t="n">
        <v>102.9374</v>
      </c>
      <c r="D940" t="n">
        <v>64.9156</v>
      </c>
      <c r="E940" t="n">
        <v>94.877</v>
      </c>
      <c r="F940" t="n">
        <v>77.851</v>
      </c>
      <c r="G940" t="n">
        <v>69.6288</v>
      </c>
      <c r="H940" t="n">
        <v>88.4556</v>
      </c>
      <c r="I940" t="n">
        <v>81.0339</v>
      </c>
      <c r="J940" t="n">
        <v>84.01690000000001</v>
      </c>
      <c r="K940" t="n">
        <v>142.6</v>
      </c>
    </row>
    <row r="941">
      <c r="A941" s="98" t="n">
        <v>35521</v>
      </c>
      <c r="B941" t="n">
        <v>78.9924</v>
      </c>
      <c r="C941" t="n">
        <v>102.7165</v>
      </c>
      <c r="D941" t="n">
        <v>65.46769999999999</v>
      </c>
      <c r="E941" t="n">
        <v>93.9242</v>
      </c>
      <c r="F941" t="n">
        <v>77.74379999999999</v>
      </c>
      <c r="G941" t="n">
        <v>69.93429999999999</v>
      </c>
      <c r="H941" t="n">
        <v>87.70180000000001</v>
      </c>
      <c r="I941" t="n">
        <v>82.9198</v>
      </c>
      <c r="J941" t="n">
        <v>83.6618</v>
      </c>
      <c r="K941" t="n">
        <v>142.6</v>
      </c>
    </row>
    <row r="942">
      <c r="A942" s="98" t="n">
        <v>35551</v>
      </c>
      <c r="B942" t="n">
        <v>79.44110000000001</v>
      </c>
      <c r="C942" t="n">
        <v>103.2283</v>
      </c>
      <c r="D942" t="n">
        <v>66.22499999999999</v>
      </c>
      <c r="E942" t="n">
        <v>94.6444</v>
      </c>
      <c r="F942" t="n">
        <v>78.31829999999999</v>
      </c>
      <c r="G942" t="n">
        <v>70.20099999999999</v>
      </c>
      <c r="H942" t="n">
        <v>88.78100000000001</v>
      </c>
      <c r="I942" t="n">
        <v>81.7923</v>
      </c>
      <c r="J942" t="n">
        <v>83.69840000000001</v>
      </c>
      <c r="K942" t="n">
        <v>142.4</v>
      </c>
    </row>
    <row r="943">
      <c r="A943" s="98" t="n">
        <v>35582</v>
      </c>
      <c r="B943" t="n">
        <v>79.8048</v>
      </c>
      <c r="C943" t="n">
        <v>103.0476</v>
      </c>
      <c r="D943" t="n">
        <v>67.2942</v>
      </c>
      <c r="E943" t="n">
        <v>94.5592</v>
      </c>
      <c r="F943" t="n">
        <v>78.7963</v>
      </c>
      <c r="G943" t="n">
        <v>70.6404</v>
      </c>
      <c r="H943" t="n">
        <v>88.2435</v>
      </c>
      <c r="I943" t="n">
        <v>81.41330000000001</v>
      </c>
      <c r="J943" t="n">
        <v>83.6264</v>
      </c>
      <c r="K943" t="n">
        <v>142.4</v>
      </c>
    </row>
    <row r="944">
      <c r="A944" s="98" t="n">
        <v>35612</v>
      </c>
      <c r="B944" t="n">
        <v>80.48</v>
      </c>
      <c r="C944" t="n">
        <v>103.115</v>
      </c>
      <c r="D944" t="n">
        <v>67.7171</v>
      </c>
      <c r="E944" t="n">
        <v>95.474</v>
      </c>
      <c r="F944" t="n">
        <v>79.3826</v>
      </c>
      <c r="G944" t="n">
        <v>71.2813</v>
      </c>
      <c r="H944" t="n">
        <v>88.241</v>
      </c>
      <c r="I944" t="n">
        <v>83.1528</v>
      </c>
      <c r="J944" t="n">
        <v>83.8625</v>
      </c>
      <c r="K944" t="n">
        <v>142.2</v>
      </c>
    </row>
    <row r="945">
      <c r="A945" s="98" t="n">
        <v>35643</v>
      </c>
      <c r="B945" t="n">
        <v>81.28619999999999</v>
      </c>
      <c r="C945" t="n">
        <v>103.9011</v>
      </c>
      <c r="D945" t="n">
        <v>69.2013</v>
      </c>
      <c r="E945" t="n">
        <v>96.2867</v>
      </c>
      <c r="F945" t="n">
        <v>80.3899</v>
      </c>
      <c r="G945" t="n">
        <v>72.0093</v>
      </c>
      <c r="H945" t="n">
        <v>88.2634</v>
      </c>
      <c r="I945" t="n">
        <v>82.78959999999999</v>
      </c>
      <c r="J945" t="n">
        <v>84.2102</v>
      </c>
      <c r="K945" t="n">
        <v>142.3</v>
      </c>
    </row>
    <row r="946">
      <c r="A946" s="98" t="n">
        <v>35674</v>
      </c>
      <c r="B946" t="n">
        <v>82.038</v>
      </c>
      <c r="C946" t="n">
        <v>104.3486</v>
      </c>
      <c r="D946" t="n">
        <v>69.7833</v>
      </c>
      <c r="E946" t="n">
        <v>97.0206</v>
      </c>
      <c r="F946" t="n">
        <v>81.11020000000001</v>
      </c>
      <c r="G946" t="n">
        <v>72.79179999999999</v>
      </c>
      <c r="H946" t="n">
        <v>88.9192</v>
      </c>
      <c r="I946" t="n">
        <v>83.73990000000001</v>
      </c>
      <c r="J946" t="n">
        <v>84.4781</v>
      </c>
      <c r="K946" t="n">
        <v>142.6</v>
      </c>
    </row>
    <row r="947">
      <c r="A947" s="98" t="n">
        <v>35704</v>
      </c>
      <c r="B947" t="n">
        <v>82.7657</v>
      </c>
      <c r="C947" t="n">
        <v>104.993</v>
      </c>
      <c r="D947" t="n">
        <v>70.7688</v>
      </c>
      <c r="E947" t="n">
        <v>98.5421</v>
      </c>
      <c r="F947" t="n">
        <v>81.8399</v>
      </c>
      <c r="G947" t="n">
        <v>73.0461</v>
      </c>
      <c r="H947" t="n">
        <v>88.10169999999999</v>
      </c>
      <c r="I947" t="n">
        <v>85.2475</v>
      </c>
      <c r="J947" t="n">
        <v>84.69880000000001</v>
      </c>
      <c r="K947" t="n">
        <v>142.6</v>
      </c>
    </row>
    <row r="948">
      <c r="A948" s="98" t="n">
        <v>35735</v>
      </c>
      <c r="B948" t="n">
        <v>83.43210000000001</v>
      </c>
      <c r="C948" t="n">
        <v>105.3365</v>
      </c>
      <c r="D948" t="n">
        <v>72.0414</v>
      </c>
      <c r="E948" t="n">
        <v>98.7522</v>
      </c>
      <c r="F948" t="n">
        <v>82.70569999999999</v>
      </c>
      <c r="G948" t="n">
        <v>73.86490000000001</v>
      </c>
      <c r="H948" t="n">
        <v>87.6095</v>
      </c>
      <c r="I948" t="n">
        <v>85.17140000000001</v>
      </c>
      <c r="J948" t="n">
        <v>84.83799999999999</v>
      </c>
      <c r="K948" t="n">
        <v>142.4</v>
      </c>
    </row>
    <row r="949">
      <c r="A949" s="98" t="n">
        <v>35765</v>
      </c>
      <c r="B949" t="n">
        <v>83.7826</v>
      </c>
      <c r="C949" t="n">
        <v>106.691</v>
      </c>
      <c r="D949" t="n">
        <v>72.5089</v>
      </c>
      <c r="E949" t="n">
        <v>98.4288</v>
      </c>
      <c r="F949" t="n">
        <v>83.15000000000001</v>
      </c>
      <c r="G949" t="n">
        <v>74.372</v>
      </c>
      <c r="H949" t="n">
        <v>88.02630000000001</v>
      </c>
      <c r="I949" t="n">
        <v>84.80500000000001</v>
      </c>
      <c r="J949" t="n">
        <v>84.6461</v>
      </c>
      <c r="K949" t="n">
        <v>142.3</v>
      </c>
    </row>
    <row r="950">
      <c r="A950" s="98" t="n">
        <v>35796</v>
      </c>
      <c r="B950" t="n">
        <v>84.1656</v>
      </c>
      <c r="C950" t="n">
        <v>107.2505</v>
      </c>
      <c r="D950" t="n">
        <v>73.4794</v>
      </c>
      <c r="E950" t="n">
        <v>98.8907</v>
      </c>
      <c r="F950" t="n">
        <v>83.8442</v>
      </c>
      <c r="G950" t="n">
        <v>74.58629999999999</v>
      </c>
      <c r="H950" t="n">
        <v>90.4175</v>
      </c>
      <c r="I950" t="n">
        <v>81.4295</v>
      </c>
      <c r="J950" t="n">
        <v>84.4813</v>
      </c>
      <c r="K950" t="n">
        <v>142.4</v>
      </c>
    </row>
    <row r="951">
      <c r="A951" s="98" t="n">
        <v>35827</v>
      </c>
      <c r="B951" t="n">
        <v>84.3048</v>
      </c>
      <c r="C951" t="n">
        <v>107.9678</v>
      </c>
      <c r="D951" t="n">
        <v>73.8064</v>
      </c>
      <c r="E951" t="n">
        <v>98.7602</v>
      </c>
      <c r="F951" t="n">
        <v>83.9466</v>
      </c>
      <c r="G951" t="n">
        <v>74.66459999999999</v>
      </c>
      <c r="H951" t="n">
        <v>89.1776</v>
      </c>
      <c r="I951" t="n">
        <v>82.36190000000001</v>
      </c>
      <c r="J951" t="n">
        <v>84.0729</v>
      </c>
      <c r="K951" t="n">
        <v>142.6</v>
      </c>
    </row>
    <row r="952">
      <c r="A952" s="98" t="n">
        <v>35855</v>
      </c>
      <c r="B952" t="n">
        <v>84.3416</v>
      </c>
      <c r="C952" t="n">
        <v>107.2513</v>
      </c>
      <c r="D952" t="n">
        <v>74.18559999999999</v>
      </c>
      <c r="E952" t="n">
        <v>98.8297</v>
      </c>
      <c r="F952" t="n">
        <v>83.7744</v>
      </c>
      <c r="G952" t="n">
        <v>74.5967</v>
      </c>
      <c r="H952" t="n">
        <v>87.85129999999999</v>
      </c>
      <c r="I952" t="n">
        <v>84.8295</v>
      </c>
      <c r="J952" t="n">
        <v>83.5673</v>
      </c>
      <c r="K952" t="n">
        <v>143.3</v>
      </c>
    </row>
    <row r="953">
      <c r="A953" s="98" t="n">
        <v>35886</v>
      </c>
      <c r="B953" t="n">
        <v>84.6263</v>
      </c>
      <c r="C953" t="n">
        <v>107.6227</v>
      </c>
      <c r="D953" t="n">
        <v>74.3407</v>
      </c>
      <c r="E953" t="n">
        <v>99.45959999999999</v>
      </c>
      <c r="F953" t="n">
        <v>84.1401</v>
      </c>
      <c r="G953" t="n">
        <v>74.76860000000001</v>
      </c>
      <c r="H953" t="n">
        <v>88.4246</v>
      </c>
      <c r="I953" t="n">
        <v>84.03530000000001</v>
      </c>
      <c r="J953" t="n">
        <v>83.31780000000001</v>
      </c>
      <c r="K953" t="n">
        <v>143.4</v>
      </c>
    </row>
    <row r="954">
      <c r="A954" s="98" t="n">
        <v>35916</v>
      </c>
      <c r="B954" t="n">
        <v>85.18389999999999</v>
      </c>
      <c r="C954" t="n">
        <v>109.0433</v>
      </c>
      <c r="D954" t="n">
        <v>74.81740000000001</v>
      </c>
      <c r="E954" t="n">
        <v>99.84050000000001</v>
      </c>
      <c r="F954" t="n">
        <v>84.6139</v>
      </c>
      <c r="G954" t="n">
        <v>75.3222</v>
      </c>
      <c r="H954" t="n">
        <v>88.6521</v>
      </c>
      <c r="I954" t="n">
        <v>85.7</v>
      </c>
      <c r="J954" t="n">
        <v>83.3489</v>
      </c>
      <c r="K954" t="n">
        <v>143.5</v>
      </c>
    </row>
    <row r="955">
      <c r="A955" s="98" t="n">
        <v>35947</v>
      </c>
      <c r="B955" t="n">
        <v>84.68089999999999</v>
      </c>
      <c r="C955" t="n">
        <v>108.584</v>
      </c>
      <c r="D955" t="n">
        <v>74.9051</v>
      </c>
      <c r="E955" t="n">
        <v>98.8069</v>
      </c>
      <c r="F955" t="n">
        <v>83.9391</v>
      </c>
      <c r="G955" t="n">
        <v>74.761</v>
      </c>
      <c r="H955" t="n">
        <v>86.7803</v>
      </c>
      <c r="I955" t="n">
        <v>87.1053</v>
      </c>
      <c r="J955" t="n">
        <v>82.3651</v>
      </c>
      <c r="K955" t="n">
        <v>143.5</v>
      </c>
    </row>
    <row r="956">
      <c r="A956" s="98" t="n">
        <v>35977</v>
      </c>
      <c r="B956" t="n">
        <v>84.34480000000001</v>
      </c>
      <c r="C956" t="n">
        <v>109.2412</v>
      </c>
      <c r="D956" t="n">
        <v>74.43559999999999</v>
      </c>
      <c r="E956" t="n">
        <v>97.92740000000001</v>
      </c>
      <c r="F956" t="n">
        <v>83.5124</v>
      </c>
      <c r="G956" t="n">
        <v>74.4079</v>
      </c>
      <c r="H956" t="n">
        <v>85.75279999999999</v>
      </c>
      <c r="I956" t="n">
        <v>87.36920000000001</v>
      </c>
      <c r="J956" t="n">
        <v>81.58369999999999</v>
      </c>
      <c r="K956" t="n">
        <v>143.8</v>
      </c>
    </row>
    <row r="957">
      <c r="A957" s="98" t="n">
        <v>36008</v>
      </c>
      <c r="B957" t="n">
        <v>86.08459999999999</v>
      </c>
      <c r="C957" t="n">
        <v>109.5969</v>
      </c>
      <c r="D957" t="n">
        <v>76.70829999999999</v>
      </c>
      <c r="E957" t="n">
        <v>100.6946</v>
      </c>
      <c r="F957" t="n">
        <v>85.6512</v>
      </c>
      <c r="G957" t="n">
        <v>75.89279999999999</v>
      </c>
      <c r="H957" t="n">
        <v>86.08280000000001</v>
      </c>
      <c r="I957" t="n">
        <v>86.8711</v>
      </c>
      <c r="J957" t="n">
        <v>82.8278</v>
      </c>
      <c r="K957" t="n">
        <v>143.8</v>
      </c>
    </row>
    <row r="958">
      <c r="A958" s="98" t="n">
        <v>36039</v>
      </c>
      <c r="B958" t="n">
        <v>85.9945</v>
      </c>
      <c r="C958" t="n">
        <v>109.2688</v>
      </c>
      <c r="D958" t="n">
        <v>76.73050000000001</v>
      </c>
      <c r="E958" t="n">
        <v>100.0012</v>
      </c>
      <c r="F958" t="n">
        <v>85.5701</v>
      </c>
      <c r="G958" t="n">
        <v>76.03270000000001</v>
      </c>
      <c r="H958" t="n">
        <v>83.423</v>
      </c>
      <c r="I958" t="n">
        <v>88.3206</v>
      </c>
      <c r="J958" t="n">
        <v>82.3242</v>
      </c>
      <c r="K958" t="n">
        <v>144</v>
      </c>
    </row>
    <row r="959">
      <c r="A959" s="98" t="n">
        <v>36069</v>
      </c>
      <c r="B959" t="n">
        <v>86.5967</v>
      </c>
      <c r="C959" t="n">
        <v>110.227</v>
      </c>
      <c r="D959" t="n">
        <v>77.6121</v>
      </c>
      <c r="E959" t="n">
        <v>100.3713</v>
      </c>
      <c r="F959" t="n">
        <v>86.3233</v>
      </c>
      <c r="G959" t="n">
        <v>76.6922</v>
      </c>
      <c r="H959" t="n">
        <v>84.2401</v>
      </c>
      <c r="I959" t="n">
        <v>87.41540000000001</v>
      </c>
      <c r="J959" t="n">
        <v>82.4996</v>
      </c>
      <c r="K959" t="n">
        <v>144.2</v>
      </c>
    </row>
    <row r="960">
      <c r="A960" s="98" t="n">
        <v>36100</v>
      </c>
      <c r="B960" t="n">
        <v>86.51139999999999</v>
      </c>
      <c r="C960" t="n">
        <v>110.4261</v>
      </c>
      <c r="D960" t="n">
        <v>77.62269999999999</v>
      </c>
      <c r="E960" t="n">
        <v>99.6677</v>
      </c>
      <c r="F960" t="n">
        <v>86.4205</v>
      </c>
      <c r="G960" t="n">
        <v>76.80329999999999</v>
      </c>
      <c r="H960" t="n">
        <v>84.5183</v>
      </c>
      <c r="I960" t="n">
        <v>85.19119999999999</v>
      </c>
      <c r="J960" t="n">
        <v>82.0316</v>
      </c>
      <c r="K960" t="n">
        <v>144.3</v>
      </c>
    </row>
    <row r="961">
      <c r="A961" s="98" t="n">
        <v>36130</v>
      </c>
      <c r="B961" t="n">
        <v>86.8608</v>
      </c>
      <c r="C961" t="n">
        <v>111.7905</v>
      </c>
      <c r="D961" t="n">
        <v>77.7659</v>
      </c>
      <c r="E961" t="n">
        <v>99.7058</v>
      </c>
      <c r="F961" t="n">
        <v>86.9349</v>
      </c>
      <c r="G961" t="n">
        <v>77.4144</v>
      </c>
      <c r="H961" t="n">
        <v>82.5337</v>
      </c>
      <c r="I961" t="n">
        <v>85.3878</v>
      </c>
      <c r="J961" t="n">
        <v>81.99039999999999</v>
      </c>
      <c r="K961" t="n">
        <v>145.8</v>
      </c>
    </row>
    <row r="962">
      <c r="A962" s="98" t="n">
        <v>36161</v>
      </c>
      <c r="B962" t="n">
        <v>87.2277</v>
      </c>
      <c r="C962" t="n">
        <v>111.0596</v>
      </c>
      <c r="D962" t="n">
        <v>77.7449</v>
      </c>
      <c r="E962" t="n">
        <v>100.7284</v>
      </c>
      <c r="F962" t="n">
        <v>87.181</v>
      </c>
      <c r="G962" t="n">
        <v>77.6053</v>
      </c>
      <c r="H962" t="n">
        <v>82.4637</v>
      </c>
      <c r="I962" t="n">
        <v>87.3627</v>
      </c>
      <c r="J962" t="n">
        <v>81.9774</v>
      </c>
      <c r="K962" t="n">
        <v>145.6</v>
      </c>
    </row>
    <row r="963">
      <c r="A963" s="98" t="n">
        <v>36192</v>
      </c>
      <c r="B963" t="n">
        <v>87.7266</v>
      </c>
      <c r="C963" t="n">
        <v>111.2123</v>
      </c>
      <c r="D963" t="n">
        <v>78.3702</v>
      </c>
      <c r="E963" t="n">
        <v>101.1513</v>
      </c>
      <c r="F963" t="n">
        <v>87.9842</v>
      </c>
      <c r="G963" t="n">
        <v>78.1661</v>
      </c>
      <c r="H963" t="n">
        <v>81.85509999999999</v>
      </c>
      <c r="I963" t="n">
        <v>85.9389</v>
      </c>
      <c r="J963" t="n">
        <v>82.0973</v>
      </c>
      <c r="K963" t="n">
        <v>145.7</v>
      </c>
    </row>
    <row r="964">
      <c r="A964" s="98" t="n">
        <v>36220</v>
      </c>
      <c r="B964" t="n">
        <v>87.9203</v>
      </c>
      <c r="C964" t="n">
        <v>110.1522</v>
      </c>
      <c r="D964" t="n">
        <v>78.35939999999999</v>
      </c>
      <c r="E964" t="n">
        <v>100.9369</v>
      </c>
      <c r="F964" t="n">
        <v>87.96550000000001</v>
      </c>
      <c r="G964" t="n">
        <v>78.7062</v>
      </c>
      <c r="H964" t="n">
        <v>81.1953</v>
      </c>
      <c r="I964" t="n">
        <v>88.524</v>
      </c>
      <c r="J964" t="n">
        <v>81.9427</v>
      </c>
      <c r="K964" t="n">
        <v>145.7</v>
      </c>
    </row>
    <row r="965">
      <c r="A965" s="98" t="n">
        <v>36251</v>
      </c>
      <c r="B965" t="n">
        <v>88.1153</v>
      </c>
      <c r="C965" t="n">
        <v>110.4558</v>
      </c>
      <c r="D965" t="n">
        <v>78.7675</v>
      </c>
      <c r="E965" t="n">
        <v>100.8034</v>
      </c>
      <c r="F965" t="n">
        <v>88.3045</v>
      </c>
      <c r="G965" t="n">
        <v>79.0622</v>
      </c>
      <c r="H965" t="n">
        <v>80.9402</v>
      </c>
      <c r="I965" t="n">
        <v>87.9088</v>
      </c>
      <c r="J965" t="n">
        <v>81.8019</v>
      </c>
      <c r="K965" t="n">
        <v>145.7</v>
      </c>
    </row>
    <row r="966">
      <c r="A966" s="98" t="n">
        <v>36281</v>
      </c>
      <c r="B966" t="n">
        <v>88.6554</v>
      </c>
      <c r="C966" t="n">
        <v>110.7158</v>
      </c>
      <c r="D966" t="n">
        <v>79.59229999999999</v>
      </c>
      <c r="E966" t="n">
        <v>101.7123</v>
      </c>
      <c r="F966" t="n">
        <v>89.0393</v>
      </c>
      <c r="G966" t="n">
        <v>79.45659999999999</v>
      </c>
      <c r="H966" t="n">
        <v>80.94499999999999</v>
      </c>
      <c r="I966" t="n">
        <v>87.15940000000001</v>
      </c>
      <c r="J966" t="n">
        <v>81.98950000000001</v>
      </c>
      <c r="K966" t="n">
        <v>145.7</v>
      </c>
    </row>
    <row r="967">
      <c r="A967" s="98" t="n">
        <v>36312</v>
      </c>
      <c r="B967" t="n">
        <v>88.5958</v>
      </c>
      <c r="C967" t="n">
        <v>110.7992</v>
      </c>
      <c r="D967" t="n">
        <v>79.3659</v>
      </c>
      <c r="E967" t="n">
        <v>100.7585</v>
      </c>
      <c r="F967" t="n">
        <v>88.8312</v>
      </c>
      <c r="G967" t="n">
        <v>79.8897</v>
      </c>
      <c r="H967" t="n">
        <v>81.22190000000001</v>
      </c>
      <c r="I967" t="n">
        <v>88.41670000000001</v>
      </c>
      <c r="J967" t="n">
        <v>81.62909999999999</v>
      </c>
      <c r="K967" t="n">
        <v>145.8</v>
      </c>
    </row>
    <row r="968">
      <c r="A968" s="98" t="n">
        <v>36342</v>
      </c>
      <c r="B968" t="n">
        <v>89.12350000000001</v>
      </c>
      <c r="C968" t="n">
        <v>111.5697</v>
      </c>
      <c r="D968" t="n">
        <v>79.9361</v>
      </c>
      <c r="E968" t="n">
        <v>100.408</v>
      </c>
      <c r="F968" t="n">
        <v>89.2667</v>
      </c>
      <c r="G968" t="n">
        <v>80.8768</v>
      </c>
      <c r="H968" t="n">
        <v>81.9802</v>
      </c>
      <c r="I968" t="n">
        <v>90.3249</v>
      </c>
      <c r="J968" t="n">
        <v>81.8177</v>
      </c>
      <c r="K968" t="n">
        <v>145.8</v>
      </c>
    </row>
    <row r="969">
      <c r="A969" s="98" t="n">
        <v>36373</v>
      </c>
      <c r="B969" t="n">
        <v>89.5116</v>
      </c>
      <c r="C969" t="n">
        <v>111.5211</v>
      </c>
      <c r="D969" t="n">
        <v>80.462</v>
      </c>
      <c r="E969" t="n">
        <v>101.6747</v>
      </c>
      <c r="F969" t="n">
        <v>89.72490000000001</v>
      </c>
      <c r="G969" t="n">
        <v>80.8882</v>
      </c>
      <c r="H969" t="n">
        <v>82.07389999999999</v>
      </c>
      <c r="I969" t="n">
        <v>89.2166</v>
      </c>
      <c r="J969" t="n">
        <v>81.8764</v>
      </c>
      <c r="K969" t="n">
        <v>145.7</v>
      </c>
    </row>
    <row r="970">
      <c r="A970" s="98" t="n">
        <v>36404</v>
      </c>
      <c r="B970" t="n">
        <v>89.1361</v>
      </c>
      <c r="C970" t="n">
        <v>111.5954</v>
      </c>
      <c r="D970" t="n">
        <v>80.09229999999999</v>
      </c>
      <c r="E970" t="n">
        <v>100.8763</v>
      </c>
      <c r="F970" t="n">
        <v>89.31480000000001</v>
      </c>
      <c r="G970" t="n">
        <v>80.67270000000001</v>
      </c>
      <c r="H970" t="n">
        <v>81.9941</v>
      </c>
      <c r="I970" t="n">
        <v>88.62309999999999</v>
      </c>
      <c r="J970" t="n">
        <v>81.2413</v>
      </c>
      <c r="K970" t="n">
        <v>146.5</v>
      </c>
    </row>
    <row r="971">
      <c r="A971" s="98" t="n">
        <v>36434</v>
      </c>
      <c r="B971" t="n">
        <v>90.2842</v>
      </c>
      <c r="C971" t="n">
        <v>112.9356</v>
      </c>
      <c r="D971" t="n">
        <v>80.7308</v>
      </c>
      <c r="E971" t="n">
        <v>102.8498</v>
      </c>
      <c r="F971" t="n">
        <v>90.6741</v>
      </c>
      <c r="G971" t="n">
        <v>81.6378</v>
      </c>
      <c r="H971" t="n">
        <v>82.8078</v>
      </c>
      <c r="I971" t="n">
        <v>88.3382</v>
      </c>
      <c r="J971" t="n">
        <v>81.99590000000001</v>
      </c>
      <c r="K971" t="n">
        <v>146.9</v>
      </c>
    </row>
    <row r="972">
      <c r="A972" s="98" t="n">
        <v>36465</v>
      </c>
      <c r="B972" t="n">
        <v>90.76309999999999</v>
      </c>
      <c r="C972" t="n">
        <v>113.5867</v>
      </c>
      <c r="D972" t="n">
        <v>80.83750000000001</v>
      </c>
      <c r="E972" t="n">
        <v>102.7953</v>
      </c>
      <c r="F972" t="n">
        <v>91.28319999999999</v>
      </c>
      <c r="G972" t="n">
        <v>82.5146</v>
      </c>
      <c r="H972" t="n">
        <v>83.6964</v>
      </c>
      <c r="I972" t="n">
        <v>87.0652</v>
      </c>
      <c r="J972" t="n">
        <v>82.1417</v>
      </c>
      <c r="K972" t="n">
        <v>146.9</v>
      </c>
    </row>
    <row r="973">
      <c r="A973" s="98" t="n">
        <v>36495</v>
      </c>
      <c r="B973" t="n">
        <v>91.4926</v>
      </c>
      <c r="C973" t="n">
        <v>114.7966</v>
      </c>
      <c r="D973" t="n">
        <v>81.5239</v>
      </c>
      <c r="E973" t="n">
        <v>103.9218</v>
      </c>
      <c r="F973" t="n">
        <v>91.9555</v>
      </c>
      <c r="G973" t="n">
        <v>83.0453</v>
      </c>
      <c r="H973" t="n">
        <v>84.37350000000001</v>
      </c>
      <c r="I973" t="n">
        <v>88.5705</v>
      </c>
      <c r="J973" t="n">
        <v>82.51519999999999</v>
      </c>
      <c r="K973" t="n">
        <v>147</v>
      </c>
    </row>
    <row r="974">
      <c r="A974" s="98" t="n">
        <v>36526</v>
      </c>
      <c r="B974" t="n">
        <v>91.4251</v>
      </c>
      <c r="C974" t="n">
        <v>115.1731</v>
      </c>
      <c r="D974" t="n">
        <v>82.7465</v>
      </c>
      <c r="E974" t="n">
        <v>102.547</v>
      </c>
      <c r="F974" t="n">
        <v>92.0231</v>
      </c>
      <c r="G974" t="n">
        <v>83.2358</v>
      </c>
      <c r="H974" t="n">
        <v>83.3306</v>
      </c>
      <c r="I974" t="n">
        <v>88.47750000000001</v>
      </c>
      <c r="J974" t="n">
        <v>82.17140000000001</v>
      </c>
      <c r="K974" t="n">
        <v>146.8</v>
      </c>
    </row>
    <row r="975">
      <c r="A975" s="98" t="n">
        <v>36557</v>
      </c>
      <c r="B975" t="n">
        <v>91.73569999999999</v>
      </c>
      <c r="C975" t="n">
        <v>115.3292</v>
      </c>
      <c r="D975" t="n">
        <v>83.3343</v>
      </c>
      <c r="E975" t="n">
        <v>103.3177</v>
      </c>
      <c r="F975" t="n">
        <v>92.2694</v>
      </c>
      <c r="G975" t="n">
        <v>83.35769999999999</v>
      </c>
      <c r="H975" t="n">
        <v>83.774</v>
      </c>
      <c r="I975" t="n">
        <v>89.6307</v>
      </c>
      <c r="J975" t="n">
        <v>82.1694</v>
      </c>
      <c r="K975" t="n">
        <v>147.3</v>
      </c>
    </row>
    <row r="976">
      <c r="A976" s="98" t="n">
        <v>36586</v>
      </c>
      <c r="B976" t="n">
        <v>92.0933</v>
      </c>
      <c r="C976" t="n">
        <v>115.4973</v>
      </c>
      <c r="D976" t="n">
        <v>84.48860000000001</v>
      </c>
      <c r="E976" t="n">
        <v>102.9336</v>
      </c>
      <c r="F976" t="n">
        <v>92.9096</v>
      </c>
      <c r="G976" t="n">
        <v>83.8633</v>
      </c>
      <c r="H976" t="n">
        <v>84.58969999999999</v>
      </c>
      <c r="I976" t="n">
        <v>87.1673</v>
      </c>
      <c r="J976" t="n">
        <v>82.20950000000001</v>
      </c>
      <c r="K976" t="n">
        <v>147.4</v>
      </c>
    </row>
    <row r="977">
      <c r="A977" s="98" t="n">
        <v>36617</v>
      </c>
      <c r="B977" t="n">
        <v>92.68380000000001</v>
      </c>
      <c r="C977" t="n">
        <v>115.9726</v>
      </c>
      <c r="D977" t="n">
        <v>85.4508</v>
      </c>
      <c r="E977" t="n">
        <v>103.8155</v>
      </c>
      <c r="F977" t="n">
        <v>93.53740000000001</v>
      </c>
      <c r="G977" t="n">
        <v>84.1992</v>
      </c>
      <c r="H977" t="n">
        <v>83.59180000000001</v>
      </c>
      <c r="I977" t="n">
        <v>89.0331</v>
      </c>
      <c r="J977" t="n">
        <v>82.4575</v>
      </c>
      <c r="K977" t="n">
        <v>147.4</v>
      </c>
    </row>
    <row r="978">
      <c r="A978" s="98" t="n">
        <v>36647</v>
      </c>
      <c r="B978" t="n">
        <v>92.9376</v>
      </c>
      <c r="C978" t="n">
        <v>114.2379</v>
      </c>
      <c r="D978" t="n">
        <v>86.1735</v>
      </c>
      <c r="E978" t="n">
        <v>103.9924</v>
      </c>
      <c r="F978" t="n">
        <v>93.58759999999999</v>
      </c>
      <c r="G978" t="n">
        <v>84.584</v>
      </c>
      <c r="H978" t="n">
        <v>83.3449</v>
      </c>
      <c r="I978" t="n">
        <v>92.33329999999999</v>
      </c>
      <c r="J978" t="n">
        <v>82.40560000000001</v>
      </c>
      <c r="K978" t="n">
        <v>147.8</v>
      </c>
    </row>
    <row r="979">
      <c r="A979" s="98" t="n">
        <v>36678</v>
      </c>
      <c r="B979" t="n">
        <v>93.0076</v>
      </c>
      <c r="C979" t="n">
        <v>113.7591</v>
      </c>
      <c r="D979" t="n">
        <v>86.3257</v>
      </c>
      <c r="E979" t="n">
        <v>104.0761</v>
      </c>
      <c r="F979" t="n">
        <v>93.7401</v>
      </c>
      <c r="G979" t="n">
        <v>84.6994</v>
      </c>
      <c r="H979" t="n">
        <v>83.8592</v>
      </c>
      <c r="I979" t="n">
        <v>90.9787</v>
      </c>
      <c r="J979" t="n">
        <v>82.19199999999999</v>
      </c>
      <c r="K979" t="n">
        <v>147.8</v>
      </c>
    </row>
    <row r="980">
      <c r="A980" s="98" t="n">
        <v>36708</v>
      </c>
      <c r="B980" t="n">
        <v>92.8458</v>
      </c>
      <c r="C980" t="n">
        <v>114.3282</v>
      </c>
      <c r="D980" t="n">
        <v>86.869</v>
      </c>
      <c r="E980" t="n">
        <v>103.6475</v>
      </c>
      <c r="F980" t="n">
        <v>93.8396</v>
      </c>
      <c r="G980" t="n">
        <v>84.3266</v>
      </c>
      <c r="H980" t="n">
        <v>83.8092</v>
      </c>
      <c r="I980" t="n">
        <v>88.27979999999999</v>
      </c>
      <c r="J980" t="n">
        <v>81.7778</v>
      </c>
      <c r="K980" t="n">
        <v>148.1</v>
      </c>
    </row>
    <row r="981">
      <c r="A981" s="98" t="n">
        <v>36739</v>
      </c>
      <c r="B981" t="n">
        <v>92.5972</v>
      </c>
      <c r="C981" t="n">
        <v>113.4262</v>
      </c>
      <c r="D981" t="n">
        <v>86.4453</v>
      </c>
      <c r="E981" t="n">
        <v>103.1544</v>
      </c>
      <c r="F981" t="n">
        <v>93.2373</v>
      </c>
      <c r="G981" t="n">
        <v>84.3634</v>
      </c>
      <c r="H981" t="n">
        <v>84.3775</v>
      </c>
      <c r="I981" t="n">
        <v>90.8708</v>
      </c>
      <c r="J981" t="n">
        <v>81.2898</v>
      </c>
      <c r="K981" t="n">
        <v>148.2</v>
      </c>
    </row>
    <row r="982">
      <c r="A982" s="98" t="n">
        <v>36770</v>
      </c>
      <c r="B982" t="n">
        <v>92.9653</v>
      </c>
      <c r="C982" t="n">
        <v>113.6117</v>
      </c>
      <c r="D982" t="n">
        <v>87.2756</v>
      </c>
      <c r="E982" t="n">
        <v>104.1174</v>
      </c>
      <c r="F982" t="n">
        <v>93.6927</v>
      </c>
      <c r="G982" t="n">
        <v>84.53959999999999</v>
      </c>
      <c r="H982" t="n">
        <v>84.0189</v>
      </c>
      <c r="I982" t="n">
        <v>91.30629999999999</v>
      </c>
      <c r="J982" t="n">
        <v>81.34350000000001</v>
      </c>
      <c r="K982" t="n">
        <v>148.6</v>
      </c>
    </row>
    <row r="983">
      <c r="A983" s="98" t="n">
        <v>36800</v>
      </c>
      <c r="B983" t="n">
        <v>92.6418</v>
      </c>
      <c r="C983" t="n">
        <v>113.1817</v>
      </c>
      <c r="D983" t="n">
        <v>87.32550000000001</v>
      </c>
      <c r="E983" t="n">
        <v>103.0216</v>
      </c>
      <c r="F983" t="n">
        <v>93.4148</v>
      </c>
      <c r="G983" t="n">
        <v>84.42919999999999</v>
      </c>
      <c r="H983" t="n">
        <v>84.5702</v>
      </c>
      <c r="I983" t="n">
        <v>90.3968</v>
      </c>
      <c r="J983" t="n">
        <v>80.79219999999999</v>
      </c>
      <c r="K983" t="n">
        <v>148.5</v>
      </c>
    </row>
    <row r="984">
      <c r="A984" s="98" t="n">
        <v>36831</v>
      </c>
      <c r="B984" t="n">
        <v>92.6618</v>
      </c>
      <c r="C984" t="n">
        <v>112.9054</v>
      </c>
      <c r="D984" t="n">
        <v>87.151</v>
      </c>
      <c r="E984" t="n">
        <v>103.3447</v>
      </c>
      <c r="F984" t="n">
        <v>93.1767</v>
      </c>
      <c r="G984" t="n">
        <v>84.25</v>
      </c>
      <c r="H984" t="n">
        <v>83.93600000000001</v>
      </c>
      <c r="I984" t="n">
        <v>93.601</v>
      </c>
      <c r="J984" t="n">
        <v>80.541</v>
      </c>
      <c r="K984" t="n">
        <v>148.7</v>
      </c>
    </row>
    <row r="985">
      <c r="A985" s="98" t="n">
        <v>36861</v>
      </c>
      <c r="B985" t="n">
        <v>92.3459</v>
      </c>
      <c r="C985" t="n">
        <v>111.1342</v>
      </c>
      <c r="D985" t="n">
        <v>86.47790000000001</v>
      </c>
      <c r="E985" t="n">
        <v>103.8859</v>
      </c>
      <c r="F985" t="n">
        <v>92.6178</v>
      </c>
      <c r="G985" t="n">
        <v>83.715</v>
      </c>
      <c r="H985" t="n">
        <v>83.5089</v>
      </c>
      <c r="I985" t="n">
        <v>95.7479</v>
      </c>
      <c r="J985" t="n">
        <v>80.00060000000001</v>
      </c>
      <c r="K985" t="n">
        <v>148.9</v>
      </c>
    </row>
    <row r="986">
      <c r="A986" s="98" t="n">
        <v>36892</v>
      </c>
      <c r="B986" t="n">
        <v>91.8903</v>
      </c>
      <c r="C986" t="n">
        <v>111.957</v>
      </c>
      <c r="D986" t="n">
        <v>86.56010000000001</v>
      </c>
      <c r="E986" t="n">
        <v>103.0259</v>
      </c>
      <c r="F986" t="n">
        <v>92.24809999999999</v>
      </c>
      <c r="G986" t="n">
        <v>82.98999999999999</v>
      </c>
      <c r="H986" t="n">
        <v>83.7591</v>
      </c>
      <c r="I986" t="n">
        <v>93.93810000000001</v>
      </c>
      <c r="J986" t="n">
        <v>79.3437</v>
      </c>
      <c r="K986" t="n">
        <v>149.5</v>
      </c>
    </row>
    <row r="987">
      <c r="A987" s="98" t="n">
        <v>36923</v>
      </c>
      <c r="B987" t="n">
        <v>91.2915</v>
      </c>
      <c r="C987" t="n">
        <v>110.5667</v>
      </c>
      <c r="D987" t="n">
        <v>86.0124</v>
      </c>
      <c r="E987" t="n">
        <v>102.3963</v>
      </c>
      <c r="F987" t="n">
        <v>91.7407</v>
      </c>
      <c r="G987" t="n">
        <v>82.6014</v>
      </c>
      <c r="H987" t="n">
        <v>84.768</v>
      </c>
      <c r="I987" t="n">
        <v>92.0634</v>
      </c>
      <c r="J987" t="n">
        <v>78.571</v>
      </c>
      <c r="K987" t="n">
        <v>149.2</v>
      </c>
    </row>
    <row r="988">
      <c r="A988" s="98" t="n">
        <v>36951</v>
      </c>
      <c r="B988" t="n">
        <v>91.0526</v>
      </c>
      <c r="C988" t="n">
        <v>110.5951</v>
      </c>
      <c r="D988" t="n">
        <v>85.426</v>
      </c>
      <c r="E988" t="n">
        <v>102.3545</v>
      </c>
      <c r="F988" t="n">
        <v>91.5497</v>
      </c>
      <c r="G988" t="n">
        <v>82.3124</v>
      </c>
      <c r="H988" t="n">
        <v>84.8807</v>
      </c>
      <c r="I988" t="n">
        <v>91.40779999999999</v>
      </c>
      <c r="J988" t="n">
        <v>78.11579999999999</v>
      </c>
      <c r="K988" t="n">
        <v>149.5</v>
      </c>
    </row>
    <row r="989">
      <c r="A989" s="98" t="n">
        <v>36982</v>
      </c>
      <c r="B989" t="n">
        <v>90.72929999999999</v>
      </c>
      <c r="C989" t="n">
        <v>110.336</v>
      </c>
      <c r="D989" t="n">
        <v>83.4761</v>
      </c>
      <c r="E989" t="n">
        <v>102.6877</v>
      </c>
      <c r="F989" t="n">
        <v>91.1555</v>
      </c>
      <c r="G989" t="n">
        <v>82.0929</v>
      </c>
      <c r="H989" t="n">
        <v>85.1421</v>
      </c>
      <c r="I989" t="n">
        <v>90.9402</v>
      </c>
      <c r="J989" t="n">
        <v>77.5972</v>
      </c>
      <c r="K989" t="n">
        <v>149.8</v>
      </c>
    </row>
    <row r="990">
      <c r="A990" s="98" t="n">
        <v>37012</v>
      </c>
      <c r="B990" t="n">
        <v>90.2577</v>
      </c>
      <c r="C990" t="n">
        <v>109.6891</v>
      </c>
      <c r="D990" t="n">
        <v>82.1527</v>
      </c>
      <c r="E990" t="n">
        <v>102.7009</v>
      </c>
      <c r="F990" t="n">
        <v>90.589</v>
      </c>
      <c r="G990" t="n">
        <v>81.5592</v>
      </c>
      <c r="H990" t="n">
        <v>85.2251</v>
      </c>
      <c r="I990" t="n">
        <v>90.2058</v>
      </c>
      <c r="J990" t="n">
        <v>76.9635</v>
      </c>
      <c r="K990" t="n">
        <v>150.1</v>
      </c>
    </row>
    <row r="991">
      <c r="A991" s="98" t="n">
        <v>37043</v>
      </c>
      <c r="B991" t="n">
        <v>89.7677</v>
      </c>
      <c r="C991" t="n">
        <v>108.9888</v>
      </c>
      <c r="D991" t="n">
        <v>81.15389999999999</v>
      </c>
      <c r="E991" t="n">
        <v>102.7382</v>
      </c>
      <c r="F991" t="n">
        <v>90.0147</v>
      </c>
      <c r="G991" t="n">
        <v>80.8241</v>
      </c>
      <c r="H991" t="n">
        <v>84.34699999999999</v>
      </c>
      <c r="I991" t="n">
        <v>90.4755</v>
      </c>
      <c r="J991" t="n">
        <v>76.32850000000001</v>
      </c>
      <c r="K991" t="n">
        <v>150.2</v>
      </c>
    </row>
    <row r="992">
      <c r="A992" s="98" t="n">
        <v>37073</v>
      </c>
      <c r="B992" t="n">
        <v>89.226</v>
      </c>
      <c r="C992" t="n">
        <v>109.0082</v>
      </c>
      <c r="D992" t="n">
        <v>80.3535</v>
      </c>
      <c r="E992" t="n">
        <v>102.202</v>
      </c>
      <c r="F992" t="n">
        <v>89.495</v>
      </c>
      <c r="G992" t="n">
        <v>80.17829999999999</v>
      </c>
      <c r="H992" t="n">
        <v>84.05070000000001</v>
      </c>
      <c r="I992" t="n">
        <v>88.90989999999999</v>
      </c>
      <c r="J992" t="n">
        <v>75.666</v>
      </c>
      <c r="K992" t="n">
        <v>150.5</v>
      </c>
    </row>
    <row r="993">
      <c r="A993" s="98" t="n">
        <v>37104</v>
      </c>
      <c r="B993" t="n">
        <v>89.1326</v>
      </c>
      <c r="C993" t="n">
        <v>107.7241</v>
      </c>
      <c r="D993" t="n">
        <v>78.8711</v>
      </c>
      <c r="E993" t="n">
        <v>102.4275</v>
      </c>
      <c r="F993" t="n">
        <v>89.1489</v>
      </c>
      <c r="G993" t="n">
        <v>80.4885</v>
      </c>
      <c r="H993" t="n">
        <v>84.0406</v>
      </c>
      <c r="I993" t="n">
        <v>91.31019999999999</v>
      </c>
      <c r="J993" t="n">
        <v>75.39579999999999</v>
      </c>
      <c r="K993" t="n">
        <v>150.5</v>
      </c>
    </row>
    <row r="994">
      <c r="A994" s="98" t="n">
        <v>37135</v>
      </c>
      <c r="B994" t="n">
        <v>88.6679</v>
      </c>
      <c r="C994" t="n">
        <v>107.5481</v>
      </c>
      <c r="D994" t="n">
        <v>77.61</v>
      </c>
      <c r="E994" t="n">
        <v>101.8743</v>
      </c>
      <c r="F994" t="n">
        <v>88.8064</v>
      </c>
      <c r="G994" t="n">
        <v>80.1645</v>
      </c>
      <c r="H994" t="n">
        <v>84.11239999999999</v>
      </c>
      <c r="I994" t="n">
        <v>89.34350000000001</v>
      </c>
      <c r="J994" t="n">
        <v>74.8236</v>
      </c>
      <c r="K994" t="n">
        <v>150.7</v>
      </c>
    </row>
    <row r="995">
      <c r="A995" s="98" t="n">
        <v>37165</v>
      </c>
      <c r="B995" t="n">
        <v>88.3926</v>
      </c>
      <c r="C995" t="n">
        <v>106.5288</v>
      </c>
      <c r="D995" t="n">
        <v>76.5307</v>
      </c>
      <c r="E995" t="n">
        <v>102.4001</v>
      </c>
      <c r="F995" t="n">
        <v>88.404</v>
      </c>
      <c r="G995" t="n">
        <v>79.78060000000001</v>
      </c>
      <c r="H995" t="n">
        <v>83.6865</v>
      </c>
      <c r="I995" t="n">
        <v>90.1671</v>
      </c>
      <c r="J995" t="n">
        <v>74.4246</v>
      </c>
      <c r="K995" t="n">
        <v>149.8</v>
      </c>
    </row>
    <row r="996">
      <c r="A996" s="98" t="n">
        <v>37196</v>
      </c>
      <c r="B996" t="n">
        <v>87.87739999999999</v>
      </c>
      <c r="C996" t="n">
        <v>106.1392</v>
      </c>
      <c r="D996" t="n">
        <v>75.89830000000001</v>
      </c>
      <c r="E996" t="n">
        <v>102.2496</v>
      </c>
      <c r="F996" t="n">
        <v>88.119</v>
      </c>
      <c r="G996" t="n">
        <v>79.1876</v>
      </c>
      <c r="H996" t="n">
        <v>83.0485</v>
      </c>
      <c r="I996" t="n">
        <v>88.16160000000001</v>
      </c>
      <c r="J996" t="n">
        <v>73.8377</v>
      </c>
      <c r="K996" t="n">
        <v>150.2</v>
      </c>
    </row>
    <row r="997">
      <c r="A997" s="98" t="n">
        <v>37226</v>
      </c>
      <c r="B997" t="n">
        <v>87.8344</v>
      </c>
      <c r="C997" t="n">
        <v>106.8886</v>
      </c>
      <c r="D997" t="n">
        <v>75.1037</v>
      </c>
      <c r="E997" t="n">
        <v>102.8197</v>
      </c>
      <c r="F997" t="n">
        <v>88.2783</v>
      </c>
      <c r="G997" t="n">
        <v>78.9708</v>
      </c>
      <c r="H997" t="n">
        <v>82.1666</v>
      </c>
      <c r="I997" t="n">
        <v>86.99039999999999</v>
      </c>
      <c r="J997" t="n">
        <v>73.6627</v>
      </c>
      <c r="K997" t="n">
        <v>150.4</v>
      </c>
    </row>
    <row r="998">
      <c r="A998" s="98" t="n">
        <v>37257</v>
      </c>
      <c r="B998" t="n">
        <v>88.4665</v>
      </c>
      <c r="C998" t="n">
        <v>106.8298</v>
      </c>
      <c r="D998" t="n">
        <v>74.967</v>
      </c>
      <c r="E998" t="n">
        <v>103.8754</v>
      </c>
      <c r="F998" t="n">
        <v>88.9141</v>
      </c>
      <c r="G998" t="n">
        <v>79.8554</v>
      </c>
      <c r="H998" t="n">
        <v>81.527</v>
      </c>
      <c r="I998" t="n">
        <v>88.9462</v>
      </c>
      <c r="J998" t="n">
        <v>74.0676</v>
      </c>
      <c r="K998" t="n">
        <v>150</v>
      </c>
    </row>
    <row r="999">
      <c r="A999" s="98" t="n">
        <v>37288</v>
      </c>
      <c r="B999" t="n">
        <v>88.4661</v>
      </c>
      <c r="C999" t="n">
        <v>107.12</v>
      </c>
      <c r="D999" t="n">
        <v>74.7715</v>
      </c>
      <c r="E999" t="n">
        <v>103.2344</v>
      </c>
      <c r="F999" t="n">
        <v>88.9504</v>
      </c>
      <c r="G999" t="n">
        <v>80.2752</v>
      </c>
      <c r="H999" t="n">
        <v>81.1144</v>
      </c>
      <c r="I999" t="n">
        <v>89.3879</v>
      </c>
      <c r="J999" t="n">
        <v>73.9589</v>
      </c>
      <c r="K999" t="n">
        <v>150.1</v>
      </c>
    </row>
    <row r="1000">
      <c r="A1000" s="98" t="n">
        <v>37316</v>
      </c>
      <c r="B1000" t="n">
        <v>89.1228</v>
      </c>
      <c r="C1000" t="n">
        <v>108.6917</v>
      </c>
      <c r="D1000" t="n">
        <v>75.05</v>
      </c>
      <c r="E1000" t="n">
        <v>104.0707</v>
      </c>
      <c r="F1000" t="n">
        <v>89.6409</v>
      </c>
      <c r="G1000" t="n">
        <v>80.9006</v>
      </c>
      <c r="H1000" t="n">
        <v>80.0427</v>
      </c>
      <c r="I1000" t="n">
        <v>91.8052</v>
      </c>
      <c r="J1000" t="n">
        <v>74.4162</v>
      </c>
      <c r="K1000" t="n">
        <v>150</v>
      </c>
    </row>
    <row r="1001">
      <c r="A1001" s="98" t="n">
        <v>37347</v>
      </c>
      <c r="B1001" t="n">
        <v>89.5532</v>
      </c>
      <c r="C1001" t="n">
        <v>108.6426</v>
      </c>
      <c r="D1001" t="n">
        <v>74.73820000000001</v>
      </c>
      <c r="E1001" t="n">
        <v>103.973</v>
      </c>
      <c r="F1001" t="n">
        <v>89.94450000000001</v>
      </c>
      <c r="G1001" t="n">
        <v>81.85250000000001</v>
      </c>
      <c r="H1001" t="n">
        <v>80.19759999999999</v>
      </c>
      <c r="I1001" t="n">
        <v>93.98050000000001</v>
      </c>
      <c r="J1001" t="n">
        <v>74.7011</v>
      </c>
      <c r="K1001" t="n">
        <v>150.3</v>
      </c>
    </row>
    <row r="1002">
      <c r="A1002" s="98" t="n">
        <v>37377</v>
      </c>
      <c r="B1002" t="n">
        <v>89.934</v>
      </c>
      <c r="C1002" t="n">
        <v>109.1695</v>
      </c>
      <c r="D1002" t="n">
        <v>75.0782</v>
      </c>
      <c r="E1002" t="n">
        <v>104.3252</v>
      </c>
      <c r="F1002" t="n">
        <v>90.4504</v>
      </c>
      <c r="G1002" t="n">
        <v>82.2092</v>
      </c>
      <c r="H1002" t="n">
        <v>80.9615</v>
      </c>
      <c r="I1002" t="n">
        <v>93.3917</v>
      </c>
      <c r="J1002" t="n">
        <v>74.9611</v>
      </c>
      <c r="K1002" t="n">
        <v>150.2</v>
      </c>
    </row>
    <row r="1003">
      <c r="A1003" s="98" t="n">
        <v>37408</v>
      </c>
      <c r="B1003" t="n">
        <v>90.6769</v>
      </c>
      <c r="C1003" t="n">
        <v>109.8812</v>
      </c>
      <c r="D1003" t="n">
        <v>75.5829</v>
      </c>
      <c r="E1003" t="n">
        <v>105.4162</v>
      </c>
      <c r="F1003" t="n">
        <v>91.378</v>
      </c>
      <c r="G1003" t="n">
        <v>82.8835</v>
      </c>
      <c r="H1003" t="n">
        <v>80.9512</v>
      </c>
      <c r="I1003" t="n">
        <v>93.46420000000001</v>
      </c>
      <c r="J1003" t="n">
        <v>75.5385</v>
      </c>
      <c r="K1003" t="n">
        <v>150.5</v>
      </c>
    </row>
    <row r="1004">
      <c r="A1004" s="98" t="n">
        <v>37438</v>
      </c>
      <c r="B1004" t="n">
        <v>90.6455</v>
      </c>
      <c r="C1004" t="n">
        <v>108.5812</v>
      </c>
      <c r="D1004" t="n">
        <v>75.3772</v>
      </c>
      <c r="E1004" t="n">
        <v>105.4834</v>
      </c>
      <c r="F1004" t="n">
        <v>91.26690000000001</v>
      </c>
      <c r="G1004" t="n">
        <v>82.9087</v>
      </c>
      <c r="H1004" t="n">
        <v>80.4254</v>
      </c>
      <c r="I1004" t="n">
        <v>94.38079999999999</v>
      </c>
      <c r="J1004" t="n">
        <v>75.48690000000001</v>
      </c>
      <c r="K1004" t="n">
        <v>150</v>
      </c>
    </row>
    <row r="1005">
      <c r="A1005" s="98" t="n">
        <v>37469</v>
      </c>
      <c r="B1005" t="n">
        <v>90.5475</v>
      </c>
      <c r="C1005" t="n">
        <v>108.9076</v>
      </c>
      <c r="D1005" t="n">
        <v>75.7179</v>
      </c>
      <c r="E1005" t="n">
        <v>104.7883</v>
      </c>
      <c r="F1005" t="n">
        <v>91.35720000000001</v>
      </c>
      <c r="G1005" t="n">
        <v>82.9627</v>
      </c>
      <c r="H1005" t="n">
        <v>80.7852</v>
      </c>
      <c r="I1005" t="n">
        <v>92.3043</v>
      </c>
      <c r="J1005" t="n">
        <v>75.3938</v>
      </c>
      <c r="K1005" t="n">
        <v>149.9</v>
      </c>
    </row>
    <row r="1006">
      <c r="A1006" s="98" t="n">
        <v>37500</v>
      </c>
      <c r="B1006" t="n">
        <v>90.63809999999999</v>
      </c>
      <c r="C1006" t="n">
        <v>109.8558</v>
      </c>
      <c r="D1006" t="n">
        <v>75.7766</v>
      </c>
      <c r="E1006" t="n">
        <v>104.9085</v>
      </c>
      <c r="F1006" t="n">
        <v>91.4502</v>
      </c>
      <c r="G1006" t="n">
        <v>82.8229</v>
      </c>
      <c r="H1006" t="n">
        <v>79.1456</v>
      </c>
      <c r="I1006" t="n">
        <v>93.9924</v>
      </c>
      <c r="J1006" t="n">
        <v>75.4687</v>
      </c>
      <c r="K1006" t="n">
        <v>150.3</v>
      </c>
    </row>
    <row r="1007">
      <c r="A1007" s="98" t="n">
        <v>37530</v>
      </c>
      <c r="B1007" t="n">
        <v>90.4041</v>
      </c>
      <c r="C1007" t="n">
        <v>109.4667</v>
      </c>
      <c r="D1007" t="n">
        <v>75.4709</v>
      </c>
      <c r="E1007" t="n">
        <v>104.7528</v>
      </c>
      <c r="F1007" t="n">
        <v>91.1567</v>
      </c>
      <c r="G1007" t="n">
        <v>82.3734</v>
      </c>
      <c r="H1007" t="n">
        <v>77.754</v>
      </c>
      <c r="I1007" t="n">
        <v>95.149</v>
      </c>
      <c r="J1007" t="n">
        <v>75.2824</v>
      </c>
      <c r="K1007" t="n">
        <v>150.5</v>
      </c>
    </row>
    <row r="1008">
      <c r="A1008" s="98" t="n">
        <v>37561</v>
      </c>
      <c r="B1008" t="n">
        <v>90.8985</v>
      </c>
      <c r="C1008" t="n">
        <v>109.4661</v>
      </c>
      <c r="D1008" t="n">
        <v>75.7706</v>
      </c>
      <c r="E1008" t="n">
        <v>105.5573</v>
      </c>
      <c r="F1008" t="n">
        <v>91.6439</v>
      </c>
      <c r="G1008" t="n">
        <v>83.00230000000001</v>
      </c>
      <c r="H1008" t="n">
        <v>79.7602</v>
      </c>
      <c r="I1008" t="n">
        <v>94.83069999999999</v>
      </c>
      <c r="J1008" t="n">
        <v>75.71250000000001</v>
      </c>
      <c r="K1008" t="n">
        <v>150.3</v>
      </c>
    </row>
    <row r="1009">
      <c r="A1009" s="98" t="n">
        <v>37591</v>
      </c>
      <c r="B1009" t="n">
        <v>90.389</v>
      </c>
      <c r="C1009" t="n">
        <v>108.6036</v>
      </c>
      <c r="D1009" t="n">
        <v>74.92359999999999</v>
      </c>
      <c r="E1009" t="n">
        <v>104.5645</v>
      </c>
      <c r="F1009" t="n">
        <v>90.9979</v>
      </c>
      <c r="G1009" t="n">
        <v>82.66840000000001</v>
      </c>
      <c r="H1009" t="n">
        <v>80.2221</v>
      </c>
      <c r="I1009" t="n">
        <v>93.8617</v>
      </c>
      <c r="J1009" t="n">
        <v>75.31319999999999</v>
      </c>
      <c r="K1009" t="n">
        <v>149.5</v>
      </c>
    </row>
    <row r="1010">
      <c r="A1010" s="98" t="n">
        <v>37622</v>
      </c>
      <c r="B1010" t="n">
        <v>91.13549999999999</v>
      </c>
      <c r="C1010" t="n">
        <v>108.9712</v>
      </c>
      <c r="D1010" t="n">
        <v>75.1482</v>
      </c>
      <c r="E1010" t="n">
        <v>105.8743</v>
      </c>
      <c r="F1010" t="n">
        <v>91.7826</v>
      </c>
      <c r="G1010" t="n">
        <v>83.226</v>
      </c>
      <c r="H1010" t="n">
        <v>80.422</v>
      </c>
      <c r="I1010" t="n">
        <v>95.2766</v>
      </c>
      <c r="J1010" t="n">
        <v>75.9649</v>
      </c>
      <c r="K1010" t="n">
        <v>149.8</v>
      </c>
    </row>
    <row r="1011">
      <c r="A1011" s="98" t="n">
        <v>37653</v>
      </c>
      <c r="B1011" t="n">
        <v>91.25020000000001</v>
      </c>
      <c r="C1011" t="n">
        <v>108.1222</v>
      </c>
      <c r="D1011" t="n">
        <v>75.15779999999999</v>
      </c>
      <c r="E1011" t="n">
        <v>106.3002</v>
      </c>
      <c r="F1011" t="n">
        <v>91.6795</v>
      </c>
      <c r="G1011" t="n">
        <v>83.22750000000001</v>
      </c>
      <c r="H1011" t="n">
        <v>80.51730000000001</v>
      </c>
      <c r="I1011" t="n">
        <v>97.3344</v>
      </c>
      <c r="J1011" t="n">
        <v>76.0853</v>
      </c>
      <c r="K1011" t="n">
        <v>149.9</v>
      </c>
    </row>
    <row r="1012">
      <c r="A1012" s="98" t="n">
        <v>37681</v>
      </c>
      <c r="B1012" t="n">
        <v>91.0059</v>
      </c>
      <c r="C1012" t="n">
        <v>107.743</v>
      </c>
      <c r="D1012" t="n">
        <v>75.29519999999999</v>
      </c>
      <c r="E1012" t="n">
        <v>106.2969</v>
      </c>
      <c r="F1012" t="n">
        <v>91.8032</v>
      </c>
      <c r="G1012" t="n">
        <v>82.7188</v>
      </c>
      <c r="H1012" t="n">
        <v>80.4038</v>
      </c>
      <c r="I1012" t="n">
        <v>93.99979999999999</v>
      </c>
      <c r="J1012" t="n">
        <v>75.9063</v>
      </c>
      <c r="K1012" t="n">
        <v>150.7</v>
      </c>
    </row>
    <row r="1013">
      <c r="A1013" s="98" t="n">
        <v>37712</v>
      </c>
      <c r="B1013" t="n">
        <v>90.4281</v>
      </c>
      <c r="C1013" t="n">
        <v>106.6151</v>
      </c>
      <c r="D1013" t="n">
        <v>74.59520000000001</v>
      </c>
      <c r="E1013" t="n">
        <v>105.4597</v>
      </c>
      <c r="F1013" t="n">
        <v>91.1426</v>
      </c>
      <c r="G1013" t="n">
        <v>82.4148</v>
      </c>
      <c r="H1013" t="n">
        <v>80.18000000000001</v>
      </c>
      <c r="I1013" t="n">
        <v>94.1619</v>
      </c>
      <c r="J1013" t="n">
        <v>75.45180000000001</v>
      </c>
      <c r="K1013" t="n">
        <v>149.9</v>
      </c>
    </row>
    <row r="1014">
      <c r="A1014" s="98" t="n">
        <v>37742</v>
      </c>
      <c r="B1014" t="n">
        <v>90.40730000000001</v>
      </c>
      <c r="C1014" t="n">
        <v>107.9849</v>
      </c>
      <c r="D1014" t="n">
        <v>74.5568</v>
      </c>
      <c r="E1014" t="n">
        <v>105.1694</v>
      </c>
      <c r="F1014" t="n">
        <v>91.2028</v>
      </c>
      <c r="G1014" t="n">
        <v>82.3374</v>
      </c>
      <c r="H1014" t="n">
        <v>79.65989999999999</v>
      </c>
      <c r="I1014" t="n">
        <v>94.0591</v>
      </c>
      <c r="J1014" t="n">
        <v>75.4618</v>
      </c>
      <c r="K1014" t="n">
        <v>150.1</v>
      </c>
    </row>
    <row r="1015">
      <c r="A1015" s="98" t="n">
        <v>37773</v>
      </c>
      <c r="B1015" t="n">
        <v>90.5218</v>
      </c>
      <c r="C1015" t="n">
        <v>108.4002</v>
      </c>
      <c r="D1015" t="n">
        <v>74.8505</v>
      </c>
      <c r="E1015" t="n">
        <v>105.3614</v>
      </c>
      <c r="F1015" t="n">
        <v>91.6245</v>
      </c>
      <c r="G1015" t="n">
        <v>82.45910000000001</v>
      </c>
      <c r="H1015" t="n">
        <v>79.8164</v>
      </c>
      <c r="I1015" t="n">
        <v>91.551</v>
      </c>
      <c r="J1015" t="n">
        <v>75.58159999999999</v>
      </c>
      <c r="K1015" t="n">
        <v>150.1</v>
      </c>
    </row>
    <row r="1016">
      <c r="A1016" s="98" t="n">
        <v>37803</v>
      </c>
      <c r="B1016" t="n">
        <v>90.9896</v>
      </c>
      <c r="C1016" t="n">
        <v>107.9009</v>
      </c>
      <c r="D1016" t="n">
        <v>75.2169</v>
      </c>
      <c r="E1016" t="n">
        <v>106.4079</v>
      </c>
      <c r="F1016" t="n">
        <v>91.9855</v>
      </c>
      <c r="G1016" t="n">
        <v>82.7148</v>
      </c>
      <c r="H1016" t="n">
        <v>79.4996</v>
      </c>
      <c r="I1016" t="n">
        <v>94.3373</v>
      </c>
      <c r="J1016" t="n">
        <v>75.9888</v>
      </c>
      <c r="K1016" t="n">
        <v>150.3</v>
      </c>
    </row>
    <row r="1017">
      <c r="A1017" s="98" t="n">
        <v>37834</v>
      </c>
      <c r="B1017" t="n">
        <v>90.78579999999999</v>
      </c>
      <c r="C1017" t="n">
        <v>108.5944</v>
      </c>
      <c r="D1017" t="n">
        <v>75.3107</v>
      </c>
      <c r="E1017" t="n">
        <v>105.5306</v>
      </c>
      <c r="F1017" t="n">
        <v>91.6241</v>
      </c>
      <c r="G1017" t="n">
        <v>82.741</v>
      </c>
      <c r="H1017" t="n">
        <v>80.5796</v>
      </c>
      <c r="I1017" t="n">
        <v>94.8052</v>
      </c>
      <c r="J1017" t="n">
        <v>75.8306</v>
      </c>
      <c r="K1017" t="n">
        <v>150.5</v>
      </c>
    </row>
    <row r="1018">
      <c r="A1018" s="98" t="n">
        <v>37865</v>
      </c>
      <c r="B1018" t="n">
        <v>91.38290000000001</v>
      </c>
      <c r="C1018" t="n">
        <v>108.3309</v>
      </c>
      <c r="D1018" t="n">
        <v>76.1913</v>
      </c>
      <c r="E1018" t="n">
        <v>106.4008</v>
      </c>
      <c r="F1018" t="n">
        <v>92.45059999999999</v>
      </c>
      <c r="G1018" t="n">
        <v>83.31319999999999</v>
      </c>
      <c r="H1018" t="n">
        <v>81.07340000000001</v>
      </c>
      <c r="I1018" t="n">
        <v>93.9324</v>
      </c>
      <c r="J1018" t="n">
        <v>76.3383</v>
      </c>
      <c r="K1018" t="n">
        <v>150.4</v>
      </c>
    </row>
    <row r="1019">
      <c r="A1019" s="98" t="n">
        <v>37895</v>
      </c>
      <c r="B1019" t="n">
        <v>91.5005</v>
      </c>
      <c r="C1019" t="n">
        <v>108.9307</v>
      </c>
      <c r="D1019" t="n">
        <v>76.0141</v>
      </c>
      <c r="E1019" t="n">
        <v>105.7006</v>
      </c>
      <c r="F1019" t="n">
        <v>92.53019999999999</v>
      </c>
      <c r="G1019" t="n">
        <v>83.8643</v>
      </c>
      <c r="H1019" t="n">
        <v>80.95399999999999</v>
      </c>
      <c r="I1019" t="n">
        <v>94.4528</v>
      </c>
      <c r="J1019" t="n">
        <v>76.4457</v>
      </c>
      <c r="K1019" t="n">
        <v>151.1</v>
      </c>
    </row>
    <row r="1020">
      <c r="A1020" s="98" t="n">
        <v>37926</v>
      </c>
      <c r="B1020" t="n">
        <v>92.12649999999999</v>
      </c>
      <c r="C1020" t="n">
        <v>110.2039</v>
      </c>
      <c r="D1020" t="n">
        <v>77.2997</v>
      </c>
      <c r="E1020" t="n">
        <v>106.4206</v>
      </c>
      <c r="F1020" t="n">
        <v>93.3888</v>
      </c>
      <c r="G1020" t="n">
        <v>84.2949</v>
      </c>
      <c r="H1020" t="n">
        <v>80.52970000000001</v>
      </c>
      <c r="I1020" t="n">
        <v>94.6793</v>
      </c>
      <c r="J1020" t="n">
        <v>76.97709999999999</v>
      </c>
      <c r="K1020" t="n">
        <v>151</v>
      </c>
    </row>
    <row r="1021">
      <c r="A1021" s="98" t="n">
        <v>37956</v>
      </c>
      <c r="B1021" t="n">
        <v>92.1722</v>
      </c>
      <c r="C1021" t="n">
        <v>110.1912</v>
      </c>
      <c r="D1021" t="n">
        <v>77.1717</v>
      </c>
      <c r="E1021" t="n">
        <v>106.5604</v>
      </c>
      <c r="F1021" t="n">
        <v>93.3115</v>
      </c>
      <c r="G1021" t="n">
        <v>84.4597</v>
      </c>
      <c r="H1021" t="n">
        <v>80.5103</v>
      </c>
      <c r="I1021" t="n">
        <v>95.8173</v>
      </c>
      <c r="J1021" t="n">
        <v>77.0234</v>
      </c>
      <c r="K1021" t="n">
        <v>151</v>
      </c>
    </row>
    <row r="1022">
      <c r="A1022" s="98" t="n">
        <v>37987</v>
      </c>
      <c r="B1022" t="n">
        <v>92.327</v>
      </c>
      <c r="C1022" t="n">
        <v>109.9102</v>
      </c>
      <c r="D1022" t="n">
        <v>77.3275</v>
      </c>
      <c r="E1022" t="n">
        <v>106.9028</v>
      </c>
      <c r="F1022" t="n">
        <v>93.2407</v>
      </c>
      <c r="G1022" t="n">
        <v>84.5826</v>
      </c>
      <c r="H1022" t="n">
        <v>81.1225</v>
      </c>
      <c r="I1022" t="n">
        <v>97.46120000000001</v>
      </c>
      <c r="J1022" t="n">
        <v>77.16119999999999</v>
      </c>
      <c r="K1022" t="n">
        <v>151.4</v>
      </c>
    </row>
    <row r="1023">
      <c r="A1023" s="98" t="n">
        <v>38018</v>
      </c>
      <c r="B1023" t="n">
        <v>92.8873</v>
      </c>
      <c r="C1023" t="n">
        <v>109.9378</v>
      </c>
      <c r="D1023" t="n">
        <v>78.3369</v>
      </c>
      <c r="E1023" t="n">
        <v>107.446</v>
      </c>
      <c r="F1023" t="n">
        <v>93.9273</v>
      </c>
      <c r="G1023" t="n">
        <v>84.9987</v>
      </c>
      <c r="H1023" t="n">
        <v>80.2527</v>
      </c>
      <c r="I1023" t="n">
        <v>98.3827</v>
      </c>
      <c r="J1023" t="n">
        <v>77.6396</v>
      </c>
      <c r="K1023" t="n">
        <v>151.3</v>
      </c>
    </row>
    <row r="1024">
      <c r="A1024" s="98" t="n">
        <v>38047</v>
      </c>
      <c r="B1024" t="n">
        <v>92.5325</v>
      </c>
      <c r="C1024" t="n">
        <v>110.1253</v>
      </c>
      <c r="D1024" t="n">
        <v>78.2679</v>
      </c>
      <c r="E1024" t="n">
        <v>106.4379</v>
      </c>
      <c r="F1024" t="n">
        <v>93.9041</v>
      </c>
      <c r="G1024" t="n">
        <v>84.90130000000001</v>
      </c>
      <c r="H1024" t="n">
        <v>80.5057</v>
      </c>
      <c r="I1024" t="n">
        <v>94.4046</v>
      </c>
      <c r="J1024" t="n">
        <v>77.3544</v>
      </c>
      <c r="K1024" t="n">
        <v>151.8</v>
      </c>
    </row>
    <row r="1025">
      <c r="A1025" s="98" t="n">
        <v>38078</v>
      </c>
      <c r="B1025" t="n">
        <v>92.9096</v>
      </c>
      <c r="C1025" t="n">
        <v>109.8544</v>
      </c>
      <c r="D1025" t="n">
        <v>78.38120000000001</v>
      </c>
      <c r="E1025" t="n">
        <v>107.1054</v>
      </c>
      <c r="F1025" t="n">
        <v>94.21810000000001</v>
      </c>
      <c r="G1025" t="n">
        <v>85.2045</v>
      </c>
      <c r="H1025" t="n">
        <v>80.2589</v>
      </c>
      <c r="I1025" t="n">
        <v>95.874</v>
      </c>
      <c r="J1025" t="n">
        <v>77.68210000000001</v>
      </c>
      <c r="K1025" t="n">
        <v>151.9</v>
      </c>
    </row>
    <row r="1026">
      <c r="A1026" s="98" t="n">
        <v>38108</v>
      </c>
      <c r="B1026" t="n">
        <v>93.5838</v>
      </c>
      <c r="C1026" t="n">
        <v>111.0931</v>
      </c>
      <c r="D1026" t="n">
        <v>79.111</v>
      </c>
      <c r="E1026" t="n">
        <v>107.5324</v>
      </c>
      <c r="F1026" t="n">
        <v>94.899</v>
      </c>
      <c r="G1026" t="n">
        <v>85.965</v>
      </c>
      <c r="H1026" t="n">
        <v>79.9135</v>
      </c>
      <c r="I1026" t="n">
        <v>97.7881</v>
      </c>
      <c r="J1026" t="n">
        <v>78.25700000000001</v>
      </c>
      <c r="K1026" t="n">
        <v>152.3</v>
      </c>
    </row>
    <row r="1027">
      <c r="A1027" s="98" t="n">
        <v>38139</v>
      </c>
      <c r="B1027" t="n">
        <v>92.8621</v>
      </c>
      <c r="C1027" t="n">
        <v>110.3274</v>
      </c>
      <c r="D1027" t="n">
        <v>79.0348</v>
      </c>
      <c r="E1027" t="n">
        <v>106.0609</v>
      </c>
      <c r="F1027" t="n">
        <v>94.1799</v>
      </c>
      <c r="G1027" t="n">
        <v>85.3445</v>
      </c>
      <c r="H1027" t="n">
        <v>79.82080000000001</v>
      </c>
      <c r="I1027" t="n">
        <v>95.5433</v>
      </c>
      <c r="J1027" t="n">
        <v>77.66200000000001</v>
      </c>
      <c r="K1027" t="n">
        <v>152.8</v>
      </c>
    </row>
    <row r="1028">
      <c r="A1028" s="98" t="n">
        <v>38169</v>
      </c>
      <c r="B1028" t="n">
        <v>93.55110000000001</v>
      </c>
      <c r="C1028" t="n">
        <v>111.5858</v>
      </c>
      <c r="D1028" t="n">
        <v>80.6142</v>
      </c>
      <c r="E1028" t="n">
        <v>106.399</v>
      </c>
      <c r="F1028" t="n">
        <v>95.0098</v>
      </c>
      <c r="G1028" t="n">
        <v>85.946</v>
      </c>
      <c r="H1028" t="n">
        <v>81.22620000000001</v>
      </c>
      <c r="I1028" t="n">
        <v>94.0981</v>
      </c>
      <c r="J1028" t="n">
        <v>78.24290000000001</v>
      </c>
      <c r="K1028" t="n">
        <v>152.5</v>
      </c>
    </row>
    <row r="1029">
      <c r="A1029" s="98" t="n">
        <v>38200</v>
      </c>
      <c r="B1029" t="n">
        <v>93.6328</v>
      </c>
      <c r="C1029" t="n">
        <v>111.8455</v>
      </c>
      <c r="D1029" t="n">
        <v>80.3368</v>
      </c>
      <c r="E1029" t="n">
        <v>106.8419</v>
      </c>
      <c r="F1029" t="n">
        <v>95.4444</v>
      </c>
      <c r="G1029" t="n">
        <v>85.90860000000001</v>
      </c>
      <c r="H1029" t="n">
        <v>80.5882</v>
      </c>
      <c r="I1029" t="n">
        <v>91.85720000000001</v>
      </c>
      <c r="J1029" t="n">
        <v>78.31059999999999</v>
      </c>
      <c r="K1029" t="n">
        <v>152.9</v>
      </c>
    </row>
    <row r="1030">
      <c r="A1030" s="98" t="n">
        <v>38231</v>
      </c>
      <c r="B1030" t="n">
        <v>93.7418</v>
      </c>
      <c r="C1030" t="n">
        <v>110.9745</v>
      </c>
      <c r="D1030" t="n">
        <v>80.58410000000001</v>
      </c>
      <c r="E1030" t="n">
        <v>106.7753</v>
      </c>
      <c r="F1030" t="n">
        <v>95.52930000000001</v>
      </c>
      <c r="G1030" t="n">
        <v>86.14879999999999</v>
      </c>
      <c r="H1030" t="n">
        <v>78.30540000000001</v>
      </c>
      <c r="I1030" t="n">
        <v>95.70099999999999</v>
      </c>
      <c r="J1030" t="n">
        <v>78.3927</v>
      </c>
      <c r="K1030" t="n">
        <v>153.2</v>
      </c>
    </row>
    <row r="1031">
      <c r="A1031" s="98" t="n">
        <v>38261</v>
      </c>
      <c r="B1031" t="n">
        <v>94.5671</v>
      </c>
      <c r="C1031" t="n">
        <v>112.7396</v>
      </c>
      <c r="D1031" t="n">
        <v>81.1846</v>
      </c>
      <c r="E1031" t="n">
        <v>107.8311</v>
      </c>
      <c r="F1031" t="n">
        <v>96.53279999999999</v>
      </c>
      <c r="G1031" t="n">
        <v>86.93899999999999</v>
      </c>
      <c r="H1031" t="n">
        <v>79.23180000000001</v>
      </c>
      <c r="I1031" t="n">
        <v>95.92400000000001</v>
      </c>
      <c r="J1031" t="n">
        <v>79.0638</v>
      </c>
      <c r="K1031" t="n">
        <v>153.7</v>
      </c>
    </row>
    <row r="1032">
      <c r="A1032" s="98" t="n">
        <v>38292</v>
      </c>
      <c r="B1032" t="n">
        <v>94.8</v>
      </c>
      <c r="C1032" t="n">
        <v>112.3538</v>
      </c>
      <c r="D1032" t="n">
        <v>80.8998</v>
      </c>
      <c r="E1032" t="n">
        <v>107.6861</v>
      </c>
      <c r="F1032" t="n">
        <v>96.5224</v>
      </c>
      <c r="G1032" t="n">
        <v>87.459</v>
      </c>
      <c r="H1032" t="n">
        <v>80.919</v>
      </c>
      <c r="I1032" t="n">
        <v>96.2192</v>
      </c>
      <c r="J1032" t="n">
        <v>79.2285</v>
      </c>
      <c r="K1032" t="n">
        <v>154.1</v>
      </c>
    </row>
    <row r="1033">
      <c r="A1033" s="98" t="n">
        <v>38322</v>
      </c>
      <c r="B1033" t="n">
        <v>95.54259999999999</v>
      </c>
      <c r="C1033" t="n">
        <v>112.4168</v>
      </c>
      <c r="D1033" t="n">
        <v>81.76390000000001</v>
      </c>
      <c r="E1033" t="n">
        <v>108.4637</v>
      </c>
      <c r="F1033" t="n">
        <v>97.3135</v>
      </c>
      <c r="G1033" t="n">
        <v>88.18640000000001</v>
      </c>
      <c r="H1033" t="n">
        <v>80.8826</v>
      </c>
      <c r="I1033" t="n">
        <v>97.9807</v>
      </c>
      <c r="J1033" t="n">
        <v>79.8082</v>
      </c>
      <c r="K1033" t="n">
        <v>154.5</v>
      </c>
    </row>
    <row r="1034">
      <c r="A1034" s="98" t="n">
        <v>38353</v>
      </c>
      <c r="B1034" t="n">
        <v>95.8831</v>
      </c>
      <c r="C1034" t="n">
        <v>113.622</v>
      </c>
      <c r="D1034" t="n">
        <v>83.0943</v>
      </c>
      <c r="E1034" t="n">
        <v>108.7219</v>
      </c>
      <c r="F1034" t="n">
        <v>97.9336</v>
      </c>
      <c r="G1034" t="n">
        <v>88.1527</v>
      </c>
      <c r="H1034" t="n">
        <v>80.8077</v>
      </c>
      <c r="I1034" t="n">
        <v>96.4093</v>
      </c>
      <c r="J1034" t="n">
        <v>80.04130000000001</v>
      </c>
      <c r="K1034" t="n">
        <v>155.4</v>
      </c>
    </row>
    <row r="1035">
      <c r="A1035" s="98" t="n">
        <v>38384</v>
      </c>
      <c r="B1035" t="n">
        <v>96.5616</v>
      </c>
      <c r="C1035" t="n">
        <v>114.4852</v>
      </c>
      <c r="D1035" t="n">
        <v>83.9622</v>
      </c>
      <c r="E1035" t="n">
        <v>109.4061</v>
      </c>
      <c r="F1035" t="n">
        <v>98.8203</v>
      </c>
      <c r="G1035" t="n">
        <v>88.8105</v>
      </c>
      <c r="H1035" t="n">
        <v>81.85469999999999</v>
      </c>
      <c r="I1035" t="n">
        <v>95.25490000000001</v>
      </c>
      <c r="J1035" t="n">
        <v>80.54130000000001</v>
      </c>
      <c r="K1035" t="n">
        <v>155.3</v>
      </c>
    </row>
    <row r="1036">
      <c r="A1036" s="98" t="n">
        <v>38412</v>
      </c>
      <c r="B1036" t="n">
        <v>96.4371</v>
      </c>
      <c r="C1036" t="n">
        <v>113.3387</v>
      </c>
      <c r="D1036" t="n">
        <v>83.98</v>
      </c>
      <c r="E1036" t="n">
        <v>108.8809</v>
      </c>
      <c r="F1036" t="n">
        <v>98.3527</v>
      </c>
      <c r="G1036" t="n">
        <v>88.8535</v>
      </c>
      <c r="H1036" t="n">
        <v>81.6618</v>
      </c>
      <c r="I1036" t="n">
        <v>98.09569999999999</v>
      </c>
      <c r="J1036" t="n">
        <v>80.3601</v>
      </c>
      <c r="K1036" t="n">
        <v>155.6</v>
      </c>
    </row>
    <row r="1037">
      <c r="A1037" s="98" t="n">
        <v>38443</v>
      </c>
      <c r="B1037" t="n">
        <v>96.628</v>
      </c>
      <c r="C1037" t="n">
        <v>115.4676</v>
      </c>
      <c r="D1037" t="n">
        <v>84.9697</v>
      </c>
      <c r="E1037" t="n">
        <v>108.8555</v>
      </c>
      <c r="F1037" t="n">
        <v>98.75920000000001</v>
      </c>
      <c r="G1037" t="n">
        <v>88.6658</v>
      </c>
      <c r="H1037" t="n">
        <v>81.8892</v>
      </c>
      <c r="I1037" t="n">
        <v>96.2676</v>
      </c>
      <c r="J1037" t="n">
        <v>80.43389999999999</v>
      </c>
      <c r="K1037" t="n">
        <v>156</v>
      </c>
    </row>
    <row r="1038">
      <c r="A1038" s="98" t="n">
        <v>38473</v>
      </c>
      <c r="B1038" t="n">
        <v>96.7306</v>
      </c>
      <c r="C1038" t="n">
        <v>115.5289</v>
      </c>
      <c r="D1038" t="n">
        <v>85.6919</v>
      </c>
      <c r="E1038" t="n">
        <v>109.4044</v>
      </c>
      <c r="F1038" t="n">
        <v>99.02679999999999</v>
      </c>
      <c r="G1038" t="n">
        <v>88.4736</v>
      </c>
      <c r="H1038" t="n">
        <v>81.0391</v>
      </c>
      <c r="I1038" t="n">
        <v>96.1536</v>
      </c>
      <c r="J1038" t="n">
        <v>80.425</v>
      </c>
      <c r="K1038" t="n">
        <v>156.4</v>
      </c>
    </row>
    <row r="1039">
      <c r="A1039" s="98" t="n">
        <v>38504</v>
      </c>
      <c r="B1039" t="n">
        <v>97.14879999999999</v>
      </c>
      <c r="C1039" t="n">
        <v>114.5624</v>
      </c>
      <c r="D1039" t="n">
        <v>85.5141</v>
      </c>
      <c r="E1039" t="n">
        <v>110.4018</v>
      </c>
      <c r="F1039" t="n">
        <v>99.2885</v>
      </c>
      <c r="G1039" t="n">
        <v>88.78870000000001</v>
      </c>
      <c r="H1039" t="n">
        <v>81.008</v>
      </c>
      <c r="I1039" t="n">
        <v>99.2727</v>
      </c>
      <c r="J1039" t="n">
        <v>80.67019999999999</v>
      </c>
      <c r="K1039" t="n">
        <v>156.2</v>
      </c>
    </row>
    <row r="1040">
      <c r="A1040" s="98" t="n">
        <v>38534</v>
      </c>
      <c r="B1040" t="n">
        <v>96.8383</v>
      </c>
      <c r="C1040" t="n">
        <v>115.4212</v>
      </c>
      <c r="D1040" t="n">
        <v>85.0643</v>
      </c>
      <c r="E1040" t="n">
        <v>109.9338</v>
      </c>
      <c r="F1040" t="n">
        <v>98.9319</v>
      </c>
      <c r="G1040" t="n">
        <v>88.4914</v>
      </c>
      <c r="H1040" t="n">
        <v>80.6833</v>
      </c>
      <c r="I1040" t="n">
        <v>99.3336</v>
      </c>
      <c r="J1040" t="n">
        <v>80.30500000000001</v>
      </c>
      <c r="K1040" t="n">
        <v>156.8</v>
      </c>
    </row>
    <row r="1041">
      <c r="A1041" s="98" t="n">
        <v>38565</v>
      </c>
      <c r="B1041" t="n">
        <v>97.16030000000001</v>
      </c>
      <c r="C1041" t="n">
        <v>115.8361</v>
      </c>
      <c r="D1041" t="n">
        <v>86.1528</v>
      </c>
      <c r="E1041" t="n">
        <v>110.4686</v>
      </c>
      <c r="F1041" t="n">
        <v>99.48139999999999</v>
      </c>
      <c r="G1041" t="n">
        <v>88.51990000000001</v>
      </c>
      <c r="H1041" t="n">
        <v>80.2971</v>
      </c>
      <c r="I1041" t="n">
        <v>99.0107</v>
      </c>
      <c r="J1041" t="n">
        <v>80.46169999999999</v>
      </c>
      <c r="K1041" t="n">
        <v>156.9</v>
      </c>
    </row>
    <row r="1042">
      <c r="A1042" s="98" t="n">
        <v>38596</v>
      </c>
      <c r="B1042" t="n">
        <v>95.27290000000001</v>
      </c>
      <c r="C1042" t="n">
        <v>117.4955</v>
      </c>
      <c r="D1042" t="n">
        <v>83.542</v>
      </c>
      <c r="E1042" t="n">
        <v>110.5563</v>
      </c>
      <c r="F1042" t="n">
        <v>98.33069999999999</v>
      </c>
      <c r="G1042" t="n">
        <v>85.066</v>
      </c>
      <c r="H1042" t="n">
        <v>72.5501</v>
      </c>
      <c r="I1042" t="n">
        <v>100.2643</v>
      </c>
      <c r="J1042" t="n">
        <v>78.78830000000001</v>
      </c>
      <c r="K1042" t="n">
        <v>157.1</v>
      </c>
    </row>
    <row r="1043">
      <c r="A1043" s="98" t="n">
        <v>38626</v>
      </c>
      <c r="B1043" t="n">
        <v>96.4383</v>
      </c>
      <c r="C1043" t="n">
        <v>119.9982</v>
      </c>
      <c r="D1043" t="n">
        <v>88.0017</v>
      </c>
      <c r="E1043" t="n">
        <v>110.5267</v>
      </c>
      <c r="F1043" t="n">
        <v>99.81999999999999</v>
      </c>
      <c r="G1043" t="n">
        <v>86.14239999999999</v>
      </c>
      <c r="H1043" t="n">
        <v>74.24039999999999</v>
      </c>
      <c r="I1043" t="n">
        <v>98.32550000000001</v>
      </c>
      <c r="J1043" t="n">
        <v>79.6396</v>
      </c>
      <c r="K1043" t="n">
        <v>156.8</v>
      </c>
    </row>
    <row r="1044">
      <c r="A1044" s="98" t="n">
        <v>38657</v>
      </c>
      <c r="B1044" t="n">
        <v>97.49509999999999</v>
      </c>
      <c r="C1044" t="n">
        <v>120.8185</v>
      </c>
      <c r="D1044" t="n">
        <v>89.2426</v>
      </c>
      <c r="E1044" t="n">
        <v>110.428</v>
      </c>
      <c r="F1044" t="n">
        <v>100.7526</v>
      </c>
      <c r="G1044" t="n">
        <v>87.91249999999999</v>
      </c>
      <c r="H1044" t="n">
        <v>77.36499999999999</v>
      </c>
      <c r="I1044" t="n">
        <v>97.4479</v>
      </c>
      <c r="J1044" t="n">
        <v>80.398</v>
      </c>
      <c r="K1044" t="n">
        <v>156.8</v>
      </c>
    </row>
    <row r="1045">
      <c r="A1045" s="98" t="n">
        <v>38687</v>
      </c>
      <c r="B1045" t="n">
        <v>97.97880000000001</v>
      </c>
      <c r="C1045" t="n">
        <v>120.8013</v>
      </c>
      <c r="D1045" t="n">
        <v>88.592</v>
      </c>
      <c r="E1045" t="n">
        <v>111.1922</v>
      </c>
      <c r="F1045" t="n">
        <v>100.8737</v>
      </c>
      <c r="G1045" t="n">
        <v>88.62090000000001</v>
      </c>
      <c r="H1045" t="n">
        <v>78.2595</v>
      </c>
      <c r="I1045" t="n">
        <v>100.3938</v>
      </c>
      <c r="J1045" t="n">
        <v>80.6819</v>
      </c>
      <c r="K1045" t="n">
        <v>156.8</v>
      </c>
    </row>
    <row r="1046">
      <c r="A1046" s="98" t="n">
        <v>38718</v>
      </c>
      <c r="B1046" t="n">
        <v>98.1305</v>
      </c>
      <c r="C1046" t="n">
        <v>122.2589</v>
      </c>
      <c r="D1046" t="n">
        <v>90.17659999999999</v>
      </c>
      <c r="E1046" t="n">
        <v>110.2531</v>
      </c>
      <c r="F1046" t="n">
        <v>101.6659</v>
      </c>
      <c r="G1046" t="n">
        <v>88.97929999999999</v>
      </c>
      <c r="H1046" t="n">
        <v>80.2448</v>
      </c>
      <c r="I1046" t="n">
        <v>92.3182</v>
      </c>
      <c r="J1046" t="n">
        <v>80.6908</v>
      </c>
      <c r="K1046" t="n">
        <v>157.5</v>
      </c>
    </row>
    <row r="1047">
      <c r="A1047" s="98" t="n">
        <v>38749</v>
      </c>
      <c r="B1047" t="n">
        <v>98.17789999999999</v>
      </c>
      <c r="C1047" t="n">
        <v>121.1344</v>
      </c>
      <c r="D1047" t="n">
        <v>90.52330000000001</v>
      </c>
      <c r="E1047" t="n">
        <v>109.7458</v>
      </c>
      <c r="F1047" t="n">
        <v>101.3841</v>
      </c>
      <c r="G1047" t="n">
        <v>89.32170000000001</v>
      </c>
      <c r="H1047" t="n">
        <v>79.7895</v>
      </c>
      <c r="I1047" t="n">
        <v>95.7439</v>
      </c>
      <c r="J1047" t="n">
        <v>80.6125</v>
      </c>
      <c r="K1047" t="n">
        <v>158</v>
      </c>
    </row>
    <row r="1048">
      <c r="A1048" s="98" t="n">
        <v>38777</v>
      </c>
      <c r="B1048" t="n">
        <v>98.38979999999999</v>
      </c>
      <c r="C1048" t="n">
        <v>120.823</v>
      </c>
      <c r="D1048" t="n">
        <v>91.3206</v>
      </c>
      <c r="E1048" t="n">
        <v>110.3285</v>
      </c>
      <c r="F1048" t="n">
        <v>101.3049</v>
      </c>
      <c r="G1048" t="n">
        <v>89.30119999999999</v>
      </c>
      <c r="H1048" t="n">
        <v>79.8571</v>
      </c>
      <c r="I1048" t="n">
        <v>98.17700000000001</v>
      </c>
      <c r="J1048" t="n">
        <v>80.66630000000001</v>
      </c>
      <c r="K1048" t="n">
        <v>158.4</v>
      </c>
    </row>
    <row r="1049">
      <c r="A1049" s="98" t="n">
        <v>38808</v>
      </c>
      <c r="B1049" t="n">
        <v>98.6769</v>
      </c>
      <c r="C1049" t="n">
        <v>120.1976</v>
      </c>
      <c r="D1049" t="n">
        <v>92.73779999999999</v>
      </c>
      <c r="E1049" t="n">
        <v>110.6324</v>
      </c>
      <c r="F1049" t="n">
        <v>101.6621</v>
      </c>
      <c r="G1049" t="n">
        <v>89.4603</v>
      </c>
      <c r="H1049" t="n">
        <v>80.48569999999999</v>
      </c>
      <c r="I1049" t="n">
        <v>97.40689999999999</v>
      </c>
      <c r="J1049" t="n">
        <v>80.7769</v>
      </c>
      <c r="K1049" t="n">
        <v>158.5</v>
      </c>
    </row>
    <row r="1050">
      <c r="A1050" s="98" t="n">
        <v>38838</v>
      </c>
      <c r="B1050" t="n">
        <v>98.7052</v>
      </c>
      <c r="C1050" t="n">
        <v>119.3062</v>
      </c>
      <c r="D1050" t="n">
        <v>92.8505</v>
      </c>
      <c r="E1050" t="n">
        <v>110.4631</v>
      </c>
      <c r="F1050" t="n">
        <v>101.451</v>
      </c>
      <c r="G1050" t="n">
        <v>89.6679</v>
      </c>
      <c r="H1050" t="n">
        <v>81.13590000000001</v>
      </c>
      <c r="I1050" t="n">
        <v>98.63500000000001</v>
      </c>
      <c r="J1050" t="n">
        <v>80.6674</v>
      </c>
      <c r="K1050" t="n">
        <v>158.9</v>
      </c>
    </row>
    <row r="1051">
      <c r="A1051" s="98" t="n">
        <v>38869</v>
      </c>
      <c r="B1051" t="n">
        <v>99.0427</v>
      </c>
      <c r="C1051" t="n">
        <v>118.8193</v>
      </c>
      <c r="D1051" t="n">
        <v>93.61539999999999</v>
      </c>
      <c r="E1051" t="n">
        <v>111.0017</v>
      </c>
      <c r="F1051" t="n">
        <v>101.8193</v>
      </c>
      <c r="G1051" t="n">
        <v>89.9242</v>
      </c>
      <c r="H1051" t="n">
        <v>81.5488</v>
      </c>
      <c r="I1051" t="n">
        <v>99.11069999999999</v>
      </c>
      <c r="J1051" t="n">
        <v>80.8002</v>
      </c>
      <c r="K1051" t="n">
        <v>159</v>
      </c>
    </row>
    <row r="1052">
      <c r="A1052" s="98" t="n">
        <v>38899</v>
      </c>
      <c r="B1052" t="n">
        <v>98.9804</v>
      </c>
      <c r="C1052" t="n">
        <v>119.1906</v>
      </c>
      <c r="D1052" t="n">
        <v>94.38630000000001</v>
      </c>
      <c r="E1052" t="n">
        <v>110.0152</v>
      </c>
      <c r="F1052" t="n">
        <v>101.5314</v>
      </c>
      <c r="G1052" t="n">
        <v>90.06789999999999</v>
      </c>
      <c r="H1052" t="n">
        <v>81.8999</v>
      </c>
      <c r="I1052" t="n">
        <v>100.6035</v>
      </c>
      <c r="J1052" t="n">
        <v>80.5962</v>
      </c>
      <c r="K1052" t="n">
        <v>158.1</v>
      </c>
    </row>
    <row r="1053">
      <c r="A1053" s="98" t="n">
        <v>38930</v>
      </c>
      <c r="B1053" t="n">
        <v>99.4106</v>
      </c>
      <c r="C1053" t="n">
        <v>118.2708</v>
      </c>
      <c r="D1053" t="n">
        <v>95.184</v>
      </c>
      <c r="E1053" t="n">
        <v>111.0619</v>
      </c>
      <c r="F1053" t="n">
        <v>102.345</v>
      </c>
      <c r="G1053" t="n">
        <v>90.3336</v>
      </c>
      <c r="H1053" t="n">
        <v>81.6627</v>
      </c>
      <c r="I1053" t="n">
        <v>99.7749</v>
      </c>
      <c r="J1053" t="n">
        <v>80.78100000000001</v>
      </c>
      <c r="K1053" t="n">
        <v>158.7</v>
      </c>
    </row>
    <row r="1054">
      <c r="A1054" s="98" t="n">
        <v>38961</v>
      </c>
      <c r="B1054" t="n">
        <v>99.22069999999999</v>
      </c>
      <c r="C1054" t="n">
        <v>118.1407</v>
      </c>
      <c r="D1054" t="n">
        <v>95.28579999999999</v>
      </c>
      <c r="E1054" t="n">
        <v>110.5505</v>
      </c>
      <c r="F1054" t="n">
        <v>102.4408</v>
      </c>
      <c r="G1054" t="n">
        <v>90.16079999999999</v>
      </c>
      <c r="H1054" t="n">
        <v>82.0003</v>
      </c>
      <c r="I1054" t="n">
        <v>96.7266</v>
      </c>
      <c r="J1054" t="n">
        <v>80.45229999999999</v>
      </c>
      <c r="K1054" t="n">
        <v>159.2</v>
      </c>
    </row>
    <row r="1055">
      <c r="A1055" s="98" t="n">
        <v>38991</v>
      </c>
      <c r="B1055" t="n">
        <v>99.1253</v>
      </c>
      <c r="C1055" t="n">
        <v>116.8855</v>
      </c>
      <c r="D1055" t="n">
        <v>95.5248</v>
      </c>
      <c r="E1055" t="n">
        <v>110.4218</v>
      </c>
      <c r="F1055" t="n">
        <v>101.9725</v>
      </c>
      <c r="G1055" t="n">
        <v>90.0132</v>
      </c>
      <c r="H1055" t="n">
        <v>82.3802</v>
      </c>
      <c r="I1055" t="n">
        <v>98.6862</v>
      </c>
      <c r="J1055" t="n">
        <v>80.19289999999999</v>
      </c>
      <c r="K1055" t="n">
        <v>158.5</v>
      </c>
    </row>
    <row r="1056">
      <c r="A1056" s="98" t="n">
        <v>39022</v>
      </c>
      <c r="B1056" t="n">
        <v>99.09690000000001</v>
      </c>
      <c r="C1056" t="n">
        <v>116.6563</v>
      </c>
      <c r="D1056" t="n">
        <v>95.9766</v>
      </c>
      <c r="E1056" t="n">
        <v>110.6096</v>
      </c>
      <c r="F1056" t="n">
        <v>102.1103</v>
      </c>
      <c r="G1056" t="n">
        <v>89.8005</v>
      </c>
      <c r="H1056" t="n">
        <v>81.2637</v>
      </c>
      <c r="I1056" t="n">
        <v>99.0933</v>
      </c>
      <c r="J1056" t="n">
        <v>79.98309999999999</v>
      </c>
      <c r="K1056" t="n">
        <v>159.9</v>
      </c>
    </row>
    <row r="1057">
      <c r="A1057" s="98" t="n">
        <v>39052</v>
      </c>
      <c r="B1057" t="n">
        <v>100.1122</v>
      </c>
      <c r="C1057" t="n">
        <v>119.7667</v>
      </c>
      <c r="D1057" t="n">
        <v>97.4875</v>
      </c>
      <c r="E1057" t="n">
        <v>111.1493</v>
      </c>
      <c r="F1057" t="n">
        <v>103.6744</v>
      </c>
      <c r="G1057" t="n">
        <v>90.7517</v>
      </c>
      <c r="H1057" t="n">
        <v>82.5496</v>
      </c>
      <c r="I1057" t="n">
        <v>95.931</v>
      </c>
      <c r="J1057" t="n">
        <v>80.6125</v>
      </c>
      <c r="K1057" t="n">
        <v>160</v>
      </c>
    </row>
    <row r="1058">
      <c r="A1058" s="98" t="n">
        <v>39083</v>
      </c>
      <c r="B1058" t="n">
        <v>99.75709999999999</v>
      </c>
      <c r="C1058" t="n">
        <v>117.9102</v>
      </c>
      <c r="D1058" t="n">
        <v>95.8202</v>
      </c>
      <c r="E1058" t="n">
        <v>110.5212</v>
      </c>
      <c r="F1058" t="n">
        <v>103.3066</v>
      </c>
      <c r="G1058" t="n">
        <v>90.7161</v>
      </c>
      <c r="H1058" t="n">
        <v>80.6801</v>
      </c>
      <c r="I1058" t="n">
        <v>98.00790000000001</v>
      </c>
      <c r="J1058" t="n">
        <v>80.13849999999999</v>
      </c>
      <c r="K1058" t="n">
        <v>160.2</v>
      </c>
    </row>
    <row r="1059">
      <c r="A1059" s="98" t="n">
        <v>39114</v>
      </c>
      <c r="B1059" t="n">
        <v>100.7275</v>
      </c>
      <c r="C1059" t="n">
        <v>118.1414</v>
      </c>
      <c r="D1059" t="n">
        <v>96.5643</v>
      </c>
      <c r="E1059" t="n">
        <v>111.785</v>
      </c>
      <c r="F1059" t="n">
        <v>103.6888</v>
      </c>
      <c r="G1059" t="n">
        <v>91.65560000000001</v>
      </c>
      <c r="H1059" t="n">
        <v>81.4529</v>
      </c>
      <c r="I1059" t="n">
        <v>104.099</v>
      </c>
      <c r="J1059" t="n">
        <v>80.73260000000001</v>
      </c>
      <c r="K1059" t="n">
        <v>160.9</v>
      </c>
    </row>
    <row r="1060">
      <c r="A1060" s="98" t="n">
        <v>39142</v>
      </c>
      <c r="B1060" t="n">
        <v>100.9023</v>
      </c>
      <c r="C1060" t="n">
        <v>119.4547</v>
      </c>
      <c r="D1060" t="n">
        <v>98.3235</v>
      </c>
      <c r="E1060" t="n">
        <v>110.892</v>
      </c>
      <c r="F1060" t="n">
        <v>104.5936</v>
      </c>
      <c r="G1060" t="n">
        <v>91.96510000000001</v>
      </c>
      <c r="H1060" t="n">
        <v>81.44799999999999</v>
      </c>
      <c r="I1060" t="n">
        <v>99.2424</v>
      </c>
      <c r="J1060" t="n">
        <v>80.6935</v>
      </c>
      <c r="K1060" t="n">
        <v>160.9</v>
      </c>
    </row>
    <row r="1061">
      <c r="A1061" s="98" t="n">
        <v>39173</v>
      </c>
      <c r="B1061" t="n">
        <v>101.5874</v>
      </c>
      <c r="C1061" t="n">
        <v>118.9746</v>
      </c>
      <c r="D1061" t="n">
        <v>99.2962</v>
      </c>
      <c r="E1061" t="n">
        <v>111.4751</v>
      </c>
      <c r="F1061" t="n">
        <v>105.2765</v>
      </c>
      <c r="G1061" t="n">
        <v>92.6476</v>
      </c>
      <c r="H1061" t="n">
        <v>81.65179999999999</v>
      </c>
      <c r="I1061" t="n">
        <v>100.8577</v>
      </c>
      <c r="J1061" t="n">
        <v>81.07299999999999</v>
      </c>
      <c r="K1061" t="n">
        <v>161</v>
      </c>
    </row>
    <row r="1062">
      <c r="A1062" s="98" t="n">
        <v>39203</v>
      </c>
      <c r="B1062" t="n">
        <v>101.6299</v>
      </c>
      <c r="C1062" t="n">
        <v>118.6535</v>
      </c>
      <c r="D1062" t="n">
        <v>99.4049</v>
      </c>
      <c r="E1062" t="n">
        <v>111.0335</v>
      </c>
      <c r="F1062" t="n">
        <v>105.2236</v>
      </c>
      <c r="G1062" t="n">
        <v>93.01390000000001</v>
      </c>
      <c r="H1062" t="n">
        <v>82.2843</v>
      </c>
      <c r="I1062" t="n">
        <v>101.0478</v>
      </c>
      <c r="J1062" t="n">
        <v>80.955</v>
      </c>
      <c r="K1062" t="n">
        <v>161.4</v>
      </c>
    </row>
    <row r="1063">
      <c r="A1063" s="98" t="n">
        <v>39234</v>
      </c>
      <c r="B1063" t="n">
        <v>101.6482</v>
      </c>
      <c r="C1063" t="n">
        <v>119.2913</v>
      </c>
      <c r="D1063" t="n">
        <v>99.3646</v>
      </c>
      <c r="E1063" t="n">
        <v>111.1796</v>
      </c>
      <c r="F1063" t="n">
        <v>105.6354</v>
      </c>
      <c r="G1063" t="n">
        <v>92.9019</v>
      </c>
      <c r="H1063" t="n">
        <v>81.85980000000001</v>
      </c>
      <c r="I1063" t="n">
        <v>99.1962</v>
      </c>
      <c r="J1063" t="n">
        <v>80.83929999999999</v>
      </c>
      <c r="K1063" t="n">
        <v>161.7</v>
      </c>
    </row>
    <row r="1064">
      <c r="A1064" s="98" t="n">
        <v>39264</v>
      </c>
      <c r="B1064" t="n">
        <v>101.4925</v>
      </c>
      <c r="C1064" t="n">
        <v>118.7699</v>
      </c>
      <c r="D1064" t="n">
        <v>99.39790000000001</v>
      </c>
      <c r="E1064" t="n">
        <v>110.7922</v>
      </c>
      <c r="F1064" t="n">
        <v>105.6596</v>
      </c>
      <c r="G1064" t="n">
        <v>92.98180000000001</v>
      </c>
      <c r="H1064" t="n">
        <v>81.8289</v>
      </c>
      <c r="I1064" t="n">
        <v>98.10420000000001</v>
      </c>
      <c r="J1064" t="n">
        <v>80.6142</v>
      </c>
      <c r="K1064" t="n">
        <v>162.1</v>
      </c>
    </row>
    <row r="1065">
      <c r="A1065" s="98" t="n">
        <v>39295</v>
      </c>
      <c r="B1065" t="n">
        <v>101.6874</v>
      </c>
      <c r="C1065" t="n">
        <v>118.1574</v>
      </c>
      <c r="D1065" t="n">
        <v>99.5595</v>
      </c>
      <c r="E1065" t="n">
        <v>110.5809</v>
      </c>
      <c r="F1065" t="n">
        <v>105.4136</v>
      </c>
      <c r="G1065" t="n">
        <v>93.4695</v>
      </c>
      <c r="H1065" t="n">
        <v>81.8188</v>
      </c>
      <c r="I1065" t="n">
        <v>102.7584</v>
      </c>
      <c r="J1065" t="n">
        <v>80.6999</v>
      </c>
      <c r="K1065" t="n">
        <v>162.3</v>
      </c>
    </row>
    <row r="1066">
      <c r="A1066" s="98" t="n">
        <v>39326</v>
      </c>
      <c r="B1066" t="n">
        <v>101.9398</v>
      </c>
      <c r="C1066" t="n">
        <v>118.3508</v>
      </c>
      <c r="D1066" t="n">
        <v>101.0496</v>
      </c>
      <c r="E1066" t="n">
        <v>110.4671</v>
      </c>
      <c r="F1066" t="n">
        <v>105.7843</v>
      </c>
      <c r="G1066" t="n">
        <v>93.5497</v>
      </c>
      <c r="H1066" t="n">
        <v>81.944</v>
      </c>
      <c r="I1066" t="n">
        <v>102.8228</v>
      </c>
      <c r="J1066" t="n">
        <v>80.8586</v>
      </c>
      <c r="K1066" t="n">
        <v>162.3</v>
      </c>
    </row>
    <row r="1067">
      <c r="A1067" s="98" t="n">
        <v>39356</v>
      </c>
      <c r="B1067" t="n">
        <v>101.6345</v>
      </c>
      <c r="C1067" t="n">
        <v>117.6797</v>
      </c>
      <c r="D1067" t="n">
        <v>100.714</v>
      </c>
      <c r="E1067" t="n">
        <v>109.465</v>
      </c>
      <c r="F1067" t="n">
        <v>105.6376</v>
      </c>
      <c r="G1067" t="n">
        <v>93.6691</v>
      </c>
      <c r="H1067" t="n">
        <v>81.6893</v>
      </c>
      <c r="I1067" t="n">
        <v>101.5753</v>
      </c>
      <c r="J1067" t="n">
        <v>80.60129999999999</v>
      </c>
      <c r="K1067" t="n">
        <v>162.9</v>
      </c>
    </row>
    <row r="1068">
      <c r="A1068" s="98" t="n">
        <v>39387</v>
      </c>
      <c r="B1068" t="n">
        <v>102.2068</v>
      </c>
      <c r="C1068" t="n">
        <v>117.5856</v>
      </c>
      <c r="D1068" t="n">
        <v>101.4461</v>
      </c>
      <c r="E1068" t="n">
        <v>109.4294</v>
      </c>
      <c r="F1068" t="n">
        <v>106.2478</v>
      </c>
      <c r="G1068" t="n">
        <v>94.5029</v>
      </c>
      <c r="H1068" t="n">
        <v>82.6433</v>
      </c>
      <c r="I1068" t="n">
        <v>101.6333</v>
      </c>
      <c r="J1068" t="n">
        <v>81.0633</v>
      </c>
      <c r="K1068" t="n">
        <v>163.4</v>
      </c>
    </row>
    <row r="1069">
      <c r="A1069" s="98" t="n">
        <v>39417</v>
      </c>
      <c r="B1069" t="n">
        <v>102.2604</v>
      </c>
      <c r="C1069" t="n">
        <v>117.792</v>
      </c>
      <c r="D1069" t="n">
        <v>102.4317</v>
      </c>
      <c r="E1069" t="n">
        <v>109.1016</v>
      </c>
      <c r="F1069" t="n">
        <v>106.4202</v>
      </c>
      <c r="G1069" t="n">
        <v>94.5748</v>
      </c>
      <c r="H1069" t="n">
        <v>83.31480000000001</v>
      </c>
      <c r="I1069" t="n">
        <v>99.67610000000001</v>
      </c>
      <c r="J1069" t="n">
        <v>81.13339999999999</v>
      </c>
      <c r="K1069" t="n">
        <v>163.4</v>
      </c>
    </row>
    <row r="1070">
      <c r="A1070" s="98" t="n">
        <v>39448</v>
      </c>
      <c r="B1070" t="n">
        <v>102.14</v>
      </c>
      <c r="C1070" t="n">
        <v>117.8491</v>
      </c>
      <c r="D1070" t="n">
        <v>102.9192</v>
      </c>
      <c r="E1070" t="n">
        <v>108.8706</v>
      </c>
      <c r="F1070" t="n">
        <v>106.197</v>
      </c>
      <c r="G1070" t="n">
        <v>94.334</v>
      </c>
      <c r="H1070" t="n">
        <v>82.913</v>
      </c>
      <c r="I1070" t="n">
        <v>100.9152</v>
      </c>
      <c r="J1070" t="n">
        <v>81.08150000000001</v>
      </c>
      <c r="K1070" t="n">
        <v>164.1</v>
      </c>
    </row>
    <row r="1071">
      <c r="A1071" s="98" t="n">
        <v>39479</v>
      </c>
      <c r="B1071" t="n">
        <v>101.7671</v>
      </c>
      <c r="C1071" t="n">
        <v>115.4257</v>
      </c>
      <c r="D1071" t="n">
        <v>102.9023</v>
      </c>
      <c r="E1071" t="n">
        <v>108.7103</v>
      </c>
      <c r="F1071" t="n">
        <v>105.4342</v>
      </c>
      <c r="G1071" t="n">
        <v>93.8918</v>
      </c>
      <c r="H1071" t="n">
        <v>83.0027</v>
      </c>
      <c r="I1071" t="n">
        <v>102.3322</v>
      </c>
      <c r="J1071" t="n">
        <v>80.8357</v>
      </c>
      <c r="K1071" t="n">
        <v>164.8</v>
      </c>
    </row>
    <row r="1072">
      <c r="A1072" s="98" t="n">
        <v>39508</v>
      </c>
      <c r="B1072" t="n">
        <v>101.4355</v>
      </c>
      <c r="C1072" t="n">
        <v>113.8962</v>
      </c>
      <c r="D1072" t="n">
        <v>103.6544</v>
      </c>
      <c r="E1072" t="n">
        <v>107.16</v>
      </c>
      <c r="F1072" t="n">
        <v>104.9953</v>
      </c>
      <c r="G1072" t="n">
        <v>93.9992</v>
      </c>
      <c r="H1072" t="n">
        <v>83.4268</v>
      </c>
      <c r="I1072" t="n">
        <v>101.5244</v>
      </c>
      <c r="J1072" t="n">
        <v>80.62560000000001</v>
      </c>
      <c r="K1072" t="n">
        <v>165.1</v>
      </c>
    </row>
    <row r="1073">
      <c r="A1073" s="98" t="n">
        <v>39539</v>
      </c>
      <c r="B1073" t="n">
        <v>100.7424</v>
      </c>
      <c r="C1073" t="n">
        <v>111.7379</v>
      </c>
      <c r="D1073" t="n">
        <v>101.7306</v>
      </c>
      <c r="E1073" t="n">
        <v>106.4794</v>
      </c>
      <c r="F1073" t="n">
        <v>103.9181</v>
      </c>
      <c r="G1073" t="n">
        <v>93.63509999999999</v>
      </c>
      <c r="H1073" t="n">
        <v>83.8291</v>
      </c>
      <c r="I1073" t="n">
        <v>101.5533</v>
      </c>
      <c r="J1073" t="n">
        <v>80.1238</v>
      </c>
      <c r="K1073" t="n">
        <v>165.8</v>
      </c>
    </row>
    <row r="1074">
      <c r="A1074" s="98" t="n">
        <v>39569</v>
      </c>
      <c r="B1074" t="n">
        <v>100.132</v>
      </c>
      <c r="C1074" t="n">
        <v>110.5789</v>
      </c>
      <c r="D1074" t="n">
        <v>102.1061</v>
      </c>
      <c r="E1074" t="n">
        <v>105.8715</v>
      </c>
      <c r="F1074" t="n">
        <v>103.352</v>
      </c>
      <c r="G1074" t="n">
        <v>92.9147</v>
      </c>
      <c r="H1074" t="n">
        <v>83.65989999999999</v>
      </c>
      <c r="I1074" t="n">
        <v>100.3446</v>
      </c>
      <c r="J1074" t="n">
        <v>79.6718</v>
      </c>
      <c r="K1074" t="n">
        <v>166.3</v>
      </c>
    </row>
    <row r="1075">
      <c r="A1075" s="98" t="n">
        <v>39600</v>
      </c>
      <c r="B1075" t="n">
        <v>99.8651</v>
      </c>
      <c r="C1075" t="n">
        <v>109.3456</v>
      </c>
      <c r="D1075" t="n">
        <v>101.4303</v>
      </c>
      <c r="E1075" t="n">
        <v>105.6343</v>
      </c>
      <c r="F1075" t="n">
        <v>102.6092</v>
      </c>
      <c r="G1075" t="n">
        <v>92.83759999999999</v>
      </c>
      <c r="H1075" t="n">
        <v>84.289</v>
      </c>
      <c r="I1075" t="n">
        <v>101.8077</v>
      </c>
      <c r="J1075" t="n">
        <v>79.4693</v>
      </c>
      <c r="K1075" t="n">
        <v>166.6</v>
      </c>
    </row>
    <row r="1076">
      <c r="A1076" s="98" t="n">
        <v>39630</v>
      </c>
      <c r="B1076" t="n">
        <v>99.42140000000001</v>
      </c>
      <c r="C1076" t="n">
        <v>109.1521</v>
      </c>
      <c r="D1076" t="n">
        <v>99.59010000000001</v>
      </c>
      <c r="E1076" t="n">
        <v>104.9653</v>
      </c>
      <c r="F1076" t="n">
        <v>101.4802</v>
      </c>
      <c r="G1076" t="n">
        <v>92.7851</v>
      </c>
      <c r="H1076" t="n">
        <v>86.4327</v>
      </c>
      <c r="I1076" t="n">
        <v>100.4335</v>
      </c>
      <c r="J1076" t="n">
        <v>79.095</v>
      </c>
      <c r="K1076" t="n">
        <v>167.4</v>
      </c>
    </row>
    <row r="1077">
      <c r="A1077" s="98" t="n">
        <v>39661</v>
      </c>
      <c r="B1077" t="n">
        <v>97.84480000000001</v>
      </c>
      <c r="C1077" t="n">
        <v>106.8603</v>
      </c>
      <c r="D1077" t="n">
        <v>97.70010000000001</v>
      </c>
      <c r="E1077" t="n">
        <v>103.0848</v>
      </c>
      <c r="F1077" t="n">
        <v>100.1576</v>
      </c>
      <c r="G1077" t="n">
        <v>91.1969</v>
      </c>
      <c r="H1077" t="n">
        <v>85.05029999999999</v>
      </c>
      <c r="I1077" t="n">
        <v>96.78400000000001</v>
      </c>
      <c r="J1077" t="n">
        <v>77.7872</v>
      </c>
      <c r="K1077" t="n">
        <v>168.1</v>
      </c>
    </row>
    <row r="1078">
      <c r="A1078" s="98" t="n">
        <v>39692</v>
      </c>
      <c r="B1078" t="n">
        <v>93.559</v>
      </c>
      <c r="C1078" t="n">
        <v>104.063</v>
      </c>
      <c r="D1078" t="n">
        <v>89.93729999999999</v>
      </c>
      <c r="E1078" t="n">
        <v>102.366</v>
      </c>
      <c r="F1078" t="n">
        <v>96.5984</v>
      </c>
      <c r="G1078" t="n">
        <v>85.1698</v>
      </c>
      <c r="H1078" t="n">
        <v>75.4054</v>
      </c>
      <c r="I1078" t="n">
        <v>98.699</v>
      </c>
      <c r="J1078" t="n">
        <v>74.3062</v>
      </c>
      <c r="K1078" t="n">
        <v>168.9</v>
      </c>
    </row>
    <row r="1079">
      <c r="A1079" s="98" t="n">
        <v>39722</v>
      </c>
      <c r="B1079" t="n">
        <v>94.4956</v>
      </c>
      <c r="C1079" t="n">
        <v>102.4143</v>
      </c>
      <c r="D1079" t="n">
        <v>87.46250000000001</v>
      </c>
      <c r="E1079" t="n">
        <v>102.6413</v>
      </c>
      <c r="F1079" t="n">
        <v>96.0628</v>
      </c>
      <c r="G1079" t="n">
        <v>87.6705</v>
      </c>
      <c r="H1079" t="n">
        <v>82.002</v>
      </c>
      <c r="I1079" t="n">
        <v>99.3977</v>
      </c>
      <c r="J1079" t="n">
        <v>74.9571</v>
      </c>
      <c r="K1079" t="n">
        <v>170.5</v>
      </c>
    </row>
    <row r="1080">
      <c r="A1080" s="98" t="n">
        <v>39753</v>
      </c>
      <c r="B1080" t="n">
        <v>93.2689</v>
      </c>
      <c r="C1080" t="n">
        <v>97.30240000000001</v>
      </c>
      <c r="D1080" t="n">
        <v>88.66160000000001</v>
      </c>
      <c r="E1080" t="n">
        <v>101.7827</v>
      </c>
      <c r="F1080" t="n">
        <v>93.6634</v>
      </c>
      <c r="G1080" t="n">
        <v>86.3416</v>
      </c>
      <c r="H1080" t="n">
        <v>83.91079999999999</v>
      </c>
      <c r="I1080" t="n">
        <v>100.7505</v>
      </c>
      <c r="J1080" t="n">
        <v>73.8807</v>
      </c>
      <c r="K1080" t="n">
        <v>170.4</v>
      </c>
    </row>
    <row r="1081">
      <c r="A1081" s="98" t="n">
        <v>39783</v>
      </c>
      <c r="B1081" t="n">
        <v>90.628</v>
      </c>
      <c r="C1081" t="n">
        <v>91.8184</v>
      </c>
      <c r="D1081" t="n">
        <v>89.5026</v>
      </c>
      <c r="E1081" t="n">
        <v>99.68559999999999</v>
      </c>
      <c r="F1081" t="n">
        <v>90.4392</v>
      </c>
      <c r="G1081" t="n">
        <v>83.1525</v>
      </c>
      <c r="H1081" t="n">
        <v>82.34180000000001</v>
      </c>
      <c r="I1081" t="n">
        <v>100.3186</v>
      </c>
      <c r="J1081" t="n">
        <v>71.6823</v>
      </c>
      <c r="K1081" t="n">
        <v>170.8</v>
      </c>
    </row>
    <row r="1082">
      <c r="A1082" s="98" t="n">
        <v>39814</v>
      </c>
      <c r="B1082" t="n">
        <v>88.3811</v>
      </c>
      <c r="C1082" t="n">
        <v>87.7277</v>
      </c>
      <c r="D1082" t="n">
        <v>84.5316</v>
      </c>
      <c r="E1082" t="n">
        <v>97.3396</v>
      </c>
      <c r="F1082" t="n">
        <v>87.4945</v>
      </c>
      <c r="G1082" t="n">
        <v>81.5706</v>
      </c>
      <c r="H1082" t="n">
        <v>81.86790000000001</v>
      </c>
      <c r="I1082" t="n">
        <v>100.2023</v>
      </c>
      <c r="J1082" t="n">
        <v>69.79819999999999</v>
      </c>
      <c r="K1082" t="n">
        <v>170.8</v>
      </c>
    </row>
    <row r="1083">
      <c r="A1083" s="98" t="n">
        <v>39845</v>
      </c>
      <c r="B1083" t="n">
        <v>87.8412</v>
      </c>
      <c r="C1083" t="n">
        <v>86.1657</v>
      </c>
      <c r="D1083" t="n">
        <v>84.0616</v>
      </c>
      <c r="E1083" t="n">
        <v>97.41889999999999</v>
      </c>
      <c r="F1083" t="n">
        <v>87.49630000000001</v>
      </c>
      <c r="G1083" t="n">
        <v>81.1133</v>
      </c>
      <c r="H1083" t="n">
        <v>80.8051</v>
      </c>
      <c r="I1083" t="n">
        <v>97.3441</v>
      </c>
      <c r="J1083" t="n">
        <v>69.2778</v>
      </c>
      <c r="K1083" t="n">
        <v>170.9</v>
      </c>
    </row>
    <row r="1084">
      <c r="A1084" s="98" t="n">
        <v>39873</v>
      </c>
      <c r="B1084" t="n">
        <v>86.4794</v>
      </c>
      <c r="C1084" t="n">
        <v>83.3826</v>
      </c>
      <c r="D1084" t="n">
        <v>82.371</v>
      </c>
      <c r="E1084" t="n">
        <v>96.8719</v>
      </c>
      <c r="F1084" t="n">
        <v>85.991</v>
      </c>
      <c r="G1084" t="n">
        <v>79.66160000000001</v>
      </c>
      <c r="H1084" t="n">
        <v>79.0406</v>
      </c>
      <c r="I1084" t="n">
        <v>98.6228</v>
      </c>
      <c r="J1084" t="n">
        <v>68.12</v>
      </c>
      <c r="K1084" t="n">
        <v>171.2</v>
      </c>
    </row>
    <row r="1085">
      <c r="A1085" s="98" t="n">
        <v>39904</v>
      </c>
      <c r="B1085" t="n">
        <v>85.78830000000001</v>
      </c>
      <c r="C1085" t="n">
        <v>81.8556</v>
      </c>
      <c r="D1085" t="n">
        <v>80.6695</v>
      </c>
      <c r="E1085" t="n">
        <v>96.56780000000001</v>
      </c>
      <c r="F1085" t="n">
        <v>85.4388</v>
      </c>
      <c r="G1085" t="n">
        <v>79.0843</v>
      </c>
      <c r="H1085" t="n">
        <v>77.79989999999999</v>
      </c>
      <c r="I1085" t="n">
        <v>98.1842</v>
      </c>
      <c r="J1085" t="n">
        <v>67.50069999999999</v>
      </c>
      <c r="K1085" t="n">
        <v>171.3</v>
      </c>
    </row>
    <row r="1086">
      <c r="A1086" s="98" t="n">
        <v>39934</v>
      </c>
      <c r="B1086" t="n">
        <v>84.9516</v>
      </c>
      <c r="C1086" t="n">
        <v>81.5643</v>
      </c>
      <c r="D1086" t="n">
        <v>78.4834</v>
      </c>
      <c r="E1086" t="n">
        <v>95.3231</v>
      </c>
      <c r="F1086" t="n">
        <v>84.5547</v>
      </c>
      <c r="G1086" t="n">
        <v>78.6143</v>
      </c>
      <c r="H1086" t="n">
        <v>77.58150000000001</v>
      </c>
      <c r="I1086" t="n">
        <v>96.834</v>
      </c>
      <c r="J1086" t="n">
        <v>66.7873</v>
      </c>
      <c r="K1086" t="n">
        <v>171.2</v>
      </c>
    </row>
    <row r="1087">
      <c r="A1087" s="98" t="n">
        <v>39965</v>
      </c>
      <c r="B1087" t="n">
        <v>84.69280000000001</v>
      </c>
      <c r="C1087" t="n">
        <v>81.5689</v>
      </c>
      <c r="D1087" t="n">
        <v>77.8553</v>
      </c>
      <c r="E1087" t="n">
        <v>94.9141</v>
      </c>
      <c r="F1087" t="n">
        <v>84.35890000000001</v>
      </c>
      <c r="G1087" t="n">
        <v>78.3807</v>
      </c>
      <c r="H1087" t="n">
        <v>77.3604</v>
      </c>
      <c r="I1087" t="n">
        <v>96.0068</v>
      </c>
      <c r="J1087" t="n">
        <v>66.5532</v>
      </c>
      <c r="K1087" t="n">
        <v>171.8</v>
      </c>
    </row>
    <row r="1088">
      <c r="A1088" s="98" t="n">
        <v>39995</v>
      </c>
      <c r="B1088" t="n">
        <v>85.70440000000001</v>
      </c>
      <c r="C1088" t="n">
        <v>81.9538</v>
      </c>
      <c r="D1088" t="n">
        <v>78.8049</v>
      </c>
      <c r="E1088" t="n">
        <v>96.1707</v>
      </c>
      <c r="F1088" t="n">
        <v>85.8242</v>
      </c>
      <c r="G1088" t="n">
        <v>79.5654</v>
      </c>
      <c r="H1088" t="n">
        <v>78.1695</v>
      </c>
      <c r="I1088" t="n">
        <v>94.7032</v>
      </c>
      <c r="J1088" t="n">
        <v>67.3455</v>
      </c>
      <c r="K1088" t="n">
        <v>171.4</v>
      </c>
    </row>
    <row r="1089">
      <c r="A1089" s="98" t="n">
        <v>40026</v>
      </c>
      <c r="B1089" t="n">
        <v>86.6617</v>
      </c>
      <c r="C1089" t="n">
        <v>82.6046</v>
      </c>
      <c r="D1089" t="n">
        <v>79.6897</v>
      </c>
      <c r="E1089" t="n">
        <v>97.0556</v>
      </c>
      <c r="F1089" t="n">
        <v>86.84869999999999</v>
      </c>
      <c r="G1089" t="n">
        <v>80.72020000000001</v>
      </c>
      <c r="H1089" t="n">
        <v>79.0502</v>
      </c>
      <c r="I1089" t="n">
        <v>95.72880000000001</v>
      </c>
      <c r="J1089" t="n">
        <v>68.1236</v>
      </c>
      <c r="K1089" t="n">
        <v>171.8</v>
      </c>
    </row>
    <row r="1090">
      <c r="A1090" s="98" t="n">
        <v>40057</v>
      </c>
      <c r="B1090" t="n">
        <v>87.4033</v>
      </c>
      <c r="C1090" t="n">
        <v>82.34180000000001</v>
      </c>
      <c r="D1090" t="n">
        <v>80.17740000000001</v>
      </c>
      <c r="E1090" t="n">
        <v>97.8967</v>
      </c>
      <c r="F1090" t="n">
        <v>87.75239999999999</v>
      </c>
      <c r="G1090" t="n">
        <v>81.59990000000001</v>
      </c>
      <c r="H1090" t="n">
        <v>78.7885</v>
      </c>
      <c r="I1090" t="n">
        <v>96.8094</v>
      </c>
      <c r="J1090" t="n">
        <v>68.75960000000001</v>
      </c>
      <c r="K1090" t="n">
        <v>171.6</v>
      </c>
    </row>
    <row r="1091">
      <c r="A1091" s="98" t="n">
        <v>40087</v>
      </c>
      <c r="B1091" t="n">
        <v>87.6035</v>
      </c>
      <c r="C1091" t="n">
        <v>80.95650000000001</v>
      </c>
      <c r="D1091" t="n">
        <v>80.5408</v>
      </c>
      <c r="E1091" t="n">
        <v>98.1296</v>
      </c>
      <c r="F1091" t="n">
        <v>87.7749</v>
      </c>
      <c r="G1091" t="n">
        <v>81.8168</v>
      </c>
      <c r="H1091" t="n">
        <v>78.4357</v>
      </c>
      <c r="I1091" t="n">
        <v>98.9722</v>
      </c>
      <c r="J1091" t="n">
        <v>68.9939</v>
      </c>
      <c r="K1091" t="n">
        <v>171.5</v>
      </c>
    </row>
    <row r="1092">
      <c r="A1092" s="98" t="n">
        <v>40118</v>
      </c>
      <c r="B1092" t="n">
        <v>87.9559</v>
      </c>
      <c r="C1092" t="n">
        <v>82.57680000000001</v>
      </c>
      <c r="D1092" t="n">
        <v>80.4068</v>
      </c>
      <c r="E1092" t="n">
        <v>97.5318</v>
      </c>
      <c r="F1092" t="n">
        <v>88.6968</v>
      </c>
      <c r="G1092" t="n">
        <v>82.6587</v>
      </c>
      <c r="H1092" t="n">
        <v>78.2608</v>
      </c>
      <c r="I1092" t="n">
        <v>95.9992</v>
      </c>
      <c r="J1092" t="n">
        <v>69.3689</v>
      </c>
      <c r="K1092" t="n">
        <v>172.1</v>
      </c>
    </row>
    <row r="1093">
      <c r="A1093" s="98" t="n">
        <v>40148</v>
      </c>
      <c r="B1093" t="n">
        <v>88.24679999999999</v>
      </c>
      <c r="C1093" t="n">
        <v>80.7354</v>
      </c>
      <c r="D1093" t="n">
        <v>81.8027</v>
      </c>
      <c r="E1093" t="n">
        <v>97.4128</v>
      </c>
      <c r="F1093" t="n">
        <v>88.5461</v>
      </c>
      <c r="G1093" t="n">
        <v>82.95610000000001</v>
      </c>
      <c r="H1093" t="n">
        <v>77.5706</v>
      </c>
      <c r="I1093" t="n">
        <v>101.1904</v>
      </c>
      <c r="J1093" t="n">
        <v>69.7136</v>
      </c>
      <c r="K1093" t="n">
        <v>172.1</v>
      </c>
    </row>
    <row r="1094">
      <c r="A1094" s="98" t="n">
        <v>40179</v>
      </c>
      <c r="B1094" t="n">
        <v>89.19110000000001</v>
      </c>
      <c r="C1094" t="n">
        <v>82.2197</v>
      </c>
      <c r="D1094" t="n">
        <v>82.9588</v>
      </c>
      <c r="E1094" t="n">
        <v>98.0607</v>
      </c>
      <c r="F1094" t="n">
        <v>89.55410000000001</v>
      </c>
      <c r="G1094" t="n">
        <v>83.97110000000001</v>
      </c>
      <c r="H1094" t="n">
        <v>79.0851</v>
      </c>
      <c r="I1094" t="n">
        <v>101.6906</v>
      </c>
      <c r="J1094" t="n">
        <v>70.59180000000001</v>
      </c>
      <c r="K1094" t="n">
        <v>172.5</v>
      </c>
    </row>
    <row r="1095">
      <c r="A1095" s="98" t="n">
        <v>40210</v>
      </c>
      <c r="B1095" t="n">
        <v>89.49720000000001</v>
      </c>
      <c r="C1095" t="n">
        <v>82.29430000000001</v>
      </c>
      <c r="D1095" t="n">
        <v>82.5532</v>
      </c>
      <c r="E1095" t="n">
        <v>97.2413</v>
      </c>
      <c r="F1095" t="n">
        <v>89.5639</v>
      </c>
      <c r="G1095" t="n">
        <v>85.05</v>
      </c>
      <c r="H1095" t="n">
        <v>80.4939</v>
      </c>
      <c r="I1095" t="n">
        <v>103.1989</v>
      </c>
      <c r="J1095" t="n">
        <v>70.97539999999999</v>
      </c>
      <c r="K1095" t="n">
        <v>172.6</v>
      </c>
    </row>
    <row r="1096">
      <c r="A1096" s="98" t="n">
        <v>40238</v>
      </c>
      <c r="B1096" t="n">
        <v>90.14190000000001</v>
      </c>
      <c r="C1096" t="n">
        <v>83.82640000000001</v>
      </c>
      <c r="D1096" t="n">
        <v>84.1255</v>
      </c>
      <c r="E1096" t="n">
        <v>97.5895</v>
      </c>
      <c r="F1096" t="n">
        <v>90.7848</v>
      </c>
      <c r="G1096" t="n">
        <v>85.54640000000001</v>
      </c>
      <c r="H1096" t="n">
        <v>81.2843</v>
      </c>
      <c r="I1096" t="n">
        <v>99.7079</v>
      </c>
      <c r="J1096" t="n">
        <v>71.6373</v>
      </c>
      <c r="K1096" t="n">
        <v>172.9</v>
      </c>
    </row>
    <row r="1097">
      <c r="A1097" s="98" t="n">
        <v>40269</v>
      </c>
      <c r="B1097" t="n">
        <v>90.45910000000001</v>
      </c>
      <c r="C1097" t="n">
        <v>86.3198</v>
      </c>
      <c r="D1097" t="n">
        <v>85.10080000000001</v>
      </c>
      <c r="E1097" t="n">
        <v>96.78270000000001</v>
      </c>
      <c r="F1097" t="n">
        <v>91.6014</v>
      </c>
      <c r="G1097" t="n">
        <v>85.988</v>
      </c>
      <c r="H1097" t="n">
        <v>81.6802</v>
      </c>
      <c r="I1097" t="n">
        <v>96.6383</v>
      </c>
      <c r="J1097" t="n">
        <v>72.04730000000001</v>
      </c>
      <c r="K1097" t="n">
        <v>172.9</v>
      </c>
    </row>
    <row r="1098">
      <c r="A1098" s="98" t="n">
        <v>40299</v>
      </c>
      <c r="B1098" t="n">
        <v>91.702</v>
      </c>
      <c r="C1098" t="n">
        <v>86.56480000000001</v>
      </c>
      <c r="D1098" t="n">
        <v>86.64530000000001</v>
      </c>
      <c r="E1098" t="n">
        <v>98.6071</v>
      </c>
      <c r="F1098" t="n">
        <v>92.8207</v>
      </c>
      <c r="G1098" t="n">
        <v>87.14579999999999</v>
      </c>
      <c r="H1098" t="n">
        <v>81.6146</v>
      </c>
      <c r="I1098" t="n">
        <v>100.6944</v>
      </c>
      <c r="J1098" t="n">
        <v>73.1966</v>
      </c>
      <c r="K1098" t="n">
        <v>173.4</v>
      </c>
    </row>
    <row r="1099">
      <c r="A1099" s="98" t="n">
        <v>40330</v>
      </c>
      <c r="B1099" t="n">
        <v>91.8997</v>
      </c>
      <c r="C1099" t="n">
        <v>86.4893</v>
      </c>
      <c r="D1099" t="n">
        <v>87.1097</v>
      </c>
      <c r="E1099" t="n">
        <v>98.37609999999999</v>
      </c>
      <c r="F1099" t="n">
        <v>92.80110000000001</v>
      </c>
      <c r="G1099" t="n">
        <v>87.6461</v>
      </c>
      <c r="H1099" t="n">
        <v>81.748</v>
      </c>
      <c r="I1099" t="n">
        <v>102.6969</v>
      </c>
      <c r="J1099" t="n">
        <v>73.5082</v>
      </c>
      <c r="K1099" t="n">
        <v>173.6</v>
      </c>
    </row>
    <row r="1100">
      <c r="A1100" s="98" t="n">
        <v>40360</v>
      </c>
      <c r="B1100" t="n">
        <v>92.2522</v>
      </c>
      <c r="C1100" t="n">
        <v>86.0517</v>
      </c>
      <c r="D1100" t="n">
        <v>87.89490000000001</v>
      </c>
      <c r="E1100" t="n">
        <v>99.0078</v>
      </c>
      <c r="F1100" t="n">
        <v>93.31870000000001</v>
      </c>
      <c r="G1100" t="n">
        <v>87.8719</v>
      </c>
      <c r="H1100" t="n">
        <v>82.2264</v>
      </c>
      <c r="I1100" t="n">
        <v>101.814</v>
      </c>
      <c r="J1100" t="n">
        <v>73.9324</v>
      </c>
      <c r="K1100" t="n">
        <v>173.7</v>
      </c>
    </row>
    <row r="1101">
      <c r="A1101" s="98" t="n">
        <v>40391</v>
      </c>
      <c r="B1101" t="n">
        <v>92.5899</v>
      </c>
      <c r="C1101" t="n">
        <v>86.5791</v>
      </c>
      <c r="D1101" t="n">
        <v>87.976</v>
      </c>
      <c r="E1101" t="n">
        <v>98.7838</v>
      </c>
      <c r="F1101" t="n">
        <v>93.5052</v>
      </c>
      <c r="G1101" t="n">
        <v>88.6046</v>
      </c>
      <c r="H1101" t="n">
        <v>83.49590000000001</v>
      </c>
      <c r="I1101" t="n">
        <v>102.0969</v>
      </c>
      <c r="J1101" t="n">
        <v>74.331</v>
      </c>
      <c r="K1101" t="n">
        <v>173.9</v>
      </c>
    </row>
    <row r="1102">
      <c r="A1102" s="98" t="n">
        <v>40422</v>
      </c>
      <c r="B1102" t="n">
        <v>92.85639999999999</v>
      </c>
      <c r="C1102" t="n">
        <v>86.6752</v>
      </c>
      <c r="D1102" t="n">
        <v>88.3593</v>
      </c>
      <c r="E1102" t="n">
        <v>98.437</v>
      </c>
      <c r="F1102" t="n">
        <v>93.6096</v>
      </c>
      <c r="G1102" t="n">
        <v>89.28959999999999</v>
      </c>
      <c r="H1102" t="n">
        <v>84.6807</v>
      </c>
      <c r="I1102" t="n">
        <v>102.1356</v>
      </c>
      <c r="J1102" t="n">
        <v>74.65470000000001</v>
      </c>
      <c r="K1102" t="n">
        <v>174.3</v>
      </c>
    </row>
    <row r="1103">
      <c r="A1103" s="98" t="n">
        <v>40452</v>
      </c>
      <c r="B1103" t="n">
        <v>92.6037</v>
      </c>
      <c r="C1103" t="n">
        <v>86.7897</v>
      </c>
      <c r="D1103" t="n">
        <v>88.6384</v>
      </c>
      <c r="E1103" t="n">
        <v>98.44240000000001</v>
      </c>
      <c r="F1103" t="n">
        <v>93.6585</v>
      </c>
      <c r="G1103" t="n">
        <v>88.8972</v>
      </c>
      <c r="H1103" t="n">
        <v>84.80370000000001</v>
      </c>
      <c r="I1103" t="n">
        <v>98.76439999999999</v>
      </c>
      <c r="J1103" t="n">
        <v>74.5429</v>
      </c>
      <c r="K1103" t="n">
        <v>174.3</v>
      </c>
    </row>
    <row r="1104">
      <c r="A1104" s="98" t="n">
        <v>40483</v>
      </c>
      <c r="B1104" t="n">
        <v>92.6773</v>
      </c>
      <c r="C1104" t="n">
        <v>87.48909999999999</v>
      </c>
      <c r="D1104" t="n">
        <v>88.64319999999999</v>
      </c>
      <c r="E1104" t="n">
        <v>97.92919999999999</v>
      </c>
      <c r="F1104" t="n">
        <v>93.78570000000001</v>
      </c>
      <c r="G1104" t="n">
        <v>89.0501</v>
      </c>
      <c r="H1104" t="n">
        <v>84.1202</v>
      </c>
      <c r="I1104" t="n">
        <v>99.9667</v>
      </c>
      <c r="J1104" t="n">
        <v>74.6746</v>
      </c>
      <c r="K1104" t="n">
        <v>174.3</v>
      </c>
    </row>
    <row r="1105">
      <c r="A1105" s="98" t="n">
        <v>40513</v>
      </c>
      <c r="B1105" t="n">
        <v>93.5851</v>
      </c>
      <c r="C1105" t="n">
        <v>86.3523</v>
      </c>
      <c r="D1105" t="n">
        <v>89.38630000000001</v>
      </c>
      <c r="E1105" t="n">
        <v>99.0334</v>
      </c>
      <c r="F1105" t="n">
        <v>94.27460000000001</v>
      </c>
      <c r="G1105" t="n">
        <v>90.2062</v>
      </c>
      <c r="H1105" t="n">
        <v>84.57299999999999</v>
      </c>
      <c r="I1105" t="n">
        <v>105.2646</v>
      </c>
      <c r="J1105" t="n">
        <v>75.4597</v>
      </c>
      <c r="K1105" t="n">
        <v>174.6</v>
      </c>
    </row>
    <row r="1106">
      <c r="A1106" s="98" t="n">
        <v>40544</v>
      </c>
      <c r="B1106" t="n">
        <v>93.3944</v>
      </c>
      <c r="C1106" t="n">
        <v>85.94289999999999</v>
      </c>
      <c r="D1106" t="n">
        <v>90.0675</v>
      </c>
      <c r="E1106" t="n">
        <v>99.0767</v>
      </c>
      <c r="F1106" t="n">
        <v>94.3843</v>
      </c>
      <c r="G1106" t="n">
        <v>89.78870000000001</v>
      </c>
      <c r="H1106" t="n">
        <v>84.4324</v>
      </c>
      <c r="I1106" t="n">
        <v>103.0834</v>
      </c>
      <c r="J1106" t="n">
        <v>75.34</v>
      </c>
      <c r="K1106" t="n">
        <v>175.3</v>
      </c>
    </row>
    <row r="1107">
      <c r="A1107" s="98" t="n">
        <v>40575</v>
      </c>
      <c r="B1107" t="n">
        <v>92.99299999999999</v>
      </c>
      <c r="C1107" t="n">
        <v>85.47799999999999</v>
      </c>
      <c r="D1107" t="n">
        <v>90.2041</v>
      </c>
      <c r="E1107" t="n">
        <v>98.8653</v>
      </c>
      <c r="F1107" t="n">
        <v>94.5427</v>
      </c>
      <c r="G1107" t="n">
        <v>89.1284</v>
      </c>
      <c r="H1107" t="n">
        <v>82.7265</v>
      </c>
      <c r="I1107" t="n">
        <v>101.271</v>
      </c>
      <c r="J1107" t="n">
        <v>75.0288</v>
      </c>
      <c r="K1107" t="n">
        <v>175.7</v>
      </c>
    </row>
    <row r="1108">
      <c r="A1108" s="98" t="n">
        <v>40603</v>
      </c>
      <c r="B1108" t="n">
        <v>93.982</v>
      </c>
      <c r="C1108" t="n">
        <v>86.31910000000001</v>
      </c>
      <c r="D1108" t="n">
        <v>89.9443</v>
      </c>
      <c r="E1108" t="n">
        <v>99.1225</v>
      </c>
      <c r="F1108" t="n">
        <v>95.20780000000001</v>
      </c>
      <c r="G1108" t="n">
        <v>90.9088</v>
      </c>
      <c r="H1108" t="n">
        <v>85.7651</v>
      </c>
      <c r="I1108" t="n">
        <v>100.9893</v>
      </c>
      <c r="J1108" t="n">
        <v>75.819</v>
      </c>
      <c r="K1108" t="n">
        <v>176.2</v>
      </c>
    </row>
    <row r="1109">
      <c r="A1109" s="98" t="n">
        <v>40634</v>
      </c>
      <c r="B1109" t="n">
        <v>93.6525</v>
      </c>
      <c r="C1109" t="n">
        <v>86.35429999999999</v>
      </c>
      <c r="D1109" t="n">
        <v>89.345</v>
      </c>
      <c r="E1109" t="n">
        <v>98.9447</v>
      </c>
      <c r="F1109" t="n">
        <v>94.64</v>
      </c>
      <c r="G1109" t="n">
        <v>90.4353</v>
      </c>
      <c r="H1109" t="n">
        <v>86.291</v>
      </c>
      <c r="I1109" t="n">
        <v>100.5724</v>
      </c>
      <c r="J1109" t="n">
        <v>75.52549999999999</v>
      </c>
      <c r="K1109" t="n">
        <v>176.8</v>
      </c>
    </row>
    <row r="1110">
      <c r="A1110" s="98" t="n">
        <v>40664</v>
      </c>
      <c r="B1110" t="n">
        <v>93.7775</v>
      </c>
      <c r="C1110" t="n">
        <v>87.3643</v>
      </c>
      <c r="D1110" t="n">
        <v>90.08320000000001</v>
      </c>
      <c r="E1110" t="n">
        <v>99.0975</v>
      </c>
      <c r="F1110" t="n">
        <v>94.6447</v>
      </c>
      <c r="G1110" t="n">
        <v>90.35980000000001</v>
      </c>
      <c r="H1110" t="n">
        <v>87.2075</v>
      </c>
      <c r="I1110" t="n">
        <v>100.0402</v>
      </c>
      <c r="J1110" t="n">
        <v>75.5784</v>
      </c>
      <c r="K1110" t="n">
        <v>177</v>
      </c>
    </row>
    <row r="1111">
      <c r="A1111" s="98" t="n">
        <v>40695</v>
      </c>
      <c r="B1111" t="n">
        <v>94.0467</v>
      </c>
      <c r="C1111" t="n">
        <v>87.73439999999999</v>
      </c>
      <c r="D1111" t="n">
        <v>90.1846</v>
      </c>
      <c r="E1111" t="n">
        <v>99.04049999999999</v>
      </c>
      <c r="F1111" t="n">
        <v>94.764</v>
      </c>
      <c r="G1111" t="n">
        <v>90.9194</v>
      </c>
      <c r="H1111" t="n">
        <v>87.66719999999999</v>
      </c>
      <c r="I1111" t="n">
        <v>101.1829</v>
      </c>
      <c r="J1111" t="n">
        <v>75.7276</v>
      </c>
      <c r="K1111" t="n">
        <v>177.6</v>
      </c>
    </row>
    <row r="1112">
      <c r="A1112" s="98" t="n">
        <v>40725</v>
      </c>
      <c r="B1112" t="n">
        <v>94.4931</v>
      </c>
      <c r="C1112" t="n">
        <v>88.52549999999999</v>
      </c>
      <c r="D1112" t="n">
        <v>91.3695</v>
      </c>
      <c r="E1112" t="n">
        <v>99.67659999999999</v>
      </c>
      <c r="F1112" t="n">
        <v>95.2936</v>
      </c>
      <c r="G1112" t="n">
        <v>91.0941</v>
      </c>
      <c r="H1112" t="n">
        <v>87.1635</v>
      </c>
      <c r="I1112" t="n">
        <v>102.9</v>
      </c>
      <c r="J1112" t="n">
        <v>76.0009</v>
      </c>
      <c r="K1112" t="n">
        <v>178.2</v>
      </c>
    </row>
    <row r="1113">
      <c r="A1113" s="98" t="n">
        <v>40756</v>
      </c>
      <c r="B1113" t="n">
        <v>95.09690000000001</v>
      </c>
      <c r="C1113" t="n">
        <v>88.3116</v>
      </c>
      <c r="D1113" t="n">
        <v>92.47320000000001</v>
      </c>
      <c r="E1113" t="n">
        <v>100.2644</v>
      </c>
      <c r="F1113" t="n">
        <v>95.7373</v>
      </c>
      <c r="G1113" t="n">
        <v>91.6845</v>
      </c>
      <c r="H1113" t="n">
        <v>88.768</v>
      </c>
      <c r="I1113" t="n">
        <v>102.792</v>
      </c>
      <c r="J1113" t="n">
        <v>76.38420000000001</v>
      </c>
      <c r="K1113" t="n">
        <v>178.5</v>
      </c>
    </row>
    <row r="1114">
      <c r="A1114" s="98" t="n">
        <v>40787</v>
      </c>
      <c r="B1114" t="n">
        <v>95.02809999999999</v>
      </c>
      <c r="C1114" t="n">
        <v>88.4768</v>
      </c>
      <c r="D1114" t="n">
        <v>92.9619</v>
      </c>
      <c r="E1114" t="n">
        <v>99.6711</v>
      </c>
      <c r="F1114" t="n">
        <v>95.9999</v>
      </c>
      <c r="G1114" t="n">
        <v>91.6327</v>
      </c>
      <c r="H1114" t="n">
        <v>88.3485</v>
      </c>
      <c r="I1114" t="n">
        <v>100.9912</v>
      </c>
      <c r="J1114" t="n">
        <v>76.21469999999999</v>
      </c>
      <c r="K1114" t="n">
        <v>179</v>
      </c>
    </row>
    <row r="1115">
      <c r="A1115" s="98" t="n">
        <v>40817</v>
      </c>
      <c r="B1115" t="n">
        <v>95.69240000000001</v>
      </c>
      <c r="C1115" t="n">
        <v>88.752</v>
      </c>
      <c r="D1115" t="n">
        <v>94.1885</v>
      </c>
      <c r="E1115" t="n">
        <v>99.9406</v>
      </c>
      <c r="F1115" t="n">
        <v>96.5314</v>
      </c>
      <c r="G1115" t="n">
        <v>92.57089999999999</v>
      </c>
      <c r="H1115" t="n">
        <v>90.5077</v>
      </c>
      <c r="I1115" t="n">
        <v>99.6897</v>
      </c>
      <c r="J1115" t="n">
        <v>76.6224</v>
      </c>
      <c r="K1115" t="n">
        <v>179.4</v>
      </c>
    </row>
    <row r="1116">
      <c r="A1116" s="98" t="n">
        <v>40848</v>
      </c>
      <c r="B1116" t="n">
        <v>95.6913</v>
      </c>
      <c r="C1116" t="n">
        <v>88.8484</v>
      </c>
      <c r="D1116" t="n">
        <v>95.0492</v>
      </c>
      <c r="E1116" t="n">
        <v>98.99460000000001</v>
      </c>
      <c r="F1116" t="n">
        <v>96.3462</v>
      </c>
      <c r="G1116" t="n">
        <v>92.9803</v>
      </c>
      <c r="H1116" t="n">
        <v>91.5517</v>
      </c>
      <c r="I1116" t="n">
        <v>98.9341</v>
      </c>
      <c r="J1116" t="n">
        <v>76.4885</v>
      </c>
      <c r="K1116" t="n">
        <v>179.6</v>
      </c>
    </row>
    <row r="1117">
      <c r="A1117" s="98" t="n">
        <v>40878</v>
      </c>
      <c r="B1117" t="n">
        <v>96.1938</v>
      </c>
      <c r="C1117" t="n">
        <v>89.5359</v>
      </c>
      <c r="D1117" t="n">
        <v>96.59690000000001</v>
      </c>
      <c r="E1117" t="n">
        <v>98.9045</v>
      </c>
      <c r="F1117" t="n">
        <v>96.98699999999999</v>
      </c>
      <c r="G1117" t="n">
        <v>93.59099999999999</v>
      </c>
      <c r="H1117" t="n">
        <v>92.3891</v>
      </c>
      <c r="I1117" t="n">
        <v>97.68380000000001</v>
      </c>
      <c r="J1117" t="n">
        <v>76.7512</v>
      </c>
      <c r="K1117" t="n">
        <v>180</v>
      </c>
    </row>
    <row r="1118">
      <c r="A1118" s="98" t="n">
        <v>40909</v>
      </c>
      <c r="B1118" t="n">
        <v>96.779</v>
      </c>
      <c r="C1118" t="n">
        <v>90.7102</v>
      </c>
      <c r="D1118" t="n">
        <v>98.092</v>
      </c>
      <c r="E1118" t="n">
        <v>98.80119999999999</v>
      </c>
      <c r="F1118" t="n">
        <v>97.8931</v>
      </c>
      <c r="G1118" t="n">
        <v>94.3134</v>
      </c>
      <c r="H1118" t="n">
        <v>93.6135</v>
      </c>
      <c r="I1118" t="n">
        <v>95.02800000000001</v>
      </c>
      <c r="J1118" t="n">
        <v>77.07429999999999</v>
      </c>
      <c r="K1118" t="n">
        <v>180.7</v>
      </c>
    </row>
    <row r="1119">
      <c r="A1119" s="98" t="n">
        <v>40940</v>
      </c>
      <c r="B1119" t="n">
        <v>97.0959</v>
      </c>
      <c r="C1119" t="n">
        <v>91.5728</v>
      </c>
      <c r="D1119" t="n">
        <v>98.81270000000001</v>
      </c>
      <c r="E1119" t="n">
        <v>98.7041</v>
      </c>
      <c r="F1119" t="n">
        <v>98.3347</v>
      </c>
      <c r="G1119" t="n">
        <v>94.6772</v>
      </c>
      <c r="H1119" t="n">
        <v>93.3322</v>
      </c>
      <c r="I1119" t="n">
        <v>95.7124</v>
      </c>
      <c r="J1119" t="n">
        <v>77.1823</v>
      </c>
      <c r="K1119" t="n">
        <v>181</v>
      </c>
    </row>
    <row r="1120">
      <c r="A1120" s="98" t="n">
        <v>40969</v>
      </c>
      <c r="B1120" t="n">
        <v>96.5919</v>
      </c>
      <c r="C1120" t="n">
        <v>91.2743</v>
      </c>
      <c r="D1120" t="n">
        <v>99.67489999999999</v>
      </c>
      <c r="E1120" t="n">
        <v>97.13630000000001</v>
      </c>
      <c r="F1120" t="n">
        <v>97.81010000000001</v>
      </c>
      <c r="G1120" t="n">
        <v>94.4264</v>
      </c>
      <c r="H1120" t="n">
        <v>93.35639999999999</v>
      </c>
      <c r="I1120" t="n">
        <v>94.3753</v>
      </c>
      <c r="J1120" t="n">
        <v>76.6382</v>
      </c>
      <c r="K1120" t="n">
        <v>181.3</v>
      </c>
    </row>
    <row r="1121">
      <c r="A1121" s="98" t="n">
        <v>41000</v>
      </c>
      <c r="B1121" t="n">
        <v>97.2942</v>
      </c>
      <c r="C1121" t="n">
        <v>92.5865</v>
      </c>
      <c r="D1121" t="n">
        <v>100.6343</v>
      </c>
      <c r="E1121" t="n">
        <v>97.90000000000001</v>
      </c>
      <c r="F1121" t="n">
        <v>98.3497</v>
      </c>
      <c r="G1121" t="n">
        <v>95.07299999999999</v>
      </c>
      <c r="H1121" t="n">
        <v>93.5745</v>
      </c>
      <c r="I1121" t="n">
        <v>97.74760000000001</v>
      </c>
      <c r="J1121" t="n">
        <v>77.0523</v>
      </c>
      <c r="K1121" t="n">
        <v>181.6</v>
      </c>
    </row>
    <row r="1122">
      <c r="A1122" s="98" t="n">
        <v>41030</v>
      </c>
      <c r="B1122" t="n">
        <v>97.4853</v>
      </c>
      <c r="C1122" t="n">
        <v>91.5646</v>
      </c>
      <c r="D1122" t="n">
        <v>101.3389</v>
      </c>
      <c r="E1122" t="n">
        <v>98.4148</v>
      </c>
      <c r="F1122" t="n">
        <v>98.0487</v>
      </c>
      <c r="G1122" t="n">
        <v>95.15219999999999</v>
      </c>
      <c r="H1122" t="n">
        <v>93.8724</v>
      </c>
      <c r="I1122" t="n">
        <v>101.9704</v>
      </c>
      <c r="J1122" t="n">
        <v>77.06319999999999</v>
      </c>
      <c r="K1122" t="n">
        <v>181.8</v>
      </c>
    </row>
    <row r="1123">
      <c r="A1123" s="98" t="n">
        <v>41061</v>
      </c>
      <c r="B1123" t="n">
        <v>97.49590000000001</v>
      </c>
      <c r="C1123" t="n">
        <v>90.9881</v>
      </c>
      <c r="D1123" t="n">
        <v>102.7006</v>
      </c>
      <c r="E1123" t="n">
        <v>98.1634</v>
      </c>
      <c r="F1123" t="n">
        <v>98.404</v>
      </c>
      <c r="G1123" t="n">
        <v>95.0774</v>
      </c>
      <c r="H1123" t="n">
        <v>93.958</v>
      </c>
      <c r="I1123" t="n">
        <v>99.7745</v>
      </c>
      <c r="J1123" t="n">
        <v>76.93510000000001</v>
      </c>
      <c r="K1123" t="n">
        <v>182.1</v>
      </c>
    </row>
    <row r="1124">
      <c r="A1124" s="98" t="n">
        <v>41091</v>
      </c>
      <c r="B1124" t="n">
        <v>97.6922</v>
      </c>
      <c r="C1124" t="n">
        <v>90.48439999999999</v>
      </c>
      <c r="D1124" t="n">
        <v>101.4906</v>
      </c>
      <c r="E1124" t="n">
        <v>98.18519999999999</v>
      </c>
      <c r="F1124" t="n">
        <v>98.2197</v>
      </c>
      <c r="G1124" t="n">
        <v>95.6848</v>
      </c>
      <c r="H1124" t="n">
        <v>95.0175</v>
      </c>
      <c r="I1124" t="n">
        <v>101.565</v>
      </c>
      <c r="J1124" t="n">
        <v>76.9584</v>
      </c>
      <c r="K1124" t="n">
        <v>182.9</v>
      </c>
    </row>
    <row r="1125">
      <c r="A1125" s="98" t="n">
        <v>41122</v>
      </c>
      <c r="B1125" t="n">
        <v>97.3061</v>
      </c>
      <c r="C1125" t="n">
        <v>90.9863</v>
      </c>
      <c r="D1125" t="n">
        <v>102.2566</v>
      </c>
      <c r="E1125" t="n">
        <v>97.70699999999999</v>
      </c>
      <c r="F1125" t="n">
        <v>98.1211</v>
      </c>
      <c r="G1125" t="n">
        <v>95.0334</v>
      </c>
      <c r="H1125" t="n">
        <v>93.91200000000001</v>
      </c>
      <c r="I1125" t="n">
        <v>100.4154</v>
      </c>
      <c r="J1125" t="n">
        <v>76.5269</v>
      </c>
      <c r="K1125" t="n">
        <v>183.2</v>
      </c>
    </row>
    <row r="1126">
      <c r="A1126" s="98" t="n">
        <v>41153</v>
      </c>
      <c r="B1126" t="n">
        <v>97.2383</v>
      </c>
      <c r="C1126" t="n">
        <v>90.7852</v>
      </c>
      <c r="D1126" t="n">
        <v>101.958</v>
      </c>
      <c r="E1126" t="n">
        <v>97.4384</v>
      </c>
      <c r="F1126" t="n">
        <v>97.9241</v>
      </c>
      <c r="G1126" t="n">
        <v>95.21729999999999</v>
      </c>
      <c r="H1126" t="n">
        <v>95.2783</v>
      </c>
      <c r="I1126" t="n">
        <v>98.70189999999999</v>
      </c>
      <c r="J1126" t="n">
        <v>76.3502</v>
      </c>
      <c r="K1126" t="n">
        <v>183.2</v>
      </c>
    </row>
    <row r="1127">
      <c r="A1127" s="98" t="n">
        <v>41183</v>
      </c>
      <c r="B1127" t="n">
        <v>97.5425</v>
      </c>
      <c r="C1127" t="n">
        <v>90.56019999999999</v>
      </c>
      <c r="D1127" t="n">
        <v>100.9687</v>
      </c>
      <c r="E1127" t="n">
        <v>97.4425</v>
      </c>
      <c r="F1127" t="n">
        <v>97.74590000000001</v>
      </c>
      <c r="G1127" t="n">
        <v>96.06699999999999</v>
      </c>
      <c r="H1127" t="n">
        <v>96.8197</v>
      </c>
      <c r="I1127" t="n">
        <v>100.5166</v>
      </c>
      <c r="J1127" t="n">
        <v>76.4688</v>
      </c>
      <c r="K1127" t="n">
        <v>183.3</v>
      </c>
    </row>
    <row r="1128">
      <c r="A1128" s="98" t="n">
        <v>41214</v>
      </c>
      <c r="B1128" t="n">
        <v>97.934</v>
      </c>
      <c r="C1128" t="n">
        <v>91.8274</v>
      </c>
      <c r="D1128" t="n">
        <v>102.1218</v>
      </c>
      <c r="E1128" t="n">
        <v>97.8884</v>
      </c>
      <c r="F1128" t="n">
        <v>98.3578</v>
      </c>
      <c r="G1128" t="n">
        <v>96.2355</v>
      </c>
      <c r="H1128" t="n">
        <v>97.0536</v>
      </c>
      <c r="I1128" t="n">
        <v>99.50409999999999</v>
      </c>
      <c r="J1128" t="n">
        <v>76.6589</v>
      </c>
      <c r="K1128" t="n">
        <v>183.7</v>
      </c>
    </row>
    <row r="1129">
      <c r="A1129" s="98" t="n">
        <v>41244</v>
      </c>
      <c r="B1129" t="n">
        <v>98.19840000000001</v>
      </c>
      <c r="C1129" t="n">
        <v>92.276</v>
      </c>
      <c r="D1129" t="n">
        <v>102.9242</v>
      </c>
      <c r="E1129" t="n">
        <v>97.85129999999999</v>
      </c>
      <c r="F1129" t="n">
        <v>99.0949</v>
      </c>
      <c r="G1129" t="n">
        <v>96.60039999999999</v>
      </c>
      <c r="H1129" t="n">
        <v>97.149</v>
      </c>
      <c r="I1129" t="n">
        <v>96.7106</v>
      </c>
      <c r="J1129" t="n">
        <v>76.7539</v>
      </c>
      <c r="K1129" t="n">
        <v>183.7</v>
      </c>
    </row>
    <row r="1130">
      <c r="A1130" s="98" t="n">
        <v>41275</v>
      </c>
      <c r="B1130" t="n">
        <v>98.2029</v>
      </c>
      <c r="C1130" t="n">
        <v>92.76600000000001</v>
      </c>
      <c r="D1130" t="n">
        <v>101.0168</v>
      </c>
      <c r="E1130" t="n">
        <v>97.8164</v>
      </c>
      <c r="F1130" t="n">
        <v>98.8732</v>
      </c>
      <c r="G1130" t="n">
        <v>96.9316</v>
      </c>
      <c r="H1130" t="n">
        <v>97.3879</v>
      </c>
      <c r="I1130" t="n">
        <v>98.0843</v>
      </c>
      <c r="J1130" t="n">
        <v>76.6511</v>
      </c>
      <c r="K1130" t="n">
        <v>183.9</v>
      </c>
    </row>
    <row r="1131">
      <c r="A1131" s="98" t="n">
        <v>41306</v>
      </c>
      <c r="B1131" t="n">
        <v>98.6733</v>
      </c>
      <c r="C1131" t="n">
        <v>94.11320000000001</v>
      </c>
      <c r="D1131" t="n">
        <v>101.8743</v>
      </c>
      <c r="E1131" t="n">
        <v>98.29810000000001</v>
      </c>
      <c r="F1131" t="n">
        <v>99.3304</v>
      </c>
      <c r="G1131" t="n">
        <v>97.3368</v>
      </c>
      <c r="H1131" t="n">
        <v>98.07729999999999</v>
      </c>
      <c r="I1131" t="n">
        <v>98.67619999999999</v>
      </c>
      <c r="J1131" t="n">
        <v>76.9174</v>
      </c>
      <c r="K1131" t="n">
        <v>184.2</v>
      </c>
    </row>
    <row r="1132">
      <c r="A1132" s="98" t="n">
        <v>41334</v>
      </c>
      <c r="B1132" t="n">
        <v>99.0788</v>
      </c>
      <c r="C1132" t="n">
        <v>93.7754</v>
      </c>
      <c r="D1132" t="n">
        <v>102.2848</v>
      </c>
      <c r="E1132" t="n">
        <v>98.84820000000001</v>
      </c>
      <c r="F1132" t="n">
        <v>99.274</v>
      </c>
      <c r="G1132" t="n">
        <v>97.79300000000001</v>
      </c>
      <c r="H1132" t="n">
        <v>98.5966</v>
      </c>
      <c r="I1132" t="n">
        <v>102.7081</v>
      </c>
      <c r="J1132" t="n">
        <v>77.13890000000001</v>
      </c>
      <c r="K1132" t="n">
        <v>184.4</v>
      </c>
    </row>
    <row r="1133">
      <c r="A1133" s="98" t="n">
        <v>41365</v>
      </c>
      <c r="B1133" t="n">
        <v>98.9658</v>
      </c>
      <c r="C1133" t="n">
        <v>93.3065</v>
      </c>
      <c r="D1133" t="n">
        <v>101.6684</v>
      </c>
      <c r="E1133" t="n">
        <v>98.54349999999999</v>
      </c>
      <c r="F1133" t="n">
        <v>98.92659999999999</v>
      </c>
      <c r="G1133" t="n">
        <v>97.84869999999999</v>
      </c>
      <c r="H1133" t="n">
        <v>99.4104</v>
      </c>
      <c r="I1133" t="n">
        <v>102.3515</v>
      </c>
      <c r="J1133" t="n">
        <v>76.96429999999999</v>
      </c>
      <c r="K1133" t="n">
        <v>184.6</v>
      </c>
    </row>
    <row r="1134">
      <c r="A1134" s="98" t="n">
        <v>41395</v>
      </c>
      <c r="B1134" t="n">
        <v>99.05670000000001</v>
      </c>
      <c r="C1134" t="n">
        <v>93.24469999999999</v>
      </c>
      <c r="D1134" t="n">
        <v>101.1389</v>
      </c>
      <c r="E1134" t="n">
        <v>98.44540000000001</v>
      </c>
      <c r="F1134" t="n">
        <v>99.22490000000001</v>
      </c>
      <c r="G1134" t="n">
        <v>98.1086</v>
      </c>
      <c r="H1134" t="n">
        <v>99.7274</v>
      </c>
      <c r="I1134" t="n">
        <v>100.1656</v>
      </c>
      <c r="J1134" t="n">
        <v>76.95529999999999</v>
      </c>
      <c r="K1134" t="n">
        <v>184.8</v>
      </c>
    </row>
    <row r="1135">
      <c r="A1135" s="98" t="n">
        <v>41426</v>
      </c>
      <c r="B1135" t="n">
        <v>99.2424</v>
      </c>
      <c r="C1135" t="n">
        <v>93.9854</v>
      </c>
      <c r="D1135" t="n">
        <v>101.0327</v>
      </c>
      <c r="E1135" t="n">
        <v>98.77419999999999</v>
      </c>
      <c r="F1135" t="n">
        <v>99.4585</v>
      </c>
      <c r="G1135" t="n">
        <v>98.18859999999999</v>
      </c>
      <c r="H1135" t="n">
        <v>100.4118</v>
      </c>
      <c r="I1135" t="n">
        <v>99.0737</v>
      </c>
      <c r="J1135" t="n">
        <v>77.0265</v>
      </c>
      <c r="K1135" t="n">
        <v>185</v>
      </c>
    </row>
    <row r="1136">
      <c r="A1136" s="98" t="n">
        <v>41456</v>
      </c>
      <c r="B1136" t="n">
        <v>98.9258</v>
      </c>
      <c r="C1136" t="n">
        <v>93.9234</v>
      </c>
      <c r="D1136" t="n">
        <v>99.22750000000001</v>
      </c>
      <c r="E1136" t="n">
        <v>97.76179999999999</v>
      </c>
      <c r="F1136" t="n">
        <v>98.5933</v>
      </c>
      <c r="G1136" t="n">
        <v>98.4834</v>
      </c>
      <c r="H1136" t="n">
        <v>101.7013</v>
      </c>
      <c r="I1136" t="n">
        <v>98.9795</v>
      </c>
      <c r="J1136" t="n">
        <v>76.7152</v>
      </c>
      <c r="K1136" t="n">
        <v>185.2</v>
      </c>
    </row>
    <row r="1137">
      <c r="A1137" s="98" t="n">
        <v>41487</v>
      </c>
      <c r="B1137" t="n">
        <v>99.5059</v>
      </c>
      <c r="C1137" t="n">
        <v>94.3463</v>
      </c>
      <c r="D1137" t="n">
        <v>100.7646</v>
      </c>
      <c r="E1137" t="n">
        <v>98.2873</v>
      </c>
      <c r="F1137" t="n">
        <v>99.4251</v>
      </c>
      <c r="G1137" t="n">
        <v>98.97880000000001</v>
      </c>
      <c r="H1137" t="n">
        <v>101.6899</v>
      </c>
      <c r="I1137" t="n">
        <v>98.7368</v>
      </c>
      <c r="J1137" t="n">
        <v>77.1048</v>
      </c>
      <c r="K1137" t="n">
        <v>185.3</v>
      </c>
    </row>
    <row r="1138">
      <c r="A1138" s="98" t="n">
        <v>41518</v>
      </c>
      <c r="B1138" t="n">
        <v>100.0391</v>
      </c>
      <c r="C1138" t="n">
        <v>95.41030000000001</v>
      </c>
      <c r="D1138" t="n">
        <v>101.6038</v>
      </c>
      <c r="E1138" t="n">
        <v>98.5964</v>
      </c>
      <c r="F1138" t="n">
        <v>99.48820000000001</v>
      </c>
      <c r="G1138" t="n">
        <v>99.67619999999999</v>
      </c>
      <c r="H1138" t="n">
        <v>103.4661</v>
      </c>
      <c r="I1138" t="n">
        <v>99.9906</v>
      </c>
      <c r="J1138" t="n">
        <v>77.461</v>
      </c>
      <c r="K1138" t="n">
        <v>185.4</v>
      </c>
    </row>
    <row r="1139">
      <c r="A1139" s="98" t="n">
        <v>41548</v>
      </c>
      <c r="B1139" t="n">
        <v>99.9203</v>
      </c>
      <c r="C1139" t="n">
        <v>95.2775</v>
      </c>
      <c r="D1139" t="n">
        <v>101.2242</v>
      </c>
      <c r="E1139" t="n">
        <v>98.9281</v>
      </c>
      <c r="F1139" t="n">
        <v>99.66240000000001</v>
      </c>
      <c r="G1139" t="n">
        <v>99.373</v>
      </c>
      <c r="H1139" t="n">
        <v>101.692</v>
      </c>
      <c r="I1139" t="n">
        <v>101.4843</v>
      </c>
      <c r="J1139" t="n">
        <v>77.31480000000001</v>
      </c>
      <c r="K1139" t="n">
        <v>185.6</v>
      </c>
    </row>
    <row r="1140">
      <c r="A1140" s="98" t="n">
        <v>41579</v>
      </c>
      <c r="B1140" t="n">
        <v>100.1661</v>
      </c>
      <c r="C1140" t="n">
        <v>95.9933</v>
      </c>
      <c r="D1140" t="n">
        <v>100.9468</v>
      </c>
      <c r="E1140" t="n">
        <v>98.9282</v>
      </c>
      <c r="F1140" t="n">
        <v>99.67319999999999</v>
      </c>
      <c r="G1140" t="n">
        <v>99.9843</v>
      </c>
      <c r="H1140" t="n">
        <v>102.4987</v>
      </c>
      <c r="I1140" t="n">
        <v>102.6633</v>
      </c>
      <c r="J1140" t="n">
        <v>77.4524</v>
      </c>
      <c r="K1140" t="n">
        <v>185.9</v>
      </c>
    </row>
    <row r="1141">
      <c r="A1141" s="98" t="n">
        <v>41609</v>
      </c>
      <c r="B1141" t="n">
        <v>100.3777</v>
      </c>
      <c r="C1141" t="n">
        <v>94.45489999999999</v>
      </c>
      <c r="D1141" t="n">
        <v>100.144</v>
      </c>
      <c r="E1141" t="n">
        <v>99.62820000000001</v>
      </c>
      <c r="F1141" t="n">
        <v>99.49809999999999</v>
      </c>
      <c r="G1141" t="n">
        <v>100.282</v>
      </c>
      <c r="H1141" t="n">
        <v>102.9208</v>
      </c>
      <c r="I1141" t="n">
        <v>105.2752</v>
      </c>
      <c r="J1141" t="n">
        <v>77.56399999999999</v>
      </c>
      <c r="K1141" t="n">
        <v>186.7</v>
      </c>
    </row>
    <row r="1142">
      <c r="A1142" s="98" t="n">
        <v>41640</v>
      </c>
      <c r="B1142" t="n">
        <v>99.999</v>
      </c>
      <c r="C1142" t="n">
        <v>94.0579</v>
      </c>
      <c r="D1142" t="n">
        <v>100.2759</v>
      </c>
      <c r="E1142" t="n">
        <v>98.0232</v>
      </c>
      <c r="F1142" t="n">
        <v>98.405</v>
      </c>
      <c r="G1142" t="n">
        <v>100.4844</v>
      </c>
      <c r="H1142" t="n">
        <v>104.3277</v>
      </c>
      <c r="I1142" t="n">
        <v>106.1967</v>
      </c>
      <c r="J1142" t="n">
        <v>77.21899999999999</v>
      </c>
      <c r="K1142" t="n">
        <v>187.5</v>
      </c>
    </row>
    <row r="1143">
      <c r="A1143" s="98" t="n">
        <v>41671</v>
      </c>
      <c r="B1143" t="n">
        <v>100.7583</v>
      </c>
      <c r="C1143" t="n">
        <v>94.5919</v>
      </c>
      <c r="D1143" t="n">
        <v>101.6929</v>
      </c>
      <c r="E1143" t="n">
        <v>99.1574</v>
      </c>
      <c r="F1143" t="n">
        <v>99.3374</v>
      </c>
      <c r="G1143" t="n">
        <v>101.0539</v>
      </c>
      <c r="H1143" t="n">
        <v>105.356</v>
      </c>
      <c r="I1143" t="n">
        <v>105.2427</v>
      </c>
      <c r="J1143" t="n">
        <v>77.7522</v>
      </c>
      <c r="K1143" t="n">
        <v>187.7</v>
      </c>
    </row>
    <row r="1144">
      <c r="A1144" s="98" t="n">
        <v>41699</v>
      </c>
      <c r="B1144" t="n">
        <v>101.7767</v>
      </c>
      <c r="C1144" t="n">
        <v>95.9757</v>
      </c>
      <c r="D1144" t="n">
        <v>102.7944</v>
      </c>
      <c r="E1144" t="n">
        <v>99.8246</v>
      </c>
      <c r="F1144" t="n">
        <v>100.2632</v>
      </c>
      <c r="G1144" t="n">
        <v>102.2652</v>
      </c>
      <c r="H1144" t="n">
        <v>107.5527</v>
      </c>
      <c r="I1144" t="n">
        <v>104.8045</v>
      </c>
      <c r="J1144" t="n">
        <v>78.4825</v>
      </c>
      <c r="K1144" t="n">
        <v>187.7</v>
      </c>
    </row>
    <row r="1145">
      <c r="A1145" s="98" t="n">
        <v>41730</v>
      </c>
      <c r="B1145" t="n">
        <v>101.8425</v>
      </c>
      <c r="C1145" t="n">
        <v>95.38249999999999</v>
      </c>
      <c r="D1145" t="n">
        <v>102.6689</v>
      </c>
      <c r="E1145" t="n">
        <v>99.408</v>
      </c>
      <c r="F1145" t="n">
        <v>100.2376</v>
      </c>
      <c r="G1145" t="n">
        <v>102.712</v>
      </c>
      <c r="H1145" t="n">
        <v>109.4134</v>
      </c>
      <c r="I1145" t="n">
        <v>101.8604</v>
      </c>
      <c r="J1145" t="n">
        <v>78.4738</v>
      </c>
      <c r="K1145" t="n">
        <v>187.9</v>
      </c>
    </row>
    <row r="1146">
      <c r="A1146" s="98" t="n">
        <v>41760</v>
      </c>
      <c r="B1146" t="n">
        <v>102.2594</v>
      </c>
      <c r="C1146" t="n">
        <v>96.9121</v>
      </c>
      <c r="D1146" t="n">
        <v>103.2591</v>
      </c>
      <c r="E1146" t="n">
        <v>99.2876</v>
      </c>
      <c r="F1146" t="n">
        <v>100.5369</v>
      </c>
      <c r="G1146" t="n">
        <v>103.2767</v>
      </c>
      <c r="H1146" t="n">
        <v>110.6091</v>
      </c>
      <c r="I1146" t="n">
        <v>101.6414</v>
      </c>
      <c r="J1146" t="n">
        <v>78.73099999999999</v>
      </c>
      <c r="K1146" t="n">
        <v>188.2</v>
      </c>
    </row>
    <row r="1147">
      <c r="A1147" s="98" t="n">
        <v>41791</v>
      </c>
      <c r="B1147" t="n">
        <v>102.5986</v>
      </c>
      <c r="C1147" t="n">
        <v>97.625</v>
      </c>
      <c r="D1147" t="n">
        <v>102.8002</v>
      </c>
      <c r="E1147" t="n">
        <v>99.2978</v>
      </c>
      <c r="F1147" t="n">
        <v>100.8518</v>
      </c>
      <c r="G1147" t="n">
        <v>104.0212</v>
      </c>
      <c r="H1147" t="n">
        <v>112.0662</v>
      </c>
      <c r="I1147" t="n">
        <v>99.9135</v>
      </c>
      <c r="J1147" t="n">
        <v>78.9229</v>
      </c>
      <c r="K1147" t="n">
        <v>188.5</v>
      </c>
    </row>
    <row r="1148">
      <c r="A1148" s="98" t="n">
        <v>41821</v>
      </c>
      <c r="B1148" t="n">
        <v>102.8163</v>
      </c>
      <c r="C1148" t="n">
        <v>98.4423</v>
      </c>
      <c r="D1148" t="n">
        <v>104.0511</v>
      </c>
      <c r="E1148" t="n">
        <v>99.37690000000001</v>
      </c>
      <c r="F1148" t="n">
        <v>101.3151</v>
      </c>
      <c r="G1148" t="n">
        <v>104.1228</v>
      </c>
      <c r="H1148" t="n">
        <v>112.7582</v>
      </c>
      <c r="I1148" t="n">
        <v>97.70950000000001</v>
      </c>
      <c r="J1148" t="n">
        <v>79.0163</v>
      </c>
      <c r="K1148" t="n">
        <v>188.7</v>
      </c>
    </row>
    <row r="1149">
      <c r="A1149" s="98" t="n">
        <v>41852</v>
      </c>
      <c r="B1149" t="n">
        <v>102.6562</v>
      </c>
      <c r="C1149" t="n">
        <v>98.402</v>
      </c>
      <c r="D1149" t="n">
        <v>103.2107</v>
      </c>
      <c r="E1149" t="n">
        <v>98.8549</v>
      </c>
      <c r="F1149" t="n">
        <v>100.7684</v>
      </c>
      <c r="G1149" t="n">
        <v>104.2813</v>
      </c>
      <c r="H1149" t="n">
        <v>113.681</v>
      </c>
      <c r="I1149" t="n">
        <v>98.5356</v>
      </c>
      <c r="J1149" t="n">
        <v>78.8163</v>
      </c>
      <c r="K1149" t="n">
        <v>189</v>
      </c>
    </row>
    <row r="1150">
      <c r="A1150" s="98" t="n">
        <v>41883</v>
      </c>
      <c r="B1150" t="n">
        <v>102.9776</v>
      </c>
      <c r="C1150" t="n">
        <v>98.8083</v>
      </c>
      <c r="D1150" t="n">
        <v>102.7419</v>
      </c>
      <c r="E1150" t="n">
        <v>99.3058</v>
      </c>
      <c r="F1150" t="n">
        <v>100.8476</v>
      </c>
      <c r="G1150" t="n">
        <v>104.669</v>
      </c>
      <c r="H1150" t="n">
        <v>114.3418</v>
      </c>
      <c r="I1150" t="n">
        <v>100.6574</v>
      </c>
      <c r="J1150" t="n">
        <v>78.98950000000001</v>
      </c>
      <c r="K1150" t="n">
        <v>189.2</v>
      </c>
    </row>
    <row r="1151">
      <c r="A1151" s="98" t="n">
        <v>41913</v>
      </c>
      <c r="B1151" t="n">
        <v>102.9892</v>
      </c>
      <c r="C1151" t="n">
        <v>98.2594</v>
      </c>
      <c r="D1151" t="n">
        <v>103.9254</v>
      </c>
      <c r="E1151" t="n">
        <v>98.94750000000001</v>
      </c>
      <c r="F1151" t="n">
        <v>100.7615</v>
      </c>
      <c r="G1151" t="n">
        <v>104.6892</v>
      </c>
      <c r="H1151" t="n">
        <v>114.6432</v>
      </c>
      <c r="I1151" t="n">
        <v>101.2978</v>
      </c>
      <c r="J1151" t="n">
        <v>78.92919999999999</v>
      </c>
      <c r="K1151" t="n">
        <v>189.7</v>
      </c>
    </row>
    <row r="1152">
      <c r="A1152" s="98" t="n">
        <v>41944</v>
      </c>
      <c r="B1152" t="n">
        <v>103.6402</v>
      </c>
      <c r="C1152" t="n">
        <v>98.1922</v>
      </c>
      <c r="D1152" t="n">
        <v>105.1383</v>
      </c>
      <c r="E1152" t="n">
        <v>100.8849</v>
      </c>
      <c r="F1152" t="n">
        <v>101.4837</v>
      </c>
      <c r="G1152" t="n">
        <v>104.6839</v>
      </c>
      <c r="H1152" t="n">
        <v>113.9073</v>
      </c>
      <c r="I1152" t="n">
        <v>104.3567</v>
      </c>
      <c r="J1152" t="n">
        <v>79.3647</v>
      </c>
      <c r="K1152" t="n">
        <v>189.7</v>
      </c>
    </row>
    <row r="1153">
      <c r="A1153" s="98" t="n">
        <v>41974</v>
      </c>
      <c r="B1153" t="n">
        <v>103.6345</v>
      </c>
      <c r="C1153" t="n">
        <v>99.0181</v>
      </c>
      <c r="D1153" t="n">
        <v>103.9921</v>
      </c>
      <c r="E1153" t="n">
        <v>100.5335</v>
      </c>
      <c r="F1153" t="n">
        <v>101.2882</v>
      </c>
      <c r="G1153" t="n">
        <v>105.1543</v>
      </c>
      <c r="H1153" t="n">
        <v>116.7117</v>
      </c>
      <c r="I1153" t="n">
        <v>101.3875</v>
      </c>
      <c r="J1153" t="n">
        <v>79.304</v>
      </c>
      <c r="K1153" t="n">
        <v>189.8</v>
      </c>
    </row>
    <row r="1154">
      <c r="A1154" s="98" t="n">
        <v>42005</v>
      </c>
      <c r="B1154" t="n">
        <v>102.8239</v>
      </c>
      <c r="C1154" t="n">
        <v>97.982</v>
      </c>
      <c r="D1154" t="n">
        <v>103.3302</v>
      </c>
      <c r="E1154" t="n">
        <v>100.6504</v>
      </c>
      <c r="F1154" t="n">
        <v>100.7044</v>
      </c>
      <c r="G1154" t="n">
        <v>103.8539</v>
      </c>
      <c r="H1154" t="n">
        <v>113.8265</v>
      </c>
      <c r="I1154" t="n">
        <v>102.3389</v>
      </c>
      <c r="J1154" t="n">
        <v>78.63379999999999</v>
      </c>
      <c r="K1154" t="n">
        <v>190.7</v>
      </c>
    </row>
    <row r="1155">
      <c r="A1155" s="98" t="n">
        <v>42036</v>
      </c>
      <c r="B1155" t="n">
        <v>102.1513</v>
      </c>
      <c r="C1155" t="n">
        <v>96.7577</v>
      </c>
      <c r="D1155" t="n">
        <v>102.6125</v>
      </c>
      <c r="E1155" t="n">
        <v>100.2362</v>
      </c>
      <c r="F1155" t="n">
        <v>99.9269</v>
      </c>
      <c r="G1155" t="n">
        <v>103.3096</v>
      </c>
      <c r="H1155" t="n">
        <v>109.8392</v>
      </c>
      <c r="I1155" t="n">
        <v>107.6084</v>
      </c>
      <c r="J1155" t="n">
        <v>78.08540000000001</v>
      </c>
      <c r="K1155" t="n">
        <v>191.2</v>
      </c>
    </row>
    <row r="1156">
      <c r="A1156" s="98" t="n">
        <v>42064</v>
      </c>
      <c r="B1156" t="n">
        <v>101.824</v>
      </c>
      <c r="C1156" t="n">
        <v>96.2903</v>
      </c>
      <c r="D1156" t="n">
        <v>102.6097</v>
      </c>
      <c r="E1156" t="n">
        <v>101.3749</v>
      </c>
      <c r="F1156" t="n">
        <v>100.2643</v>
      </c>
      <c r="G1156" t="n">
        <v>102.4424</v>
      </c>
      <c r="H1156" t="n">
        <v>107.9987</v>
      </c>
      <c r="I1156" t="n">
        <v>104.4781</v>
      </c>
      <c r="J1156" t="n">
        <v>77.8104</v>
      </c>
      <c r="K1156" t="n">
        <v>191.4</v>
      </c>
    </row>
    <row r="1157">
      <c r="A1157" s="98" t="n">
        <v>42095</v>
      </c>
      <c r="B1157" t="n">
        <v>101.244</v>
      </c>
      <c r="C1157" t="n">
        <v>96.9738</v>
      </c>
      <c r="D1157" t="n">
        <v>101.8728</v>
      </c>
      <c r="E1157" t="n">
        <v>100.4811</v>
      </c>
      <c r="F1157" t="n">
        <v>100.2283</v>
      </c>
      <c r="G1157" t="n">
        <v>101.986</v>
      </c>
      <c r="H1157" t="n">
        <v>106.3141</v>
      </c>
      <c r="I1157" t="n">
        <v>101.5414</v>
      </c>
      <c r="J1157" t="n">
        <v>77.3473</v>
      </c>
      <c r="K1157" t="n">
        <v>191.5</v>
      </c>
    </row>
    <row r="1158">
      <c r="A1158" s="98" t="n">
        <v>42125</v>
      </c>
      <c r="B1158" t="n">
        <v>100.783</v>
      </c>
      <c r="C1158" t="n">
        <v>97.5252</v>
      </c>
      <c r="D1158" t="n">
        <v>102.0991</v>
      </c>
      <c r="E1158" t="n">
        <v>100.3257</v>
      </c>
      <c r="F1158" t="n">
        <v>100.2325</v>
      </c>
      <c r="G1158" t="n">
        <v>101.2017</v>
      </c>
      <c r="H1158" t="n">
        <v>103.8057</v>
      </c>
      <c r="I1158" t="n">
        <v>100.3241</v>
      </c>
      <c r="J1158" t="n">
        <v>76.98439999999999</v>
      </c>
      <c r="K1158" t="n">
        <v>191.8</v>
      </c>
    </row>
    <row r="1159">
      <c r="A1159" s="98" t="n">
        <v>42156</v>
      </c>
      <c r="B1159" t="n">
        <v>100.4781</v>
      </c>
      <c r="C1159" t="n">
        <v>97.83029999999999</v>
      </c>
      <c r="D1159" t="n">
        <v>101.5286</v>
      </c>
      <c r="E1159" t="n">
        <v>100.2243</v>
      </c>
      <c r="F1159" t="n">
        <v>99.85080000000001</v>
      </c>
      <c r="G1159" t="n">
        <v>100.7538</v>
      </c>
      <c r="H1159" t="n">
        <v>103.0024</v>
      </c>
      <c r="I1159" t="n">
        <v>101.1513</v>
      </c>
      <c r="J1159" t="n">
        <v>76.7496</v>
      </c>
      <c r="K1159" t="n">
        <v>192.7</v>
      </c>
    </row>
    <row r="1160">
      <c r="A1160" s="98" t="n">
        <v>42186</v>
      </c>
      <c r="B1160" t="n">
        <v>101.1052</v>
      </c>
      <c r="C1160" t="n">
        <v>97.788</v>
      </c>
      <c r="D1160" t="n">
        <v>101.2667</v>
      </c>
      <c r="E1160" t="n">
        <v>101.6916</v>
      </c>
      <c r="F1160" t="n">
        <v>100.5549</v>
      </c>
      <c r="G1160" t="n">
        <v>101.2709</v>
      </c>
      <c r="H1160" t="n">
        <v>104.2028</v>
      </c>
      <c r="I1160" t="n">
        <v>100.4965</v>
      </c>
      <c r="J1160" t="n">
        <v>77.2342</v>
      </c>
      <c r="K1160" t="n">
        <v>193</v>
      </c>
    </row>
    <row r="1161">
      <c r="A1161" s="98" t="n">
        <v>42217</v>
      </c>
      <c r="B1161" t="n">
        <v>100.9442</v>
      </c>
      <c r="C1161" t="n">
        <v>98.3943</v>
      </c>
      <c r="D1161" t="n">
        <v>100.9605</v>
      </c>
      <c r="E1161" t="n">
        <v>101.7742</v>
      </c>
      <c r="F1161" t="n">
        <v>100.2821</v>
      </c>
      <c r="G1161" t="n">
        <v>100.7284</v>
      </c>
      <c r="H1161" t="n">
        <v>104.6632</v>
      </c>
      <c r="I1161" t="n">
        <v>100.8219</v>
      </c>
      <c r="J1161" t="n">
        <v>77.12130000000001</v>
      </c>
      <c r="K1161" t="n">
        <v>193</v>
      </c>
    </row>
    <row r="1162">
      <c r="A1162" s="98" t="n">
        <v>42248</v>
      </c>
      <c r="B1162" t="n">
        <v>100.6507</v>
      </c>
      <c r="C1162" t="n">
        <v>97.6443</v>
      </c>
      <c r="D1162" t="n">
        <v>99.9254</v>
      </c>
      <c r="E1162" t="n">
        <v>101.4166</v>
      </c>
      <c r="F1162" t="n">
        <v>100.0365</v>
      </c>
      <c r="G1162" t="n">
        <v>100.6965</v>
      </c>
      <c r="H1162" t="n">
        <v>103.1616</v>
      </c>
      <c r="I1162" t="n">
        <v>101.8023</v>
      </c>
      <c r="J1162" t="n">
        <v>76.9102</v>
      </c>
      <c r="K1162" t="n">
        <v>193.2</v>
      </c>
    </row>
    <row r="1163">
      <c r="A1163" s="98" t="n">
        <v>42278</v>
      </c>
      <c r="B1163" t="n">
        <v>100.1871</v>
      </c>
      <c r="C1163" t="n">
        <v>98.5802</v>
      </c>
      <c r="D1163" t="n">
        <v>99.125</v>
      </c>
      <c r="E1163" t="n">
        <v>100.9812</v>
      </c>
      <c r="F1163" t="n">
        <v>99.89870000000001</v>
      </c>
      <c r="G1163" t="n">
        <v>100.0149</v>
      </c>
      <c r="H1163" t="n">
        <v>101.2167</v>
      </c>
      <c r="I1163" t="n">
        <v>100.3751</v>
      </c>
      <c r="J1163" t="n">
        <v>76.56910000000001</v>
      </c>
      <c r="K1163" t="n">
        <v>193.1</v>
      </c>
    </row>
    <row r="1164">
      <c r="A1164" s="98" t="n">
        <v>42309</v>
      </c>
      <c r="B1164" t="n">
        <v>99.43819999999999</v>
      </c>
      <c r="C1164" t="n">
        <v>98.6815</v>
      </c>
      <c r="D1164" t="n">
        <v>97.6947</v>
      </c>
      <c r="E1164" t="n">
        <v>100.621</v>
      </c>
      <c r="F1164" t="n">
        <v>99.60760000000001</v>
      </c>
      <c r="G1164" t="n">
        <v>98.8978</v>
      </c>
      <c r="H1164" t="n">
        <v>99.0458</v>
      </c>
      <c r="I1164" t="n">
        <v>97.6934</v>
      </c>
      <c r="J1164" t="n">
        <v>76.0077</v>
      </c>
      <c r="K1164" t="n">
        <v>193.2</v>
      </c>
    </row>
    <row r="1165">
      <c r="A1165" s="98" t="n">
        <v>42339</v>
      </c>
      <c r="B1165" t="n">
        <v>98.93899999999999</v>
      </c>
      <c r="C1165" t="n">
        <v>99.1374</v>
      </c>
      <c r="D1165" t="n">
        <v>96.67619999999999</v>
      </c>
      <c r="E1165" t="n">
        <v>99.97239999999999</v>
      </c>
      <c r="F1165" t="n">
        <v>99.3351</v>
      </c>
      <c r="G1165" t="n">
        <v>98.532</v>
      </c>
      <c r="H1165" t="n">
        <v>98.2912</v>
      </c>
      <c r="I1165" t="n">
        <v>95.83150000000001</v>
      </c>
      <c r="J1165" t="n">
        <v>75.63379999999999</v>
      </c>
      <c r="K1165" t="n">
        <v>193.4</v>
      </c>
    </row>
    <row r="1166">
      <c r="A1166" s="98" t="n">
        <v>42370</v>
      </c>
      <c r="B1166" t="n">
        <v>99.4558</v>
      </c>
      <c r="C1166" t="n">
        <v>99.03100000000001</v>
      </c>
      <c r="D1166" t="n">
        <v>96.6404</v>
      </c>
      <c r="E1166" t="n">
        <v>101.4094</v>
      </c>
      <c r="F1166" t="n">
        <v>99.76819999999999</v>
      </c>
      <c r="G1166" t="n">
        <v>98.8498</v>
      </c>
      <c r="H1166" t="n">
        <v>96.291</v>
      </c>
      <c r="I1166" t="n">
        <v>99.7439</v>
      </c>
      <c r="J1166" t="n">
        <v>76.03230000000001</v>
      </c>
      <c r="K1166" t="n">
        <v>193.9</v>
      </c>
    </row>
    <row r="1167">
      <c r="A1167" s="98" t="n">
        <v>42401</v>
      </c>
      <c r="B1167" t="n">
        <v>98.9136</v>
      </c>
      <c r="C1167" t="n">
        <v>98.8052</v>
      </c>
      <c r="D1167" t="n">
        <v>96.13509999999999</v>
      </c>
      <c r="E1167" t="n">
        <v>101.2224</v>
      </c>
      <c r="F1167" t="n">
        <v>99.4033</v>
      </c>
      <c r="G1167" t="n">
        <v>98.1536</v>
      </c>
      <c r="H1167" t="n">
        <v>94.23699999999999</v>
      </c>
      <c r="I1167" t="n">
        <v>99.4721</v>
      </c>
      <c r="J1167" t="n">
        <v>75.6159</v>
      </c>
      <c r="K1167" t="n">
        <v>194.1</v>
      </c>
    </row>
    <row r="1168">
      <c r="A1168" s="98" t="n">
        <v>42430</v>
      </c>
      <c r="B1168" t="n">
        <v>98.19070000000001</v>
      </c>
      <c r="C1168" t="n">
        <v>98.738</v>
      </c>
      <c r="D1168" t="n">
        <v>95.5081</v>
      </c>
      <c r="E1168" t="n">
        <v>100.368</v>
      </c>
      <c r="F1168" t="n">
        <v>99.35850000000001</v>
      </c>
      <c r="G1168" t="n">
        <v>97.43640000000001</v>
      </c>
      <c r="H1168" t="n">
        <v>91.92919999999999</v>
      </c>
      <c r="I1168" t="n">
        <v>95.51390000000001</v>
      </c>
      <c r="J1168" t="n">
        <v>75.05589999999999</v>
      </c>
      <c r="K1168" t="n">
        <v>194.3</v>
      </c>
    </row>
    <row r="1169">
      <c r="A1169" s="98" t="n">
        <v>42461</v>
      </c>
      <c r="B1169" t="n">
        <v>98.4669</v>
      </c>
      <c r="C1169" t="n">
        <v>99.14239999999999</v>
      </c>
      <c r="D1169" t="n">
        <v>95.4014</v>
      </c>
      <c r="E1169" t="n">
        <v>101.3675</v>
      </c>
      <c r="F1169" t="n">
        <v>99.1874</v>
      </c>
      <c r="G1169" t="n">
        <v>97.4571</v>
      </c>
      <c r="H1169" t="n">
        <v>89.81529999999999</v>
      </c>
      <c r="I1169" t="n">
        <v>101.416</v>
      </c>
      <c r="J1169" t="n">
        <v>75.2543</v>
      </c>
      <c r="K1169" t="n">
        <v>194.6</v>
      </c>
    </row>
    <row r="1170">
      <c r="A1170" s="98" t="n">
        <v>42491</v>
      </c>
      <c r="B1170" t="n">
        <v>98.2518</v>
      </c>
      <c r="C1170" t="n">
        <v>98.4918</v>
      </c>
      <c r="D1170" t="n">
        <v>95.17359999999999</v>
      </c>
      <c r="E1170" t="n">
        <v>100.9921</v>
      </c>
      <c r="F1170" t="n">
        <v>99.11709999999999</v>
      </c>
      <c r="G1170" t="n">
        <v>97.2989</v>
      </c>
      <c r="H1170" t="n">
        <v>89.7933</v>
      </c>
      <c r="I1170" t="n">
        <v>99.8792</v>
      </c>
      <c r="J1170" t="n">
        <v>75.0727</v>
      </c>
      <c r="K1170" t="n">
        <v>194.8</v>
      </c>
    </row>
    <row r="1171">
      <c r="A1171" s="98" t="n">
        <v>42522</v>
      </c>
      <c r="B1171" t="n">
        <v>98.72750000000001</v>
      </c>
      <c r="C1171" t="n">
        <v>98.2089</v>
      </c>
      <c r="D1171" t="n">
        <v>95.2483</v>
      </c>
      <c r="E1171" t="n">
        <v>101.9148</v>
      </c>
      <c r="F1171" t="n">
        <v>99.3878</v>
      </c>
      <c r="G1171" t="n">
        <v>97.7805</v>
      </c>
      <c r="H1171" t="n">
        <v>89.65260000000001</v>
      </c>
      <c r="I1171" t="n">
        <v>102.7435</v>
      </c>
      <c r="J1171" t="n">
        <v>75.4151</v>
      </c>
      <c r="K1171" t="n">
        <v>195.4</v>
      </c>
    </row>
    <row r="1172">
      <c r="A1172" s="98" t="n">
        <v>42552</v>
      </c>
      <c r="B1172" t="n">
        <v>98.836</v>
      </c>
      <c r="C1172" t="n">
        <v>99.0192</v>
      </c>
      <c r="D1172" t="n">
        <v>95.2597</v>
      </c>
      <c r="E1172" t="n">
        <v>101.6815</v>
      </c>
      <c r="F1172" t="n">
        <v>99.41200000000001</v>
      </c>
      <c r="G1172" t="n">
        <v>97.949</v>
      </c>
      <c r="H1172" t="n">
        <v>90.1724</v>
      </c>
      <c r="I1172" t="n">
        <v>102.9223</v>
      </c>
      <c r="J1172" t="n">
        <v>75.4735</v>
      </c>
      <c r="K1172" t="n">
        <v>195.4</v>
      </c>
    </row>
    <row r="1173">
      <c r="A1173" s="98" t="n">
        <v>42583</v>
      </c>
      <c r="B1173" t="n">
        <v>98.75539999999999</v>
      </c>
      <c r="C1173" t="n">
        <v>98.20440000000001</v>
      </c>
      <c r="D1173" t="n">
        <v>95.02500000000001</v>
      </c>
      <c r="E1173" t="n">
        <v>101.9022</v>
      </c>
      <c r="F1173" t="n">
        <v>99.0898</v>
      </c>
      <c r="G1173" t="n">
        <v>97.7718</v>
      </c>
      <c r="H1173" t="n">
        <v>89.8053</v>
      </c>
      <c r="I1173" t="n">
        <v>105.0176</v>
      </c>
      <c r="J1173" t="n">
        <v>75.3862</v>
      </c>
      <c r="K1173" t="n">
        <v>195.6</v>
      </c>
    </row>
    <row r="1174">
      <c r="A1174" s="98" t="n">
        <v>42614</v>
      </c>
      <c r="B1174" t="n">
        <v>98.6596</v>
      </c>
      <c r="C1174" t="n">
        <v>98.50069999999999</v>
      </c>
      <c r="D1174" t="n">
        <v>94.6035</v>
      </c>
      <c r="E1174" t="n">
        <v>101.6957</v>
      </c>
      <c r="F1174" t="n">
        <v>99.2957</v>
      </c>
      <c r="G1174" t="n">
        <v>97.66679999999999</v>
      </c>
      <c r="H1174" t="n">
        <v>89.9918</v>
      </c>
      <c r="I1174" t="n">
        <v>102.5537</v>
      </c>
      <c r="J1174" t="n">
        <v>75.2897</v>
      </c>
      <c r="K1174" t="n">
        <v>195.8</v>
      </c>
    </row>
    <row r="1175">
      <c r="A1175" s="98" t="n">
        <v>42644</v>
      </c>
      <c r="B1175" t="n">
        <v>98.73220000000001</v>
      </c>
      <c r="C1175" t="n">
        <v>98.9618</v>
      </c>
      <c r="D1175" t="n">
        <v>95.1236</v>
      </c>
      <c r="E1175" t="n">
        <v>101.1823</v>
      </c>
      <c r="F1175" t="n">
        <v>99.4435</v>
      </c>
      <c r="G1175" t="n">
        <v>98.0304</v>
      </c>
      <c r="H1175" t="n">
        <v>92.56870000000001</v>
      </c>
      <c r="I1175" t="n">
        <v>99.58110000000001</v>
      </c>
      <c r="J1175" t="n">
        <v>75.3271</v>
      </c>
      <c r="K1175" t="n">
        <v>196.1</v>
      </c>
    </row>
    <row r="1176">
      <c r="A1176" s="98" t="n">
        <v>42675</v>
      </c>
      <c r="B1176" t="n">
        <v>98.34520000000001</v>
      </c>
      <c r="C1176" t="n">
        <v>99.5705</v>
      </c>
      <c r="D1176" t="n">
        <v>95.136</v>
      </c>
      <c r="E1176" t="n">
        <v>100.1257</v>
      </c>
      <c r="F1176" t="n">
        <v>99.3672</v>
      </c>
      <c r="G1176" t="n">
        <v>97.7247</v>
      </c>
      <c r="H1176" t="n">
        <v>92.044</v>
      </c>
      <c r="I1176" t="n">
        <v>97.0642</v>
      </c>
      <c r="J1176" t="n">
        <v>75.0219</v>
      </c>
      <c r="K1176" t="n">
        <v>196.3</v>
      </c>
    </row>
    <row r="1177">
      <c r="A1177" s="98" t="n">
        <v>42705</v>
      </c>
      <c r="B1177" t="n">
        <v>99.0314</v>
      </c>
      <c r="C1177" t="n">
        <v>98.06229999999999</v>
      </c>
      <c r="D1177" t="n">
        <v>96.2915</v>
      </c>
      <c r="E1177" t="n">
        <v>101.6099</v>
      </c>
      <c r="F1177" t="n">
        <v>99.4003</v>
      </c>
      <c r="G1177" t="n">
        <v>98.1093</v>
      </c>
      <c r="H1177" t="n">
        <v>91.8993</v>
      </c>
      <c r="I1177" t="n">
        <v>103.2641</v>
      </c>
      <c r="J1177" t="n">
        <v>75.5453</v>
      </c>
      <c r="K1177" t="n">
        <v>196.7</v>
      </c>
    </row>
    <row r="1178">
      <c r="A1178" s="98" t="n">
        <v>42736</v>
      </c>
      <c r="B1178" t="n">
        <v>98.7987</v>
      </c>
      <c r="C1178" t="n">
        <v>99.6784</v>
      </c>
      <c r="D1178" t="n">
        <v>96.3077</v>
      </c>
      <c r="E1178" t="n">
        <v>100.3095</v>
      </c>
      <c r="F1178" t="n">
        <v>99.59059999999999</v>
      </c>
      <c r="G1178" t="n">
        <v>98.33</v>
      </c>
      <c r="H1178" t="n">
        <v>94.0587</v>
      </c>
      <c r="I1178" t="n">
        <v>97.7741</v>
      </c>
      <c r="J1178" t="n">
        <v>75.3784</v>
      </c>
      <c r="K1178" t="n">
        <v>197.2</v>
      </c>
    </row>
    <row r="1179">
      <c r="A1179" s="98" t="n">
        <v>42767</v>
      </c>
      <c r="B1179" t="n">
        <v>98.43219999999999</v>
      </c>
      <c r="C1179" t="n">
        <v>99.86109999999999</v>
      </c>
      <c r="D1179" t="n">
        <v>96.31189999999999</v>
      </c>
      <c r="E1179" t="n">
        <v>98.90260000000001</v>
      </c>
      <c r="F1179" t="n">
        <v>99.5106</v>
      </c>
      <c r="G1179" t="n">
        <v>98.38549999999999</v>
      </c>
      <c r="H1179" t="n">
        <v>96.2183</v>
      </c>
      <c r="I1179" t="n">
        <v>92.87690000000001</v>
      </c>
      <c r="J1179" t="n">
        <v>75.1225</v>
      </c>
      <c r="K1179" t="n">
        <v>197.4</v>
      </c>
    </row>
    <row r="1180">
      <c r="A1180" s="98" t="n">
        <v>42795</v>
      </c>
      <c r="B1180" t="n">
        <v>99.0663</v>
      </c>
      <c r="C1180" t="n">
        <v>99.1181</v>
      </c>
      <c r="D1180" t="n">
        <v>96.9432</v>
      </c>
      <c r="E1180" t="n">
        <v>99.5125</v>
      </c>
      <c r="F1180" t="n">
        <v>99.1665</v>
      </c>
      <c r="G1180" t="n">
        <v>99.2341</v>
      </c>
      <c r="H1180" t="n">
        <v>97.3884</v>
      </c>
      <c r="I1180" t="n">
        <v>99.949</v>
      </c>
      <c r="J1180" t="n">
        <v>75.6429</v>
      </c>
      <c r="K1180" t="n">
        <v>197.9</v>
      </c>
    </row>
    <row r="1181">
      <c r="A1181" s="98" t="n">
        <v>42826</v>
      </c>
      <c r="B1181" t="n">
        <v>100.0082</v>
      </c>
      <c r="C1181" t="n">
        <v>99.8379</v>
      </c>
      <c r="D1181" t="n">
        <v>99.91970000000001</v>
      </c>
      <c r="E1181" t="n">
        <v>100.3026</v>
      </c>
      <c r="F1181" t="n">
        <v>100.3106</v>
      </c>
      <c r="G1181" t="n">
        <v>99.9079</v>
      </c>
      <c r="H1181" t="n">
        <v>98.5414</v>
      </c>
      <c r="I1181" t="n">
        <v>99.62</v>
      </c>
      <c r="J1181" t="n">
        <v>76.4106</v>
      </c>
      <c r="K1181" t="n">
        <v>198.5</v>
      </c>
    </row>
    <row r="1182">
      <c r="A1182" s="98" t="n">
        <v>42856</v>
      </c>
      <c r="B1182" t="n">
        <v>100.1286</v>
      </c>
      <c r="C1182" t="n">
        <v>99.7302</v>
      </c>
      <c r="D1182" t="n">
        <v>99.8283</v>
      </c>
      <c r="E1182" t="n">
        <v>100.7767</v>
      </c>
      <c r="F1182" t="n">
        <v>100.1435</v>
      </c>
      <c r="G1182" t="n">
        <v>99.88460000000001</v>
      </c>
      <c r="H1182" t="n">
        <v>99.45059999999999</v>
      </c>
      <c r="I1182" t="n">
        <v>100.7589</v>
      </c>
      <c r="J1182" t="n">
        <v>76.5629</v>
      </c>
      <c r="K1182" t="n">
        <v>198.5</v>
      </c>
    </row>
    <row r="1183">
      <c r="A1183" s="98" t="n">
        <v>42887</v>
      </c>
      <c r="B1183" t="n">
        <v>100.3233</v>
      </c>
      <c r="C1183" t="n">
        <v>99.85469999999999</v>
      </c>
      <c r="D1183" t="n">
        <v>99.89</v>
      </c>
      <c r="E1183" t="n">
        <v>100.3021</v>
      </c>
      <c r="F1183" t="n">
        <v>100.1691</v>
      </c>
      <c r="G1183" t="n">
        <v>100.5116</v>
      </c>
      <c r="H1183" t="n">
        <v>100.7628</v>
      </c>
      <c r="I1183" t="n">
        <v>100.8305</v>
      </c>
      <c r="J1183" t="n">
        <v>76.78319999999999</v>
      </c>
      <c r="K1183" t="n">
        <v>198.8</v>
      </c>
    </row>
    <row r="1184">
      <c r="A1184" s="98" t="n">
        <v>42917</v>
      </c>
      <c r="B1184" t="n">
        <v>100.0947</v>
      </c>
      <c r="C1184" t="n">
        <v>99.67230000000001</v>
      </c>
      <c r="D1184" t="n">
        <v>99.6598</v>
      </c>
      <c r="E1184" t="n">
        <v>99.905</v>
      </c>
      <c r="F1184" t="n">
        <v>99.79689999999999</v>
      </c>
      <c r="G1184" t="n">
        <v>100.285</v>
      </c>
      <c r="H1184" t="n">
        <v>100.7442</v>
      </c>
      <c r="I1184" t="n">
        <v>101.4277</v>
      </c>
      <c r="J1184" t="n">
        <v>76.6891</v>
      </c>
      <c r="K1184" t="n">
        <v>198.9</v>
      </c>
    </row>
    <row r="1185">
      <c r="A1185" s="98" t="n">
        <v>42948</v>
      </c>
      <c r="B1185" t="n">
        <v>99.66419999999999</v>
      </c>
      <c r="C1185" t="n">
        <v>98.8986</v>
      </c>
      <c r="D1185" t="n">
        <v>100.0436</v>
      </c>
      <c r="E1185" t="n">
        <v>99.70910000000001</v>
      </c>
      <c r="F1185" t="n">
        <v>99.6024</v>
      </c>
      <c r="G1185" t="n">
        <v>99.4884</v>
      </c>
      <c r="H1185" t="n">
        <v>100.0187</v>
      </c>
      <c r="I1185" t="n">
        <v>99.71080000000001</v>
      </c>
      <c r="J1185" t="n">
        <v>76.4472</v>
      </c>
      <c r="K1185" t="n">
        <v>199.1</v>
      </c>
    </row>
    <row r="1186">
      <c r="A1186" s="98" t="n">
        <v>42979</v>
      </c>
      <c r="B1186" t="n">
        <v>99.76860000000001</v>
      </c>
      <c r="C1186" t="n">
        <v>100.5907</v>
      </c>
      <c r="D1186" t="n">
        <v>101.5734</v>
      </c>
      <c r="E1186" t="n">
        <v>99.61620000000001</v>
      </c>
      <c r="F1186" t="n">
        <v>99.64230000000001</v>
      </c>
      <c r="G1186" t="n">
        <v>99.3004</v>
      </c>
      <c r="H1186" t="n">
        <v>101.1584</v>
      </c>
      <c r="I1186" t="n">
        <v>99.31180000000001</v>
      </c>
      <c r="J1186" t="n">
        <v>76.6181</v>
      </c>
      <c r="K1186" t="n">
        <v>199</v>
      </c>
    </row>
    <row r="1187">
      <c r="A1187" s="98" t="n">
        <v>43009</v>
      </c>
      <c r="B1187" t="n">
        <v>100.9981</v>
      </c>
      <c r="C1187" t="n">
        <v>100.9254</v>
      </c>
      <c r="D1187" t="n">
        <v>102.7948</v>
      </c>
      <c r="E1187" t="n">
        <v>100.4118</v>
      </c>
      <c r="F1187" t="n">
        <v>100.6969</v>
      </c>
      <c r="G1187" t="n">
        <v>101.0987</v>
      </c>
      <c r="H1187" t="n">
        <v>102.741</v>
      </c>
      <c r="I1187" t="n">
        <v>101.4309</v>
      </c>
      <c r="J1187" t="n">
        <v>77.654</v>
      </c>
      <c r="K1187" t="n">
        <v>200</v>
      </c>
    </row>
    <row r="1188">
      <c r="A1188" s="98" t="n">
        <v>43040</v>
      </c>
      <c r="B1188" t="n">
        <v>101.2597</v>
      </c>
      <c r="C1188" t="n">
        <v>101.0463</v>
      </c>
      <c r="D1188" t="n">
        <v>103.3817</v>
      </c>
      <c r="E1188" t="n">
        <v>99.9601</v>
      </c>
      <c r="F1188" t="n">
        <v>100.809</v>
      </c>
      <c r="G1188" t="n">
        <v>101.7017</v>
      </c>
      <c r="H1188" t="n">
        <v>104.458</v>
      </c>
      <c r="I1188" t="n">
        <v>101.3781</v>
      </c>
      <c r="J1188" t="n">
        <v>77.9439</v>
      </c>
      <c r="K1188" t="n">
        <v>200.5</v>
      </c>
    </row>
    <row r="1189">
      <c r="A1189" s="98" t="n">
        <v>43070</v>
      </c>
      <c r="B1189" t="n">
        <v>101.4573</v>
      </c>
      <c r="C1189" t="n">
        <v>100.7862</v>
      </c>
      <c r="D1189" t="n">
        <v>103.346</v>
      </c>
      <c r="E1189" t="n">
        <v>100.2918</v>
      </c>
      <c r="F1189" t="n">
        <v>100.5616</v>
      </c>
      <c r="G1189" t="n">
        <v>101.872</v>
      </c>
      <c r="H1189" t="n">
        <v>104.4595</v>
      </c>
      <c r="I1189" t="n">
        <v>104.9313</v>
      </c>
      <c r="J1189" t="n">
        <v>78.17910000000001</v>
      </c>
      <c r="K1189" t="n">
        <v>200.6</v>
      </c>
    </row>
    <row r="1190">
      <c r="A1190" s="98" t="n">
        <v>43101</v>
      </c>
      <c r="B1190" t="n">
        <v>101.3939</v>
      </c>
      <c r="C1190" t="n">
        <v>98.8985</v>
      </c>
      <c r="D1190" t="n">
        <v>103.8633</v>
      </c>
      <c r="E1190" t="n">
        <v>100.6861</v>
      </c>
      <c r="F1190" t="n">
        <v>100.142</v>
      </c>
      <c r="G1190" t="n">
        <v>101.6441</v>
      </c>
      <c r="H1190" t="n">
        <v>104.1781</v>
      </c>
      <c r="I1190" t="n">
        <v>107.6681</v>
      </c>
      <c r="J1190" t="n">
        <v>78.206</v>
      </c>
      <c r="K1190" t="n">
        <v>201</v>
      </c>
    </row>
    <row r="1191">
      <c r="A1191" s="98" t="n">
        <v>43132</v>
      </c>
      <c r="B1191" t="n">
        <v>101.7656</v>
      </c>
      <c r="C1191" t="n">
        <v>101.6534</v>
      </c>
      <c r="D1191" t="n">
        <v>104.4672</v>
      </c>
      <c r="E1191" t="n">
        <v>100.0454</v>
      </c>
      <c r="F1191" t="n">
        <v>101.1868</v>
      </c>
      <c r="G1191" t="n">
        <v>102.2735</v>
      </c>
      <c r="H1191" t="n">
        <v>107.0176</v>
      </c>
      <c r="I1191" t="n">
        <v>100.5578</v>
      </c>
      <c r="J1191" t="n">
        <v>78.5556</v>
      </c>
      <c r="K1191" t="n">
        <v>201.4</v>
      </c>
    </row>
    <row r="1192">
      <c r="A1192" s="98" t="n">
        <v>43160</v>
      </c>
      <c r="B1192" t="n">
        <v>102.2441</v>
      </c>
      <c r="C1192" t="n">
        <v>100.9211</v>
      </c>
      <c r="D1192" t="n">
        <v>104.4594</v>
      </c>
      <c r="E1192" t="n">
        <v>100.2777</v>
      </c>
      <c r="F1192" t="n">
        <v>101.1026</v>
      </c>
      <c r="G1192" t="n">
        <v>103.1896</v>
      </c>
      <c r="H1192" t="n">
        <v>108.7512</v>
      </c>
      <c r="I1192" t="n">
        <v>103.7819</v>
      </c>
      <c r="J1192" t="n">
        <v>78.976</v>
      </c>
      <c r="K1192" t="n">
        <v>201.9</v>
      </c>
    </row>
    <row r="1193">
      <c r="A1193" s="98" t="n">
        <v>43191</v>
      </c>
      <c r="B1193" t="n">
        <v>103.3468</v>
      </c>
      <c r="C1193" t="n">
        <v>101.8799</v>
      </c>
      <c r="D1193" t="n">
        <v>105.6015</v>
      </c>
      <c r="E1193" t="n">
        <v>101.9578</v>
      </c>
      <c r="F1193" t="n">
        <v>101.825</v>
      </c>
      <c r="G1193" t="n">
        <v>103.9772</v>
      </c>
      <c r="H1193" t="n">
        <v>109.9831</v>
      </c>
      <c r="I1193" t="n">
        <v>107.8025</v>
      </c>
      <c r="J1193" t="n">
        <v>79.8677</v>
      </c>
      <c r="K1193" t="n">
        <v>202.3</v>
      </c>
    </row>
    <row r="1194">
      <c r="A1194" s="98" t="n">
        <v>43221</v>
      </c>
      <c r="B1194" t="n">
        <v>102.3911</v>
      </c>
      <c r="C1194" t="n">
        <v>102.6071</v>
      </c>
      <c r="D1194" t="n">
        <v>103.4647</v>
      </c>
      <c r="E1194" t="n">
        <v>99.1897</v>
      </c>
      <c r="F1194" t="n">
        <v>100.9561</v>
      </c>
      <c r="G1194" t="n">
        <v>104.0078</v>
      </c>
      <c r="H1194" t="n">
        <v>110.5986</v>
      </c>
      <c r="I1194" t="n">
        <v>104.3522</v>
      </c>
      <c r="J1194" t="n">
        <v>79.15430000000001</v>
      </c>
      <c r="K1194" t="n">
        <v>202.6</v>
      </c>
    </row>
    <row r="1195">
      <c r="A1195" s="98" t="n">
        <v>43252</v>
      </c>
      <c r="B1195" t="n">
        <v>103.1924</v>
      </c>
      <c r="C1195" t="n">
        <v>102.526</v>
      </c>
      <c r="D1195" t="n">
        <v>104.8467</v>
      </c>
      <c r="E1195" t="n">
        <v>100.2326</v>
      </c>
      <c r="F1195" t="n">
        <v>101.6835</v>
      </c>
      <c r="G1195" t="n">
        <v>104.677</v>
      </c>
      <c r="H1195" t="n">
        <v>113.0163</v>
      </c>
      <c r="I1195" t="n">
        <v>104.3016</v>
      </c>
      <c r="J1195" t="n">
        <v>79.7837</v>
      </c>
      <c r="K1195" t="n">
        <v>203</v>
      </c>
    </row>
    <row r="1196">
      <c r="A1196" s="98" t="n">
        <v>43282</v>
      </c>
      <c r="B1196" t="n">
        <v>103.3334</v>
      </c>
      <c r="C1196" t="n">
        <v>102.3049</v>
      </c>
      <c r="D1196" t="n">
        <v>104.1061</v>
      </c>
      <c r="E1196" t="n">
        <v>100.0637</v>
      </c>
      <c r="F1196" t="n">
        <v>101.6938</v>
      </c>
      <c r="G1196" t="n">
        <v>105.2344</v>
      </c>
      <c r="H1196" t="n">
        <v>114.431</v>
      </c>
      <c r="I1196" t="n">
        <v>103.6279</v>
      </c>
      <c r="J1196" t="n">
        <v>79.8874</v>
      </c>
      <c r="K1196" t="n">
        <v>203.6</v>
      </c>
    </row>
    <row r="1197">
      <c r="A1197" s="98" t="n">
        <v>43313</v>
      </c>
      <c r="B1197" t="n">
        <v>104.0807</v>
      </c>
      <c r="C1197" t="n">
        <v>102.5545</v>
      </c>
      <c r="D1197" t="n">
        <v>104.3111</v>
      </c>
      <c r="E1197" t="n">
        <v>100.9361</v>
      </c>
      <c r="F1197" t="n">
        <v>102.0176</v>
      </c>
      <c r="G1197" t="n">
        <v>106.1875</v>
      </c>
      <c r="H1197" t="n">
        <v>117.4069</v>
      </c>
      <c r="I1197" t="n">
        <v>104.6778</v>
      </c>
      <c r="J1197" t="n">
        <v>80.4472</v>
      </c>
      <c r="K1197" t="n">
        <v>204.1</v>
      </c>
    </row>
    <row r="1198">
      <c r="A1198" s="98" t="n">
        <v>43344</v>
      </c>
      <c r="B1198" t="n">
        <v>104.1181</v>
      </c>
      <c r="C1198" t="n">
        <v>101.808</v>
      </c>
      <c r="D1198" t="n">
        <v>103.7063</v>
      </c>
      <c r="E1198" t="n">
        <v>101.0115</v>
      </c>
      <c r="F1198" t="n">
        <v>102.0249</v>
      </c>
      <c r="G1198" t="n">
        <v>106.3454</v>
      </c>
      <c r="H1198" t="n">
        <v>117.817</v>
      </c>
      <c r="I1198" t="n">
        <v>104.4398</v>
      </c>
      <c r="J1198" t="n">
        <v>80.44710000000001</v>
      </c>
      <c r="K1198" t="n">
        <v>204.4</v>
      </c>
    </row>
    <row r="1199">
      <c r="A1199" s="98" t="n">
        <v>43374</v>
      </c>
      <c r="B1199" t="n">
        <v>103.9397</v>
      </c>
      <c r="C1199" t="n">
        <v>101.6241</v>
      </c>
      <c r="D1199" t="n">
        <v>102.7397</v>
      </c>
      <c r="E1199" t="n">
        <v>100.9529</v>
      </c>
      <c r="F1199" t="n">
        <v>101.5511</v>
      </c>
      <c r="G1199" t="n">
        <v>106.1966</v>
      </c>
      <c r="H1199" t="n">
        <v>117.8951</v>
      </c>
      <c r="I1199" t="n">
        <v>106.1615</v>
      </c>
      <c r="J1199" t="n">
        <v>80.2713</v>
      </c>
      <c r="K1199" t="n">
        <v>205.1</v>
      </c>
    </row>
    <row r="1200">
      <c r="A1200" s="98" t="n">
        <v>43405</v>
      </c>
      <c r="B1200" t="n">
        <v>104.0007</v>
      </c>
      <c r="C1200" t="n">
        <v>101.2587</v>
      </c>
      <c r="D1200" t="n">
        <v>101.4408</v>
      </c>
      <c r="E1200" t="n">
        <v>101.231</v>
      </c>
      <c r="F1200" t="n">
        <v>101.278</v>
      </c>
      <c r="G1200" t="n">
        <v>106.621</v>
      </c>
      <c r="H1200" t="n">
        <v>118.5878</v>
      </c>
      <c r="I1200" t="n">
        <v>107.8526</v>
      </c>
      <c r="J1200" t="n">
        <v>80.2728</v>
      </c>
      <c r="K1200" t="n">
        <v>205.6</v>
      </c>
    </row>
    <row r="1201">
      <c r="A1201" s="98" t="n">
        <v>43435</v>
      </c>
      <c r="B1201" t="n">
        <v>103.9946</v>
      </c>
      <c r="C1201" t="n">
        <v>102.2492</v>
      </c>
      <c r="D1201" t="n">
        <v>100.7463</v>
      </c>
      <c r="E1201" t="n">
        <v>101.0624</v>
      </c>
      <c r="F1201" t="n">
        <v>101.6213</v>
      </c>
      <c r="G1201" t="n">
        <v>106.7112</v>
      </c>
      <c r="H1201" t="n">
        <v>120.4592</v>
      </c>
      <c r="I1201" t="n">
        <v>103.1922</v>
      </c>
      <c r="J1201" t="n">
        <v>80.2161</v>
      </c>
      <c r="K1201" t="n">
        <v>205.8</v>
      </c>
    </row>
    <row r="1202">
      <c r="A1202" s="98" t="n">
        <v>43466</v>
      </c>
      <c r="B1202" t="n">
        <v>103.373</v>
      </c>
      <c r="C1202" t="n">
        <v>101.886</v>
      </c>
      <c r="D1202" t="n">
        <v>99.3019</v>
      </c>
      <c r="E1202" t="n">
        <v>100.2597</v>
      </c>
      <c r="F1202" t="n">
        <v>100.7582</v>
      </c>
      <c r="G1202" t="n">
        <v>106.1954</v>
      </c>
      <c r="H1202" t="n">
        <v>119.8562</v>
      </c>
      <c r="I1202" t="n">
        <v>104.4371</v>
      </c>
      <c r="J1202" t="n">
        <v>79.67919999999999</v>
      </c>
      <c r="K1202" t="n">
        <v>206.8</v>
      </c>
    </row>
    <row r="1203">
      <c r="A1203" s="98" t="n">
        <v>43497</v>
      </c>
      <c r="B1203" t="n">
        <v>102.8292</v>
      </c>
      <c r="C1203" t="n">
        <v>99.9239</v>
      </c>
      <c r="D1203" t="n">
        <v>98.31</v>
      </c>
      <c r="E1203" t="n">
        <v>100.5229</v>
      </c>
      <c r="F1203" t="n">
        <v>100.2292</v>
      </c>
      <c r="G1203" t="n">
        <v>105.4263</v>
      </c>
      <c r="H1203" t="n">
        <v>118.1983</v>
      </c>
      <c r="I1203" t="n">
        <v>104.8783</v>
      </c>
      <c r="J1203" t="n">
        <v>79.2011</v>
      </c>
      <c r="K1203" t="n">
        <v>207</v>
      </c>
    </row>
    <row r="1204">
      <c r="A1204" s="98" t="n">
        <v>43525</v>
      </c>
      <c r="B1204" t="n">
        <v>102.8286</v>
      </c>
      <c r="C1204" t="n">
        <v>99.9135</v>
      </c>
      <c r="D1204" t="n">
        <v>97.7282</v>
      </c>
      <c r="E1204" t="n">
        <v>100.8832</v>
      </c>
      <c r="F1204" t="n">
        <v>99.9469</v>
      </c>
      <c r="G1204" t="n">
        <v>105.3798</v>
      </c>
      <c r="H1204" t="n">
        <v>118.5448</v>
      </c>
      <c r="I1204" t="n">
        <v>106.7617</v>
      </c>
      <c r="J1204" t="n">
        <v>79.1387</v>
      </c>
      <c r="K1204" t="n">
        <v>207.3</v>
      </c>
    </row>
    <row r="1205">
      <c r="A1205" s="98" t="n">
        <v>43556</v>
      </c>
      <c r="B1205" t="n">
        <v>102.2481</v>
      </c>
      <c r="C1205" t="n">
        <v>99.5545</v>
      </c>
      <c r="D1205" t="n">
        <v>95.73309999999999</v>
      </c>
      <c r="E1205" t="n">
        <v>99.45480000000001</v>
      </c>
      <c r="F1205" t="n">
        <v>99.3231</v>
      </c>
      <c r="G1205" t="n">
        <v>105.5481</v>
      </c>
      <c r="H1205" t="n">
        <v>120.9637</v>
      </c>
      <c r="I1205" t="n">
        <v>102.9116</v>
      </c>
      <c r="J1205" t="n">
        <v>78.626</v>
      </c>
      <c r="K1205" t="n">
        <v>207.4</v>
      </c>
    </row>
    <row r="1206">
      <c r="A1206" s="98" t="n">
        <v>43586</v>
      </c>
      <c r="B1206" t="n">
        <v>102.4192</v>
      </c>
      <c r="C1206" t="n">
        <v>100.355</v>
      </c>
      <c r="D1206" t="n">
        <v>95.3669</v>
      </c>
      <c r="E1206" t="n">
        <v>99.92959999999999</v>
      </c>
      <c r="F1206" t="n">
        <v>99.3831</v>
      </c>
      <c r="G1206" t="n">
        <v>105.6004</v>
      </c>
      <c r="H1206" t="n">
        <v>121.0869</v>
      </c>
      <c r="I1206" t="n">
        <v>104.1053</v>
      </c>
      <c r="J1206" t="n">
        <v>78.6889</v>
      </c>
      <c r="K1206" t="n">
        <v>207.6</v>
      </c>
    </row>
    <row r="1207">
      <c r="A1207" s="98" t="n">
        <v>43617</v>
      </c>
      <c r="B1207" t="n">
        <v>102.4893</v>
      </c>
      <c r="C1207" t="n">
        <v>101.3191</v>
      </c>
      <c r="D1207" t="n">
        <v>95.6202</v>
      </c>
      <c r="E1207" t="n">
        <v>100.6465</v>
      </c>
      <c r="F1207" t="n">
        <v>99.7831</v>
      </c>
      <c r="G1207" t="n">
        <v>105.1645</v>
      </c>
      <c r="H1207" t="n">
        <v>122.0331</v>
      </c>
      <c r="I1207" t="n">
        <v>100.668</v>
      </c>
      <c r="J1207" t="n">
        <v>78.6717</v>
      </c>
      <c r="K1207" t="n">
        <v>207.7</v>
      </c>
    </row>
    <row r="1208">
      <c r="A1208" s="98" t="n">
        <v>43647</v>
      </c>
      <c r="B1208" t="n">
        <v>102.0236</v>
      </c>
      <c r="C1208" t="n">
        <v>100.4851</v>
      </c>
      <c r="D1208" t="n">
        <v>94.3109</v>
      </c>
      <c r="E1208" t="n">
        <v>100.2294</v>
      </c>
      <c r="F1208" t="n">
        <v>99.10599999999999</v>
      </c>
      <c r="G1208" t="n">
        <v>104.7433</v>
      </c>
      <c r="H1208" t="n">
        <v>119.7746</v>
      </c>
      <c r="I1208" t="n">
        <v>103.9146</v>
      </c>
      <c r="J1208" t="n">
        <v>78.2415</v>
      </c>
      <c r="K1208" t="n">
        <v>208</v>
      </c>
    </row>
    <row r="1209">
      <c r="A1209" s="98" t="n">
        <v>43678</v>
      </c>
      <c r="B1209" t="n">
        <v>102.7754</v>
      </c>
      <c r="C1209" t="n">
        <v>100.7826</v>
      </c>
      <c r="D1209" t="n">
        <v>95.4081</v>
      </c>
      <c r="E1209" t="n">
        <v>100.535</v>
      </c>
      <c r="F1209" t="n">
        <v>99.7898</v>
      </c>
      <c r="G1209" t="n">
        <v>105.8443</v>
      </c>
      <c r="H1209" t="n">
        <v>122.6931</v>
      </c>
      <c r="I1209" t="n">
        <v>103.1342</v>
      </c>
      <c r="J1209" t="n">
        <v>78.7426</v>
      </c>
      <c r="K1209" t="n">
        <v>208</v>
      </c>
    </row>
    <row r="1210">
      <c r="A1210" s="98" t="n">
        <v>43709</v>
      </c>
      <c r="B1210" t="n">
        <v>102.5315</v>
      </c>
      <c r="C1210" t="n">
        <v>100.3095</v>
      </c>
      <c r="D1210" t="n">
        <v>94.01909999999999</v>
      </c>
      <c r="E1210" t="n">
        <v>100.0087</v>
      </c>
      <c r="F1210" t="n">
        <v>99.1318</v>
      </c>
      <c r="G1210" t="n">
        <v>106.0225</v>
      </c>
      <c r="H1210" t="n">
        <v>123.0956</v>
      </c>
      <c r="I1210" t="n">
        <v>105.3074</v>
      </c>
      <c r="J1210" t="n">
        <v>78.4845</v>
      </c>
      <c r="K1210" t="n">
        <v>208.2</v>
      </c>
    </row>
    <row r="1211">
      <c r="A1211" s="98" t="n">
        <v>43739</v>
      </c>
      <c r="B1211" t="n">
        <v>101.6022</v>
      </c>
      <c r="C1211" t="n">
        <v>99.24120000000001</v>
      </c>
      <c r="D1211" t="n">
        <v>93.718</v>
      </c>
      <c r="E1211" t="n">
        <v>99.3342</v>
      </c>
      <c r="F1211" t="n">
        <v>98.2088</v>
      </c>
      <c r="G1211" t="n">
        <v>104.7023</v>
      </c>
      <c r="H1211" t="n">
        <v>122.4687</v>
      </c>
      <c r="I1211" t="n">
        <v>104.2514</v>
      </c>
      <c r="J1211" t="n">
        <v>77.7075</v>
      </c>
      <c r="K1211" t="n">
        <v>208.5</v>
      </c>
    </row>
    <row r="1212">
      <c r="A1212" s="98" t="n">
        <v>43770</v>
      </c>
      <c r="B1212" t="n">
        <v>102.148</v>
      </c>
      <c r="C1212" t="n">
        <v>98.878</v>
      </c>
      <c r="D1212" t="n">
        <v>95.6837</v>
      </c>
      <c r="E1212" t="n">
        <v>100.8946</v>
      </c>
      <c r="F1212" t="n">
        <v>99.1039</v>
      </c>
      <c r="G1212" t="n">
        <v>104.4814</v>
      </c>
      <c r="H1212" t="n">
        <v>120.1577</v>
      </c>
      <c r="I1212" t="n">
        <v>105.5904</v>
      </c>
      <c r="J1212" t="n">
        <v>78.0665</v>
      </c>
      <c r="K1212" t="n">
        <v>208.8</v>
      </c>
    </row>
    <row r="1213">
      <c r="A1213" s="98" t="n">
        <v>43800</v>
      </c>
      <c r="B1213" t="n">
        <v>101.884</v>
      </c>
      <c r="C1213" t="n">
        <v>99.815</v>
      </c>
      <c r="D1213" t="n">
        <v>95.87869999999999</v>
      </c>
      <c r="E1213" t="n">
        <v>100.0117</v>
      </c>
      <c r="F1213" t="n">
        <v>99.151</v>
      </c>
      <c r="G1213" t="n">
        <v>104.189</v>
      </c>
      <c r="H1213" t="n">
        <v>120.5794</v>
      </c>
      <c r="I1213" t="n">
        <v>102.1912</v>
      </c>
      <c r="J1213" t="n">
        <v>77.8163</v>
      </c>
      <c r="K1213" t="n">
        <v>208.8</v>
      </c>
    </row>
    <row r="1214">
      <c r="A1214" s="98" t="n">
        <v>43831</v>
      </c>
      <c r="B1214" t="n">
        <v>101.3768</v>
      </c>
      <c r="C1214" t="n">
        <v>101.9039</v>
      </c>
      <c r="D1214" t="n">
        <v>93.4354</v>
      </c>
      <c r="E1214" t="n">
        <v>99.3883</v>
      </c>
      <c r="F1214" t="n">
        <v>98.91160000000001</v>
      </c>
      <c r="G1214" t="n">
        <v>103.8942</v>
      </c>
      <c r="H1214" t="n">
        <v>120.675</v>
      </c>
      <c r="I1214" t="n">
        <v>99.1474</v>
      </c>
      <c r="J1214" t="n">
        <v>77.3913</v>
      </c>
      <c r="K1214" t="n">
        <v>209</v>
      </c>
    </row>
    <row r="1215">
      <c r="A1215" s="98" t="n">
        <v>43862</v>
      </c>
      <c r="B1215" t="n">
        <v>101.633</v>
      </c>
      <c r="C1215" t="n">
        <v>101.6834</v>
      </c>
      <c r="D1215" t="n">
        <v>93.3215</v>
      </c>
      <c r="E1215" t="n">
        <v>100.3045</v>
      </c>
      <c r="F1215" t="n">
        <v>99.1331</v>
      </c>
      <c r="G1215" t="n">
        <v>103.7276</v>
      </c>
      <c r="H1215" t="n">
        <v>119.2226</v>
      </c>
      <c r="I1215" t="n">
        <v>101.6933</v>
      </c>
      <c r="J1215" t="n">
        <v>77.5663</v>
      </c>
      <c r="K1215" t="n">
        <v>209.5</v>
      </c>
    </row>
    <row r="1216">
      <c r="A1216" s="98" t="n">
        <v>43891</v>
      </c>
      <c r="B1216" t="n">
        <v>97.66719999999999</v>
      </c>
      <c r="C1216" t="n">
        <v>98.46380000000001</v>
      </c>
      <c r="D1216" t="n">
        <v>86.85250000000001</v>
      </c>
      <c r="E1216" t="n">
        <v>95.3494</v>
      </c>
      <c r="F1216" t="n">
        <v>94.6074</v>
      </c>
      <c r="G1216" t="n">
        <v>100.994</v>
      </c>
      <c r="H1216" t="n">
        <v>118.7186</v>
      </c>
      <c r="I1216" t="n">
        <v>99.521</v>
      </c>
      <c r="J1216" t="n">
        <v>74.5352</v>
      </c>
      <c r="K1216" t="n">
        <v>209.5</v>
      </c>
    </row>
    <row r="1217">
      <c r="A1217" s="98" t="n">
        <v>43922</v>
      </c>
      <c r="B1217" t="n">
        <v>84.5979</v>
      </c>
      <c r="C1217" t="n">
        <v>87.7877</v>
      </c>
      <c r="D1217" t="n">
        <v>66.8634</v>
      </c>
      <c r="E1217" t="n">
        <v>84.2234</v>
      </c>
      <c r="F1217" t="n">
        <v>79.9421</v>
      </c>
      <c r="G1217" t="n">
        <v>87.81610000000001</v>
      </c>
      <c r="H1217" t="n">
        <v>102.9611</v>
      </c>
      <c r="I1217" t="n">
        <v>100.3792</v>
      </c>
      <c r="J1217" t="n">
        <v>64.5714</v>
      </c>
      <c r="K1217" t="n">
        <v>209.9</v>
      </c>
    </row>
    <row r="1218">
      <c r="A1218" s="98" t="n">
        <v>43952</v>
      </c>
      <c r="B1218" t="n">
        <v>85.97320000000001</v>
      </c>
      <c r="C1218" t="n">
        <v>91.2971</v>
      </c>
      <c r="D1218" t="n">
        <v>72.60550000000001</v>
      </c>
      <c r="E1218" t="n">
        <v>87.78619999999999</v>
      </c>
      <c r="F1218" t="n">
        <v>83.488</v>
      </c>
      <c r="G1218" t="n">
        <v>86.6224</v>
      </c>
      <c r="H1218" t="n">
        <v>89.6208</v>
      </c>
      <c r="I1218" t="n">
        <v>98.39709999999999</v>
      </c>
      <c r="J1218" t="n">
        <v>65.64870000000001</v>
      </c>
      <c r="K1218" t="n">
        <v>209.8</v>
      </c>
    </row>
    <row r="1219">
      <c r="A1219" s="98" t="n">
        <v>43983</v>
      </c>
      <c r="B1219" t="n">
        <v>91.5625</v>
      </c>
      <c r="C1219" t="n">
        <v>92.8014</v>
      </c>
      <c r="D1219" t="n">
        <v>80.6587</v>
      </c>
      <c r="E1219" t="n">
        <v>95.60550000000001</v>
      </c>
      <c r="F1219" t="n">
        <v>90.02419999999999</v>
      </c>
      <c r="G1219" t="n">
        <v>91.5331</v>
      </c>
      <c r="H1219" t="n">
        <v>91.9365</v>
      </c>
      <c r="I1219" t="n">
        <v>100.4361</v>
      </c>
      <c r="J1219" t="n">
        <v>69.96639999999999</v>
      </c>
      <c r="K1219" t="n">
        <v>209.8</v>
      </c>
    </row>
    <row r="1220">
      <c r="A1220" s="98" t="n">
        <v>44013</v>
      </c>
      <c r="B1220" t="n">
        <v>95.01439999999999</v>
      </c>
      <c r="C1220" t="n">
        <v>94.2406</v>
      </c>
      <c r="D1220" t="n">
        <v>84.3447</v>
      </c>
      <c r="E1220" t="n">
        <v>99.90819999999999</v>
      </c>
      <c r="F1220" t="n">
        <v>93.2612</v>
      </c>
      <c r="G1220" t="n">
        <v>94.9915</v>
      </c>
      <c r="H1220" t="n">
        <v>96.8934</v>
      </c>
      <c r="I1220" t="n">
        <v>104.5185</v>
      </c>
      <c r="J1220" t="n">
        <v>72.6784</v>
      </c>
      <c r="K1220" t="n">
        <v>210.2</v>
      </c>
    </row>
    <row r="1221">
      <c r="A1221" s="98" t="n">
        <v>44044</v>
      </c>
      <c r="B1221" t="n">
        <v>95.88809999999999</v>
      </c>
      <c r="C1221" t="n">
        <v>95.5668</v>
      </c>
      <c r="D1221" t="n">
        <v>86.0018</v>
      </c>
      <c r="E1221" t="n">
        <v>100.6005</v>
      </c>
      <c r="F1221" t="n">
        <v>94.5193</v>
      </c>
      <c r="G1221" t="n">
        <v>95.6108</v>
      </c>
      <c r="H1221" t="n">
        <v>97.17149999999999</v>
      </c>
      <c r="I1221" t="n">
        <v>102.3597</v>
      </c>
      <c r="J1221" t="n">
        <v>73.4452</v>
      </c>
      <c r="K1221" t="n">
        <v>210.5</v>
      </c>
    </row>
    <row r="1222">
      <c r="A1222" s="98" t="n">
        <v>44075</v>
      </c>
      <c r="B1222" t="n">
        <v>95.84439999999999</v>
      </c>
      <c r="C1222" t="n">
        <v>95.89830000000001</v>
      </c>
      <c r="D1222" t="n">
        <v>85.27030000000001</v>
      </c>
      <c r="E1222" t="n">
        <v>99.2739</v>
      </c>
      <c r="F1222" t="n">
        <v>94.4619</v>
      </c>
      <c r="G1222" t="n">
        <v>96.3068</v>
      </c>
      <c r="H1222" t="n">
        <v>98.1807</v>
      </c>
      <c r="I1222" t="n">
        <v>101.0764</v>
      </c>
      <c r="J1222" t="n">
        <v>73.52979999999999</v>
      </c>
      <c r="K1222" t="n">
        <v>210.7</v>
      </c>
    </row>
    <row r="1223">
      <c r="A1223" s="98" t="n">
        <v>44105</v>
      </c>
      <c r="B1223" t="n">
        <v>96.42919999999999</v>
      </c>
      <c r="C1223" t="n">
        <v>97.6746</v>
      </c>
      <c r="D1223" t="n">
        <v>85.3164</v>
      </c>
      <c r="E1223" t="n">
        <v>99.3411</v>
      </c>
      <c r="F1223" t="n">
        <v>95.20820000000001</v>
      </c>
      <c r="G1223" t="n">
        <v>96.91540000000001</v>
      </c>
      <c r="H1223" t="n">
        <v>97.06740000000001</v>
      </c>
      <c r="I1223" t="n">
        <v>101.9191</v>
      </c>
      <c r="J1223" t="n">
        <v>74.1142</v>
      </c>
      <c r="K1223" t="n">
        <v>210.8</v>
      </c>
    </row>
    <row r="1224">
      <c r="A1224" s="98" t="n">
        <v>44136</v>
      </c>
      <c r="B1224" t="n">
        <v>96.85639999999999</v>
      </c>
      <c r="C1224" t="n">
        <v>98.09950000000001</v>
      </c>
      <c r="D1224" t="n">
        <v>85.7666</v>
      </c>
      <c r="E1224" t="n">
        <v>99.5474</v>
      </c>
      <c r="F1224" t="n">
        <v>95.8115</v>
      </c>
      <c r="G1224" t="n">
        <v>97.57250000000001</v>
      </c>
      <c r="H1224" t="n">
        <v>100.8088</v>
      </c>
      <c r="I1224" t="n">
        <v>98.4558</v>
      </c>
      <c r="J1224" t="n">
        <v>74.59269999999999</v>
      </c>
      <c r="K1224" t="n">
        <v>211.5</v>
      </c>
    </row>
    <row r="1225">
      <c r="A1225" s="98" t="n">
        <v>44166</v>
      </c>
      <c r="B1225" t="n">
        <v>97.97539999999999</v>
      </c>
      <c r="C1225" t="n">
        <v>99.59529999999999</v>
      </c>
      <c r="D1225" t="n">
        <v>86.4194</v>
      </c>
      <c r="E1225" t="n">
        <v>101.3148</v>
      </c>
      <c r="F1225" t="n">
        <v>96.44499999999999</v>
      </c>
      <c r="G1225" t="n">
        <v>98.36020000000001</v>
      </c>
      <c r="H1225" t="n">
        <v>101.3489</v>
      </c>
      <c r="I1225" t="n">
        <v>104.1093</v>
      </c>
      <c r="J1225" t="n">
        <v>75.6169</v>
      </c>
      <c r="K1225" t="n">
        <v>211.6</v>
      </c>
    </row>
    <row r="1226">
      <c r="A1226" s="98" t="n">
        <v>44197</v>
      </c>
      <c r="B1226" t="n">
        <v>98.78360000000001</v>
      </c>
      <c r="C1226" t="n">
        <v>100.154</v>
      </c>
      <c r="D1226" t="n">
        <v>87.9871</v>
      </c>
      <c r="E1226" t="n">
        <v>101.92</v>
      </c>
      <c r="F1226" t="n">
        <v>97.5098</v>
      </c>
      <c r="G1226" t="n">
        <v>99.3212</v>
      </c>
      <c r="H1226" t="n">
        <v>103.8388</v>
      </c>
      <c r="I1226" t="n">
        <v>101.8887</v>
      </c>
      <c r="J1226" t="n">
        <v>76.4136</v>
      </c>
      <c r="K1226" t="n">
        <v>212.4</v>
      </c>
    </row>
    <row r="1227">
      <c r="A1227" s="98" t="n">
        <v>44228</v>
      </c>
      <c r="B1227" t="n">
        <v>95.37439999999999</v>
      </c>
      <c r="C1227" t="n">
        <v>96.5506</v>
      </c>
      <c r="D1227" t="n">
        <v>85.0761</v>
      </c>
      <c r="E1227" t="n">
        <v>99.39449999999999</v>
      </c>
      <c r="F1227" t="n">
        <v>93.52760000000001</v>
      </c>
      <c r="G1227" t="n">
        <v>94.7287</v>
      </c>
      <c r="H1227" t="n">
        <v>95.0082</v>
      </c>
      <c r="I1227" t="n">
        <v>107.5578</v>
      </c>
      <c r="J1227" t="n">
        <v>73.9408</v>
      </c>
      <c r="K1227" t="n">
        <v>213</v>
      </c>
    </row>
    <row r="1228">
      <c r="A1228" s="98" t="n">
        <v>44256</v>
      </c>
      <c r="B1228" t="n">
        <v>98.13509999999999</v>
      </c>
      <c r="C1228" t="n">
        <v>100.3631</v>
      </c>
      <c r="D1228" t="n">
        <v>86.9843</v>
      </c>
      <c r="E1228" t="n">
        <v>100.8014</v>
      </c>
      <c r="F1228" t="n">
        <v>96.3978</v>
      </c>
      <c r="G1228" t="n">
        <v>98.6347</v>
      </c>
      <c r="H1228" t="n">
        <v>105.4105</v>
      </c>
      <c r="I1228" t="n">
        <v>101.5196</v>
      </c>
      <c r="J1228" t="n">
        <v>76.24979999999999</v>
      </c>
      <c r="K1228" t="n">
        <v>213.8</v>
      </c>
    </row>
    <row r="1229">
      <c r="A1229" s="98" t="n">
        <v>44287</v>
      </c>
      <c r="B1229" t="n">
        <v>98.2886</v>
      </c>
      <c r="C1229" t="n">
        <v>99.7968</v>
      </c>
      <c r="D1229" t="n">
        <v>86.0556</v>
      </c>
      <c r="E1229" t="n">
        <v>100.2242</v>
      </c>
      <c r="F1229" t="n">
        <v>96.5859</v>
      </c>
      <c r="G1229" t="n">
        <v>99.49639999999999</v>
      </c>
      <c r="H1229" t="n">
        <v>105.5071</v>
      </c>
      <c r="I1229" t="n">
        <v>102.1216</v>
      </c>
      <c r="J1229" t="n">
        <v>76.53749999999999</v>
      </c>
      <c r="K1229" t="n">
        <v>214.9</v>
      </c>
    </row>
    <row r="1230">
      <c r="A1230" s="98" t="n">
        <v>44317</v>
      </c>
      <c r="B1230" t="n">
        <v>99.1508</v>
      </c>
      <c r="C1230" t="n">
        <v>99.53700000000001</v>
      </c>
      <c r="D1230" t="n">
        <v>87.5966</v>
      </c>
      <c r="E1230" t="n">
        <v>100.9633</v>
      </c>
      <c r="F1230" t="n">
        <v>97.68429999999999</v>
      </c>
      <c r="G1230" t="n">
        <v>100.4537</v>
      </c>
      <c r="H1230" t="n">
        <v>106.5645</v>
      </c>
      <c r="I1230" t="n">
        <v>101.5981</v>
      </c>
      <c r="J1230" t="n">
        <v>77.36969999999999</v>
      </c>
      <c r="K1230" t="n">
        <v>216.1</v>
      </c>
    </row>
    <row r="1231">
      <c r="A1231" s="98" t="n">
        <v>44348</v>
      </c>
      <c r="B1231" t="n">
        <v>99.50960000000001</v>
      </c>
      <c r="C1231" t="n">
        <v>99.3171</v>
      </c>
      <c r="D1231" t="n">
        <v>86.8265</v>
      </c>
      <c r="E1231" t="n">
        <v>101.1185</v>
      </c>
      <c r="F1231" t="n">
        <v>97.6806</v>
      </c>
      <c r="G1231" t="n">
        <v>101.1695</v>
      </c>
      <c r="H1231" t="n">
        <v>106.9817</v>
      </c>
      <c r="I1231" t="n">
        <v>105.1726</v>
      </c>
      <c r="J1231" t="n">
        <v>77.7972</v>
      </c>
      <c r="K1231" t="n">
        <v>217.6</v>
      </c>
    </row>
    <row r="1232">
      <c r="A1232" s="98" t="n">
        <v>44378</v>
      </c>
      <c r="B1232" t="n">
        <v>100.1231</v>
      </c>
      <c r="C1232" t="n">
        <v>100.2892</v>
      </c>
      <c r="D1232" t="n">
        <v>89.0628</v>
      </c>
      <c r="E1232" t="n">
        <v>101.741</v>
      </c>
      <c r="F1232" t="n">
        <v>98.6887</v>
      </c>
      <c r="G1232" t="n">
        <v>101.3318</v>
      </c>
      <c r="H1232" t="n">
        <v>107.4984</v>
      </c>
      <c r="I1232" t="n">
        <v>103.0394</v>
      </c>
      <c r="J1232" t="n">
        <v>78.4064</v>
      </c>
      <c r="K1232" t="n">
        <v>219.052</v>
      </c>
    </row>
    <row r="1233">
      <c r="A1233" s="98" t="n">
        <v>44409</v>
      </c>
      <c r="B1233" t="n">
        <v>100.1255</v>
      </c>
      <c r="C1233" t="n">
        <v>100.8316</v>
      </c>
      <c r="D1233" t="n">
        <v>89.1611</v>
      </c>
      <c r="E1233" t="n">
        <v>101.4531</v>
      </c>
      <c r="F1233" t="n">
        <v>98.3313</v>
      </c>
      <c r="G1233" t="n">
        <v>101.3205</v>
      </c>
      <c r="H1233" t="n">
        <v>107.8188</v>
      </c>
      <c r="I1233" t="n">
        <v>104.878</v>
      </c>
      <c r="J1233" t="n">
        <v>78.5176</v>
      </c>
      <c r="K1233" t="n">
        <v>220.068</v>
      </c>
    </row>
    <row r="1234">
      <c r="A1234" s="98" t="n">
        <v>44440</v>
      </c>
      <c r="B1234" t="n">
        <v>99.06140000000001</v>
      </c>
      <c r="C1234" t="n">
        <v>101.9342</v>
      </c>
      <c r="D1234" t="n">
        <v>88.7809</v>
      </c>
      <c r="E1234" t="n">
        <v>100.7086</v>
      </c>
      <c r="F1234" t="n">
        <v>97.4235</v>
      </c>
      <c r="G1234" t="n">
        <v>99.59059999999999</v>
      </c>
      <c r="H1234" t="n">
        <v>105.617</v>
      </c>
      <c r="I1234" t="n">
        <v>103.9478</v>
      </c>
      <c r="J1234" t="n">
        <v>77.7675</v>
      </c>
      <c r="K1234" t="n">
        <v>221.546</v>
      </c>
    </row>
    <row r="1235">
      <c r="A1235" s="98" t="n">
        <v>44470</v>
      </c>
      <c r="B1235" t="n">
        <v>100.3045</v>
      </c>
      <c r="C1235" t="n">
        <v>102.6188</v>
      </c>
      <c r="D1235" t="n">
        <v>89.1682</v>
      </c>
      <c r="E1235" t="n">
        <v>101.1717</v>
      </c>
      <c r="F1235" t="n">
        <v>98.755</v>
      </c>
      <c r="G1235" t="n">
        <v>101.6606</v>
      </c>
      <c r="H1235" t="n">
        <v>109.3269</v>
      </c>
      <c r="I1235" t="n">
        <v>101.3195</v>
      </c>
      <c r="J1235" t="n">
        <v>78.8064</v>
      </c>
      <c r="K1235" t="n">
        <v>222.791</v>
      </c>
    </row>
    <row r="1236">
      <c r="A1236" s="98" t="n">
        <v>44501</v>
      </c>
      <c r="B1236" t="n">
        <v>101.1971</v>
      </c>
      <c r="C1236" t="n">
        <v>104.224</v>
      </c>
      <c r="D1236" t="n">
        <v>90.36279999999999</v>
      </c>
      <c r="E1236" t="n">
        <v>102.4296</v>
      </c>
      <c r="F1236" t="n">
        <v>99.6404</v>
      </c>
      <c r="G1236" t="n">
        <v>102.2108</v>
      </c>
      <c r="H1236" t="n">
        <v>109.8534</v>
      </c>
      <c r="I1236" t="n">
        <v>103.1336</v>
      </c>
      <c r="J1236" t="n">
        <v>79.5489</v>
      </c>
      <c r="K1236" t="n">
        <v>224.142</v>
      </c>
    </row>
    <row r="1237">
      <c r="A1237" s="98" t="n">
        <v>44531</v>
      </c>
      <c r="B1237" t="n">
        <v>100.886</v>
      </c>
      <c r="C1237" t="n">
        <v>104.6281</v>
      </c>
      <c r="D1237" t="n">
        <v>91.68089999999999</v>
      </c>
      <c r="E1237" t="n">
        <v>101.5154</v>
      </c>
      <c r="F1237" t="n">
        <v>99.617</v>
      </c>
      <c r="G1237" t="n">
        <v>101.8946</v>
      </c>
      <c r="H1237" t="n">
        <v>110.0766</v>
      </c>
      <c r="I1237" t="n">
        <v>100.0146</v>
      </c>
      <c r="J1237" t="n">
        <v>79.32429999999999</v>
      </c>
      <c r="K1237" t="n">
        <v>225.403</v>
      </c>
    </row>
    <row r="1238">
      <c r="A1238" s="98" t="n">
        <v>44562</v>
      </c>
      <c r="B1238" t="n">
        <v>101.0227</v>
      </c>
      <c r="C1238" t="n">
        <v>103.2955</v>
      </c>
      <c r="D1238" t="n">
        <v>91.2693</v>
      </c>
      <c r="E1238" t="n">
        <v>102.5494</v>
      </c>
      <c r="F1238" t="n">
        <v>99.0596</v>
      </c>
      <c r="G1238" t="n">
        <v>101.7927</v>
      </c>
      <c r="H1238" t="n">
        <v>108.3229</v>
      </c>
      <c r="I1238" t="n">
        <v>108.4605</v>
      </c>
      <c r="J1238" t="n">
        <v>79.43219999999999</v>
      </c>
      <c r="K1238" t="n">
        <v>227.484</v>
      </c>
    </row>
    <row r="1239">
      <c r="A1239" s="98" t="n">
        <v>44593</v>
      </c>
      <c r="B1239" t="n">
        <v>101.6766</v>
      </c>
      <c r="C1239" t="n">
        <v>105.1746</v>
      </c>
      <c r="D1239" t="n">
        <v>93.24639999999999</v>
      </c>
      <c r="E1239" t="n">
        <v>102.9043</v>
      </c>
      <c r="F1239" t="n">
        <v>100.2304</v>
      </c>
      <c r="G1239" t="n">
        <v>102.0671</v>
      </c>
      <c r="H1239" t="n">
        <v>107.9322</v>
      </c>
      <c r="I1239" t="n">
        <v>106.8418</v>
      </c>
      <c r="J1239" t="n">
        <v>79.92529999999999</v>
      </c>
      <c r="K1239" t="n">
        <v>229.634</v>
      </c>
    </row>
    <row r="1240">
      <c r="A1240" s="98" t="n">
        <v>44621</v>
      </c>
      <c r="B1240" t="n">
        <v>102.478</v>
      </c>
      <c r="C1240" t="n">
        <v>104.853</v>
      </c>
      <c r="D1240" t="n">
        <v>94.50539999999999</v>
      </c>
      <c r="E1240" t="n">
        <v>103.4595</v>
      </c>
      <c r="F1240" t="n">
        <v>101.0107</v>
      </c>
      <c r="G1240" t="n">
        <v>103.1283</v>
      </c>
      <c r="H1240" t="n">
        <v>110.6254</v>
      </c>
      <c r="I1240" t="n">
        <v>104.6333</v>
      </c>
      <c r="J1240" t="n">
        <v>80.5162</v>
      </c>
      <c r="K1240" t="n">
        <v>231.136</v>
      </c>
    </row>
    <row r="1241">
      <c r="A1241" s="98" t="n">
        <v>44652</v>
      </c>
      <c r="B1241" t="n">
        <v>102.7953</v>
      </c>
      <c r="C1241" t="n">
        <v>104.5336</v>
      </c>
      <c r="D1241" t="n">
        <v>95.5861</v>
      </c>
      <c r="E1241" t="n">
        <v>103.8367</v>
      </c>
      <c r="F1241" t="n">
        <v>101.1941</v>
      </c>
      <c r="G1241" t="n">
        <v>103.2737</v>
      </c>
      <c r="H1241" t="n">
        <v>111.1315</v>
      </c>
      <c r="I1241" t="n">
        <v>106.0629</v>
      </c>
      <c r="J1241" t="n">
        <v>80.71120000000001</v>
      </c>
      <c r="K1241" t="n">
        <v>233.436</v>
      </c>
    </row>
    <row r="1242">
      <c r="A1242" s="98" t="n">
        <v>44682</v>
      </c>
      <c r="B1242" t="n">
        <v>102.7769</v>
      </c>
      <c r="C1242" t="n">
        <v>104.6565</v>
      </c>
      <c r="D1242" t="n">
        <v>95.97920000000001</v>
      </c>
      <c r="E1242" t="n">
        <v>103.1535</v>
      </c>
      <c r="F1242" t="n">
        <v>100.863</v>
      </c>
      <c r="G1242" t="n">
        <v>103.5862</v>
      </c>
      <c r="H1242" t="n">
        <v>112.2857</v>
      </c>
      <c r="I1242" t="n">
        <v>106.9685</v>
      </c>
      <c r="J1242" t="n">
        <v>80.6275</v>
      </c>
      <c r="K1242" t="n">
        <v>235.351</v>
      </c>
    </row>
    <row r="1243">
      <c r="A1243" s="98" t="n">
        <v>44713</v>
      </c>
      <c r="B1243" t="n">
        <v>102.6863</v>
      </c>
      <c r="C1243" t="n">
        <v>103.5377</v>
      </c>
      <c r="D1243" t="n">
        <v>96.1558</v>
      </c>
      <c r="E1243" t="n">
        <v>102.7747</v>
      </c>
      <c r="F1243" t="n">
        <v>100.4645</v>
      </c>
      <c r="G1243" t="n">
        <v>103.8064</v>
      </c>
      <c r="H1243" t="n">
        <v>113.8698</v>
      </c>
      <c r="I1243" t="n">
        <v>106.7159</v>
      </c>
      <c r="J1243" t="n">
        <v>80.4742</v>
      </c>
      <c r="K1243" t="n">
        <v>236.991</v>
      </c>
    </row>
    <row r="1244">
      <c r="A1244" s="98" t="n">
        <v>44743</v>
      </c>
      <c r="B1244" t="n">
        <v>103.1328</v>
      </c>
      <c r="C1244" t="n">
        <v>103.7727</v>
      </c>
      <c r="D1244" t="n">
        <v>96.8635</v>
      </c>
      <c r="E1244" t="n">
        <v>102.6928</v>
      </c>
      <c r="F1244" t="n">
        <v>100.7345</v>
      </c>
      <c r="G1244" t="n">
        <v>104.5648</v>
      </c>
      <c r="H1244" t="n">
        <v>115.502</v>
      </c>
      <c r="I1244" t="n">
        <v>106.8803</v>
      </c>
      <c r="J1244" t="n">
        <v>80.73180000000001</v>
      </c>
      <c r="K1244" t="n">
        <v>238.297</v>
      </c>
    </row>
    <row r="1245">
      <c r="A1245" s="98" t="n">
        <v>44774</v>
      </c>
      <c r="B1245" t="n">
        <v>103.2344</v>
      </c>
      <c r="C1245" t="n">
        <v>103.505</v>
      </c>
      <c r="D1245" t="n">
        <v>97.67619999999999</v>
      </c>
      <c r="E1245" t="n">
        <v>103.003</v>
      </c>
      <c r="F1245" t="n">
        <v>100.9427</v>
      </c>
      <c r="G1245" t="n">
        <v>104.4416</v>
      </c>
      <c r="H1245" t="n">
        <v>115.7788</v>
      </c>
      <c r="I1245" t="n">
        <v>105.9957</v>
      </c>
      <c r="J1245" t="n">
        <v>80.7118</v>
      </c>
      <c r="K1245" t="n">
        <v>239.524</v>
      </c>
    </row>
    <row r="1246">
      <c r="A1246" s="98" t="n">
        <v>44805</v>
      </c>
      <c r="B1246" t="n">
        <v>103.5283</v>
      </c>
      <c r="C1246" t="n">
        <v>103.809</v>
      </c>
      <c r="D1246" t="n">
        <v>98.2449</v>
      </c>
      <c r="E1246" t="n">
        <v>102.7122</v>
      </c>
      <c r="F1246" t="n">
        <v>101.1402</v>
      </c>
      <c r="G1246" t="n">
        <v>105.0056</v>
      </c>
      <c r="H1246" t="n">
        <v>117.1892</v>
      </c>
      <c r="I1246" t="n">
        <v>104.9233</v>
      </c>
      <c r="J1246" t="n">
        <v>80.8369</v>
      </c>
      <c r="K1246" t="n">
        <v>240.255</v>
      </c>
    </row>
    <row r="1247">
      <c r="A1247" s="98" t="n">
        <v>44835</v>
      </c>
      <c r="B1247" t="n">
        <v>103.4114</v>
      </c>
      <c r="C1247" t="n">
        <v>103.4263</v>
      </c>
      <c r="D1247" t="n">
        <v>98.5913</v>
      </c>
      <c r="E1247" t="n">
        <v>103.2432</v>
      </c>
      <c r="F1247" t="n">
        <v>101.2339</v>
      </c>
      <c r="G1247" t="n">
        <v>104.4746</v>
      </c>
      <c r="H1247" t="n">
        <v>117.3849</v>
      </c>
      <c r="I1247" t="n">
        <v>102.4057</v>
      </c>
      <c r="J1247" t="n">
        <v>80.6377</v>
      </c>
      <c r="K1247" t="n">
        <v>240.998</v>
      </c>
    </row>
    <row r="1248">
      <c r="A1248" s="98" t="n">
        <v>44866</v>
      </c>
      <c r="B1248" t="n">
        <v>103.0707</v>
      </c>
      <c r="C1248" t="n">
        <v>102.9232</v>
      </c>
      <c r="D1248" t="n">
        <v>97.4906</v>
      </c>
      <c r="E1248" t="n">
        <v>103.0582</v>
      </c>
      <c r="F1248" t="n">
        <v>100.4743</v>
      </c>
      <c r="G1248" t="n">
        <v>104.1335</v>
      </c>
      <c r="H1248" t="n">
        <v>116.6132</v>
      </c>
      <c r="I1248" t="n">
        <v>105.8364</v>
      </c>
      <c r="J1248" t="n">
        <v>80.26260000000001</v>
      </c>
      <c r="K1248" t="n">
        <v>242.156</v>
      </c>
    </row>
    <row r="1249">
      <c r="A1249" s="98" t="n">
        <v>44896</v>
      </c>
      <c r="B1249" t="n">
        <v>101.4848</v>
      </c>
      <c r="C1249" t="n">
        <v>101.0228</v>
      </c>
      <c r="D1249" t="n">
        <v>95.9335</v>
      </c>
      <c r="E1249" t="n">
        <v>102.4173</v>
      </c>
      <c r="F1249" t="n">
        <v>98.313</v>
      </c>
      <c r="G1249" t="n">
        <v>102.1241</v>
      </c>
      <c r="H1249" t="n">
        <v>114.2881</v>
      </c>
      <c r="I1249" t="n">
        <v>109.2204</v>
      </c>
      <c r="J1249" t="n">
        <v>78.9195</v>
      </c>
      <c r="K1249" t="n">
        <v>242.696</v>
      </c>
    </row>
    <row r="1250">
      <c r="A1250" s="98" t="n">
        <v>44927</v>
      </c>
      <c r="B1250" t="n">
        <v>102.508</v>
      </c>
      <c r="C1250" t="n">
        <v>103.8649</v>
      </c>
      <c r="D1250" t="n">
        <v>97.0898</v>
      </c>
      <c r="E1250" t="n">
        <v>102.0755</v>
      </c>
      <c r="F1250" t="n">
        <v>99.8592</v>
      </c>
      <c r="G1250" t="n">
        <v>103.9406</v>
      </c>
      <c r="H1250" t="n">
        <v>118.7739</v>
      </c>
      <c r="I1250" t="n">
        <v>101.3425</v>
      </c>
      <c r="J1250" t="n">
        <v>79.60639999999999</v>
      </c>
      <c r="K1250" t="n">
        <v>244.404</v>
      </c>
    </row>
    <row r="1251">
      <c r="A1251" s="98" t="n">
        <v>44958</v>
      </c>
      <c r="B1251" t="n">
        <v>102.5023</v>
      </c>
      <c r="C1251" t="n">
        <v>102.915</v>
      </c>
      <c r="D1251" t="n">
        <v>96.358</v>
      </c>
      <c r="E1251" t="n">
        <v>102.1753</v>
      </c>
      <c r="F1251" t="n">
        <v>100.1772</v>
      </c>
      <c r="G1251" t="n">
        <v>104.1646</v>
      </c>
      <c r="H1251" t="n">
        <v>117.5649</v>
      </c>
      <c r="I1251" t="n">
        <v>100.5014</v>
      </c>
      <c r="J1251" t="n">
        <v>79.49509999999999</v>
      </c>
      <c r="K1251" t="n">
        <v>245.25</v>
      </c>
    </row>
    <row r="1252">
      <c r="A1252" s="98" t="n">
        <v>44986</v>
      </c>
      <c r="B1252" t="n">
        <v>102.6521</v>
      </c>
      <c r="C1252" t="n">
        <v>101.1218</v>
      </c>
      <c r="D1252" t="n">
        <v>95.22320000000001</v>
      </c>
      <c r="E1252" t="n">
        <v>102.458</v>
      </c>
      <c r="F1252" t="n">
        <v>99.5</v>
      </c>
      <c r="G1252" t="n">
        <v>104.5873</v>
      </c>
      <c r="H1252" t="n">
        <v>117.9933</v>
      </c>
      <c r="I1252" t="n">
        <v>106.7608</v>
      </c>
      <c r="J1252" t="n">
        <v>79.5063</v>
      </c>
      <c r="K1252" t="n">
        <v>246.026</v>
      </c>
    </row>
    <row r="1253">
      <c r="A1253" s="98" t="n">
        <v>45017</v>
      </c>
      <c r="B1253" t="n">
        <v>103.1748</v>
      </c>
      <c r="C1253" t="n">
        <v>101.756</v>
      </c>
      <c r="D1253" t="n">
        <v>96.4118</v>
      </c>
      <c r="E1253" t="n">
        <v>103.4504</v>
      </c>
      <c r="F1253" t="n">
        <v>100.4791</v>
      </c>
      <c r="G1253" t="n">
        <v>104.8609</v>
      </c>
      <c r="H1253" t="n">
        <v>118.3295</v>
      </c>
      <c r="I1253" t="n">
        <v>104.8441</v>
      </c>
      <c r="J1253" t="n">
        <v>79.8082</v>
      </c>
      <c r="K1253" t="n">
        <v>246.167</v>
      </c>
    </row>
    <row r="1254">
      <c r="A1254" s="98" t="n">
        <v>45047</v>
      </c>
      <c r="B1254" t="n">
        <v>103.0107</v>
      </c>
      <c r="C1254" t="n">
        <v>102.3332</v>
      </c>
      <c r="D1254" t="n">
        <v>96.28619999999999</v>
      </c>
      <c r="E1254" t="n">
        <v>103.3327</v>
      </c>
      <c r="F1254" t="n">
        <v>100.5996</v>
      </c>
      <c r="G1254" t="n">
        <v>104.5583</v>
      </c>
      <c r="H1254" t="n">
        <v>117.8542</v>
      </c>
      <c r="I1254" t="n">
        <v>102.9355</v>
      </c>
      <c r="J1254" t="n">
        <v>79.5813</v>
      </c>
      <c r="K1254" t="n">
        <v>247.004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7"/>
  <sheetViews>
    <sheetView zoomScale="80" zoomScaleNormal="80" workbookViewId="0">
      <pane ySplit="6" topLeftCell="A1229" activePane="bottomLeft" state="frozen"/>
      <selection pane="bottomLeft" activeCell="U1244" sqref="U1244"/>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88" min="5" max="6"/>
    <col width="10.6328125" bestFit="1" customWidth="1" style="88" min="7" max="7"/>
    <col width="10.6328125" customWidth="1" style="88" min="8" max="8"/>
    <col width="9.1796875" customWidth="1" style="88" min="9" max="15"/>
    <col width="25" customWidth="1" style="88" min="16" max="16"/>
    <col width="9.1796875" customWidth="1" style="88" min="17" max="26"/>
    <col width="18" bestFit="1" customWidth="1" style="88" min="27" max="27"/>
    <col width="9.1796875" customWidth="1" style="88" min="28" max="47"/>
    <col width="9.1796875" customWidth="1" style="88" min="48" max="16384"/>
  </cols>
  <sheetData>
    <row r="1">
      <c r="A1" s="14" t="inlineStr">
        <is>
          <t>INDPRO</t>
        </is>
      </c>
    </row>
    <row r="5" ht="16" customHeight="1"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c r="A14" s="31" t="n">
        <v>7153</v>
      </c>
      <c r="B14" s="32">
        <f>VLOOKUP(Table10[[#This Row],[Month]],database!A:J,MATCH('IP from start'!$A$1,database!$A$1:$J$1,),)</f>
        <v/>
      </c>
      <c r="C14" s="32" t="n"/>
      <c r="D14" s="32" t="n"/>
    </row>
    <row r="15" ht="16" customHeight="1">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8">
        <f>YEAR(R1188)</f>
        <v/>
      </c>
      <c r="V1188" s="88">
        <f>VLOOKUP(R1188,A:B,2,)</f>
        <v/>
      </c>
      <c r="AA1188" s="8">
        <f>S1188</f>
        <v/>
      </c>
      <c r="AB1188" s="5">
        <f>T1188</f>
        <v/>
      </c>
      <c r="AC1188" s="5">
        <f>T1192</f>
        <v/>
      </c>
      <c r="AD1188" s="5">
        <f>T1196</f>
        <v/>
      </c>
      <c r="AE1188" s="5">
        <f>T1200</f>
        <v/>
      </c>
      <c r="AF1188" s="5">
        <f>T1204</f>
        <v/>
      </c>
      <c r="AG1188" s="5">
        <f>T1208</f>
        <v/>
      </c>
      <c r="AH1188" s="6">
        <f>T1212</f>
        <v/>
      </c>
    </row>
    <row r="1189" ht="16" customHeight="1"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8">
        <f>YEAR(R1189)</f>
        <v/>
      </c>
      <c r="U1189" s="88">
        <f>T1189-T1188</f>
        <v/>
      </c>
      <c r="V1189" s="88">
        <f>VLOOKUP(R1189,A:B,2,)</f>
        <v/>
      </c>
      <c r="W1189" s="88">
        <f>(V1189-V1188)/V1188</f>
        <v/>
      </c>
      <c r="X1189" s="88">
        <f>(1+W1189)^(1/20)</f>
        <v/>
      </c>
      <c r="AA1189" s="9">
        <f>S1189</f>
        <v/>
      </c>
      <c r="AB1189" s="13">
        <f>T1189</f>
        <v/>
      </c>
      <c r="AC1189" s="13">
        <f>T1193</f>
        <v/>
      </c>
      <c r="AD1189" s="13">
        <f>T1197</f>
        <v/>
      </c>
      <c r="AE1189" s="13">
        <f>T1201</f>
        <v/>
      </c>
      <c r="AF1189" s="13">
        <f>T1205</f>
        <v/>
      </c>
      <c r="AG1189" s="13">
        <f>T1209</f>
        <v/>
      </c>
      <c r="AH1189" s="7">
        <f>T1213</f>
        <v/>
      </c>
    </row>
    <row r="1190" ht="16" customHeight="1" thickBot="1">
      <c r="A1190" s="31" t="n">
        <v>42948</v>
      </c>
      <c r="B1190" s="32">
        <f>VLOOKUP(Table10[[#This Row],[Month]],database!A:J,MATCH('IP from start'!$A$1,database!$A$1:$J$1,),)</f>
        <v/>
      </c>
      <c r="C1190" s="33">
        <f>(Table10[[#This Row],[Industrial Production ]]-B1178)/B1178</f>
        <v/>
      </c>
      <c r="D1190" s="34">
        <f>AVERAGE(C1179:C1190)</f>
        <v/>
      </c>
      <c r="T1190" s="60">
        <f>X1190</f>
        <v/>
      </c>
      <c r="X1190" s="4">
        <f>X1189-1</f>
        <v/>
      </c>
      <c r="AA1190" s="71" t="inlineStr">
        <is>
          <t>IP Annualized Growth</t>
        </is>
      </c>
      <c r="AB1190" s="72">
        <f>T1190</f>
        <v/>
      </c>
      <c r="AC1190" s="72">
        <f>T1194</f>
        <v/>
      </c>
      <c r="AD1190" s="72">
        <f>T1198</f>
        <v/>
      </c>
      <c r="AE1190" s="72">
        <f>T1202</f>
        <v/>
      </c>
      <c r="AF1190" s="72">
        <f>T1206</f>
        <v/>
      </c>
      <c r="AG1190" s="72">
        <f>T1210</f>
        <v/>
      </c>
      <c r="AH1190" s="73">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8">
        <f>YEAR(R1192)</f>
        <v/>
      </c>
      <c r="V1192" s="88">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8">
        <f>YEAR(R1193)</f>
        <v/>
      </c>
      <c r="U1193" s="88">
        <f>T1193-T1192</f>
        <v/>
      </c>
      <c r="V1193" s="88">
        <f>VLOOKUP(R1193,A:B,2,)</f>
        <v/>
      </c>
      <c r="W1193" s="88">
        <f>(V1193-V1192)/V1192</f>
        <v/>
      </c>
      <c r="X1193" s="88">
        <f>(1+W1193)^(1/20)</f>
        <v/>
      </c>
    </row>
    <row r="1194">
      <c r="A1194" s="31" t="n">
        <v>43070</v>
      </c>
      <c r="B1194" s="32">
        <f>VLOOKUP(Table10[[#This Row],[Month]],database!A:J,MATCH('IP from start'!$A$1,database!$A$1:$J$1,),)</f>
        <v/>
      </c>
      <c r="C1194" s="33">
        <f>(Table10[[#This Row],[Industrial Production ]]-B1182)/B1182</f>
        <v/>
      </c>
      <c r="D1194" s="34">
        <f>AVERAGE(C1183:C1194)</f>
        <v/>
      </c>
      <c r="T1194" s="60">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8">
        <f>YEAR(R1196)</f>
        <v/>
      </c>
      <c r="V1196" s="88">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8">
        <f>YEAR(R1197)</f>
        <v/>
      </c>
      <c r="U1197" s="88">
        <f>T1197-T1196</f>
        <v/>
      </c>
      <c r="V1197" s="88">
        <f>VLOOKUP(R1197,A:B,2,)</f>
        <v/>
      </c>
      <c r="W1197" s="88">
        <f>(V1197-V1196)/V1196</f>
        <v/>
      </c>
      <c r="X1197" s="88">
        <f>(1+W1197)^(1/20)</f>
        <v/>
      </c>
    </row>
    <row r="1198">
      <c r="A1198" s="31" t="n">
        <v>43191</v>
      </c>
      <c r="B1198" s="32">
        <f>VLOOKUP(Table10[[#This Row],[Month]],database!A:J,MATCH('IP from start'!$A$1,database!$A$1:$J$1,),)</f>
        <v/>
      </c>
      <c r="C1198" s="33">
        <f>(Table10[[#This Row],[Industrial Production ]]-B1186)/B1186</f>
        <v/>
      </c>
      <c r="D1198" s="34">
        <f>AVERAGE(C1187:C1198)</f>
        <v/>
      </c>
      <c r="T1198" s="60">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8">
        <f>YEAR(R1200)</f>
        <v/>
      </c>
      <c r="V1200" s="88">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8">
        <f>YEAR(R1201)</f>
        <v/>
      </c>
      <c r="U1201" s="88">
        <f>T1201-T1200</f>
        <v/>
      </c>
      <c r="V1201" s="88">
        <f>VLOOKUP(R1201,A:B,2,)</f>
        <v/>
      </c>
      <c r="W1201" s="88">
        <f>(V1201-V1200)/V1200</f>
        <v/>
      </c>
      <c r="X1201" s="88">
        <f>(1+W1201)^(1/20)</f>
        <v/>
      </c>
    </row>
    <row r="1202">
      <c r="A1202" s="31" t="n">
        <v>43313</v>
      </c>
      <c r="B1202" s="32">
        <f>VLOOKUP(Table10[[#This Row],[Month]],database!A:J,MATCH('IP from start'!$A$1,database!$A$1:$J$1,),)</f>
        <v/>
      </c>
      <c r="C1202" s="33">
        <f>(Table10[[#This Row],[Industrial Production ]]-B1190)/B1190</f>
        <v/>
      </c>
      <c r="D1202" s="34">
        <f>AVERAGE(C1191:C1202)</f>
        <v/>
      </c>
      <c r="T1202" s="60">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8">
        <f>YEAR(R1204)</f>
        <v/>
      </c>
      <c r="V1204" s="88">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8">
        <f>YEAR(R1205)</f>
        <v/>
      </c>
      <c r="U1205" s="88">
        <f>T1205-T1204</f>
        <v/>
      </c>
      <c r="V1205" s="88">
        <f>VLOOKUP(R1205,A:B,2,)</f>
        <v/>
      </c>
      <c r="W1205" s="88">
        <f>(V1205-V1204)/V1204</f>
        <v/>
      </c>
      <c r="X1205" s="88">
        <f>(1+W1205)^(1/20)</f>
        <v/>
      </c>
    </row>
    <row r="1206">
      <c r="A1206" s="31" t="n">
        <v>43435</v>
      </c>
      <c r="B1206" s="32">
        <f>VLOOKUP(Table10[[#This Row],[Month]],database!A:J,MATCH('IP from start'!$A$1,database!$A$1:$J$1,),)</f>
        <v/>
      </c>
      <c r="C1206" s="33">
        <f>(Table10[[#This Row],[Industrial Production ]]-B1194)/B1194</f>
        <v/>
      </c>
      <c r="D1206" s="34">
        <f>AVERAGE(C1195:C1206)</f>
        <v/>
      </c>
      <c r="T1206" s="60">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8">
        <f>YEAR(R1208)</f>
        <v/>
      </c>
      <c r="V1208" s="88">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8">
        <f>YEAR(R1209)</f>
        <v/>
      </c>
      <c r="U1209" s="88">
        <f>T1209-T1208</f>
        <v/>
      </c>
      <c r="V1209" s="88">
        <f>VLOOKUP(R1209,A:B,2,)</f>
        <v/>
      </c>
      <c r="W1209" s="88">
        <f>(V1209-V1208)/V1208</f>
        <v/>
      </c>
      <c r="X1209" s="88">
        <f>(1+W1209)^(1/20)</f>
        <v/>
      </c>
    </row>
    <row r="1210">
      <c r="A1210" s="31" t="n">
        <v>43556</v>
      </c>
      <c r="B1210" s="32">
        <f>VLOOKUP(Table10[[#This Row],[Month]],database!A:J,MATCH('IP from start'!$A$1,database!$A$1:$J$1,),)</f>
        <v/>
      </c>
      <c r="C1210" s="33">
        <f>(Table10[[#This Row],[Industrial Production ]]-B1198)/B1198</f>
        <v/>
      </c>
      <c r="D1210" s="34">
        <f>AVERAGE(C1199:C1210)</f>
        <v/>
      </c>
      <c r="T1210" s="60">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8">
        <f>YEAR(R1212)</f>
        <v/>
      </c>
      <c r="V1212" s="88">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8">
        <f>YEAR(R1213)</f>
        <v/>
      </c>
      <c r="U1213" s="88">
        <f>T1213-T1212</f>
        <v/>
      </c>
      <c r="V1213" s="88">
        <f>VLOOKUP(R1213,A:B,2,)</f>
        <v/>
      </c>
      <c r="W1213" s="88">
        <f>(V1213-V1212)/V1212</f>
        <v/>
      </c>
      <c r="X1213" s="88">
        <f>(1+W1213)^(1/20)</f>
        <v/>
      </c>
    </row>
    <row r="1214">
      <c r="A1214" s="31" t="n">
        <v>43678</v>
      </c>
      <c r="B1214" s="32">
        <f>VLOOKUP(Table10[[#This Row],[Month]],database!A:J,MATCH('IP from start'!$A$1,database!$A$1:$J$1,),)</f>
        <v/>
      </c>
      <c r="C1214" s="33">
        <f>(Table10[[#This Row],[Industrial Production ]]-B1202)/B1202</f>
        <v/>
      </c>
      <c r="D1214" s="34">
        <f>AVERAGE(C1203:C1214)</f>
        <v/>
      </c>
      <c r="T1214" s="60">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AVERAGE(D20:D1258)</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row r="1253">
      <c r="A1253" s="31" t="n">
        <v>44866</v>
      </c>
      <c r="B1253" s="32">
        <f>VLOOKUP(Table10[[#This Row],[Month]],database!A:J,MATCH('IP from start'!$A$1,database!$A$1:$J$1,),)</f>
        <v/>
      </c>
      <c r="C1253" s="33">
        <f>(Table10[[#This Row],[Industrial Production ]]-B1241)/B1241</f>
        <v/>
      </c>
      <c r="D1253" s="34">
        <f>AVERAGE(C1242:C1253)</f>
        <v/>
      </c>
    </row>
    <row r="1254">
      <c r="A1254" s="31" t="n">
        <v>44896</v>
      </c>
      <c r="B1254" s="32">
        <f>VLOOKUP(Table10[[#This Row],[Month]],database!A:J,MATCH('IP from start'!$A$1,database!$A$1:$J$1,),)</f>
        <v/>
      </c>
      <c r="C1254" s="33">
        <f>(Table10[[#This Row],[Industrial Production ]]-B1242)/B1242</f>
        <v/>
      </c>
      <c r="D1254" s="34">
        <f>AVERAGE(C1243:C1254)</f>
        <v/>
      </c>
    </row>
    <row r="1255">
      <c r="A1255" s="31" t="n">
        <v>44927</v>
      </c>
      <c r="B1255" s="32">
        <f>VLOOKUP(Table10[[#This Row],[Month]],database!A:J,MATCH('IP from start'!$A$1,database!$A$1:$J$1,),)</f>
        <v/>
      </c>
      <c r="C1255" s="33">
        <f>(Table10[[#This Row],[Industrial Production ]]-B1243)/B1243</f>
        <v/>
      </c>
      <c r="D1255" s="34">
        <f>AVERAGE(C1244:C1255)</f>
        <v/>
      </c>
    </row>
    <row r="1256">
      <c r="A1256" s="31" t="n">
        <v>44958</v>
      </c>
      <c r="B1256" s="32">
        <f>VLOOKUP(Table10[[#This Row],[Month]],database!A:J,MATCH('IP from start'!$A$1,database!$A$1:$J$1,),)</f>
        <v/>
      </c>
      <c r="C1256" s="33">
        <f>(Table10[[#This Row],[Industrial Production ]]-B1244)/B1244</f>
        <v/>
      </c>
      <c r="D1256" s="34">
        <f>AVERAGE(C1245:C1256)</f>
        <v/>
      </c>
    </row>
    <row r="1257">
      <c r="A1257" s="31" t="n">
        <v>44986</v>
      </c>
      <c r="B1257" s="32">
        <f>VLOOKUP(Table10[[#This Row],[Month]],database!A:J,MATCH('IP from start'!$A$1,database!$A$1:$J$1,),)</f>
        <v/>
      </c>
      <c r="C1257" s="33">
        <f>(Table10[[#This Row],[Industrial Production ]]-B1245)/B1245</f>
        <v/>
      </c>
      <c r="D1257" s="34">
        <f>AVERAGE(C1246:C1257)</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21"/>
  <sheetViews>
    <sheetView zoomScale="70" zoomScaleNormal="70" workbookViewId="0">
      <pane ySplit="6" topLeftCell="A589" activePane="bottomLeft" state="frozen"/>
      <selection pane="bottomLeft" activeCell="AE612" sqref="AE612"/>
    </sheetView>
  </sheetViews>
  <sheetFormatPr baseColWidth="8" defaultColWidth="9.1796875" defaultRowHeight="14.5"/>
  <cols>
    <col width="20.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INDPRO</t>
        </is>
      </c>
      <c r="B1" s="88" t="n"/>
      <c r="C1" s="88" t="n"/>
      <c r="V1" s="54" t="inlineStr">
        <is>
          <t xml:space="preserve">Industrial Production Index </t>
        </is>
      </c>
      <c r="X1" s="88">
        <f>V1&amp;V2</f>
        <v/>
      </c>
      <c r="AB1" s="60">
        <f>X2&amp; V2</f>
        <v/>
      </c>
    </row>
    <row r="2">
      <c r="A2" s="16" t="n"/>
      <c r="B2" s="88" t="n"/>
      <c r="C2" s="62" t="n"/>
      <c r="K2" s="94" t="inlineStr">
        <is>
          <t>https://www.federalreserve.gov/releases/g17/current/default.htm</t>
        </is>
      </c>
      <c r="V2" s="62" t="inlineStr">
        <is>
          <t xml:space="preserve"> since 2000 - </t>
        </is>
      </c>
      <c r="X2" s="88">
        <f>V1&amp;Table1[[#Headers],[yoy]]</f>
        <v/>
      </c>
    </row>
    <row r="3">
      <c r="A3" s="16" t="n"/>
      <c r="B3" s="55" t="n"/>
      <c r="C3" s="62" t="n"/>
      <c r="K3" s="94" t="n"/>
    </row>
    <row r="4">
      <c r="A4" s="16" t="n"/>
      <c r="B4" s="55" t="n"/>
      <c r="C4" s="62" t="n"/>
      <c r="K4" s="94" t="n"/>
    </row>
    <row r="5" ht="16" customHeight="1" thickBot="1">
      <c r="A5" s="16" t="n"/>
      <c r="B5" s="55" t="inlineStr">
        <is>
          <t>INDPRO</t>
        </is>
      </c>
      <c r="C5" s="62" t="n"/>
    </row>
    <row r="6" ht="16" customHeight="1" thickBot="1">
      <c r="A6" s="36" t="inlineStr">
        <is>
          <t>Date</t>
        </is>
      </c>
      <c r="B6" s="56" t="inlineStr">
        <is>
          <t>Index</t>
        </is>
      </c>
      <c r="C6" s="63" t="inlineStr">
        <is>
          <t>mom</t>
        </is>
      </c>
      <c r="D6" s="64" t="inlineStr">
        <is>
          <t>yoy</t>
        </is>
      </c>
    </row>
    <row r="7">
      <c r="A7" s="35" t="n">
        <v>26299</v>
      </c>
      <c r="B7" s="57">
        <f>VLOOKUP(Table1[[#This Row],[Date]],database!A:B,2,)</f>
        <v/>
      </c>
      <c r="C7" s="65" t="n"/>
      <c r="D7" s="65" t="n"/>
    </row>
    <row r="8">
      <c r="A8" s="17" t="n">
        <v>26330</v>
      </c>
      <c r="B8" s="58">
        <f>VLOOKUP(Table1[[#This Row],[Date]],database!A:B,2,)</f>
        <v/>
      </c>
      <c r="C8" s="66">
        <f>B8/B7-1</f>
        <v/>
      </c>
      <c r="D8" s="66" t="n"/>
    </row>
    <row r="9">
      <c r="A9" s="17" t="n">
        <v>26359</v>
      </c>
      <c r="B9" s="58">
        <f>VLOOKUP(Table1[[#This Row],[Date]],database!A:B,2,)</f>
        <v/>
      </c>
      <c r="C9" s="66">
        <f>B9/B8-1</f>
        <v/>
      </c>
      <c r="D9" s="66" t="n"/>
    </row>
    <row r="10">
      <c r="A10" s="17" t="n">
        <v>26390</v>
      </c>
      <c r="B10" s="58">
        <f>VLOOKUP(Table1[[#This Row],[Date]],database!A:B,2,)</f>
        <v/>
      </c>
      <c r="C10" s="66">
        <f>B10/B9-1</f>
        <v/>
      </c>
      <c r="D10" s="66" t="n"/>
    </row>
    <row r="11">
      <c r="A11" s="17" t="n">
        <v>26420</v>
      </c>
      <c r="B11" s="58">
        <f>VLOOKUP(Table1[[#This Row],[Date]],database!A:B,2,)</f>
        <v/>
      </c>
      <c r="C11" s="66">
        <f>B11/B10-1</f>
        <v/>
      </c>
      <c r="D11" s="66" t="n"/>
    </row>
    <row r="12">
      <c r="A12" s="17" t="n">
        <v>26451</v>
      </c>
      <c r="B12" s="58">
        <f>VLOOKUP(Table1[[#This Row],[Date]],database!A:B,2,)</f>
        <v/>
      </c>
      <c r="C12" s="66">
        <f>B12/B11-1</f>
        <v/>
      </c>
      <c r="D12" s="66" t="n"/>
    </row>
    <row r="13">
      <c r="A13" s="17" t="n">
        <v>26481</v>
      </c>
      <c r="B13" s="58">
        <f>VLOOKUP(Table1[[#This Row],[Date]],database!A:B,2,)</f>
        <v/>
      </c>
      <c r="C13" s="66">
        <f>B13/B12-1</f>
        <v/>
      </c>
      <c r="D13" s="66" t="n"/>
    </row>
    <row r="14">
      <c r="A14" s="17" t="n">
        <v>26512</v>
      </c>
      <c r="B14" s="58">
        <f>VLOOKUP(Table1[[#This Row],[Date]],database!A:B,2,)</f>
        <v/>
      </c>
      <c r="C14" s="66">
        <f>B14/B13-1</f>
        <v/>
      </c>
      <c r="D14" s="66" t="n"/>
    </row>
    <row r="15">
      <c r="A15" s="17" t="n">
        <v>26543</v>
      </c>
      <c r="B15" s="58">
        <f>VLOOKUP(Table1[[#This Row],[Date]],database!A:B,2,)</f>
        <v/>
      </c>
      <c r="C15" s="66">
        <f>B15/B14-1</f>
        <v/>
      </c>
      <c r="D15" s="66" t="n"/>
    </row>
    <row r="16">
      <c r="A16" s="17" t="n">
        <v>26573</v>
      </c>
      <c r="B16" s="58">
        <f>VLOOKUP(Table1[[#This Row],[Date]],database!A:B,2,)</f>
        <v/>
      </c>
      <c r="C16" s="66">
        <f>B16/B15-1</f>
        <v/>
      </c>
      <c r="D16" s="66" t="n"/>
    </row>
    <row r="17">
      <c r="A17" s="17" t="n">
        <v>26604</v>
      </c>
      <c r="B17" s="58">
        <f>VLOOKUP(Table1[[#This Row],[Date]],database!A:B,2,)</f>
        <v/>
      </c>
      <c r="C17" s="66">
        <f>B17/B16-1</f>
        <v/>
      </c>
      <c r="D17" s="66" t="n"/>
    </row>
    <row r="18">
      <c r="A18" s="17" t="n">
        <v>26634</v>
      </c>
      <c r="B18" s="58">
        <f>VLOOKUP(Table1[[#This Row],[Date]],database!A:B,2,)</f>
        <v/>
      </c>
      <c r="C18" s="66">
        <f>B18/B17-1</f>
        <v/>
      </c>
      <c r="D18" s="66" t="n"/>
    </row>
    <row r="19">
      <c r="A19" s="17" t="n">
        <v>26665</v>
      </c>
      <c r="B19" s="58">
        <f>VLOOKUP(Table1[[#This Row],[Date]],database!A:B,2,)</f>
        <v/>
      </c>
      <c r="C19" s="66">
        <f>B19/B18-1</f>
        <v/>
      </c>
      <c r="D19" s="66" t="n"/>
    </row>
    <row r="20">
      <c r="A20" s="17" t="n">
        <v>26696</v>
      </c>
      <c r="B20" s="58">
        <f>VLOOKUP(Table1[[#This Row],[Date]],database!A:B,2,)</f>
        <v/>
      </c>
      <c r="C20" s="66">
        <f>B20/B19-1</f>
        <v/>
      </c>
      <c r="D20" s="66">
        <f>(Table1[[#This Row],[Index]]-B8)/B8</f>
        <v/>
      </c>
    </row>
    <row r="21">
      <c r="A21" s="17" t="n">
        <v>26724</v>
      </c>
      <c r="B21" s="58">
        <f>VLOOKUP(Table1[[#This Row],[Date]],database!A:B,2,)</f>
        <v/>
      </c>
      <c r="C21" s="66">
        <f>B21/B20-1</f>
        <v/>
      </c>
      <c r="D21" s="66">
        <f>(Table1[[#This Row],[Index]]-B9)/B9</f>
        <v/>
      </c>
    </row>
    <row r="22">
      <c r="A22" s="17" t="n">
        <v>26755</v>
      </c>
      <c r="B22" s="58">
        <f>VLOOKUP(Table1[[#This Row],[Date]],database!A:B,2,)</f>
        <v/>
      </c>
      <c r="C22" s="66">
        <f>B22/B21-1</f>
        <v/>
      </c>
      <c r="D22" s="66">
        <f>(Table1[[#This Row],[Index]]-B10)/B10</f>
        <v/>
      </c>
    </row>
    <row r="23">
      <c r="A23" s="17" t="n">
        <v>26785</v>
      </c>
      <c r="B23" s="58">
        <f>VLOOKUP(Table1[[#This Row],[Date]],database!A:B,2,)</f>
        <v/>
      </c>
      <c r="C23" s="66">
        <f>B23/B22-1</f>
        <v/>
      </c>
      <c r="D23" s="66">
        <f>(Table1[[#This Row],[Index]]-B11)/B11</f>
        <v/>
      </c>
    </row>
    <row r="24">
      <c r="A24" s="17" t="n">
        <v>26816</v>
      </c>
      <c r="B24" s="58">
        <f>VLOOKUP(Table1[[#This Row],[Date]],database!A:B,2,)</f>
        <v/>
      </c>
      <c r="C24" s="66">
        <f>B24/B23-1</f>
        <v/>
      </c>
      <c r="D24" s="66">
        <f>(Table1[[#This Row],[Index]]-B12)/B12</f>
        <v/>
      </c>
    </row>
    <row r="25">
      <c r="A25" s="17" t="n">
        <v>26846</v>
      </c>
      <c r="B25" s="58">
        <f>VLOOKUP(Table1[[#This Row],[Date]],database!A:B,2,)</f>
        <v/>
      </c>
      <c r="C25" s="66">
        <f>B25/B24-1</f>
        <v/>
      </c>
      <c r="D25" s="66">
        <f>(Table1[[#This Row],[Index]]-B13)/B13</f>
        <v/>
      </c>
    </row>
    <row r="26">
      <c r="A26" s="17" t="n">
        <v>26877</v>
      </c>
      <c r="B26" s="58">
        <f>VLOOKUP(Table1[[#This Row],[Date]],database!A:B,2,)</f>
        <v/>
      </c>
      <c r="C26" s="66">
        <f>B26/B25-1</f>
        <v/>
      </c>
      <c r="D26" s="66">
        <f>(Table1[[#This Row],[Index]]-B14)/B14</f>
        <v/>
      </c>
    </row>
    <row r="27">
      <c r="A27" s="17" t="n">
        <v>26908</v>
      </c>
      <c r="B27" s="58">
        <f>VLOOKUP(Table1[[#This Row],[Date]],database!A:B,2,)</f>
        <v/>
      </c>
      <c r="C27" s="66">
        <f>B27/B26-1</f>
        <v/>
      </c>
      <c r="D27" s="66">
        <f>(Table1[[#This Row],[Index]]-B15)/B15</f>
        <v/>
      </c>
    </row>
    <row r="28">
      <c r="A28" s="17" t="n">
        <v>26938</v>
      </c>
      <c r="B28" s="58">
        <f>VLOOKUP(Table1[[#This Row],[Date]],database!A:B,2,)</f>
        <v/>
      </c>
      <c r="C28" s="66">
        <f>B28/B27-1</f>
        <v/>
      </c>
      <c r="D28" s="66">
        <f>(Table1[[#This Row],[Index]]-B16)/B16</f>
        <v/>
      </c>
    </row>
    <row r="29">
      <c r="A29" s="17" t="n">
        <v>26969</v>
      </c>
      <c r="B29" s="58">
        <f>VLOOKUP(Table1[[#This Row],[Date]],database!A:B,2,)</f>
        <v/>
      </c>
      <c r="C29" s="66">
        <f>B29/B28-1</f>
        <v/>
      </c>
      <c r="D29" s="66">
        <f>(Table1[[#This Row],[Index]]-B17)/B17</f>
        <v/>
      </c>
    </row>
    <row r="30">
      <c r="A30" s="17" t="n">
        <v>26999</v>
      </c>
      <c r="B30" s="58">
        <f>VLOOKUP(Table1[[#This Row],[Date]],database!A:B,2,)</f>
        <v/>
      </c>
      <c r="C30" s="66">
        <f>B30/B29-1</f>
        <v/>
      </c>
      <c r="D30" s="66">
        <f>(Table1[[#This Row],[Index]]-B18)/B18</f>
        <v/>
      </c>
    </row>
    <row r="31">
      <c r="A31" s="17" t="n">
        <v>27030</v>
      </c>
      <c r="B31" s="58">
        <f>VLOOKUP(Table1[[#This Row],[Date]],database!A:B,2,)</f>
        <v/>
      </c>
      <c r="C31" s="66">
        <f>B31/B30-1</f>
        <v/>
      </c>
      <c r="D31" s="66">
        <f>(Table1[[#This Row],[Index]]-B19)/B19</f>
        <v/>
      </c>
    </row>
    <row r="32">
      <c r="A32" s="17" t="n">
        <v>27061</v>
      </c>
      <c r="B32" s="58">
        <f>VLOOKUP(Table1[[#This Row],[Date]],database!A:B,2,)</f>
        <v/>
      </c>
      <c r="C32" s="66">
        <f>B32/B31-1</f>
        <v/>
      </c>
      <c r="D32" s="66">
        <f>(Table1[[#This Row],[Index]]-B20)/B20</f>
        <v/>
      </c>
    </row>
    <row r="33">
      <c r="A33" s="17" t="n">
        <v>27089</v>
      </c>
      <c r="B33" s="58">
        <f>VLOOKUP(Table1[[#This Row],[Date]],database!A:B,2,)</f>
        <v/>
      </c>
      <c r="C33" s="66">
        <f>B33/B32-1</f>
        <v/>
      </c>
      <c r="D33" s="66">
        <f>(Table1[[#This Row],[Index]]-B21)/B21</f>
        <v/>
      </c>
    </row>
    <row r="34">
      <c r="A34" s="17" t="n">
        <v>27120</v>
      </c>
      <c r="B34" s="58">
        <f>VLOOKUP(Table1[[#This Row],[Date]],database!A:B,2,)</f>
        <v/>
      </c>
      <c r="C34" s="66">
        <f>B34/B33-1</f>
        <v/>
      </c>
      <c r="D34" s="66">
        <f>(Table1[[#This Row],[Index]]-B22)/B22</f>
        <v/>
      </c>
    </row>
    <row r="35">
      <c r="A35" s="17" t="n">
        <v>27150</v>
      </c>
      <c r="B35" s="58">
        <f>VLOOKUP(Table1[[#This Row],[Date]],database!A:B,2,)</f>
        <v/>
      </c>
      <c r="C35" s="66">
        <f>B35/B34-1</f>
        <v/>
      </c>
      <c r="D35" s="66">
        <f>(Table1[[#This Row],[Index]]-B23)/B23</f>
        <v/>
      </c>
    </row>
    <row r="36">
      <c r="A36" s="17" t="n">
        <v>27181</v>
      </c>
      <c r="B36" s="58">
        <f>VLOOKUP(Table1[[#This Row],[Date]],database!A:B,2,)</f>
        <v/>
      </c>
      <c r="C36" s="66">
        <f>B36/B35-1</f>
        <v/>
      </c>
      <c r="D36" s="66">
        <f>(Table1[[#This Row],[Index]]-B24)/B24</f>
        <v/>
      </c>
    </row>
    <row r="37">
      <c r="A37" s="17" t="n">
        <v>27211</v>
      </c>
      <c r="B37" s="58">
        <f>VLOOKUP(Table1[[#This Row],[Date]],database!A:B,2,)</f>
        <v/>
      </c>
      <c r="C37" s="66">
        <f>B37/B36-1</f>
        <v/>
      </c>
      <c r="D37" s="66">
        <f>(Table1[[#This Row],[Index]]-B25)/B25</f>
        <v/>
      </c>
    </row>
    <row r="38">
      <c r="A38" s="17" t="n">
        <v>27242</v>
      </c>
      <c r="B38" s="58">
        <f>VLOOKUP(Table1[[#This Row],[Date]],database!A:B,2,)</f>
        <v/>
      </c>
      <c r="C38" s="66">
        <f>B38/B37-1</f>
        <v/>
      </c>
      <c r="D38" s="66">
        <f>(Table1[[#This Row],[Index]]-B26)/B26</f>
        <v/>
      </c>
    </row>
    <row r="39">
      <c r="A39" s="17" t="n">
        <v>27273</v>
      </c>
      <c r="B39" s="58">
        <f>VLOOKUP(Table1[[#This Row],[Date]],database!A:B,2,)</f>
        <v/>
      </c>
      <c r="C39" s="66">
        <f>B39/B38-1</f>
        <v/>
      </c>
      <c r="D39" s="66">
        <f>(Table1[[#This Row],[Index]]-B27)/B27</f>
        <v/>
      </c>
    </row>
    <row r="40">
      <c r="A40" s="17" t="n">
        <v>27303</v>
      </c>
      <c r="B40" s="58">
        <f>VLOOKUP(Table1[[#This Row],[Date]],database!A:B,2,)</f>
        <v/>
      </c>
      <c r="C40" s="66">
        <f>B40/B39-1</f>
        <v/>
      </c>
      <c r="D40" s="66">
        <f>(Table1[[#This Row],[Index]]-B28)/B28</f>
        <v/>
      </c>
    </row>
    <row r="41">
      <c r="A41" s="17" t="n">
        <v>27334</v>
      </c>
      <c r="B41" s="58">
        <f>VLOOKUP(Table1[[#This Row],[Date]],database!A:B,2,)</f>
        <v/>
      </c>
      <c r="C41" s="66">
        <f>B41/B40-1</f>
        <v/>
      </c>
      <c r="D41" s="66">
        <f>(Table1[[#This Row],[Index]]-B29)/B29</f>
        <v/>
      </c>
    </row>
    <row r="42">
      <c r="A42" s="17" t="n">
        <v>27364</v>
      </c>
      <c r="B42" s="58">
        <f>VLOOKUP(Table1[[#This Row],[Date]],database!A:B,2,)</f>
        <v/>
      </c>
      <c r="C42" s="66">
        <f>B42/B41-1</f>
        <v/>
      </c>
      <c r="D42" s="66">
        <f>(Table1[[#This Row],[Index]]-B30)/B30</f>
        <v/>
      </c>
    </row>
    <row r="43">
      <c r="A43" s="17" t="n">
        <v>27395</v>
      </c>
      <c r="B43" s="58">
        <f>VLOOKUP(Table1[[#This Row],[Date]],database!A:B,2,)</f>
        <v/>
      </c>
      <c r="C43" s="66">
        <f>B43/B42-1</f>
        <v/>
      </c>
      <c r="D43" s="66">
        <f>(Table1[[#This Row],[Index]]-B31)/B31</f>
        <v/>
      </c>
    </row>
    <row r="44">
      <c r="A44" s="17" t="n">
        <v>27426</v>
      </c>
      <c r="B44" s="58">
        <f>VLOOKUP(Table1[[#This Row],[Date]],database!A:B,2,)</f>
        <v/>
      </c>
      <c r="C44" s="66">
        <f>B44/B43-1</f>
        <v/>
      </c>
      <c r="D44" s="66">
        <f>(Table1[[#This Row],[Index]]-B32)/B32</f>
        <v/>
      </c>
    </row>
    <row r="45">
      <c r="A45" s="17" t="n">
        <v>27454</v>
      </c>
      <c r="B45" s="58">
        <f>VLOOKUP(Table1[[#This Row],[Date]],database!A:B,2,)</f>
        <v/>
      </c>
      <c r="C45" s="66">
        <f>B45/B44-1</f>
        <v/>
      </c>
      <c r="D45" s="66">
        <f>(Table1[[#This Row],[Index]]-B33)/B33</f>
        <v/>
      </c>
    </row>
    <row r="46">
      <c r="A46" s="17" t="n">
        <v>27485</v>
      </c>
      <c r="B46" s="58">
        <f>VLOOKUP(Table1[[#This Row],[Date]],database!A:B,2,)</f>
        <v/>
      </c>
      <c r="C46" s="66">
        <f>B46/B45-1</f>
        <v/>
      </c>
      <c r="D46" s="66">
        <f>(Table1[[#This Row],[Index]]-B34)/B34</f>
        <v/>
      </c>
    </row>
    <row r="47">
      <c r="A47" s="17" t="n">
        <v>27515</v>
      </c>
      <c r="B47" s="58">
        <f>VLOOKUP(Table1[[#This Row],[Date]],database!A:B,2,)</f>
        <v/>
      </c>
      <c r="C47" s="66">
        <f>B47/B46-1</f>
        <v/>
      </c>
      <c r="D47" s="66">
        <f>(Table1[[#This Row],[Index]]-B35)/B35</f>
        <v/>
      </c>
    </row>
    <row r="48">
      <c r="A48" s="17" t="n">
        <v>27546</v>
      </c>
      <c r="B48" s="58">
        <f>VLOOKUP(Table1[[#This Row],[Date]],database!A:B,2,)</f>
        <v/>
      </c>
      <c r="C48" s="66">
        <f>B48/B47-1</f>
        <v/>
      </c>
      <c r="D48" s="66">
        <f>(Table1[[#This Row],[Index]]-B36)/B36</f>
        <v/>
      </c>
    </row>
    <row r="49">
      <c r="A49" s="17" t="n">
        <v>27576</v>
      </c>
      <c r="B49" s="58">
        <f>VLOOKUP(Table1[[#This Row],[Date]],database!A:B,2,)</f>
        <v/>
      </c>
      <c r="C49" s="66">
        <f>B49/B48-1</f>
        <v/>
      </c>
      <c r="D49" s="66">
        <f>(Table1[[#This Row],[Index]]-B37)/B37</f>
        <v/>
      </c>
    </row>
    <row r="50">
      <c r="A50" s="17" t="n">
        <v>27607</v>
      </c>
      <c r="B50" s="58">
        <f>VLOOKUP(Table1[[#This Row],[Date]],database!A:B,2,)</f>
        <v/>
      </c>
      <c r="C50" s="66">
        <f>B50/B49-1</f>
        <v/>
      </c>
      <c r="D50" s="66">
        <f>(Table1[[#This Row],[Index]]-B38)/B38</f>
        <v/>
      </c>
    </row>
    <row r="51">
      <c r="A51" s="17" t="n">
        <v>27638</v>
      </c>
      <c r="B51" s="58">
        <f>VLOOKUP(Table1[[#This Row],[Date]],database!A:B,2,)</f>
        <v/>
      </c>
      <c r="C51" s="66">
        <f>B51/B50-1</f>
        <v/>
      </c>
      <c r="D51" s="66">
        <f>(Table1[[#This Row],[Index]]-B39)/B39</f>
        <v/>
      </c>
    </row>
    <row r="52">
      <c r="A52" s="17" t="n">
        <v>27668</v>
      </c>
      <c r="B52" s="58">
        <f>VLOOKUP(Table1[[#This Row],[Date]],database!A:B,2,)</f>
        <v/>
      </c>
      <c r="C52" s="66">
        <f>B52/B51-1</f>
        <v/>
      </c>
      <c r="D52" s="66">
        <f>(Table1[[#This Row],[Index]]-B40)/B40</f>
        <v/>
      </c>
    </row>
    <row r="53">
      <c r="A53" s="17" t="n">
        <v>27699</v>
      </c>
      <c r="B53" s="58">
        <f>VLOOKUP(Table1[[#This Row],[Date]],database!A:B,2,)</f>
        <v/>
      </c>
      <c r="C53" s="66">
        <f>B53/B52-1</f>
        <v/>
      </c>
      <c r="D53" s="66">
        <f>(Table1[[#This Row],[Index]]-B41)/B41</f>
        <v/>
      </c>
    </row>
    <row r="54">
      <c r="A54" s="17" t="n">
        <v>27729</v>
      </c>
      <c r="B54" s="58">
        <f>VLOOKUP(Table1[[#This Row],[Date]],database!A:B,2,)</f>
        <v/>
      </c>
      <c r="C54" s="66">
        <f>B54/B53-1</f>
        <v/>
      </c>
      <c r="D54" s="66">
        <f>(Table1[[#This Row],[Index]]-B42)/B42</f>
        <v/>
      </c>
    </row>
    <row r="55">
      <c r="A55" s="17" t="n">
        <v>27760</v>
      </c>
      <c r="B55" s="58">
        <f>VLOOKUP(Table1[[#This Row],[Date]],database!A:B,2,)</f>
        <v/>
      </c>
      <c r="C55" s="66">
        <f>B55/B54-1</f>
        <v/>
      </c>
      <c r="D55" s="66">
        <f>(Table1[[#This Row],[Index]]-B43)/B43</f>
        <v/>
      </c>
    </row>
    <row r="56">
      <c r="A56" s="17" t="n">
        <v>27791</v>
      </c>
      <c r="B56" s="58">
        <f>VLOOKUP(Table1[[#This Row],[Date]],database!A:B,2,)</f>
        <v/>
      </c>
      <c r="C56" s="66">
        <f>B56/B55-1</f>
        <v/>
      </c>
      <c r="D56" s="66">
        <f>(Table1[[#This Row],[Index]]-B44)/B44</f>
        <v/>
      </c>
    </row>
    <row r="57">
      <c r="A57" s="17" t="n">
        <v>27820</v>
      </c>
      <c r="B57" s="58">
        <f>VLOOKUP(Table1[[#This Row],[Date]],database!A:B,2,)</f>
        <v/>
      </c>
      <c r="C57" s="66">
        <f>B57/B56-1</f>
        <v/>
      </c>
      <c r="D57" s="66">
        <f>(Table1[[#This Row],[Index]]-B45)/B45</f>
        <v/>
      </c>
    </row>
    <row r="58">
      <c r="A58" s="17" t="n">
        <v>27851</v>
      </c>
      <c r="B58" s="58">
        <f>VLOOKUP(Table1[[#This Row],[Date]],database!A:B,2,)</f>
        <v/>
      </c>
      <c r="C58" s="66">
        <f>B58/B57-1</f>
        <v/>
      </c>
      <c r="D58" s="66">
        <f>(Table1[[#This Row],[Index]]-B46)/B46</f>
        <v/>
      </c>
    </row>
    <row r="59">
      <c r="A59" s="17" t="n">
        <v>27881</v>
      </c>
      <c r="B59" s="58">
        <f>VLOOKUP(Table1[[#This Row],[Date]],database!A:B,2,)</f>
        <v/>
      </c>
      <c r="C59" s="66">
        <f>B59/B58-1</f>
        <v/>
      </c>
      <c r="D59" s="66">
        <f>(Table1[[#This Row],[Index]]-B47)/B47</f>
        <v/>
      </c>
    </row>
    <row r="60">
      <c r="A60" s="17" t="n">
        <v>27912</v>
      </c>
      <c r="B60" s="58">
        <f>VLOOKUP(Table1[[#This Row],[Date]],database!A:B,2,)</f>
        <v/>
      </c>
      <c r="C60" s="66">
        <f>B60/B59-1</f>
        <v/>
      </c>
      <c r="D60" s="66">
        <f>(Table1[[#This Row],[Index]]-B48)/B48</f>
        <v/>
      </c>
    </row>
    <row r="61">
      <c r="A61" s="17" t="n">
        <v>27942</v>
      </c>
      <c r="B61" s="58">
        <f>VLOOKUP(Table1[[#This Row],[Date]],database!A:B,2,)</f>
        <v/>
      </c>
      <c r="C61" s="66">
        <f>B61/B60-1</f>
        <v/>
      </c>
      <c r="D61" s="66">
        <f>(Table1[[#This Row],[Index]]-B49)/B49</f>
        <v/>
      </c>
    </row>
    <row r="62">
      <c r="A62" s="17" t="n">
        <v>27973</v>
      </c>
      <c r="B62" s="58">
        <f>VLOOKUP(Table1[[#This Row],[Date]],database!A:B,2,)</f>
        <v/>
      </c>
      <c r="C62" s="66">
        <f>B62/B61-1</f>
        <v/>
      </c>
      <c r="D62" s="66">
        <f>(Table1[[#This Row],[Index]]-B50)/B50</f>
        <v/>
      </c>
    </row>
    <row r="63">
      <c r="A63" s="17" t="n">
        <v>28004</v>
      </c>
      <c r="B63" s="58">
        <f>VLOOKUP(Table1[[#This Row],[Date]],database!A:B,2,)</f>
        <v/>
      </c>
      <c r="C63" s="66">
        <f>B63/B62-1</f>
        <v/>
      </c>
      <c r="D63" s="66">
        <f>(Table1[[#This Row],[Index]]-B51)/B51</f>
        <v/>
      </c>
    </row>
    <row r="64">
      <c r="A64" s="17" t="n">
        <v>28034</v>
      </c>
      <c r="B64" s="58">
        <f>VLOOKUP(Table1[[#This Row],[Date]],database!A:B,2,)</f>
        <v/>
      </c>
      <c r="C64" s="66">
        <f>B64/B63-1</f>
        <v/>
      </c>
      <c r="D64" s="66">
        <f>(Table1[[#This Row],[Index]]-B52)/B52</f>
        <v/>
      </c>
    </row>
    <row r="65">
      <c r="A65" s="17" t="n">
        <v>28065</v>
      </c>
      <c r="B65" s="58">
        <f>VLOOKUP(Table1[[#This Row],[Date]],database!A:B,2,)</f>
        <v/>
      </c>
      <c r="C65" s="66">
        <f>B65/B64-1</f>
        <v/>
      </c>
      <c r="D65" s="66">
        <f>(Table1[[#This Row],[Index]]-B53)/B53</f>
        <v/>
      </c>
    </row>
    <row r="66">
      <c r="A66" s="17" t="n">
        <v>28095</v>
      </c>
      <c r="B66" s="58">
        <f>VLOOKUP(Table1[[#This Row],[Date]],database!A:B,2,)</f>
        <v/>
      </c>
      <c r="C66" s="66">
        <f>B66/B65-1</f>
        <v/>
      </c>
      <c r="D66" s="66">
        <f>(Table1[[#This Row],[Index]]-B54)/B54</f>
        <v/>
      </c>
    </row>
    <row r="67">
      <c r="A67" s="17" t="n">
        <v>28126</v>
      </c>
      <c r="B67" s="58">
        <f>VLOOKUP(Table1[[#This Row],[Date]],database!A:B,2,)</f>
        <v/>
      </c>
      <c r="C67" s="66">
        <f>B67/B66-1</f>
        <v/>
      </c>
      <c r="D67" s="66">
        <f>(Table1[[#This Row],[Index]]-B55)/B55</f>
        <v/>
      </c>
    </row>
    <row r="68">
      <c r="A68" s="17" t="n">
        <v>28157</v>
      </c>
      <c r="B68" s="58">
        <f>VLOOKUP(Table1[[#This Row],[Date]],database!A:B,2,)</f>
        <v/>
      </c>
      <c r="C68" s="66">
        <f>B68/B67-1</f>
        <v/>
      </c>
      <c r="D68" s="66">
        <f>(Table1[[#This Row],[Index]]-B56)/B56</f>
        <v/>
      </c>
    </row>
    <row r="69">
      <c r="A69" s="17" t="n">
        <v>28185</v>
      </c>
      <c r="B69" s="58">
        <f>VLOOKUP(Table1[[#This Row],[Date]],database!A:B,2,)</f>
        <v/>
      </c>
      <c r="C69" s="66">
        <f>B69/B68-1</f>
        <v/>
      </c>
      <c r="D69" s="66">
        <f>(Table1[[#This Row],[Index]]-B57)/B57</f>
        <v/>
      </c>
    </row>
    <row r="70">
      <c r="A70" s="17" t="n">
        <v>28216</v>
      </c>
      <c r="B70" s="58">
        <f>VLOOKUP(Table1[[#This Row],[Date]],database!A:B,2,)</f>
        <v/>
      </c>
      <c r="C70" s="66">
        <f>B70/B69-1</f>
        <v/>
      </c>
      <c r="D70" s="66">
        <f>(Table1[[#This Row],[Index]]-B58)/B58</f>
        <v/>
      </c>
    </row>
    <row r="71">
      <c r="A71" s="17" t="n">
        <v>28246</v>
      </c>
      <c r="B71" s="58">
        <f>VLOOKUP(Table1[[#This Row],[Date]],database!A:B,2,)</f>
        <v/>
      </c>
      <c r="C71" s="66">
        <f>B71/B70-1</f>
        <v/>
      </c>
      <c r="D71" s="66">
        <f>(Table1[[#This Row],[Index]]-B59)/B59</f>
        <v/>
      </c>
    </row>
    <row r="72">
      <c r="A72" s="17" t="n">
        <v>28277</v>
      </c>
      <c r="B72" s="58">
        <f>VLOOKUP(Table1[[#This Row],[Date]],database!A:B,2,)</f>
        <v/>
      </c>
      <c r="C72" s="66">
        <f>B72/B71-1</f>
        <v/>
      </c>
      <c r="D72" s="66">
        <f>(Table1[[#This Row],[Index]]-B60)/B60</f>
        <v/>
      </c>
    </row>
    <row r="73">
      <c r="A73" s="17" t="n">
        <v>28307</v>
      </c>
      <c r="B73" s="58">
        <f>VLOOKUP(Table1[[#This Row],[Date]],database!A:B,2,)</f>
        <v/>
      </c>
      <c r="C73" s="66">
        <f>B73/B72-1</f>
        <v/>
      </c>
      <c r="D73" s="66">
        <f>(Table1[[#This Row],[Index]]-B61)/B61</f>
        <v/>
      </c>
    </row>
    <row r="74">
      <c r="A74" s="17" t="n">
        <v>28338</v>
      </c>
      <c r="B74" s="58">
        <f>VLOOKUP(Table1[[#This Row],[Date]],database!A:B,2,)</f>
        <v/>
      </c>
      <c r="C74" s="66">
        <f>B74/B73-1</f>
        <v/>
      </c>
      <c r="D74" s="66">
        <f>(Table1[[#This Row],[Index]]-B62)/B62</f>
        <v/>
      </c>
    </row>
    <row r="75">
      <c r="A75" s="17" t="n">
        <v>28369</v>
      </c>
      <c r="B75" s="58">
        <f>VLOOKUP(Table1[[#This Row],[Date]],database!A:B,2,)</f>
        <v/>
      </c>
      <c r="C75" s="66">
        <f>B75/B74-1</f>
        <v/>
      </c>
      <c r="D75" s="66">
        <f>(Table1[[#This Row],[Index]]-B63)/B63</f>
        <v/>
      </c>
    </row>
    <row r="76">
      <c r="A76" s="17" t="n">
        <v>28399</v>
      </c>
      <c r="B76" s="58">
        <f>VLOOKUP(Table1[[#This Row],[Date]],database!A:B,2,)</f>
        <v/>
      </c>
      <c r="C76" s="66">
        <f>B76/B75-1</f>
        <v/>
      </c>
      <c r="D76" s="66">
        <f>(Table1[[#This Row],[Index]]-B64)/B64</f>
        <v/>
      </c>
    </row>
    <row r="77">
      <c r="A77" s="17" t="n">
        <v>28430</v>
      </c>
      <c r="B77" s="58">
        <f>VLOOKUP(Table1[[#This Row],[Date]],database!A:B,2,)</f>
        <v/>
      </c>
      <c r="C77" s="66">
        <f>B77/B76-1</f>
        <v/>
      </c>
      <c r="D77" s="66">
        <f>(Table1[[#This Row],[Index]]-B65)/B65</f>
        <v/>
      </c>
    </row>
    <row r="78">
      <c r="A78" s="17" t="n">
        <v>28460</v>
      </c>
      <c r="B78" s="58">
        <f>VLOOKUP(Table1[[#This Row],[Date]],database!A:B,2,)</f>
        <v/>
      </c>
      <c r="C78" s="66">
        <f>B78/B77-1</f>
        <v/>
      </c>
      <c r="D78" s="66">
        <f>(Table1[[#This Row],[Index]]-B66)/B66</f>
        <v/>
      </c>
    </row>
    <row r="79">
      <c r="A79" s="17" t="n">
        <v>28491</v>
      </c>
      <c r="B79" s="58">
        <f>VLOOKUP(Table1[[#This Row],[Date]],database!A:B,2,)</f>
        <v/>
      </c>
      <c r="C79" s="66">
        <f>B79/B78-1</f>
        <v/>
      </c>
      <c r="D79" s="66">
        <f>(Table1[[#This Row],[Index]]-B67)/B67</f>
        <v/>
      </c>
    </row>
    <row r="80">
      <c r="A80" s="17" t="n">
        <v>28522</v>
      </c>
      <c r="B80" s="58">
        <f>VLOOKUP(Table1[[#This Row],[Date]],database!A:B,2,)</f>
        <v/>
      </c>
      <c r="C80" s="66">
        <f>B80/B79-1</f>
        <v/>
      </c>
      <c r="D80" s="66">
        <f>(Table1[[#This Row],[Index]]-B68)/B68</f>
        <v/>
      </c>
    </row>
    <row r="81">
      <c r="A81" s="17" t="n">
        <v>28550</v>
      </c>
      <c r="B81" s="58">
        <f>VLOOKUP(Table1[[#This Row],[Date]],database!A:B,2,)</f>
        <v/>
      </c>
      <c r="C81" s="66">
        <f>B81/B80-1</f>
        <v/>
      </c>
      <c r="D81" s="66">
        <f>(Table1[[#This Row],[Index]]-B69)/B69</f>
        <v/>
      </c>
    </row>
    <row r="82">
      <c r="A82" s="17" t="n">
        <v>28581</v>
      </c>
      <c r="B82" s="58">
        <f>VLOOKUP(Table1[[#This Row],[Date]],database!A:B,2,)</f>
        <v/>
      </c>
      <c r="C82" s="66">
        <f>B82/B81-1</f>
        <v/>
      </c>
      <c r="D82" s="66">
        <f>(Table1[[#This Row],[Index]]-B70)/B70</f>
        <v/>
      </c>
    </row>
    <row r="83">
      <c r="A83" s="17" t="n">
        <v>28611</v>
      </c>
      <c r="B83" s="58">
        <f>VLOOKUP(Table1[[#This Row],[Date]],database!A:B,2,)</f>
        <v/>
      </c>
      <c r="C83" s="66">
        <f>B83/B82-1</f>
        <v/>
      </c>
      <c r="D83" s="66">
        <f>(Table1[[#This Row],[Index]]-B71)/B71</f>
        <v/>
      </c>
    </row>
    <row r="84">
      <c r="A84" s="17" t="n">
        <v>28642</v>
      </c>
      <c r="B84" s="58">
        <f>VLOOKUP(Table1[[#This Row],[Date]],database!A:B,2,)</f>
        <v/>
      </c>
      <c r="C84" s="66">
        <f>B84/B83-1</f>
        <v/>
      </c>
      <c r="D84" s="66">
        <f>(Table1[[#This Row],[Index]]-B72)/B72</f>
        <v/>
      </c>
    </row>
    <row r="85">
      <c r="A85" s="17" t="n">
        <v>28672</v>
      </c>
      <c r="B85" s="58">
        <f>VLOOKUP(Table1[[#This Row],[Date]],database!A:B,2,)</f>
        <v/>
      </c>
      <c r="C85" s="66">
        <f>B85/B84-1</f>
        <v/>
      </c>
      <c r="D85" s="66">
        <f>(Table1[[#This Row],[Index]]-B73)/B73</f>
        <v/>
      </c>
    </row>
    <row r="86">
      <c r="A86" s="17" t="n">
        <v>28703</v>
      </c>
      <c r="B86" s="58">
        <f>VLOOKUP(Table1[[#This Row],[Date]],database!A:B,2,)</f>
        <v/>
      </c>
      <c r="C86" s="66">
        <f>B86/B85-1</f>
        <v/>
      </c>
      <c r="D86" s="66">
        <f>(Table1[[#This Row],[Index]]-B74)/B74</f>
        <v/>
      </c>
    </row>
    <row r="87">
      <c r="A87" s="17" t="n">
        <v>28734</v>
      </c>
      <c r="B87" s="58">
        <f>VLOOKUP(Table1[[#This Row],[Date]],database!A:B,2,)</f>
        <v/>
      </c>
      <c r="C87" s="66">
        <f>B87/B86-1</f>
        <v/>
      </c>
      <c r="D87" s="66">
        <f>(Table1[[#This Row],[Index]]-B75)/B75</f>
        <v/>
      </c>
    </row>
    <row r="88">
      <c r="A88" s="17" t="n">
        <v>28764</v>
      </c>
      <c r="B88" s="58">
        <f>VLOOKUP(Table1[[#This Row],[Date]],database!A:B,2,)</f>
        <v/>
      </c>
      <c r="C88" s="66">
        <f>B88/B87-1</f>
        <v/>
      </c>
      <c r="D88" s="66">
        <f>(Table1[[#This Row],[Index]]-B76)/B76</f>
        <v/>
      </c>
    </row>
    <row r="89">
      <c r="A89" s="17" t="n">
        <v>28795</v>
      </c>
      <c r="B89" s="58">
        <f>VLOOKUP(Table1[[#This Row],[Date]],database!A:B,2,)</f>
        <v/>
      </c>
      <c r="C89" s="66">
        <f>B89/B88-1</f>
        <v/>
      </c>
      <c r="D89" s="66">
        <f>(Table1[[#This Row],[Index]]-B77)/B77</f>
        <v/>
      </c>
    </row>
    <row r="90">
      <c r="A90" s="17" t="n">
        <v>28825</v>
      </c>
      <c r="B90" s="58">
        <f>VLOOKUP(Table1[[#This Row],[Date]],database!A:B,2,)</f>
        <v/>
      </c>
      <c r="C90" s="66">
        <f>B90/B89-1</f>
        <v/>
      </c>
      <c r="D90" s="66">
        <f>(Table1[[#This Row],[Index]]-B78)/B78</f>
        <v/>
      </c>
    </row>
    <row r="91">
      <c r="A91" s="17" t="n">
        <v>28856</v>
      </c>
      <c r="B91" s="58">
        <f>VLOOKUP(Table1[[#This Row],[Date]],database!A:B,2,)</f>
        <v/>
      </c>
      <c r="C91" s="66">
        <f>B91/B90-1</f>
        <v/>
      </c>
      <c r="D91" s="66">
        <f>(Table1[[#This Row],[Index]]-B79)/B79</f>
        <v/>
      </c>
    </row>
    <row r="92">
      <c r="A92" s="17" t="n">
        <v>28887</v>
      </c>
      <c r="B92" s="58">
        <f>VLOOKUP(Table1[[#This Row],[Date]],database!A:B,2,)</f>
        <v/>
      </c>
      <c r="C92" s="66">
        <f>B92/B91-1</f>
        <v/>
      </c>
      <c r="D92" s="66">
        <f>(Table1[[#This Row],[Index]]-B80)/B80</f>
        <v/>
      </c>
    </row>
    <row r="93">
      <c r="A93" s="17" t="n">
        <v>28915</v>
      </c>
      <c r="B93" s="58">
        <f>VLOOKUP(Table1[[#This Row],[Date]],database!A:B,2,)</f>
        <v/>
      </c>
      <c r="C93" s="66">
        <f>B93/B92-1</f>
        <v/>
      </c>
      <c r="D93" s="66">
        <f>(Table1[[#This Row],[Index]]-B81)/B81</f>
        <v/>
      </c>
    </row>
    <row r="94">
      <c r="A94" s="17" t="n">
        <v>28946</v>
      </c>
      <c r="B94" s="58">
        <f>VLOOKUP(Table1[[#This Row],[Date]],database!A:B,2,)</f>
        <v/>
      </c>
      <c r="C94" s="66">
        <f>B94/B93-1</f>
        <v/>
      </c>
      <c r="D94" s="66">
        <f>(Table1[[#This Row],[Index]]-B82)/B82</f>
        <v/>
      </c>
    </row>
    <row r="95">
      <c r="A95" s="17" t="n">
        <v>28976</v>
      </c>
      <c r="B95" s="58">
        <f>VLOOKUP(Table1[[#This Row],[Date]],database!A:B,2,)</f>
        <v/>
      </c>
      <c r="C95" s="66">
        <f>B95/B94-1</f>
        <v/>
      </c>
      <c r="D95" s="66">
        <f>(Table1[[#This Row],[Index]]-B83)/B83</f>
        <v/>
      </c>
    </row>
    <row r="96">
      <c r="A96" s="17" t="n">
        <v>29007</v>
      </c>
      <c r="B96" s="58">
        <f>VLOOKUP(Table1[[#This Row],[Date]],database!A:B,2,)</f>
        <v/>
      </c>
      <c r="C96" s="66">
        <f>B96/B95-1</f>
        <v/>
      </c>
      <c r="D96" s="66">
        <f>(Table1[[#This Row],[Index]]-B84)/B84</f>
        <v/>
      </c>
    </row>
    <row r="97">
      <c r="A97" s="17" t="n">
        <v>29037</v>
      </c>
      <c r="B97" s="58">
        <f>VLOOKUP(Table1[[#This Row],[Date]],database!A:B,2,)</f>
        <v/>
      </c>
      <c r="C97" s="66">
        <f>B97/B96-1</f>
        <v/>
      </c>
      <c r="D97" s="66">
        <f>(Table1[[#This Row],[Index]]-B85)/B85</f>
        <v/>
      </c>
    </row>
    <row r="98">
      <c r="A98" s="17" t="n">
        <v>29068</v>
      </c>
      <c r="B98" s="58">
        <f>VLOOKUP(Table1[[#This Row],[Date]],database!A:B,2,)</f>
        <v/>
      </c>
      <c r="C98" s="66">
        <f>B98/B97-1</f>
        <v/>
      </c>
      <c r="D98" s="66">
        <f>(Table1[[#This Row],[Index]]-B86)/B86</f>
        <v/>
      </c>
    </row>
    <row r="99">
      <c r="A99" s="17" t="n">
        <v>29099</v>
      </c>
      <c r="B99" s="58">
        <f>VLOOKUP(Table1[[#This Row],[Date]],database!A:B,2,)</f>
        <v/>
      </c>
      <c r="C99" s="66">
        <f>B99/B98-1</f>
        <v/>
      </c>
      <c r="D99" s="66">
        <f>(Table1[[#This Row],[Index]]-B87)/B87</f>
        <v/>
      </c>
    </row>
    <row r="100">
      <c r="A100" s="17" t="n">
        <v>29129</v>
      </c>
      <c r="B100" s="58">
        <f>VLOOKUP(Table1[[#This Row],[Date]],database!A:B,2,)</f>
        <v/>
      </c>
      <c r="C100" s="66">
        <f>B100/B99-1</f>
        <v/>
      </c>
      <c r="D100" s="66">
        <f>(Table1[[#This Row],[Index]]-B88)/B88</f>
        <v/>
      </c>
    </row>
    <row r="101">
      <c r="A101" s="17" t="n">
        <v>29160</v>
      </c>
      <c r="B101" s="58">
        <f>VLOOKUP(Table1[[#This Row],[Date]],database!A:B,2,)</f>
        <v/>
      </c>
      <c r="C101" s="66">
        <f>B101/B100-1</f>
        <v/>
      </c>
      <c r="D101" s="66">
        <f>(Table1[[#This Row],[Index]]-B89)/B89</f>
        <v/>
      </c>
    </row>
    <row r="102">
      <c r="A102" s="17" t="n">
        <v>29190</v>
      </c>
      <c r="B102" s="58">
        <f>VLOOKUP(Table1[[#This Row],[Date]],database!A:B,2,)</f>
        <v/>
      </c>
      <c r="C102" s="66">
        <f>B102/B101-1</f>
        <v/>
      </c>
      <c r="D102" s="66">
        <f>(Table1[[#This Row],[Index]]-B90)/B90</f>
        <v/>
      </c>
    </row>
    <row r="103">
      <c r="A103" s="17" t="n">
        <v>29221</v>
      </c>
      <c r="B103" s="58">
        <f>VLOOKUP(Table1[[#This Row],[Date]],database!A:B,2,)</f>
        <v/>
      </c>
      <c r="C103" s="66">
        <f>B103/B102-1</f>
        <v/>
      </c>
      <c r="D103" s="66">
        <f>(Table1[[#This Row],[Index]]-B91)/B91</f>
        <v/>
      </c>
    </row>
    <row r="104">
      <c r="A104" s="17" t="n">
        <v>29252</v>
      </c>
      <c r="B104" s="58">
        <f>VLOOKUP(Table1[[#This Row],[Date]],database!A:B,2,)</f>
        <v/>
      </c>
      <c r="C104" s="66">
        <f>B104/B103-1</f>
        <v/>
      </c>
      <c r="D104" s="66">
        <f>(Table1[[#This Row],[Index]]-B92)/B92</f>
        <v/>
      </c>
    </row>
    <row r="105">
      <c r="A105" s="17" t="n">
        <v>29281</v>
      </c>
      <c r="B105" s="58">
        <f>VLOOKUP(Table1[[#This Row],[Date]],database!A:B,2,)</f>
        <v/>
      </c>
      <c r="C105" s="66">
        <f>B105/B104-1</f>
        <v/>
      </c>
      <c r="D105" s="66">
        <f>(Table1[[#This Row],[Index]]-B93)/B93</f>
        <v/>
      </c>
    </row>
    <row r="106">
      <c r="A106" s="17" t="n">
        <v>29312</v>
      </c>
      <c r="B106" s="58">
        <f>VLOOKUP(Table1[[#This Row],[Date]],database!A:B,2,)</f>
        <v/>
      </c>
      <c r="C106" s="66">
        <f>B106/B105-1</f>
        <v/>
      </c>
      <c r="D106" s="66">
        <f>(Table1[[#This Row],[Index]]-B94)/B94</f>
        <v/>
      </c>
    </row>
    <row r="107">
      <c r="A107" s="17" t="n">
        <v>29342</v>
      </c>
      <c r="B107" s="58">
        <f>VLOOKUP(Table1[[#This Row],[Date]],database!A:B,2,)</f>
        <v/>
      </c>
      <c r="C107" s="66">
        <f>B107/B106-1</f>
        <v/>
      </c>
      <c r="D107" s="66">
        <f>(Table1[[#This Row],[Index]]-B95)/B95</f>
        <v/>
      </c>
    </row>
    <row r="108">
      <c r="A108" s="17" t="n">
        <v>29373</v>
      </c>
      <c r="B108" s="58">
        <f>VLOOKUP(Table1[[#This Row],[Date]],database!A:B,2,)</f>
        <v/>
      </c>
      <c r="C108" s="66">
        <f>B108/B107-1</f>
        <v/>
      </c>
      <c r="D108" s="66">
        <f>(Table1[[#This Row],[Index]]-B96)/B96</f>
        <v/>
      </c>
    </row>
    <row r="109">
      <c r="A109" s="17" t="n">
        <v>29403</v>
      </c>
      <c r="B109" s="58">
        <f>VLOOKUP(Table1[[#This Row],[Date]],database!A:B,2,)</f>
        <v/>
      </c>
      <c r="C109" s="66">
        <f>B109/B108-1</f>
        <v/>
      </c>
      <c r="D109" s="66">
        <f>(Table1[[#This Row],[Index]]-B97)/B97</f>
        <v/>
      </c>
    </row>
    <row r="110">
      <c r="A110" s="17" t="n">
        <v>29434</v>
      </c>
      <c r="B110" s="58">
        <f>VLOOKUP(Table1[[#This Row],[Date]],database!A:B,2,)</f>
        <v/>
      </c>
      <c r="C110" s="66">
        <f>B110/B109-1</f>
        <v/>
      </c>
      <c r="D110" s="66">
        <f>(Table1[[#This Row],[Index]]-B98)/B98</f>
        <v/>
      </c>
    </row>
    <row r="111">
      <c r="A111" s="17" t="n">
        <v>29465</v>
      </c>
      <c r="B111" s="58">
        <f>VLOOKUP(Table1[[#This Row],[Date]],database!A:B,2,)</f>
        <v/>
      </c>
      <c r="C111" s="66">
        <f>B111/B110-1</f>
        <v/>
      </c>
      <c r="D111" s="66">
        <f>(Table1[[#This Row],[Index]]-B99)/B99</f>
        <v/>
      </c>
    </row>
    <row r="112">
      <c r="A112" s="17" t="n">
        <v>29495</v>
      </c>
      <c r="B112" s="58">
        <f>VLOOKUP(Table1[[#This Row],[Date]],database!A:B,2,)</f>
        <v/>
      </c>
      <c r="C112" s="66">
        <f>B112/B111-1</f>
        <v/>
      </c>
      <c r="D112" s="66">
        <f>(Table1[[#This Row],[Index]]-B100)/B100</f>
        <v/>
      </c>
    </row>
    <row r="113">
      <c r="A113" s="17" t="n">
        <v>29526</v>
      </c>
      <c r="B113" s="58">
        <f>VLOOKUP(Table1[[#This Row],[Date]],database!A:B,2,)</f>
        <v/>
      </c>
      <c r="C113" s="66">
        <f>B113/B112-1</f>
        <v/>
      </c>
      <c r="D113" s="66">
        <f>(Table1[[#This Row],[Index]]-B101)/B101</f>
        <v/>
      </c>
    </row>
    <row r="114">
      <c r="A114" s="17" t="n">
        <v>29556</v>
      </c>
      <c r="B114" s="58">
        <f>VLOOKUP(Table1[[#This Row],[Date]],database!A:B,2,)</f>
        <v/>
      </c>
      <c r="C114" s="66">
        <f>B114/B113-1</f>
        <v/>
      </c>
      <c r="D114" s="66">
        <f>(Table1[[#This Row],[Index]]-B102)/B102</f>
        <v/>
      </c>
    </row>
    <row r="115">
      <c r="A115" s="17" t="n">
        <v>29587</v>
      </c>
      <c r="B115" s="58">
        <f>VLOOKUP(Table1[[#This Row],[Date]],database!A:B,2,)</f>
        <v/>
      </c>
      <c r="C115" s="66">
        <f>B115/B114-1</f>
        <v/>
      </c>
      <c r="D115" s="66">
        <f>(Table1[[#This Row],[Index]]-B103)/B103</f>
        <v/>
      </c>
    </row>
    <row r="116">
      <c r="A116" s="17" t="n">
        <v>29618</v>
      </c>
      <c r="B116" s="58">
        <f>VLOOKUP(Table1[[#This Row],[Date]],database!A:B,2,)</f>
        <v/>
      </c>
      <c r="C116" s="66">
        <f>B116/B115-1</f>
        <v/>
      </c>
      <c r="D116" s="66">
        <f>(Table1[[#This Row],[Index]]-B104)/B104</f>
        <v/>
      </c>
    </row>
    <row r="117">
      <c r="A117" s="17" t="n">
        <v>29646</v>
      </c>
      <c r="B117" s="58">
        <f>VLOOKUP(Table1[[#This Row],[Date]],database!A:B,2,)</f>
        <v/>
      </c>
      <c r="C117" s="66">
        <f>B117/B116-1</f>
        <v/>
      </c>
      <c r="D117" s="66">
        <f>(Table1[[#This Row],[Index]]-B105)/B105</f>
        <v/>
      </c>
    </row>
    <row r="118">
      <c r="A118" s="17" t="n">
        <v>29677</v>
      </c>
      <c r="B118" s="58">
        <f>VLOOKUP(Table1[[#This Row],[Date]],database!A:B,2,)</f>
        <v/>
      </c>
      <c r="C118" s="66">
        <f>B118/B117-1</f>
        <v/>
      </c>
      <c r="D118" s="66">
        <f>(Table1[[#This Row],[Index]]-B106)/B106</f>
        <v/>
      </c>
    </row>
    <row r="119">
      <c r="A119" s="17" t="n">
        <v>29707</v>
      </c>
      <c r="B119" s="58">
        <f>VLOOKUP(Table1[[#This Row],[Date]],database!A:B,2,)</f>
        <v/>
      </c>
      <c r="C119" s="66">
        <f>B119/B118-1</f>
        <v/>
      </c>
      <c r="D119" s="66">
        <f>(Table1[[#This Row],[Index]]-B107)/B107</f>
        <v/>
      </c>
    </row>
    <row r="120">
      <c r="A120" s="17" t="n">
        <v>29738</v>
      </c>
      <c r="B120" s="58">
        <f>VLOOKUP(Table1[[#This Row],[Date]],database!A:B,2,)</f>
        <v/>
      </c>
      <c r="C120" s="66">
        <f>B120/B119-1</f>
        <v/>
      </c>
      <c r="D120" s="66">
        <f>(Table1[[#This Row],[Index]]-B108)/B108</f>
        <v/>
      </c>
    </row>
    <row r="121">
      <c r="A121" s="17" t="n">
        <v>29768</v>
      </c>
      <c r="B121" s="58">
        <f>VLOOKUP(Table1[[#This Row],[Date]],database!A:B,2,)</f>
        <v/>
      </c>
      <c r="C121" s="66">
        <f>B121/B120-1</f>
        <v/>
      </c>
      <c r="D121" s="66">
        <f>(Table1[[#This Row],[Index]]-B109)/B109</f>
        <v/>
      </c>
    </row>
    <row r="122">
      <c r="A122" s="17" t="n">
        <v>29799</v>
      </c>
      <c r="B122" s="58">
        <f>VLOOKUP(Table1[[#This Row],[Date]],database!A:B,2,)</f>
        <v/>
      </c>
      <c r="C122" s="66">
        <f>B122/B121-1</f>
        <v/>
      </c>
      <c r="D122" s="66">
        <f>(Table1[[#This Row],[Index]]-B110)/B110</f>
        <v/>
      </c>
    </row>
    <row r="123">
      <c r="A123" s="17" t="n">
        <v>29830</v>
      </c>
      <c r="B123" s="58">
        <f>VLOOKUP(Table1[[#This Row],[Date]],database!A:B,2,)</f>
        <v/>
      </c>
      <c r="C123" s="66">
        <f>B123/B122-1</f>
        <v/>
      </c>
      <c r="D123" s="66">
        <f>(Table1[[#This Row],[Index]]-B111)/B111</f>
        <v/>
      </c>
    </row>
    <row r="124">
      <c r="A124" s="17" t="n">
        <v>29860</v>
      </c>
      <c r="B124" s="58">
        <f>VLOOKUP(Table1[[#This Row],[Date]],database!A:B,2,)</f>
        <v/>
      </c>
      <c r="C124" s="66">
        <f>B124/B123-1</f>
        <v/>
      </c>
      <c r="D124" s="66">
        <f>(Table1[[#This Row],[Index]]-B112)/B112</f>
        <v/>
      </c>
    </row>
    <row r="125">
      <c r="A125" s="17" t="n">
        <v>29891</v>
      </c>
      <c r="B125" s="58">
        <f>VLOOKUP(Table1[[#This Row],[Date]],database!A:B,2,)</f>
        <v/>
      </c>
      <c r="C125" s="66">
        <f>B125/B124-1</f>
        <v/>
      </c>
      <c r="D125" s="66">
        <f>(Table1[[#This Row],[Index]]-B113)/B113</f>
        <v/>
      </c>
    </row>
    <row r="126">
      <c r="A126" s="17" t="n">
        <v>29921</v>
      </c>
      <c r="B126" s="58">
        <f>VLOOKUP(Table1[[#This Row],[Date]],database!A:B,2,)</f>
        <v/>
      </c>
      <c r="C126" s="66">
        <f>B126/B125-1</f>
        <v/>
      </c>
      <c r="D126" s="66">
        <f>(Table1[[#This Row],[Index]]-B114)/B114</f>
        <v/>
      </c>
    </row>
    <row r="127">
      <c r="A127" s="17" t="n">
        <v>29952</v>
      </c>
      <c r="B127" s="58">
        <f>VLOOKUP(Table1[[#This Row],[Date]],database!A:B,2,)</f>
        <v/>
      </c>
      <c r="C127" s="66">
        <f>B127/B126-1</f>
        <v/>
      </c>
      <c r="D127" s="66">
        <f>(Table1[[#This Row],[Index]]-B115)/B115</f>
        <v/>
      </c>
    </row>
    <row r="128">
      <c r="A128" s="17" t="n">
        <v>29983</v>
      </c>
      <c r="B128" s="58">
        <f>VLOOKUP(Table1[[#This Row],[Date]],database!A:B,2,)</f>
        <v/>
      </c>
      <c r="C128" s="66">
        <f>B128/B127-1</f>
        <v/>
      </c>
      <c r="D128" s="66">
        <f>(Table1[[#This Row],[Index]]-B116)/B116</f>
        <v/>
      </c>
    </row>
    <row r="129">
      <c r="A129" s="17" t="n">
        <v>30011</v>
      </c>
      <c r="B129" s="58">
        <f>VLOOKUP(Table1[[#This Row],[Date]],database!A:B,2,)</f>
        <v/>
      </c>
      <c r="C129" s="66">
        <f>B129/B128-1</f>
        <v/>
      </c>
      <c r="D129" s="66">
        <f>(Table1[[#This Row],[Index]]-B117)/B117</f>
        <v/>
      </c>
    </row>
    <row r="130">
      <c r="A130" s="17" t="n">
        <v>30042</v>
      </c>
      <c r="B130" s="58">
        <f>VLOOKUP(Table1[[#This Row],[Date]],database!A:B,2,)</f>
        <v/>
      </c>
      <c r="C130" s="66">
        <f>B130/B129-1</f>
        <v/>
      </c>
      <c r="D130" s="66">
        <f>(Table1[[#This Row],[Index]]-B118)/B118</f>
        <v/>
      </c>
    </row>
    <row r="131">
      <c r="A131" s="17" t="n">
        <v>30072</v>
      </c>
      <c r="B131" s="58">
        <f>VLOOKUP(Table1[[#This Row],[Date]],database!A:B,2,)</f>
        <v/>
      </c>
      <c r="C131" s="66">
        <f>B131/B130-1</f>
        <v/>
      </c>
      <c r="D131" s="66">
        <f>(Table1[[#This Row],[Index]]-B119)/B119</f>
        <v/>
      </c>
    </row>
    <row r="132">
      <c r="A132" s="17" t="n">
        <v>30103</v>
      </c>
      <c r="B132" s="58">
        <f>VLOOKUP(Table1[[#This Row],[Date]],database!A:B,2,)</f>
        <v/>
      </c>
      <c r="C132" s="66">
        <f>B132/B131-1</f>
        <v/>
      </c>
      <c r="D132" s="66">
        <f>(Table1[[#This Row],[Index]]-B120)/B120</f>
        <v/>
      </c>
    </row>
    <row r="133">
      <c r="A133" s="17" t="n">
        <v>30133</v>
      </c>
      <c r="B133" s="58">
        <f>VLOOKUP(Table1[[#This Row],[Date]],database!A:B,2,)</f>
        <v/>
      </c>
      <c r="C133" s="66">
        <f>B133/B132-1</f>
        <v/>
      </c>
      <c r="D133" s="66">
        <f>(Table1[[#This Row],[Index]]-B121)/B121</f>
        <v/>
      </c>
    </row>
    <row r="134">
      <c r="A134" s="17" t="n">
        <v>30164</v>
      </c>
      <c r="B134" s="58">
        <f>VLOOKUP(Table1[[#This Row],[Date]],database!A:B,2,)</f>
        <v/>
      </c>
      <c r="C134" s="66">
        <f>B134/B133-1</f>
        <v/>
      </c>
      <c r="D134" s="66">
        <f>(Table1[[#This Row],[Index]]-B122)/B122</f>
        <v/>
      </c>
    </row>
    <row r="135">
      <c r="A135" s="17" t="n">
        <v>30195</v>
      </c>
      <c r="B135" s="58">
        <f>VLOOKUP(Table1[[#This Row],[Date]],database!A:B,2,)</f>
        <v/>
      </c>
      <c r="C135" s="66">
        <f>B135/B134-1</f>
        <v/>
      </c>
      <c r="D135" s="66">
        <f>(Table1[[#This Row],[Index]]-B123)/B123</f>
        <v/>
      </c>
    </row>
    <row r="136">
      <c r="A136" s="17" t="n">
        <v>30225</v>
      </c>
      <c r="B136" s="58">
        <f>VLOOKUP(Table1[[#This Row],[Date]],database!A:B,2,)</f>
        <v/>
      </c>
      <c r="C136" s="66">
        <f>B136/B135-1</f>
        <v/>
      </c>
      <c r="D136" s="66">
        <f>(Table1[[#This Row],[Index]]-B124)/B124</f>
        <v/>
      </c>
    </row>
    <row r="137">
      <c r="A137" s="17" t="n">
        <v>30256</v>
      </c>
      <c r="B137" s="58">
        <f>VLOOKUP(Table1[[#This Row],[Date]],database!A:B,2,)</f>
        <v/>
      </c>
      <c r="C137" s="66">
        <f>B137/B136-1</f>
        <v/>
      </c>
      <c r="D137" s="66">
        <f>(Table1[[#This Row],[Index]]-B125)/B125</f>
        <v/>
      </c>
    </row>
    <row r="138">
      <c r="A138" s="17" t="n">
        <v>30286</v>
      </c>
      <c r="B138" s="58">
        <f>VLOOKUP(Table1[[#This Row],[Date]],database!A:B,2,)</f>
        <v/>
      </c>
      <c r="C138" s="66">
        <f>B138/B137-1</f>
        <v/>
      </c>
      <c r="D138" s="66">
        <f>(Table1[[#This Row],[Index]]-B126)/B126</f>
        <v/>
      </c>
    </row>
    <row r="139">
      <c r="A139" s="17" t="n">
        <v>30317</v>
      </c>
      <c r="B139" s="58">
        <f>VLOOKUP(Table1[[#This Row],[Date]],database!A:B,2,)</f>
        <v/>
      </c>
      <c r="C139" s="66">
        <f>B139/B138-1</f>
        <v/>
      </c>
      <c r="D139" s="66">
        <f>(Table1[[#This Row],[Index]]-B127)/B127</f>
        <v/>
      </c>
    </row>
    <row r="140">
      <c r="A140" s="17" t="n">
        <v>30348</v>
      </c>
      <c r="B140" s="58">
        <f>VLOOKUP(Table1[[#This Row],[Date]],database!A:B,2,)</f>
        <v/>
      </c>
      <c r="C140" s="66">
        <f>B140/B139-1</f>
        <v/>
      </c>
      <c r="D140" s="66">
        <f>(Table1[[#This Row],[Index]]-B128)/B128</f>
        <v/>
      </c>
    </row>
    <row r="141">
      <c r="A141" s="17" t="n">
        <v>30376</v>
      </c>
      <c r="B141" s="58">
        <f>VLOOKUP(Table1[[#This Row],[Date]],database!A:B,2,)</f>
        <v/>
      </c>
      <c r="C141" s="66">
        <f>B141/B140-1</f>
        <v/>
      </c>
      <c r="D141" s="66">
        <f>(Table1[[#This Row],[Index]]-B129)/B129</f>
        <v/>
      </c>
    </row>
    <row r="142">
      <c r="A142" s="17" t="n">
        <v>30407</v>
      </c>
      <c r="B142" s="58">
        <f>VLOOKUP(Table1[[#This Row],[Date]],database!A:B,2,)</f>
        <v/>
      </c>
      <c r="C142" s="66">
        <f>B142/B141-1</f>
        <v/>
      </c>
      <c r="D142" s="66">
        <f>(Table1[[#This Row],[Index]]-B130)/B130</f>
        <v/>
      </c>
    </row>
    <row r="143">
      <c r="A143" s="17" t="n">
        <v>30437</v>
      </c>
      <c r="B143" s="58">
        <f>VLOOKUP(Table1[[#This Row],[Date]],database!A:B,2,)</f>
        <v/>
      </c>
      <c r="C143" s="66">
        <f>B143/B142-1</f>
        <v/>
      </c>
      <c r="D143" s="66">
        <f>(Table1[[#This Row],[Index]]-B131)/B131</f>
        <v/>
      </c>
    </row>
    <row r="144">
      <c r="A144" s="17" t="n">
        <v>30468</v>
      </c>
      <c r="B144" s="58">
        <f>VLOOKUP(Table1[[#This Row],[Date]],database!A:B,2,)</f>
        <v/>
      </c>
      <c r="C144" s="66">
        <f>B144/B143-1</f>
        <v/>
      </c>
      <c r="D144" s="66">
        <f>(Table1[[#This Row],[Index]]-B132)/B132</f>
        <v/>
      </c>
    </row>
    <row r="145">
      <c r="A145" s="17" t="n">
        <v>30498</v>
      </c>
      <c r="B145" s="58">
        <f>VLOOKUP(Table1[[#This Row],[Date]],database!A:B,2,)</f>
        <v/>
      </c>
      <c r="C145" s="66">
        <f>B145/B144-1</f>
        <v/>
      </c>
      <c r="D145" s="66">
        <f>(Table1[[#This Row],[Index]]-B133)/B133</f>
        <v/>
      </c>
    </row>
    <row r="146">
      <c r="A146" s="17" t="n">
        <v>30529</v>
      </c>
      <c r="B146" s="58">
        <f>VLOOKUP(Table1[[#This Row],[Date]],database!A:B,2,)</f>
        <v/>
      </c>
      <c r="C146" s="66">
        <f>B146/B145-1</f>
        <v/>
      </c>
      <c r="D146" s="66">
        <f>(Table1[[#This Row],[Index]]-B134)/B134</f>
        <v/>
      </c>
    </row>
    <row r="147">
      <c r="A147" s="17" t="n">
        <v>30560</v>
      </c>
      <c r="B147" s="58">
        <f>VLOOKUP(Table1[[#This Row],[Date]],database!A:B,2,)</f>
        <v/>
      </c>
      <c r="C147" s="66">
        <f>B147/B146-1</f>
        <v/>
      </c>
      <c r="D147" s="66">
        <f>(Table1[[#This Row],[Index]]-B135)/B135</f>
        <v/>
      </c>
    </row>
    <row r="148">
      <c r="A148" s="17" t="n">
        <v>30590</v>
      </c>
      <c r="B148" s="58">
        <f>VLOOKUP(Table1[[#This Row],[Date]],database!A:B,2,)</f>
        <v/>
      </c>
      <c r="C148" s="66">
        <f>B148/B147-1</f>
        <v/>
      </c>
      <c r="D148" s="66">
        <f>(Table1[[#This Row],[Index]]-B136)/B136</f>
        <v/>
      </c>
    </row>
    <row r="149">
      <c r="A149" s="17" t="n">
        <v>30621</v>
      </c>
      <c r="B149" s="58">
        <f>VLOOKUP(Table1[[#This Row],[Date]],database!A:B,2,)</f>
        <v/>
      </c>
      <c r="C149" s="66">
        <f>B149/B148-1</f>
        <v/>
      </c>
      <c r="D149" s="66">
        <f>(Table1[[#This Row],[Index]]-B137)/B137</f>
        <v/>
      </c>
    </row>
    <row r="150">
      <c r="A150" s="17" t="n">
        <v>30651</v>
      </c>
      <c r="B150" s="58">
        <f>VLOOKUP(Table1[[#This Row],[Date]],database!A:B,2,)</f>
        <v/>
      </c>
      <c r="C150" s="66">
        <f>B150/B149-1</f>
        <v/>
      </c>
      <c r="D150" s="66">
        <f>(Table1[[#This Row],[Index]]-B138)/B138</f>
        <v/>
      </c>
    </row>
    <row r="151">
      <c r="A151" s="17" t="n">
        <v>30682</v>
      </c>
      <c r="B151" s="58">
        <f>VLOOKUP(Table1[[#This Row],[Date]],database!A:B,2,)</f>
        <v/>
      </c>
      <c r="C151" s="66">
        <f>B151/B150-1</f>
        <v/>
      </c>
      <c r="D151" s="66">
        <f>(Table1[[#This Row],[Index]]-B139)/B139</f>
        <v/>
      </c>
    </row>
    <row r="152">
      <c r="A152" s="17" t="n">
        <v>30713</v>
      </c>
      <c r="B152" s="58">
        <f>VLOOKUP(Table1[[#This Row],[Date]],database!A:B,2,)</f>
        <v/>
      </c>
      <c r="C152" s="66">
        <f>B152/B151-1</f>
        <v/>
      </c>
      <c r="D152" s="66">
        <f>(Table1[[#This Row],[Index]]-B140)/B140</f>
        <v/>
      </c>
    </row>
    <row r="153">
      <c r="A153" s="17" t="n">
        <v>30742</v>
      </c>
      <c r="B153" s="58">
        <f>VLOOKUP(Table1[[#This Row],[Date]],database!A:B,2,)</f>
        <v/>
      </c>
      <c r="C153" s="66">
        <f>B153/B152-1</f>
        <v/>
      </c>
      <c r="D153" s="66">
        <f>(Table1[[#This Row],[Index]]-B141)/B141</f>
        <v/>
      </c>
    </row>
    <row r="154">
      <c r="A154" s="17" t="n">
        <v>30773</v>
      </c>
      <c r="B154" s="58">
        <f>VLOOKUP(Table1[[#This Row],[Date]],database!A:B,2,)</f>
        <v/>
      </c>
      <c r="C154" s="66">
        <f>B154/B153-1</f>
        <v/>
      </c>
      <c r="D154" s="66">
        <f>(Table1[[#This Row],[Index]]-B142)/B142</f>
        <v/>
      </c>
    </row>
    <row r="155">
      <c r="A155" s="17" t="n">
        <v>30803</v>
      </c>
      <c r="B155" s="58">
        <f>VLOOKUP(Table1[[#This Row],[Date]],database!A:B,2,)</f>
        <v/>
      </c>
      <c r="C155" s="66">
        <f>B155/B154-1</f>
        <v/>
      </c>
      <c r="D155" s="66">
        <f>(Table1[[#This Row],[Index]]-B143)/B143</f>
        <v/>
      </c>
    </row>
    <row r="156">
      <c r="A156" s="17" t="n">
        <v>30834</v>
      </c>
      <c r="B156" s="58">
        <f>VLOOKUP(Table1[[#This Row],[Date]],database!A:B,2,)</f>
        <v/>
      </c>
      <c r="C156" s="66">
        <f>B156/B155-1</f>
        <v/>
      </c>
      <c r="D156" s="66">
        <f>(Table1[[#This Row],[Index]]-B144)/B144</f>
        <v/>
      </c>
    </row>
    <row r="157">
      <c r="A157" s="17" t="n">
        <v>30864</v>
      </c>
      <c r="B157" s="58">
        <f>VLOOKUP(Table1[[#This Row],[Date]],database!A:B,2,)</f>
        <v/>
      </c>
      <c r="C157" s="66">
        <f>B157/B156-1</f>
        <v/>
      </c>
      <c r="D157" s="66">
        <f>(Table1[[#This Row],[Index]]-B145)/B145</f>
        <v/>
      </c>
    </row>
    <row r="158">
      <c r="A158" s="17" t="n">
        <v>30895</v>
      </c>
      <c r="B158" s="58">
        <f>VLOOKUP(Table1[[#This Row],[Date]],database!A:B,2,)</f>
        <v/>
      </c>
      <c r="C158" s="66">
        <f>B158/B157-1</f>
        <v/>
      </c>
      <c r="D158" s="66">
        <f>(Table1[[#This Row],[Index]]-B146)/B146</f>
        <v/>
      </c>
    </row>
    <row r="159">
      <c r="A159" s="17" t="n">
        <v>30926</v>
      </c>
      <c r="B159" s="58">
        <f>VLOOKUP(Table1[[#This Row],[Date]],database!A:B,2,)</f>
        <v/>
      </c>
      <c r="C159" s="66">
        <f>B159/B158-1</f>
        <v/>
      </c>
      <c r="D159" s="66">
        <f>(Table1[[#This Row],[Index]]-B147)/B147</f>
        <v/>
      </c>
    </row>
    <row r="160">
      <c r="A160" s="17" t="n">
        <v>30956</v>
      </c>
      <c r="B160" s="58">
        <f>VLOOKUP(Table1[[#This Row],[Date]],database!A:B,2,)</f>
        <v/>
      </c>
      <c r="C160" s="66">
        <f>B160/B159-1</f>
        <v/>
      </c>
      <c r="D160" s="66">
        <f>(Table1[[#This Row],[Index]]-B148)/B148</f>
        <v/>
      </c>
    </row>
    <row r="161">
      <c r="A161" s="17" t="n">
        <v>30987</v>
      </c>
      <c r="B161" s="58">
        <f>VLOOKUP(Table1[[#This Row],[Date]],database!A:B,2,)</f>
        <v/>
      </c>
      <c r="C161" s="66">
        <f>B161/B160-1</f>
        <v/>
      </c>
      <c r="D161" s="66">
        <f>(Table1[[#This Row],[Index]]-B149)/B149</f>
        <v/>
      </c>
    </row>
    <row r="162">
      <c r="A162" s="17" t="n">
        <v>31017</v>
      </c>
      <c r="B162" s="58">
        <f>VLOOKUP(Table1[[#This Row],[Date]],database!A:B,2,)</f>
        <v/>
      </c>
      <c r="C162" s="66">
        <f>B162/B161-1</f>
        <v/>
      </c>
      <c r="D162" s="66">
        <f>(Table1[[#This Row],[Index]]-B150)/B150</f>
        <v/>
      </c>
    </row>
    <row r="163">
      <c r="A163" s="17" t="n">
        <v>31048</v>
      </c>
      <c r="B163" s="58">
        <f>VLOOKUP(Table1[[#This Row],[Date]],database!A:B,2,)</f>
        <v/>
      </c>
      <c r="C163" s="66">
        <f>B163/B162-1</f>
        <v/>
      </c>
      <c r="D163" s="66">
        <f>(Table1[[#This Row],[Index]]-B151)/B151</f>
        <v/>
      </c>
    </row>
    <row r="164">
      <c r="A164" s="17" t="n">
        <v>31079</v>
      </c>
      <c r="B164" s="58">
        <f>VLOOKUP(Table1[[#This Row],[Date]],database!A:B,2,)</f>
        <v/>
      </c>
      <c r="C164" s="66">
        <f>B164/B163-1</f>
        <v/>
      </c>
      <c r="D164" s="66">
        <f>(Table1[[#This Row],[Index]]-B152)/B152</f>
        <v/>
      </c>
    </row>
    <row r="165">
      <c r="A165" s="17" t="n">
        <v>31107</v>
      </c>
      <c r="B165" s="58">
        <f>VLOOKUP(Table1[[#This Row],[Date]],database!A:B,2,)</f>
        <v/>
      </c>
      <c r="C165" s="66">
        <f>B165/B164-1</f>
        <v/>
      </c>
      <c r="D165" s="66">
        <f>(Table1[[#This Row],[Index]]-B153)/B153</f>
        <v/>
      </c>
    </row>
    <row r="166">
      <c r="A166" s="17" t="n">
        <v>31138</v>
      </c>
      <c r="B166" s="58">
        <f>VLOOKUP(Table1[[#This Row],[Date]],database!A:B,2,)</f>
        <v/>
      </c>
      <c r="C166" s="66">
        <f>B166/B165-1</f>
        <v/>
      </c>
      <c r="D166" s="66">
        <f>(Table1[[#This Row],[Index]]-B154)/B154</f>
        <v/>
      </c>
    </row>
    <row r="167">
      <c r="A167" s="17" t="n">
        <v>31168</v>
      </c>
      <c r="B167" s="58">
        <f>VLOOKUP(Table1[[#This Row],[Date]],database!A:B,2,)</f>
        <v/>
      </c>
      <c r="C167" s="66">
        <f>B167/B166-1</f>
        <v/>
      </c>
      <c r="D167" s="66">
        <f>(Table1[[#This Row],[Index]]-B155)/B155</f>
        <v/>
      </c>
    </row>
    <row r="168">
      <c r="A168" s="17" t="n">
        <v>31199</v>
      </c>
      <c r="B168" s="58">
        <f>VLOOKUP(Table1[[#This Row],[Date]],database!A:B,2,)</f>
        <v/>
      </c>
      <c r="C168" s="66">
        <f>B168/B167-1</f>
        <v/>
      </c>
      <c r="D168" s="66">
        <f>(Table1[[#This Row],[Index]]-B156)/B156</f>
        <v/>
      </c>
    </row>
    <row r="169">
      <c r="A169" s="17" t="n">
        <v>31229</v>
      </c>
      <c r="B169" s="58">
        <f>VLOOKUP(Table1[[#This Row],[Date]],database!A:B,2,)</f>
        <v/>
      </c>
      <c r="C169" s="66">
        <f>B169/B168-1</f>
        <v/>
      </c>
      <c r="D169" s="66">
        <f>(Table1[[#This Row],[Index]]-B157)/B157</f>
        <v/>
      </c>
    </row>
    <row r="170">
      <c r="A170" s="17" t="n">
        <v>31260</v>
      </c>
      <c r="B170" s="58">
        <f>VLOOKUP(Table1[[#This Row],[Date]],database!A:B,2,)</f>
        <v/>
      </c>
      <c r="C170" s="66">
        <f>B170/B169-1</f>
        <v/>
      </c>
      <c r="D170" s="66">
        <f>(Table1[[#This Row],[Index]]-B158)/B158</f>
        <v/>
      </c>
    </row>
    <row r="171">
      <c r="A171" s="17" t="n">
        <v>31291</v>
      </c>
      <c r="B171" s="58">
        <f>VLOOKUP(Table1[[#This Row],[Date]],database!A:B,2,)</f>
        <v/>
      </c>
      <c r="C171" s="66">
        <f>B171/B170-1</f>
        <v/>
      </c>
      <c r="D171" s="66">
        <f>(Table1[[#This Row],[Index]]-B159)/B159</f>
        <v/>
      </c>
    </row>
    <row r="172">
      <c r="A172" s="17" t="n">
        <v>31321</v>
      </c>
      <c r="B172" s="58">
        <f>VLOOKUP(Table1[[#This Row],[Date]],database!A:B,2,)</f>
        <v/>
      </c>
      <c r="C172" s="66">
        <f>B172/B171-1</f>
        <v/>
      </c>
      <c r="D172" s="66">
        <f>(Table1[[#This Row],[Index]]-B160)/B160</f>
        <v/>
      </c>
    </row>
    <row r="173">
      <c r="A173" s="17" t="n">
        <v>31352</v>
      </c>
      <c r="B173" s="58">
        <f>VLOOKUP(Table1[[#This Row],[Date]],database!A:B,2,)</f>
        <v/>
      </c>
      <c r="C173" s="66">
        <f>B173/B172-1</f>
        <v/>
      </c>
      <c r="D173" s="66">
        <f>(Table1[[#This Row],[Index]]-B161)/B161</f>
        <v/>
      </c>
    </row>
    <row r="174">
      <c r="A174" s="17" t="n">
        <v>31382</v>
      </c>
      <c r="B174" s="58">
        <f>VLOOKUP(Table1[[#This Row],[Date]],database!A:B,2,)</f>
        <v/>
      </c>
      <c r="C174" s="66">
        <f>B174/B173-1</f>
        <v/>
      </c>
      <c r="D174" s="66">
        <f>(Table1[[#This Row],[Index]]-B162)/B162</f>
        <v/>
      </c>
    </row>
    <row r="175">
      <c r="A175" s="17" t="n">
        <v>31413</v>
      </c>
      <c r="B175" s="58">
        <f>VLOOKUP(Table1[[#This Row],[Date]],database!A:B,2,)</f>
        <v/>
      </c>
      <c r="C175" s="66">
        <f>B175/B174-1</f>
        <v/>
      </c>
      <c r="D175" s="66">
        <f>(Table1[[#This Row],[Index]]-B163)/B163</f>
        <v/>
      </c>
    </row>
    <row r="176">
      <c r="A176" s="17" t="n">
        <v>31444</v>
      </c>
      <c r="B176" s="58">
        <f>VLOOKUP(Table1[[#This Row],[Date]],database!A:B,2,)</f>
        <v/>
      </c>
      <c r="C176" s="66">
        <f>B176/B175-1</f>
        <v/>
      </c>
      <c r="D176" s="66">
        <f>(Table1[[#This Row],[Index]]-B164)/B164</f>
        <v/>
      </c>
    </row>
    <row r="177">
      <c r="A177" s="17" t="n">
        <v>31472</v>
      </c>
      <c r="B177" s="58">
        <f>VLOOKUP(Table1[[#This Row],[Date]],database!A:B,2,)</f>
        <v/>
      </c>
      <c r="C177" s="66">
        <f>B177/B176-1</f>
        <v/>
      </c>
      <c r="D177" s="66">
        <f>(Table1[[#This Row],[Index]]-B165)/B165</f>
        <v/>
      </c>
    </row>
    <row r="178">
      <c r="A178" s="17" t="n">
        <v>31503</v>
      </c>
      <c r="B178" s="58">
        <f>VLOOKUP(Table1[[#This Row],[Date]],database!A:B,2,)</f>
        <v/>
      </c>
      <c r="C178" s="66">
        <f>B178/B177-1</f>
        <v/>
      </c>
      <c r="D178" s="66">
        <f>(Table1[[#This Row],[Index]]-B166)/B166</f>
        <v/>
      </c>
    </row>
    <row r="179">
      <c r="A179" s="17" t="n">
        <v>31533</v>
      </c>
      <c r="B179" s="58">
        <f>VLOOKUP(Table1[[#This Row],[Date]],database!A:B,2,)</f>
        <v/>
      </c>
      <c r="C179" s="66">
        <f>B179/B178-1</f>
        <v/>
      </c>
      <c r="D179" s="66">
        <f>(Table1[[#This Row],[Index]]-B167)/B167</f>
        <v/>
      </c>
    </row>
    <row r="180">
      <c r="A180" s="17" t="n">
        <v>31564</v>
      </c>
      <c r="B180" s="58">
        <f>VLOOKUP(Table1[[#This Row],[Date]],database!A:B,2,)</f>
        <v/>
      </c>
      <c r="C180" s="66">
        <f>B180/B179-1</f>
        <v/>
      </c>
      <c r="D180" s="66">
        <f>(Table1[[#This Row],[Index]]-B168)/B168</f>
        <v/>
      </c>
    </row>
    <row r="181">
      <c r="A181" s="17" t="n">
        <v>31594</v>
      </c>
      <c r="B181" s="58">
        <f>VLOOKUP(Table1[[#This Row],[Date]],database!A:B,2,)</f>
        <v/>
      </c>
      <c r="C181" s="66">
        <f>B181/B180-1</f>
        <v/>
      </c>
      <c r="D181" s="66">
        <f>(Table1[[#This Row],[Index]]-B169)/B169</f>
        <v/>
      </c>
    </row>
    <row r="182">
      <c r="A182" s="17" t="n">
        <v>31625</v>
      </c>
      <c r="B182" s="58">
        <f>VLOOKUP(Table1[[#This Row],[Date]],database!A:B,2,)</f>
        <v/>
      </c>
      <c r="C182" s="66">
        <f>B182/B181-1</f>
        <v/>
      </c>
      <c r="D182" s="66">
        <f>(Table1[[#This Row],[Index]]-B170)/B170</f>
        <v/>
      </c>
    </row>
    <row r="183">
      <c r="A183" s="17" t="n">
        <v>31656</v>
      </c>
      <c r="B183" s="58">
        <f>VLOOKUP(Table1[[#This Row],[Date]],database!A:B,2,)</f>
        <v/>
      </c>
      <c r="C183" s="66">
        <f>B183/B182-1</f>
        <v/>
      </c>
      <c r="D183" s="66">
        <f>(Table1[[#This Row],[Index]]-B171)/B171</f>
        <v/>
      </c>
    </row>
    <row r="184">
      <c r="A184" s="17" t="n">
        <v>31686</v>
      </c>
      <c r="B184" s="58">
        <f>VLOOKUP(Table1[[#This Row],[Date]],database!A:B,2,)</f>
        <v/>
      </c>
      <c r="C184" s="66">
        <f>B184/B183-1</f>
        <v/>
      </c>
      <c r="D184" s="66">
        <f>(Table1[[#This Row],[Index]]-B172)/B172</f>
        <v/>
      </c>
    </row>
    <row r="185">
      <c r="A185" s="17" t="n">
        <v>31717</v>
      </c>
      <c r="B185" s="58">
        <f>VLOOKUP(Table1[[#This Row],[Date]],database!A:B,2,)</f>
        <v/>
      </c>
      <c r="C185" s="66">
        <f>B185/B184-1</f>
        <v/>
      </c>
      <c r="D185" s="66">
        <f>(Table1[[#This Row],[Index]]-B173)/B173</f>
        <v/>
      </c>
    </row>
    <row r="186">
      <c r="A186" s="17" t="n">
        <v>31747</v>
      </c>
      <c r="B186" s="58">
        <f>VLOOKUP(Table1[[#This Row],[Date]],database!A:B,2,)</f>
        <v/>
      </c>
      <c r="C186" s="66">
        <f>B186/B185-1</f>
        <v/>
      </c>
      <c r="D186" s="66">
        <f>(Table1[[#This Row],[Index]]-B174)/B174</f>
        <v/>
      </c>
    </row>
    <row r="187">
      <c r="A187" s="17" t="n">
        <v>31778</v>
      </c>
      <c r="B187" s="58">
        <f>VLOOKUP(Table1[[#This Row],[Date]],database!A:B,2,)</f>
        <v/>
      </c>
      <c r="C187" s="66">
        <f>B187/B186-1</f>
        <v/>
      </c>
      <c r="D187" s="66">
        <f>(Table1[[#This Row],[Index]]-B175)/B175</f>
        <v/>
      </c>
    </row>
    <row r="188">
      <c r="A188" s="17" t="n">
        <v>31809</v>
      </c>
      <c r="B188" s="58">
        <f>VLOOKUP(Table1[[#This Row],[Date]],database!A:B,2,)</f>
        <v/>
      </c>
      <c r="C188" s="66">
        <f>B188/B187-1</f>
        <v/>
      </c>
      <c r="D188" s="66">
        <f>(Table1[[#This Row],[Index]]-B176)/B176</f>
        <v/>
      </c>
    </row>
    <row r="189">
      <c r="A189" s="17" t="n">
        <v>31837</v>
      </c>
      <c r="B189" s="58">
        <f>VLOOKUP(Table1[[#This Row],[Date]],database!A:B,2,)</f>
        <v/>
      </c>
      <c r="C189" s="66">
        <f>B189/B188-1</f>
        <v/>
      </c>
      <c r="D189" s="66">
        <f>(Table1[[#This Row],[Index]]-B177)/B177</f>
        <v/>
      </c>
    </row>
    <row r="190">
      <c r="A190" s="17" t="n">
        <v>31868</v>
      </c>
      <c r="B190" s="58">
        <f>VLOOKUP(Table1[[#This Row],[Date]],database!A:B,2,)</f>
        <v/>
      </c>
      <c r="C190" s="66">
        <f>B190/B189-1</f>
        <v/>
      </c>
      <c r="D190" s="66">
        <f>(Table1[[#This Row],[Index]]-B178)/B178</f>
        <v/>
      </c>
    </row>
    <row r="191">
      <c r="A191" s="17" t="n">
        <v>31898</v>
      </c>
      <c r="B191" s="58">
        <f>VLOOKUP(Table1[[#This Row],[Date]],database!A:B,2,)</f>
        <v/>
      </c>
      <c r="C191" s="66">
        <f>B191/B190-1</f>
        <v/>
      </c>
      <c r="D191" s="66">
        <f>(Table1[[#This Row],[Index]]-B179)/B179</f>
        <v/>
      </c>
    </row>
    <row r="192">
      <c r="A192" s="17" t="n">
        <v>31929</v>
      </c>
      <c r="B192" s="58">
        <f>VLOOKUP(Table1[[#This Row],[Date]],database!A:B,2,)</f>
        <v/>
      </c>
      <c r="C192" s="66">
        <f>B192/B191-1</f>
        <v/>
      </c>
      <c r="D192" s="66">
        <f>(Table1[[#This Row],[Index]]-B180)/B180</f>
        <v/>
      </c>
    </row>
    <row r="193">
      <c r="A193" s="17" t="n">
        <v>31959</v>
      </c>
      <c r="B193" s="58">
        <f>VLOOKUP(Table1[[#This Row],[Date]],database!A:B,2,)</f>
        <v/>
      </c>
      <c r="C193" s="66">
        <f>B193/B192-1</f>
        <v/>
      </c>
      <c r="D193" s="66">
        <f>(Table1[[#This Row],[Index]]-B181)/B181</f>
        <v/>
      </c>
    </row>
    <row r="194">
      <c r="A194" s="17" t="n">
        <v>31990</v>
      </c>
      <c r="B194" s="58">
        <f>VLOOKUP(Table1[[#This Row],[Date]],database!A:B,2,)</f>
        <v/>
      </c>
      <c r="C194" s="66">
        <f>B194/B193-1</f>
        <v/>
      </c>
      <c r="D194" s="66">
        <f>(Table1[[#This Row],[Index]]-B182)/B182</f>
        <v/>
      </c>
    </row>
    <row r="195">
      <c r="A195" s="17" t="n">
        <v>32021</v>
      </c>
      <c r="B195" s="58">
        <f>VLOOKUP(Table1[[#This Row],[Date]],database!A:B,2,)</f>
        <v/>
      </c>
      <c r="C195" s="66">
        <f>B195/B194-1</f>
        <v/>
      </c>
      <c r="D195" s="66">
        <f>(Table1[[#This Row],[Index]]-B183)/B183</f>
        <v/>
      </c>
    </row>
    <row r="196">
      <c r="A196" s="17" t="n">
        <v>32051</v>
      </c>
      <c r="B196" s="58">
        <f>VLOOKUP(Table1[[#This Row],[Date]],database!A:B,2,)</f>
        <v/>
      </c>
      <c r="C196" s="66">
        <f>B196/B195-1</f>
        <v/>
      </c>
      <c r="D196" s="66">
        <f>(Table1[[#This Row],[Index]]-B184)/B184</f>
        <v/>
      </c>
    </row>
    <row r="197">
      <c r="A197" s="17" t="n">
        <v>32082</v>
      </c>
      <c r="B197" s="58">
        <f>VLOOKUP(Table1[[#This Row],[Date]],database!A:B,2,)</f>
        <v/>
      </c>
      <c r="C197" s="66">
        <f>B197/B196-1</f>
        <v/>
      </c>
      <c r="D197" s="66">
        <f>(Table1[[#This Row],[Index]]-B185)/B185</f>
        <v/>
      </c>
    </row>
    <row r="198">
      <c r="A198" s="17" t="n">
        <v>32112</v>
      </c>
      <c r="B198" s="58">
        <f>VLOOKUP(Table1[[#This Row],[Date]],database!A:B,2,)</f>
        <v/>
      </c>
      <c r="C198" s="66">
        <f>B198/B197-1</f>
        <v/>
      </c>
      <c r="D198" s="66">
        <f>(Table1[[#This Row],[Index]]-B186)/B186</f>
        <v/>
      </c>
    </row>
    <row r="199">
      <c r="A199" s="17" t="n">
        <v>32143</v>
      </c>
      <c r="B199" s="58">
        <f>VLOOKUP(Table1[[#This Row],[Date]],database!A:B,2,)</f>
        <v/>
      </c>
      <c r="C199" s="66">
        <f>B199/B198-1</f>
        <v/>
      </c>
      <c r="D199" s="66">
        <f>(Table1[[#This Row],[Index]]-B187)/B187</f>
        <v/>
      </c>
    </row>
    <row r="200">
      <c r="A200" s="17" t="n">
        <v>32174</v>
      </c>
      <c r="B200" s="58">
        <f>VLOOKUP(Table1[[#This Row],[Date]],database!A:B,2,)</f>
        <v/>
      </c>
      <c r="C200" s="66">
        <f>B200/B199-1</f>
        <v/>
      </c>
      <c r="D200" s="66">
        <f>(Table1[[#This Row],[Index]]-B188)/B188</f>
        <v/>
      </c>
    </row>
    <row r="201">
      <c r="A201" s="17" t="n">
        <v>32203</v>
      </c>
      <c r="B201" s="58">
        <f>VLOOKUP(Table1[[#This Row],[Date]],database!A:B,2,)</f>
        <v/>
      </c>
      <c r="C201" s="66">
        <f>B201/B200-1</f>
        <v/>
      </c>
      <c r="D201" s="66">
        <f>(Table1[[#This Row],[Index]]-B189)/B189</f>
        <v/>
      </c>
    </row>
    <row r="202">
      <c r="A202" s="17" t="n">
        <v>32234</v>
      </c>
      <c r="B202" s="58">
        <f>VLOOKUP(Table1[[#This Row],[Date]],database!A:B,2,)</f>
        <v/>
      </c>
      <c r="C202" s="66">
        <f>B202/B201-1</f>
        <v/>
      </c>
      <c r="D202" s="66">
        <f>(Table1[[#This Row],[Index]]-B190)/B190</f>
        <v/>
      </c>
    </row>
    <row r="203">
      <c r="A203" s="17" t="n">
        <v>32264</v>
      </c>
      <c r="B203" s="58">
        <f>VLOOKUP(Table1[[#This Row],[Date]],database!A:B,2,)</f>
        <v/>
      </c>
      <c r="C203" s="66">
        <f>B203/B202-1</f>
        <v/>
      </c>
      <c r="D203" s="66">
        <f>(Table1[[#This Row],[Index]]-B191)/B191</f>
        <v/>
      </c>
    </row>
    <row r="204">
      <c r="A204" s="17" t="n">
        <v>32295</v>
      </c>
      <c r="B204" s="58">
        <f>VLOOKUP(Table1[[#This Row],[Date]],database!A:B,2,)</f>
        <v/>
      </c>
      <c r="C204" s="66">
        <f>B204/B203-1</f>
        <v/>
      </c>
      <c r="D204" s="66">
        <f>(Table1[[#This Row],[Index]]-B192)/B192</f>
        <v/>
      </c>
    </row>
    <row r="205">
      <c r="A205" s="17" t="n">
        <v>32325</v>
      </c>
      <c r="B205" s="58">
        <f>VLOOKUP(Table1[[#This Row],[Date]],database!A:B,2,)</f>
        <v/>
      </c>
      <c r="C205" s="66">
        <f>B205/B204-1</f>
        <v/>
      </c>
      <c r="D205" s="66">
        <f>(Table1[[#This Row],[Index]]-B193)/B193</f>
        <v/>
      </c>
    </row>
    <row r="206">
      <c r="A206" s="17" t="n">
        <v>32356</v>
      </c>
      <c r="B206" s="58">
        <f>VLOOKUP(Table1[[#This Row],[Date]],database!A:B,2,)</f>
        <v/>
      </c>
      <c r="C206" s="66">
        <f>B206/B205-1</f>
        <v/>
      </c>
      <c r="D206" s="66">
        <f>(Table1[[#This Row],[Index]]-B194)/B194</f>
        <v/>
      </c>
    </row>
    <row r="207">
      <c r="A207" s="17" t="n">
        <v>32387</v>
      </c>
      <c r="B207" s="58">
        <f>VLOOKUP(Table1[[#This Row],[Date]],database!A:B,2,)</f>
        <v/>
      </c>
      <c r="C207" s="66">
        <f>B207/B206-1</f>
        <v/>
      </c>
      <c r="D207" s="66">
        <f>(Table1[[#This Row],[Index]]-B195)/B195</f>
        <v/>
      </c>
    </row>
    <row r="208">
      <c r="A208" s="17" t="n">
        <v>32417</v>
      </c>
      <c r="B208" s="58">
        <f>VLOOKUP(Table1[[#This Row],[Date]],database!A:B,2,)</f>
        <v/>
      </c>
      <c r="C208" s="66">
        <f>B208/B207-1</f>
        <v/>
      </c>
      <c r="D208" s="66">
        <f>(Table1[[#This Row],[Index]]-B196)/B196</f>
        <v/>
      </c>
    </row>
    <row r="209">
      <c r="A209" s="17" t="n">
        <v>32448</v>
      </c>
      <c r="B209" s="58">
        <f>VLOOKUP(Table1[[#This Row],[Date]],database!A:B,2,)</f>
        <v/>
      </c>
      <c r="C209" s="66">
        <f>B209/B208-1</f>
        <v/>
      </c>
      <c r="D209" s="66">
        <f>(Table1[[#This Row],[Index]]-B197)/B197</f>
        <v/>
      </c>
    </row>
    <row r="210">
      <c r="A210" s="17" t="n">
        <v>32478</v>
      </c>
      <c r="B210" s="58">
        <f>VLOOKUP(Table1[[#This Row],[Date]],database!A:B,2,)</f>
        <v/>
      </c>
      <c r="C210" s="66">
        <f>B210/B209-1</f>
        <v/>
      </c>
      <c r="D210" s="66">
        <f>(Table1[[#This Row],[Index]]-B198)/B198</f>
        <v/>
      </c>
    </row>
    <row r="211">
      <c r="A211" s="17" t="n">
        <v>32509</v>
      </c>
      <c r="B211" s="58">
        <f>VLOOKUP(Table1[[#This Row],[Date]],database!A:B,2,)</f>
        <v/>
      </c>
      <c r="C211" s="66">
        <f>B211/B210-1</f>
        <v/>
      </c>
      <c r="D211" s="66">
        <f>(Table1[[#This Row],[Index]]-B199)/B199</f>
        <v/>
      </c>
    </row>
    <row r="212">
      <c r="A212" s="17" t="n">
        <v>32540</v>
      </c>
      <c r="B212" s="58">
        <f>VLOOKUP(Table1[[#This Row],[Date]],database!A:B,2,)</f>
        <v/>
      </c>
      <c r="C212" s="66">
        <f>B212/B211-1</f>
        <v/>
      </c>
      <c r="D212" s="66">
        <f>(Table1[[#This Row],[Index]]-B200)/B200</f>
        <v/>
      </c>
    </row>
    <row r="213">
      <c r="A213" s="17" t="n">
        <v>32568</v>
      </c>
      <c r="B213" s="58">
        <f>VLOOKUP(Table1[[#This Row],[Date]],database!A:B,2,)</f>
        <v/>
      </c>
      <c r="C213" s="66">
        <f>B213/B212-1</f>
        <v/>
      </c>
      <c r="D213" s="66">
        <f>(Table1[[#This Row],[Index]]-B201)/B201</f>
        <v/>
      </c>
    </row>
    <row r="214">
      <c r="A214" s="17" t="n">
        <v>32599</v>
      </c>
      <c r="B214" s="58">
        <f>VLOOKUP(Table1[[#This Row],[Date]],database!A:B,2,)</f>
        <v/>
      </c>
      <c r="C214" s="66">
        <f>B214/B213-1</f>
        <v/>
      </c>
      <c r="D214" s="66">
        <f>(Table1[[#This Row],[Index]]-B202)/B202</f>
        <v/>
      </c>
    </row>
    <row r="215">
      <c r="A215" s="17" t="n">
        <v>32629</v>
      </c>
      <c r="B215" s="58">
        <f>VLOOKUP(Table1[[#This Row],[Date]],database!A:B,2,)</f>
        <v/>
      </c>
      <c r="C215" s="66">
        <f>B215/B214-1</f>
        <v/>
      </c>
      <c r="D215" s="66">
        <f>(Table1[[#This Row],[Index]]-B203)/B203</f>
        <v/>
      </c>
    </row>
    <row r="216">
      <c r="A216" s="17" t="n">
        <v>32660</v>
      </c>
      <c r="B216" s="58">
        <f>VLOOKUP(Table1[[#This Row],[Date]],database!A:B,2,)</f>
        <v/>
      </c>
      <c r="C216" s="66">
        <f>B216/B215-1</f>
        <v/>
      </c>
      <c r="D216" s="66">
        <f>(Table1[[#This Row],[Index]]-B204)/B204</f>
        <v/>
      </c>
    </row>
    <row r="217">
      <c r="A217" s="17" t="n">
        <v>32690</v>
      </c>
      <c r="B217" s="58">
        <f>VLOOKUP(Table1[[#This Row],[Date]],database!A:B,2,)</f>
        <v/>
      </c>
      <c r="C217" s="66">
        <f>B217/B216-1</f>
        <v/>
      </c>
      <c r="D217" s="66">
        <f>(Table1[[#This Row],[Index]]-B205)/B205</f>
        <v/>
      </c>
    </row>
    <row r="218">
      <c r="A218" s="17" t="n">
        <v>32721</v>
      </c>
      <c r="B218" s="58">
        <f>VLOOKUP(Table1[[#This Row],[Date]],database!A:B,2,)</f>
        <v/>
      </c>
      <c r="C218" s="66">
        <f>B218/B217-1</f>
        <v/>
      </c>
      <c r="D218" s="66">
        <f>(Table1[[#This Row],[Index]]-B206)/B206</f>
        <v/>
      </c>
    </row>
    <row r="219">
      <c r="A219" s="17" t="n">
        <v>32752</v>
      </c>
      <c r="B219" s="58">
        <f>VLOOKUP(Table1[[#This Row],[Date]],database!A:B,2,)</f>
        <v/>
      </c>
      <c r="C219" s="66">
        <f>B219/B218-1</f>
        <v/>
      </c>
      <c r="D219" s="66">
        <f>(Table1[[#This Row],[Index]]-B207)/B207</f>
        <v/>
      </c>
    </row>
    <row r="220">
      <c r="A220" s="17" t="n">
        <v>32782</v>
      </c>
      <c r="B220" s="58">
        <f>VLOOKUP(Table1[[#This Row],[Date]],database!A:B,2,)</f>
        <v/>
      </c>
      <c r="C220" s="66">
        <f>B220/B219-1</f>
        <v/>
      </c>
      <c r="D220" s="66">
        <f>(Table1[[#This Row],[Index]]-B208)/B208</f>
        <v/>
      </c>
    </row>
    <row r="221">
      <c r="A221" s="17" t="n">
        <v>32813</v>
      </c>
      <c r="B221" s="58">
        <f>VLOOKUP(Table1[[#This Row],[Date]],database!A:B,2,)</f>
        <v/>
      </c>
      <c r="C221" s="66">
        <f>B221/B220-1</f>
        <v/>
      </c>
      <c r="D221" s="66">
        <f>(Table1[[#This Row],[Index]]-B209)/B209</f>
        <v/>
      </c>
    </row>
    <row r="222">
      <c r="A222" s="17" t="n">
        <v>32843</v>
      </c>
      <c r="B222" s="58">
        <f>VLOOKUP(Table1[[#This Row],[Date]],database!A:B,2,)</f>
        <v/>
      </c>
      <c r="C222" s="66">
        <f>B222/B221-1</f>
        <v/>
      </c>
      <c r="D222" s="66">
        <f>(Table1[[#This Row],[Index]]-B210)/B210</f>
        <v/>
      </c>
    </row>
    <row r="223">
      <c r="A223" s="17" t="n">
        <v>32874</v>
      </c>
      <c r="B223" s="58">
        <f>VLOOKUP(Table1[[#This Row],[Date]],database!A:B,2,)</f>
        <v/>
      </c>
      <c r="C223" s="66">
        <f>B223/B222-1</f>
        <v/>
      </c>
      <c r="D223" s="66">
        <f>(Table1[[#This Row],[Index]]-B211)/B211</f>
        <v/>
      </c>
    </row>
    <row r="224">
      <c r="A224" s="17" t="n">
        <v>32905</v>
      </c>
      <c r="B224" s="58">
        <f>VLOOKUP(Table1[[#This Row],[Date]],database!A:B,2,)</f>
        <v/>
      </c>
      <c r="C224" s="66">
        <f>B224/B223-1</f>
        <v/>
      </c>
      <c r="D224" s="66">
        <f>(Table1[[#This Row],[Index]]-B212)/B212</f>
        <v/>
      </c>
    </row>
    <row r="225">
      <c r="A225" s="17" t="n">
        <v>32933</v>
      </c>
      <c r="B225" s="58">
        <f>VLOOKUP(Table1[[#This Row],[Date]],database!A:B,2,)</f>
        <v/>
      </c>
      <c r="C225" s="66">
        <f>B225/B224-1</f>
        <v/>
      </c>
      <c r="D225" s="66">
        <f>(Table1[[#This Row],[Index]]-B213)/B213</f>
        <v/>
      </c>
    </row>
    <row r="226">
      <c r="A226" s="17" t="n">
        <v>32964</v>
      </c>
      <c r="B226" s="58">
        <f>VLOOKUP(Table1[[#This Row],[Date]],database!A:B,2,)</f>
        <v/>
      </c>
      <c r="C226" s="66">
        <f>B226/B225-1</f>
        <v/>
      </c>
      <c r="D226" s="66">
        <f>(Table1[[#This Row],[Index]]-B214)/B214</f>
        <v/>
      </c>
    </row>
    <row r="227">
      <c r="A227" s="17" t="n">
        <v>32994</v>
      </c>
      <c r="B227" s="58">
        <f>VLOOKUP(Table1[[#This Row],[Date]],database!A:B,2,)</f>
        <v/>
      </c>
      <c r="C227" s="66">
        <f>B227/B226-1</f>
        <v/>
      </c>
      <c r="D227" s="66">
        <f>(Table1[[#This Row],[Index]]-B215)/B215</f>
        <v/>
      </c>
    </row>
    <row r="228">
      <c r="A228" s="17" t="n">
        <v>33025</v>
      </c>
      <c r="B228" s="58">
        <f>VLOOKUP(Table1[[#This Row],[Date]],database!A:B,2,)</f>
        <v/>
      </c>
      <c r="C228" s="66">
        <f>B228/B227-1</f>
        <v/>
      </c>
      <c r="D228" s="66">
        <f>(Table1[[#This Row],[Index]]-B216)/B216</f>
        <v/>
      </c>
    </row>
    <row r="229">
      <c r="A229" s="17" t="n">
        <v>33055</v>
      </c>
      <c r="B229" s="58">
        <f>VLOOKUP(Table1[[#This Row],[Date]],database!A:B,2,)</f>
        <v/>
      </c>
      <c r="C229" s="66">
        <f>B229/B228-1</f>
        <v/>
      </c>
      <c r="D229" s="66">
        <f>(Table1[[#This Row],[Index]]-B217)/B217</f>
        <v/>
      </c>
    </row>
    <row r="230">
      <c r="A230" s="17" t="n">
        <v>33086</v>
      </c>
      <c r="B230" s="58">
        <f>VLOOKUP(Table1[[#This Row],[Date]],database!A:B,2,)</f>
        <v/>
      </c>
      <c r="C230" s="66">
        <f>B230/B229-1</f>
        <v/>
      </c>
      <c r="D230" s="66">
        <f>(Table1[[#This Row],[Index]]-B218)/B218</f>
        <v/>
      </c>
    </row>
    <row r="231">
      <c r="A231" s="17" t="n">
        <v>33117</v>
      </c>
      <c r="B231" s="58">
        <f>VLOOKUP(Table1[[#This Row],[Date]],database!A:B,2,)</f>
        <v/>
      </c>
      <c r="C231" s="66">
        <f>B231/B230-1</f>
        <v/>
      </c>
      <c r="D231" s="66">
        <f>(Table1[[#This Row],[Index]]-B219)/B219</f>
        <v/>
      </c>
    </row>
    <row r="232">
      <c r="A232" s="17" t="n">
        <v>33147</v>
      </c>
      <c r="B232" s="58">
        <f>VLOOKUP(Table1[[#This Row],[Date]],database!A:B,2,)</f>
        <v/>
      </c>
      <c r="C232" s="66">
        <f>B232/B231-1</f>
        <v/>
      </c>
      <c r="D232" s="66">
        <f>(Table1[[#This Row],[Index]]-B220)/B220</f>
        <v/>
      </c>
    </row>
    <row r="233">
      <c r="A233" s="17" t="n">
        <v>33178</v>
      </c>
      <c r="B233" s="58">
        <f>VLOOKUP(Table1[[#This Row],[Date]],database!A:B,2,)</f>
        <v/>
      </c>
      <c r="C233" s="66">
        <f>B233/B232-1</f>
        <v/>
      </c>
      <c r="D233" s="66">
        <f>(Table1[[#This Row],[Index]]-B221)/B221</f>
        <v/>
      </c>
    </row>
    <row r="234">
      <c r="A234" s="17" t="n">
        <v>33208</v>
      </c>
      <c r="B234" s="58">
        <f>VLOOKUP(Table1[[#This Row],[Date]],database!A:B,2,)</f>
        <v/>
      </c>
      <c r="C234" s="66">
        <f>B234/B233-1</f>
        <v/>
      </c>
      <c r="D234" s="66">
        <f>(Table1[[#This Row],[Index]]-B222)/B222</f>
        <v/>
      </c>
    </row>
    <row r="235">
      <c r="A235" s="17" t="n">
        <v>33239</v>
      </c>
      <c r="B235" s="58">
        <f>VLOOKUP(Table1[[#This Row],[Date]],database!A:B,2,)</f>
        <v/>
      </c>
      <c r="C235" s="66">
        <f>B235/B234-1</f>
        <v/>
      </c>
      <c r="D235" s="66">
        <f>(Table1[[#This Row],[Index]]-B223)/B223</f>
        <v/>
      </c>
    </row>
    <row r="236">
      <c r="A236" s="17" t="n">
        <v>33270</v>
      </c>
      <c r="B236" s="58">
        <f>VLOOKUP(Table1[[#This Row],[Date]],database!A:B,2,)</f>
        <v/>
      </c>
      <c r="C236" s="66">
        <f>B236/B235-1</f>
        <v/>
      </c>
      <c r="D236" s="66">
        <f>(Table1[[#This Row],[Index]]-B224)/B224</f>
        <v/>
      </c>
    </row>
    <row r="237">
      <c r="A237" s="17" t="n">
        <v>33298</v>
      </c>
      <c r="B237" s="58">
        <f>VLOOKUP(Table1[[#This Row],[Date]],database!A:B,2,)</f>
        <v/>
      </c>
      <c r="C237" s="66">
        <f>B237/B236-1</f>
        <v/>
      </c>
      <c r="D237" s="66">
        <f>(Table1[[#This Row],[Index]]-B225)/B225</f>
        <v/>
      </c>
    </row>
    <row r="238">
      <c r="A238" s="17" t="n">
        <v>33329</v>
      </c>
      <c r="B238" s="58">
        <f>VLOOKUP(Table1[[#This Row],[Date]],database!A:B,2,)</f>
        <v/>
      </c>
      <c r="C238" s="66">
        <f>B238/B237-1</f>
        <v/>
      </c>
      <c r="D238" s="66">
        <f>(Table1[[#This Row],[Index]]-B226)/B226</f>
        <v/>
      </c>
    </row>
    <row r="239">
      <c r="A239" s="17" t="n">
        <v>33359</v>
      </c>
      <c r="B239" s="58">
        <f>VLOOKUP(Table1[[#This Row],[Date]],database!A:B,2,)</f>
        <v/>
      </c>
      <c r="C239" s="66">
        <f>B239/B238-1</f>
        <v/>
      </c>
      <c r="D239" s="66">
        <f>(Table1[[#This Row],[Index]]-B227)/B227</f>
        <v/>
      </c>
    </row>
    <row r="240">
      <c r="A240" s="17" t="n">
        <v>33390</v>
      </c>
      <c r="B240" s="58">
        <f>VLOOKUP(Table1[[#This Row],[Date]],database!A:B,2,)</f>
        <v/>
      </c>
      <c r="C240" s="66">
        <f>B240/B239-1</f>
        <v/>
      </c>
      <c r="D240" s="66">
        <f>(Table1[[#This Row],[Index]]-B228)/B228</f>
        <v/>
      </c>
    </row>
    <row r="241">
      <c r="A241" s="17" t="n">
        <v>33420</v>
      </c>
      <c r="B241" s="58">
        <f>VLOOKUP(Table1[[#This Row],[Date]],database!A:B,2,)</f>
        <v/>
      </c>
      <c r="C241" s="66">
        <f>B241/B240-1</f>
        <v/>
      </c>
      <c r="D241" s="66">
        <f>(Table1[[#This Row],[Index]]-B229)/B229</f>
        <v/>
      </c>
    </row>
    <row r="242">
      <c r="A242" s="17" t="n">
        <v>33451</v>
      </c>
      <c r="B242" s="58">
        <f>VLOOKUP(Table1[[#This Row],[Date]],database!A:B,2,)</f>
        <v/>
      </c>
      <c r="C242" s="66">
        <f>B242/B241-1</f>
        <v/>
      </c>
      <c r="D242" s="66">
        <f>(Table1[[#This Row],[Index]]-B230)/B230</f>
        <v/>
      </c>
    </row>
    <row r="243">
      <c r="A243" s="17" t="n">
        <v>33482</v>
      </c>
      <c r="B243" s="58">
        <f>VLOOKUP(Table1[[#This Row],[Date]],database!A:B,2,)</f>
        <v/>
      </c>
      <c r="C243" s="66">
        <f>B243/B242-1</f>
        <v/>
      </c>
      <c r="D243" s="66">
        <f>(Table1[[#This Row],[Index]]-B231)/B231</f>
        <v/>
      </c>
    </row>
    <row r="244">
      <c r="A244" s="17" t="n">
        <v>33512</v>
      </c>
      <c r="B244" s="58">
        <f>VLOOKUP(Table1[[#This Row],[Date]],database!A:B,2,)</f>
        <v/>
      </c>
      <c r="C244" s="66">
        <f>B244/B243-1</f>
        <v/>
      </c>
      <c r="D244" s="66">
        <f>(Table1[[#This Row],[Index]]-B232)/B232</f>
        <v/>
      </c>
    </row>
    <row r="245">
      <c r="A245" s="17" t="n">
        <v>33543</v>
      </c>
      <c r="B245" s="58">
        <f>VLOOKUP(Table1[[#This Row],[Date]],database!A:B,2,)</f>
        <v/>
      </c>
      <c r="C245" s="66">
        <f>B245/B244-1</f>
        <v/>
      </c>
      <c r="D245" s="66">
        <f>(Table1[[#This Row],[Index]]-B233)/B233</f>
        <v/>
      </c>
    </row>
    <row r="246">
      <c r="A246" s="17" t="n">
        <v>33573</v>
      </c>
      <c r="B246" s="58">
        <f>VLOOKUP(Table1[[#This Row],[Date]],database!A:B,2,)</f>
        <v/>
      </c>
      <c r="C246" s="66">
        <f>B246/B245-1</f>
        <v/>
      </c>
      <c r="D246" s="66">
        <f>(Table1[[#This Row],[Index]]-B234)/B234</f>
        <v/>
      </c>
    </row>
    <row r="247">
      <c r="A247" s="17" t="n">
        <v>33604</v>
      </c>
      <c r="B247" s="58">
        <f>VLOOKUP(Table1[[#This Row],[Date]],database!A:B,2,)</f>
        <v/>
      </c>
      <c r="C247" s="66">
        <f>B247/B246-1</f>
        <v/>
      </c>
      <c r="D247" s="66">
        <f>(Table1[[#This Row],[Index]]-B235)/B235</f>
        <v/>
      </c>
    </row>
    <row r="248">
      <c r="A248" s="17" t="n">
        <v>33635</v>
      </c>
      <c r="B248" s="58">
        <f>VLOOKUP(Table1[[#This Row],[Date]],database!A:B,2,)</f>
        <v/>
      </c>
      <c r="C248" s="66">
        <f>B248/B247-1</f>
        <v/>
      </c>
      <c r="D248" s="66">
        <f>(Table1[[#This Row],[Index]]-B236)/B236</f>
        <v/>
      </c>
    </row>
    <row r="249">
      <c r="A249" s="17" t="n">
        <v>33664</v>
      </c>
      <c r="B249" s="58">
        <f>VLOOKUP(Table1[[#This Row],[Date]],database!A:B,2,)</f>
        <v/>
      </c>
      <c r="C249" s="66">
        <f>B249/B248-1</f>
        <v/>
      </c>
      <c r="D249" s="66">
        <f>(Table1[[#This Row],[Index]]-B237)/B237</f>
        <v/>
      </c>
    </row>
    <row r="250">
      <c r="A250" s="17" t="n">
        <v>33695</v>
      </c>
      <c r="B250" s="58">
        <f>VLOOKUP(Table1[[#This Row],[Date]],database!A:B,2,)</f>
        <v/>
      </c>
      <c r="C250" s="66">
        <f>B250/B249-1</f>
        <v/>
      </c>
      <c r="D250" s="66">
        <f>(Table1[[#This Row],[Index]]-B238)/B238</f>
        <v/>
      </c>
    </row>
    <row r="251">
      <c r="A251" s="17" t="n">
        <v>33725</v>
      </c>
      <c r="B251" s="58">
        <f>VLOOKUP(Table1[[#This Row],[Date]],database!A:B,2,)</f>
        <v/>
      </c>
      <c r="C251" s="66">
        <f>B251/B250-1</f>
        <v/>
      </c>
      <c r="D251" s="66">
        <f>(Table1[[#This Row],[Index]]-B239)/B239</f>
        <v/>
      </c>
    </row>
    <row r="252">
      <c r="A252" s="17" t="n">
        <v>33756</v>
      </c>
      <c r="B252" s="58">
        <f>VLOOKUP(Table1[[#This Row],[Date]],database!A:B,2,)</f>
        <v/>
      </c>
      <c r="C252" s="66">
        <f>B252/B251-1</f>
        <v/>
      </c>
      <c r="D252" s="66">
        <f>(Table1[[#This Row],[Index]]-B240)/B240</f>
        <v/>
      </c>
    </row>
    <row r="253">
      <c r="A253" s="17" t="n">
        <v>33786</v>
      </c>
      <c r="B253" s="58">
        <f>VLOOKUP(Table1[[#This Row],[Date]],database!A:B,2,)</f>
        <v/>
      </c>
      <c r="C253" s="66">
        <f>B253/B252-1</f>
        <v/>
      </c>
      <c r="D253" s="66">
        <f>(Table1[[#This Row],[Index]]-B241)/B241</f>
        <v/>
      </c>
    </row>
    <row r="254">
      <c r="A254" s="17" t="n">
        <v>33817</v>
      </c>
      <c r="B254" s="58">
        <f>VLOOKUP(Table1[[#This Row],[Date]],database!A:B,2,)</f>
        <v/>
      </c>
      <c r="C254" s="66">
        <f>B254/B253-1</f>
        <v/>
      </c>
      <c r="D254" s="66">
        <f>(Table1[[#This Row],[Index]]-B242)/B242</f>
        <v/>
      </c>
    </row>
    <row r="255">
      <c r="A255" s="17" t="n">
        <v>33848</v>
      </c>
      <c r="B255" s="58">
        <f>VLOOKUP(Table1[[#This Row],[Date]],database!A:B,2,)</f>
        <v/>
      </c>
      <c r="C255" s="66">
        <f>B255/B254-1</f>
        <v/>
      </c>
      <c r="D255" s="66">
        <f>(Table1[[#This Row],[Index]]-B243)/B243</f>
        <v/>
      </c>
    </row>
    <row r="256">
      <c r="A256" s="17" t="n">
        <v>33878</v>
      </c>
      <c r="B256" s="58">
        <f>VLOOKUP(Table1[[#This Row],[Date]],database!A:B,2,)</f>
        <v/>
      </c>
      <c r="C256" s="66">
        <f>B256/B255-1</f>
        <v/>
      </c>
      <c r="D256" s="66">
        <f>(Table1[[#This Row],[Index]]-B244)/B244</f>
        <v/>
      </c>
    </row>
    <row r="257">
      <c r="A257" s="17" t="n">
        <v>33909</v>
      </c>
      <c r="B257" s="58">
        <f>VLOOKUP(Table1[[#This Row],[Date]],database!A:B,2,)</f>
        <v/>
      </c>
      <c r="C257" s="66">
        <f>B257/B256-1</f>
        <v/>
      </c>
      <c r="D257" s="66">
        <f>(Table1[[#This Row],[Index]]-B245)/B245</f>
        <v/>
      </c>
    </row>
    <row r="258">
      <c r="A258" s="17" t="n">
        <v>33939</v>
      </c>
      <c r="B258" s="58">
        <f>VLOOKUP(Table1[[#This Row],[Date]],database!A:B,2,)</f>
        <v/>
      </c>
      <c r="C258" s="66">
        <f>B258/B257-1</f>
        <v/>
      </c>
      <c r="D258" s="66">
        <f>(Table1[[#This Row],[Index]]-B246)/B246</f>
        <v/>
      </c>
    </row>
    <row r="259">
      <c r="A259" s="17" t="n">
        <v>33970</v>
      </c>
      <c r="B259" s="58">
        <f>VLOOKUP(Table1[[#This Row],[Date]],database!A:B,2,)</f>
        <v/>
      </c>
      <c r="C259" s="66">
        <f>B259/B258-1</f>
        <v/>
      </c>
      <c r="D259" s="66">
        <f>(Table1[[#This Row],[Index]]-B247)/B247</f>
        <v/>
      </c>
    </row>
    <row r="260">
      <c r="A260" s="17" t="n">
        <v>34001</v>
      </c>
      <c r="B260" s="58">
        <f>VLOOKUP(Table1[[#This Row],[Date]],database!A:B,2,)</f>
        <v/>
      </c>
      <c r="C260" s="66">
        <f>B260/B259-1</f>
        <v/>
      </c>
      <c r="D260" s="66">
        <f>(Table1[[#This Row],[Index]]-B248)/B248</f>
        <v/>
      </c>
    </row>
    <row r="261">
      <c r="A261" s="17" t="n">
        <v>34029</v>
      </c>
      <c r="B261" s="58">
        <f>VLOOKUP(Table1[[#This Row],[Date]],database!A:B,2,)</f>
        <v/>
      </c>
      <c r="C261" s="66">
        <f>B261/B260-1</f>
        <v/>
      </c>
      <c r="D261" s="66">
        <f>(Table1[[#This Row],[Index]]-B249)/B249</f>
        <v/>
      </c>
    </row>
    <row r="262">
      <c r="A262" s="17" t="n">
        <v>34060</v>
      </c>
      <c r="B262" s="58">
        <f>VLOOKUP(Table1[[#This Row],[Date]],database!A:B,2,)</f>
        <v/>
      </c>
      <c r="C262" s="66">
        <f>B262/B261-1</f>
        <v/>
      </c>
      <c r="D262" s="66">
        <f>(Table1[[#This Row],[Index]]-B250)/B250</f>
        <v/>
      </c>
    </row>
    <row r="263">
      <c r="A263" s="17" t="n">
        <v>34090</v>
      </c>
      <c r="B263" s="58">
        <f>VLOOKUP(Table1[[#This Row],[Date]],database!A:B,2,)</f>
        <v/>
      </c>
      <c r="C263" s="66">
        <f>B263/B262-1</f>
        <v/>
      </c>
      <c r="D263" s="66">
        <f>(Table1[[#This Row],[Index]]-B251)/B251</f>
        <v/>
      </c>
    </row>
    <row r="264">
      <c r="A264" s="17" t="n">
        <v>34121</v>
      </c>
      <c r="B264" s="58">
        <f>VLOOKUP(Table1[[#This Row],[Date]],database!A:B,2,)</f>
        <v/>
      </c>
      <c r="C264" s="66">
        <f>B264/B263-1</f>
        <v/>
      </c>
      <c r="D264" s="66">
        <f>(Table1[[#This Row],[Index]]-B252)/B252</f>
        <v/>
      </c>
    </row>
    <row r="265">
      <c r="A265" s="17" t="n">
        <v>34151</v>
      </c>
      <c r="B265" s="58">
        <f>VLOOKUP(Table1[[#This Row],[Date]],database!A:B,2,)</f>
        <v/>
      </c>
      <c r="C265" s="66">
        <f>B265/B264-1</f>
        <v/>
      </c>
      <c r="D265" s="66">
        <f>(Table1[[#This Row],[Index]]-B253)/B253</f>
        <v/>
      </c>
    </row>
    <row r="266">
      <c r="A266" s="17" t="n">
        <v>34182</v>
      </c>
      <c r="B266" s="58">
        <f>VLOOKUP(Table1[[#This Row],[Date]],database!A:B,2,)</f>
        <v/>
      </c>
      <c r="C266" s="66">
        <f>B266/B265-1</f>
        <v/>
      </c>
      <c r="D266" s="66">
        <f>(Table1[[#This Row],[Index]]-B254)/B254</f>
        <v/>
      </c>
    </row>
    <row r="267">
      <c r="A267" s="17" t="n">
        <v>34213</v>
      </c>
      <c r="B267" s="58">
        <f>VLOOKUP(Table1[[#This Row],[Date]],database!A:B,2,)</f>
        <v/>
      </c>
      <c r="C267" s="66">
        <f>B267/B266-1</f>
        <v/>
      </c>
      <c r="D267" s="66">
        <f>(Table1[[#This Row],[Index]]-B255)/B255</f>
        <v/>
      </c>
    </row>
    <row r="268">
      <c r="A268" s="17" t="n">
        <v>34243</v>
      </c>
      <c r="B268" s="58">
        <f>VLOOKUP(Table1[[#This Row],[Date]],database!A:B,2,)</f>
        <v/>
      </c>
      <c r="C268" s="66">
        <f>B268/B267-1</f>
        <v/>
      </c>
      <c r="D268" s="66">
        <f>(Table1[[#This Row],[Index]]-B256)/B256</f>
        <v/>
      </c>
    </row>
    <row r="269">
      <c r="A269" s="17" t="n">
        <v>34274</v>
      </c>
      <c r="B269" s="58">
        <f>VLOOKUP(Table1[[#This Row],[Date]],database!A:B,2,)</f>
        <v/>
      </c>
      <c r="C269" s="66">
        <f>B269/B268-1</f>
        <v/>
      </c>
      <c r="D269" s="66">
        <f>(Table1[[#This Row],[Index]]-B257)/B257</f>
        <v/>
      </c>
    </row>
    <row r="270">
      <c r="A270" s="17" t="n">
        <v>34304</v>
      </c>
      <c r="B270" s="58">
        <f>VLOOKUP(Table1[[#This Row],[Date]],database!A:B,2,)</f>
        <v/>
      </c>
      <c r="C270" s="66">
        <f>B270/B269-1</f>
        <v/>
      </c>
      <c r="D270" s="66">
        <f>(Table1[[#This Row],[Index]]-B258)/B258</f>
        <v/>
      </c>
    </row>
    <row r="271">
      <c r="A271" s="17" t="n">
        <v>34335</v>
      </c>
      <c r="B271" s="58">
        <f>VLOOKUP(Table1[[#This Row],[Date]],database!A:B,2,)</f>
        <v/>
      </c>
      <c r="C271" s="66">
        <f>B271/B270-1</f>
        <v/>
      </c>
      <c r="D271" s="66">
        <f>(Table1[[#This Row],[Index]]-B259)/B259</f>
        <v/>
      </c>
    </row>
    <row r="272">
      <c r="A272" s="17" t="n">
        <v>34366</v>
      </c>
      <c r="B272" s="58">
        <f>VLOOKUP(Table1[[#This Row],[Date]],database!A:B,2,)</f>
        <v/>
      </c>
      <c r="C272" s="66">
        <f>B272/B271-1</f>
        <v/>
      </c>
      <c r="D272" s="66">
        <f>(Table1[[#This Row],[Index]]-B260)/B260</f>
        <v/>
      </c>
    </row>
    <row r="273">
      <c r="A273" s="17" t="n">
        <v>34394</v>
      </c>
      <c r="B273" s="58">
        <f>VLOOKUP(Table1[[#This Row],[Date]],database!A:B,2,)</f>
        <v/>
      </c>
      <c r="C273" s="66">
        <f>B273/B272-1</f>
        <v/>
      </c>
      <c r="D273" s="66">
        <f>(Table1[[#This Row],[Index]]-B261)/B261</f>
        <v/>
      </c>
    </row>
    <row r="274">
      <c r="A274" s="17" t="n">
        <v>34425</v>
      </c>
      <c r="B274" s="58">
        <f>VLOOKUP(Table1[[#This Row],[Date]],database!A:B,2,)</f>
        <v/>
      </c>
      <c r="C274" s="66">
        <f>B274/B273-1</f>
        <v/>
      </c>
      <c r="D274" s="66">
        <f>(Table1[[#This Row],[Index]]-B262)/B262</f>
        <v/>
      </c>
    </row>
    <row r="275">
      <c r="A275" s="17" t="n">
        <v>34455</v>
      </c>
      <c r="B275" s="58">
        <f>VLOOKUP(Table1[[#This Row],[Date]],database!A:B,2,)</f>
        <v/>
      </c>
      <c r="C275" s="66">
        <f>B275/B274-1</f>
        <v/>
      </c>
      <c r="D275" s="66">
        <f>(Table1[[#This Row],[Index]]-B263)/B263</f>
        <v/>
      </c>
    </row>
    <row r="276">
      <c r="A276" s="17" t="n">
        <v>34486</v>
      </c>
      <c r="B276" s="58">
        <f>VLOOKUP(Table1[[#This Row],[Date]],database!A:B,2,)</f>
        <v/>
      </c>
      <c r="C276" s="66">
        <f>B276/B275-1</f>
        <v/>
      </c>
      <c r="D276" s="66">
        <f>(Table1[[#This Row],[Index]]-B264)/B264</f>
        <v/>
      </c>
    </row>
    <row r="277">
      <c r="A277" s="17" t="n">
        <v>34516</v>
      </c>
      <c r="B277" s="58">
        <f>VLOOKUP(Table1[[#This Row],[Date]],database!A:B,2,)</f>
        <v/>
      </c>
      <c r="C277" s="66">
        <f>B277/B276-1</f>
        <v/>
      </c>
      <c r="D277" s="66">
        <f>(Table1[[#This Row],[Index]]-B265)/B265</f>
        <v/>
      </c>
    </row>
    <row r="278">
      <c r="A278" s="17" t="n">
        <v>34547</v>
      </c>
      <c r="B278" s="58">
        <f>VLOOKUP(Table1[[#This Row],[Date]],database!A:B,2,)</f>
        <v/>
      </c>
      <c r="C278" s="66">
        <f>B278/B277-1</f>
        <v/>
      </c>
      <c r="D278" s="66">
        <f>(Table1[[#This Row],[Index]]-B266)/B266</f>
        <v/>
      </c>
    </row>
    <row r="279">
      <c r="A279" s="17" t="n">
        <v>34578</v>
      </c>
      <c r="B279" s="58">
        <f>VLOOKUP(Table1[[#This Row],[Date]],database!A:B,2,)</f>
        <v/>
      </c>
      <c r="C279" s="66">
        <f>B279/B278-1</f>
        <v/>
      </c>
      <c r="D279" s="66">
        <f>(Table1[[#This Row],[Index]]-B267)/B267</f>
        <v/>
      </c>
    </row>
    <row r="280">
      <c r="A280" s="17" t="n">
        <v>34608</v>
      </c>
      <c r="B280" s="58">
        <f>VLOOKUP(Table1[[#This Row],[Date]],database!A:B,2,)</f>
        <v/>
      </c>
      <c r="C280" s="66">
        <f>B280/B279-1</f>
        <v/>
      </c>
      <c r="D280" s="66">
        <f>(Table1[[#This Row],[Index]]-B268)/B268</f>
        <v/>
      </c>
    </row>
    <row r="281">
      <c r="A281" s="17" t="n">
        <v>34639</v>
      </c>
      <c r="B281" s="58">
        <f>VLOOKUP(Table1[[#This Row],[Date]],database!A:B,2,)</f>
        <v/>
      </c>
      <c r="C281" s="66">
        <f>B281/B280-1</f>
        <v/>
      </c>
      <c r="D281" s="66">
        <f>(Table1[[#This Row],[Index]]-B269)/B269</f>
        <v/>
      </c>
    </row>
    <row r="282">
      <c r="A282" s="17" t="n">
        <v>34669</v>
      </c>
      <c r="B282" s="58">
        <f>VLOOKUP(Table1[[#This Row],[Date]],database!A:B,2,)</f>
        <v/>
      </c>
      <c r="C282" s="66">
        <f>B282/B281-1</f>
        <v/>
      </c>
      <c r="D282" s="66">
        <f>(Table1[[#This Row],[Index]]-B270)/B270</f>
        <v/>
      </c>
    </row>
    <row r="283">
      <c r="A283" s="17" t="n">
        <v>34700</v>
      </c>
      <c r="B283" s="58">
        <f>VLOOKUP(Table1[[#This Row],[Date]],database!A:B,2,)</f>
        <v/>
      </c>
      <c r="C283" s="66">
        <f>B283/B282-1</f>
        <v/>
      </c>
      <c r="D283" s="66">
        <f>(Table1[[#This Row],[Index]]-B271)/B271</f>
        <v/>
      </c>
    </row>
    <row r="284">
      <c r="A284" s="17" t="n">
        <v>34731</v>
      </c>
      <c r="B284" s="58">
        <f>VLOOKUP(Table1[[#This Row],[Date]],database!A:B,2,)</f>
        <v/>
      </c>
      <c r="C284" s="66">
        <f>B284/B283-1</f>
        <v/>
      </c>
      <c r="D284" s="66">
        <f>(Table1[[#This Row],[Index]]-B272)/B272</f>
        <v/>
      </c>
    </row>
    <row r="285">
      <c r="A285" s="17" t="n">
        <v>34759</v>
      </c>
      <c r="B285" s="58">
        <f>VLOOKUP(Table1[[#This Row],[Date]],database!A:B,2,)</f>
        <v/>
      </c>
      <c r="C285" s="66">
        <f>B285/B284-1</f>
        <v/>
      </c>
      <c r="D285" s="66">
        <f>(Table1[[#This Row],[Index]]-B273)/B273</f>
        <v/>
      </c>
    </row>
    <row r="286">
      <c r="A286" s="17" t="n">
        <v>34790</v>
      </c>
      <c r="B286" s="58">
        <f>VLOOKUP(Table1[[#This Row],[Date]],database!A:B,2,)</f>
        <v/>
      </c>
      <c r="C286" s="66">
        <f>B286/B285-1</f>
        <v/>
      </c>
      <c r="D286" s="66">
        <f>(Table1[[#This Row],[Index]]-B274)/B274</f>
        <v/>
      </c>
    </row>
    <row r="287">
      <c r="A287" s="17" t="n">
        <v>34820</v>
      </c>
      <c r="B287" s="58">
        <f>VLOOKUP(Table1[[#This Row],[Date]],database!A:B,2,)</f>
        <v/>
      </c>
      <c r="C287" s="66">
        <f>B287/B286-1</f>
        <v/>
      </c>
      <c r="D287" s="66">
        <f>(Table1[[#This Row],[Index]]-B275)/B275</f>
        <v/>
      </c>
    </row>
    <row r="288">
      <c r="A288" s="17" t="n">
        <v>34851</v>
      </c>
      <c r="B288" s="58">
        <f>VLOOKUP(Table1[[#This Row],[Date]],database!A:B,2,)</f>
        <v/>
      </c>
      <c r="C288" s="66">
        <f>B288/B287-1</f>
        <v/>
      </c>
      <c r="D288" s="66">
        <f>(Table1[[#This Row],[Index]]-B276)/B276</f>
        <v/>
      </c>
    </row>
    <row r="289">
      <c r="A289" s="17" t="n">
        <v>34881</v>
      </c>
      <c r="B289" s="58">
        <f>VLOOKUP(Table1[[#This Row],[Date]],database!A:B,2,)</f>
        <v/>
      </c>
      <c r="C289" s="66">
        <f>B289/B288-1</f>
        <v/>
      </c>
      <c r="D289" s="66">
        <f>(Table1[[#This Row],[Index]]-B277)/B277</f>
        <v/>
      </c>
    </row>
    <row r="290">
      <c r="A290" s="17" t="n">
        <v>34912</v>
      </c>
      <c r="B290" s="58">
        <f>VLOOKUP(Table1[[#This Row],[Date]],database!A:B,2,)</f>
        <v/>
      </c>
      <c r="C290" s="66">
        <f>B290/B289-1</f>
        <v/>
      </c>
      <c r="D290" s="66">
        <f>(Table1[[#This Row],[Index]]-B278)/B278</f>
        <v/>
      </c>
    </row>
    <row r="291">
      <c r="A291" s="17" t="n">
        <v>34943</v>
      </c>
      <c r="B291" s="58">
        <f>VLOOKUP(Table1[[#This Row],[Date]],database!A:B,2,)</f>
        <v/>
      </c>
      <c r="C291" s="66">
        <f>B291/B290-1</f>
        <v/>
      </c>
      <c r="D291" s="66">
        <f>(Table1[[#This Row],[Index]]-B279)/B279</f>
        <v/>
      </c>
    </row>
    <row r="292">
      <c r="A292" s="17" t="n">
        <v>34973</v>
      </c>
      <c r="B292" s="58">
        <f>VLOOKUP(Table1[[#This Row],[Date]],database!A:B,2,)</f>
        <v/>
      </c>
      <c r="C292" s="66">
        <f>B292/B291-1</f>
        <v/>
      </c>
      <c r="D292" s="66">
        <f>(Table1[[#This Row],[Index]]-B280)/B280</f>
        <v/>
      </c>
    </row>
    <row r="293">
      <c r="A293" s="17" t="n">
        <v>35004</v>
      </c>
      <c r="B293" s="58">
        <f>VLOOKUP(Table1[[#This Row],[Date]],database!A:B,2,)</f>
        <v/>
      </c>
      <c r="C293" s="66">
        <f>B293/B292-1</f>
        <v/>
      </c>
      <c r="D293" s="66">
        <f>(Table1[[#This Row],[Index]]-B281)/B281</f>
        <v/>
      </c>
    </row>
    <row r="294">
      <c r="A294" s="17" t="n">
        <v>35034</v>
      </c>
      <c r="B294" s="58">
        <f>VLOOKUP(Table1[[#This Row],[Date]],database!A:B,2,)</f>
        <v/>
      </c>
      <c r="C294" s="66">
        <f>B294/B293-1</f>
        <v/>
      </c>
      <c r="D294" s="66">
        <f>(Table1[[#This Row],[Index]]-B282)/B282</f>
        <v/>
      </c>
    </row>
    <row r="295">
      <c r="A295" s="17" t="n">
        <v>35065</v>
      </c>
      <c r="B295" s="58">
        <f>VLOOKUP(Table1[[#This Row],[Date]],database!A:B,2,)</f>
        <v/>
      </c>
      <c r="C295" s="66">
        <f>B295/B294-1</f>
        <v/>
      </c>
      <c r="D295" s="66">
        <f>(Table1[[#This Row],[Index]]-B283)/B283</f>
        <v/>
      </c>
    </row>
    <row r="296">
      <c r="A296" s="17" t="n">
        <v>35096</v>
      </c>
      <c r="B296" s="58">
        <f>VLOOKUP(Table1[[#This Row],[Date]],database!A:B,2,)</f>
        <v/>
      </c>
      <c r="C296" s="66">
        <f>B296/B295-1</f>
        <v/>
      </c>
      <c r="D296" s="66">
        <f>(Table1[[#This Row],[Index]]-B284)/B284</f>
        <v/>
      </c>
    </row>
    <row r="297">
      <c r="A297" s="17" t="n">
        <v>35125</v>
      </c>
      <c r="B297" s="58">
        <f>VLOOKUP(Table1[[#This Row],[Date]],database!A:B,2,)</f>
        <v/>
      </c>
      <c r="C297" s="66">
        <f>B297/B296-1</f>
        <v/>
      </c>
      <c r="D297" s="66">
        <f>(Table1[[#This Row],[Index]]-B285)/B285</f>
        <v/>
      </c>
    </row>
    <row r="298">
      <c r="A298" s="17" t="n">
        <v>35156</v>
      </c>
      <c r="B298" s="58">
        <f>VLOOKUP(Table1[[#This Row],[Date]],database!A:B,2,)</f>
        <v/>
      </c>
      <c r="C298" s="66">
        <f>B298/B297-1</f>
        <v/>
      </c>
      <c r="D298" s="66">
        <f>(Table1[[#This Row],[Index]]-B286)/B286</f>
        <v/>
      </c>
    </row>
    <row r="299">
      <c r="A299" s="17" t="n">
        <v>35186</v>
      </c>
      <c r="B299" s="58">
        <f>VLOOKUP(Table1[[#This Row],[Date]],database!A:B,2,)</f>
        <v/>
      </c>
      <c r="C299" s="66">
        <f>B299/B298-1</f>
        <v/>
      </c>
      <c r="D299" s="66">
        <f>(Table1[[#This Row],[Index]]-B287)/B287</f>
        <v/>
      </c>
    </row>
    <row r="300">
      <c r="A300" s="17" t="n">
        <v>35217</v>
      </c>
      <c r="B300" s="58">
        <f>VLOOKUP(Table1[[#This Row],[Date]],database!A:B,2,)</f>
        <v/>
      </c>
      <c r="C300" s="66">
        <f>B300/B299-1</f>
        <v/>
      </c>
      <c r="D300" s="66">
        <f>(Table1[[#This Row],[Index]]-B288)/B288</f>
        <v/>
      </c>
    </row>
    <row r="301">
      <c r="A301" s="17" t="n">
        <v>35247</v>
      </c>
      <c r="B301" s="58">
        <f>VLOOKUP(Table1[[#This Row],[Date]],database!A:B,2,)</f>
        <v/>
      </c>
      <c r="C301" s="66">
        <f>B301/B300-1</f>
        <v/>
      </c>
      <c r="D301" s="66">
        <f>(Table1[[#This Row],[Index]]-B289)/B289</f>
        <v/>
      </c>
    </row>
    <row r="302">
      <c r="A302" s="17" t="n">
        <v>35278</v>
      </c>
      <c r="B302" s="58">
        <f>VLOOKUP(Table1[[#This Row],[Date]],database!A:B,2,)</f>
        <v/>
      </c>
      <c r="C302" s="66">
        <f>B302/B301-1</f>
        <v/>
      </c>
      <c r="D302" s="66">
        <f>(Table1[[#This Row],[Index]]-B290)/B290</f>
        <v/>
      </c>
    </row>
    <row r="303">
      <c r="A303" s="17" t="n">
        <v>35309</v>
      </c>
      <c r="B303" s="58">
        <f>VLOOKUP(Table1[[#This Row],[Date]],database!A:B,2,)</f>
        <v/>
      </c>
      <c r="C303" s="66">
        <f>B303/B302-1</f>
        <v/>
      </c>
      <c r="D303" s="66">
        <f>(Table1[[#This Row],[Index]]-B291)/B291</f>
        <v/>
      </c>
    </row>
    <row r="304">
      <c r="A304" s="17" t="n">
        <v>35339</v>
      </c>
      <c r="B304" s="58">
        <f>VLOOKUP(Table1[[#This Row],[Date]],database!A:B,2,)</f>
        <v/>
      </c>
      <c r="C304" s="66">
        <f>B304/B303-1</f>
        <v/>
      </c>
      <c r="D304" s="66">
        <f>(Table1[[#This Row],[Index]]-B292)/B292</f>
        <v/>
      </c>
    </row>
    <row r="305">
      <c r="A305" s="17" t="n">
        <v>35370</v>
      </c>
      <c r="B305" s="58">
        <f>VLOOKUP(Table1[[#This Row],[Date]],database!A:B,2,)</f>
        <v/>
      </c>
      <c r="C305" s="66">
        <f>B305/B304-1</f>
        <v/>
      </c>
      <c r="D305" s="66">
        <f>(Table1[[#This Row],[Index]]-B293)/B293</f>
        <v/>
      </c>
    </row>
    <row r="306">
      <c r="A306" s="17" t="n">
        <v>35400</v>
      </c>
      <c r="B306" s="58">
        <f>VLOOKUP(Table1[[#This Row],[Date]],database!A:B,2,)</f>
        <v/>
      </c>
      <c r="C306" s="66">
        <f>B306/B305-1</f>
        <v/>
      </c>
      <c r="D306" s="66">
        <f>(Table1[[#This Row],[Index]]-B294)/B294</f>
        <v/>
      </c>
    </row>
    <row r="307">
      <c r="A307" s="17" t="n">
        <v>35431</v>
      </c>
      <c r="B307" s="58">
        <f>VLOOKUP(Table1[[#This Row],[Date]],database!A:B,2,)</f>
        <v/>
      </c>
      <c r="C307" s="66">
        <f>B307/B306-1</f>
        <v/>
      </c>
      <c r="D307" s="66">
        <f>(Table1[[#This Row],[Index]]-B295)/B295</f>
        <v/>
      </c>
    </row>
    <row r="308">
      <c r="A308" s="17" t="n">
        <v>35462</v>
      </c>
      <c r="B308" s="58">
        <f>VLOOKUP(Table1[[#This Row],[Date]],database!A:B,2,)</f>
        <v/>
      </c>
      <c r="C308" s="66">
        <f>B308/B307-1</f>
        <v/>
      </c>
      <c r="D308" s="66">
        <f>(Table1[[#This Row],[Index]]-B296)/B296</f>
        <v/>
      </c>
    </row>
    <row r="309">
      <c r="A309" s="17" t="n">
        <v>35490</v>
      </c>
      <c r="B309" s="58">
        <f>VLOOKUP(Table1[[#This Row],[Date]],database!A:B,2,)</f>
        <v/>
      </c>
      <c r="C309" s="66">
        <f>B309/B308-1</f>
        <v/>
      </c>
      <c r="D309" s="66">
        <f>(Table1[[#This Row],[Index]]-B297)/B297</f>
        <v/>
      </c>
    </row>
    <row r="310">
      <c r="A310" s="17" t="n">
        <v>35521</v>
      </c>
      <c r="B310" s="58">
        <f>VLOOKUP(Table1[[#This Row],[Date]],database!A:B,2,)</f>
        <v/>
      </c>
      <c r="C310" s="66">
        <f>B310/B309-1</f>
        <v/>
      </c>
      <c r="D310" s="66">
        <f>(Table1[[#This Row],[Index]]-B298)/B298</f>
        <v/>
      </c>
    </row>
    <row r="311">
      <c r="A311" s="17" t="n">
        <v>35551</v>
      </c>
      <c r="B311" s="58">
        <f>VLOOKUP(Table1[[#This Row],[Date]],database!A:B,2,)</f>
        <v/>
      </c>
      <c r="C311" s="66">
        <f>B311/B310-1</f>
        <v/>
      </c>
      <c r="D311" s="66">
        <f>(Table1[[#This Row],[Index]]-B299)/B299</f>
        <v/>
      </c>
    </row>
    <row r="312">
      <c r="A312" s="17" t="n">
        <v>35582</v>
      </c>
      <c r="B312" s="58">
        <f>VLOOKUP(Table1[[#This Row],[Date]],database!A:B,2,)</f>
        <v/>
      </c>
      <c r="C312" s="66">
        <f>B312/B311-1</f>
        <v/>
      </c>
      <c r="D312" s="66">
        <f>(Table1[[#This Row],[Index]]-B300)/B300</f>
        <v/>
      </c>
    </row>
    <row r="313">
      <c r="A313" s="17" t="n">
        <v>35612</v>
      </c>
      <c r="B313" s="58">
        <f>VLOOKUP(Table1[[#This Row],[Date]],database!A:B,2,)</f>
        <v/>
      </c>
      <c r="C313" s="66">
        <f>B313/B312-1</f>
        <v/>
      </c>
      <c r="D313" s="66">
        <f>(Table1[[#This Row],[Index]]-B301)/B301</f>
        <v/>
      </c>
    </row>
    <row r="314">
      <c r="A314" s="17" t="n">
        <v>35643</v>
      </c>
      <c r="B314" s="58">
        <f>VLOOKUP(Table1[[#This Row],[Date]],database!A:B,2,)</f>
        <v/>
      </c>
      <c r="C314" s="66">
        <f>B314/B313-1</f>
        <v/>
      </c>
      <c r="D314" s="66">
        <f>(Table1[[#This Row],[Index]]-B302)/B302</f>
        <v/>
      </c>
    </row>
    <row r="315">
      <c r="A315" s="17" t="n">
        <v>35674</v>
      </c>
      <c r="B315" s="58">
        <f>VLOOKUP(Table1[[#This Row],[Date]],database!A:B,2,)</f>
        <v/>
      </c>
      <c r="C315" s="66">
        <f>B315/B314-1</f>
        <v/>
      </c>
      <c r="D315" s="66">
        <f>(Table1[[#This Row],[Index]]-B303)/B303</f>
        <v/>
      </c>
    </row>
    <row r="316">
      <c r="A316" s="17" t="n">
        <v>35704</v>
      </c>
      <c r="B316" s="58">
        <f>VLOOKUP(Table1[[#This Row],[Date]],database!A:B,2,)</f>
        <v/>
      </c>
      <c r="C316" s="66">
        <f>B316/B315-1</f>
        <v/>
      </c>
      <c r="D316" s="66">
        <f>(Table1[[#This Row],[Index]]-B304)/B304</f>
        <v/>
      </c>
    </row>
    <row r="317">
      <c r="A317" s="17" t="n">
        <v>35735</v>
      </c>
      <c r="B317" s="58">
        <f>VLOOKUP(Table1[[#This Row],[Date]],database!A:B,2,)</f>
        <v/>
      </c>
      <c r="C317" s="66">
        <f>B317/B316-1</f>
        <v/>
      </c>
      <c r="D317" s="66">
        <f>(Table1[[#This Row],[Index]]-B305)/B305</f>
        <v/>
      </c>
    </row>
    <row r="318">
      <c r="A318" s="17" t="n">
        <v>35765</v>
      </c>
      <c r="B318" s="58">
        <f>VLOOKUP(Table1[[#This Row],[Date]],database!A:B,2,)</f>
        <v/>
      </c>
      <c r="C318" s="66">
        <f>B318/B317-1</f>
        <v/>
      </c>
      <c r="D318" s="66">
        <f>(Table1[[#This Row],[Index]]-B306)/B306</f>
        <v/>
      </c>
    </row>
    <row r="319">
      <c r="A319" s="17" t="n">
        <v>35796</v>
      </c>
      <c r="B319" s="58">
        <f>VLOOKUP(Table1[[#This Row],[Date]],database!A:B,2,)</f>
        <v/>
      </c>
      <c r="C319" s="66">
        <f>B319/B318-1</f>
        <v/>
      </c>
      <c r="D319" s="66">
        <f>(Table1[[#This Row],[Index]]-B307)/B307</f>
        <v/>
      </c>
    </row>
    <row r="320">
      <c r="A320" s="17" t="n">
        <v>35827</v>
      </c>
      <c r="B320" s="58">
        <f>VLOOKUP(Table1[[#This Row],[Date]],database!A:B,2,)</f>
        <v/>
      </c>
      <c r="C320" s="66">
        <f>B320/B319-1</f>
        <v/>
      </c>
      <c r="D320" s="66">
        <f>(Table1[[#This Row],[Index]]-B308)/B308</f>
        <v/>
      </c>
    </row>
    <row r="321">
      <c r="A321" s="17" t="n">
        <v>35855</v>
      </c>
      <c r="B321" s="58">
        <f>VLOOKUP(Table1[[#This Row],[Date]],database!A:B,2,)</f>
        <v/>
      </c>
      <c r="C321" s="66">
        <f>B321/B320-1</f>
        <v/>
      </c>
      <c r="D321" s="66">
        <f>(Table1[[#This Row],[Index]]-B309)/B309</f>
        <v/>
      </c>
    </row>
    <row r="322">
      <c r="A322" s="17" t="n">
        <v>35886</v>
      </c>
      <c r="B322" s="58">
        <f>VLOOKUP(Table1[[#This Row],[Date]],database!A:B,2,)</f>
        <v/>
      </c>
      <c r="C322" s="66">
        <f>B322/B321-1</f>
        <v/>
      </c>
      <c r="D322" s="66">
        <f>(Table1[[#This Row],[Index]]-B310)/B310</f>
        <v/>
      </c>
    </row>
    <row r="323">
      <c r="A323" s="17" t="n">
        <v>35916</v>
      </c>
      <c r="B323" s="58">
        <f>VLOOKUP(Table1[[#This Row],[Date]],database!A:B,2,)</f>
        <v/>
      </c>
      <c r="C323" s="66">
        <f>B323/B322-1</f>
        <v/>
      </c>
      <c r="D323" s="66">
        <f>(Table1[[#This Row],[Index]]-B311)/B311</f>
        <v/>
      </c>
    </row>
    <row r="324">
      <c r="A324" s="17" t="n">
        <v>35947</v>
      </c>
      <c r="B324" s="58">
        <f>VLOOKUP(Table1[[#This Row],[Date]],database!A:B,2,)</f>
        <v/>
      </c>
      <c r="C324" s="66">
        <f>B324/B323-1</f>
        <v/>
      </c>
      <c r="D324" s="66">
        <f>(Table1[[#This Row],[Index]]-B312)/B312</f>
        <v/>
      </c>
    </row>
    <row r="325">
      <c r="A325" s="17" t="n">
        <v>35977</v>
      </c>
      <c r="B325" s="58">
        <f>VLOOKUP(Table1[[#This Row],[Date]],database!A:B,2,)</f>
        <v/>
      </c>
      <c r="C325" s="66">
        <f>B325/B324-1</f>
        <v/>
      </c>
      <c r="D325" s="66">
        <f>(Table1[[#This Row],[Index]]-B313)/B313</f>
        <v/>
      </c>
    </row>
    <row r="326">
      <c r="A326" s="17" t="n">
        <v>36008</v>
      </c>
      <c r="B326" s="58">
        <f>VLOOKUP(Table1[[#This Row],[Date]],database!A:B,2,)</f>
        <v/>
      </c>
      <c r="C326" s="66">
        <f>B326/B325-1</f>
        <v/>
      </c>
      <c r="D326" s="66">
        <f>(Table1[[#This Row],[Index]]-B314)/B314</f>
        <v/>
      </c>
    </row>
    <row r="327">
      <c r="A327" s="17" t="n">
        <v>36039</v>
      </c>
      <c r="B327" s="58">
        <f>VLOOKUP(Table1[[#This Row],[Date]],database!A:B,2,)</f>
        <v/>
      </c>
      <c r="C327" s="66">
        <f>B327/B326-1</f>
        <v/>
      </c>
      <c r="D327" s="66">
        <f>(Table1[[#This Row],[Index]]-B315)/B315</f>
        <v/>
      </c>
    </row>
    <row r="328">
      <c r="A328" s="17" t="n">
        <v>36069</v>
      </c>
      <c r="B328" s="58">
        <f>VLOOKUP(Table1[[#This Row],[Date]],database!A:B,2,)</f>
        <v/>
      </c>
      <c r="C328" s="66">
        <f>B328/B327-1</f>
        <v/>
      </c>
      <c r="D328" s="66">
        <f>(Table1[[#This Row],[Index]]-B316)/B316</f>
        <v/>
      </c>
    </row>
    <row r="329">
      <c r="A329" s="17" t="n">
        <v>36100</v>
      </c>
      <c r="B329" s="58">
        <f>VLOOKUP(Table1[[#This Row],[Date]],database!A:B,2,)</f>
        <v/>
      </c>
      <c r="C329" s="66">
        <f>B329/B328-1</f>
        <v/>
      </c>
      <c r="D329" s="66">
        <f>(Table1[[#This Row],[Index]]-B317)/B317</f>
        <v/>
      </c>
    </row>
    <row r="330">
      <c r="A330" s="17" t="n">
        <v>36130</v>
      </c>
      <c r="B330" s="58">
        <f>VLOOKUP(Table1[[#This Row],[Date]],database!A:B,2,)</f>
        <v/>
      </c>
      <c r="C330" s="66">
        <f>B330/B329-1</f>
        <v/>
      </c>
      <c r="D330" s="66">
        <f>(Table1[[#This Row],[Index]]-B318)/B318</f>
        <v/>
      </c>
    </row>
    <row r="331">
      <c r="A331" s="17" t="n">
        <v>36161</v>
      </c>
      <c r="B331" s="58">
        <f>VLOOKUP(Table1[[#This Row],[Date]],database!A:B,2,)</f>
        <v/>
      </c>
      <c r="C331" s="66">
        <f>B331/B330-1</f>
        <v/>
      </c>
      <c r="D331" s="66">
        <f>(Table1[[#This Row],[Index]]-B319)/B319</f>
        <v/>
      </c>
    </row>
    <row r="332">
      <c r="A332" s="17" t="n">
        <v>36192</v>
      </c>
      <c r="B332" s="58">
        <f>VLOOKUP(Table1[[#This Row],[Date]],database!A:B,2,)</f>
        <v/>
      </c>
      <c r="C332" s="66">
        <f>B332/B331-1</f>
        <v/>
      </c>
      <c r="D332" s="66">
        <f>(Table1[[#This Row],[Index]]-B320)/B320</f>
        <v/>
      </c>
    </row>
    <row r="333">
      <c r="A333" s="17" t="n">
        <v>36220</v>
      </c>
      <c r="B333" s="58">
        <f>VLOOKUP(Table1[[#This Row],[Date]],database!A:B,2,)</f>
        <v/>
      </c>
      <c r="C333" s="66">
        <f>B333/B332-1</f>
        <v/>
      </c>
      <c r="D333" s="66">
        <f>(Table1[[#This Row],[Index]]-B321)/B321</f>
        <v/>
      </c>
    </row>
    <row r="334">
      <c r="A334" s="17" t="n">
        <v>36251</v>
      </c>
      <c r="B334" s="58">
        <f>VLOOKUP(Table1[[#This Row],[Date]],database!A:B,2,)</f>
        <v/>
      </c>
      <c r="C334" s="66">
        <f>B334/B333-1</f>
        <v/>
      </c>
      <c r="D334" s="66">
        <f>(Table1[[#This Row],[Index]]-B322)/B322</f>
        <v/>
      </c>
    </row>
    <row r="335">
      <c r="A335" s="17" t="n">
        <v>36281</v>
      </c>
      <c r="B335" s="58">
        <f>VLOOKUP(Table1[[#This Row],[Date]],database!A:B,2,)</f>
        <v/>
      </c>
      <c r="C335" s="66">
        <f>B335/B334-1</f>
        <v/>
      </c>
      <c r="D335" s="66">
        <f>(Table1[[#This Row],[Index]]-B323)/B323</f>
        <v/>
      </c>
    </row>
    <row r="336">
      <c r="A336" s="17" t="n">
        <v>36312</v>
      </c>
      <c r="B336" s="58">
        <f>VLOOKUP(Table1[[#This Row],[Date]],database!A:B,2,)</f>
        <v/>
      </c>
      <c r="C336" s="66">
        <f>B336/B335-1</f>
        <v/>
      </c>
      <c r="D336" s="66">
        <f>(Table1[[#This Row],[Index]]-B324)/B324</f>
        <v/>
      </c>
    </row>
    <row r="337">
      <c r="A337" s="17" t="n">
        <v>36342</v>
      </c>
      <c r="B337" s="58">
        <f>VLOOKUP(Table1[[#This Row],[Date]],database!A:B,2,)</f>
        <v/>
      </c>
      <c r="C337" s="66">
        <f>B337/B336-1</f>
        <v/>
      </c>
      <c r="D337" s="66">
        <f>(Table1[[#This Row],[Index]]-B325)/B325</f>
        <v/>
      </c>
    </row>
    <row r="338">
      <c r="A338" s="17" t="n">
        <v>36373</v>
      </c>
      <c r="B338" s="58">
        <f>VLOOKUP(Table1[[#This Row],[Date]],database!A:B,2,)</f>
        <v/>
      </c>
      <c r="C338" s="66">
        <f>B338/B337-1</f>
        <v/>
      </c>
      <c r="D338" s="66">
        <f>(Table1[[#This Row],[Index]]-B326)/B326</f>
        <v/>
      </c>
    </row>
    <row r="339">
      <c r="A339" s="17" t="n">
        <v>36404</v>
      </c>
      <c r="B339" s="58">
        <f>VLOOKUP(Table1[[#This Row],[Date]],database!A:B,2,)</f>
        <v/>
      </c>
      <c r="C339" s="66">
        <f>B339/B338-1</f>
        <v/>
      </c>
      <c r="D339" s="66">
        <f>(Table1[[#This Row],[Index]]-B327)/B327</f>
        <v/>
      </c>
    </row>
    <row r="340">
      <c r="A340" s="17" t="n">
        <v>36434</v>
      </c>
      <c r="B340" s="58">
        <f>VLOOKUP(Table1[[#This Row],[Date]],database!A:B,2,)</f>
        <v/>
      </c>
      <c r="C340" s="66">
        <f>B340/B339-1</f>
        <v/>
      </c>
      <c r="D340" s="66">
        <f>(Table1[[#This Row],[Index]]-B328)/B328</f>
        <v/>
      </c>
    </row>
    <row r="341">
      <c r="A341" s="17" t="n">
        <v>36465</v>
      </c>
      <c r="B341" s="58">
        <f>VLOOKUP(Table1[[#This Row],[Date]],database!A:B,2,)</f>
        <v/>
      </c>
      <c r="C341" s="66">
        <f>B341/B340-1</f>
        <v/>
      </c>
      <c r="D341" s="66">
        <f>(Table1[[#This Row],[Index]]-B329)/B329</f>
        <v/>
      </c>
    </row>
    <row r="342">
      <c r="A342" s="17" t="n">
        <v>36495</v>
      </c>
      <c r="B342" s="58">
        <f>VLOOKUP(Table1[[#This Row],[Date]],database!A:B,2,)</f>
        <v/>
      </c>
      <c r="C342" s="66">
        <f>B342/B341-1</f>
        <v/>
      </c>
      <c r="D342" s="66">
        <f>(Table1[[#This Row],[Index]]-B330)/B330</f>
        <v/>
      </c>
    </row>
    <row r="343">
      <c r="A343" s="17" t="n">
        <v>36526</v>
      </c>
      <c r="B343" s="58">
        <f>VLOOKUP(Table1[[#This Row],[Date]],database!A:B,2,)</f>
        <v/>
      </c>
      <c r="C343" s="66">
        <f>B343/B342-1</f>
        <v/>
      </c>
      <c r="D343" s="66">
        <f>(Table1[[#This Row],[Index]]-B331)/B331</f>
        <v/>
      </c>
    </row>
    <row r="344">
      <c r="A344" s="17" t="n">
        <v>36557</v>
      </c>
      <c r="B344" s="58">
        <f>VLOOKUP(Table1[[#This Row],[Date]],database!A:B,2,)</f>
        <v/>
      </c>
      <c r="C344" s="66">
        <f>B344/B343-1</f>
        <v/>
      </c>
      <c r="D344" s="66">
        <f>(Table1[[#This Row],[Index]]-B332)/B332</f>
        <v/>
      </c>
    </row>
    <row r="345">
      <c r="A345" s="17" t="n">
        <v>36586</v>
      </c>
      <c r="B345" s="58">
        <f>VLOOKUP(Table1[[#This Row],[Date]],database!A:B,2,)</f>
        <v/>
      </c>
      <c r="C345" s="66">
        <f>B345/B344-1</f>
        <v/>
      </c>
      <c r="D345" s="66">
        <f>(Table1[[#This Row],[Index]]-B333)/B333</f>
        <v/>
      </c>
    </row>
    <row r="346">
      <c r="A346" s="17" t="n">
        <v>36617</v>
      </c>
      <c r="B346" s="58">
        <f>VLOOKUP(Table1[[#This Row],[Date]],database!A:B,2,)</f>
        <v/>
      </c>
      <c r="C346" s="66">
        <f>B346/B345-1</f>
        <v/>
      </c>
      <c r="D346" s="66">
        <f>(Table1[[#This Row],[Index]]-B334)/B334</f>
        <v/>
      </c>
    </row>
    <row r="347">
      <c r="A347" s="17" t="n">
        <v>36647</v>
      </c>
      <c r="B347" s="58">
        <f>VLOOKUP(Table1[[#This Row],[Date]],database!A:B,2,)</f>
        <v/>
      </c>
      <c r="C347" s="66">
        <f>B347/B346-1</f>
        <v/>
      </c>
      <c r="D347" s="66">
        <f>(Table1[[#This Row],[Index]]-B335)/B335</f>
        <v/>
      </c>
    </row>
    <row r="348">
      <c r="A348" s="17" t="n">
        <v>36678</v>
      </c>
      <c r="B348" s="58">
        <f>VLOOKUP(Table1[[#This Row],[Date]],database!A:B,2,)</f>
        <v/>
      </c>
      <c r="C348" s="66">
        <f>B348/B347-1</f>
        <v/>
      </c>
      <c r="D348" s="66">
        <f>(Table1[[#This Row],[Index]]-B336)/B336</f>
        <v/>
      </c>
    </row>
    <row r="349">
      <c r="A349" s="17" t="n">
        <v>36708</v>
      </c>
      <c r="B349" s="58">
        <f>VLOOKUP(Table1[[#This Row],[Date]],database!A:B,2,)</f>
        <v/>
      </c>
      <c r="C349" s="66">
        <f>B349/B348-1</f>
        <v/>
      </c>
      <c r="D349" s="66">
        <f>(Table1[[#This Row],[Index]]-B337)/B337</f>
        <v/>
      </c>
    </row>
    <row r="350">
      <c r="A350" s="17" t="n">
        <v>36739</v>
      </c>
      <c r="B350" s="58">
        <f>VLOOKUP(Table1[[#This Row],[Date]],database!A:B,2,)</f>
        <v/>
      </c>
      <c r="C350" s="66">
        <f>B350/B349-1</f>
        <v/>
      </c>
      <c r="D350" s="66">
        <f>(Table1[[#This Row],[Index]]-B338)/B338</f>
        <v/>
      </c>
    </row>
    <row r="351">
      <c r="A351" s="17" t="n">
        <v>36770</v>
      </c>
      <c r="B351" s="58">
        <f>VLOOKUP(Table1[[#This Row],[Date]],database!A:B,2,)</f>
        <v/>
      </c>
      <c r="C351" s="66">
        <f>B351/B350-1</f>
        <v/>
      </c>
      <c r="D351" s="66">
        <f>(Table1[[#This Row],[Index]]-B339)/B339</f>
        <v/>
      </c>
    </row>
    <row r="352">
      <c r="A352" s="17" t="n">
        <v>36800</v>
      </c>
      <c r="B352" s="58">
        <f>VLOOKUP(Table1[[#This Row],[Date]],database!A:B,2,)</f>
        <v/>
      </c>
      <c r="C352" s="66">
        <f>B352/B351-1</f>
        <v/>
      </c>
      <c r="D352" s="66">
        <f>(Table1[[#This Row],[Index]]-B340)/B340</f>
        <v/>
      </c>
    </row>
    <row r="353">
      <c r="A353" s="17" t="n">
        <v>36831</v>
      </c>
      <c r="B353" s="58">
        <f>VLOOKUP(Table1[[#This Row],[Date]],database!A:B,2,)</f>
        <v/>
      </c>
      <c r="C353" s="66">
        <f>B353/B352-1</f>
        <v/>
      </c>
      <c r="D353" s="66">
        <f>(Table1[[#This Row],[Index]]-B341)/B341</f>
        <v/>
      </c>
    </row>
    <row r="354">
      <c r="A354" s="17" t="n">
        <v>36861</v>
      </c>
      <c r="B354" s="58">
        <f>VLOOKUP(Table1[[#This Row],[Date]],database!A:B,2,)</f>
        <v/>
      </c>
      <c r="C354" s="66">
        <f>B354/B353-1</f>
        <v/>
      </c>
      <c r="D354" s="66">
        <f>(Table1[[#This Row],[Index]]-B342)/B342</f>
        <v/>
      </c>
    </row>
    <row r="355">
      <c r="A355" s="17" t="n">
        <v>36892</v>
      </c>
      <c r="B355" s="58">
        <f>VLOOKUP(Table1[[#This Row],[Date]],database!A:B,2,)</f>
        <v/>
      </c>
      <c r="C355" s="66">
        <f>B355/B354-1</f>
        <v/>
      </c>
      <c r="D355" s="66">
        <f>(Table1[[#This Row],[Index]]-B343)/B343</f>
        <v/>
      </c>
    </row>
    <row r="356">
      <c r="A356" s="17" t="n">
        <v>36923</v>
      </c>
      <c r="B356" s="58">
        <f>VLOOKUP(Table1[[#This Row],[Date]],database!A:B,2,)</f>
        <v/>
      </c>
      <c r="C356" s="66">
        <f>B356/B355-1</f>
        <v/>
      </c>
      <c r="D356" s="66">
        <f>(Table1[[#This Row],[Index]]-B344)/B344</f>
        <v/>
      </c>
    </row>
    <row r="357">
      <c r="A357" s="17" t="n">
        <v>36951</v>
      </c>
      <c r="B357" s="58">
        <f>VLOOKUP(Table1[[#This Row],[Date]],database!A:B,2,)</f>
        <v/>
      </c>
      <c r="C357" s="66">
        <f>B357/B356-1</f>
        <v/>
      </c>
      <c r="D357" s="66">
        <f>(Table1[[#This Row],[Index]]-B345)/B345</f>
        <v/>
      </c>
    </row>
    <row r="358">
      <c r="A358" s="17" t="n">
        <v>36982</v>
      </c>
      <c r="B358" s="58">
        <f>VLOOKUP(Table1[[#This Row],[Date]],database!A:B,2,)</f>
        <v/>
      </c>
      <c r="C358" s="66">
        <f>B358/B357-1</f>
        <v/>
      </c>
      <c r="D358" s="66">
        <f>(Table1[[#This Row],[Index]]-B346)/B346</f>
        <v/>
      </c>
    </row>
    <row r="359">
      <c r="A359" s="17" t="n">
        <v>37012</v>
      </c>
      <c r="B359" s="58">
        <f>VLOOKUP(Table1[[#This Row],[Date]],database!A:B,2,)</f>
        <v/>
      </c>
      <c r="C359" s="66">
        <f>B359/B358-1</f>
        <v/>
      </c>
      <c r="D359" s="66">
        <f>(Table1[[#This Row],[Index]]-B347)/B347</f>
        <v/>
      </c>
    </row>
    <row r="360">
      <c r="A360" s="17" t="n">
        <v>37043</v>
      </c>
      <c r="B360" s="58">
        <f>VLOOKUP(Table1[[#This Row],[Date]],database!A:B,2,)</f>
        <v/>
      </c>
      <c r="C360" s="66">
        <f>B360/B359-1</f>
        <v/>
      </c>
      <c r="D360" s="66">
        <f>(Table1[[#This Row],[Index]]-B348)/B348</f>
        <v/>
      </c>
    </row>
    <row r="361">
      <c r="A361" s="17" t="n">
        <v>37073</v>
      </c>
      <c r="B361" s="58">
        <f>VLOOKUP(Table1[[#This Row],[Date]],database!A:B,2,)</f>
        <v/>
      </c>
      <c r="C361" s="66">
        <f>B361/B360-1</f>
        <v/>
      </c>
      <c r="D361" s="66">
        <f>(Table1[[#This Row],[Index]]-B349)/B349</f>
        <v/>
      </c>
    </row>
    <row r="362">
      <c r="A362" s="17" t="n">
        <v>37104</v>
      </c>
      <c r="B362" s="58">
        <f>VLOOKUP(Table1[[#This Row],[Date]],database!A:B,2,)</f>
        <v/>
      </c>
      <c r="C362" s="66">
        <f>B362/B361-1</f>
        <v/>
      </c>
      <c r="D362" s="66">
        <f>(Table1[[#This Row],[Index]]-B350)/B350</f>
        <v/>
      </c>
    </row>
    <row r="363">
      <c r="A363" s="17" t="n">
        <v>37135</v>
      </c>
      <c r="B363" s="58">
        <f>VLOOKUP(Table1[[#This Row],[Date]],database!A:B,2,)</f>
        <v/>
      </c>
      <c r="C363" s="66">
        <f>B363/B362-1</f>
        <v/>
      </c>
      <c r="D363" s="66">
        <f>(Table1[[#This Row],[Index]]-B351)/B351</f>
        <v/>
      </c>
    </row>
    <row r="364">
      <c r="A364" s="17" t="n">
        <v>37165</v>
      </c>
      <c r="B364" s="58">
        <f>VLOOKUP(Table1[[#This Row],[Date]],database!A:B,2,)</f>
        <v/>
      </c>
      <c r="C364" s="66">
        <f>B364/B363-1</f>
        <v/>
      </c>
      <c r="D364" s="66">
        <f>(Table1[[#This Row],[Index]]-B352)/B352</f>
        <v/>
      </c>
    </row>
    <row r="365">
      <c r="A365" s="17" t="n">
        <v>37196</v>
      </c>
      <c r="B365" s="58">
        <f>VLOOKUP(Table1[[#This Row],[Date]],database!A:B,2,)</f>
        <v/>
      </c>
      <c r="C365" s="66">
        <f>B365/B364-1</f>
        <v/>
      </c>
      <c r="D365" s="66">
        <f>(Table1[[#This Row],[Index]]-B353)/B353</f>
        <v/>
      </c>
    </row>
    <row r="366">
      <c r="A366" s="17" t="n">
        <v>37226</v>
      </c>
      <c r="B366" s="58">
        <f>VLOOKUP(Table1[[#This Row],[Date]],database!A:B,2,)</f>
        <v/>
      </c>
      <c r="C366" s="66">
        <f>B366/B365-1</f>
        <v/>
      </c>
      <c r="D366" s="66">
        <f>(Table1[[#This Row],[Index]]-B354)/B354</f>
        <v/>
      </c>
    </row>
    <row r="367">
      <c r="A367" s="17" t="n">
        <v>37257</v>
      </c>
      <c r="B367" s="58">
        <f>VLOOKUP(Table1[[#This Row],[Date]],database!A:B,2,)</f>
        <v/>
      </c>
      <c r="C367" s="66">
        <f>B367/B366-1</f>
        <v/>
      </c>
      <c r="D367" s="66">
        <f>(Table1[[#This Row],[Index]]-B355)/B355</f>
        <v/>
      </c>
    </row>
    <row r="368">
      <c r="A368" s="17" t="n">
        <v>37288</v>
      </c>
      <c r="B368" s="58">
        <f>VLOOKUP(Table1[[#This Row],[Date]],database!A:B,2,)</f>
        <v/>
      </c>
      <c r="C368" s="66">
        <f>B368/B367-1</f>
        <v/>
      </c>
      <c r="D368" s="66">
        <f>(Table1[[#This Row],[Index]]-B356)/B356</f>
        <v/>
      </c>
    </row>
    <row r="369">
      <c r="A369" s="17" t="n">
        <v>37316</v>
      </c>
      <c r="B369" s="58">
        <f>VLOOKUP(Table1[[#This Row],[Date]],database!A:B,2,)</f>
        <v/>
      </c>
      <c r="C369" s="66">
        <f>B369/B368-1</f>
        <v/>
      </c>
      <c r="D369" s="66">
        <f>(Table1[[#This Row],[Index]]-B357)/B357</f>
        <v/>
      </c>
    </row>
    <row r="370">
      <c r="A370" s="17" t="n">
        <v>37347</v>
      </c>
      <c r="B370" s="58">
        <f>VLOOKUP(Table1[[#This Row],[Date]],database!A:B,2,)</f>
        <v/>
      </c>
      <c r="C370" s="66">
        <f>B370/B369-1</f>
        <v/>
      </c>
      <c r="D370" s="66">
        <f>(Table1[[#This Row],[Index]]-B358)/B358</f>
        <v/>
      </c>
    </row>
    <row r="371">
      <c r="A371" s="17" t="n">
        <v>37377</v>
      </c>
      <c r="B371" s="58">
        <f>VLOOKUP(Table1[[#This Row],[Date]],database!A:B,2,)</f>
        <v/>
      </c>
      <c r="C371" s="66">
        <f>B371/B370-1</f>
        <v/>
      </c>
      <c r="D371" s="66">
        <f>(Table1[[#This Row],[Index]]-B359)/B359</f>
        <v/>
      </c>
    </row>
    <row r="372">
      <c r="A372" s="17" t="n">
        <v>37408</v>
      </c>
      <c r="B372" s="58">
        <f>VLOOKUP(Table1[[#This Row],[Date]],database!A:B,2,)</f>
        <v/>
      </c>
      <c r="C372" s="66">
        <f>B372/B371-1</f>
        <v/>
      </c>
      <c r="D372" s="66">
        <f>(Table1[[#This Row],[Index]]-B360)/B360</f>
        <v/>
      </c>
    </row>
    <row r="373">
      <c r="A373" s="17" t="n">
        <v>37438</v>
      </c>
      <c r="B373" s="58">
        <f>VLOOKUP(Table1[[#This Row],[Date]],database!A:B,2,)</f>
        <v/>
      </c>
      <c r="C373" s="66">
        <f>B373/B372-1</f>
        <v/>
      </c>
      <c r="D373" s="66">
        <f>(Table1[[#This Row],[Index]]-B361)/B361</f>
        <v/>
      </c>
    </row>
    <row r="374">
      <c r="A374" s="17" t="n">
        <v>37469</v>
      </c>
      <c r="B374" s="58">
        <f>VLOOKUP(Table1[[#This Row],[Date]],database!A:B,2,)</f>
        <v/>
      </c>
      <c r="C374" s="66">
        <f>B374/B373-1</f>
        <v/>
      </c>
      <c r="D374" s="66">
        <f>(Table1[[#This Row],[Index]]-B362)/B362</f>
        <v/>
      </c>
    </row>
    <row r="375">
      <c r="A375" s="17" t="n">
        <v>37500</v>
      </c>
      <c r="B375" s="58">
        <f>VLOOKUP(Table1[[#This Row],[Date]],database!A:B,2,)</f>
        <v/>
      </c>
      <c r="C375" s="66">
        <f>B375/B374-1</f>
        <v/>
      </c>
      <c r="D375" s="66">
        <f>(Table1[[#This Row],[Index]]-B363)/B363</f>
        <v/>
      </c>
    </row>
    <row r="376">
      <c r="A376" s="17" t="n">
        <v>37530</v>
      </c>
      <c r="B376" s="58">
        <f>VLOOKUP(Table1[[#This Row],[Date]],database!A:B,2,)</f>
        <v/>
      </c>
      <c r="C376" s="66">
        <f>B376/B375-1</f>
        <v/>
      </c>
      <c r="D376" s="66">
        <f>(Table1[[#This Row],[Index]]-B364)/B364</f>
        <v/>
      </c>
    </row>
    <row r="377">
      <c r="A377" s="17" t="n">
        <v>37561</v>
      </c>
      <c r="B377" s="58">
        <f>VLOOKUP(Table1[[#This Row],[Date]],database!A:B,2,)</f>
        <v/>
      </c>
      <c r="C377" s="66">
        <f>B377/B376-1</f>
        <v/>
      </c>
      <c r="D377" s="66">
        <f>(Table1[[#This Row],[Index]]-B365)/B365</f>
        <v/>
      </c>
    </row>
    <row r="378">
      <c r="A378" s="17" t="n">
        <v>37591</v>
      </c>
      <c r="B378" s="58">
        <f>VLOOKUP(Table1[[#This Row],[Date]],database!A:B,2,)</f>
        <v/>
      </c>
      <c r="C378" s="66">
        <f>B378/B377-1</f>
        <v/>
      </c>
      <c r="D378" s="66">
        <f>(Table1[[#This Row],[Index]]-B366)/B366</f>
        <v/>
      </c>
    </row>
    <row r="379">
      <c r="A379" s="17" t="n">
        <v>37622</v>
      </c>
      <c r="B379" s="58">
        <f>VLOOKUP(Table1[[#This Row],[Date]],database!A:B,2,)</f>
        <v/>
      </c>
      <c r="C379" s="66">
        <f>B379/B378-1</f>
        <v/>
      </c>
      <c r="D379" s="66">
        <f>(Table1[[#This Row],[Index]]-B367)/B367</f>
        <v/>
      </c>
    </row>
    <row r="380">
      <c r="A380" s="17" t="n">
        <v>37653</v>
      </c>
      <c r="B380" s="58">
        <f>VLOOKUP(Table1[[#This Row],[Date]],database!A:B,2,)</f>
        <v/>
      </c>
      <c r="C380" s="66">
        <f>B380/B379-1</f>
        <v/>
      </c>
      <c r="D380" s="66">
        <f>(Table1[[#This Row],[Index]]-B368)/B368</f>
        <v/>
      </c>
    </row>
    <row r="381">
      <c r="A381" s="17" t="n">
        <v>37681</v>
      </c>
      <c r="B381" s="58">
        <f>VLOOKUP(Table1[[#This Row],[Date]],database!A:B,2,)</f>
        <v/>
      </c>
      <c r="C381" s="66">
        <f>B381/B380-1</f>
        <v/>
      </c>
      <c r="D381" s="66">
        <f>(Table1[[#This Row],[Index]]-B369)/B369</f>
        <v/>
      </c>
    </row>
    <row r="382">
      <c r="A382" s="17" t="n">
        <v>37712</v>
      </c>
      <c r="B382" s="58">
        <f>VLOOKUP(Table1[[#This Row],[Date]],database!A:B,2,)</f>
        <v/>
      </c>
      <c r="C382" s="66">
        <f>B382/B381-1</f>
        <v/>
      </c>
      <c r="D382" s="66">
        <f>(Table1[[#This Row],[Index]]-B370)/B370</f>
        <v/>
      </c>
    </row>
    <row r="383">
      <c r="A383" s="17" t="n">
        <v>37742</v>
      </c>
      <c r="B383" s="58">
        <f>VLOOKUP(Table1[[#This Row],[Date]],database!A:B,2,)</f>
        <v/>
      </c>
      <c r="C383" s="66">
        <f>B383/B382-1</f>
        <v/>
      </c>
      <c r="D383" s="66">
        <f>(Table1[[#This Row],[Index]]-B371)/B371</f>
        <v/>
      </c>
    </row>
    <row r="384">
      <c r="A384" s="17" t="n">
        <v>37773</v>
      </c>
      <c r="B384" s="58">
        <f>VLOOKUP(Table1[[#This Row],[Date]],database!A:B,2,)</f>
        <v/>
      </c>
      <c r="C384" s="66">
        <f>B384/B383-1</f>
        <v/>
      </c>
      <c r="D384" s="66">
        <f>(Table1[[#This Row],[Index]]-B372)/B372</f>
        <v/>
      </c>
    </row>
    <row r="385">
      <c r="A385" s="17" t="n">
        <v>37803</v>
      </c>
      <c r="B385" s="58">
        <f>VLOOKUP(Table1[[#This Row],[Date]],database!A:B,2,)</f>
        <v/>
      </c>
      <c r="C385" s="66">
        <f>B385/B384-1</f>
        <v/>
      </c>
      <c r="D385" s="66">
        <f>(Table1[[#This Row],[Index]]-B373)/B373</f>
        <v/>
      </c>
    </row>
    <row r="386">
      <c r="A386" s="17" t="n">
        <v>37834</v>
      </c>
      <c r="B386" s="58">
        <f>VLOOKUP(Table1[[#This Row],[Date]],database!A:B,2,)</f>
        <v/>
      </c>
      <c r="C386" s="66">
        <f>B386/B385-1</f>
        <v/>
      </c>
      <c r="D386" s="66">
        <f>(Table1[[#This Row],[Index]]-B374)/B374</f>
        <v/>
      </c>
    </row>
    <row r="387">
      <c r="A387" s="17" t="n">
        <v>37865</v>
      </c>
      <c r="B387" s="58">
        <f>VLOOKUP(Table1[[#This Row],[Date]],database!A:B,2,)</f>
        <v/>
      </c>
      <c r="C387" s="66">
        <f>B387/B386-1</f>
        <v/>
      </c>
      <c r="D387" s="66">
        <f>(Table1[[#This Row],[Index]]-B375)/B375</f>
        <v/>
      </c>
    </row>
    <row r="388">
      <c r="A388" s="17" t="n">
        <v>37895</v>
      </c>
      <c r="B388" s="58">
        <f>VLOOKUP(Table1[[#This Row],[Date]],database!A:B,2,)</f>
        <v/>
      </c>
      <c r="C388" s="66">
        <f>B388/B387-1</f>
        <v/>
      </c>
      <c r="D388" s="66">
        <f>(Table1[[#This Row],[Index]]-B376)/B376</f>
        <v/>
      </c>
    </row>
    <row r="389">
      <c r="A389" s="17" t="n">
        <v>37926</v>
      </c>
      <c r="B389" s="58">
        <f>VLOOKUP(Table1[[#This Row],[Date]],database!A:B,2,)</f>
        <v/>
      </c>
      <c r="C389" s="66">
        <f>B389/B388-1</f>
        <v/>
      </c>
      <c r="D389" s="66">
        <f>(Table1[[#This Row],[Index]]-B377)/B377</f>
        <v/>
      </c>
    </row>
    <row r="390">
      <c r="A390" s="17" t="n">
        <v>37956</v>
      </c>
      <c r="B390" s="58">
        <f>VLOOKUP(Table1[[#This Row],[Date]],database!A:B,2,)</f>
        <v/>
      </c>
      <c r="C390" s="66">
        <f>B390/B389-1</f>
        <v/>
      </c>
      <c r="D390" s="66">
        <f>(Table1[[#This Row],[Index]]-B378)/B378</f>
        <v/>
      </c>
    </row>
    <row r="391">
      <c r="A391" s="17" t="n">
        <v>37987</v>
      </c>
      <c r="B391" s="58">
        <f>VLOOKUP(Table1[[#This Row],[Date]],database!A:B,2,)</f>
        <v/>
      </c>
      <c r="C391" s="66">
        <f>B391/B390-1</f>
        <v/>
      </c>
      <c r="D391" s="66">
        <f>(Table1[[#This Row],[Index]]-B379)/B379</f>
        <v/>
      </c>
    </row>
    <row r="392">
      <c r="A392" s="17" t="n">
        <v>38018</v>
      </c>
      <c r="B392" s="58">
        <f>VLOOKUP(Table1[[#This Row],[Date]],database!A:B,2,)</f>
        <v/>
      </c>
      <c r="C392" s="66">
        <f>B392/B391-1</f>
        <v/>
      </c>
      <c r="D392" s="66">
        <f>(Table1[[#This Row],[Index]]-B380)/B380</f>
        <v/>
      </c>
    </row>
    <row r="393">
      <c r="A393" s="17" t="n">
        <v>38047</v>
      </c>
      <c r="B393" s="58">
        <f>VLOOKUP(Table1[[#This Row],[Date]],database!A:B,2,)</f>
        <v/>
      </c>
      <c r="C393" s="66">
        <f>B393/B392-1</f>
        <v/>
      </c>
      <c r="D393" s="66">
        <f>(Table1[[#This Row],[Index]]-B381)/B381</f>
        <v/>
      </c>
    </row>
    <row r="394">
      <c r="A394" s="17" t="n">
        <v>38078</v>
      </c>
      <c r="B394" s="58">
        <f>VLOOKUP(Table1[[#This Row],[Date]],database!A:B,2,)</f>
        <v/>
      </c>
      <c r="C394" s="66">
        <f>B394/B393-1</f>
        <v/>
      </c>
      <c r="D394" s="66">
        <f>(Table1[[#This Row],[Index]]-B382)/B382</f>
        <v/>
      </c>
    </row>
    <row r="395">
      <c r="A395" s="17" t="n">
        <v>38108</v>
      </c>
      <c r="B395" s="58">
        <f>VLOOKUP(Table1[[#This Row],[Date]],database!A:B,2,)</f>
        <v/>
      </c>
      <c r="C395" s="66">
        <f>B395/B394-1</f>
        <v/>
      </c>
      <c r="D395" s="66">
        <f>(Table1[[#This Row],[Index]]-B383)/B383</f>
        <v/>
      </c>
    </row>
    <row r="396">
      <c r="A396" s="17" t="n">
        <v>38139</v>
      </c>
      <c r="B396" s="58">
        <f>VLOOKUP(Table1[[#This Row],[Date]],database!A:B,2,)</f>
        <v/>
      </c>
      <c r="C396" s="66">
        <f>B396/B395-1</f>
        <v/>
      </c>
      <c r="D396" s="66">
        <f>(Table1[[#This Row],[Index]]-B384)/B384</f>
        <v/>
      </c>
    </row>
    <row r="397">
      <c r="A397" s="17" t="n">
        <v>38169</v>
      </c>
      <c r="B397" s="58">
        <f>VLOOKUP(Table1[[#This Row],[Date]],database!A:B,2,)</f>
        <v/>
      </c>
      <c r="C397" s="66">
        <f>B397/B396-1</f>
        <v/>
      </c>
      <c r="D397" s="66">
        <f>(Table1[[#This Row],[Index]]-B385)/B385</f>
        <v/>
      </c>
    </row>
    <row r="398">
      <c r="A398" s="17" t="n">
        <v>38200</v>
      </c>
      <c r="B398" s="58">
        <f>VLOOKUP(Table1[[#This Row],[Date]],database!A:B,2,)</f>
        <v/>
      </c>
      <c r="C398" s="66">
        <f>B398/B397-1</f>
        <v/>
      </c>
      <c r="D398" s="66">
        <f>(Table1[[#This Row],[Index]]-B386)/B386</f>
        <v/>
      </c>
    </row>
    <row r="399">
      <c r="A399" s="17" t="n">
        <v>38231</v>
      </c>
      <c r="B399" s="58">
        <f>VLOOKUP(Table1[[#This Row],[Date]],database!A:B,2,)</f>
        <v/>
      </c>
      <c r="C399" s="66">
        <f>B399/B398-1</f>
        <v/>
      </c>
      <c r="D399" s="66">
        <f>(Table1[[#This Row],[Index]]-B387)/B387</f>
        <v/>
      </c>
    </row>
    <row r="400">
      <c r="A400" s="17" t="n">
        <v>38261</v>
      </c>
      <c r="B400" s="58">
        <f>VLOOKUP(Table1[[#This Row],[Date]],database!A:B,2,)</f>
        <v/>
      </c>
      <c r="C400" s="66">
        <f>B400/B399-1</f>
        <v/>
      </c>
      <c r="D400" s="66">
        <f>(Table1[[#This Row],[Index]]-B388)/B388</f>
        <v/>
      </c>
    </row>
    <row r="401">
      <c r="A401" s="17" t="n">
        <v>38292</v>
      </c>
      <c r="B401" s="58">
        <f>VLOOKUP(Table1[[#This Row],[Date]],database!A:B,2,)</f>
        <v/>
      </c>
      <c r="C401" s="66">
        <f>B401/B400-1</f>
        <v/>
      </c>
      <c r="D401" s="66">
        <f>(Table1[[#This Row],[Index]]-B389)/B389</f>
        <v/>
      </c>
    </row>
    <row r="402">
      <c r="A402" s="17" t="n">
        <v>38322</v>
      </c>
      <c r="B402" s="58">
        <f>VLOOKUP(Table1[[#This Row],[Date]],database!A:B,2,)</f>
        <v/>
      </c>
      <c r="C402" s="66">
        <f>B402/B401-1</f>
        <v/>
      </c>
      <c r="D402" s="66">
        <f>(Table1[[#This Row],[Index]]-B390)/B390</f>
        <v/>
      </c>
    </row>
    <row r="403">
      <c r="A403" s="17" t="n">
        <v>38353</v>
      </c>
      <c r="B403" s="58">
        <f>VLOOKUP(Table1[[#This Row],[Date]],database!A:B,2,)</f>
        <v/>
      </c>
      <c r="C403" s="66">
        <f>B403/B402-1</f>
        <v/>
      </c>
      <c r="D403" s="66">
        <f>(Table1[[#This Row],[Index]]-B391)/B391</f>
        <v/>
      </c>
    </row>
    <row r="404">
      <c r="A404" s="17" t="n">
        <v>38384</v>
      </c>
      <c r="B404" s="58">
        <f>VLOOKUP(Table1[[#This Row],[Date]],database!A:B,2,)</f>
        <v/>
      </c>
      <c r="C404" s="66">
        <f>B404/B403-1</f>
        <v/>
      </c>
      <c r="D404" s="66">
        <f>(Table1[[#This Row],[Index]]-B392)/B392</f>
        <v/>
      </c>
    </row>
    <row r="405">
      <c r="A405" s="17" t="n">
        <v>38412</v>
      </c>
      <c r="B405" s="58">
        <f>VLOOKUP(Table1[[#This Row],[Date]],database!A:B,2,)</f>
        <v/>
      </c>
      <c r="C405" s="66">
        <f>B405/B404-1</f>
        <v/>
      </c>
      <c r="D405" s="66">
        <f>(Table1[[#This Row],[Index]]-B393)/B393</f>
        <v/>
      </c>
    </row>
    <row r="406">
      <c r="A406" s="17" t="n">
        <v>38443</v>
      </c>
      <c r="B406" s="58">
        <f>VLOOKUP(Table1[[#This Row],[Date]],database!A:B,2,)</f>
        <v/>
      </c>
      <c r="C406" s="66">
        <f>B406/B405-1</f>
        <v/>
      </c>
      <c r="D406" s="66">
        <f>(Table1[[#This Row],[Index]]-B394)/B394</f>
        <v/>
      </c>
    </row>
    <row r="407">
      <c r="A407" s="17" t="n">
        <v>38473</v>
      </c>
      <c r="B407" s="58">
        <f>VLOOKUP(Table1[[#This Row],[Date]],database!A:B,2,)</f>
        <v/>
      </c>
      <c r="C407" s="66">
        <f>B407/B406-1</f>
        <v/>
      </c>
      <c r="D407" s="66">
        <f>(Table1[[#This Row],[Index]]-B395)/B395</f>
        <v/>
      </c>
    </row>
    <row r="408">
      <c r="A408" s="17" t="n">
        <v>38504</v>
      </c>
      <c r="B408" s="58">
        <f>VLOOKUP(Table1[[#This Row],[Date]],database!A:B,2,)</f>
        <v/>
      </c>
      <c r="C408" s="66">
        <f>B408/B407-1</f>
        <v/>
      </c>
      <c r="D408" s="66">
        <f>(Table1[[#This Row],[Index]]-B396)/B396</f>
        <v/>
      </c>
    </row>
    <row r="409">
      <c r="A409" s="17" t="n">
        <v>38534</v>
      </c>
      <c r="B409" s="58">
        <f>VLOOKUP(Table1[[#This Row],[Date]],database!A:B,2,)</f>
        <v/>
      </c>
      <c r="C409" s="66">
        <f>B409/B408-1</f>
        <v/>
      </c>
      <c r="D409" s="66">
        <f>(Table1[[#This Row],[Index]]-B397)/B397</f>
        <v/>
      </c>
    </row>
    <row r="410">
      <c r="A410" s="17" t="n">
        <v>38565</v>
      </c>
      <c r="B410" s="58">
        <f>VLOOKUP(Table1[[#This Row],[Date]],database!A:B,2,)</f>
        <v/>
      </c>
      <c r="C410" s="66">
        <f>B410/B409-1</f>
        <v/>
      </c>
      <c r="D410" s="66">
        <f>(Table1[[#This Row],[Index]]-B398)/B398</f>
        <v/>
      </c>
    </row>
    <row r="411">
      <c r="A411" s="17" t="n">
        <v>38596</v>
      </c>
      <c r="B411" s="58">
        <f>VLOOKUP(Table1[[#This Row],[Date]],database!A:B,2,)</f>
        <v/>
      </c>
      <c r="C411" s="66">
        <f>B411/B410-1</f>
        <v/>
      </c>
      <c r="D411" s="66">
        <f>(Table1[[#This Row],[Index]]-B399)/B399</f>
        <v/>
      </c>
    </row>
    <row r="412">
      <c r="A412" s="17" t="n">
        <v>38626</v>
      </c>
      <c r="B412" s="58">
        <f>VLOOKUP(Table1[[#This Row],[Date]],database!A:B,2,)</f>
        <v/>
      </c>
      <c r="C412" s="66">
        <f>B412/B411-1</f>
        <v/>
      </c>
      <c r="D412" s="66">
        <f>(Table1[[#This Row],[Index]]-B400)/B400</f>
        <v/>
      </c>
    </row>
    <row r="413">
      <c r="A413" s="17" t="n">
        <v>38657</v>
      </c>
      <c r="B413" s="58">
        <f>VLOOKUP(Table1[[#This Row],[Date]],database!A:B,2,)</f>
        <v/>
      </c>
      <c r="C413" s="66">
        <f>B413/B412-1</f>
        <v/>
      </c>
      <c r="D413" s="66">
        <f>(Table1[[#This Row],[Index]]-B401)/B401</f>
        <v/>
      </c>
    </row>
    <row r="414">
      <c r="A414" s="17" t="n">
        <v>38687</v>
      </c>
      <c r="B414" s="58">
        <f>VLOOKUP(Table1[[#This Row],[Date]],database!A:B,2,)</f>
        <v/>
      </c>
      <c r="C414" s="66">
        <f>B414/B413-1</f>
        <v/>
      </c>
      <c r="D414" s="66">
        <f>(Table1[[#This Row],[Index]]-B402)/B402</f>
        <v/>
      </c>
    </row>
    <row r="415">
      <c r="A415" s="17" t="n">
        <v>38718</v>
      </c>
      <c r="B415" s="58">
        <f>VLOOKUP(Table1[[#This Row],[Date]],database!A:B,2,)</f>
        <v/>
      </c>
      <c r="C415" s="66">
        <f>B415/B414-1</f>
        <v/>
      </c>
      <c r="D415" s="66">
        <f>(Table1[[#This Row],[Index]]-B403)/B403</f>
        <v/>
      </c>
    </row>
    <row r="416">
      <c r="A416" s="17" t="n">
        <v>38749</v>
      </c>
      <c r="B416" s="58">
        <f>VLOOKUP(Table1[[#This Row],[Date]],database!A:B,2,)</f>
        <v/>
      </c>
      <c r="C416" s="66">
        <f>B416/B415-1</f>
        <v/>
      </c>
      <c r="D416" s="66">
        <f>(Table1[[#This Row],[Index]]-B404)/B404</f>
        <v/>
      </c>
    </row>
    <row r="417">
      <c r="A417" s="17" t="n">
        <v>38777</v>
      </c>
      <c r="B417" s="58">
        <f>VLOOKUP(Table1[[#This Row],[Date]],database!A:B,2,)</f>
        <v/>
      </c>
      <c r="C417" s="66">
        <f>B417/B416-1</f>
        <v/>
      </c>
      <c r="D417" s="66">
        <f>(Table1[[#This Row],[Index]]-B405)/B405</f>
        <v/>
      </c>
    </row>
    <row r="418">
      <c r="A418" s="17" t="n">
        <v>38808</v>
      </c>
      <c r="B418" s="58">
        <f>VLOOKUP(Table1[[#This Row],[Date]],database!A:B,2,)</f>
        <v/>
      </c>
      <c r="C418" s="66">
        <f>B418/B417-1</f>
        <v/>
      </c>
      <c r="D418" s="66">
        <f>(Table1[[#This Row],[Index]]-B406)/B406</f>
        <v/>
      </c>
    </row>
    <row r="419">
      <c r="A419" s="17" t="n">
        <v>38838</v>
      </c>
      <c r="B419" s="58">
        <f>VLOOKUP(Table1[[#This Row],[Date]],database!A:B,2,)</f>
        <v/>
      </c>
      <c r="C419" s="66">
        <f>B419/B418-1</f>
        <v/>
      </c>
      <c r="D419" s="66">
        <f>(Table1[[#This Row],[Index]]-B407)/B407</f>
        <v/>
      </c>
    </row>
    <row r="420">
      <c r="A420" s="17" t="n">
        <v>38869</v>
      </c>
      <c r="B420" s="58">
        <f>VLOOKUP(Table1[[#This Row],[Date]],database!A:B,2,)</f>
        <v/>
      </c>
      <c r="C420" s="66">
        <f>B420/B419-1</f>
        <v/>
      </c>
      <c r="D420" s="66">
        <f>(Table1[[#This Row],[Index]]-B408)/B408</f>
        <v/>
      </c>
    </row>
    <row r="421">
      <c r="A421" s="17" t="n">
        <v>38899</v>
      </c>
      <c r="B421" s="58">
        <f>VLOOKUP(Table1[[#This Row],[Date]],database!A:B,2,)</f>
        <v/>
      </c>
      <c r="C421" s="66">
        <f>B421/B420-1</f>
        <v/>
      </c>
      <c r="D421" s="66">
        <f>(Table1[[#This Row],[Index]]-B409)/B409</f>
        <v/>
      </c>
    </row>
    <row r="422">
      <c r="A422" s="17" t="n">
        <v>38930</v>
      </c>
      <c r="B422" s="58">
        <f>VLOOKUP(Table1[[#This Row],[Date]],database!A:B,2,)</f>
        <v/>
      </c>
      <c r="C422" s="66">
        <f>B422/B421-1</f>
        <v/>
      </c>
      <c r="D422" s="66">
        <f>(Table1[[#This Row],[Index]]-B410)/B410</f>
        <v/>
      </c>
    </row>
    <row r="423">
      <c r="A423" s="17" t="n">
        <v>38961</v>
      </c>
      <c r="B423" s="58">
        <f>VLOOKUP(Table1[[#This Row],[Date]],database!A:B,2,)</f>
        <v/>
      </c>
      <c r="C423" s="66">
        <f>B423/B422-1</f>
        <v/>
      </c>
      <c r="D423" s="66">
        <f>(Table1[[#This Row],[Index]]-B411)/B411</f>
        <v/>
      </c>
    </row>
    <row r="424">
      <c r="A424" s="17" t="n">
        <v>38991</v>
      </c>
      <c r="B424" s="58">
        <f>VLOOKUP(Table1[[#This Row],[Date]],database!A:B,2,)</f>
        <v/>
      </c>
      <c r="C424" s="66">
        <f>B424/B423-1</f>
        <v/>
      </c>
      <c r="D424" s="66">
        <f>(Table1[[#This Row],[Index]]-B412)/B412</f>
        <v/>
      </c>
    </row>
    <row r="425">
      <c r="A425" s="17" t="n">
        <v>39022</v>
      </c>
      <c r="B425" s="58">
        <f>VLOOKUP(Table1[[#This Row],[Date]],database!A:B,2,)</f>
        <v/>
      </c>
      <c r="C425" s="66">
        <f>B425/B424-1</f>
        <v/>
      </c>
      <c r="D425" s="66">
        <f>(Table1[[#This Row],[Index]]-B413)/B413</f>
        <v/>
      </c>
    </row>
    <row r="426">
      <c r="A426" s="17" t="n">
        <v>39052</v>
      </c>
      <c r="B426" s="58">
        <f>VLOOKUP(Table1[[#This Row],[Date]],database!A:B,2,)</f>
        <v/>
      </c>
      <c r="C426" s="66">
        <f>B426/B425-1</f>
        <v/>
      </c>
      <c r="D426" s="66">
        <f>(Table1[[#This Row],[Index]]-B414)/B414</f>
        <v/>
      </c>
    </row>
    <row r="427">
      <c r="A427" s="17" t="n">
        <v>39083</v>
      </c>
      <c r="B427" s="58">
        <f>VLOOKUP(Table1[[#This Row],[Date]],database!A:B,2,)</f>
        <v/>
      </c>
      <c r="C427" s="66">
        <f>B427/B426-1</f>
        <v/>
      </c>
      <c r="D427" s="66">
        <f>(Table1[[#This Row],[Index]]-B415)/B415</f>
        <v/>
      </c>
    </row>
    <row r="428">
      <c r="A428" s="17" t="n">
        <v>39114</v>
      </c>
      <c r="B428" s="58">
        <f>VLOOKUP(Table1[[#This Row],[Date]],database!A:B,2,)</f>
        <v/>
      </c>
      <c r="C428" s="66">
        <f>B428/B427-1</f>
        <v/>
      </c>
      <c r="D428" s="66">
        <f>(Table1[[#This Row],[Index]]-B416)/B416</f>
        <v/>
      </c>
    </row>
    <row r="429">
      <c r="A429" s="17" t="n">
        <v>39142</v>
      </c>
      <c r="B429" s="58">
        <f>VLOOKUP(Table1[[#This Row],[Date]],database!A:B,2,)</f>
        <v/>
      </c>
      <c r="C429" s="66">
        <f>B429/B428-1</f>
        <v/>
      </c>
      <c r="D429" s="66">
        <f>(Table1[[#This Row],[Index]]-B417)/B417</f>
        <v/>
      </c>
    </row>
    <row r="430">
      <c r="A430" s="17" t="n">
        <v>39173</v>
      </c>
      <c r="B430" s="58">
        <f>VLOOKUP(Table1[[#This Row],[Date]],database!A:B,2,)</f>
        <v/>
      </c>
      <c r="C430" s="66">
        <f>B430/B429-1</f>
        <v/>
      </c>
      <c r="D430" s="66">
        <f>(Table1[[#This Row],[Index]]-B418)/B418</f>
        <v/>
      </c>
    </row>
    <row r="431">
      <c r="A431" s="17" t="n">
        <v>39203</v>
      </c>
      <c r="B431" s="58">
        <f>VLOOKUP(Table1[[#This Row],[Date]],database!A:B,2,)</f>
        <v/>
      </c>
      <c r="C431" s="66">
        <f>B431/B430-1</f>
        <v/>
      </c>
      <c r="D431" s="66">
        <f>(Table1[[#This Row],[Index]]-B419)/B419</f>
        <v/>
      </c>
    </row>
    <row r="432">
      <c r="A432" s="17" t="n">
        <v>39234</v>
      </c>
      <c r="B432" s="58">
        <f>VLOOKUP(Table1[[#This Row],[Date]],database!A:B,2,)</f>
        <v/>
      </c>
      <c r="C432" s="66">
        <f>B432/B431-1</f>
        <v/>
      </c>
      <c r="D432" s="66">
        <f>(Table1[[#This Row],[Index]]-B420)/B420</f>
        <v/>
      </c>
    </row>
    <row r="433">
      <c r="A433" s="17" t="n">
        <v>39264</v>
      </c>
      <c r="B433" s="58">
        <f>VLOOKUP(Table1[[#This Row],[Date]],database!A:B,2,)</f>
        <v/>
      </c>
      <c r="C433" s="66">
        <f>B433/B432-1</f>
        <v/>
      </c>
      <c r="D433" s="66">
        <f>(Table1[[#This Row],[Index]]-B421)/B421</f>
        <v/>
      </c>
    </row>
    <row r="434">
      <c r="A434" s="17" t="n">
        <v>39295</v>
      </c>
      <c r="B434" s="58">
        <f>VLOOKUP(Table1[[#This Row],[Date]],database!A:B,2,)</f>
        <v/>
      </c>
      <c r="C434" s="66">
        <f>B434/B433-1</f>
        <v/>
      </c>
      <c r="D434" s="66">
        <f>(Table1[[#This Row],[Index]]-B422)/B422</f>
        <v/>
      </c>
    </row>
    <row r="435">
      <c r="A435" s="17" t="n">
        <v>39326</v>
      </c>
      <c r="B435" s="58">
        <f>VLOOKUP(Table1[[#This Row],[Date]],database!A:B,2,)</f>
        <v/>
      </c>
      <c r="C435" s="66">
        <f>B435/B434-1</f>
        <v/>
      </c>
      <c r="D435" s="66">
        <f>(Table1[[#This Row],[Index]]-B423)/B423</f>
        <v/>
      </c>
    </row>
    <row r="436">
      <c r="A436" s="17" t="n">
        <v>39356</v>
      </c>
      <c r="B436" s="58">
        <f>VLOOKUP(Table1[[#This Row],[Date]],database!A:B,2,)</f>
        <v/>
      </c>
      <c r="C436" s="66">
        <f>B436/B435-1</f>
        <v/>
      </c>
      <c r="D436" s="66">
        <f>(Table1[[#This Row],[Index]]-B424)/B424</f>
        <v/>
      </c>
    </row>
    <row r="437">
      <c r="A437" s="17" t="n">
        <v>39387</v>
      </c>
      <c r="B437" s="58">
        <f>VLOOKUP(Table1[[#This Row],[Date]],database!A:B,2,)</f>
        <v/>
      </c>
      <c r="C437" s="66">
        <f>B437/B436-1</f>
        <v/>
      </c>
      <c r="D437" s="66">
        <f>(Table1[[#This Row],[Index]]-B425)/B425</f>
        <v/>
      </c>
    </row>
    <row r="438">
      <c r="A438" s="17" t="n">
        <v>39417</v>
      </c>
      <c r="B438" s="58">
        <f>VLOOKUP(Table1[[#This Row],[Date]],database!A:B,2,)</f>
        <v/>
      </c>
      <c r="C438" s="66">
        <f>B438/B437-1</f>
        <v/>
      </c>
      <c r="D438" s="66">
        <f>(Table1[[#This Row],[Index]]-B426)/B426</f>
        <v/>
      </c>
    </row>
    <row r="439">
      <c r="A439" s="17" t="n">
        <v>39448</v>
      </c>
      <c r="B439" s="58">
        <f>VLOOKUP(Table1[[#This Row],[Date]],database!A:B,2,)</f>
        <v/>
      </c>
      <c r="C439" s="66">
        <f>B439/B438-1</f>
        <v/>
      </c>
      <c r="D439" s="66">
        <f>(Table1[[#This Row],[Index]]-B427)/B427</f>
        <v/>
      </c>
    </row>
    <row r="440">
      <c r="A440" s="17" t="n">
        <v>39479</v>
      </c>
      <c r="B440" s="58">
        <f>VLOOKUP(Table1[[#This Row],[Date]],database!A:B,2,)</f>
        <v/>
      </c>
      <c r="C440" s="66">
        <f>B440/B439-1</f>
        <v/>
      </c>
      <c r="D440" s="66">
        <f>(Table1[[#This Row],[Index]]-B428)/B428</f>
        <v/>
      </c>
    </row>
    <row r="441">
      <c r="A441" s="17" t="n">
        <v>39508</v>
      </c>
      <c r="B441" s="58">
        <f>VLOOKUP(Table1[[#This Row],[Date]],database!A:B,2,)</f>
        <v/>
      </c>
      <c r="C441" s="66">
        <f>B441/B440-1</f>
        <v/>
      </c>
      <c r="D441" s="66">
        <f>(Table1[[#This Row],[Index]]-B429)/B429</f>
        <v/>
      </c>
    </row>
    <row r="442">
      <c r="A442" s="17" t="n">
        <v>39539</v>
      </c>
      <c r="B442" s="58">
        <f>VLOOKUP(Table1[[#This Row],[Date]],database!A:B,2,)</f>
        <v/>
      </c>
      <c r="C442" s="66">
        <f>B442/B441-1</f>
        <v/>
      </c>
      <c r="D442" s="66">
        <f>(Table1[[#This Row],[Index]]-B430)/B430</f>
        <v/>
      </c>
    </row>
    <row r="443">
      <c r="A443" s="17" t="n">
        <v>39569</v>
      </c>
      <c r="B443" s="58">
        <f>VLOOKUP(Table1[[#This Row],[Date]],database!A:B,2,)</f>
        <v/>
      </c>
      <c r="C443" s="66">
        <f>B443/B442-1</f>
        <v/>
      </c>
      <c r="D443" s="66">
        <f>(Table1[[#This Row],[Index]]-B431)/B431</f>
        <v/>
      </c>
    </row>
    <row r="444">
      <c r="A444" s="17" t="n">
        <v>39600</v>
      </c>
      <c r="B444" s="58">
        <f>VLOOKUP(Table1[[#This Row],[Date]],database!A:B,2,)</f>
        <v/>
      </c>
      <c r="C444" s="66">
        <f>B444/B443-1</f>
        <v/>
      </c>
      <c r="D444" s="66">
        <f>(Table1[[#This Row],[Index]]-B432)/B432</f>
        <v/>
      </c>
    </row>
    <row r="445">
      <c r="A445" s="17" t="n">
        <v>39630</v>
      </c>
      <c r="B445" s="58">
        <f>VLOOKUP(Table1[[#This Row],[Date]],database!A:B,2,)</f>
        <v/>
      </c>
      <c r="C445" s="66">
        <f>B445/B444-1</f>
        <v/>
      </c>
      <c r="D445" s="66">
        <f>(Table1[[#This Row],[Index]]-B433)/B433</f>
        <v/>
      </c>
    </row>
    <row r="446">
      <c r="A446" s="17" t="n">
        <v>39661</v>
      </c>
      <c r="B446" s="58">
        <f>VLOOKUP(Table1[[#This Row],[Date]],database!A:B,2,)</f>
        <v/>
      </c>
      <c r="C446" s="66">
        <f>B446/B445-1</f>
        <v/>
      </c>
      <c r="D446" s="66">
        <f>(Table1[[#This Row],[Index]]-B434)/B434</f>
        <v/>
      </c>
    </row>
    <row r="447">
      <c r="A447" s="17" t="n">
        <v>39692</v>
      </c>
      <c r="B447" s="58">
        <f>VLOOKUP(Table1[[#This Row],[Date]],database!A:B,2,)</f>
        <v/>
      </c>
      <c r="C447" s="66">
        <f>B447/B446-1</f>
        <v/>
      </c>
      <c r="D447" s="66">
        <f>(Table1[[#This Row],[Index]]-B435)/B435</f>
        <v/>
      </c>
    </row>
    <row r="448">
      <c r="A448" s="17" t="n">
        <v>39722</v>
      </c>
      <c r="B448" s="58">
        <f>VLOOKUP(Table1[[#This Row],[Date]],database!A:B,2,)</f>
        <v/>
      </c>
      <c r="C448" s="66">
        <f>B448/B447-1</f>
        <v/>
      </c>
      <c r="D448" s="66">
        <f>(Table1[[#This Row],[Index]]-B436)/B436</f>
        <v/>
      </c>
    </row>
    <row r="449">
      <c r="A449" s="17" t="n">
        <v>39753</v>
      </c>
      <c r="B449" s="58">
        <f>VLOOKUP(Table1[[#This Row],[Date]],database!A:B,2,)</f>
        <v/>
      </c>
      <c r="C449" s="66">
        <f>B449/B448-1</f>
        <v/>
      </c>
      <c r="D449" s="66">
        <f>(Table1[[#This Row],[Index]]-B437)/B437</f>
        <v/>
      </c>
    </row>
    <row r="450">
      <c r="A450" s="17" t="n">
        <v>39783</v>
      </c>
      <c r="B450" s="58">
        <f>VLOOKUP(Table1[[#This Row],[Date]],database!A:B,2,)</f>
        <v/>
      </c>
      <c r="C450" s="66">
        <f>B450/B449-1</f>
        <v/>
      </c>
      <c r="D450" s="66">
        <f>(Table1[[#This Row],[Index]]-B438)/B438</f>
        <v/>
      </c>
    </row>
    <row r="451">
      <c r="A451" s="17" t="n">
        <v>39814</v>
      </c>
      <c r="B451" s="58">
        <f>VLOOKUP(Table1[[#This Row],[Date]],database!A:B,2,)</f>
        <v/>
      </c>
      <c r="C451" s="66">
        <f>B451/B450-1</f>
        <v/>
      </c>
      <c r="D451" s="66">
        <f>(Table1[[#This Row],[Index]]-B439)/B439</f>
        <v/>
      </c>
    </row>
    <row r="452">
      <c r="A452" s="17" t="n">
        <v>39845</v>
      </c>
      <c r="B452" s="58">
        <f>VLOOKUP(Table1[[#This Row],[Date]],database!A:B,2,)</f>
        <v/>
      </c>
      <c r="C452" s="66">
        <f>B452/B451-1</f>
        <v/>
      </c>
      <c r="D452" s="66">
        <f>(Table1[[#This Row],[Index]]-B440)/B440</f>
        <v/>
      </c>
    </row>
    <row r="453">
      <c r="A453" s="17" t="n">
        <v>39873</v>
      </c>
      <c r="B453" s="58">
        <f>VLOOKUP(Table1[[#This Row],[Date]],database!A:B,2,)</f>
        <v/>
      </c>
      <c r="C453" s="66">
        <f>B453/B452-1</f>
        <v/>
      </c>
      <c r="D453" s="66">
        <f>(Table1[[#This Row],[Index]]-B441)/B441</f>
        <v/>
      </c>
    </row>
    <row r="454">
      <c r="A454" s="17" t="n">
        <v>39904</v>
      </c>
      <c r="B454" s="58">
        <f>VLOOKUP(Table1[[#This Row],[Date]],database!A:B,2,)</f>
        <v/>
      </c>
      <c r="C454" s="66">
        <f>B454/B453-1</f>
        <v/>
      </c>
      <c r="D454" s="66">
        <f>(Table1[[#This Row],[Index]]-B442)/B442</f>
        <v/>
      </c>
    </row>
    <row r="455">
      <c r="A455" s="17" t="n">
        <v>39934</v>
      </c>
      <c r="B455" s="58">
        <f>VLOOKUP(Table1[[#This Row],[Date]],database!A:B,2,)</f>
        <v/>
      </c>
      <c r="C455" s="66">
        <f>B455/B454-1</f>
        <v/>
      </c>
      <c r="D455" s="66">
        <f>(Table1[[#This Row],[Index]]-B443)/B443</f>
        <v/>
      </c>
    </row>
    <row r="456">
      <c r="A456" s="17" t="n">
        <v>39965</v>
      </c>
      <c r="B456" s="58">
        <f>VLOOKUP(Table1[[#This Row],[Date]],database!A:B,2,)</f>
        <v/>
      </c>
      <c r="C456" s="66">
        <f>B456/B455-1</f>
        <v/>
      </c>
      <c r="D456" s="66">
        <f>(Table1[[#This Row],[Index]]-B444)/B444</f>
        <v/>
      </c>
    </row>
    <row r="457">
      <c r="A457" s="17" t="n">
        <v>39995</v>
      </c>
      <c r="B457" s="58">
        <f>VLOOKUP(Table1[[#This Row],[Date]],database!A:B,2,)</f>
        <v/>
      </c>
      <c r="C457" s="66">
        <f>B457/B456-1</f>
        <v/>
      </c>
      <c r="D457" s="66">
        <f>(Table1[[#This Row],[Index]]-B445)/B445</f>
        <v/>
      </c>
    </row>
    <row r="458">
      <c r="A458" s="17" t="n">
        <v>40026</v>
      </c>
      <c r="B458" s="58">
        <f>VLOOKUP(Table1[[#This Row],[Date]],database!A:B,2,)</f>
        <v/>
      </c>
      <c r="C458" s="66">
        <f>B458/B457-1</f>
        <v/>
      </c>
      <c r="D458" s="66">
        <f>(Table1[[#This Row],[Index]]-B446)/B446</f>
        <v/>
      </c>
    </row>
    <row r="459">
      <c r="A459" s="17" t="n">
        <v>40057</v>
      </c>
      <c r="B459" s="58">
        <f>VLOOKUP(Table1[[#This Row],[Date]],database!A:B,2,)</f>
        <v/>
      </c>
      <c r="C459" s="66">
        <f>B459/B458-1</f>
        <v/>
      </c>
      <c r="D459" s="66">
        <f>(Table1[[#This Row],[Index]]-B447)/B447</f>
        <v/>
      </c>
    </row>
    <row r="460">
      <c r="A460" s="17" t="n">
        <v>40087</v>
      </c>
      <c r="B460" s="58">
        <f>VLOOKUP(Table1[[#This Row],[Date]],database!A:B,2,)</f>
        <v/>
      </c>
      <c r="C460" s="66">
        <f>B460/B459-1</f>
        <v/>
      </c>
      <c r="D460" s="66">
        <f>(Table1[[#This Row],[Index]]-B448)/B448</f>
        <v/>
      </c>
    </row>
    <row r="461">
      <c r="A461" s="17" t="n">
        <v>40118</v>
      </c>
      <c r="B461" s="58">
        <f>VLOOKUP(Table1[[#This Row],[Date]],database!A:B,2,)</f>
        <v/>
      </c>
      <c r="C461" s="66">
        <f>B461/B460-1</f>
        <v/>
      </c>
      <c r="D461" s="66">
        <f>(Table1[[#This Row],[Index]]-B449)/B449</f>
        <v/>
      </c>
    </row>
    <row r="462">
      <c r="A462" s="17" t="n">
        <v>40148</v>
      </c>
      <c r="B462" s="58">
        <f>VLOOKUP(Table1[[#This Row],[Date]],database!A:B,2,)</f>
        <v/>
      </c>
      <c r="C462" s="66">
        <f>B462/B461-1</f>
        <v/>
      </c>
      <c r="D462" s="66">
        <f>(Table1[[#This Row],[Index]]-B450)/B450</f>
        <v/>
      </c>
    </row>
    <row r="463">
      <c r="A463" s="17" t="n">
        <v>40179</v>
      </c>
      <c r="B463" s="58">
        <f>VLOOKUP(Table1[[#This Row],[Date]],database!A:B,2,)</f>
        <v/>
      </c>
      <c r="C463" s="66">
        <f>B463/B462-1</f>
        <v/>
      </c>
      <c r="D463" s="66">
        <f>(Table1[[#This Row],[Index]]-B451)/B451</f>
        <v/>
      </c>
    </row>
    <row r="464">
      <c r="A464" s="17" t="n">
        <v>40210</v>
      </c>
      <c r="B464" s="58">
        <f>VLOOKUP(Table1[[#This Row],[Date]],database!A:B,2,)</f>
        <v/>
      </c>
      <c r="C464" s="66">
        <f>B464/B463-1</f>
        <v/>
      </c>
      <c r="D464" s="66">
        <f>(Table1[[#This Row],[Index]]-B452)/B452</f>
        <v/>
      </c>
    </row>
    <row r="465">
      <c r="A465" s="17" t="n">
        <v>40238</v>
      </c>
      <c r="B465" s="58">
        <f>VLOOKUP(Table1[[#This Row],[Date]],database!A:B,2,)</f>
        <v/>
      </c>
      <c r="C465" s="66">
        <f>B465/B464-1</f>
        <v/>
      </c>
      <c r="D465" s="66">
        <f>(Table1[[#This Row],[Index]]-B453)/B453</f>
        <v/>
      </c>
    </row>
    <row r="466">
      <c r="A466" s="17" t="n">
        <v>40269</v>
      </c>
      <c r="B466" s="58">
        <f>VLOOKUP(Table1[[#This Row],[Date]],database!A:B,2,)</f>
        <v/>
      </c>
      <c r="C466" s="66">
        <f>B466/B465-1</f>
        <v/>
      </c>
      <c r="D466" s="66">
        <f>(Table1[[#This Row],[Index]]-B454)/B454</f>
        <v/>
      </c>
    </row>
    <row r="467">
      <c r="A467" s="17" t="n">
        <v>40299</v>
      </c>
      <c r="B467" s="58">
        <f>VLOOKUP(Table1[[#This Row],[Date]],database!A:B,2,)</f>
        <v/>
      </c>
      <c r="C467" s="66">
        <f>B467/B466-1</f>
        <v/>
      </c>
      <c r="D467" s="66">
        <f>(Table1[[#This Row],[Index]]-B455)/B455</f>
        <v/>
      </c>
    </row>
    <row r="468">
      <c r="A468" s="17" t="n">
        <v>40330</v>
      </c>
      <c r="B468" s="58">
        <f>VLOOKUP(Table1[[#This Row],[Date]],database!A:B,2,)</f>
        <v/>
      </c>
      <c r="C468" s="66">
        <f>B468/B467-1</f>
        <v/>
      </c>
      <c r="D468" s="66">
        <f>(Table1[[#This Row],[Index]]-B456)/B456</f>
        <v/>
      </c>
    </row>
    <row r="469">
      <c r="A469" s="17" t="n">
        <v>40360</v>
      </c>
      <c r="B469" s="58">
        <f>VLOOKUP(Table1[[#This Row],[Date]],database!A:B,2,)</f>
        <v/>
      </c>
      <c r="C469" s="66">
        <f>B469/B468-1</f>
        <v/>
      </c>
      <c r="D469" s="66">
        <f>(Table1[[#This Row],[Index]]-B457)/B457</f>
        <v/>
      </c>
    </row>
    <row r="470">
      <c r="A470" s="17" t="n">
        <v>40391</v>
      </c>
      <c r="B470" s="58">
        <f>VLOOKUP(Table1[[#This Row],[Date]],database!A:B,2,)</f>
        <v/>
      </c>
      <c r="C470" s="66">
        <f>B470/B469-1</f>
        <v/>
      </c>
      <c r="D470" s="66">
        <f>(Table1[[#This Row],[Index]]-B458)/B458</f>
        <v/>
      </c>
    </row>
    <row r="471">
      <c r="A471" s="17" t="n">
        <v>40422</v>
      </c>
      <c r="B471" s="58">
        <f>VLOOKUP(Table1[[#This Row],[Date]],database!A:B,2,)</f>
        <v/>
      </c>
      <c r="C471" s="66">
        <f>B471/B470-1</f>
        <v/>
      </c>
      <c r="D471" s="66">
        <f>(Table1[[#This Row],[Index]]-B459)/B459</f>
        <v/>
      </c>
    </row>
    <row r="472">
      <c r="A472" s="17" t="n">
        <v>40452</v>
      </c>
      <c r="B472" s="58">
        <f>VLOOKUP(Table1[[#This Row],[Date]],database!A:B,2,)</f>
        <v/>
      </c>
      <c r="C472" s="66">
        <f>B472/B471-1</f>
        <v/>
      </c>
      <c r="D472" s="66">
        <f>(Table1[[#This Row],[Index]]-B460)/B460</f>
        <v/>
      </c>
    </row>
    <row r="473">
      <c r="A473" s="17" t="n">
        <v>40483</v>
      </c>
      <c r="B473" s="58">
        <f>VLOOKUP(Table1[[#This Row],[Date]],database!A:B,2,)</f>
        <v/>
      </c>
      <c r="C473" s="66">
        <f>B473/B472-1</f>
        <v/>
      </c>
      <c r="D473" s="66">
        <f>(Table1[[#This Row],[Index]]-B461)/B461</f>
        <v/>
      </c>
    </row>
    <row r="474">
      <c r="A474" s="17" t="n">
        <v>40513</v>
      </c>
      <c r="B474" s="58">
        <f>VLOOKUP(Table1[[#This Row],[Date]],database!A:B,2,)</f>
        <v/>
      </c>
      <c r="C474" s="66">
        <f>B474/B473-1</f>
        <v/>
      </c>
      <c r="D474" s="66">
        <f>(Table1[[#This Row],[Index]]-B462)/B462</f>
        <v/>
      </c>
    </row>
    <row r="475">
      <c r="A475" s="17" t="n">
        <v>40544</v>
      </c>
      <c r="B475" s="58">
        <f>VLOOKUP(Table1[[#This Row],[Date]],database!A:B,2,)</f>
        <v/>
      </c>
      <c r="C475" s="66">
        <f>B475/B474-1</f>
        <v/>
      </c>
      <c r="D475" s="66">
        <f>(Table1[[#This Row],[Index]]-B463)/B463</f>
        <v/>
      </c>
    </row>
    <row r="476">
      <c r="A476" s="17" t="n">
        <v>40575</v>
      </c>
      <c r="B476" s="58">
        <f>VLOOKUP(Table1[[#This Row],[Date]],database!A:B,2,)</f>
        <v/>
      </c>
      <c r="C476" s="66">
        <f>B476/B475-1</f>
        <v/>
      </c>
      <c r="D476" s="66">
        <f>(Table1[[#This Row],[Index]]-B464)/B464</f>
        <v/>
      </c>
    </row>
    <row r="477">
      <c r="A477" s="17" t="n">
        <v>40603</v>
      </c>
      <c r="B477" s="58">
        <f>VLOOKUP(Table1[[#This Row],[Date]],database!A:B,2,)</f>
        <v/>
      </c>
      <c r="C477" s="66">
        <f>B477/B476-1</f>
        <v/>
      </c>
      <c r="D477" s="66">
        <f>(Table1[[#This Row],[Index]]-B465)/B465</f>
        <v/>
      </c>
    </row>
    <row r="478">
      <c r="A478" s="17" t="n">
        <v>40634</v>
      </c>
      <c r="B478" s="58">
        <f>VLOOKUP(Table1[[#This Row],[Date]],database!A:B,2,)</f>
        <v/>
      </c>
      <c r="C478" s="67">
        <f>B478/B477-1</f>
        <v/>
      </c>
      <c r="D478" s="66">
        <f>(Table1[[#This Row],[Index]]-B466)/B466</f>
        <v/>
      </c>
    </row>
    <row r="479">
      <c r="A479" s="17" t="n">
        <v>40664</v>
      </c>
      <c r="B479" s="58">
        <f>VLOOKUP(Table1[[#This Row],[Date]],database!A:B,2,)</f>
        <v/>
      </c>
      <c r="C479" s="66">
        <f>B479/B478-1</f>
        <v/>
      </c>
      <c r="D479" s="66">
        <f>(Table1[[#This Row],[Index]]-B467)/B467</f>
        <v/>
      </c>
    </row>
    <row r="480">
      <c r="A480" s="17" t="n">
        <v>40695</v>
      </c>
      <c r="B480" s="58">
        <f>VLOOKUP(Table1[[#This Row],[Date]],database!A:B,2,)</f>
        <v/>
      </c>
      <c r="C480" s="66">
        <f>B480/B479-1</f>
        <v/>
      </c>
      <c r="D480" s="66">
        <f>(Table1[[#This Row],[Index]]-B468)/B468</f>
        <v/>
      </c>
    </row>
    <row r="481">
      <c r="A481" s="17" t="n">
        <v>40725</v>
      </c>
      <c r="B481" s="58">
        <f>VLOOKUP(Table1[[#This Row],[Date]],database!A:B,2,)</f>
        <v/>
      </c>
      <c r="C481" s="66">
        <f>B481/B480-1</f>
        <v/>
      </c>
      <c r="D481" s="66">
        <f>(Table1[[#This Row],[Index]]-B469)/B469</f>
        <v/>
      </c>
    </row>
    <row r="482">
      <c r="A482" s="17" t="n">
        <v>40756</v>
      </c>
      <c r="B482" s="58">
        <f>VLOOKUP(Table1[[#This Row],[Date]],database!A:B,2,)</f>
        <v/>
      </c>
      <c r="C482" s="66">
        <f>B482/B481-1</f>
        <v/>
      </c>
      <c r="D482" s="66">
        <f>(Table1[[#This Row],[Index]]-B470)/B470</f>
        <v/>
      </c>
    </row>
    <row r="483">
      <c r="A483" s="17" t="n">
        <v>40787</v>
      </c>
      <c r="B483" s="58">
        <f>VLOOKUP(Table1[[#This Row],[Date]],database!A:B,2,)</f>
        <v/>
      </c>
      <c r="C483" s="66">
        <f>B483/B482-1</f>
        <v/>
      </c>
      <c r="D483" s="66">
        <f>(Table1[[#This Row],[Index]]-B471)/B471</f>
        <v/>
      </c>
    </row>
    <row r="484">
      <c r="A484" s="17" t="n">
        <v>40817</v>
      </c>
      <c r="B484" s="58">
        <f>VLOOKUP(Table1[[#This Row],[Date]],database!A:B,2,)</f>
        <v/>
      </c>
      <c r="C484" s="66">
        <f>B484/B483-1</f>
        <v/>
      </c>
      <c r="D484" s="66">
        <f>(Table1[[#This Row],[Index]]-B472)/B472</f>
        <v/>
      </c>
    </row>
    <row r="485">
      <c r="A485" s="17" t="n">
        <v>40848</v>
      </c>
      <c r="B485" s="58">
        <f>VLOOKUP(Table1[[#This Row],[Date]],database!A:B,2,)</f>
        <v/>
      </c>
      <c r="C485" s="66">
        <f>B485/B484-1</f>
        <v/>
      </c>
      <c r="D485" s="66">
        <f>(Table1[[#This Row],[Index]]-B473)/B473</f>
        <v/>
      </c>
    </row>
    <row r="486">
      <c r="A486" s="17" t="n">
        <v>40878</v>
      </c>
      <c r="B486" s="58">
        <f>VLOOKUP(Table1[[#This Row],[Date]],database!A:B,2,)</f>
        <v/>
      </c>
      <c r="C486" s="66">
        <f>B486/B485-1</f>
        <v/>
      </c>
      <c r="D486" s="66">
        <f>(Table1[[#This Row],[Index]]-B474)/B474</f>
        <v/>
      </c>
    </row>
    <row r="487">
      <c r="A487" s="17" t="n">
        <v>40909</v>
      </c>
      <c r="B487" s="58">
        <f>VLOOKUP(Table1[[#This Row],[Date]],database!A:B,2,)</f>
        <v/>
      </c>
      <c r="C487" s="66">
        <f>B487/B486-1</f>
        <v/>
      </c>
      <c r="D487" s="66">
        <f>(Table1[[#This Row],[Index]]-B475)/B475</f>
        <v/>
      </c>
    </row>
    <row r="488">
      <c r="A488" s="17" t="n">
        <v>40940</v>
      </c>
      <c r="B488" s="58">
        <f>VLOOKUP(Table1[[#This Row],[Date]],database!A:B,2,)</f>
        <v/>
      </c>
      <c r="C488" s="66">
        <f>B488/B487-1</f>
        <v/>
      </c>
      <c r="D488" s="66">
        <f>(Table1[[#This Row],[Index]]-B476)/B476</f>
        <v/>
      </c>
    </row>
    <row r="489">
      <c r="A489" s="17" t="n">
        <v>40969</v>
      </c>
      <c r="B489" s="58">
        <f>VLOOKUP(Table1[[#This Row],[Date]],database!A:B,2,)</f>
        <v/>
      </c>
      <c r="C489" s="66">
        <f>B489/B488-1</f>
        <v/>
      </c>
      <c r="D489" s="66">
        <f>(Table1[[#This Row],[Index]]-B477)/B477</f>
        <v/>
      </c>
    </row>
    <row r="490">
      <c r="A490" s="17" t="n">
        <v>41000</v>
      </c>
      <c r="B490" s="58">
        <f>VLOOKUP(Table1[[#This Row],[Date]],database!A:B,2,)</f>
        <v/>
      </c>
      <c r="C490" s="66">
        <f>B490/B489-1</f>
        <v/>
      </c>
      <c r="D490" s="66">
        <f>(Table1[[#This Row],[Index]]-B478)/B478</f>
        <v/>
      </c>
    </row>
    <row r="491">
      <c r="A491" s="17" t="n">
        <v>41030</v>
      </c>
      <c r="B491" s="58">
        <f>VLOOKUP(Table1[[#This Row],[Date]],database!A:B,2,)</f>
        <v/>
      </c>
      <c r="C491" s="66">
        <f>B491/B490-1</f>
        <v/>
      </c>
      <c r="D491" s="66">
        <f>(Table1[[#This Row],[Index]]-B479)/B479</f>
        <v/>
      </c>
    </row>
    <row r="492">
      <c r="A492" s="17" t="n">
        <v>41061</v>
      </c>
      <c r="B492" s="58">
        <f>VLOOKUP(Table1[[#This Row],[Date]],database!A:B,2,)</f>
        <v/>
      </c>
      <c r="C492" s="66">
        <f>B492/B491-1</f>
        <v/>
      </c>
      <c r="D492" s="66">
        <f>(Table1[[#This Row],[Index]]-B480)/B480</f>
        <v/>
      </c>
    </row>
    <row r="493">
      <c r="A493" s="17" t="n">
        <v>41091</v>
      </c>
      <c r="B493" s="58">
        <f>VLOOKUP(Table1[[#This Row],[Date]],database!A:B,2,)</f>
        <v/>
      </c>
      <c r="C493" s="66">
        <f>B493/B492-1</f>
        <v/>
      </c>
      <c r="D493" s="66">
        <f>(Table1[[#This Row],[Index]]-B481)/B481</f>
        <v/>
      </c>
    </row>
    <row r="494">
      <c r="A494" s="17" t="n">
        <v>41122</v>
      </c>
      <c r="B494" s="58">
        <f>VLOOKUP(Table1[[#This Row],[Date]],database!A:B,2,)</f>
        <v/>
      </c>
      <c r="C494" s="66">
        <f>B494/B493-1</f>
        <v/>
      </c>
      <c r="D494" s="66">
        <f>(Table1[[#This Row],[Index]]-B482)/B482</f>
        <v/>
      </c>
    </row>
    <row r="495">
      <c r="A495" s="17" t="n">
        <v>41153</v>
      </c>
      <c r="B495" s="58">
        <f>VLOOKUP(Table1[[#This Row],[Date]],database!A:B,2,)</f>
        <v/>
      </c>
      <c r="C495" s="66">
        <f>B495/B494-1</f>
        <v/>
      </c>
      <c r="D495" s="66">
        <f>(Table1[[#This Row],[Index]]-B483)/B483</f>
        <v/>
      </c>
    </row>
    <row r="496">
      <c r="A496" s="17" t="n">
        <v>41183</v>
      </c>
      <c r="B496" s="58">
        <f>VLOOKUP(Table1[[#This Row],[Date]],database!A:B,2,)</f>
        <v/>
      </c>
      <c r="C496" s="66">
        <f>B496/B495-1</f>
        <v/>
      </c>
      <c r="D496" s="66">
        <f>(Table1[[#This Row],[Index]]-B484)/B484</f>
        <v/>
      </c>
    </row>
    <row r="497">
      <c r="A497" s="17" t="n">
        <v>41214</v>
      </c>
      <c r="B497" s="58">
        <f>VLOOKUP(Table1[[#This Row],[Date]],database!A:B,2,)</f>
        <v/>
      </c>
      <c r="C497" s="66">
        <f>B497/B496-1</f>
        <v/>
      </c>
      <c r="D497" s="66">
        <f>(Table1[[#This Row],[Index]]-B485)/B485</f>
        <v/>
      </c>
    </row>
    <row r="498">
      <c r="A498" s="17" t="n">
        <v>41244</v>
      </c>
      <c r="B498" s="58">
        <f>VLOOKUP(Table1[[#This Row],[Date]],database!A:B,2,)</f>
        <v/>
      </c>
      <c r="C498" s="66">
        <f>B498/B497-1</f>
        <v/>
      </c>
      <c r="D498" s="66">
        <f>(Table1[[#This Row],[Index]]-B486)/B486</f>
        <v/>
      </c>
    </row>
    <row r="499">
      <c r="A499" s="17" t="n">
        <v>41275</v>
      </c>
      <c r="B499" s="58">
        <f>VLOOKUP(Table1[[#This Row],[Date]],database!A:B,2,)</f>
        <v/>
      </c>
      <c r="C499" s="66">
        <f>B499/B498-1</f>
        <v/>
      </c>
      <c r="D499" s="66">
        <f>(Table1[[#This Row],[Index]]-B487)/B487</f>
        <v/>
      </c>
    </row>
    <row r="500">
      <c r="A500" s="17" t="n">
        <v>41306</v>
      </c>
      <c r="B500" s="58">
        <f>VLOOKUP(Table1[[#This Row],[Date]],database!A:B,2,)</f>
        <v/>
      </c>
      <c r="C500" s="66">
        <f>B500/B499-1</f>
        <v/>
      </c>
      <c r="D500" s="66">
        <f>(Table1[[#This Row],[Index]]-B488)/B488</f>
        <v/>
      </c>
    </row>
    <row r="501">
      <c r="A501" s="17" t="n">
        <v>41334</v>
      </c>
      <c r="B501" s="58">
        <f>VLOOKUP(Table1[[#This Row],[Date]],database!A:B,2,)</f>
        <v/>
      </c>
      <c r="C501" s="66">
        <f>B501/B500-1</f>
        <v/>
      </c>
      <c r="D501" s="66">
        <f>(Table1[[#This Row],[Index]]-B489)/B489</f>
        <v/>
      </c>
    </row>
    <row r="502">
      <c r="A502" s="17" t="n">
        <v>41365</v>
      </c>
      <c r="B502" s="58">
        <f>VLOOKUP(Table1[[#This Row],[Date]],database!A:B,2,)</f>
        <v/>
      </c>
      <c r="C502" s="66">
        <f>B502/B501-1</f>
        <v/>
      </c>
      <c r="D502" s="66">
        <f>(Table1[[#This Row],[Index]]-B490)/B490</f>
        <v/>
      </c>
    </row>
    <row r="503">
      <c r="A503" s="17" t="n">
        <v>41395</v>
      </c>
      <c r="B503" s="58">
        <f>VLOOKUP(Table1[[#This Row],[Date]],database!A:B,2,)</f>
        <v/>
      </c>
      <c r="C503" s="66">
        <f>B503/B502-1</f>
        <v/>
      </c>
      <c r="D503" s="66">
        <f>(Table1[[#This Row],[Index]]-B491)/B491</f>
        <v/>
      </c>
    </row>
    <row r="504">
      <c r="A504" s="17" t="n">
        <v>41426</v>
      </c>
      <c r="B504" s="58">
        <f>VLOOKUP(Table1[[#This Row],[Date]],database!A:B,2,)</f>
        <v/>
      </c>
      <c r="C504" s="66">
        <f>B504/B503-1</f>
        <v/>
      </c>
      <c r="D504" s="66">
        <f>(Table1[[#This Row],[Index]]-B492)/B492</f>
        <v/>
      </c>
    </row>
    <row r="505">
      <c r="A505" s="17" t="n">
        <v>41456</v>
      </c>
      <c r="B505" s="58">
        <f>VLOOKUP(Table1[[#This Row],[Date]],database!A:B,2,)</f>
        <v/>
      </c>
      <c r="C505" s="66">
        <f>B505/B504-1</f>
        <v/>
      </c>
      <c r="D505" s="66">
        <f>(Table1[[#This Row],[Index]]-B493)/B493</f>
        <v/>
      </c>
    </row>
    <row r="506">
      <c r="A506" s="17" t="n">
        <v>41487</v>
      </c>
      <c r="B506" s="58">
        <f>VLOOKUP(Table1[[#This Row],[Date]],database!A:B,2,)</f>
        <v/>
      </c>
      <c r="C506" s="66">
        <f>B506/B505-1</f>
        <v/>
      </c>
      <c r="D506" s="66">
        <f>(Table1[[#This Row],[Index]]-B494)/B494</f>
        <v/>
      </c>
    </row>
    <row r="507">
      <c r="A507" s="17" t="n">
        <v>41518</v>
      </c>
      <c r="B507" s="58">
        <f>VLOOKUP(Table1[[#This Row],[Date]],database!A:B,2,)</f>
        <v/>
      </c>
      <c r="C507" s="66">
        <f>B507/B506-1</f>
        <v/>
      </c>
      <c r="D507" s="66">
        <f>(Table1[[#This Row],[Index]]-B495)/B495</f>
        <v/>
      </c>
    </row>
    <row r="508">
      <c r="A508" s="17" t="n">
        <v>41548</v>
      </c>
      <c r="B508" s="58">
        <f>VLOOKUP(Table1[[#This Row],[Date]],database!A:B,2,)</f>
        <v/>
      </c>
      <c r="C508" s="66">
        <f>B508/B507-1</f>
        <v/>
      </c>
      <c r="D508" s="66">
        <f>(Table1[[#This Row],[Index]]-B496)/B496</f>
        <v/>
      </c>
    </row>
    <row r="509">
      <c r="A509" s="17" t="n">
        <v>41579</v>
      </c>
      <c r="B509" s="58">
        <f>VLOOKUP(Table1[[#This Row],[Date]],database!A:B,2,)</f>
        <v/>
      </c>
      <c r="C509" s="66">
        <f>B509/B508-1</f>
        <v/>
      </c>
      <c r="D509" s="66">
        <f>(Table1[[#This Row],[Index]]-B497)/B497</f>
        <v/>
      </c>
    </row>
    <row r="510">
      <c r="A510" s="17" t="n">
        <v>41609</v>
      </c>
      <c r="B510" s="58">
        <f>VLOOKUP(Table1[[#This Row],[Date]],database!A:B,2,)</f>
        <v/>
      </c>
      <c r="C510" s="66">
        <f>B510/B509-1</f>
        <v/>
      </c>
      <c r="D510" s="66">
        <f>(Table1[[#This Row],[Index]]-B498)/B498</f>
        <v/>
      </c>
    </row>
    <row r="511">
      <c r="A511" s="17" t="n">
        <v>41640</v>
      </c>
      <c r="B511" s="58">
        <f>VLOOKUP(Table1[[#This Row],[Date]],database!A:B,2,)</f>
        <v/>
      </c>
      <c r="C511" s="66">
        <f>B511/B510-1</f>
        <v/>
      </c>
      <c r="D511" s="66">
        <f>(Table1[[#This Row],[Index]]-B499)/B499</f>
        <v/>
      </c>
    </row>
    <row r="512">
      <c r="A512" s="17" t="n">
        <v>41671</v>
      </c>
      <c r="B512" s="58">
        <f>VLOOKUP(Table1[[#This Row],[Date]],database!A:B,2,)</f>
        <v/>
      </c>
      <c r="C512" s="66">
        <f>B512/B511-1</f>
        <v/>
      </c>
      <c r="D512" s="66">
        <f>(Table1[[#This Row],[Index]]-B500)/B500</f>
        <v/>
      </c>
    </row>
    <row r="513">
      <c r="A513" s="17" t="n">
        <v>41699</v>
      </c>
      <c r="B513" s="58">
        <f>VLOOKUP(Table1[[#This Row],[Date]],database!A:B,2,)</f>
        <v/>
      </c>
      <c r="C513" s="66">
        <f>B513/B512-1</f>
        <v/>
      </c>
      <c r="D513" s="66">
        <f>(Table1[[#This Row],[Index]]-B501)/B501</f>
        <v/>
      </c>
    </row>
    <row r="514">
      <c r="A514" s="17" t="n">
        <v>41730</v>
      </c>
      <c r="B514" s="58">
        <f>VLOOKUP(Table1[[#This Row],[Date]],database!A:B,2,)</f>
        <v/>
      </c>
      <c r="C514" s="66">
        <f>B514/B513-1</f>
        <v/>
      </c>
      <c r="D514" s="66">
        <f>(Table1[[#This Row],[Index]]-B502)/B502</f>
        <v/>
      </c>
    </row>
    <row r="515">
      <c r="A515" s="17" t="n">
        <v>41760</v>
      </c>
      <c r="B515" s="58">
        <f>VLOOKUP(Table1[[#This Row],[Date]],database!A:B,2,)</f>
        <v/>
      </c>
      <c r="C515" s="66">
        <f>B515/B514-1</f>
        <v/>
      </c>
      <c r="D515" s="66">
        <f>(Table1[[#This Row],[Index]]-B503)/B503</f>
        <v/>
      </c>
    </row>
    <row r="516">
      <c r="A516" s="17" t="n">
        <v>41791</v>
      </c>
      <c r="B516" s="58">
        <f>VLOOKUP(Table1[[#This Row],[Date]],database!A:B,2,)</f>
        <v/>
      </c>
      <c r="C516" s="66">
        <f>B516/B515-1</f>
        <v/>
      </c>
      <c r="D516" s="66">
        <f>(Table1[[#This Row],[Index]]-B504)/B504</f>
        <v/>
      </c>
    </row>
    <row r="517">
      <c r="A517" s="17" t="n">
        <v>41821</v>
      </c>
      <c r="B517" s="58">
        <f>VLOOKUP(Table1[[#This Row],[Date]],database!A:B,2,)</f>
        <v/>
      </c>
      <c r="C517" s="66">
        <f>B517/B516-1</f>
        <v/>
      </c>
      <c r="D517" s="66">
        <f>(Table1[[#This Row],[Index]]-B505)/B505</f>
        <v/>
      </c>
    </row>
    <row r="518">
      <c r="A518" s="17" t="n">
        <v>41852</v>
      </c>
      <c r="B518" s="58">
        <f>VLOOKUP(Table1[[#This Row],[Date]],database!A:B,2,)</f>
        <v/>
      </c>
      <c r="C518" s="66">
        <f>B518/B517-1</f>
        <v/>
      </c>
      <c r="D518" s="66">
        <f>(Table1[[#This Row],[Index]]-B506)/B506</f>
        <v/>
      </c>
    </row>
    <row r="519">
      <c r="A519" s="17" t="n">
        <v>41883</v>
      </c>
      <c r="B519" s="58">
        <f>VLOOKUP(Table1[[#This Row],[Date]],database!A:B,2,)</f>
        <v/>
      </c>
      <c r="C519" s="66">
        <f>B519/B518-1</f>
        <v/>
      </c>
      <c r="D519" s="66">
        <f>(Table1[[#This Row],[Index]]-B507)/B507</f>
        <v/>
      </c>
    </row>
    <row r="520">
      <c r="A520" s="17" t="n">
        <v>41913</v>
      </c>
      <c r="B520" s="58">
        <f>VLOOKUP(Table1[[#This Row],[Date]],database!A:B,2,)</f>
        <v/>
      </c>
      <c r="C520" s="66">
        <f>B520/B519-1</f>
        <v/>
      </c>
      <c r="D520" s="66">
        <f>(Table1[[#This Row],[Index]]-B508)/B508</f>
        <v/>
      </c>
    </row>
    <row r="521">
      <c r="A521" s="17" t="n">
        <v>41944</v>
      </c>
      <c r="B521" s="58">
        <f>VLOOKUP(Table1[[#This Row],[Date]],database!A:B,2,)</f>
        <v/>
      </c>
      <c r="C521" s="67">
        <f>B521/B520-1</f>
        <v/>
      </c>
      <c r="D521" s="66">
        <f>(Table1[[#This Row],[Index]]-B509)/B509</f>
        <v/>
      </c>
    </row>
    <row r="522">
      <c r="A522" s="17" t="n">
        <v>41974</v>
      </c>
      <c r="B522" s="58">
        <f>VLOOKUP(Table1[[#This Row],[Date]],database!A:B,2,)</f>
        <v/>
      </c>
      <c r="C522" s="66">
        <f>B522/B521-1</f>
        <v/>
      </c>
      <c r="D522" s="66">
        <f>(Table1[[#This Row],[Index]]-B510)/B510</f>
        <v/>
      </c>
    </row>
    <row r="523">
      <c r="A523" s="17" t="n">
        <v>42005</v>
      </c>
      <c r="B523" s="58">
        <f>VLOOKUP(Table1[[#This Row],[Date]],database!A:B,2,)</f>
        <v/>
      </c>
      <c r="C523" s="67">
        <f>B523/B522-1</f>
        <v/>
      </c>
      <c r="D523" s="66">
        <f>(Table1[[#This Row],[Index]]-B511)/B511</f>
        <v/>
      </c>
    </row>
    <row r="524">
      <c r="A524" s="17" t="n">
        <v>42036</v>
      </c>
      <c r="B524" s="58">
        <f>VLOOKUP(Table1[[#This Row],[Date]],database!A:B,2,)</f>
        <v/>
      </c>
      <c r="C524" s="66">
        <f>B524/B523-1</f>
        <v/>
      </c>
      <c r="D524" s="66">
        <f>(Table1[[#This Row],[Index]]-B512)/B512</f>
        <v/>
      </c>
    </row>
    <row r="525">
      <c r="A525" s="17" t="n">
        <v>42064</v>
      </c>
      <c r="B525" s="58">
        <f>VLOOKUP(Table1[[#This Row],[Date]],database!A:B,2,)</f>
        <v/>
      </c>
      <c r="C525" s="67">
        <f>B525/B524-1</f>
        <v/>
      </c>
      <c r="D525" s="66">
        <f>(Table1[[#This Row],[Index]]-B513)/B513</f>
        <v/>
      </c>
    </row>
    <row r="526">
      <c r="A526" s="17" t="n">
        <v>42095</v>
      </c>
      <c r="B526" s="58">
        <f>VLOOKUP(Table1[[#This Row],[Date]],database!A:B,2,)</f>
        <v/>
      </c>
      <c r="C526" s="66">
        <f>B526/B525-1</f>
        <v/>
      </c>
      <c r="D526" s="66">
        <f>(Table1[[#This Row],[Index]]-B514)/B514</f>
        <v/>
      </c>
    </row>
    <row r="527">
      <c r="A527" s="17" t="n">
        <v>42125</v>
      </c>
      <c r="B527" s="58">
        <f>VLOOKUP(Table1[[#This Row],[Date]],database!A:B,2,)</f>
        <v/>
      </c>
      <c r="C527" s="66">
        <f>B527/B526-1</f>
        <v/>
      </c>
      <c r="D527" s="66">
        <f>(Table1[[#This Row],[Index]]-B515)/B515</f>
        <v/>
      </c>
    </row>
    <row r="528">
      <c r="A528" s="17" t="n">
        <v>42156</v>
      </c>
      <c r="B528" s="58">
        <f>VLOOKUP(Table1[[#This Row],[Date]],database!A:B,2,)</f>
        <v/>
      </c>
      <c r="C528" s="66">
        <f>B528/B527-1</f>
        <v/>
      </c>
      <c r="D528" s="66">
        <f>(Table1[[#This Row],[Index]]-B516)/B516</f>
        <v/>
      </c>
    </row>
    <row r="529">
      <c r="A529" s="17" t="n">
        <v>42186</v>
      </c>
      <c r="B529" s="58">
        <f>VLOOKUP(Table1[[#This Row],[Date]],database!A:B,2,)</f>
        <v/>
      </c>
      <c r="C529" s="66">
        <f>B529/B528-1</f>
        <v/>
      </c>
      <c r="D529" s="66">
        <f>(Table1[[#This Row],[Index]]-B517)/B517</f>
        <v/>
      </c>
    </row>
    <row r="530">
      <c r="A530" s="17" t="n">
        <v>42217</v>
      </c>
      <c r="B530" s="58">
        <f>VLOOKUP(Table1[[#This Row],[Date]],database!A:B,2,)</f>
        <v/>
      </c>
      <c r="C530" s="66">
        <f>B530/B529-1</f>
        <v/>
      </c>
      <c r="D530" s="66">
        <f>(Table1[[#This Row],[Index]]-B518)/B518</f>
        <v/>
      </c>
    </row>
    <row r="531">
      <c r="A531" s="17" t="n">
        <v>42248</v>
      </c>
      <c r="B531" s="58">
        <f>VLOOKUP(Table1[[#This Row],[Date]],database!A:B,2,)</f>
        <v/>
      </c>
      <c r="C531" s="66">
        <f>B531/B530-1</f>
        <v/>
      </c>
      <c r="D531" s="66">
        <f>(Table1[[#This Row],[Index]]-B519)/B519</f>
        <v/>
      </c>
    </row>
    <row r="532">
      <c r="A532" s="17" t="n">
        <v>42278</v>
      </c>
      <c r="B532" s="58">
        <f>VLOOKUP(Table1[[#This Row],[Date]],database!A:B,2,)</f>
        <v/>
      </c>
      <c r="C532" s="66">
        <f>B532/B531-1</f>
        <v/>
      </c>
      <c r="D532" s="66">
        <f>(Table1[[#This Row],[Index]]-B520)/B520</f>
        <v/>
      </c>
    </row>
    <row r="533">
      <c r="A533" s="17" t="n">
        <v>42309</v>
      </c>
      <c r="B533" s="58">
        <f>VLOOKUP(Table1[[#This Row],[Date]],database!A:B,2,)</f>
        <v/>
      </c>
      <c r="C533" s="66">
        <f>B533/B532-1</f>
        <v/>
      </c>
      <c r="D533" s="66">
        <f>(Table1[[#This Row],[Index]]-B521)/B521</f>
        <v/>
      </c>
    </row>
    <row r="534">
      <c r="A534" s="17" t="n">
        <v>42339</v>
      </c>
      <c r="B534" s="58">
        <f>VLOOKUP(Table1[[#This Row],[Date]],database!A:B,2,)</f>
        <v/>
      </c>
      <c r="C534" s="66">
        <f>B534/B533-1</f>
        <v/>
      </c>
      <c r="D534" s="66">
        <f>(Table1[[#This Row],[Index]]-B522)/B522</f>
        <v/>
      </c>
    </row>
    <row r="535">
      <c r="A535" s="17" t="n">
        <v>42370</v>
      </c>
      <c r="B535" s="58">
        <f>VLOOKUP(Table1[[#This Row],[Date]],database!A:B,2,)</f>
        <v/>
      </c>
      <c r="C535" s="66">
        <f>B535/B534-1</f>
        <v/>
      </c>
      <c r="D535" s="66">
        <f>(Table1[[#This Row],[Index]]-B523)/B523</f>
        <v/>
      </c>
    </row>
    <row r="536">
      <c r="A536" s="17" t="n">
        <v>42401</v>
      </c>
      <c r="B536" s="58">
        <f>VLOOKUP(Table1[[#This Row],[Date]],database!A:B,2,)</f>
        <v/>
      </c>
      <c r="C536" s="66">
        <f>B536/B535-1</f>
        <v/>
      </c>
      <c r="D536" s="66">
        <f>(Table1[[#This Row],[Index]]-B524)/B524</f>
        <v/>
      </c>
    </row>
    <row r="537">
      <c r="A537" s="17" t="n">
        <v>42430</v>
      </c>
      <c r="B537" s="58">
        <f>VLOOKUP(Table1[[#This Row],[Date]],database!A:B,2,)</f>
        <v/>
      </c>
      <c r="C537" s="66">
        <f>B537/B536-1</f>
        <v/>
      </c>
      <c r="D537" s="66">
        <f>(Table1[[#This Row],[Index]]-B525)/B525</f>
        <v/>
      </c>
    </row>
    <row r="538">
      <c r="A538" s="17" t="n">
        <v>42461</v>
      </c>
      <c r="B538" s="58">
        <f>VLOOKUP(Table1[[#This Row],[Date]],database!A:B,2,)</f>
        <v/>
      </c>
      <c r="C538" s="66">
        <f>B538/B537-1</f>
        <v/>
      </c>
      <c r="D538" s="66">
        <f>(Table1[[#This Row],[Index]]-B526)/B526</f>
        <v/>
      </c>
    </row>
    <row r="539">
      <c r="A539" s="17" t="n">
        <v>42491</v>
      </c>
      <c r="B539" s="58">
        <f>VLOOKUP(Table1[[#This Row],[Date]],database!A:B,2,)</f>
        <v/>
      </c>
      <c r="C539" s="66">
        <f>B539/B538-1</f>
        <v/>
      </c>
      <c r="D539" s="66">
        <f>(Table1[[#This Row],[Index]]-B527)/B527</f>
        <v/>
      </c>
    </row>
    <row r="540">
      <c r="A540" s="17" t="n">
        <v>42522</v>
      </c>
      <c r="B540" s="58">
        <f>VLOOKUP(Table1[[#This Row],[Date]],database!A:B,2,)</f>
        <v/>
      </c>
      <c r="C540" s="66">
        <f>B540/B539-1</f>
        <v/>
      </c>
      <c r="D540" s="66">
        <f>(Table1[[#This Row],[Index]]-B528)/B528</f>
        <v/>
      </c>
    </row>
    <row r="541">
      <c r="A541" s="17" t="n">
        <v>42552</v>
      </c>
      <c r="B541" s="58">
        <f>VLOOKUP(Table1[[#This Row],[Date]],database!A:B,2,)</f>
        <v/>
      </c>
      <c r="C541" s="66">
        <f>B541/B540-1</f>
        <v/>
      </c>
      <c r="D541" s="66">
        <f>(Table1[[#This Row],[Index]]-B529)/B529</f>
        <v/>
      </c>
    </row>
    <row r="542">
      <c r="A542" s="17" t="n">
        <v>42583</v>
      </c>
      <c r="B542" s="58">
        <f>VLOOKUP(Table1[[#This Row],[Date]],database!A:B,2,)</f>
        <v/>
      </c>
      <c r="C542" s="66">
        <f>B542/B541-1</f>
        <v/>
      </c>
      <c r="D542" s="66">
        <f>(Table1[[#This Row],[Index]]-B530)/B530</f>
        <v/>
      </c>
    </row>
    <row r="543">
      <c r="A543" s="17" t="n">
        <v>42614</v>
      </c>
      <c r="B543" s="58">
        <f>VLOOKUP(Table1[[#This Row],[Date]],database!A:B,2,)</f>
        <v/>
      </c>
      <c r="C543" s="66">
        <f>B543/B542-1</f>
        <v/>
      </c>
      <c r="D543" s="66">
        <f>(Table1[[#This Row],[Index]]-B531)/B531</f>
        <v/>
      </c>
    </row>
    <row r="544">
      <c r="A544" s="17" t="n">
        <v>42644</v>
      </c>
      <c r="B544" s="58">
        <f>VLOOKUP(Table1[[#This Row],[Date]],database!A:B,2,)</f>
        <v/>
      </c>
      <c r="C544" s="66">
        <f>B544/B543-1</f>
        <v/>
      </c>
      <c r="D544" s="66">
        <f>(Table1[[#This Row],[Index]]-B532)/B532</f>
        <v/>
      </c>
    </row>
    <row r="545">
      <c r="A545" s="17" t="n">
        <v>42675</v>
      </c>
      <c r="B545" s="58">
        <f>VLOOKUP(Table1[[#This Row],[Date]],database!A:B,2,)</f>
        <v/>
      </c>
      <c r="C545" s="66">
        <f>B545/B544-1</f>
        <v/>
      </c>
      <c r="D545" s="66">
        <f>(Table1[[#This Row],[Index]]-B533)/B533</f>
        <v/>
      </c>
    </row>
    <row r="546">
      <c r="A546" s="17" t="n">
        <v>42705</v>
      </c>
      <c r="B546" s="58">
        <f>VLOOKUP(Table1[[#This Row],[Date]],database!A:B,2,)</f>
        <v/>
      </c>
      <c r="C546" s="66">
        <f>B546/B545-1</f>
        <v/>
      </c>
      <c r="D546" s="66">
        <f>(Table1[[#This Row],[Index]]-B534)/B534</f>
        <v/>
      </c>
    </row>
    <row r="547">
      <c r="A547" s="17" t="n">
        <v>42736</v>
      </c>
      <c r="B547" s="58">
        <f>VLOOKUP(Table1[[#This Row],[Date]],database!A:B,2,)</f>
        <v/>
      </c>
      <c r="C547" s="66">
        <f>B547/B546-1</f>
        <v/>
      </c>
      <c r="D547" s="66">
        <f>(Table1[[#This Row],[Index]]-B535)/B535</f>
        <v/>
      </c>
    </row>
    <row r="548">
      <c r="A548" s="17" t="n">
        <v>42767</v>
      </c>
      <c r="B548" s="58">
        <f>VLOOKUP(Table1[[#This Row],[Date]],database!A:B,2,)</f>
        <v/>
      </c>
      <c r="C548" s="66">
        <f>B548/B547-1</f>
        <v/>
      </c>
      <c r="D548" s="66">
        <f>(Table1[[#This Row],[Index]]-B536)/B536</f>
        <v/>
      </c>
    </row>
    <row r="549">
      <c r="A549" s="17" t="n">
        <v>42795</v>
      </c>
      <c r="B549" s="58">
        <f>VLOOKUP(Table1[[#This Row],[Date]],database!A:B,2,)</f>
        <v/>
      </c>
      <c r="C549" s="66">
        <f>B549/B548-1</f>
        <v/>
      </c>
      <c r="D549" s="66">
        <f>(Table1[[#This Row],[Index]]-B537)/B537</f>
        <v/>
      </c>
    </row>
    <row r="550">
      <c r="A550" s="17" t="n">
        <v>42826</v>
      </c>
      <c r="B550" s="58">
        <f>VLOOKUP(Table1[[#This Row],[Date]],database!A:B,2,)</f>
        <v/>
      </c>
      <c r="C550" s="66">
        <f>B550/B549-1</f>
        <v/>
      </c>
      <c r="D550" s="66">
        <f>(Table1[[#This Row],[Index]]-B538)/B538</f>
        <v/>
      </c>
    </row>
    <row r="551">
      <c r="A551" s="17" t="n">
        <v>42856</v>
      </c>
      <c r="B551" s="58">
        <f>VLOOKUP(Table1[[#This Row],[Date]],database!A:B,2,)</f>
        <v/>
      </c>
      <c r="C551" s="66">
        <f>B551/B550-1</f>
        <v/>
      </c>
      <c r="D551" s="66">
        <f>(Table1[[#This Row],[Index]]-B539)/B539</f>
        <v/>
      </c>
    </row>
    <row r="552">
      <c r="A552" s="17" t="n">
        <v>42887</v>
      </c>
      <c r="B552" s="58">
        <f>VLOOKUP(Table1[[#This Row],[Date]],database!A:B,2,)</f>
        <v/>
      </c>
      <c r="C552" s="66">
        <f>B552/B551-1</f>
        <v/>
      </c>
      <c r="D552" s="66">
        <f>(Table1[[#This Row],[Index]]-B540)/B540</f>
        <v/>
      </c>
    </row>
    <row r="553">
      <c r="A553" s="17" t="n">
        <v>42917</v>
      </c>
      <c r="B553" s="58">
        <f>VLOOKUP(Table1[[#This Row],[Date]],database!A:B,2,)</f>
        <v/>
      </c>
      <c r="C553" s="66">
        <f>B553/B552-1</f>
        <v/>
      </c>
      <c r="D553" s="66">
        <f>(Table1[[#This Row],[Index]]-B541)/B541</f>
        <v/>
      </c>
    </row>
    <row r="554">
      <c r="A554" s="17" t="n">
        <v>42948</v>
      </c>
      <c r="B554" s="58">
        <f>VLOOKUP(Table1[[#This Row],[Date]],database!A:B,2,)</f>
        <v/>
      </c>
      <c r="C554" s="66">
        <f>B554/B553-1</f>
        <v/>
      </c>
      <c r="D554" s="66">
        <f>(Table1[[#This Row],[Index]]-B542)/B542</f>
        <v/>
      </c>
    </row>
    <row r="555">
      <c r="A555" s="17" t="n">
        <v>42979</v>
      </c>
      <c r="B555" s="58">
        <f>VLOOKUP(Table1[[#This Row],[Date]],database!A:B,2,)</f>
        <v/>
      </c>
      <c r="C555" s="66">
        <f>B555/B554-1</f>
        <v/>
      </c>
      <c r="D555" s="66">
        <f>(Table1[[#This Row],[Index]]-B543)/B543</f>
        <v/>
      </c>
    </row>
    <row r="556">
      <c r="A556" s="17" t="n">
        <v>43009</v>
      </c>
      <c r="B556" s="58">
        <f>VLOOKUP(Table1[[#This Row],[Date]],database!A:B,2,)</f>
        <v/>
      </c>
      <c r="C556" s="66">
        <f>B556/B555-1</f>
        <v/>
      </c>
      <c r="D556" s="66">
        <f>(Table1[[#This Row],[Index]]-B544)/B544</f>
        <v/>
      </c>
    </row>
    <row r="557">
      <c r="A557" s="17" t="n">
        <v>43040</v>
      </c>
      <c r="B557" s="58">
        <f>VLOOKUP(Table1[[#This Row],[Date]],database!A:B,2,)</f>
        <v/>
      </c>
      <c r="C557" s="66">
        <f>B557/B556-1</f>
        <v/>
      </c>
      <c r="D557" s="66">
        <f>(Table1[[#This Row],[Index]]-B545)/B545</f>
        <v/>
      </c>
    </row>
    <row r="558">
      <c r="A558" s="17" t="n">
        <v>43070</v>
      </c>
      <c r="B558" s="58">
        <f>VLOOKUP(Table1[[#This Row],[Date]],database!A:B,2,)</f>
        <v/>
      </c>
      <c r="C558" s="66">
        <f>B558/B557-1</f>
        <v/>
      </c>
      <c r="D558" s="66">
        <f>(Table1[[#This Row],[Index]]-B546)/B546</f>
        <v/>
      </c>
    </row>
    <row r="559">
      <c r="A559" s="17" t="n">
        <v>43101</v>
      </c>
      <c r="B559" s="58">
        <f>VLOOKUP(Table1[[#This Row],[Date]],database!A:B,2,)</f>
        <v/>
      </c>
      <c r="C559" s="66">
        <f>B559/B558-1</f>
        <v/>
      </c>
      <c r="D559" s="66">
        <f>(Table1[[#This Row],[Index]]-B547)/B547</f>
        <v/>
      </c>
    </row>
    <row r="560">
      <c r="A560" s="17" t="n">
        <v>43132</v>
      </c>
      <c r="B560" s="58">
        <f>VLOOKUP(Table1[[#This Row],[Date]],database!A:B,2,)</f>
        <v/>
      </c>
      <c r="C560" s="66">
        <f>B560/B559-1</f>
        <v/>
      </c>
      <c r="D560" s="66">
        <f>(Table1[[#This Row],[Index]]-B548)/B548</f>
        <v/>
      </c>
    </row>
    <row r="561">
      <c r="A561" s="17" t="n">
        <v>43160</v>
      </c>
      <c r="B561" s="58">
        <f>VLOOKUP(Table1[[#This Row],[Date]],database!A:B,2,)</f>
        <v/>
      </c>
      <c r="C561" s="66">
        <f>B561/B560-1</f>
        <v/>
      </c>
      <c r="D561" s="66">
        <f>(Table1[[#This Row],[Index]]-B549)/B549</f>
        <v/>
      </c>
    </row>
    <row r="562">
      <c r="A562" s="17" t="n">
        <v>43191</v>
      </c>
      <c r="B562" s="58">
        <f>VLOOKUP(Table1[[#This Row],[Date]],database!A:B,2,)</f>
        <v/>
      </c>
      <c r="C562" s="66">
        <f>B562/B561-1</f>
        <v/>
      </c>
      <c r="D562" s="66">
        <f>(Table1[[#This Row],[Index]]-B550)/B550</f>
        <v/>
      </c>
    </row>
    <row r="563">
      <c r="A563" s="17" t="n">
        <v>43221</v>
      </c>
      <c r="B563" s="58">
        <f>VLOOKUP(Table1[[#This Row],[Date]],database!A:B,2,)</f>
        <v/>
      </c>
      <c r="C563" s="66">
        <f>B563/B562-1</f>
        <v/>
      </c>
      <c r="D563" s="66">
        <f>(Table1[[#This Row],[Index]]-B551)/B551</f>
        <v/>
      </c>
    </row>
    <row r="564">
      <c r="A564" s="17" t="n">
        <v>43252</v>
      </c>
      <c r="B564" s="58">
        <f>VLOOKUP(Table1[[#This Row],[Date]],database!A:B,2,)</f>
        <v/>
      </c>
      <c r="C564" s="66">
        <f>B564/B563-1</f>
        <v/>
      </c>
      <c r="D564" s="66">
        <f>(Table1[[#This Row],[Index]]-B552)/B552</f>
        <v/>
      </c>
    </row>
    <row r="565">
      <c r="A565" s="17" t="n">
        <v>43282</v>
      </c>
      <c r="B565" s="58">
        <f>VLOOKUP(Table1[[#This Row],[Date]],database!A:B,2,)</f>
        <v/>
      </c>
      <c r="C565" s="66">
        <f>B565/B564-1</f>
        <v/>
      </c>
      <c r="D565" s="66">
        <f>(Table1[[#This Row],[Index]]-B553)/B553</f>
        <v/>
      </c>
    </row>
    <row r="566">
      <c r="A566" s="17" t="n">
        <v>43313</v>
      </c>
      <c r="B566" s="58">
        <f>VLOOKUP(Table1[[#This Row],[Date]],database!A:B,2,)</f>
        <v/>
      </c>
      <c r="C566" s="66">
        <f>B566/B565-1</f>
        <v/>
      </c>
      <c r="D566" s="66">
        <f>(Table1[[#This Row],[Index]]-B554)/B554</f>
        <v/>
      </c>
    </row>
    <row r="567">
      <c r="A567" s="17" t="n">
        <v>43344</v>
      </c>
      <c r="B567" s="58">
        <f>VLOOKUP(Table1[[#This Row],[Date]],database!A:B,2,)</f>
        <v/>
      </c>
      <c r="C567" s="66">
        <f>B567/B566-1</f>
        <v/>
      </c>
      <c r="D567" s="66">
        <f>(Table1[[#This Row],[Index]]-B555)/B555</f>
        <v/>
      </c>
    </row>
    <row r="568">
      <c r="A568" s="17" t="n">
        <v>43374</v>
      </c>
      <c r="B568" s="58">
        <f>VLOOKUP(Table1[[#This Row],[Date]],database!A:B,2,)</f>
        <v/>
      </c>
      <c r="C568" s="66">
        <f>B568/B567-1</f>
        <v/>
      </c>
      <c r="D568" s="66">
        <f>(Table1[[#This Row],[Index]]-B556)/B556</f>
        <v/>
      </c>
    </row>
    <row r="569">
      <c r="A569" s="17" t="n">
        <v>43405</v>
      </c>
      <c r="B569" s="58">
        <f>VLOOKUP(Table1[[#This Row],[Date]],database!A:B,2,)</f>
        <v/>
      </c>
      <c r="C569" s="66">
        <f>B569/B568-1</f>
        <v/>
      </c>
      <c r="D569" s="66">
        <f>(Table1[[#This Row],[Index]]-B557)/B557</f>
        <v/>
      </c>
    </row>
    <row r="570">
      <c r="A570" s="17" t="n">
        <v>43435</v>
      </c>
      <c r="B570" s="58">
        <f>VLOOKUP(Table1[[#This Row],[Date]],database!A:B,2,)</f>
        <v/>
      </c>
      <c r="C570" s="66">
        <f>B570/B569-1</f>
        <v/>
      </c>
      <c r="D570" s="66">
        <f>(Table1[[#This Row],[Index]]-B558)/B558</f>
        <v/>
      </c>
    </row>
    <row r="571">
      <c r="A571" s="17" t="n">
        <v>43466</v>
      </c>
      <c r="B571" s="58">
        <f>VLOOKUP(Table1[[#This Row],[Date]],database!A:B,2,)</f>
        <v/>
      </c>
      <c r="C571" s="66">
        <f>B571/B570-1</f>
        <v/>
      </c>
      <c r="D571" s="66">
        <f>(Table1[[#This Row],[Index]]-B559)/B559</f>
        <v/>
      </c>
    </row>
    <row r="572">
      <c r="A572" s="17" t="n">
        <v>43497</v>
      </c>
      <c r="B572" s="58">
        <f>VLOOKUP(Table1[[#This Row],[Date]],database!A:B,2,)</f>
        <v/>
      </c>
      <c r="C572" s="66">
        <f>B572/B571-1</f>
        <v/>
      </c>
      <c r="D572" s="66">
        <f>(Table1[[#This Row],[Index]]-B560)/B560</f>
        <v/>
      </c>
    </row>
    <row r="573">
      <c r="A573" s="17" t="n">
        <v>43525</v>
      </c>
      <c r="B573" s="58">
        <f>VLOOKUP(Table1[[#This Row],[Date]],database!A:B,2,)</f>
        <v/>
      </c>
      <c r="C573" s="66">
        <f>B573/B572-1</f>
        <v/>
      </c>
      <c r="D573" s="66">
        <f>(Table1[[#This Row],[Index]]-B561)/B561</f>
        <v/>
      </c>
    </row>
    <row r="574">
      <c r="A574" s="17" t="n">
        <v>43556</v>
      </c>
      <c r="B574" s="58">
        <f>VLOOKUP(Table1[[#This Row],[Date]],database!A:B,2,)</f>
        <v/>
      </c>
      <c r="C574" s="66">
        <f>B574/B573-1</f>
        <v/>
      </c>
      <c r="D574" s="66">
        <f>(Table1[[#This Row],[Index]]-B562)/B562</f>
        <v/>
      </c>
    </row>
    <row r="575">
      <c r="A575" s="17" t="n">
        <v>43586</v>
      </c>
      <c r="B575" s="58">
        <f>VLOOKUP(Table1[[#This Row],[Date]],database!A:B,2,)</f>
        <v/>
      </c>
      <c r="C575" s="66">
        <f>B575/B574-1</f>
        <v/>
      </c>
      <c r="D575" s="66">
        <f>(Table1[[#This Row],[Index]]-B563)/B563</f>
        <v/>
      </c>
    </row>
    <row r="576">
      <c r="A576" s="17" t="n">
        <v>43617</v>
      </c>
      <c r="B576" s="58">
        <f>VLOOKUP(Table1[[#This Row],[Date]],database!A:B,2,)</f>
        <v/>
      </c>
      <c r="C576" s="66">
        <f>B576/B575-1</f>
        <v/>
      </c>
      <c r="D576" s="66">
        <f>(Table1[[#This Row],[Index]]-B564)/B564</f>
        <v/>
      </c>
    </row>
    <row r="577">
      <c r="A577" s="17" t="n">
        <v>43647</v>
      </c>
      <c r="B577" s="58">
        <f>VLOOKUP(Table1[[#This Row],[Date]],database!A:B,2,)</f>
        <v/>
      </c>
      <c r="C577" s="66">
        <f>B577/B576-1</f>
        <v/>
      </c>
      <c r="D577" s="66">
        <f>(Table1[[#This Row],[Index]]-B565)/B565</f>
        <v/>
      </c>
    </row>
    <row r="578">
      <c r="A578" s="17" t="n">
        <v>43678</v>
      </c>
      <c r="B578" s="58">
        <f>VLOOKUP(Table1[[#This Row],[Date]],database!A:B,2,)</f>
        <v/>
      </c>
      <c r="C578" s="66">
        <f>B578/B577-1</f>
        <v/>
      </c>
      <c r="D578" s="66">
        <f>(Table1[[#This Row],[Index]]-B566)/B566</f>
        <v/>
      </c>
    </row>
    <row r="579">
      <c r="A579" s="17" t="n">
        <v>43709</v>
      </c>
      <c r="B579" s="58">
        <f>VLOOKUP(Table1[[#This Row],[Date]],database!A:B,2,)</f>
        <v/>
      </c>
      <c r="C579" s="66">
        <f>B579/B578-1</f>
        <v/>
      </c>
      <c r="D579" s="66">
        <f>(Table1[[#This Row],[Index]]-B567)/B567</f>
        <v/>
      </c>
    </row>
    <row r="580">
      <c r="A580" s="17" t="n">
        <v>43739</v>
      </c>
      <c r="B580" s="58">
        <f>VLOOKUP(Table1[[#This Row],[Date]],database!A:B,2,)</f>
        <v/>
      </c>
      <c r="C580" s="66">
        <f>B580/B579-1</f>
        <v/>
      </c>
      <c r="D580" s="66">
        <f>(Table1[[#This Row],[Index]]-B568)/B568</f>
        <v/>
      </c>
    </row>
    <row r="581">
      <c r="A581" s="17" t="n">
        <v>43770</v>
      </c>
      <c r="B581" s="58">
        <f>VLOOKUP(Table1[[#This Row],[Date]],database!A:B,2,)</f>
        <v/>
      </c>
      <c r="C581" s="66">
        <f>B581/B580-1</f>
        <v/>
      </c>
      <c r="D581" s="66">
        <f>(Table1[[#This Row],[Index]]-B569)/B569</f>
        <v/>
      </c>
    </row>
    <row r="582">
      <c r="A582" s="17" t="n">
        <v>43800</v>
      </c>
      <c r="B582" s="58">
        <f>VLOOKUP(Table1[[#This Row],[Date]],database!A:B,2,)</f>
        <v/>
      </c>
      <c r="C582" s="66">
        <f>B582/B581-1</f>
        <v/>
      </c>
      <c r="D582" s="66">
        <f>(Table1[[#This Row],[Index]]-B570)/B570</f>
        <v/>
      </c>
    </row>
    <row r="583">
      <c r="A583" s="17" t="n">
        <v>43831</v>
      </c>
      <c r="B583" s="58">
        <f>VLOOKUP(Table1[[#This Row],[Date]],database!A:B,2,)</f>
        <v/>
      </c>
      <c r="C583" s="66">
        <f>B583/B582-1</f>
        <v/>
      </c>
      <c r="D583" s="66">
        <f>(Table1[[#This Row],[Index]]-B571)/B571</f>
        <v/>
      </c>
    </row>
    <row r="584">
      <c r="A584" s="17" t="n">
        <v>43862</v>
      </c>
      <c r="B584" s="58">
        <f>VLOOKUP(Table1[[#This Row],[Date]],database!A:B,2,)</f>
        <v/>
      </c>
      <c r="C584" s="66">
        <f>B584/B583-1</f>
        <v/>
      </c>
      <c r="D584" s="66">
        <f>(Table1[[#This Row],[Index]]-B572)/B572</f>
        <v/>
      </c>
    </row>
    <row r="585">
      <c r="A585" s="17" t="n">
        <v>43891</v>
      </c>
      <c r="B585" s="58">
        <f>VLOOKUP(Table1[[#This Row],[Date]],database!A:B,2,)</f>
        <v/>
      </c>
      <c r="C585" s="66">
        <f>B585/B584-1</f>
        <v/>
      </c>
      <c r="D585" s="66">
        <f>(Table1[[#This Row],[Index]]-B573)/B573</f>
        <v/>
      </c>
    </row>
    <row r="586">
      <c r="A586" s="17" t="n">
        <v>43922</v>
      </c>
      <c r="B586" s="58">
        <f>VLOOKUP(Table1[[#This Row],[Date]],database!A:B,2,)</f>
        <v/>
      </c>
      <c r="C586" s="66">
        <f>B586/B585-1</f>
        <v/>
      </c>
      <c r="D586" s="66">
        <f>(Table1[[#This Row],[Index]]-B574)/B574</f>
        <v/>
      </c>
    </row>
    <row r="587">
      <c r="A587" s="17" t="n">
        <v>43952</v>
      </c>
      <c r="B587" s="58">
        <f>VLOOKUP(Table1[[#This Row],[Date]],database!A:B,2,)</f>
        <v/>
      </c>
      <c r="C587" s="66">
        <f>B587/B586-1</f>
        <v/>
      </c>
      <c r="D587" s="66">
        <f>(Table1[[#This Row],[Index]]-B575)/B575</f>
        <v/>
      </c>
    </row>
    <row r="588">
      <c r="A588" s="17" t="n">
        <v>43983</v>
      </c>
      <c r="B588" s="58">
        <f>VLOOKUP(Table1[[#This Row],[Date]],database!A:B,2,)</f>
        <v/>
      </c>
      <c r="C588" s="66">
        <f>B588/B587-1</f>
        <v/>
      </c>
      <c r="D588" s="66">
        <f>(Table1[[#This Row],[Index]]-B576)/B576</f>
        <v/>
      </c>
    </row>
    <row r="589">
      <c r="A589" s="17" t="n">
        <v>44013</v>
      </c>
      <c r="B589" s="58">
        <f>VLOOKUP(Table1[[#This Row],[Date]],database!A:B,2,)</f>
        <v/>
      </c>
      <c r="C589" s="66">
        <f>B589/B588-1</f>
        <v/>
      </c>
      <c r="D589" s="66">
        <f>(Table1[[#This Row],[Index]]-B577)/B577</f>
        <v/>
      </c>
    </row>
    <row r="590">
      <c r="A590" s="17" t="n">
        <v>44044</v>
      </c>
      <c r="B590" s="58">
        <f>VLOOKUP(Table1[[#This Row],[Date]],database!A:B,2,)</f>
        <v/>
      </c>
      <c r="C590" s="66">
        <f>B590/B589-1</f>
        <v/>
      </c>
      <c r="D590" s="66">
        <f>(Table1[[#This Row],[Index]]-B578)/B578</f>
        <v/>
      </c>
    </row>
    <row r="591">
      <c r="A591" s="17" t="n">
        <v>44075</v>
      </c>
      <c r="B591" s="58">
        <f>VLOOKUP(Table1[[#This Row],[Date]],database!A:B,2,)</f>
        <v/>
      </c>
      <c r="C591" s="66">
        <f>B591/B590-1</f>
        <v/>
      </c>
      <c r="D591" s="66">
        <f>(Table1[[#This Row],[Index]]-B579)/B579</f>
        <v/>
      </c>
    </row>
    <row r="592">
      <c r="A592" s="17" t="n">
        <v>44105</v>
      </c>
      <c r="B592" s="58">
        <f>VLOOKUP(Table1[[#This Row],[Date]],database!A:B,2,)</f>
        <v/>
      </c>
      <c r="C592" s="66">
        <f>B592/B591-1</f>
        <v/>
      </c>
      <c r="D592" s="66">
        <f>(Table1[[#This Row],[Index]]-B580)/B580</f>
        <v/>
      </c>
    </row>
    <row r="593">
      <c r="A593" s="17" t="n">
        <v>44136</v>
      </c>
      <c r="B593" s="58">
        <f>VLOOKUP(Table1[[#This Row],[Date]],database!A:B,2,)</f>
        <v/>
      </c>
      <c r="C593" s="66">
        <f>B593/B592-1</f>
        <v/>
      </c>
      <c r="D593" s="66">
        <f>(Table1[[#This Row],[Index]]-B581)/B581</f>
        <v/>
      </c>
    </row>
    <row r="594">
      <c r="A594" s="17" t="n">
        <v>44166</v>
      </c>
      <c r="B594" s="58">
        <f>VLOOKUP(Table1[[#This Row],[Date]],database!A:B,2,)</f>
        <v/>
      </c>
      <c r="C594" s="66">
        <f>B594/B593-1</f>
        <v/>
      </c>
      <c r="D594" s="66">
        <f>(Table1[[#This Row],[Index]]-B582)/B582</f>
        <v/>
      </c>
    </row>
    <row r="595">
      <c r="A595" s="17" t="n">
        <v>44197</v>
      </c>
      <c r="B595" s="58">
        <f>VLOOKUP(Table1[[#This Row],[Date]],database!A:B,2,)</f>
        <v/>
      </c>
      <c r="C595" s="66">
        <f>B595/B594-1</f>
        <v/>
      </c>
      <c r="D595" s="66">
        <f>(Table1[[#This Row],[Index]]-B583)/B583</f>
        <v/>
      </c>
    </row>
    <row r="596">
      <c r="A596" s="17" t="n">
        <v>44228</v>
      </c>
      <c r="B596" s="58">
        <f>VLOOKUP(Table1[[#This Row],[Date]],database!A:B,2,)</f>
        <v/>
      </c>
      <c r="C596" s="66">
        <f>B596/B595-1</f>
        <v/>
      </c>
      <c r="D596" s="66">
        <f>(Table1[[#This Row],[Index]]-B584)/B584</f>
        <v/>
      </c>
    </row>
    <row r="597">
      <c r="A597" s="17" t="n">
        <v>44256</v>
      </c>
      <c r="B597" s="58">
        <f>VLOOKUP(Table1[[#This Row],[Date]],database!A:B,2,)</f>
        <v/>
      </c>
      <c r="C597" s="66">
        <f>B597/B596-1</f>
        <v/>
      </c>
      <c r="D597" s="66">
        <f>(Table1[[#This Row],[Index]]-B585)/B585</f>
        <v/>
      </c>
    </row>
    <row r="598">
      <c r="A598" s="17" t="n">
        <v>44287</v>
      </c>
      <c r="B598" s="58">
        <f>VLOOKUP(Table1[[#This Row],[Date]],database!A:B,2,)</f>
        <v/>
      </c>
      <c r="C598" s="66">
        <f>B598/B597-1</f>
        <v/>
      </c>
      <c r="D598" s="66">
        <f>(Table1[[#This Row],[Index]]-B586)/B586</f>
        <v/>
      </c>
    </row>
    <row r="599">
      <c r="A599" s="17" t="n">
        <v>44317</v>
      </c>
      <c r="B599" s="58">
        <f>VLOOKUP(Table1[[#This Row],[Date]],database!A:B,2,)</f>
        <v/>
      </c>
      <c r="C599" s="66">
        <f>B599/B598-1</f>
        <v/>
      </c>
      <c r="D599" s="66">
        <f>(Table1[[#This Row],[Index]]-B587)/B587</f>
        <v/>
      </c>
    </row>
    <row r="600">
      <c r="A600" s="17" t="n">
        <v>44348</v>
      </c>
      <c r="B600" s="58">
        <f>VLOOKUP(Table1[[#This Row],[Date]],database!A:B,2,)</f>
        <v/>
      </c>
      <c r="C600" s="66">
        <f>B600/B599-1</f>
        <v/>
      </c>
      <c r="D600" s="66">
        <f>(Table1[[#This Row],[Index]]-B588)/B588</f>
        <v/>
      </c>
    </row>
    <row r="601">
      <c r="A601" s="17" t="n">
        <v>44378</v>
      </c>
      <c r="B601" s="58">
        <f>VLOOKUP(Table1[[#This Row],[Date]],database!A:B,2,)</f>
        <v/>
      </c>
      <c r="C601" s="66">
        <f>B601/B600-1</f>
        <v/>
      </c>
      <c r="D601" s="66">
        <f>(Table1[[#This Row],[Index]]-B589)/B589</f>
        <v/>
      </c>
    </row>
    <row r="602">
      <c r="A602" s="17" t="n">
        <v>44409</v>
      </c>
      <c r="B602" s="58">
        <f>VLOOKUP(Table1[[#This Row],[Date]],database!A:B,2,)</f>
        <v/>
      </c>
      <c r="C602" s="66">
        <f>B602/B601-1</f>
        <v/>
      </c>
      <c r="D602" s="66">
        <f>(Table1[[#This Row],[Index]]-B590)/B590</f>
        <v/>
      </c>
    </row>
    <row r="603">
      <c r="A603" s="17" t="n">
        <v>44440</v>
      </c>
      <c r="B603" s="58">
        <f>VLOOKUP(Table1[[#This Row],[Date]],database!A:B,2,)</f>
        <v/>
      </c>
      <c r="C603" s="66">
        <f>B603/B602-1</f>
        <v/>
      </c>
      <c r="D603" s="66">
        <f>(Table1[[#This Row],[Index]]-B591)/B591</f>
        <v/>
      </c>
    </row>
    <row r="604">
      <c r="A604" s="17" t="n">
        <v>44470</v>
      </c>
      <c r="B604" s="58">
        <f>VLOOKUP(Table1[[#This Row],[Date]],database!A:B,2,)</f>
        <v/>
      </c>
      <c r="C604" s="66">
        <f>B604/B603-1</f>
        <v/>
      </c>
      <c r="D604" s="66">
        <f>(Table1[[#This Row],[Index]]-B592)/B592</f>
        <v/>
      </c>
    </row>
    <row r="605">
      <c r="A605" s="17" t="n">
        <v>44501</v>
      </c>
      <c r="B605" s="58">
        <f>VLOOKUP(Table1[[#This Row],[Date]],database!A:B,2,)</f>
        <v/>
      </c>
      <c r="C605" s="66">
        <f>B605/B604-1</f>
        <v/>
      </c>
      <c r="D605" s="66">
        <f>(Table1[[#This Row],[Index]]-B593)/B593</f>
        <v/>
      </c>
    </row>
    <row r="606">
      <c r="A606" s="17" t="n">
        <v>44531</v>
      </c>
      <c r="B606" s="58">
        <f>VLOOKUP(Table1[[#This Row],[Date]],database!A:B,2,)</f>
        <v/>
      </c>
      <c r="C606" s="66">
        <f>B606/B605-1</f>
        <v/>
      </c>
      <c r="D606" s="66">
        <f>(Table1[[#This Row],[Index]]-B594)/B594</f>
        <v/>
      </c>
    </row>
    <row r="607">
      <c r="A607" s="17" t="n">
        <v>44562</v>
      </c>
      <c r="B607" s="58">
        <f>VLOOKUP(Table1[[#This Row],[Date]],database!A:B,2,)</f>
        <v/>
      </c>
      <c r="C607" s="66">
        <f>B607/B606-1</f>
        <v/>
      </c>
      <c r="D607" s="66">
        <f>(Table1[[#This Row],[Index]]-B595)/B595</f>
        <v/>
      </c>
    </row>
    <row r="608">
      <c r="A608" s="17" t="n">
        <v>44593</v>
      </c>
      <c r="B608" s="58">
        <f>VLOOKUP(Table1[[#This Row],[Date]],database!A:B,2,)</f>
        <v/>
      </c>
      <c r="C608" s="66">
        <f>B608/B607-1</f>
        <v/>
      </c>
      <c r="D608" s="66">
        <f>(Table1[[#This Row],[Index]]-B596)/B596</f>
        <v/>
      </c>
    </row>
    <row r="609">
      <c r="A609" s="17" t="n">
        <v>44621</v>
      </c>
      <c r="B609" s="58">
        <f>VLOOKUP(Table1[[#This Row],[Date]],database!A:B,2,)</f>
        <v/>
      </c>
      <c r="C609" s="66">
        <f>B609/B608-1</f>
        <v/>
      </c>
      <c r="D609" s="66">
        <f>(Table1[[#This Row],[Index]]-B597)/B597</f>
        <v/>
      </c>
    </row>
    <row r="610">
      <c r="A610" s="17" t="n">
        <v>44652</v>
      </c>
      <c r="B610" s="58">
        <f>VLOOKUP(Table1[[#This Row],[Date]],database!A:B,2,)</f>
        <v/>
      </c>
      <c r="C610" s="66">
        <f>B610/B609-1</f>
        <v/>
      </c>
      <c r="D610" s="66">
        <f>(Table1[[#This Row],[Index]]-B598)/B598</f>
        <v/>
      </c>
    </row>
    <row r="611">
      <c r="A611" s="17" t="n">
        <v>44682</v>
      </c>
      <c r="B611" s="58">
        <f>VLOOKUP(Table1[[#This Row],[Date]],database!A:B,2,)</f>
        <v/>
      </c>
      <c r="C611" s="66">
        <f>B611/B610-1</f>
        <v/>
      </c>
      <c r="D611" s="66">
        <f>(Table1[[#This Row],[Index]]-B599)/B599</f>
        <v/>
      </c>
    </row>
    <row r="612">
      <c r="A612" s="17" t="n">
        <v>44713</v>
      </c>
      <c r="B612" s="58">
        <f>VLOOKUP(Table1[[#This Row],[Date]],database!A:B,2,)</f>
        <v/>
      </c>
      <c r="C612" s="66">
        <f>B612/B611-1</f>
        <v/>
      </c>
      <c r="D612" s="66">
        <f>(Table1[[#This Row],[Index]]-B600)/B600</f>
        <v/>
      </c>
    </row>
    <row r="613">
      <c r="A613" s="17" t="n">
        <v>44743</v>
      </c>
      <c r="B613" s="58">
        <f>VLOOKUP(Table1[[#This Row],[Date]],database!A:B,2,)</f>
        <v/>
      </c>
      <c r="C613" s="66">
        <f>B613/B612-1</f>
        <v/>
      </c>
      <c r="D613" s="66">
        <f>(Table1[[#This Row],[Index]]-B601)/B601</f>
        <v/>
      </c>
    </row>
    <row r="614">
      <c r="A614" s="17" t="n">
        <v>44774</v>
      </c>
      <c r="B614" s="58">
        <f>VLOOKUP(Table1[[#This Row],[Date]],database!A:B,2,)</f>
        <v/>
      </c>
      <c r="C614" s="66">
        <f>B614/B613-1</f>
        <v/>
      </c>
      <c r="D614" s="66">
        <f>(Table1[[#This Row],[Index]]-B602)/B602</f>
        <v/>
      </c>
    </row>
    <row r="615">
      <c r="A615" s="17" t="n">
        <v>44805</v>
      </c>
      <c r="B615" s="58">
        <f>VLOOKUP(Table1[[#This Row],[Date]],database!A:B,2,)</f>
        <v/>
      </c>
      <c r="C615" s="66">
        <f>B615/B614-1</f>
        <v/>
      </c>
      <c r="D615" s="66">
        <f>(Table1[[#This Row],[Index]]-B603)/B603</f>
        <v/>
      </c>
    </row>
    <row r="616">
      <c r="A616" s="17" t="n">
        <v>44835</v>
      </c>
      <c r="B616" s="58">
        <f>VLOOKUP(Table1[[#This Row],[Date]],database!A:B,2,)</f>
        <v/>
      </c>
      <c r="C616" s="66">
        <f>B616/B615-1</f>
        <v/>
      </c>
      <c r="D616" s="66">
        <f>(Table1[[#This Row],[Index]]-B604)/B604</f>
        <v/>
      </c>
    </row>
    <row r="617">
      <c r="A617" s="17" t="n">
        <v>44866</v>
      </c>
      <c r="B617" s="58">
        <f>VLOOKUP(Table1[[#This Row],[Date]],database!A:B,2,)</f>
        <v/>
      </c>
      <c r="C617" s="66">
        <f>B617/B616-1</f>
        <v/>
      </c>
      <c r="D617" s="66">
        <f>(Table1[[#This Row],[Index]]-B605)/B605</f>
        <v/>
      </c>
    </row>
    <row r="618">
      <c r="A618" s="17" t="n">
        <v>44896</v>
      </c>
      <c r="B618" s="58">
        <f>VLOOKUP(Table1[[#This Row],[Date]],database!A:B,2,)</f>
        <v/>
      </c>
      <c r="C618" s="66">
        <f>B618/B617-1</f>
        <v/>
      </c>
      <c r="D618" s="66">
        <f>(Table1[[#This Row],[Index]]-B606)/B606</f>
        <v/>
      </c>
    </row>
    <row r="619">
      <c r="A619" s="17" t="n">
        <v>44927</v>
      </c>
      <c r="B619" s="58">
        <f>VLOOKUP(Table1[[#This Row],[Date]],database!A:B,2,)</f>
        <v/>
      </c>
      <c r="C619" s="66">
        <f>B619/B618-1</f>
        <v/>
      </c>
      <c r="D619" s="66">
        <f>(Table1[[#This Row],[Index]]-B607)/B607</f>
        <v/>
      </c>
    </row>
    <row r="620">
      <c r="A620" s="17" t="n">
        <v>44958</v>
      </c>
      <c r="B620" s="58">
        <f>VLOOKUP(Table1[[#This Row],[Date]],database!A:B,2,)</f>
        <v/>
      </c>
      <c r="C620" s="66">
        <f>B620/B619-1</f>
        <v/>
      </c>
      <c r="D620" s="66">
        <f>(Table1[[#This Row],[Index]]-B608)/B608</f>
        <v/>
      </c>
    </row>
    <row r="621">
      <c r="A621" s="17" t="n">
        <v>44986</v>
      </c>
      <c r="B621" s="58">
        <f>VLOOKUP(Table1[[#This Row],[Date]],database!A:B,2,)</f>
        <v/>
      </c>
      <c r="C621" s="66">
        <f>B621/B620-1</f>
        <v/>
      </c>
      <c r="D621" s="66">
        <f>(Table1[[#This Row],[Index]]-B609)/B609</f>
        <v/>
      </c>
    </row>
  </sheetData>
  <conditionalFormatting sqref="D463:D621">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80"/>
  <sheetViews>
    <sheetView zoomScale="90" zoomScaleNormal="90" workbookViewId="0">
      <pane ySplit="5" topLeftCell="A658" activePane="bottomLeft" state="frozen"/>
      <selection activeCell="N1259" sqref="N1259"/>
      <selection pane="bottomLeft" activeCell="Y668" sqref="Y668"/>
    </sheetView>
  </sheetViews>
  <sheetFormatPr baseColWidth="8" defaultColWidth="9.1796875" defaultRowHeight="14.5"/>
  <cols>
    <col width="9.1796875" customWidth="1" style="88" min="1" max="1"/>
    <col width="18.36328125" customWidth="1" style="12" min="2" max="2"/>
    <col width="13.6328125" customWidth="1" style="12" min="3" max="3"/>
    <col width="9.1796875" customWidth="1" style="88" min="4" max="30"/>
    <col width="9.1796875" customWidth="1" style="88" min="31" max="16384"/>
  </cols>
  <sheetData>
    <row r="1">
      <c r="A1" s="88" t="inlineStr">
        <is>
          <t>TCU</t>
        </is>
      </c>
      <c r="C1" t="inlineStr">
        <is>
          <t>https://fred.stlouisfed.org/series/WPSFD4131</t>
        </is>
      </c>
    </row>
    <row r="2">
      <c r="C2" t="inlineStr">
        <is>
          <t>Percentage Change from a Year Ago</t>
        </is>
      </c>
    </row>
    <row r="3">
      <c r="C3" t="inlineStr">
        <is>
          <t>Monthly</t>
        </is>
      </c>
    </row>
    <row r="4" ht="16" customHeight="1"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8">
        <f>(VLOOKUP(A102,database!A:K,11,) - VLOOKUP(A90,database!A:K,11,))/VLOOKUP(A90,database!A:K,11,)</f>
        <v/>
      </c>
    </row>
    <row r="103">
      <c r="A103" s="38" t="n">
        <v>27426</v>
      </c>
      <c r="B103" s="39">
        <f>VLOOKUP(Table8[[#This Row],[Month]],database!A:J,MATCH('Capacity Utilization'!$A$1,database!$A$1:$J$1,),)</f>
        <v/>
      </c>
      <c r="C103" s="68">
        <f>(VLOOKUP(A103,database!A:K,11,) - VLOOKUP(A91,database!A:K,11,))/VLOOKUP(A91,database!A:K,11,)</f>
        <v/>
      </c>
    </row>
    <row r="104">
      <c r="A104" s="38" t="n">
        <v>27454</v>
      </c>
      <c r="B104" s="39">
        <f>VLOOKUP(Table8[[#This Row],[Month]],database!A:J,MATCH('Capacity Utilization'!$A$1,database!$A$1:$J$1,),)</f>
        <v/>
      </c>
      <c r="C104" s="68">
        <f>(VLOOKUP(A104,database!A:K,11,) - VLOOKUP(A92,database!A:K,11,))/VLOOKUP(A92,database!A:K,11,)</f>
        <v/>
      </c>
    </row>
    <row r="105">
      <c r="A105" s="38" t="n">
        <v>27485</v>
      </c>
      <c r="B105" s="39">
        <f>VLOOKUP(Table8[[#This Row],[Month]],database!A:J,MATCH('Capacity Utilization'!$A$1,database!$A$1:$J$1,),)</f>
        <v/>
      </c>
      <c r="C105" s="68">
        <f>(VLOOKUP(A105,database!A:K,11,) - VLOOKUP(A93,database!A:K,11,))/VLOOKUP(A93,database!A:K,11,)</f>
        <v/>
      </c>
    </row>
    <row r="106">
      <c r="A106" s="38" t="n">
        <v>27515</v>
      </c>
      <c r="B106" s="39">
        <f>VLOOKUP(Table8[[#This Row],[Month]],database!A:J,MATCH('Capacity Utilization'!$A$1,database!$A$1:$J$1,),)</f>
        <v/>
      </c>
      <c r="C106" s="68">
        <f>(VLOOKUP(A106,database!A:K,11,) - VLOOKUP(A94,database!A:K,11,))/VLOOKUP(A94,database!A:K,11,)</f>
        <v/>
      </c>
    </row>
    <row r="107">
      <c r="A107" s="38" t="n">
        <v>27546</v>
      </c>
      <c r="B107" s="39">
        <f>VLOOKUP(Table8[[#This Row],[Month]],database!A:J,MATCH('Capacity Utilization'!$A$1,database!$A$1:$J$1,),)</f>
        <v/>
      </c>
      <c r="C107" s="68">
        <f>(VLOOKUP(A107,database!A:K,11,) - VLOOKUP(A95,database!A:K,11,))/VLOOKUP(A95,database!A:K,11,)</f>
        <v/>
      </c>
    </row>
    <row r="108">
      <c r="A108" s="38" t="n">
        <v>27576</v>
      </c>
      <c r="B108" s="39">
        <f>VLOOKUP(Table8[[#This Row],[Month]],database!A:J,MATCH('Capacity Utilization'!$A$1,database!$A$1:$J$1,),)</f>
        <v/>
      </c>
      <c r="C108" s="68">
        <f>(VLOOKUP(A108,database!A:K,11,) - VLOOKUP(A96,database!A:K,11,))/VLOOKUP(A96,database!A:K,11,)</f>
        <v/>
      </c>
    </row>
    <row r="109">
      <c r="A109" s="38" t="n">
        <v>27607</v>
      </c>
      <c r="B109" s="39">
        <f>VLOOKUP(Table8[[#This Row],[Month]],database!A:J,MATCH('Capacity Utilization'!$A$1,database!$A$1:$J$1,),)</f>
        <v/>
      </c>
      <c r="C109" s="68">
        <f>(VLOOKUP(A109,database!A:K,11,) - VLOOKUP(A97,database!A:K,11,))/VLOOKUP(A97,database!A:K,11,)</f>
        <v/>
      </c>
    </row>
    <row r="110">
      <c r="A110" s="38" t="n">
        <v>27638</v>
      </c>
      <c r="B110" s="39">
        <f>VLOOKUP(Table8[[#This Row],[Month]],database!A:J,MATCH('Capacity Utilization'!$A$1,database!$A$1:$J$1,),)</f>
        <v/>
      </c>
      <c r="C110" s="68">
        <f>(VLOOKUP(A110,database!A:K,11,) - VLOOKUP(A98,database!A:K,11,))/VLOOKUP(A98,database!A:K,11,)</f>
        <v/>
      </c>
    </row>
    <row r="111">
      <c r="A111" s="38" t="n">
        <v>27668</v>
      </c>
      <c r="B111" s="39">
        <f>VLOOKUP(Table8[[#This Row],[Month]],database!A:J,MATCH('Capacity Utilization'!$A$1,database!$A$1:$J$1,),)</f>
        <v/>
      </c>
      <c r="C111" s="68">
        <f>(VLOOKUP(A111,database!A:K,11,) - VLOOKUP(A99,database!A:K,11,))/VLOOKUP(A99,database!A:K,11,)</f>
        <v/>
      </c>
    </row>
    <row r="112">
      <c r="A112" s="38" t="n">
        <v>27699</v>
      </c>
      <c r="B112" s="39">
        <f>VLOOKUP(Table8[[#This Row],[Month]],database!A:J,MATCH('Capacity Utilization'!$A$1,database!$A$1:$J$1,),)</f>
        <v/>
      </c>
      <c r="C112" s="68">
        <f>(VLOOKUP(A112,database!A:K,11,) - VLOOKUP(A100,database!A:K,11,))/VLOOKUP(A100,database!A:K,11,)</f>
        <v/>
      </c>
    </row>
    <row r="113">
      <c r="A113" s="38" t="n">
        <v>27729</v>
      </c>
      <c r="B113" s="39">
        <f>VLOOKUP(Table8[[#This Row],[Month]],database!A:J,MATCH('Capacity Utilization'!$A$1,database!$A$1:$J$1,),)</f>
        <v/>
      </c>
      <c r="C113" s="68">
        <f>(VLOOKUP(A113,database!A:K,11,) - VLOOKUP(A101,database!A:K,11,))/VLOOKUP(A101,database!A:K,11,)</f>
        <v/>
      </c>
    </row>
    <row r="114">
      <c r="A114" s="38" t="n">
        <v>27760</v>
      </c>
      <c r="B114" s="39">
        <f>VLOOKUP(Table8[[#This Row],[Month]],database!A:J,MATCH('Capacity Utilization'!$A$1,database!$A$1:$J$1,),)</f>
        <v/>
      </c>
      <c r="C114" s="68">
        <f>(VLOOKUP(A114,database!A:K,11,) - VLOOKUP(A102,database!A:K,11,))/VLOOKUP(A102,database!A:K,11,)</f>
        <v/>
      </c>
    </row>
    <row r="115">
      <c r="A115" s="38" t="n">
        <v>27791</v>
      </c>
      <c r="B115" s="39">
        <f>VLOOKUP(Table8[[#This Row],[Month]],database!A:J,MATCH('Capacity Utilization'!$A$1,database!$A$1:$J$1,),)</f>
        <v/>
      </c>
      <c r="C115" s="68">
        <f>(VLOOKUP(A115,database!A:K,11,) - VLOOKUP(A103,database!A:K,11,))/VLOOKUP(A103,database!A:K,11,)</f>
        <v/>
      </c>
    </row>
    <row r="116">
      <c r="A116" s="38" t="n">
        <v>27820</v>
      </c>
      <c r="B116" s="39">
        <f>VLOOKUP(Table8[[#This Row],[Month]],database!A:J,MATCH('Capacity Utilization'!$A$1,database!$A$1:$J$1,),)</f>
        <v/>
      </c>
      <c r="C116" s="68">
        <f>(VLOOKUP(A116,database!A:K,11,) - VLOOKUP(A104,database!A:K,11,))/VLOOKUP(A104,database!A:K,11,)</f>
        <v/>
      </c>
    </row>
    <row r="117">
      <c r="A117" s="38" t="n">
        <v>27851</v>
      </c>
      <c r="B117" s="39">
        <f>VLOOKUP(Table8[[#This Row],[Month]],database!A:J,MATCH('Capacity Utilization'!$A$1,database!$A$1:$J$1,),)</f>
        <v/>
      </c>
      <c r="C117" s="68">
        <f>(VLOOKUP(A117,database!A:K,11,) - VLOOKUP(A105,database!A:K,11,))/VLOOKUP(A105,database!A:K,11,)</f>
        <v/>
      </c>
    </row>
    <row r="118">
      <c r="A118" s="38" t="n">
        <v>27881</v>
      </c>
      <c r="B118" s="39">
        <f>VLOOKUP(Table8[[#This Row],[Month]],database!A:J,MATCH('Capacity Utilization'!$A$1,database!$A$1:$J$1,),)</f>
        <v/>
      </c>
      <c r="C118" s="68">
        <f>(VLOOKUP(A118,database!A:K,11,) - VLOOKUP(A106,database!A:K,11,))/VLOOKUP(A106,database!A:K,11,)</f>
        <v/>
      </c>
    </row>
    <row r="119">
      <c r="A119" s="38" t="n">
        <v>27912</v>
      </c>
      <c r="B119" s="39">
        <f>VLOOKUP(Table8[[#This Row],[Month]],database!A:J,MATCH('Capacity Utilization'!$A$1,database!$A$1:$J$1,),)</f>
        <v/>
      </c>
      <c r="C119" s="68">
        <f>(VLOOKUP(A119,database!A:K,11,) - VLOOKUP(A107,database!A:K,11,))/VLOOKUP(A107,database!A:K,11,)</f>
        <v/>
      </c>
    </row>
    <row r="120">
      <c r="A120" s="38" t="n">
        <v>27942</v>
      </c>
      <c r="B120" s="39">
        <f>VLOOKUP(Table8[[#This Row],[Month]],database!A:J,MATCH('Capacity Utilization'!$A$1,database!$A$1:$J$1,),)</f>
        <v/>
      </c>
      <c r="C120" s="68">
        <f>(VLOOKUP(A120,database!A:K,11,) - VLOOKUP(A108,database!A:K,11,))/VLOOKUP(A108,database!A:K,11,)</f>
        <v/>
      </c>
    </row>
    <row r="121">
      <c r="A121" s="38" t="n">
        <v>27973</v>
      </c>
      <c r="B121" s="39">
        <f>VLOOKUP(Table8[[#This Row],[Month]],database!A:J,MATCH('Capacity Utilization'!$A$1,database!$A$1:$J$1,),)</f>
        <v/>
      </c>
      <c r="C121" s="68">
        <f>(VLOOKUP(A121,database!A:K,11,) - VLOOKUP(A109,database!A:K,11,))/VLOOKUP(A109,database!A:K,11,)</f>
        <v/>
      </c>
    </row>
    <row r="122">
      <c r="A122" s="38" t="n">
        <v>28004</v>
      </c>
      <c r="B122" s="39">
        <f>VLOOKUP(Table8[[#This Row],[Month]],database!A:J,MATCH('Capacity Utilization'!$A$1,database!$A$1:$J$1,),)</f>
        <v/>
      </c>
      <c r="C122" s="68">
        <f>(VLOOKUP(A122,database!A:K,11,) - VLOOKUP(A110,database!A:K,11,))/VLOOKUP(A110,database!A:K,11,)</f>
        <v/>
      </c>
    </row>
    <row r="123">
      <c r="A123" s="38" t="n">
        <v>28034</v>
      </c>
      <c r="B123" s="39">
        <f>VLOOKUP(Table8[[#This Row],[Month]],database!A:J,MATCH('Capacity Utilization'!$A$1,database!$A$1:$J$1,),)</f>
        <v/>
      </c>
      <c r="C123" s="68">
        <f>(VLOOKUP(A123,database!A:K,11,) - VLOOKUP(A111,database!A:K,11,))/VLOOKUP(A111,database!A:K,11,)</f>
        <v/>
      </c>
    </row>
    <row r="124">
      <c r="A124" s="38" t="n">
        <v>28065</v>
      </c>
      <c r="B124" s="39">
        <f>VLOOKUP(Table8[[#This Row],[Month]],database!A:J,MATCH('Capacity Utilization'!$A$1,database!$A$1:$J$1,),)</f>
        <v/>
      </c>
      <c r="C124" s="68">
        <f>(VLOOKUP(A124,database!A:K,11,) - VLOOKUP(A112,database!A:K,11,))/VLOOKUP(A112,database!A:K,11,)</f>
        <v/>
      </c>
    </row>
    <row r="125">
      <c r="A125" s="38" t="n">
        <v>28095</v>
      </c>
      <c r="B125" s="39">
        <f>VLOOKUP(Table8[[#This Row],[Month]],database!A:J,MATCH('Capacity Utilization'!$A$1,database!$A$1:$J$1,),)</f>
        <v/>
      </c>
      <c r="C125" s="68">
        <f>(VLOOKUP(A125,database!A:K,11,) - VLOOKUP(A113,database!A:K,11,))/VLOOKUP(A113,database!A:K,11,)</f>
        <v/>
      </c>
    </row>
    <row r="126">
      <c r="A126" s="38" t="n">
        <v>28126</v>
      </c>
      <c r="B126" s="39">
        <f>VLOOKUP(Table8[[#This Row],[Month]],database!A:J,MATCH('Capacity Utilization'!$A$1,database!$A$1:$J$1,),)</f>
        <v/>
      </c>
      <c r="C126" s="68">
        <f>(VLOOKUP(A126,database!A:K,11,) - VLOOKUP(A114,database!A:K,11,))/VLOOKUP(A114,database!A:K,11,)</f>
        <v/>
      </c>
    </row>
    <row r="127">
      <c r="A127" s="38" t="n">
        <v>28157</v>
      </c>
      <c r="B127" s="39">
        <f>VLOOKUP(Table8[[#This Row],[Month]],database!A:J,MATCH('Capacity Utilization'!$A$1,database!$A$1:$J$1,),)</f>
        <v/>
      </c>
      <c r="C127" s="68">
        <f>(VLOOKUP(A127,database!A:K,11,) - VLOOKUP(A115,database!A:K,11,))/VLOOKUP(A115,database!A:K,11,)</f>
        <v/>
      </c>
    </row>
    <row r="128">
      <c r="A128" s="38" t="n">
        <v>28185</v>
      </c>
      <c r="B128" s="39">
        <f>VLOOKUP(Table8[[#This Row],[Month]],database!A:J,MATCH('Capacity Utilization'!$A$1,database!$A$1:$J$1,),)</f>
        <v/>
      </c>
      <c r="C128" s="68">
        <f>(VLOOKUP(A128,database!A:K,11,) - VLOOKUP(A116,database!A:K,11,))/VLOOKUP(A116,database!A:K,11,)</f>
        <v/>
      </c>
    </row>
    <row r="129">
      <c r="A129" s="38" t="n">
        <v>28216</v>
      </c>
      <c r="B129" s="39">
        <f>VLOOKUP(Table8[[#This Row],[Month]],database!A:J,MATCH('Capacity Utilization'!$A$1,database!$A$1:$J$1,),)</f>
        <v/>
      </c>
      <c r="C129" s="68">
        <f>(VLOOKUP(A129,database!A:K,11,) - VLOOKUP(A117,database!A:K,11,))/VLOOKUP(A117,database!A:K,11,)</f>
        <v/>
      </c>
    </row>
    <row r="130">
      <c r="A130" s="38" t="n">
        <v>28246</v>
      </c>
      <c r="B130" s="39">
        <f>VLOOKUP(Table8[[#This Row],[Month]],database!A:J,MATCH('Capacity Utilization'!$A$1,database!$A$1:$J$1,),)</f>
        <v/>
      </c>
      <c r="C130" s="68">
        <f>(VLOOKUP(A130,database!A:K,11,) - VLOOKUP(A118,database!A:K,11,))/VLOOKUP(A118,database!A:K,11,)</f>
        <v/>
      </c>
    </row>
    <row r="131">
      <c r="A131" s="38" t="n">
        <v>28277</v>
      </c>
      <c r="B131" s="39">
        <f>VLOOKUP(Table8[[#This Row],[Month]],database!A:J,MATCH('Capacity Utilization'!$A$1,database!$A$1:$J$1,),)</f>
        <v/>
      </c>
      <c r="C131" s="68">
        <f>(VLOOKUP(A131,database!A:K,11,) - VLOOKUP(A119,database!A:K,11,))/VLOOKUP(A119,database!A:K,11,)</f>
        <v/>
      </c>
    </row>
    <row r="132">
      <c r="A132" s="38" t="n">
        <v>28307</v>
      </c>
      <c r="B132" s="39">
        <f>VLOOKUP(Table8[[#This Row],[Month]],database!A:J,MATCH('Capacity Utilization'!$A$1,database!$A$1:$J$1,),)</f>
        <v/>
      </c>
      <c r="C132" s="68">
        <f>(VLOOKUP(A132,database!A:K,11,) - VLOOKUP(A120,database!A:K,11,))/VLOOKUP(A120,database!A:K,11,)</f>
        <v/>
      </c>
    </row>
    <row r="133">
      <c r="A133" s="38" t="n">
        <v>28338</v>
      </c>
      <c r="B133" s="39">
        <f>VLOOKUP(Table8[[#This Row],[Month]],database!A:J,MATCH('Capacity Utilization'!$A$1,database!$A$1:$J$1,),)</f>
        <v/>
      </c>
      <c r="C133" s="68">
        <f>(VLOOKUP(A133,database!A:K,11,) - VLOOKUP(A121,database!A:K,11,))/VLOOKUP(A121,database!A:K,11,)</f>
        <v/>
      </c>
    </row>
    <row r="134">
      <c r="A134" s="38" t="n">
        <v>28369</v>
      </c>
      <c r="B134" s="39">
        <f>VLOOKUP(Table8[[#This Row],[Month]],database!A:J,MATCH('Capacity Utilization'!$A$1,database!$A$1:$J$1,),)</f>
        <v/>
      </c>
      <c r="C134" s="68">
        <f>(VLOOKUP(A134,database!A:K,11,) - VLOOKUP(A122,database!A:K,11,))/VLOOKUP(A122,database!A:K,11,)</f>
        <v/>
      </c>
    </row>
    <row r="135">
      <c r="A135" s="38" t="n">
        <v>28399</v>
      </c>
      <c r="B135" s="39">
        <f>VLOOKUP(Table8[[#This Row],[Month]],database!A:J,MATCH('Capacity Utilization'!$A$1,database!$A$1:$J$1,),)</f>
        <v/>
      </c>
      <c r="C135" s="68">
        <f>(VLOOKUP(A135,database!A:K,11,) - VLOOKUP(A123,database!A:K,11,))/VLOOKUP(A123,database!A:K,11,)</f>
        <v/>
      </c>
    </row>
    <row r="136">
      <c r="A136" s="38" t="n">
        <v>28430</v>
      </c>
      <c r="B136" s="39">
        <f>VLOOKUP(Table8[[#This Row],[Month]],database!A:J,MATCH('Capacity Utilization'!$A$1,database!$A$1:$J$1,),)</f>
        <v/>
      </c>
      <c r="C136" s="68">
        <f>(VLOOKUP(A136,database!A:K,11,) - VLOOKUP(A124,database!A:K,11,))/VLOOKUP(A124,database!A:K,11,)</f>
        <v/>
      </c>
    </row>
    <row r="137">
      <c r="A137" s="38" t="n">
        <v>28460</v>
      </c>
      <c r="B137" s="39">
        <f>VLOOKUP(Table8[[#This Row],[Month]],database!A:J,MATCH('Capacity Utilization'!$A$1,database!$A$1:$J$1,),)</f>
        <v/>
      </c>
      <c r="C137" s="68">
        <f>(VLOOKUP(A137,database!A:K,11,) - VLOOKUP(A125,database!A:K,11,))/VLOOKUP(A125,database!A:K,11,)</f>
        <v/>
      </c>
    </row>
    <row r="138">
      <c r="A138" s="38" t="n">
        <v>28491</v>
      </c>
      <c r="B138" s="39">
        <f>VLOOKUP(Table8[[#This Row],[Month]],database!A:J,MATCH('Capacity Utilization'!$A$1,database!$A$1:$J$1,),)</f>
        <v/>
      </c>
      <c r="C138" s="68">
        <f>(VLOOKUP(A138,database!A:K,11,) - VLOOKUP(A126,database!A:K,11,))/VLOOKUP(A126,database!A:K,11,)</f>
        <v/>
      </c>
    </row>
    <row r="139">
      <c r="A139" s="38" t="n">
        <v>28522</v>
      </c>
      <c r="B139" s="39">
        <f>VLOOKUP(Table8[[#This Row],[Month]],database!A:J,MATCH('Capacity Utilization'!$A$1,database!$A$1:$J$1,),)</f>
        <v/>
      </c>
      <c r="C139" s="68">
        <f>(VLOOKUP(A139,database!A:K,11,) - VLOOKUP(A127,database!A:K,11,))/VLOOKUP(A127,database!A:K,11,)</f>
        <v/>
      </c>
    </row>
    <row r="140">
      <c r="A140" s="38" t="n">
        <v>28550</v>
      </c>
      <c r="B140" s="39">
        <f>VLOOKUP(Table8[[#This Row],[Month]],database!A:J,MATCH('Capacity Utilization'!$A$1,database!$A$1:$J$1,),)</f>
        <v/>
      </c>
      <c r="C140" s="68">
        <f>(VLOOKUP(A140,database!A:K,11,) - VLOOKUP(A128,database!A:K,11,))/VLOOKUP(A128,database!A:K,11,)</f>
        <v/>
      </c>
    </row>
    <row r="141">
      <c r="A141" s="38" t="n">
        <v>28581</v>
      </c>
      <c r="B141" s="39">
        <f>VLOOKUP(Table8[[#This Row],[Month]],database!A:J,MATCH('Capacity Utilization'!$A$1,database!$A$1:$J$1,),)</f>
        <v/>
      </c>
      <c r="C141" s="68">
        <f>(VLOOKUP(A141,database!A:K,11,) - VLOOKUP(A129,database!A:K,11,))/VLOOKUP(A129,database!A:K,11,)</f>
        <v/>
      </c>
    </row>
    <row r="142">
      <c r="A142" s="38" t="n">
        <v>28611</v>
      </c>
      <c r="B142" s="39">
        <f>VLOOKUP(Table8[[#This Row],[Month]],database!A:J,MATCH('Capacity Utilization'!$A$1,database!$A$1:$J$1,),)</f>
        <v/>
      </c>
      <c r="C142" s="68">
        <f>(VLOOKUP(A142,database!A:K,11,) - VLOOKUP(A130,database!A:K,11,))/VLOOKUP(A130,database!A:K,11,)</f>
        <v/>
      </c>
    </row>
    <row r="143">
      <c r="A143" s="38" t="n">
        <v>28642</v>
      </c>
      <c r="B143" s="39">
        <f>VLOOKUP(Table8[[#This Row],[Month]],database!A:J,MATCH('Capacity Utilization'!$A$1,database!$A$1:$J$1,),)</f>
        <v/>
      </c>
      <c r="C143" s="68">
        <f>(VLOOKUP(A143,database!A:K,11,) - VLOOKUP(A131,database!A:K,11,))/VLOOKUP(A131,database!A:K,11,)</f>
        <v/>
      </c>
    </row>
    <row r="144">
      <c r="A144" s="38" t="n">
        <v>28672</v>
      </c>
      <c r="B144" s="39">
        <f>VLOOKUP(Table8[[#This Row],[Month]],database!A:J,MATCH('Capacity Utilization'!$A$1,database!$A$1:$J$1,),)</f>
        <v/>
      </c>
      <c r="C144" s="68">
        <f>(VLOOKUP(A144,database!A:K,11,) - VLOOKUP(A132,database!A:K,11,))/VLOOKUP(A132,database!A:K,11,)</f>
        <v/>
      </c>
    </row>
    <row r="145">
      <c r="A145" s="38" t="n">
        <v>28703</v>
      </c>
      <c r="B145" s="39">
        <f>VLOOKUP(Table8[[#This Row],[Month]],database!A:J,MATCH('Capacity Utilization'!$A$1,database!$A$1:$J$1,),)</f>
        <v/>
      </c>
      <c r="C145" s="68">
        <f>(VLOOKUP(A145,database!A:K,11,) - VLOOKUP(A133,database!A:K,11,))/VLOOKUP(A133,database!A:K,11,)</f>
        <v/>
      </c>
    </row>
    <row r="146">
      <c r="A146" s="38" t="n">
        <v>28734</v>
      </c>
      <c r="B146" s="39">
        <f>VLOOKUP(Table8[[#This Row],[Month]],database!A:J,MATCH('Capacity Utilization'!$A$1,database!$A$1:$J$1,),)</f>
        <v/>
      </c>
      <c r="C146" s="68">
        <f>(VLOOKUP(A146,database!A:K,11,) - VLOOKUP(A134,database!A:K,11,))/VLOOKUP(A134,database!A:K,11,)</f>
        <v/>
      </c>
    </row>
    <row r="147">
      <c r="A147" s="38" t="n">
        <v>28764</v>
      </c>
      <c r="B147" s="39">
        <f>VLOOKUP(Table8[[#This Row],[Month]],database!A:J,MATCH('Capacity Utilization'!$A$1,database!$A$1:$J$1,),)</f>
        <v/>
      </c>
      <c r="C147" s="68">
        <f>(VLOOKUP(A147,database!A:K,11,) - VLOOKUP(A135,database!A:K,11,))/VLOOKUP(A135,database!A:K,11,)</f>
        <v/>
      </c>
    </row>
    <row r="148">
      <c r="A148" s="38" t="n">
        <v>28795</v>
      </c>
      <c r="B148" s="39">
        <f>VLOOKUP(Table8[[#This Row],[Month]],database!A:J,MATCH('Capacity Utilization'!$A$1,database!$A$1:$J$1,),)</f>
        <v/>
      </c>
      <c r="C148" s="68">
        <f>(VLOOKUP(A148,database!A:K,11,) - VLOOKUP(A136,database!A:K,11,))/VLOOKUP(A136,database!A:K,11,)</f>
        <v/>
      </c>
    </row>
    <row r="149">
      <c r="A149" s="38" t="n">
        <v>28825</v>
      </c>
      <c r="B149" s="39">
        <f>VLOOKUP(Table8[[#This Row],[Month]],database!A:J,MATCH('Capacity Utilization'!$A$1,database!$A$1:$J$1,),)</f>
        <v/>
      </c>
      <c r="C149" s="68">
        <f>(VLOOKUP(A149,database!A:K,11,) - VLOOKUP(A137,database!A:K,11,))/VLOOKUP(A137,database!A:K,11,)</f>
        <v/>
      </c>
    </row>
    <row r="150">
      <c r="A150" s="38" t="n">
        <v>28856</v>
      </c>
      <c r="B150" s="39">
        <f>VLOOKUP(Table8[[#This Row],[Month]],database!A:J,MATCH('Capacity Utilization'!$A$1,database!$A$1:$J$1,),)</f>
        <v/>
      </c>
      <c r="C150" s="68">
        <f>(VLOOKUP(A150,database!A:K,11,) - VLOOKUP(A138,database!A:K,11,))/VLOOKUP(A138,database!A:K,11,)</f>
        <v/>
      </c>
    </row>
    <row r="151">
      <c r="A151" s="38" t="n">
        <v>28887</v>
      </c>
      <c r="B151" s="39">
        <f>VLOOKUP(Table8[[#This Row],[Month]],database!A:J,MATCH('Capacity Utilization'!$A$1,database!$A$1:$J$1,),)</f>
        <v/>
      </c>
      <c r="C151" s="68">
        <f>(VLOOKUP(A151,database!A:K,11,) - VLOOKUP(A139,database!A:K,11,))/VLOOKUP(A139,database!A:K,11,)</f>
        <v/>
      </c>
    </row>
    <row r="152">
      <c r="A152" s="38" t="n">
        <v>28915</v>
      </c>
      <c r="B152" s="39">
        <f>VLOOKUP(Table8[[#This Row],[Month]],database!A:J,MATCH('Capacity Utilization'!$A$1,database!$A$1:$J$1,),)</f>
        <v/>
      </c>
      <c r="C152" s="68">
        <f>(VLOOKUP(A152,database!A:K,11,) - VLOOKUP(A140,database!A:K,11,))/VLOOKUP(A140,database!A:K,11,)</f>
        <v/>
      </c>
    </row>
    <row r="153">
      <c r="A153" s="38" t="n">
        <v>28946</v>
      </c>
      <c r="B153" s="39">
        <f>VLOOKUP(Table8[[#This Row],[Month]],database!A:J,MATCH('Capacity Utilization'!$A$1,database!$A$1:$J$1,),)</f>
        <v/>
      </c>
      <c r="C153" s="68">
        <f>(VLOOKUP(A153,database!A:K,11,) - VLOOKUP(A141,database!A:K,11,))/VLOOKUP(A141,database!A:K,11,)</f>
        <v/>
      </c>
    </row>
    <row r="154">
      <c r="A154" s="38" t="n">
        <v>28976</v>
      </c>
      <c r="B154" s="39">
        <f>VLOOKUP(Table8[[#This Row],[Month]],database!A:J,MATCH('Capacity Utilization'!$A$1,database!$A$1:$J$1,),)</f>
        <v/>
      </c>
      <c r="C154" s="68">
        <f>(VLOOKUP(A154,database!A:K,11,) - VLOOKUP(A142,database!A:K,11,))/VLOOKUP(A142,database!A:K,11,)</f>
        <v/>
      </c>
    </row>
    <row r="155">
      <c r="A155" s="38" t="n">
        <v>29007</v>
      </c>
      <c r="B155" s="39">
        <f>VLOOKUP(Table8[[#This Row],[Month]],database!A:J,MATCH('Capacity Utilization'!$A$1,database!$A$1:$J$1,),)</f>
        <v/>
      </c>
      <c r="C155" s="68">
        <f>(VLOOKUP(A155,database!A:K,11,) - VLOOKUP(A143,database!A:K,11,))/VLOOKUP(A143,database!A:K,11,)</f>
        <v/>
      </c>
    </row>
    <row r="156">
      <c r="A156" s="38" t="n">
        <v>29037</v>
      </c>
      <c r="B156" s="39">
        <f>VLOOKUP(Table8[[#This Row],[Month]],database!A:J,MATCH('Capacity Utilization'!$A$1,database!$A$1:$J$1,),)</f>
        <v/>
      </c>
      <c r="C156" s="68">
        <f>(VLOOKUP(A156,database!A:K,11,) - VLOOKUP(A144,database!A:K,11,))/VLOOKUP(A144,database!A:K,11,)</f>
        <v/>
      </c>
    </row>
    <row r="157">
      <c r="A157" s="38" t="n">
        <v>29068</v>
      </c>
      <c r="B157" s="39">
        <f>VLOOKUP(Table8[[#This Row],[Month]],database!A:J,MATCH('Capacity Utilization'!$A$1,database!$A$1:$J$1,),)</f>
        <v/>
      </c>
      <c r="C157" s="68">
        <f>(VLOOKUP(A157,database!A:K,11,) - VLOOKUP(A145,database!A:K,11,))/VLOOKUP(A145,database!A:K,11,)</f>
        <v/>
      </c>
    </row>
    <row r="158">
      <c r="A158" s="38" t="n">
        <v>29099</v>
      </c>
      <c r="B158" s="39">
        <f>VLOOKUP(Table8[[#This Row],[Month]],database!A:J,MATCH('Capacity Utilization'!$A$1,database!$A$1:$J$1,),)</f>
        <v/>
      </c>
      <c r="C158" s="68">
        <f>(VLOOKUP(A158,database!A:K,11,) - VLOOKUP(A146,database!A:K,11,))/VLOOKUP(A146,database!A:K,11,)</f>
        <v/>
      </c>
    </row>
    <row r="159">
      <c r="A159" s="38" t="n">
        <v>29129</v>
      </c>
      <c r="B159" s="39">
        <f>VLOOKUP(Table8[[#This Row],[Month]],database!A:J,MATCH('Capacity Utilization'!$A$1,database!$A$1:$J$1,),)</f>
        <v/>
      </c>
      <c r="C159" s="68">
        <f>(VLOOKUP(A159,database!A:K,11,) - VLOOKUP(A147,database!A:K,11,))/VLOOKUP(A147,database!A:K,11,)</f>
        <v/>
      </c>
    </row>
    <row r="160">
      <c r="A160" s="38" t="n">
        <v>29160</v>
      </c>
      <c r="B160" s="39">
        <f>VLOOKUP(Table8[[#This Row],[Month]],database!A:J,MATCH('Capacity Utilization'!$A$1,database!$A$1:$J$1,),)</f>
        <v/>
      </c>
      <c r="C160" s="68">
        <f>(VLOOKUP(A160,database!A:K,11,) - VLOOKUP(A148,database!A:K,11,))/VLOOKUP(A148,database!A:K,11,)</f>
        <v/>
      </c>
    </row>
    <row r="161">
      <c r="A161" s="38" t="n">
        <v>29190</v>
      </c>
      <c r="B161" s="39">
        <f>VLOOKUP(Table8[[#This Row],[Month]],database!A:J,MATCH('Capacity Utilization'!$A$1,database!$A$1:$J$1,),)</f>
        <v/>
      </c>
      <c r="C161" s="68">
        <f>(VLOOKUP(A161,database!A:K,11,) - VLOOKUP(A149,database!A:K,11,))/VLOOKUP(A149,database!A:K,11,)</f>
        <v/>
      </c>
    </row>
    <row r="162">
      <c r="A162" s="38" t="n">
        <v>29221</v>
      </c>
      <c r="B162" s="39">
        <f>VLOOKUP(Table8[[#This Row],[Month]],database!A:J,MATCH('Capacity Utilization'!$A$1,database!$A$1:$J$1,),)</f>
        <v/>
      </c>
      <c r="C162" s="68">
        <f>(VLOOKUP(A162,database!A:K,11,) - VLOOKUP(A150,database!A:K,11,))/VLOOKUP(A150,database!A:K,11,)</f>
        <v/>
      </c>
    </row>
    <row r="163">
      <c r="A163" s="38" t="n">
        <v>29252</v>
      </c>
      <c r="B163" s="39">
        <f>VLOOKUP(Table8[[#This Row],[Month]],database!A:J,MATCH('Capacity Utilization'!$A$1,database!$A$1:$J$1,),)</f>
        <v/>
      </c>
      <c r="C163" s="68">
        <f>(VLOOKUP(A163,database!A:K,11,) - VLOOKUP(A151,database!A:K,11,))/VLOOKUP(A151,database!A:K,11,)</f>
        <v/>
      </c>
    </row>
    <row r="164">
      <c r="A164" s="38" t="n">
        <v>29281</v>
      </c>
      <c r="B164" s="39">
        <f>VLOOKUP(Table8[[#This Row],[Month]],database!A:J,MATCH('Capacity Utilization'!$A$1,database!$A$1:$J$1,),)</f>
        <v/>
      </c>
      <c r="C164" s="68">
        <f>(VLOOKUP(A164,database!A:K,11,) - VLOOKUP(A152,database!A:K,11,))/VLOOKUP(A152,database!A:K,11,)</f>
        <v/>
      </c>
    </row>
    <row r="165">
      <c r="A165" s="38" t="n">
        <v>29312</v>
      </c>
      <c r="B165" s="39">
        <f>VLOOKUP(Table8[[#This Row],[Month]],database!A:J,MATCH('Capacity Utilization'!$A$1,database!$A$1:$J$1,),)</f>
        <v/>
      </c>
      <c r="C165" s="68">
        <f>(VLOOKUP(A165,database!A:K,11,) - VLOOKUP(A153,database!A:K,11,))/VLOOKUP(A153,database!A:K,11,)</f>
        <v/>
      </c>
    </row>
    <row r="166">
      <c r="A166" s="38" t="n">
        <v>29342</v>
      </c>
      <c r="B166" s="39">
        <f>VLOOKUP(Table8[[#This Row],[Month]],database!A:J,MATCH('Capacity Utilization'!$A$1,database!$A$1:$J$1,),)</f>
        <v/>
      </c>
      <c r="C166" s="68">
        <f>(VLOOKUP(A166,database!A:K,11,) - VLOOKUP(A154,database!A:K,11,))/VLOOKUP(A154,database!A:K,11,)</f>
        <v/>
      </c>
    </row>
    <row r="167">
      <c r="A167" s="38" t="n">
        <v>29373</v>
      </c>
      <c r="B167" s="39">
        <f>VLOOKUP(Table8[[#This Row],[Month]],database!A:J,MATCH('Capacity Utilization'!$A$1,database!$A$1:$J$1,),)</f>
        <v/>
      </c>
      <c r="C167" s="68">
        <f>(VLOOKUP(A167,database!A:K,11,) - VLOOKUP(A155,database!A:K,11,))/VLOOKUP(A155,database!A:K,11,)</f>
        <v/>
      </c>
    </row>
    <row r="168">
      <c r="A168" s="38" t="n">
        <v>29403</v>
      </c>
      <c r="B168" s="39">
        <f>VLOOKUP(Table8[[#This Row],[Month]],database!A:J,MATCH('Capacity Utilization'!$A$1,database!$A$1:$J$1,),)</f>
        <v/>
      </c>
      <c r="C168" s="68">
        <f>(VLOOKUP(A168,database!A:K,11,) - VLOOKUP(A156,database!A:K,11,))/VLOOKUP(A156,database!A:K,11,)</f>
        <v/>
      </c>
    </row>
    <row r="169">
      <c r="A169" s="38" t="n">
        <v>29434</v>
      </c>
      <c r="B169" s="39">
        <f>VLOOKUP(Table8[[#This Row],[Month]],database!A:J,MATCH('Capacity Utilization'!$A$1,database!$A$1:$J$1,),)</f>
        <v/>
      </c>
      <c r="C169" s="68">
        <f>(VLOOKUP(A169,database!A:K,11,) - VLOOKUP(A157,database!A:K,11,))/VLOOKUP(A157,database!A:K,11,)</f>
        <v/>
      </c>
    </row>
    <row r="170">
      <c r="A170" s="38" t="n">
        <v>29465</v>
      </c>
      <c r="B170" s="39">
        <f>VLOOKUP(Table8[[#This Row],[Month]],database!A:J,MATCH('Capacity Utilization'!$A$1,database!$A$1:$J$1,),)</f>
        <v/>
      </c>
      <c r="C170" s="68">
        <f>(VLOOKUP(A170,database!A:K,11,) - VLOOKUP(A158,database!A:K,11,))/VLOOKUP(A158,database!A:K,11,)</f>
        <v/>
      </c>
    </row>
    <row r="171">
      <c r="A171" s="38" t="n">
        <v>29495</v>
      </c>
      <c r="B171" s="39">
        <f>VLOOKUP(Table8[[#This Row],[Month]],database!A:J,MATCH('Capacity Utilization'!$A$1,database!$A$1:$J$1,),)</f>
        <v/>
      </c>
      <c r="C171" s="68">
        <f>(VLOOKUP(A171,database!A:K,11,) - VLOOKUP(A159,database!A:K,11,))/VLOOKUP(A159,database!A:K,11,)</f>
        <v/>
      </c>
    </row>
    <row r="172">
      <c r="A172" s="38" t="n">
        <v>29526</v>
      </c>
      <c r="B172" s="39">
        <f>VLOOKUP(Table8[[#This Row],[Month]],database!A:J,MATCH('Capacity Utilization'!$A$1,database!$A$1:$J$1,),)</f>
        <v/>
      </c>
      <c r="C172" s="68">
        <f>(VLOOKUP(A172,database!A:K,11,) - VLOOKUP(A160,database!A:K,11,))/VLOOKUP(A160,database!A:K,11,)</f>
        <v/>
      </c>
    </row>
    <row r="173">
      <c r="A173" s="38" t="n">
        <v>29556</v>
      </c>
      <c r="B173" s="39">
        <f>VLOOKUP(Table8[[#This Row],[Month]],database!A:J,MATCH('Capacity Utilization'!$A$1,database!$A$1:$J$1,),)</f>
        <v/>
      </c>
      <c r="C173" s="68">
        <f>(VLOOKUP(A173,database!A:K,11,) - VLOOKUP(A161,database!A:K,11,))/VLOOKUP(A161,database!A:K,11,)</f>
        <v/>
      </c>
    </row>
    <row r="174">
      <c r="A174" s="38" t="n">
        <v>29587</v>
      </c>
      <c r="B174" s="39">
        <f>VLOOKUP(Table8[[#This Row],[Month]],database!A:J,MATCH('Capacity Utilization'!$A$1,database!$A$1:$J$1,),)</f>
        <v/>
      </c>
      <c r="C174" s="68">
        <f>(VLOOKUP(A174,database!A:K,11,) - VLOOKUP(A162,database!A:K,11,))/VLOOKUP(A162,database!A:K,11,)</f>
        <v/>
      </c>
    </row>
    <row r="175">
      <c r="A175" s="38" t="n">
        <v>29618</v>
      </c>
      <c r="B175" s="39">
        <f>VLOOKUP(Table8[[#This Row],[Month]],database!A:J,MATCH('Capacity Utilization'!$A$1,database!$A$1:$J$1,),)</f>
        <v/>
      </c>
      <c r="C175" s="68">
        <f>(VLOOKUP(A175,database!A:K,11,) - VLOOKUP(A163,database!A:K,11,))/VLOOKUP(A163,database!A:K,11,)</f>
        <v/>
      </c>
    </row>
    <row r="176">
      <c r="A176" s="38" t="n">
        <v>29646</v>
      </c>
      <c r="B176" s="39">
        <f>VLOOKUP(Table8[[#This Row],[Month]],database!A:J,MATCH('Capacity Utilization'!$A$1,database!$A$1:$J$1,),)</f>
        <v/>
      </c>
      <c r="C176" s="68">
        <f>(VLOOKUP(A176,database!A:K,11,) - VLOOKUP(A164,database!A:K,11,))/VLOOKUP(A164,database!A:K,11,)</f>
        <v/>
      </c>
    </row>
    <row r="177">
      <c r="A177" s="38" t="n">
        <v>29677</v>
      </c>
      <c r="B177" s="39">
        <f>VLOOKUP(Table8[[#This Row],[Month]],database!A:J,MATCH('Capacity Utilization'!$A$1,database!$A$1:$J$1,),)</f>
        <v/>
      </c>
      <c r="C177" s="68">
        <f>(VLOOKUP(A177,database!A:K,11,) - VLOOKUP(A165,database!A:K,11,))/VLOOKUP(A165,database!A:K,11,)</f>
        <v/>
      </c>
    </row>
    <row r="178">
      <c r="A178" s="38" t="n">
        <v>29707</v>
      </c>
      <c r="B178" s="39">
        <f>VLOOKUP(Table8[[#This Row],[Month]],database!A:J,MATCH('Capacity Utilization'!$A$1,database!$A$1:$J$1,),)</f>
        <v/>
      </c>
      <c r="C178" s="68">
        <f>(VLOOKUP(A178,database!A:K,11,) - VLOOKUP(A166,database!A:K,11,))/VLOOKUP(A166,database!A:K,11,)</f>
        <v/>
      </c>
    </row>
    <row r="179">
      <c r="A179" s="38" t="n">
        <v>29738</v>
      </c>
      <c r="B179" s="39">
        <f>VLOOKUP(Table8[[#This Row],[Month]],database!A:J,MATCH('Capacity Utilization'!$A$1,database!$A$1:$J$1,),)</f>
        <v/>
      </c>
      <c r="C179" s="68">
        <f>(VLOOKUP(A179,database!A:K,11,) - VLOOKUP(A167,database!A:K,11,))/VLOOKUP(A167,database!A:K,11,)</f>
        <v/>
      </c>
    </row>
    <row r="180">
      <c r="A180" s="38" t="n">
        <v>29768</v>
      </c>
      <c r="B180" s="39">
        <f>VLOOKUP(Table8[[#This Row],[Month]],database!A:J,MATCH('Capacity Utilization'!$A$1,database!$A$1:$J$1,),)</f>
        <v/>
      </c>
      <c r="C180" s="68">
        <f>(VLOOKUP(A180,database!A:K,11,) - VLOOKUP(A168,database!A:K,11,))/VLOOKUP(A168,database!A:K,11,)</f>
        <v/>
      </c>
    </row>
    <row r="181">
      <c r="A181" s="38" t="n">
        <v>29799</v>
      </c>
      <c r="B181" s="39">
        <f>VLOOKUP(Table8[[#This Row],[Month]],database!A:J,MATCH('Capacity Utilization'!$A$1,database!$A$1:$J$1,),)</f>
        <v/>
      </c>
      <c r="C181" s="68">
        <f>(VLOOKUP(A181,database!A:K,11,) - VLOOKUP(A169,database!A:K,11,))/VLOOKUP(A169,database!A:K,11,)</f>
        <v/>
      </c>
    </row>
    <row r="182">
      <c r="A182" s="38" t="n">
        <v>29830</v>
      </c>
      <c r="B182" s="39">
        <f>VLOOKUP(Table8[[#This Row],[Month]],database!A:J,MATCH('Capacity Utilization'!$A$1,database!$A$1:$J$1,),)</f>
        <v/>
      </c>
      <c r="C182" s="68">
        <f>(VLOOKUP(A182,database!A:K,11,) - VLOOKUP(A170,database!A:K,11,))/VLOOKUP(A170,database!A:K,11,)</f>
        <v/>
      </c>
    </row>
    <row r="183">
      <c r="A183" s="38" t="n">
        <v>29860</v>
      </c>
      <c r="B183" s="39">
        <f>VLOOKUP(Table8[[#This Row],[Month]],database!A:J,MATCH('Capacity Utilization'!$A$1,database!$A$1:$J$1,),)</f>
        <v/>
      </c>
      <c r="C183" s="68">
        <f>(VLOOKUP(A183,database!A:K,11,) - VLOOKUP(A171,database!A:K,11,))/VLOOKUP(A171,database!A:K,11,)</f>
        <v/>
      </c>
    </row>
    <row r="184">
      <c r="A184" s="38" t="n">
        <v>29891</v>
      </c>
      <c r="B184" s="39">
        <f>VLOOKUP(Table8[[#This Row],[Month]],database!A:J,MATCH('Capacity Utilization'!$A$1,database!$A$1:$J$1,),)</f>
        <v/>
      </c>
      <c r="C184" s="68">
        <f>(VLOOKUP(A184,database!A:K,11,) - VLOOKUP(A172,database!A:K,11,))/VLOOKUP(A172,database!A:K,11,)</f>
        <v/>
      </c>
    </row>
    <row r="185">
      <c r="A185" s="38" t="n">
        <v>29921</v>
      </c>
      <c r="B185" s="39">
        <f>VLOOKUP(Table8[[#This Row],[Month]],database!A:J,MATCH('Capacity Utilization'!$A$1,database!$A$1:$J$1,),)</f>
        <v/>
      </c>
      <c r="C185" s="68">
        <f>(VLOOKUP(A185,database!A:K,11,) - VLOOKUP(A173,database!A:K,11,))/VLOOKUP(A173,database!A:K,11,)</f>
        <v/>
      </c>
    </row>
    <row r="186">
      <c r="A186" s="38" t="n">
        <v>29952</v>
      </c>
      <c r="B186" s="39">
        <f>VLOOKUP(Table8[[#This Row],[Month]],database!A:J,MATCH('Capacity Utilization'!$A$1,database!$A$1:$J$1,),)</f>
        <v/>
      </c>
      <c r="C186" s="68">
        <f>(VLOOKUP(A186,database!A:K,11,) - VLOOKUP(A174,database!A:K,11,))/VLOOKUP(A174,database!A:K,11,)</f>
        <v/>
      </c>
    </row>
    <row r="187">
      <c r="A187" s="38" t="n">
        <v>29983</v>
      </c>
      <c r="B187" s="39">
        <f>VLOOKUP(Table8[[#This Row],[Month]],database!A:J,MATCH('Capacity Utilization'!$A$1,database!$A$1:$J$1,),)</f>
        <v/>
      </c>
      <c r="C187" s="68">
        <f>(VLOOKUP(A187,database!A:K,11,) - VLOOKUP(A175,database!A:K,11,))/VLOOKUP(A175,database!A:K,11,)</f>
        <v/>
      </c>
    </row>
    <row r="188">
      <c r="A188" s="38" t="n">
        <v>30011</v>
      </c>
      <c r="B188" s="39">
        <f>VLOOKUP(Table8[[#This Row],[Month]],database!A:J,MATCH('Capacity Utilization'!$A$1,database!$A$1:$J$1,),)</f>
        <v/>
      </c>
      <c r="C188" s="68">
        <f>(VLOOKUP(A188,database!A:K,11,) - VLOOKUP(A176,database!A:K,11,))/VLOOKUP(A176,database!A:K,11,)</f>
        <v/>
      </c>
    </row>
    <row r="189">
      <c r="A189" s="38" t="n">
        <v>30042</v>
      </c>
      <c r="B189" s="39">
        <f>VLOOKUP(Table8[[#This Row],[Month]],database!A:J,MATCH('Capacity Utilization'!$A$1,database!$A$1:$J$1,),)</f>
        <v/>
      </c>
      <c r="C189" s="68">
        <f>(VLOOKUP(A189,database!A:K,11,) - VLOOKUP(A177,database!A:K,11,))/VLOOKUP(A177,database!A:K,11,)</f>
        <v/>
      </c>
    </row>
    <row r="190">
      <c r="A190" s="38" t="n">
        <v>30072</v>
      </c>
      <c r="B190" s="39">
        <f>VLOOKUP(Table8[[#This Row],[Month]],database!A:J,MATCH('Capacity Utilization'!$A$1,database!$A$1:$J$1,),)</f>
        <v/>
      </c>
      <c r="C190" s="68">
        <f>(VLOOKUP(A190,database!A:K,11,) - VLOOKUP(A178,database!A:K,11,))/VLOOKUP(A178,database!A:K,11,)</f>
        <v/>
      </c>
    </row>
    <row r="191">
      <c r="A191" s="38" t="n">
        <v>30103</v>
      </c>
      <c r="B191" s="39">
        <f>VLOOKUP(Table8[[#This Row],[Month]],database!A:J,MATCH('Capacity Utilization'!$A$1,database!$A$1:$J$1,),)</f>
        <v/>
      </c>
      <c r="C191" s="68">
        <f>(VLOOKUP(A191,database!A:K,11,) - VLOOKUP(A179,database!A:K,11,))/VLOOKUP(A179,database!A:K,11,)</f>
        <v/>
      </c>
    </row>
    <row r="192">
      <c r="A192" s="38" t="n">
        <v>30133</v>
      </c>
      <c r="B192" s="39">
        <f>VLOOKUP(Table8[[#This Row],[Month]],database!A:J,MATCH('Capacity Utilization'!$A$1,database!$A$1:$J$1,),)</f>
        <v/>
      </c>
      <c r="C192" s="68">
        <f>(VLOOKUP(A192,database!A:K,11,) - VLOOKUP(A180,database!A:K,11,))/VLOOKUP(A180,database!A:K,11,)</f>
        <v/>
      </c>
    </row>
    <row r="193">
      <c r="A193" s="38" t="n">
        <v>30164</v>
      </c>
      <c r="B193" s="39">
        <f>VLOOKUP(Table8[[#This Row],[Month]],database!A:J,MATCH('Capacity Utilization'!$A$1,database!$A$1:$J$1,),)</f>
        <v/>
      </c>
      <c r="C193" s="68">
        <f>(VLOOKUP(A193,database!A:K,11,) - VLOOKUP(A181,database!A:K,11,))/VLOOKUP(A181,database!A:K,11,)</f>
        <v/>
      </c>
    </row>
    <row r="194">
      <c r="A194" s="38" t="n">
        <v>30195</v>
      </c>
      <c r="B194" s="39">
        <f>VLOOKUP(Table8[[#This Row],[Month]],database!A:J,MATCH('Capacity Utilization'!$A$1,database!$A$1:$J$1,),)</f>
        <v/>
      </c>
      <c r="C194" s="68">
        <f>(VLOOKUP(A194,database!A:K,11,) - VLOOKUP(A182,database!A:K,11,))/VLOOKUP(A182,database!A:K,11,)</f>
        <v/>
      </c>
    </row>
    <row r="195">
      <c r="A195" s="38" t="n">
        <v>30225</v>
      </c>
      <c r="B195" s="39">
        <f>VLOOKUP(Table8[[#This Row],[Month]],database!A:J,MATCH('Capacity Utilization'!$A$1,database!$A$1:$J$1,),)</f>
        <v/>
      </c>
      <c r="C195" s="68">
        <f>(VLOOKUP(A195,database!A:K,11,) - VLOOKUP(A183,database!A:K,11,))/VLOOKUP(A183,database!A:K,11,)</f>
        <v/>
      </c>
    </row>
    <row r="196">
      <c r="A196" s="38" t="n">
        <v>30256</v>
      </c>
      <c r="B196" s="39">
        <f>VLOOKUP(Table8[[#This Row],[Month]],database!A:J,MATCH('Capacity Utilization'!$A$1,database!$A$1:$J$1,),)</f>
        <v/>
      </c>
      <c r="C196" s="68">
        <f>(VLOOKUP(A196,database!A:K,11,) - VLOOKUP(A184,database!A:K,11,))/VLOOKUP(A184,database!A:K,11,)</f>
        <v/>
      </c>
    </row>
    <row r="197">
      <c r="A197" s="38" t="n">
        <v>30286</v>
      </c>
      <c r="B197" s="39">
        <f>VLOOKUP(Table8[[#This Row],[Month]],database!A:J,MATCH('Capacity Utilization'!$A$1,database!$A$1:$J$1,),)</f>
        <v/>
      </c>
      <c r="C197" s="68">
        <f>(VLOOKUP(A197,database!A:K,11,) - VLOOKUP(A185,database!A:K,11,))/VLOOKUP(A185,database!A:K,11,)</f>
        <v/>
      </c>
    </row>
    <row r="198">
      <c r="A198" s="38" t="n">
        <v>30317</v>
      </c>
      <c r="B198" s="39">
        <f>VLOOKUP(Table8[[#This Row],[Month]],database!A:J,MATCH('Capacity Utilization'!$A$1,database!$A$1:$J$1,),)</f>
        <v/>
      </c>
      <c r="C198" s="68">
        <f>(VLOOKUP(A198,database!A:K,11,) - VLOOKUP(A186,database!A:K,11,))/VLOOKUP(A186,database!A:K,11,)</f>
        <v/>
      </c>
    </row>
    <row r="199">
      <c r="A199" s="38" t="n">
        <v>30348</v>
      </c>
      <c r="B199" s="39">
        <f>VLOOKUP(Table8[[#This Row],[Month]],database!A:J,MATCH('Capacity Utilization'!$A$1,database!$A$1:$J$1,),)</f>
        <v/>
      </c>
      <c r="C199" s="68">
        <f>(VLOOKUP(A199,database!A:K,11,) - VLOOKUP(A187,database!A:K,11,))/VLOOKUP(A187,database!A:K,11,)</f>
        <v/>
      </c>
    </row>
    <row r="200">
      <c r="A200" s="38" t="n">
        <v>30376</v>
      </c>
      <c r="B200" s="39">
        <f>VLOOKUP(Table8[[#This Row],[Month]],database!A:J,MATCH('Capacity Utilization'!$A$1,database!$A$1:$J$1,),)</f>
        <v/>
      </c>
      <c r="C200" s="68">
        <f>(VLOOKUP(A200,database!A:K,11,) - VLOOKUP(A188,database!A:K,11,))/VLOOKUP(A188,database!A:K,11,)</f>
        <v/>
      </c>
    </row>
    <row r="201">
      <c r="A201" s="38" t="n">
        <v>30407</v>
      </c>
      <c r="B201" s="39">
        <f>VLOOKUP(Table8[[#This Row],[Month]],database!A:J,MATCH('Capacity Utilization'!$A$1,database!$A$1:$J$1,),)</f>
        <v/>
      </c>
      <c r="C201" s="68">
        <f>(VLOOKUP(A201,database!A:K,11,) - VLOOKUP(A189,database!A:K,11,))/VLOOKUP(A189,database!A:K,11,)</f>
        <v/>
      </c>
    </row>
    <row r="202">
      <c r="A202" s="38" t="n">
        <v>30437</v>
      </c>
      <c r="B202" s="39">
        <f>VLOOKUP(Table8[[#This Row],[Month]],database!A:J,MATCH('Capacity Utilization'!$A$1,database!$A$1:$J$1,),)</f>
        <v/>
      </c>
      <c r="C202" s="68">
        <f>(VLOOKUP(A202,database!A:K,11,) - VLOOKUP(A190,database!A:K,11,))/VLOOKUP(A190,database!A:K,11,)</f>
        <v/>
      </c>
    </row>
    <row r="203">
      <c r="A203" s="38" t="n">
        <v>30468</v>
      </c>
      <c r="B203" s="39">
        <f>VLOOKUP(Table8[[#This Row],[Month]],database!A:J,MATCH('Capacity Utilization'!$A$1,database!$A$1:$J$1,),)</f>
        <v/>
      </c>
      <c r="C203" s="68">
        <f>(VLOOKUP(A203,database!A:K,11,) - VLOOKUP(A191,database!A:K,11,))/VLOOKUP(A191,database!A:K,11,)</f>
        <v/>
      </c>
    </row>
    <row r="204">
      <c r="A204" s="38" t="n">
        <v>30498</v>
      </c>
      <c r="B204" s="39">
        <f>VLOOKUP(Table8[[#This Row],[Month]],database!A:J,MATCH('Capacity Utilization'!$A$1,database!$A$1:$J$1,),)</f>
        <v/>
      </c>
      <c r="C204" s="68">
        <f>(VLOOKUP(A204,database!A:K,11,) - VLOOKUP(A192,database!A:K,11,))/VLOOKUP(A192,database!A:K,11,)</f>
        <v/>
      </c>
    </row>
    <row r="205">
      <c r="A205" s="38" t="n">
        <v>30529</v>
      </c>
      <c r="B205" s="39">
        <f>VLOOKUP(Table8[[#This Row],[Month]],database!A:J,MATCH('Capacity Utilization'!$A$1,database!$A$1:$J$1,),)</f>
        <v/>
      </c>
      <c r="C205" s="68">
        <f>(VLOOKUP(A205,database!A:K,11,) - VLOOKUP(A193,database!A:K,11,))/VLOOKUP(A193,database!A:K,11,)</f>
        <v/>
      </c>
    </row>
    <row r="206">
      <c r="A206" s="38" t="n">
        <v>30560</v>
      </c>
      <c r="B206" s="39">
        <f>VLOOKUP(Table8[[#This Row],[Month]],database!A:J,MATCH('Capacity Utilization'!$A$1,database!$A$1:$J$1,),)</f>
        <v/>
      </c>
      <c r="C206" s="68">
        <f>(VLOOKUP(A206,database!A:K,11,) - VLOOKUP(A194,database!A:K,11,))/VLOOKUP(A194,database!A:K,11,)</f>
        <v/>
      </c>
    </row>
    <row r="207">
      <c r="A207" s="38" t="n">
        <v>30590</v>
      </c>
      <c r="B207" s="39">
        <f>VLOOKUP(Table8[[#This Row],[Month]],database!A:J,MATCH('Capacity Utilization'!$A$1,database!$A$1:$J$1,),)</f>
        <v/>
      </c>
      <c r="C207" s="68">
        <f>(VLOOKUP(A207,database!A:K,11,) - VLOOKUP(A195,database!A:K,11,))/VLOOKUP(A195,database!A:K,11,)</f>
        <v/>
      </c>
    </row>
    <row r="208">
      <c r="A208" s="38" t="n">
        <v>30621</v>
      </c>
      <c r="B208" s="39">
        <f>VLOOKUP(Table8[[#This Row],[Month]],database!A:J,MATCH('Capacity Utilization'!$A$1,database!$A$1:$J$1,),)</f>
        <v/>
      </c>
      <c r="C208" s="68">
        <f>(VLOOKUP(A208,database!A:K,11,) - VLOOKUP(A196,database!A:K,11,))/VLOOKUP(A196,database!A:K,11,)</f>
        <v/>
      </c>
    </row>
    <row r="209">
      <c r="A209" s="38" t="n">
        <v>30651</v>
      </c>
      <c r="B209" s="39">
        <f>VLOOKUP(Table8[[#This Row],[Month]],database!A:J,MATCH('Capacity Utilization'!$A$1,database!$A$1:$J$1,),)</f>
        <v/>
      </c>
      <c r="C209" s="68">
        <f>(VLOOKUP(A209,database!A:K,11,) - VLOOKUP(A197,database!A:K,11,))/VLOOKUP(A197,database!A:K,11,)</f>
        <v/>
      </c>
    </row>
    <row r="210">
      <c r="A210" s="38" t="n">
        <v>30682</v>
      </c>
      <c r="B210" s="39">
        <f>VLOOKUP(Table8[[#This Row],[Month]],database!A:J,MATCH('Capacity Utilization'!$A$1,database!$A$1:$J$1,),)</f>
        <v/>
      </c>
      <c r="C210" s="68">
        <f>(VLOOKUP(A210,database!A:K,11,) - VLOOKUP(A198,database!A:K,11,))/VLOOKUP(A198,database!A:K,11,)</f>
        <v/>
      </c>
    </row>
    <row r="211">
      <c r="A211" s="38" t="n">
        <v>30713</v>
      </c>
      <c r="B211" s="39">
        <f>VLOOKUP(Table8[[#This Row],[Month]],database!A:J,MATCH('Capacity Utilization'!$A$1,database!$A$1:$J$1,),)</f>
        <v/>
      </c>
      <c r="C211" s="68">
        <f>(VLOOKUP(A211,database!A:K,11,) - VLOOKUP(A199,database!A:K,11,))/VLOOKUP(A199,database!A:K,11,)</f>
        <v/>
      </c>
    </row>
    <row r="212">
      <c r="A212" s="38" t="n">
        <v>30742</v>
      </c>
      <c r="B212" s="39">
        <f>VLOOKUP(Table8[[#This Row],[Month]],database!A:J,MATCH('Capacity Utilization'!$A$1,database!$A$1:$J$1,),)</f>
        <v/>
      </c>
      <c r="C212" s="68">
        <f>(VLOOKUP(A212,database!A:K,11,) - VLOOKUP(A200,database!A:K,11,))/VLOOKUP(A200,database!A:K,11,)</f>
        <v/>
      </c>
    </row>
    <row r="213">
      <c r="A213" s="38" t="n">
        <v>30773</v>
      </c>
      <c r="B213" s="39">
        <f>VLOOKUP(Table8[[#This Row],[Month]],database!A:J,MATCH('Capacity Utilization'!$A$1,database!$A$1:$J$1,),)</f>
        <v/>
      </c>
      <c r="C213" s="68">
        <f>(VLOOKUP(A213,database!A:K,11,) - VLOOKUP(A201,database!A:K,11,))/VLOOKUP(A201,database!A:K,11,)</f>
        <v/>
      </c>
    </row>
    <row r="214">
      <c r="A214" s="38" t="n">
        <v>30803</v>
      </c>
      <c r="B214" s="39">
        <f>VLOOKUP(Table8[[#This Row],[Month]],database!A:J,MATCH('Capacity Utilization'!$A$1,database!$A$1:$J$1,),)</f>
        <v/>
      </c>
      <c r="C214" s="68">
        <f>(VLOOKUP(A214,database!A:K,11,) - VLOOKUP(A202,database!A:K,11,))/VLOOKUP(A202,database!A:K,11,)</f>
        <v/>
      </c>
    </row>
    <row r="215">
      <c r="A215" s="38" t="n">
        <v>30834</v>
      </c>
      <c r="B215" s="39">
        <f>VLOOKUP(Table8[[#This Row],[Month]],database!A:J,MATCH('Capacity Utilization'!$A$1,database!$A$1:$J$1,),)</f>
        <v/>
      </c>
      <c r="C215" s="68">
        <f>(VLOOKUP(A215,database!A:K,11,) - VLOOKUP(A203,database!A:K,11,))/VLOOKUP(A203,database!A:K,11,)</f>
        <v/>
      </c>
    </row>
    <row r="216">
      <c r="A216" s="38" t="n">
        <v>30864</v>
      </c>
      <c r="B216" s="39">
        <f>VLOOKUP(Table8[[#This Row],[Month]],database!A:J,MATCH('Capacity Utilization'!$A$1,database!$A$1:$J$1,),)</f>
        <v/>
      </c>
      <c r="C216" s="68">
        <f>(VLOOKUP(A216,database!A:K,11,) - VLOOKUP(A204,database!A:K,11,))/VLOOKUP(A204,database!A:K,11,)</f>
        <v/>
      </c>
    </row>
    <row r="217">
      <c r="A217" s="38" t="n">
        <v>30895</v>
      </c>
      <c r="B217" s="39">
        <f>VLOOKUP(Table8[[#This Row],[Month]],database!A:J,MATCH('Capacity Utilization'!$A$1,database!$A$1:$J$1,),)</f>
        <v/>
      </c>
      <c r="C217" s="68">
        <f>(VLOOKUP(A217,database!A:K,11,) - VLOOKUP(A205,database!A:K,11,))/VLOOKUP(A205,database!A:K,11,)</f>
        <v/>
      </c>
    </row>
    <row r="218">
      <c r="A218" s="38" t="n">
        <v>30926</v>
      </c>
      <c r="B218" s="39">
        <f>VLOOKUP(Table8[[#This Row],[Month]],database!A:J,MATCH('Capacity Utilization'!$A$1,database!$A$1:$J$1,),)</f>
        <v/>
      </c>
      <c r="C218" s="68">
        <f>(VLOOKUP(A218,database!A:K,11,) - VLOOKUP(A206,database!A:K,11,))/VLOOKUP(A206,database!A:K,11,)</f>
        <v/>
      </c>
    </row>
    <row r="219">
      <c r="A219" s="38" t="n">
        <v>30956</v>
      </c>
      <c r="B219" s="39">
        <f>VLOOKUP(Table8[[#This Row],[Month]],database!A:J,MATCH('Capacity Utilization'!$A$1,database!$A$1:$J$1,),)</f>
        <v/>
      </c>
      <c r="C219" s="68">
        <f>(VLOOKUP(A219,database!A:K,11,) - VLOOKUP(A207,database!A:K,11,))/VLOOKUP(A207,database!A:K,11,)</f>
        <v/>
      </c>
    </row>
    <row r="220">
      <c r="A220" s="38" t="n">
        <v>30987</v>
      </c>
      <c r="B220" s="39">
        <f>VLOOKUP(Table8[[#This Row],[Month]],database!A:J,MATCH('Capacity Utilization'!$A$1,database!$A$1:$J$1,),)</f>
        <v/>
      </c>
      <c r="C220" s="68">
        <f>(VLOOKUP(A220,database!A:K,11,) - VLOOKUP(A208,database!A:K,11,))/VLOOKUP(A208,database!A:K,11,)</f>
        <v/>
      </c>
    </row>
    <row r="221">
      <c r="A221" s="38" t="n">
        <v>31017</v>
      </c>
      <c r="B221" s="39">
        <f>VLOOKUP(Table8[[#This Row],[Month]],database!A:J,MATCH('Capacity Utilization'!$A$1,database!$A$1:$J$1,),)</f>
        <v/>
      </c>
      <c r="C221" s="68">
        <f>(VLOOKUP(A221,database!A:K,11,) - VLOOKUP(A209,database!A:K,11,))/VLOOKUP(A209,database!A:K,11,)</f>
        <v/>
      </c>
    </row>
    <row r="222">
      <c r="A222" s="38" t="n">
        <v>31048</v>
      </c>
      <c r="B222" s="39">
        <f>VLOOKUP(Table8[[#This Row],[Month]],database!A:J,MATCH('Capacity Utilization'!$A$1,database!$A$1:$J$1,),)</f>
        <v/>
      </c>
      <c r="C222" s="68">
        <f>(VLOOKUP(A222,database!A:K,11,) - VLOOKUP(A210,database!A:K,11,))/VLOOKUP(A210,database!A:K,11,)</f>
        <v/>
      </c>
    </row>
    <row r="223">
      <c r="A223" s="38" t="n">
        <v>31079</v>
      </c>
      <c r="B223" s="39">
        <f>VLOOKUP(Table8[[#This Row],[Month]],database!A:J,MATCH('Capacity Utilization'!$A$1,database!$A$1:$J$1,),)</f>
        <v/>
      </c>
      <c r="C223" s="68">
        <f>(VLOOKUP(A223,database!A:K,11,) - VLOOKUP(A211,database!A:K,11,))/VLOOKUP(A211,database!A:K,11,)</f>
        <v/>
      </c>
    </row>
    <row r="224">
      <c r="A224" s="38" t="n">
        <v>31107</v>
      </c>
      <c r="B224" s="39">
        <f>VLOOKUP(Table8[[#This Row],[Month]],database!A:J,MATCH('Capacity Utilization'!$A$1,database!$A$1:$J$1,),)</f>
        <v/>
      </c>
      <c r="C224" s="68">
        <f>(VLOOKUP(A224,database!A:K,11,) - VLOOKUP(A212,database!A:K,11,))/VLOOKUP(A212,database!A:K,11,)</f>
        <v/>
      </c>
    </row>
    <row r="225">
      <c r="A225" s="38" t="n">
        <v>31138</v>
      </c>
      <c r="B225" s="39">
        <f>VLOOKUP(Table8[[#This Row],[Month]],database!A:J,MATCH('Capacity Utilization'!$A$1,database!$A$1:$J$1,),)</f>
        <v/>
      </c>
      <c r="C225" s="68">
        <f>(VLOOKUP(A225,database!A:K,11,) - VLOOKUP(A213,database!A:K,11,))/VLOOKUP(A213,database!A:K,11,)</f>
        <v/>
      </c>
    </row>
    <row r="226">
      <c r="A226" s="38" t="n">
        <v>31168</v>
      </c>
      <c r="B226" s="39">
        <f>VLOOKUP(Table8[[#This Row],[Month]],database!A:J,MATCH('Capacity Utilization'!$A$1,database!$A$1:$J$1,),)</f>
        <v/>
      </c>
      <c r="C226" s="68">
        <f>(VLOOKUP(A226,database!A:K,11,) - VLOOKUP(A214,database!A:K,11,))/VLOOKUP(A214,database!A:K,11,)</f>
        <v/>
      </c>
    </row>
    <row r="227">
      <c r="A227" s="38" t="n">
        <v>31199</v>
      </c>
      <c r="B227" s="39">
        <f>VLOOKUP(Table8[[#This Row],[Month]],database!A:J,MATCH('Capacity Utilization'!$A$1,database!$A$1:$J$1,),)</f>
        <v/>
      </c>
      <c r="C227" s="68">
        <f>(VLOOKUP(A227,database!A:K,11,) - VLOOKUP(A215,database!A:K,11,))/VLOOKUP(A215,database!A:K,11,)</f>
        <v/>
      </c>
    </row>
    <row r="228">
      <c r="A228" s="38" t="n">
        <v>31229</v>
      </c>
      <c r="B228" s="39">
        <f>VLOOKUP(Table8[[#This Row],[Month]],database!A:J,MATCH('Capacity Utilization'!$A$1,database!$A$1:$J$1,),)</f>
        <v/>
      </c>
      <c r="C228" s="68">
        <f>(VLOOKUP(A228,database!A:K,11,) - VLOOKUP(A216,database!A:K,11,))/VLOOKUP(A216,database!A:K,11,)</f>
        <v/>
      </c>
    </row>
    <row r="229">
      <c r="A229" s="38" t="n">
        <v>31260</v>
      </c>
      <c r="B229" s="39">
        <f>VLOOKUP(Table8[[#This Row],[Month]],database!A:J,MATCH('Capacity Utilization'!$A$1,database!$A$1:$J$1,),)</f>
        <v/>
      </c>
      <c r="C229" s="68">
        <f>(VLOOKUP(A229,database!A:K,11,) - VLOOKUP(A217,database!A:K,11,))/VLOOKUP(A217,database!A:K,11,)</f>
        <v/>
      </c>
    </row>
    <row r="230">
      <c r="A230" s="38" t="n">
        <v>31291</v>
      </c>
      <c r="B230" s="39">
        <f>VLOOKUP(Table8[[#This Row],[Month]],database!A:J,MATCH('Capacity Utilization'!$A$1,database!$A$1:$J$1,),)</f>
        <v/>
      </c>
      <c r="C230" s="68">
        <f>(VLOOKUP(A230,database!A:K,11,) - VLOOKUP(A218,database!A:K,11,))/VLOOKUP(A218,database!A:K,11,)</f>
        <v/>
      </c>
    </row>
    <row r="231">
      <c r="A231" s="38" t="n">
        <v>31321</v>
      </c>
      <c r="B231" s="39">
        <f>VLOOKUP(Table8[[#This Row],[Month]],database!A:J,MATCH('Capacity Utilization'!$A$1,database!$A$1:$J$1,),)</f>
        <v/>
      </c>
      <c r="C231" s="68">
        <f>(VLOOKUP(A231,database!A:K,11,) - VLOOKUP(A219,database!A:K,11,))/VLOOKUP(A219,database!A:K,11,)</f>
        <v/>
      </c>
    </row>
    <row r="232">
      <c r="A232" s="38" t="n">
        <v>31352</v>
      </c>
      <c r="B232" s="39">
        <f>VLOOKUP(Table8[[#This Row],[Month]],database!A:J,MATCH('Capacity Utilization'!$A$1,database!$A$1:$J$1,),)</f>
        <v/>
      </c>
      <c r="C232" s="68">
        <f>(VLOOKUP(A232,database!A:K,11,) - VLOOKUP(A220,database!A:K,11,))/VLOOKUP(A220,database!A:K,11,)</f>
        <v/>
      </c>
    </row>
    <row r="233">
      <c r="A233" s="38" t="n">
        <v>31382</v>
      </c>
      <c r="B233" s="39">
        <f>VLOOKUP(Table8[[#This Row],[Month]],database!A:J,MATCH('Capacity Utilization'!$A$1,database!$A$1:$J$1,),)</f>
        <v/>
      </c>
      <c r="C233" s="68">
        <f>(VLOOKUP(A233,database!A:K,11,) - VLOOKUP(A221,database!A:K,11,))/VLOOKUP(A221,database!A:K,11,)</f>
        <v/>
      </c>
    </row>
    <row r="234">
      <c r="A234" s="38" t="n">
        <v>31413</v>
      </c>
      <c r="B234" s="39">
        <f>VLOOKUP(Table8[[#This Row],[Month]],database!A:J,MATCH('Capacity Utilization'!$A$1,database!$A$1:$J$1,),)</f>
        <v/>
      </c>
      <c r="C234" s="68">
        <f>(VLOOKUP(A234,database!A:K,11,) - VLOOKUP(A222,database!A:K,11,))/VLOOKUP(A222,database!A:K,11,)</f>
        <v/>
      </c>
    </row>
    <row r="235">
      <c r="A235" s="38" t="n">
        <v>31444</v>
      </c>
      <c r="B235" s="39">
        <f>VLOOKUP(Table8[[#This Row],[Month]],database!A:J,MATCH('Capacity Utilization'!$A$1,database!$A$1:$J$1,),)</f>
        <v/>
      </c>
      <c r="C235" s="68">
        <f>(VLOOKUP(A235,database!A:K,11,) - VLOOKUP(A223,database!A:K,11,))/VLOOKUP(A223,database!A:K,11,)</f>
        <v/>
      </c>
    </row>
    <row r="236">
      <c r="A236" s="38" t="n">
        <v>31472</v>
      </c>
      <c r="B236" s="39">
        <f>VLOOKUP(Table8[[#This Row],[Month]],database!A:J,MATCH('Capacity Utilization'!$A$1,database!$A$1:$J$1,),)</f>
        <v/>
      </c>
      <c r="C236" s="68">
        <f>(VLOOKUP(A236,database!A:K,11,) - VLOOKUP(A224,database!A:K,11,))/VLOOKUP(A224,database!A:K,11,)</f>
        <v/>
      </c>
    </row>
    <row r="237">
      <c r="A237" s="38" t="n">
        <v>31503</v>
      </c>
      <c r="B237" s="39">
        <f>VLOOKUP(Table8[[#This Row],[Month]],database!A:J,MATCH('Capacity Utilization'!$A$1,database!$A$1:$J$1,),)</f>
        <v/>
      </c>
      <c r="C237" s="68">
        <f>(VLOOKUP(A237,database!A:K,11,) - VLOOKUP(A225,database!A:K,11,))/VLOOKUP(A225,database!A:K,11,)</f>
        <v/>
      </c>
    </row>
    <row r="238">
      <c r="A238" s="38" t="n">
        <v>31533</v>
      </c>
      <c r="B238" s="39">
        <f>VLOOKUP(Table8[[#This Row],[Month]],database!A:J,MATCH('Capacity Utilization'!$A$1,database!$A$1:$J$1,),)</f>
        <v/>
      </c>
      <c r="C238" s="68">
        <f>(VLOOKUP(A238,database!A:K,11,) - VLOOKUP(A226,database!A:K,11,))/VLOOKUP(A226,database!A:K,11,)</f>
        <v/>
      </c>
    </row>
    <row r="239">
      <c r="A239" s="38" t="n">
        <v>31564</v>
      </c>
      <c r="B239" s="39">
        <f>VLOOKUP(Table8[[#This Row],[Month]],database!A:J,MATCH('Capacity Utilization'!$A$1,database!$A$1:$J$1,),)</f>
        <v/>
      </c>
      <c r="C239" s="68">
        <f>(VLOOKUP(A239,database!A:K,11,) - VLOOKUP(A227,database!A:K,11,))/VLOOKUP(A227,database!A:K,11,)</f>
        <v/>
      </c>
    </row>
    <row r="240">
      <c r="A240" s="38" t="n">
        <v>31594</v>
      </c>
      <c r="B240" s="39">
        <f>VLOOKUP(Table8[[#This Row],[Month]],database!A:J,MATCH('Capacity Utilization'!$A$1,database!$A$1:$J$1,),)</f>
        <v/>
      </c>
      <c r="C240" s="68">
        <f>(VLOOKUP(A240,database!A:K,11,) - VLOOKUP(A228,database!A:K,11,))/VLOOKUP(A228,database!A:K,11,)</f>
        <v/>
      </c>
    </row>
    <row r="241">
      <c r="A241" s="38" t="n">
        <v>31625</v>
      </c>
      <c r="B241" s="39">
        <f>VLOOKUP(Table8[[#This Row],[Month]],database!A:J,MATCH('Capacity Utilization'!$A$1,database!$A$1:$J$1,),)</f>
        <v/>
      </c>
      <c r="C241" s="68">
        <f>(VLOOKUP(A241,database!A:K,11,) - VLOOKUP(A229,database!A:K,11,))/VLOOKUP(A229,database!A:K,11,)</f>
        <v/>
      </c>
    </row>
    <row r="242">
      <c r="A242" s="38" t="n">
        <v>31656</v>
      </c>
      <c r="B242" s="39">
        <f>VLOOKUP(Table8[[#This Row],[Month]],database!A:J,MATCH('Capacity Utilization'!$A$1,database!$A$1:$J$1,),)</f>
        <v/>
      </c>
      <c r="C242" s="68">
        <f>(VLOOKUP(A242,database!A:K,11,) - VLOOKUP(A230,database!A:K,11,))/VLOOKUP(A230,database!A:K,11,)</f>
        <v/>
      </c>
    </row>
    <row r="243">
      <c r="A243" s="38" t="n">
        <v>31686</v>
      </c>
      <c r="B243" s="39">
        <f>VLOOKUP(Table8[[#This Row],[Month]],database!A:J,MATCH('Capacity Utilization'!$A$1,database!$A$1:$J$1,),)</f>
        <v/>
      </c>
      <c r="C243" s="68">
        <f>(VLOOKUP(A243,database!A:K,11,) - VLOOKUP(A231,database!A:K,11,))/VLOOKUP(A231,database!A:K,11,)</f>
        <v/>
      </c>
    </row>
    <row r="244">
      <c r="A244" s="38" t="n">
        <v>31717</v>
      </c>
      <c r="B244" s="39">
        <f>VLOOKUP(Table8[[#This Row],[Month]],database!A:J,MATCH('Capacity Utilization'!$A$1,database!$A$1:$J$1,),)</f>
        <v/>
      </c>
      <c r="C244" s="68">
        <f>(VLOOKUP(A244,database!A:K,11,) - VLOOKUP(A232,database!A:K,11,))/VLOOKUP(A232,database!A:K,11,)</f>
        <v/>
      </c>
    </row>
    <row r="245">
      <c r="A245" s="38" t="n">
        <v>31747</v>
      </c>
      <c r="B245" s="39">
        <f>VLOOKUP(Table8[[#This Row],[Month]],database!A:J,MATCH('Capacity Utilization'!$A$1,database!$A$1:$J$1,),)</f>
        <v/>
      </c>
      <c r="C245" s="68">
        <f>(VLOOKUP(A245,database!A:K,11,) - VLOOKUP(A233,database!A:K,11,))/VLOOKUP(A233,database!A:K,11,)</f>
        <v/>
      </c>
    </row>
    <row r="246">
      <c r="A246" s="38" t="n">
        <v>31778</v>
      </c>
      <c r="B246" s="39">
        <f>VLOOKUP(Table8[[#This Row],[Month]],database!A:J,MATCH('Capacity Utilization'!$A$1,database!$A$1:$J$1,),)</f>
        <v/>
      </c>
      <c r="C246" s="68">
        <f>(VLOOKUP(A246,database!A:K,11,) - VLOOKUP(A234,database!A:K,11,))/VLOOKUP(A234,database!A:K,11,)</f>
        <v/>
      </c>
    </row>
    <row r="247">
      <c r="A247" s="38" t="n">
        <v>31809</v>
      </c>
      <c r="B247" s="39">
        <f>VLOOKUP(Table8[[#This Row],[Month]],database!A:J,MATCH('Capacity Utilization'!$A$1,database!$A$1:$J$1,),)</f>
        <v/>
      </c>
      <c r="C247" s="68">
        <f>(VLOOKUP(A247,database!A:K,11,) - VLOOKUP(A235,database!A:K,11,))/VLOOKUP(A235,database!A:K,11,)</f>
        <v/>
      </c>
    </row>
    <row r="248">
      <c r="A248" s="38" t="n">
        <v>31837</v>
      </c>
      <c r="B248" s="39">
        <f>VLOOKUP(Table8[[#This Row],[Month]],database!A:J,MATCH('Capacity Utilization'!$A$1,database!$A$1:$J$1,),)</f>
        <v/>
      </c>
      <c r="C248" s="68">
        <f>(VLOOKUP(A248,database!A:K,11,) - VLOOKUP(A236,database!A:K,11,))/VLOOKUP(A236,database!A:K,11,)</f>
        <v/>
      </c>
    </row>
    <row r="249">
      <c r="A249" s="38" t="n">
        <v>31868</v>
      </c>
      <c r="B249" s="39">
        <f>VLOOKUP(Table8[[#This Row],[Month]],database!A:J,MATCH('Capacity Utilization'!$A$1,database!$A$1:$J$1,),)</f>
        <v/>
      </c>
      <c r="C249" s="68">
        <f>(VLOOKUP(A249,database!A:K,11,) - VLOOKUP(A237,database!A:K,11,))/VLOOKUP(A237,database!A:K,11,)</f>
        <v/>
      </c>
    </row>
    <row r="250">
      <c r="A250" s="38" t="n">
        <v>31898</v>
      </c>
      <c r="B250" s="39">
        <f>VLOOKUP(Table8[[#This Row],[Month]],database!A:J,MATCH('Capacity Utilization'!$A$1,database!$A$1:$J$1,),)</f>
        <v/>
      </c>
      <c r="C250" s="68">
        <f>(VLOOKUP(A250,database!A:K,11,) - VLOOKUP(A238,database!A:K,11,))/VLOOKUP(A238,database!A:K,11,)</f>
        <v/>
      </c>
    </row>
    <row r="251">
      <c r="A251" s="38" t="n">
        <v>31929</v>
      </c>
      <c r="B251" s="39">
        <f>VLOOKUP(Table8[[#This Row],[Month]],database!A:J,MATCH('Capacity Utilization'!$A$1,database!$A$1:$J$1,),)</f>
        <v/>
      </c>
      <c r="C251" s="68">
        <f>(VLOOKUP(A251,database!A:K,11,) - VLOOKUP(A239,database!A:K,11,))/VLOOKUP(A239,database!A:K,11,)</f>
        <v/>
      </c>
    </row>
    <row r="252">
      <c r="A252" s="38" t="n">
        <v>31959</v>
      </c>
      <c r="B252" s="39">
        <f>VLOOKUP(Table8[[#This Row],[Month]],database!A:J,MATCH('Capacity Utilization'!$A$1,database!$A$1:$J$1,),)</f>
        <v/>
      </c>
      <c r="C252" s="68">
        <f>(VLOOKUP(A252,database!A:K,11,) - VLOOKUP(A240,database!A:K,11,))/VLOOKUP(A240,database!A:K,11,)</f>
        <v/>
      </c>
    </row>
    <row r="253">
      <c r="A253" s="38" t="n">
        <v>31990</v>
      </c>
      <c r="B253" s="39">
        <f>VLOOKUP(Table8[[#This Row],[Month]],database!A:J,MATCH('Capacity Utilization'!$A$1,database!$A$1:$J$1,),)</f>
        <v/>
      </c>
      <c r="C253" s="68">
        <f>(VLOOKUP(A253,database!A:K,11,) - VLOOKUP(A241,database!A:K,11,))/VLOOKUP(A241,database!A:K,11,)</f>
        <v/>
      </c>
    </row>
    <row r="254">
      <c r="A254" s="38" t="n">
        <v>32021</v>
      </c>
      <c r="B254" s="39">
        <f>VLOOKUP(Table8[[#This Row],[Month]],database!A:J,MATCH('Capacity Utilization'!$A$1,database!$A$1:$J$1,),)</f>
        <v/>
      </c>
      <c r="C254" s="68">
        <f>(VLOOKUP(A254,database!A:K,11,) - VLOOKUP(A242,database!A:K,11,))/VLOOKUP(A242,database!A:K,11,)</f>
        <v/>
      </c>
    </row>
    <row r="255">
      <c r="A255" s="38" t="n">
        <v>32051</v>
      </c>
      <c r="B255" s="39">
        <f>VLOOKUP(Table8[[#This Row],[Month]],database!A:J,MATCH('Capacity Utilization'!$A$1,database!$A$1:$J$1,),)</f>
        <v/>
      </c>
      <c r="C255" s="68">
        <f>(VLOOKUP(A255,database!A:K,11,) - VLOOKUP(A243,database!A:K,11,))/VLOOKUP(A243,database!A:K,11,)</f>
        <v/>
      </c>
    </row>
    <row r="256">
      <c r="A256" s="38" t="n">
        <v>32082</v>
      </c>
      <c r="B256" s="39">
        <f>VLOOKUP(Table8[[#This Row],[Month]],database!A:J,MATCH('Capacity Utilization'!$A$1,database!$A$1:$J$1,),)</f>
        <v/>
      </c>
      <c r="C256" s="68">
        <f>(VLOOKUP(A256,database!A:K,11,) - VLOOKUP(A244,database!A:K,11,))/VLOOKUP(A244,database!A:K,11,)</f>
        <v/>
      </c>
    </row>
    <row r="257">
      <c r="A257" s="38" t="n">
        <v>32112</v>
      </c>
      <c r="B257" s="39">
        <f>VLOOKUP(Table8[[#This Row],[Month]],database!A:J,MATCH('Capacity Utilization'!$A$1,database!$A$1:$J$1,),)</f>
        <v/>
      </c>
      <c r="C257" s="68">
        <f>(VLOOKUP(A257,database!A:K,11,) - VLOOKUP(A245,database!A:K,11,))/VLOOKUP(A245,database!A:K,11,)</f>
        <v/>
      </c>
    </row>
    <row r="258">
      <c r="A258" s="38" t="n">
        <v>32143</v>
      </c>
      <c r="B258" s="39">
        <f>VLOOKUP(Table8[[#This Row],[Month]],database!A:J,MATCH('Capacity Utilization'!$A$1,database!$A$1:$J$1,),)</f>
        <v/>
      </c>
      <c r="C258" s="68">
        <f>(VLOOKUP(A258,database!A:K,11,) - VLOOKUP(A246,database!A:K,11,))/VLOOKUP(A246,database!A:K,11,)</f>
        <v/>
      </c>
    </row>
    <row r="259">
      <c r="A259" s="38" t="n">
        <v>32174</v>
      </c>
      <c r="B259" s="39">
        <f>VLOOKUP(Table8[[#This Row],[Month]],database!A:J,MATCH('Capacity Utilization'!$A$1,database!$A$1:$J$1,),)</f>
        <v/>
      </c>
      <c r="C259" s="68">
        <f>(VLOOKUP(A259,database!A:K,11,) - VLOOKUP(A247,database!A:K,11,))/VLOOKUP(A247,database!A:K,11,)</f>
        <v/>
      </c>
    </row>
    <row r="260">
      <c r="A260" s="38" t="n">
        <v>32203</v>
      </c>
      <c r="B260" s="39">
        <f>VLOOKUP(Table8[[#This Row],[Month]],database!A:J,MATCH('Capacity Utilization'!$A$1,database!$A$1:$J$1,),)</f>
        <v/>
      </c>
      <c r="C260" s="68">
        <f>(VLOOKUP(A260,database!A:K,11,) - VLOOKUP(A248,database!A:K,11,))/VLOOKUP(A248,database!A:K,11,)</f>
        <v/>
      </c>
    </row>
    <row r="261">
      <c r="A261" s="38" t="n">
        <v>32234</v>
      </c>
      <c r="B261" s="39">
        <f>VLOOKUP(Table8[[#This Row],[Month]],database!A:J,MATCH('Capacity Utilization'!$A$1,database!$A$1:$J$1,),)</f>
        <v/>
      </c>
      <c r="C261" s="68">
        <f>(VLOOKUP(A261,database!A:K,11,) - VLOOKUP(A249,database!A:K,11,))/VLOOKUP(A249,database!A:K,11,)</f>
        <v/>
      </c>
    </row>
    <row r="262">
      <c r="A262" s="38" t="n">
        <v>32264</v>
      </c>
      <c r="B262" s="39">
        <f>VLOOKUP(Table8[[#This Row],[Month]],database!A:J,MATCH('Capacity Utilization'!$A$1,database!$A$1:$J$1,),)</f>
        <v/>
      </c>
      <c r="C262" s="68">
        <f>(VLOOKUP(A262,database!A:K,11,) - VLOOKUP(A250,database!A:K,11,))/VLOOKUP(A250,database!A:K,11,)</f>
        <v/>
      </c>
    </row>
    <row r="263">
      <c r="A263" s="38" t="n">
        <v>32295</v>
      </c>
      <c r="B263" s="39">
        <f>VLOOKUP(Table8[[#This Row],[Month]],database!A:J,MATCH('Capacity Utilization'!$A$1,database!$A$1:$J$1,),)</f>
        <v/>
      </c>
      <c r="C263" s="68">
        <f>(VLOOKUP(A263,database!A:K,11,) - VLOOKUP(A251,database!A:K,11,))/VLOOKUP(A251,database!A:K,11,)</f>
        <v/>
      </c>
    </row>
    <row r="264">
      <c r="A264" s="38" t="n">
        <v>32325</v>
      </c>
      <c r="B264" s="39">
        <f>VLOOKUP(Table8[[#This Row],[Month]],database!A:J,MATCH('Capacity Utilization'!$A$1,database!$A$1:$J$1,),)</f>
        <v/>
      </c>
      <c r="C264" s="68">
        <f>(VLOOKUP(A264,database!A:K,11,) - VLOOKUP(A252,database!A:K,11,))/VLOOKUP(A252,database!A:K,11,)</f>
        <v/>
      </c>
    </row>
    <row r="265">
      <c r="A265" s="38" t="n">
        <v>32356</v>
      </c>
      <c r="B265" s="39">
        <f>VLOOKUP(Table8[[#This Row],[Month]],database!A:J,MATCH('Capacity Utilization'!$A$1,database!$A$1:$J$1,),)</f>
        <v/>
      </c>
      <c r="C265" s="68">
        <f>(VLOOKUP(A265,database!A:K,11,) - VLOOKUP(A253,database!A:K,11,))/VLOOKUP(A253,database!A:K,11,)</f>
        <v/>
      </c>
    </row>
    <row r="266">
      <c r="A266" s="38" t="n">
        <v>32387</v>
      </c>
      <c r="B266" s="39">
        <f>VLOOKUP(Table8[[#This Row],[Month]],database!A:J,MATCH('Capacity Utilization'!$A$1,database!$A$1:$J$1,),)</f>
        <v/>
      </c>
      <c r="C266" s="68">
        <f>(VLOOKUP(A266,database!A:K,11,) - VLOOKUP(A254,database!A:K,11,))/VLOOKUP(A254,database!A:K,11,)</f>
        <v/>
      </c>
    </row>
    <row r="267">
      <c r="A267" s="38" t="n">
        <v>32417</v>
      </c>
      <c r="B267" s="39">
        <f>VLOOKUP(Table8[[#This Row],[Month]],database!A:J,MATCH('Capacity Utilization'!$A$1,database!$A$1:$J$1,),)</f>
        <v/>
      </c>
      <c r="C267" s="68">
        <f>(VLOOKUP(A267,database!A:K,11,) - VLOOKUP(A255,database!A:K,11,))/VLOOKUP(A255,database!A:K,11,)</f>
        <v/>
      </c>
    </row>
    <row r="268">
      <c r="A268" s="38" t="n">
        <v>32448</v>
      </c>
      <c r="B268" s="39">
        <f>VLOOKUP(Table8[[#This Row],[Month]],database!A:J,MATCH('Capacity Utilization'!$A$1,database!$A$1:$J$1,),)</f>
        <v/>
      </c>
      <c r="C268" s="68">
        <f>(VLOOKUP(A268,database!A:K,11,) - VLOOKUP(A256,database!A:K,11,))/VLOOKUP(A256,database!A:K,11,)</f>
        <v/>
      </c>
    </row>
    <row r="269">
      <c r="A269" s="38" t="n">
        <v>32478</v>
      </c>
      <c r="B269" s="39">
        <f>VLOOKUP(Table8[[#This Row],[Month]],database!A:J,MATCH('Capacity Utilization'!$A$1,database!$A$1:$J$1,),)</f>
        <v/>
      </c>
      <c r="C269" s="68">
        <f>(VLOOKUP(A269,database!A:K,11,) - VLOOKUP(A257,database!A:K,11,))/VLOOKUP(A257,database!A:K,11,)</f>
        <v/>
      </c>
    </row>
    <row r="270">
      <c r="A270" s="38" t="n">
        <v>32509</v>
      </c>
      <c r="B270" s="39">
        <f>VLOOKUP(Table8[[#This Row],[Month]],database!A:J,MATCH('Capacity Utilization'!$A$1,database!$A$1:$J$1,),)</f>
        <v/>
      </c>
      <c r="C270" s="68">
        <f>(VLOOKUP(A270,database!A:K,11,) - VLOOKUP(A258,database!A:K,11,))/VLOOKUP(A258,database!A:K,11,)</f>
        <v/>
      </c>
    </row>
    <row r="271">
      <c r="A271" s="38" t="n">
        <v>32540</v>
      </c>
      <c r="B271" s="39">
        <f>VLOOKUP(Table8[[#This Row],[Month]],database!A:J,MATCH('Capacity Utilization'!$A$1,database!$A$1:$J$1,),)</f>
        <v/>
      </c>
      <c r="C271" s="68">
        <f>(VLOOKUP(A271,database!A:K,11,) - VLOOKUP(A259,database!A:K,11,))/VLOOKUP(A259,database!A:K,11,)</f>
        <v/>
      </c>
    </row>
    <row r="272">
      <c r="A272" s="38" t="n">
        <v>32568</v>
      </c>
      <c r="B272" s="39">
        <f>VLOOKUP(Table8[[#This Row],[Month]],database!A:J,MATCH('Capacity Utilization'!$A$1,database!$A$1:$J$1,),)</f>
        <v/>
      </c>
      <c r="C272" s="68">
        <f>(VLOOKUP(A272,database!A:K,11,) - VLOOKUP(A260,database!A:K,11,))/VLOOKUP(A260,database!A:K,11,)</f>
        <v/>
      </c>
    </row>
    <row r="273">
      <c r="A273" s="38" t="n">
        <v>32599</v>
      </c>
      <c r="B273" s="39">
        <f>VLOOKUP(Table8[[#This Row],[Month]],database!A:J,MATCH('Capacity Utilization'!$A$1,database!$A$1:$J$1,),)</f>
        <v/>
      </c>
      <c r="C273" s="68">
        <f>(VLOOKUP(A273,database!A:K,11,) - VLOOKUP(A261,database!A:K,11,))/VLOOKUP(A261,database!A:K,11,)</f>
        <v/>
      </c>
    </row>
    <row r="274">
      <c r="A274" s="38" t="n">
        <v>32629</v>
      </c>
      <c r="B274" s="39">
        <f>VLOOKUP(Table8[[#This Row],[Month]],database!A:J,MATCH('Capacity Utilization'!$A$1,database!$A$1:$J$1,),)</f>
        <v/>
      </c>
      <c r="C274" s="68">
        <f>(VLOOKUP(A274,database!A:K,11,) - VLOOKUP(A262,database!A:K,11,))/VLOOKUP(A262,database!A:K,11,)</f>
        <v/>
      </c>
    </row>
    <row r="275">
      <c r="A275" s="38" t="n">
        <v>32660</v>
      </c>
      <c r="B275" s="39">
        <f>VLOOKUP(Table8[[#This Row],[Month]],database!A:J,MATCH('Capacity Utilization'!$A$1,database!$A$1:$J$1,),)</f>
        <v/>
      </c>
      <c r="C275" s="68">
        <f>(VLOOKUP(A275,database!A:K,11,) - VLOOKUP(A263,database!A:K,11,))/VLOOKUP(A263,database!A:K,11,)</f>
        <v/>
      </c>
    </row>
    <row r="276">
      <c r="A276" s="38" t="n">
        <v>32690</v>
      </c>
      <c r="B276" s="39">
        <f>VLOOKUP(Table8[[#This Row],[Month]],database!A:J,MATCH('Capacity Utilization'!$A$1,database!$A$1:$J$1,),)</f>
        <v/>
      </c>
      <c r="C276" s="68">
        <f>(VLOOKUP(A276,database!A:K,11,) - VLOOKUP(A264,database!A:K,11,))/VLOOKUP(A264,database!A:K,11,)</f>
        <v/>
      </c>
    </row>
    <row r="277">
      <c r="A277" s="38" t="n">
        <v>32721</v>
      </c>
      <c r="B277" s="39">
        <f>VLOOKUP(Table8[[#This Row],[Month]],database!A:J,MATCH('Capacity Utilization'!$A$1,database!$A$1:$J$1,),)</f>
        <v/>
      </c>
      <c r="C277" s="68">
        <f>(VLOOKUP(A277,database!A:K,11,) - VLOOKUP(A265,database!A:K,11,))/VLOOKUP(A265,database!A:K,11,)</f>
        <v/>
      </c>
    </row>
    <row r="278">
      <c r="A278" s="38" t="n">
        <v>32752</v>
      </c>
      <c r="B278" s="39">
        <f>VLOOKUP(Table8[[#This Row],[Month]],database!A:J,MATCH('Capacity Utilization'!$A$1,database!$A$1:$J$1,),)</f>
        <v/>
      </c>
      <c r="C278" s="68">
        <f>(VLOOKUP(A278,database!A:K,11,) - VLOOKUP(A266,database!A:K,11,))/VLOOKUP(A266,database!A:K,11,)</f>
        <v/>
      </c>
    </row>
    <row r="279">
      <c r="A279" s="38" t="n">
        <v>32782</v>
      </c>
      <c r="B279" s="39">
        <f>VLOOKUP(Table8[[#This Row],[Month]],database!A:J,MATCH('Capacity Utilization'!$A$1,database!$A$1:$J$1,),)</f>
        <v/>
      </c>
      <c r="C279" s="68">
        <f>(VLOOKUP(A279,database!A:K,11,) - VLOOKUP(A267,database!A:K,11,))/VLOOKUP(A267,database!A:K,11,)</f>
        <v/>
      </c>
    </row>
    <row r="280">
      <c r="A280" s="38" t="n">
        <v>32813</v>
      </c>
      <c r="B280" s="39">
        <f>VLOOKUP(Table8[[#This Row],[Month]],database!A:J,MATCH('Capacity Utilization'!$A$1,database!$A$1:$J$1,),)</f>
        <v/>
      </c>
      <c r="C280" s="68">
        <f>(VLOOKUP(A280,database!A:K,11,) - VLOOKUP(A268,database!A:K,11,))/VLOOKUP(A268,database!A:K,11,)</f>
        <v/>
      </c>
    </row>
    <row r="281">
      <c r="A281" s="38" t="n">
        <v>32843</v>
      </c>
      <c r="B281" s="39">
        <f>VLOOKUP(Table8[[#This Row],[Month]],database!A:J,MATCH('Capacity Utilization'!$A$1,database!$A$1:$J$1,),)</f>
        <v/>
      </c>
      <c r="C281" s="68">
        <f>(VLOOKUP(A281,database!A:K,11,) - VLOOKUP(A269,database!A:K,11,))/VLOOKUP(A269,database!A:K,11,)</f>
        <v/>
      </c>
    </row>
    <row r="282">
      <c r="A282" s="38" t="n">
        <v>32874</v>
      </c>
      <c r="B282" s="39">
        <f>VLOOKUP(Table8[[#This Row],[Month]],database!A:J,MATCH('Capacity Utilization'!$A$1,database!$A$1:$J$1,),)</f>
        <v/>
      </c>
      <c r="C282" s="68">
        <f>(VLOOKUP(A282,database!A:K,11,) - VLOOKUP(A270,database!A:K,11,))/VLOOKUP(A270,database!A:K,11,)</f>
        <v/>
      </c>
    </row>
    <row r="283">
      <c r="A283" s="38" t="n">
        <v>32905</v>
      </c>
      <c r="B283" s="39">
        <f>VLOOKUP(Table8[[#This Row],[Month]],database!A:J,MATCH('Capacity Utilization'!$A$1,database!$A$1:$J$1,),)</f>
        <v/>
      </c>
      <c r="C283" s="68">
        <f>(VLOOKUP(A283,database!A:K,11,) - VLOOKUP(A271,database!A:K,11,))/VLOOKUP(A271,database!A:K,11,)</f>
        <v/>
      </c>
    </row>
    <row r="284">
      <c r="A284" s="38" t="n">
        <v>32933</v>
      </c>
      <c r="B284" s="39">
        <f>VLOOKUP(Table8[[#This Row],[Month]],database!A:J,MATCH('Capacity Utilization'!$A$1,database!$A$1:$J$1,),)</f>
        <v/>
      </c>
      <c r="C284" s="68">
        <f>(VLOOKUP(A284,database!A:K,11,) - VLOOKUP(A272,database!A:K,11,))/VLOOKUP(A272,database!A:K,11,)</f>
        <v/>
      </c>
    </row>
    <row r="285">
      <c r="A285" s="38" t="n">
        <v>32964</v>
      </c>
      <c r="B285" s="39">
        <f>VLOOKUP(Table8[[#This Row],[Month]],database!A:J,MATCH('Capacity Utilization'!$A$1,database!$A$1:$J$1,),)</f>
        <v/>
      </c>
      <c r="C285" s="68">
        <f>(VLOOKUP(A285,database!A:K,11,) - VLOOKUP(A273,database!A:K,11,))/VLOOKUP(A273,database!A:K,11,)</f>
        <v/>
      </c>
    </row>
    <row r="286">
      <c r="A286" s="38" t="n">
        <v>32994</v>
      </c>
      <c r="B286" s="39">
        <f>VLOOKUP(Table8[[#This Row],[Month]],database!A:J,MATCH('Capacity Utilization'!$A$1,database!$A$1:$J$1,),)</f>
        <v/>
      </c>
      <c r="C286" s="68">
        <f>(VLOOKUP(A286,database!A:K,11,) - VLOOKUP(A274,database!A:K,11,))/VLOOKUP(A274,database!A:K,11,)</f>
        <v/>
      </c>
    </row>
    <row r="287">
      <c r="A287" s="38" t="n">
        <v>33025</v>
      </c>
      <c r="B287" s="39">
        <f>VLOOKUP(Table8[[#This Row],[Month]],database!A:J,MATCH('Capacity Utilization'!$A$1,database!$A$1:$J$1,),)</f>
        <v/>
      </c>
      <c r="C287" s="68">
        <f>(VLOOKUP(A287,database!A:K,11,) - VLOOKUP(A275,database!A:K,11,))/VLOOKUP(A275,database!A:K,11,)</f>
        <v/>
      </c>
    </row>
    <row r="288">
      <c r="A288" s="38" t="n">
        <v>33055</v>
      </c>
      <c r="B288" s="39">
        <f>VLOOKUP(Table8[[#This Row],[Month]],database!A:J,MATCH('Capacity Utilization'!$A$1,database!$A$1:$J$1,),)</f>
        <v/>
      </c>
      <c r="C288" s="68">
        <f>(VLOOKUP(A288,database!A:K,11,) - VLOOKUP(A276,database!A:K,11,))/VLOOKUP(A276,database!A:K,11,)</f>
        <v/>
      </c>
    </row>
    <row r="289">
      <c r="A289" s="38" t="n">
        <v>33086</v>
      </c>
      <c r="B289" s="39">
        <f>VLOOKUP(Table8[[#This Row],[Month]],database!A:J,MATCH('Capacity Utilization'!$A$1,database!$A$1:$J$1,),)</f>
        <v/>
      </c>
      <c r="C289" s="68">
        <f>(VLOOKUP(A289,database!A:K,11,) - VLOOKUP(A277,database!A:K,11,))/VLOOKUP(A277,database!A:K,11,)</f>
        <v/>
      </c>
    </row>
    <row r="290">
      <c r="A290" s="38" t="n">
        <v>33117</v>
      </c>
      <c r="B290" s="39">
        <f>VLOOKUP(Table8[[#This Row],[Month]],database!A:J,MATCH('Capacity Utilization'!$A$1,database!$A$1:$J$1,),)</f>
        <v/>
      </c>
      <c r="C290" s="68">
        <f>(VLOOKUP(A290,database!A:K,11,) - VLOOKUP(A278,database!A:K,11,))/VLOOKUP(A278,database!A:K,11,)</f>
        <v/>
      </c>
    </row>
    <row r="291">
      <c r="A291" s="38" t="n">
        <v>33147</v>
      </c>
      <c r="B291" s="39">
        <f>VLOOKUP(Table8[[#This Row],[Month]],database!A:J,MATCH('Capacity Utilization'!$A$1,database!$A$1:$J$1,),)</f>
        <v/>
      </c>
      <c r="C291" s="68">
        <f>(VLOOKUP(A291,database!A:K,11,) - VLOOKUP(A279,database!A:K,11,))/VLOOKUP(A279,database!A:K,11,)</f>
        <v/>
      </c>
    </row>
    <row r="292">
      <c r="A292" s="38" t="n">
        <v>33178</v>
      </c>
      <c r="B292" s="39">
        <f>VLOOKUP(Table8[[#This Row],[Month]],database!A:J,MATCH('Capacity Utilization'!$A$1,database!$A$1:$J$1,),)</f>
        <v/>
      </c>
      <c r="C292" s="68">
        <f>(VLOOKUP(A292,database!A:K,11,) - VLOOKUP(A280,database!A:K,11,))/VLOOKUP(A280,database!A:K,11,)</f>
        <v/>
      </c>
    </row>
    <row r="293">
      <c r="A293" s="38" t="n">
        <v>33208</v>
      </c>
      <c r="B293" s="39">
        <f>VLOOKUP(Table8[[#This Row],[Month]],database!A:J,MATCH('Capacity Utilization'!$A$1,database!$A$1:$J$1,),)</f>
        <v/>
      </c>
      <c r="C293" s="68">
        <f>(VLOOKUP(A293,database!A:K,11,) - VLOOKUP(A281,database!A:K,11,))/VLOOKUP(A281,database!A:K,11,)</f>
        <v/>
      </c>
    </row>
    <row r="294">
      <c r="A294" s="38" t="n">
        <v>33239</v>
      </c>
      <c r="B294" s="39">
        <f>VLOOKUP(Table8[[#This Row],[Month]],database!A:J,MATCH('Capacity Utilization'!$A$1,database!$A$1:$J$1,),)</f>
        <v/>
      </c>
      <c r="C294" s="68">
        <f>(VLOOKUP(A294,database!A:K,11,) - VLOOKUP(A282,database!A:K,11,))/VLOOKUP(A282,database!A:K,11,)</f>
        <v/>
      </c>
    </row>
    <row r="295">
      <c r="A295" s="38" t="n">
        <v>33270</v>
      </c>
      <c r="B295" s="39">
        <f>VLOOKUP(Table8[[#This Row],[Month]],database!A:J,MATCH('Capacity Utilization'!$A$1,database!$A$1:$J$1,),)</f>
        <v/>
      </c>
      <c r="C295" s="68">
        <f>(VLOOKUP(A295,database!A:K,11,) - VLOOKUP(A283,database!A:K,11,))/VLOOKUP(A283,database!A:K,11,)</f>
        <v/>
      </c>
    </row>
    <row r="296">
      <c r="A296" s="38" t="n">
        <v>33298</v>
      </c>
      <c r="B296" s="39">
        <f>VLOOKUP(Table8[[#This Row],[Month]],database!A:J,MATCH('Capacity Utilization'!$A$1,database!$A$1:$J$1,),)</f>
        <v/>
      </c>
      <c r="C296" s="68">
        <f>(VLOOKUP(A296,database!A:K,11,) - VLOOKUP(A284,database!A:K,11,))/VLOOKUP(A284,database!A:K,11,)</f>
        <v/>
      </c>
    </row>
    <row r="297">
      <c r="A297" s="38" t="n">
        <v>33329</v>
      </c>
      <c r="B297" s="39">
        <f>VLOOKUP(Table8[[#This Row],[Month]],database!A:J,MATCH('Capacity Utilization'!$A$1,database!$A$1:$J$1,),)</f>
        <v/>
      </c>
      <c r="C297" s="68">
        <f>(VLOOKUP(A297,database!A:K,11,) - VLOOKUP(A285,database!A:K,11,))/VLOOKUP(A285,database!A:K,11,)</f>
        <v/>
      </c>
    </row>
    <row r="298">
      <c r="A298" s="38" t="n">
        <v>33359</v>
      </c>
      <c r="B298" s="39">
        <f>VLOOKUP(Table8[[#This Row],[Month]],database!A:J,MATCH('Capacity Utilization'!$A$1,database!$A$1:$J$1,),)</f>
        <v/>
      </c>
      <c r="C298" s="68">
        <f>(VLOOKUP(A298,database!A:K,11,) - VLOOKUP(A286,database!A:K,11,))/VLOOKUP(A286,database!A:K,11,)</f>
        <v/>
      </c>
    </row>
    <row r="299">
      <c r="A299" s="38" t="n">
        <v>33390</v>
      </c>
      <c r="B299" s="39">
        <f>VLOOKUP(Table8[[#This Row],[Month]],database!A:J,MATCH('Capacity Utilization'!$A$1,database!$A$1:$J$1,),)</f>
        <v/>
      </c>
      <c r="C299" s="68">
        <f>(VLOOKUP(A299,database!A:K,11,) - VLOOKUP(A287,database!A:K,11,))/VLOOKUP(A287,database!A:K,11,)</f>
        <v/>
      </c>
    </row>
    <row r="300">
      <c r="A300" s="38" t="n">
        <v>33420</v>
      </c>
      <c r="B300" s="39">
        <f>VLOOKUP(Table8[[#This Row],[Month]],database!A:J,MATCH('Capacity Utilization'!$A$1,database!$A$1:$J$1,),)</f>
        <v/>
      </c>
      <c r="C300" s="68">
        <f>(VLOOKUP(A300,database!A:K,11,) - VLOOKUP(A288,database!A:K,11,))/VLOOKUP(A288,database!A:K,11,)</f>
        <v/>
      </c>
    </row>
    <row r="301">
      <c r="A301" s="38" t="n">
        <v>33451</v>
      </c>
      <c r="B301" s="39">
        <f>VLOOKUP(Table8[[#This Row],[Month]],database!A:J,MATCH('Capacity Utilization'!$A$1,database!$A$1:$J$1,),)</f>
        <v/>
      </c>
      <c r="C301" s="68">
        <f>(VLOOKUP(A301,database!A:K,11,) - VLOOKUP(A289,database!A:K,11,))/VLOOKUP(A289,database!A:K,11,)</f>
        <v/>
      </c>
    </row>
    <row r="302">
      <c r="A302" s="38" t="n">
        <v>33482</v>
      </c>
      <c r="B302" s="39">
        <f>VLOOKUP(Table8[[#This Row],[Month]],database!A:J,MATCH('Capacity Utilization'!$A$1,database!$A$1:$J$1,),)</f>
        <v/>
      </c>
      <c r="C302" s="68">
        <f>(VLOOKUP(A302,database!A:K,11,) - VLOOKUP(A290,database!A:K,11,))/VLOOKUP(A290,database!A:K,11,)</f>
        <v/>
      </c>
    </row>
    <row r="303">
      <c r="A303" s="38" t="n">
        <v>33512</v>
      </c>
      <c r="B303" s="39">
        <f>VLOOKUP(Table8[[#This Row],[Month]],database!A:J,MATCH('Capacity Utilization'!$A$1,database!$A$1:$J$1,),)</f>
        <v/>
      </c>
      <c r="C303" s="68">
        <f>(VLOOKUP(A303,database!A:K,11,) - VLOOKUP(A291,database!A:K,11,))/VLOOKUP(A291,database!A:K,11,)</f>
        <v/>
      </c>
    </row>
    <row r="304">
      <c r="A304" s="38" t="n">
        <v>33543</v>
      </c>
      <c r="B304" s="39">
        <f>VLOOKUP(Table8[[#This Row],[Month]],database!A:J,MATCH('Capacity Utilization'!$A$1,database!$A$1:$J$1,),)</f>
        <v/>
      </c>
      <c r="C304" s="68">
        <f>(VLOOKUP(A304,database!A:K,11,) - VLOOKUP(A292,database!A:K,11,))/VLOOKUP(A292,database!A:K,11,)</f>
        <v/>
      </c>
    </row>
    <row r="305">
      <c r="A305" s="38" t="n">
        <v>33573</v>
      </c>
      <c r="B305" s="39">
        <f>VLOOKUP(Table8[[#This Row],[Month]],database!A:J,MATCH('Capacity Utilization'!$A$1,database!$A$1:$J$1,),)</f>
        <v/>
      </c>
      <c r="C305" s="68">
        <f>(VLOOKUP(A305,database!A:K,11,) - VLOOKUP(A293,database!A:K,11,))/VLOOKUP(A293,database!A:K,11,)</f>
        <v/>
      </c>
    </row>
    <row r="306">
      <c r="A306" s="38" t="n">
        <v>33604</v>
      </c>
      <c r="B306" s="39">
        <f>VLOOKUP(Table8[[#This Row],[Month]],database!A:J,MATCH('Capacity Utilization'!$A$1,database!$A$1:$J$1,),)</f>
        <v/>
      </c>
      <c r="C306" s="68">
        <f>(VLOOKUP(A306,database!A:K,11,) - VLOOKUP(A294,database!A:K,11,))/VLOOKUP(A294,database!A:K,11,)</f>
        <v/>
      </c>
    </row>
    <row r="307">
      <c r="A307" s="38" t="n">
        <v>33635</v>
      </c>
      <c r="B307" s="39">
        <f>VLOOKUP(Table8[[#This Row],[Month]],database!A:J,MATCH('Capacity Utilization'!$A$1,database!$A$1:$J$1,),)</f>
        <v/>
      </c>
      <c r="C307" s="68">
        <f>(VLOOKUP(A307,database!A:K,11,) - VLOOKUP(A295,database!A:K,11,))/VLOOKUP(A295,database!A:K,11,)</f>
        <v/>
      </c>
    </row>
    <row r="308">
      <c r="A308" s="38" t="n">
        <v>33664</v>
      </c>
      <c r="B308" s="39">
        <f>VLOOKUP(Table8[[#This Row],[Month]],database!A:J,MATCH('Capacity Utilization'!$A$1,database!$A$1:$J$1,),)</f>
        <v/>
      </c>
      <c r="C308" s="68">
        <f>(VLOOKUP(A308,database!A:K,11,) - VLOOKUP(A296,database!A:K,11,))/VLOOKUP(A296,database!A:K,11,)</f>
        <v/>
      </c>
    </row>
    <row r="309">
      <c r="A309" s="38" t="n">
        <v>33695</v>
      </c>
      <c r="B309" s="39">
        <f>VLOOKUP(Table8[[#This Row],[Month]],database!A:J,MATCH('Capacity Utilization'!$A$1,database!$A$1:$J$1,),)</f>
        <v/>
      </c>
      <c r="C309" s="68">
        <f>(VLOOKUP(A309,database!A:K,11,) - VLOOKUP(A297,database!A:K,11,))/VLOOKUP(A297,database!A:K,11,)</f>
        <v/>
      </c>
    </row>
    <row r="310">
      <c r="A310" s="38" t="n">
        <v>33725</v>
      </c>
      <c r="B310" s="39">
        <f>VLOOKUP(Table8[[#This Row],[Month]],database!A:J,MATCH('Capacity Utilization'!$A$1,database!$A$1:$J$1,),)</f>
        <v/>
      </c>
      <c r="C310" s="68">
        <f>(VLOOKUP(A310,database!A:K,11,) - VLOOKUP(A298,database!A:K,11,))/VLOOKUP(A298,database!A:K,11,)</f>
        <v/>
      </c>
    </row>
    <row r="311">
      <c r="A311" s="38" t="n">
        <v>33756</v>
      </c>
      <c r="B311" s="39">
        <f>VLOOKUP(Table8[[#This Row],[Month]],database!A:J,MATCH('Capacity Utilization'!$A$1,database!$A$1:$J$1,),)</f>
        <v/>
      </c>
      <c r="C311" s="68">
        <f>(VLOOKUP(A311,database!A:K,11,) - VLOOKUP(A299,database!A:K,11,))/VLOOKUP(A299,database!A:K,11,)</f>
        <v/>
      </c>
    </row>
    <row r="312">
      <c r="A312" s="38" t="n">
        <v>33786</v>
      </c>
      <c r="B312" s="39">
        <f>VLOOKUP(Table8[[#This Row],[Month]],database!A:J,MATCH('Capacity Utilization'!$A$1,database!$A$1:$J$1,),)</f>
        <v/>
      </c>
      <c r="C312" s="68">
        <f>(VLOOKUP(A312,database!A:K,11,) - VLOOKUP(A300,database!A:K,11,))/VLOOKUP(A300,database!A:K,11,)</f>
        <v/>
      </c>
    </row>
    <row r="313">
      <c r="A313" s="38" t="n">
        <v>33817</v>
      </c>
      <c r="B313" s="39">
        <f>VLOOKUP(Table8[[#This Row],[Month]],database!A:J,MATCH('Capacity Utilization'!$A$1,database!$A$1:$J$1,),)</f>
        <v/>
      </c>
      <c r="C313" s="68">
        <f>(VLOOKUP(A313,database!A:K,11,) - VLOOKUP(A301,database!A:K,11,))/VLOOKUP(A301,database!A:K,11,)</f>
        <v/>
      </c>
    </row>
    <row r="314">
      <c r="A314" s="38" t="n">
        <v>33848</v>
      </c>
      <c r="B314" s="39">
        <f>VLOOKUP(Table8[[#This Row],[Month]],database!A:J,MATCH('Capacity Utilization'!$A$1,database!$A$1:$J$1,),)</f>
        <v/>
      </c>
      <c r="C314" s="68">
        <f>(VLOOKUP(A314,database!A:K,11,) - VLOOKUP(A302,database!A:K,11,))/VLOOKUP(A302,database!A:K,11,)</f>
        <v/>
      </c>
    </row>
    <row r="315">
      <c r="A315" s="38" t="n">
        <v>33878</v>
      </c>
      <c r="B315" s="39">
        <f>VLOOKUP(Table8[[#This Row],[Month]],database!A:J,MATCH('Capacity Utilization'!$A$1,database!$A$1:$J$1,),)</f>
        <v/>
      </c>
      <c r="C315" s="68">
        <f>(VLOOKUP(A315,database!A:K,11,) - VLOOKUP(A303,database!A:K,11,))/VLOOKUP(A303,database!A:K,11,)</f>
        <v/>
      </c>
    </row>
    <row r="316">
      <c r="A316" s="38" t="n">
        <v>33909</v>
      </c>
      <c r="B316" s="39">
        <f>VLOOKUP(Table8[[#This Row],[Month]],database!A:J,MATCH('Capacity Utilization'!$A$1,database!$A$1:$J$1,),)</f>
        <v/>
      </c>
      <c r="C316" s="68">
        <f>(VLOOKUP(A316,database!A:K,11,) - VLOOKUP(A304,database!A:K,11,))/VLOOKUP(A304,database!A:K,11,)</f>
        <v/>
      </c>
    </row>
    <row r="317">
      <c r="A317" s="38" t="n">
        <v>33939</v>
      </c>
      <c r="B317" s="39">
        <f>VLOOKUP(Table8[[#This Row],[Month]],database!A:J,MATCH('Capacity Utilization'!$A$1,database!$A$1:$J$1,),)</f>
        <v/>
      </c>
      <c r="C317" s="68">
        <f>(VLOOKUP(A317,database!A:K,11,) - VLOOKUP(A305,database!A:K,11,))/VLOOKUP(A305,database!A:K,11,)</f>
        <v/>
      </c>
    </row>
    <row r="318">
      <c r="A318" s="38" t="n">
        <v>33970</v>
      </c>
      <c r="B318" s="39">
        <f>VLOOKUP(Table8[[#This Row],[Month]],database!A:J,MATCH('Capacity Utilization'!$A$1,database!$A$1:$J$1,),)</f>
        <v/>
      </c>
      <c r="C318" s="68">
        <f>(VLOOKUP(A318,database!A:K,11,) - VLOOKUP(A306,database!A:K,11,))/VLOOKUP(A306,database!A:K,11,)</f>
        <v/>
      </c>
    </row>
    <row r="319">
      <c r="A319" s="38" t="n">
        <v>34001</v>
      </c>
      <c r="B319" s="39">
        <f>VLOOKUP(Table8[[#This Row],[Month]],database!A:J,MATCH('Capacity Utilization'!$A$1,database!$A$1:$J$1,),)</f>
        <v/>
      </c>
      <c r="C319" s="68">
        <f>(VLOOKUP(A319,database!A:K,11,) - VLOOKUP(A307,database!A:K,11,))/VLOOKUP(A307,database!A:K,11,)</f>
        <v/>
      </c>
    </row>
    <row r="320">
      <c r="A320" s="38" t="n">
        <v>34029</v>
      </c>
      <c r="B320" s="39">
        <f>VLOOKUP(Table8[[#This Row],[Month]],database!A:J,MATCH('Capacity Utilization'!$A$1,database!$A$1:$J$1,),)</f>
        <v/>
      </c>
      <c r="C320" s="68">
        <f>(VLOOKUP(A320,database!A:K,11,) - VLOOKUP(A308,database!A:K,11,))/VLOOKUP(A308,database!A:K,11,)</f>
        <v/>
      </c>
    </row>
    <row r="321">
      <c r="A321" s="38" t="n">
        <v>34060</v>
      </c>
      <c r="B321" s="39">
        <f>VLOOKUP(Table8[[#This Row],[Month]],database!A:J,MATCH('Capacity Utilization'!$A$1,database!$A$1:$J$1,),)</f>
        <v/>
      </c>
      <c r="C321" s="68">
        <f>(VLOOKUP(A321,database!A:K,11,) - VLOOKUP(A309,database!A:K,11,))/VLOOKUP(A309,database!A:K,11,)</f>
        <v/>
      </c>
    </row>
    <row r="322">
      <c r="A322" s="38" t="n">
        <v>34090</v>
      </c>
      <c r="B322" s="39">
        <f>VLOOKUP(Table8[[#This Row],[Month]],database!A:J,MATCH('Capacity Utilization'!$A$1,database!$A$1:$J$1,),)</f>
        <v/>
      </c>
      <c r="C322" s="68">
        <f>(VLOOKUP(A322,database!A:K,11,) - VLOOKUP(A310,database!A:K,11,))/VLOOKUP(A310,database!A:K,11,)</f>
        <v/>
      </c>
    </row>
    <row r="323">
      <c r="A323" s="38" t="n">
        <v>34121</v>
      </c>
      <c r="B323" s="39">
        <f>VLOOKUP(Table8[[#This Row],[Month]],database!A:J,MATCH('Capacity Utilization'!$A$1,database!$A$1:$J$1,),)</f>
        <v/>
      </c>
      <c r="C323" s="68">
        <f>(VLOOKUP(A323,database!A:K,11,) - VLOOKUP(A311,database!A:K,11,))/VLOOKUP(A311,database!A:K,11,)</f>
        <v/>
      </c>
    </row>
    <row r="324">
      <c r="A324" s="38" t="n">
        <v>34151</v>
      </c>
      <c r="B324" s="39">
        <f>VLOOKUP(Table8[[#This Row],[Month]],database!A:J,MATCH('Capacity Utilization'!$A$1,database!$A$1:$J$1,),)</f>
        <v/>
      </c>
      <c r="C324" s="68">
        <f>(VLOOKUP(A324,database!A:K,11,) - VLOOKUP(A312,database!A:K,11,))/VLOOKUP(A312,database!A:K,11,)</f>
        <v/>
      </c>
    </row>
    <row r="325">
      <c r="A325" s="38" t="n">
        <v>34182</v>
      </c>
      <c r="B325" s="39">
        <f>VLOOKUP(Table8[[#This Row],[Month]],database!A:J,MATCH('Capacity Utilization'!$A$1,database!$A$1:$J$1,),)</f>
        <v/>
      </c>
      <c r="C325" s="68">
        <f>(VLOOKUP(A325,database!A:K,11,) - VLOOKUP(A313,database!A:K,11,))/VLOOKUP(A313,database!A:K,11,)</f>
        <v/>
      </c>
    </row>
    <row r="326">
      <c r="A326" s="38" t="n">
        <v>34213</v>
      </c>
      <c r="B326" s="39">
        <f>VLOOKUP(Table8[[#This Row],[Month]],database!A:J,MATCH('Capacity Utilization'!$A$1,database!$A$1:$J$1,),)</f>
        <v/>
      </c>
      <c r="C326" s="68">
        <f>(VLOOKUP(A326,database!A:K,11,) - VLOOKUP(A314,database!A:K,11,))/VLOOKUP(A314,database!A:K,11,)</f>
        <v/>
      </c>
    </row>
    <row r="327">
      <c r="A327" s="38" t="n">
        <v>34243</v>
      </c>
      <c r="B327" s="39">
        <f>VLOOKUP(Table8[[#This Row],[Month]],database!A:J,MATCH('Capacity Utilization'!$A$1,database!$A$1:$J$1,),)</f>
        <v/>
      </c>
      <c r="C327" s="68">
        <f>(VLOOKUP(A327,database!A:K,11,) - VLOOKUP(A315,database!A:K,11,))/VLOOKUP(A315,database!A:K,11,)</f>
        <v/>
      </c>
    </row>
    <row r="328">
      <c r="A328" s="38" t="n">
        <v>34274</v>
      </c>
      <c r="B328" s="39">
        <f>VLOOKUP(Table8[[#This Row],[Month]],database!A:J,MATCH('Capacity Utilization'!$A$1,database!$A$1:$J$1,),)</f>
        <v/>
      </c>
      <c r="C328" s="68">
        <f>(VLOOKUP(A328,database!A:K,11,) - VLOOKUP(A316,database!A:K,11,))/VLOOKUP(A316,database!A:K,11,)</f>
        <v/>
      </c>
    </row>
    <row r="329">
      <c r="A329" s="38" t="n">
        <v>34304</v>
      </c>
      <c r="B329" s="39">
        <f>VLOOKUP(Table8[[#This Row],[Month]],database!A:J,MATCH('Capacity Utilization'!$A$1,database!$A$1:$J$1,),)</f>
        <v/>
      </c>
      <c r="C329" s="68">
        <f>(VLOOKUP(A329,database!A:K,11,) - VLOOKUP(A317,database!A:K,11,))/VLOOKUP(A317,database!A:K,11,)</f>
        <v/>
      </c>
    </row>
    <row r="330">
      <c r="A330" s="38" t="n">
        <v>34335</v>
      </c>
      <c r="B330" s="39">
        <f>VLOOKUP(Table8[[#This Row],[Month]],database!A:J,MATCH('Capacity Utilization'!$A$1,database!$A$1:$J$1,),)</f>
        <v/>
      </c>
      <c r="C330" s="68">
        <f>(VLOOKUP(A330,database!A:K,11,) - VLOOKUP(A318,database!A:K,11,))/VLOOKUP(A318,database!A:K,11,)</f>
        <v/>
      </c>
    </row>
    <row r="331">
      <c r="A331" s="38" t="n">
        <v>34366</v>
      </c>
      <c r="B331" s="39">
        <f>VLOOKUP(Table8[[#This Row],[Month]],database!A:J,MATCH('Capacity Utilization'!$A$1,database!$A$1:$J$1,),)</f>
        <v/>
      </c>
      <c r="C331" s="68">
        <f>(VLOOKUP(A331,database!A:K,11,) - VLOOKUP(A319,database!A:K,11,))/VLOOKUP(A319,database!A:K,11,)</f>
        <v/>
      </c>
    </row>
    <row r="332">
      <c r="A332" s="38" t="n">
        <v>34394</v>
      </c>
      <c r="B332" s="39">
        <f>VLOOKUP(Table8[[#This Row],[Month]],database!A:J,MATCH('Capacity Utilization'!$A$1,database!$A$1:$J$1,),)</f>
        <v/>
      </c>
      <c r="C332" s="68">
        <f>(VLOOKUP(A332,database!A:K,11,) - VLOOKUP(A320,database!A:K,11,))/VLOOKUP(A320,database!A:K,11,)</f>
        <v/>
      </c>
    </row>
    <row r="333">
      <c r="A333" s="38" t="n">
        <v>34425</v>
      </c>
      <c r="B333" s="39">
        <f>VLOOKUP(Table8[[#This Row],[Month]],database!A:J,MATCH('Capacity Utilization'!$A$1,database!$A$1:$J$1,),)</f>
        <v/>
      </c>
      <c r="C333" s="68">
        <f>(VLOOKUP(A333,database!A:K,11,) - VLOOKUP(A321,database!A:K,11,))/VLOOKUP(A321,database!A:K,11,)</f>
        <v/>
      </c>
    </row>
    <row r="334">
      <c r="A334" s="38" t="n">
        <v>34455</v>
      </c>
      <c r="B334" s="39">
        <f>VLOOKUP(Table8[[#This Row],[Month]],database!A:J,MATCH('Capacity Utilization'!$A$1,database!$A$1:$J$1,),)</f>
        <v/>
      </c>
      <c r="C334" s="68">
        <f>(VLOOKUP(A334,database!A:K,11,) - VLOOKUP(A322,database!A:K,11,))/VLOOKUP(A322,database!A:K,11,)</f>
        <v/>
      </c>
    </row>
    <row r="335">
      <c r="A335" s="38" t="n">
        <v>34486</v>
      </c>
      <c r="B335" s="39">
        <f>VLOOKUP(Table8[[#This Row],[Month]],database!A:J,MATCH('Capacity Utilization'!$A$1,database!$A$1:$J$1,),)</f>
        <v/>
      </c>
      <c r="C335" s="68">
        <f>(VLOOKUP(A335,database!A:K,11,) - VLOOKUP(A323,database!A:K,11,))/VLOOKUP(A323,database!A:K,11,)</f>
        <v/>
      </c>
    </row>
    <row r="336">
      <c r="A336" s="38" t="n">
        <v>34516</v>
      </c>
      <c r="B336" s="39">
        <f>VLOOKUP(Table8[[#This Row],[Month]],database!A:J,MATCH('Capacity Utilization'!$A$1,database!$A$1:$J$1,),)</f>
        <v/>
      </c>
      <c r="C336" s="68">
        <f>(VLOOKUP(A336,database!A:K,11,) - VLOOKUP(A324,database!A:K,11,))/VLOOKUP(A324,database!A:K,11,)</f>
        <v/>
      </c>
    </row>
    <row r="337">
      <c r="A337" s="38" t="n">
        <v>34547</v>
      </c>
      <c r="B337" s="39">
        <f>VLOOKUP(Table8[[#This Row],[Month]],database!A:J,MATCH('Capacity Utilization'!$A$1,database!$A$1:$J$1,),)</f>
        <v/>
      </c>
      <c r="C337" s="68">
        <f>(VLOOKUP(A337,database!A:K,11,) - VLOOKUP(A325,database!A:K,11,))/VLOOKUP(A325,database!A:K,11,)</f>
        <v/>
      </c>
    </row>
    <row r="338">
      <c r="A338" s="38" t="n">
        <v>34578</v>
      </c>
      <c r="B338" s="39">
        <f>VLOOKUP(Table8[[#This Row],[Month]],database!A:J,MATCH('Capacity Utilization'!$A$1,database!$A$1:$J$1,),)</f>
        <v/>
      </c>
      <c r="C338" s="68">
        <f>(VLOOKUP(A338,database!A:K,11,) - VLOOKUP(A326,database!A:K,11,))/VLOOKUP(A326,database!A:K,11,)</f>
        <v/>
      </c>
    </row>
    <row r="339">
      <c r="A339" s="38" t="n">
        <v>34608</v>
      </c>
      <c r="B339" s="39">
        <f>VLOOKUP(Table8[[#This Row],[Month]],database!A:J,MATCH('Capacity Utilization'!$A$1,database!$A$1:$J$1,),)</f>
        <v/>
      </c>
      <c r="C339" s="68">
        <f>(VLOOKUP(A339,database!A:K,11,) - VLOOKUP(A327,database!A:K,11,))/VLOOKUP(A327,database!A:K,11,)</f>
        <v/>
      </c>
    </row>
    <row r="340">
      <c r="A340" s="38" t="n">
        <v>34639</v>
      </c>
      <c r="B340" s="39">
        <f>VLOOKUP(Table8[[#This Row],[Month]],database!A:J,MATCH('Capacity Utilization'!$A$1,database!$A$1:$J$1,),)</f>
        <v/>
      </c>
      <c r="C340" s="68">
        <f>(VLOOKUP(A340,database!A:K,11,) - VLOOKUP(A328,database!A:K,11,))/VLOOKUP(A328,database!A:K,11,)</f>
        <v/>
      </c>
    </row>
    <row r="341">
      <c r="A341" s="38" t="n">
        <v>34669</v>
      </c>
      <c r="B341" s="39">
        <f>VLOOKUP(Table8[[#This Row],[Month]],database!A:J,MATCH('Capacity Utilization'!$A$1,database!$A$1:$J$1,),)</f>
        <v/>
      </c>
      <c r="C341" s="68">
        <f>(VLOOKUP(A341,database!A:K,11,) - VLOOKUP(A329,database!A:K,11,))/VLOOKUP(A329,database!A:K,11,)</f>
        <v/>
      </c>
    </row>
    <row r="342">
      <c r="A342" s="38" t="n">
        <v>34700</v>
      </c>
      <c r="B342" s="39">
        <f>VLOOKUP(Table8[[#This Row],[Month]],database!A:J,MATCH('Capacity Utilization'!$A$1,database!$A$1:$J$1,),)</f>
        <v/>
      </c>
      <c r="C342" s="68">
        <f>(VLOOKUP(A342,database!A:K,11,) - VLOOKUP(A330,database!A:K,11,))/VLOOKUP(A330,database!A:K,11,)</f>
        <v/>
      </c>
    </row>
    <row r="343">
      <c r="A343" s="38" t="n">
        <v>34731</v>
      </c>
      <c r="B343" s="39">
        <f>VLOOKUP(Table8[[#This Row],[Month]],database!A:J,MATCH('Capacity Utilization'!$A$1,database!$A$1:$J$1,),)</f>
        <v/>
      </c>
      <c r="C343" s="68">
        <f>(VLOOKUP(A343,database!A:K,11,) - VLOOKUP(A331,database!A:K,11,))/VLOOKUP(A331,database!A:K,11,)</f>
        <v/>
      </c>
    </row>
    <row r="344">
      <c r="A344" s="38" t="n">
        <v>34759</v>
      </c>
      <c r="B344" s="39">
        <f>VLOOKUP(Table8[[#This Row],[Month]],database!A:J,MATCH('Capacity Utilization'!$A$1,database!$A$1:$J$1,),)</f>
        <v/>
      </c>
      <c r="C344" s="68">
        <f>(VLOOKUP(A344,database!A:K,11,) - VLOOKUP(A332,database!A:K,11,))/VLOOKUP(A332,database!A:K,11,)</f>
        <v/>
      </c>
    </row>
    <row r="345">
      <c r="A345" s="38" t="n">
        <v>34790</v>
      </c>
      <c r="B345" s="39">
        <f>VLOOKUP(Table8[[#This Row],[Month]],database!A:J,MATCH('Capacity Utilization'!$A$1,database!$A$1:$J$1,),)</f>
        <v/>
      </c>
      <c r="C345" s="68">
        <f>(VLOOKUP(A345,database!A:K,11,) - VLOOKUP(A333,database!A:K,11,))/VLOOKUP(A333,database!A:K,11,)</f>
        <v/>
      </c>
    </row>
    <row r="346">
      <c r="A346" s="38" t="n">
        <v>34820</v>
      </c>
      <c r="B346" s="39">
        <f>VLOOKUP(Table8[[#This Row],[Month]],database!A:J,MATCH('Capacity Utilization'!$A$1,database!$A$1:$J$1,),)</f>
        <v/>
      </c>
      <c r="C346" s="68">
        <f>(VLOOKUP(A346,database!A:K,11,) - VLOOKUP(A334,database!A:K,11,))/VLOOKUP(A334,database!A:K,11,)</f>
        <v/>
      </c>
    </row>
    <row r="347">
      <c r="A347" s="38" t="n">
        <v>34851</v>
      </c>
      <c r="B347" s="39">
        <f>VLOOKUP(Table8[[#This Row],[Month]],database!A:J,MATCH('Capacity Utilization'!$A$1,database!$A$1:$J$1,),)</f>
        <v/>
      </c>
      <c r="C347" s="68">
        <f>(VLOOKUP(A347,database!A:K,11,) - VLOOKUP(A335,database!A:K,11,))/VLOOKUP(A335,database!A:K,11,)</f>
        <v/>
      </c>
    </row>
    <row r="348">
      <c r="A348" s="38" t="n">
        <v>34881</v>
      </c>
      <c r="B348" s="39">
        <f>VLOOKUP(Table8[[#This Row],[Month]],database!A:J,MATCH('Capacity Utilization'!$A$1,database!$A$1:$J$1,),)</f>
        <v/>
      </c>
      <c r="C348" s="68">
        <f>(VLOOKUP(A348,database!A:K,11,) - VLOOKUP(A336,database!A:K,11,))/VLOOKUP(A336,database!A:K,11,)</f>
        <v/>
      </c>
    </row>
    <row r="349">
      <c r="A349" s="38" t="n">
        <v>34912</v>
      </c>
      <c r="B349" s="39">
        <f>VLOOKUP(Table8[[#This Row],[Month]],database!A:J,MATCH('Capacity Utilization'!$A$1,database!$A$1:$J$1,),)</f>
        <v/>
      </c>
      <c r="C349" s="68">
        <f>(VLOOKUP(A349,database!A:K,11,) - VLOOKUP(A337,database!A:K,11,))/VLOOKUP(A337,database!A:K,11,)</f>
        <v/>
      </c>
    </row>
    <row r="350">
      <c r="A350" s="38" t="n">
        <v>34943</v>
      </c>
      <c r="B350" s="39">
        <f>VLOOKUP(Table8[[#This Row],[Month]],database!A:J,MATCH('Capacity Utilization'!$A$1,database!$A$1:$J$1,),)</f>
        <v/>
      </c>
      <c r="C350" s="68">
        <f>(VLOOKUP(A350,database!A:K,11,) - VLOOKUP(A338,database!A:K,11,))/VLOOKUP(A338,database!A:K,11,)</f>
        <v/>
      </c>
    </row>
    <row r="351">
      <c r="A351" s="38" t="n">
        <v>34973</v>
      </c>
      <c r="B351" s="39">
        <f>VLOOKUP(Table8[[#This Row],[Month]],database!A:J,MATCH('Capacity Utilization'!$A$1,database!$A$1:$J$1,),)</f>
        <v/>
      </c>
      <c r="C351" s="68">
        <f>(VLOOKUP(A351,database!A:K,11,) - VLOOKUP(A339,database!A:K,11,))/VLOOKUP(A339,database!A:K,11,)</f>
        <v/>
      </c>
    </row>
    <row r="352">
      <c r="A352" s="38" t="n">
        <v>35004</v>
      </c>
      <c r="B352" s="39">
        <f>VLOOKUP(Table8[[#This Row],[Month]],database!A:J,MATCH('Capacity Utilization'!$A$1,database!$A$1:$J$1,),)</f>
        <v/>
      </c>
      <c r="C352" s="68">
        <f>(VLOOKUP(A352,database!A:K,11,) - VLOOKUP(A340,database!A:K,11,))/VLOOKUP(A340,database!A:K,11,)</f>
        <v/>
      </c>
    </row>
    <row r="353">
      <c r="A353" s="38" t="n">
        <v>35034</v>
      </c>
      <c r="B353" s="39">
        <f>VLOOKUP(Table8[[#This Row],[Month]],database!A:J,MATCH('Capacity Utilization'!$A$1,database!$A$1:$J$1,),)</f>
        <v/>
      </c>
      <c r="C353" s="68">
        <f>(VLOOKUP(A353,database!A:K,11,) - VLOOKUP(A341,database!A:K,11,))/VLOOKUP(A341,database!A:K,11,)</f>
        <v/>
      </c>
    </row>
    <row r="354">
      <c r="A354" s="38" t="n">
        <v>35065</v>
      </c>
      <c r="B354" s="39">
        <f>VLOOKUP(Table8[[#This Row],[Month]],database!A:J,MATCH('Capacity Utilization'!$A$1,database!$A$1:$J$1,),)</f>
        <v/>
      </c>
      <c r="C354" s="68">
        <f>(VLOOKUP(A354,database!A:K,11,) - VLOOKUP(A342,database!A:K,11,))/VLOOKUP(A342,database!A:K,11,)</f>
        <v/>
      </c>
    </row>
    <row r="355">
      <c r="A355" s="38" t="n">
        <v>35096</v>
      </c>
      <c r="B355" s="39">
        <f>VLOOKUP(Table8[[#This Row],[Month]],database!A:J,MATCH('Capacity Utilization'!$A$1,database!$A$1:$J$1,),)</f>
        <v/>
      </c>
      <c r="C355" s="68">
        <f>(VLOOKUP(A355,database!A:K,11,) - VLOOKUP(A343,database!A:K,11,))/VLOOKUP(A343,database!A:K,11,)</f>
        <v/>
      </c>
    </row>
    <row r="356">
      <c r="A356" s="38" t="n">
        <v>35125</v>
      </c>
      <c r="B356" s="39">
        <f>VLOOKUP(Table8[[#This Row],[Month]],database!A:J,MATCH('Capacity Utilization'!$A$1,database!$A$1:$J$1,),)</f>
        <v/>
      </c>
      <c r="C356" s="68">
        <f>(VLOOKUP(A356,database!A:K,11,) - VLOOKUP(A344,database!A:K,11,))/VLOOKUP(A344,database!A:K,11,)</f>
        <v/>
      </c>
    </row>
    <row r="357">
      <c r="A357" s="38" t="n">
        <v>35156</v>
      </c>
      <c r="B357" s="39">
        <f>VLOOKUP(Table8[[#This Row],[Month]],database!A:J,MATCH('Capacity Utilization'!$A$1,database!$A$1:$J$1,),)</f>
        <v/>
      </c>
      <c r="C357" s="68">
        <f>(VLOOKUP(A357,database!A:K,11,) - VLOOKUP(A345,database!A:K,11,))/VLOOKUP(A345,database!A:K,11,)</f>
        <v/>
      </c>
    </row>
    <row r="358">
      <c r="A358" s="38" t="n">
        <v>35186</v>
      </c>
      <c r="B358" s="39">
        <f>VLOOKUP(Table8[[#This Row],[Month]],database!A:J,MATCH('Capacity Utilization'!$A$1,database!$A$1:$J$1,),)</f>
        <v/>
      </c>
      <c r="C358" s="68">
        <f>(VLOOKUP(A358,database!A:K,11,) - VLOOKUP(A346,database!A:K,11,))/VLOOKUP(A346,database!A:K,11,)</f>
        <v/>
      </c>
    </row>
    <row r="359">
      <c r="A359" s="38" t="n">
        <v>35217</v>
      </c>
      <c r="B359" s="39">
        <f>VLOOKUP(Table8[[#This Row],[Month]],database!A:J,MATCH('Capacity Utilization'!$A$1,database!$A$1:$J$1,),)</f>
        <v/>
      </c>
      <c r="C359" s="68">
        <f>(VLOOKUP(A359,database!A:K,11,) - VLOOKUP(A347,database!A:K,11,))/VLOOKUP(A347,database!A:K,11,)</f>
        <v/>
      </c>
    </row>
    <row r="360">
      <c r="A360" s="38" t="n">
        <v>35247</v>
      </c>
      <c r="B360" s="39">
        <f>VLOOKUP(Table8[[#This Row],[Month]],database!A:J,MATCH('Capacity Utilization'!$A$1,database!$A$1:$J$1,),)</f>
        <v/>
      </c>
      <c r="C360" s="68">
        <f>(VLOOKUP(A360,database!A:K,11,) - VLOOKUP(A348,database!A:K,11,))/VLOOKUP(A348,database!A:K,11,)</f>
        <v/>
      </c>
    </row>
    <row r="361">
      <c r="A361" s="38" t="n">
        <v>35278</v>
      </c>
      <c r="B361" s="39">
        <f>VLOOKUP(Table8[[#This Row],[Month]],database!A:J,MATCH('Capacity Utilization'!$A$1,database!$A$1:$J$1,),)</f>
        <v/>
      </c>
      <c r="C361" s="68">
        <f>(VLOOKUP(A361,database!A:K,11,) - VLOOKUP(A349,database!A:K,11,))/VLOOKUP(A349,database!A:K,11,)</f>
        <v/>
      </c>
    </row>
    <row r="362">
      <c r="A362" s="38" t="n">
        <v>35309</v>
      </c>
      <c r="B362" s="39">
        <f>VLOOKUP(Table8[[#This Row],[Month]],database!A:J,MATCH('Capacity Utilization'!$A$1,database!$A$1:$J$1,),)</f>
        <v/>
      </c>
      <c r="C362" s="68">
        <f>(VLOOKUP(A362,database!A:K,11,) - VLOOKUP(A350,database!A:K,11,))/VLOOKUP(A350,database!A:K,11,)</f>
        <v/>
      </c>
    </row>
    <row r="363">
      <c r="A363" s="38" t="n">
        <v>35339</v>
      </c>
      <c r="B363" s="39">
        <f>VLOOKUP(Table8[[#This Row],[Month]],database!A:J,MATCH('Capacity Utilization'!$A$1,database!$A$1:$J$1,),)</f>
        <v/>
      </c>
      <c r="C363" s="68">
        <f>(VLOOKUP(A363,database!A:K,11,) - VLOOKUP(A351,database!A:K,11,))/VLOOKUP(A351,database!A:K,11,)</f>
        <v/>
      </c>
    </row>
    <row r="364">
      <c r="A364" s="38" t="n">
        <v>35370</v>
      </c>
      <c r="B364" s="39">
        <f>VLOOKUP(Table8[[#This Row],[Month]],database!A:J,MATCH('Capacity Utilization'!$A$1,database!$A$1:$J$1,),)</f>
        <v/>
      </c>
      <c r="C364" s="68">
        <f>(VLOOKUP(A364,database!A:K,11,) - VLOOKUP(A352,database!A:K,11,))/VLOOKUP(A352,database!A:K,11,)</f>
        <v/>
      </c>
    </row>
    <row r="365">
      <c r="A365" s="38" t="n">
        <v>35400</v>
      </c>
      <c r="B365" s="39">
        <f>VLOOKUP(Table8[[#This Row],[Month]],database!A:J,MATCH('Capacity Utilization'!$A$1,database!$A$1:$J$1,),)</f>
        <v/>
      </c>
      <c r="C365" s="68">
        <f>(VLOOKUP(A365,database!A:K,11,) - VLOOKUP(A353,database!A:K,11,))/VLOOKUP(A353,database!A:K,11,)</f>
        <v/>
      </c>
    </row>
    <row r="366">
      <c r="A366" s="38" t="n">
        <v>35431</v>
      </c>
      <c r="B366" s="39">
        <f>VLOOKUP(Table8[[#This Row],[Month]],database!A:J,MATCH('Capacity Utilization'!$A$1,database!$A$1:$J$1,),)</f>
        <v/>
      </c>
      <c r="C366" s="68">
        <f>(VLOOKUP(A366,database!A:K,11,) - VLOOKUP(A354,database!A:K,11,))/VLOOKUP(A354,database!A:K,11,)</f>
        <v/>
      </c>
    </row>
    <row r="367">
      <c r="A367" s="38" t="n">
        <v>35462</v>
      </c>
      <c r="B367" s="39">
        <f>VLOOKUP(Table8[[#This Row],[Month]],database!A:J,MATCH('Capacity Utilization'!$A$1,database!$A$1:$J$1,),)</f>
        <v/>
      </c>
      <c r="C367" s="68">
        <f>(VLOOKUP(A367,database!A:K,11,) - VLOOKUP(A355,database!A:K,11,))/VLOOKUP(A355,database!A:K,11,)</f>
        <v/>
      </c>
    </row>
    <row r="368">
      <c r="A368" s="38" t="n">
        <v>35490</v>
      </c>
      <c r="B368" s="39">
        <f>VLOOKUP(Table8[[#This Row],[Month]],database!A:J,MATCH('Capacity Utilization'!$A$1,database!$A$1:$J$1,),)</f>
        <v/>
      </c>
      <c r="C368" s="68">
        <f>(VLOOKUP(A368,database!A:K,11,) - VLOOKUP(A356,database!A:K,11,))/VLOOKUP(A356,database!A:K,11,)</f>
        <v/>
      </c>
    </row>
    <row r="369">
      <c r="A369" s="38" t="n">
        <v>35521</v>
      </c>
      <c r="B369" s="39">
        <f>VLOOKUP(Table8[[#This Row],[Month]],database!A:J,MATCH('Capacity Utilization'!$A$1,database!$A$1:$J$1,),)</f>
        <v/>
      </c>
      <c r="C369" s="68">
        <f>(VLOOKUP(A369,database!A:K,11,) - VLOOKUP(A357,database!A:K,11,))/VLOOKUP(A357,database!A:K,11,)</f>
        <v/>
      </c>
    </row>
    <row r="370">
      <c r="A370" s="38" t="n">
        <v>35551</v>
      </c>
      <c r="B370" s="39">
        <f>VLOOKUP(Table8[[#This Row],[Month]],database!A:J,MATCH('Capacity Utilization'!$A$1,database!$A$1:$J$1,),)</f>
        <v/>
      </c>
      <c r="C370" s="68">
        <f>(VLOOKUP(A370,database!A:K,11,) - VLOOKUP(A358,database!A:K,11,))/VLOOKUP(A358,database!A:K,11,)</f>
        <v/>
      </c>
    </row>
    <row r="371">
      <c r="A371" s="38" t="n">
        <v>35582</v>
      </c>
      <c r="B371" s="39">
        <f>VLOOKUP(Table8[[#This Row],[Month]],database!A:J,MATCH('Capacity Utilization'!$A$1,database!$A$1:$J$1,),)</f>
        <v/>
      </c>
      <c r="C371" s="68">
        <f>(VLOOKUP(A371,database!A:K,11,) - VLOOKUP(A359,database!A:K,11,))/VLOOKUP(A359,database!A:K,11,)</f>
        <v/>
      </c>
    </row>
    <row r="372">
      <c r="A372" s="38" t="n">
        <v>35612</v>
      </c>
      <c r="B372" s="39">
        <f>VLOOKUP(Table8[[#This Row],[Month]],database!A:J,MATCH('Capacity Utilization'!$A$1,database!$A$1:$J$1,),)</f>
        <v/>
      </c>
      <c r="C372" s="68">
        <f>(VLOOKUP(A372,database!A:K,11,) - VLOOKUP(A360,database!A:K,11,))/VLOOKUP(A360,database!A:K,11,)</f>
        <v/>
      </c>
    </row>
    <row r="373">
      <c r="A373" s="38" t="n">
        <v>35643</v>
      </c>
      <c r="B373" s="39">
        <f>VLOOKUP(Table8[[#This Row],[Month]],database!A:J,MATCH('Capacity Utilization'!$A$1,database!$A$1:$J$1,),)</f>
        <v/>
      </c>
      <c r="C373" s="68">
        <f>(VLOOKUP(A373,database!A:K,11,) - VLOOKUP(A361,database!A:K,11,))/VLOOKUP(A361,database!A:K,11,)</f>
        <v/>
      </c>
    </row>
    <row r="374">
      <c r="A374" s="38" t="n">
        <v>35674</v>
      </c>
      <c r="B374" s="39">
        <f>VLOOKUP(Table8[[#This Row],[Month]],database!A:J,MATCH('Capacity Utilization'!$A$1,database!$A$1:$J$1,),)</f>
        <v/>
      </c>
      <c r="C374" s="68">
        <f>(VLOOKUP(A374,database!A:K,11,) - VLOOKUP(A362,database!A:K,11,))/VLOOKUP(A362,database!A:K,11,)</f>
        <v/>
      </c>
    </row>
    <row r="375">
      <c r="A375" s="38" t="n">
        <v>35704</v>
      </c>
      <c r="B375" s="39">
        <f>VLOOKUP(Table8[[#This Row],[Month]],database!A:J,MATCH('Capacity Utilization'!$A$1,database!$A$1:$J$1,),)</f>
        <v/>
      </c>
      <c r="C375" s="68">
        <f>(VLOOKUP(A375,database!A:K,11,) - VLOOKUP(A363,database!A:K,11,))/VLOOKUP(A363,database!A:K,11,)</f>
        <v/>
      </c>
    </row>
    <row r="376">
      <c r="A376" s="38" t="n">
        <v>35735</v>
      </c>
      <c r="B376" s="39">
        <f>VLOOKUP(Table8[[#This Row],[Month]],database!A:J,MATCH('Capacity Utilization'!$A$1,database!$A$1:$J$1,),)</f>
        <v/>
      </c>
      <c r="C376" s="68">
        <f>(VLOOKUP(A376,database!A:K,11,) - VLOOKUP(A364,database!A:K,11,))/VLOOKUP(A364,database!A:K,11,)</f>
        <v/>
      </c>
    </row>
    <row r="377">
      <c r="A377" s="38" t="n">
        <v>35765</v>
      </c>
      <c r="B377" s="39">
        <f>VLOOKUP(Table8[[#This Row],[Month]],database!A:J,MATCH('Capacity Utilization'!$A$1,database!$A$1:$J$1,),)</f>
        <v/>
      </c>
      <c r="C377" s="68">
        <f>(VLOOKUP(A377,database!A:K,11,) - VLOOKUP(A365,database!A:K,11,))/VLOOKUP(A365,database!A:K,11,)</f>
        <v/>
      </c>
    </row>
    <row r="378">
      <c r="A378" s="38" t="n">
        <v>35796</v>
      </c>
      <c r="B378" s="39">
        <f>VLOOKUP(Table8[[#This Row],[Month]],database!A:J,MATCH('Capacity Utilization'!$A$1,database!$A$1:$J$1,),)</f>
        <v/>
      </c>
      <c r="C378" s="68">
        <f>(VLOOKUP(A378,database!A:K,11,) - VLOOKUP(A366,database!A:K,11,))/VLOOKUP(A366,database!A:K,11,)</f>
        <v/>
      </c>
    </row>
    <row r="379">
      <c r="A379" s="38" t="n">
        <v>35827</v>
      </c>
      <c r="B379" s="39">
        <f>VLOOKUP(Table8[[#This Row],[Month]],database!A:J,MATCH('Capacity Utilization'!$A$1,database!$A$1:$J$1,),)</f>
        <v/>
      </c>
      <c r="C379" s="68">
        <f>(VLOOKUP(A379,database!A:K,11,) - VLOOKUP(A367,database!A:K,11,))/VLOOKUP(A367,database!A:K,11,)</f>
        <v/>
      </c>
    </row>
    <row r="380">
      <c r="A380" s="38" t="n">
        <v>35855</v>
      </c>
      <c r="B380" s="39">
        <f>VLOOKUP(Table8[[#This Row],[Month]],database!A:J,MATCH('Capacity Utilization'!$A$1,database!$A$1:$J$1,),)</f>
        <v/>
      </c>
      <c r="C380" s="68">
        <f>(VLOOKUP(A380,database!A:K,11,) - VLOOKUP(A368,database!A:K,11,))/VLOOKUP(A368,database!A:K,11,)</f>
        <v/>
      </c>
    </row>
    <row r="381">
      <c r="A381" s="38" t="n">
        <v>35886</v>
      </c>
      <c r="B381" s="39">
        <f>VLOOKUP(Table8[[#This Row],[Month]],database!A:J,MATCH('Capacity Utilization'!$A$1,database!$A$1:$J$1,),)</f>
        <v/>
      </c>
      <c r="C381" s="68">
        <f>(VLOOKUP(A381,database!A:K,11,) - VLOOKUP(A369,database!A:K,11,))/VLOOKUP(A369,database!A:K,11,)</f>
        <v/>
      </c>
    </row>
    <row r="382">
      <c r="A382" s="38" t="n">
        <v>35916</v>
      </c>
      <c r="B382" s="39">
        <f>VLOOKUP(Table8[[#This Row],[Month]],database!A:J,MATCH('Capacity Utilization'!$A$1,database!$A$1:$J$1,),)</f>
        <v/>
      </c>
      <c r="C382" s="68">
        <f>(VLOOKUP(A382,database!A:K,11,) - VLOOKUP(A370,database!A:K,11,))/VLOOKUP(A370,database!A:K,11,)</f>
        <v/>
      </c>
    </row>
    <row r="383">
      <c r="A383" s="38" t="n">
        <v>35947</v>
      </c>
      <c r="B383" s="39">
        <f>VLOOKUP(Table8[[#This Row],[Month]],database!A:J,MATCH('Capacity Utilization'!$A$1,database!$A$1:$J$1,),)</f>
        <v/>
      </c>
      <c r="C383" s="68">
        <f>(VLOOKUP(A383,database!A:K,11,) - VLOOKUP(A371,database!A:K,11,))/VLOOKUP(A371,database!A:K,11,)</f>
        <v/>
      </c>
    </row>
    <row r="384">
      <c r="A384" s="38" t="n">
        <v>35977</v>
      </c>
      <c r="B384" s="39">
        <f>VLOOKUP(Table8[[#This Row],[Month]],database!A:J,MATCH('Capacity Utilization'!$A$1,database!$A$1:$J$1,),)</f>
        <v/>
      </c>
      <c r="C384" s="68">
        <f>(VLOOKUP(A384,database!A:K,11,) - VLOOKUP(A372,database!A:K,11,))/VLOOKUP(A372,database!A:K,11,)</f>
        <v/>
      </c>
    </row>
    <row r="385">
      <c r="A385" s="38" t="n">
        <v>36008</v>
      </c>
      <c r="B385" s="39">
        <f>VLOOKUP(Table8[[#This Row],[Month]],database!A:J,MATCH('Capacity Utilization'!$A$1,database!$A$1:$J$1,),)</f>
        <v/>
      </c>
      <c r="C385" s="68">
        <f>(VLOOKUP(A385,database!A:K,11,) - VLOOKUP(A373,database!A:K,11,))/VLOOKUP(A373,database!A:K,11,)</f>
        <v/>
      </c>
    </row>
    <row r="386">
      <c r="A386" s="38" t="n">
        <v>36039</v>
      </c>
      <c r="B386" s="39">
        <f>VLOOKUP(Table8[[#This Row],[Month]],database!A:J,MATCH('Capacity Utilization'!$A$1,database!$A$1:$J$1,),)</f>
        <v/>
      </c>
      <c r="C386" s="68">
        <f>(VLOOKUP(A386,database!A:K,11,) - VLOOKUP(A374,database!A:K,11,))/VLOOKUP(A374,database!A:K,11,)</f>
        <v/>
      </c>
    </row>
    <row r="387">
      <c r="A387" s="38" t="n">
        <v>36069</v>
      </c>
      <c r="B387" s="39">
        <f>VLOOKUP(Table8[[#This Row],[Month]],database!A:J,MATCH('Capacity Utilization'!$A$1,database!$A$1:$J$1,),)</f>
        <v/>
      </c>
      <c r="C387" s="68">
        <f>(VLOOKUP(A387,database!A:K,11,) - VLOOKUP(A375,database!A:K,11,))/VLOOKUP(A375,database!A:K,11,)</f>
        <v/>
      </c>
    </row>
    <row r="388">
      <c r="A388" s="38" t="n">
        <v>36100</v>
      </c>
      <c r="B388" s="39">
        <f>VLOOKUP(Table8[[#This Row],[Month]],database!A:J,MATCH('Capacity Utilization'!$A$1,database!$A$1:$J$1,),)</f>
        <v/>
      </c>
      <c r="C388" s="68">
        <f>(VLOOKUP(A388,database!A:K,11,) - VLOOKUP(A376,database!A:K,11,))/VLOOKUP(A376,database!A:K,11,)</f>
        <v/>
      </c>
    </row>
    <row r="389">
      <c r="A389" s="38" t="n">
        <v>36130</v>
      </c>
      <c r="B389" s="39">
        <f>VLOOKUP(Table8[[#This Row],[Month]],database!A:J,MATCH('Capacity Utilization'!$A$1,database!$A$1:$J$1,),)</f>
        <v/>
      </c>
      <c r="C389" s="68">
        <f>(VLOOKUP(A389,database!A:K,11,) - VLOOKUP(A377,database!A:K,11,))/VLOOKUP(A377,database!A:K,11,)</f>
        <v/>
      </c>
    </row>
    <row r="390">
      <c r="A390" s="38" t="n">
        <v>36161</v>
      </c>
      <c r="B390" s="39">
        <f>VLOOKUP(Table8[[#This Row],[Month]],database!A:J,MATCH('Capacity Utilization'!$A$1,database!$A$1:$J$1,),)</f>
        <v/>
      </c>
      <c r="C390" s="68">
        <f>(VLOOKUP(A390,database!A:K,11,) - VLOOKUP(A378,database!A:K,11,))/VLOOKUP(A378,database!A:K,11,)</f>
        <v/>
      </c>
    </row>
    <row r="391">
      <c r="A391" s="38" t="n">
        <v>36192</v>
      </c>
      <c r="B391" s="39">
        <f>VLOOKUP(Table8[[#This Row],[Month]],database!A:J,MATCH('Capacity Utilization'!$A$1,database!$A$1:$J$1,),)</f>
        <v/>
      </c>
      <c r="C391" s="68">
        <f>(VLOOKUP(A391,database!A:K,11,) - VLOOKUP(A379,database!A:K,11,))/VLOOKUP(A379,database!A:K,11,)</f>
        <v/>
      </c>
    </row>
    <row r="392">
      <c r="A392" s="38" t="n">
        <v>36220</v>
      </c>
      <c r="B392" s="39">
        <f>VLOOKUP(Table8[[#This Row],[Month]],database!A:J,MATCH('Capacity Utilization'!$A$1,database!$A$1:$J$1,),)</f>
        <v/>
      </c>
      <c r="C392" s="68">
        <f>(VLOOKUP(A392,database!A:K,11,) - VLOOKUP(A380,database!A:K,11,))/VLOOKUP(A380,database!A:K,11,)</f>
        <v/>
      </c>
    </row>
    <row r="393">
      <c r="A393" s="38" t="n">
        <v>36251</v>
      </c>
      <c r="B393" s="39">
        <f>VLOOKUP(Table8[[#This Row],[Month]],database!A:J,MATCH('Capacity Utilization'!$A$1,database!$A$1:$J$1,),)</f>
        <v/>
      </c>
      <c r="C393" s="68">
        <f>(VLOOKUP(A393,database!A:K,11,) - VLOOKUP(A381,database!A:K,11,))/VLOOKUP(A381,database!A:K,11,)</f>
        <v/>
      </c>
    </row>
    <row r="394">
      <c r="A394" s="38" t="n">
        <v>36281</v>
      </c>
      <c r="B394" s="39">
        <f>VLOOKUP(Table8[[#This Row],[Month]],database!A:J,MATCH('Capacity Utilization'!$A$1,database!$A$1:$J$1,),)</f>
        <v/>
      </c>
      <c r="C394" s="68">
        <f>(VLOOKUP(A394,database!A:K,11,) - VLOOKUP(A382,database!A:K,11,))/VLOOKUP(A382,database!A:K,11,)</f>
        <v/>
      </c>
    </row>
    <row r="395">
      <c r="A395" s="38" t="n">
        <v>36312</v>
      </c>
      <c r="B395" s="39">
        <f>VLOOKUP(Table8[[#This Row],[Month]],database!A:J,MATCH('Capacity Utilization'!$A$1,database!$A$1:$J$1,),)</f>
        <v/>
      </c>
      <c r="C395" s="68">
        <f>(VLOOKUP(A395,database!A:K,11,) - VLOOKUP(A383,database!A:K,11,))/VLOOKUP(A383,database!A:K,11,)</f>
        <v/>
      </c>
    </row>
    <row r="396">
      <c r="A396" s="38" t="n">
        <v>36342</v>
      </c>
      <c r="B396" s="39">
        <f>VLOOKUP(Table8[[#This Row],[Month]],database!A:J,MATCH('Capacity Utilization'!$A$1,database!$A$1:$J$1,),)</f>
        <v/>
      </c>
      <c r="C396" s="68">
        <f>(VLOOKUP(A396,database!A:K,11,) - VLOOKUP(A384,database!A:K,11,))/VLOOKUP(A384,database!A:K,11,)</f>
        <v/>
      </c>
    </row>
    <row r="397">
      <c r="A397" s="38" t="n">
        <v>36373</v>
      </c>
      <c r="B397" s="39">
        <f>VLOOKUP(Table8[[#This Row],[Month]],database!A:J,MATCH('Capacity Utilization'!$A$1,database!$A$1:$J$1,),)</f>
        <v/>
      </c>
      <c r="C397" s="68">
        <f>(VLOOKUP(A397,database!A:K,11,) - VLOOKUP(A385,database!A:K,11,))/VLOOKUP(A385,database!A:K,11,)</f>
        <v/>
      </c>
    </row>
    <row r="398">
      <c r="A398" s="38" t="n">
        <v>36404</v>
      </c>
      <c r="B398" s="39">
        <f>VLOOKUP(Table8[[#This Row],[Month]],database!A:J,MATCH('Capacity Utilization'!$A$1,database!$A$1:$J$1,),)</f>
        <v/>
      </c>
      <c r="C398" s="68">
        <f>(VLOOKUP(A398,database!A:K,11,) - VLOOKUP(A386,database!A:K,11,))/VLOOKUP(A386,database!A:K,11,)</f>
        <v/>
      </c>
    </row>
    <row r="399">
      <c r="A399" s="38" t="n">
        <v>36434</v>
      </c>
      <c r="B399" s="39">
        <f>VLOOKUP(Table8[[#This Row],[Month]],database!A:J,MATCH('Capacity Utilization'!$A$1,database!$A$1:$J$1,),)</f>
        <v/>
      </c>
      <c r="C399" s="68">
        <f>(VLOOKUP(A399,database!A:K,11,) - VLOOKUP(A387,database!A:K,11,))/VLOOKUP(A387,database!A:K,11,)</f>
        <v/>
      </c>
    </row>
    <row r="400">
      <c r="A400" s="38" t="n">
        <v>36465</v>
      </c>
      <c r="B400" s="39">
        <f>VLOOKUP(Table8[[#This Row],[Month]],database!A:J,MATCH('Capacity Utilization'!$A$1,database!$A$1:$J$1,),)</f>
        <v/>
      </c>
      <c r="C400" s="68">
        <f>(VLOOKUP(A400,database!A:K,11,) - VLOOKUP(A388,database!A:K,11,))/VLOOKUP(A388,database!A:K,11,)</f>
        <v/>
      </c>
    </row>
    <row r="401">
      <c r="A401" s="38" t="n">
        <v>36495</v>
      </c>
      <c r="B401" s="39">
        <f>VLOOKUP(Table8[[#This Row],[Month]],database!A:J,MATCH('Capacity Utilization'!$A$1,database!$A$1:$J$1,),)</f>
        <v/>
      </c>
      <c r="C401" s="68">
        <f>(VLOOKUP(A401,database!A:K,11,) - VLOOKUP(A389,database!A:K,11,))/VLOOKUP(A389,database!A:K,11,)</f>
        <v/>
      </c>
    </row>
    <row r="402">
      <c r="A402" s="38" t="n">
        <v>36526</v>
      </c>
      <c r="B402" s="39">
        <f>VLOOKUP(Table8[[#This Row],[Month]],database!A:J,MATCH('Capacity Utilization'!$A$1,database!$A$1:$J$1,),)</f>
        <v/>
      </c>
      <c r="C402" s="68">
        <f>(VLOOKUP(A402,database!A:K,11,) - VLOOKUP(A390,database!A:K,11,))/VLOOKUP(A390,database!A:K,11,)</f>
        <v/>
      </c>
    </row>
    <row r="403">
      <c r="A403" s="38" t="n">
        <v>36557</v>
      </c>
      <c r="B403" s="39">
        <f>VLOOKUP(Table8[[#This Row],[Month]],database!A:J,MATCH('Capacity Utilization'!$A$1,database!$A$1:$J$1,),)</f>
        <v/>
      </c>
      <c r="C403" s="68">
        <f>(VLOOKUP(A403,database!A:K,11,) - VLOOKUP(A391,database!A:K,11,))/VLOOKUP(A391,database!A:K,11,)</f>
        <v/>
      </c>
    </row>
    <row r="404">
      <c r="A404" s="38" t="n">
        <v>36586</v>
      </c>
      <c r="B404" s="39">
        <f>VLOOKUP(Table8[[#This Row],[Month]],database!A:J,MATCH('Capacity Utilization'!$A$1,database!$A$1:$J$1,),)</f>
        <v/>
      </c>
      <c r="C404" s="68">
        <f>(VLOOKUP(A404,database!A:K,11,) - VLOOKUP(A392,database!A:K,11,))/VLOOKUP(A392,database!A:K,11,)</f>
        <v/>
      </c>
    </row>
    <row r="405">
      <c r="A405" s="38" t="n">
        <v>36617</v>
      </c>
      <c r="B405" s="39">
        <f>VLOOKUP(Table8[[#This Row],[Month]],database!A:J,MATCH('Capacity Utilization'!$A$1,database!$A$1:$J$1,),)</f>
        <v/>
      </c>
      <c r="C405" s="68">
        <f>(VLOOKUP(A405,database!A:K,11,) - VLOOKUP(A393,database!A:K,11,))/VLOOKUP(A393,database!A:K,11,)</f>
        <v/>
      </c>
    </row>
    <row r="406">
      <c r="A406" s="38" t="n">
        <v>36647</v>
      </c>
      <c r="B406" s="39">
        <f>VLOOKUP(Table8[[#This Row],[Month]],database!A:J,MATCH('Capacity Utilization'!$A$1,database!$A$1:$J$1,),)</f>
        <v/>
      </c>
      <c r="C406" s="68">
        <f>(VLOOKUP(A406,database!A:K,11,) - VLOOKUP(A394,database!A:K,11,))/VLOOKUP(A394,database!A:K,11,)</f>
        <v/>
      </c>
    </row>
    <row r="407">
      <c r="A407" s="38" t="n">
        <v>36678</v>
      </c>
      <c r="B407" s="39">
        <f>VLOOKUP(Table8[[#This Row],[Month]],database!A:J,MATCH('Capacity Utilization'!$A$1,database!$A$1:$J$1,),)</f>
        <v/>
      </c>
      <c r="C407" s="68">
        <f>(VLOOKUP(A407,database!A:K,11,) - VLOOKUP(A395,database!A:K,11,))/VLOOKUP(A395,database!A:K,11,)</f>
        <v/>
      </c>
    </row>
    <row r="408">
      <c r="A408" s="38" t="n">
        <v>36708</v>
      </c>
      <c r="B408" s="39">
        <f>VLOOKUP(Table8[[#This Row],[Month]],database!A:J,MATCH('Capacity Utilization'!$A$1,database!$A$1:$J$1,),)</f>
        <v/>
      </c>
      <c r="C408" s="68">
        <f>(VLOOKUP(A408,database!A:K,11,) - VLOOKUP(A396,database!A:K,11,))/VLOOKUP(A396,database!A:K,11,)</f>
        <v/>
      </c>
    </row>
    <row r="409">
      <c r="A409" s="38" t="n">
        <v>36739</v>
      </c>
      <c r="B409" s="39">
        <f>VLOOKUP(Table8[[#This Row],[Month]],database!A:J,MATCH('Capacity Utilization'!$A$1,database!$A$1:$J$1,),)</f>
        <v/>
      </c>
      <c r="C409" s="68">
        <f>(VLOOKUP(A409,database!A:K,11,) - VLOOKUP(A397,database!A:K,11,))/VLOOKUP(A397,database!A:K,11,)</f>
        <v/>
      </c>
    </row>
    <row r="410">
      <c r="A410" s="38" t="n">
        <v>36770</v>
      </c>
      <c r="B410" s="39">
        <f>VLOOKUP(Table8[[#This Row],[Month]],database!A:J,MATCH('Capacity Utilization'!$A$1,database!$A$1:$J$1,),)</f>
        <v/>
      </c>
      <c r="C410" s="68">
        <f>(VLOOKUP(A410,database!A:K,11,) - VLOOKUP(A398,database!A:K,11,))/VLOOKUP(A398,database!A:K,11,)</f>
        <v/>
      </c>
    </row>
    <row r="411">
      <c r="A411" s="38" t="n">
        <v>36800</v>
      </c>
      <c r="B411" s="39">
        <f>VLOOKUP(Table8[[#This Row],[Month]],database!A:J,MATCH('Capacity Utilization'!$A$1,database!$A$1:$J$1,),)</f>
        <v/>
      </c>
      <c r="C411" s="68">
        <f>(VLOOKUP(A411,database!A:K,11,) - VLOOKUP(A399,database!A:K,11,))/VLOOKUP(A399,database!A:K,11,)</f>
        <v/>
      </c>
    </row>
    <row r="412">
      <c r="A412" s="38" t="n">
        <v>36831</v>
      </c>
      <c r="B412" s="39">
        <f>VLOOKUP(Table8[[#This Row],[Month]],database!A:J,MATCH('Capacity Utilization'!$A$1,database!$A$1:$J$1,),)</f>
        <v/>
      </c>
      <c r="C412" s="68">
        <f>(VLOOKUP(A412,database!A:K,11,) - VLOOKUP(A400,database!A:K,11,))/VLOOKUP(A400,database!A:K,11,)</f>
        <v/>
      </c>
    </row>
    <row r="413">
      <c r="A413" s="38" t="n">
        <v>36861</v>
      </c>
      <c r="B413" s="39">
        <f>VLOOKUP(Table8[[#This Row],[Month]],database!A:J,MATCH('Capacity Utilization'!$A$1,database!$A$1:$J$1,),)</f>
        <v/>
      </c>
      <c r="C413" s="68">
        <f>(VLOOKUP(A413,database!A:K,11,) - VLOOKUP(A401,database!A:K,11,))/VLOOKUP(A401,database!A:K,11,)</f>
        <v/>
      </c>
    </row>
    <row r="414">
      <c r="A414" s="38" t="n">
        <v>36892</v>
      </c>
      <c r="B414" s="39">
        <f>VLOOKUP(Table8[[#This Row],[Month]],database!A:J,MATCH('Capacity Utilization'!$A$1,database!$A$1:$J$1,),)</f>
        <v/>
      </c>
      <c r="C414" s="68">
        <f>(VLOOKUP(A414,database!A:K,11,) - VLOOKUP(A402,database!A:K,11,))/VLOOKUP(A402,database!A:K,11,)</f>
        <v/>
      </c>
    </row>
    <row r="415">
      <c r="A415" s="38" t="n">
        <v>36923</v>
      </c>
      <c r="B415" s="39">
        <f>VLOOKUP(Table8[[#This Row],[Month]],database!A:J,MATCH('Capacity Utilization'!$A$1,database!$A$1:$J$1,),)</f>
        <v/>
      </c>
      <c r="C415" s="68">
        <f>(VLOOKUP(A415,database!A:K,11,) - VLOOKUP(A403,database!A:K,11,))/VLOOKUP(A403,database!A:K,11,)</f>
        <v/>
      </c>
    </row>
    <row r="416">
      <c r="A416" s="38" t="n">
        <v>36951</v>
      </c>
      <c r="B416" s="39">
        <f>VLOOKUP(Table8[[#This Row],[Month]],database!A:J,MATCH('Capacity Utilization'!$A$1,database!$A$1:$J$1,),)</f>
        <v/>
      </c>
      <c r="C416" s="68">
        <f>(VLOOKUP(A416,database!A:K,11,) - VLOOKUP(A404,database!A:K,11,))/VLOOKUP(A404,database!A:K,11,)</f>
        <v/>
      </c>
    </row>
    <row r="417">
      <c r="A417" s="38" t="n">
        <v>36982</v>
      </c>
      <c r="B417" s="39">
        <f>VLOOKUP(Table8[[#This Row],[Month]],database!A:J,MATCH('Capacity Utilization'!$A$1,database!$A$1:$J$1,),)</f>
        <v/>
      </c>
      <c r="C417" s="68">
        <f>(VLOOKUP(A417,database!A:K,11,) - VLOOKUP(A405,database!A:K,11,))/VLOOKUP(A405,database!A:K,11,)</f>
        <v/>
      </c>
    </row>
    <row r="418">
      <c r="A418" s="38" t="n">
        <v>37012</v>
      </c>
      <c r="B418" s="39">
        <f>VLOOKUP(Table8[[#This Row],[Month]],database!A:J,MATCH('Capacity Utilization'!$A$1,database!$A$1:$J$1,),)</f>
        <v/>
      </c>
      <c r="C418" s="68">
        <f>(VLOOKUP(A418,database!A:K,11,) - VLOOKUP(A406,database!A:K,11,))/VLOOKUP(A406,database!A:K,11,)</f>
        <v/>
      </c>
    </row>
    <row r="419">
      <c r="A419" s="38" t="n">
        <v>37043</v>
      </c>
      <c r="B419" s="39">
        <f>VLOOKUP(Table8[[#This Row],[Month]],database!A:J,MATCH('Capacity Utilization'!$A$1,database!$A$1:$J$1,),)</f>
        <v/>
      </c>
      <c r="C419" s="68">
        <f>(VLOOKUP(A419,database!A:K,11,) - VLOOKUP(A407,database!A:K,11,))/VLOOKUP(A407,database!A:K,11,)</f>
        <v/>
      </c>
    </row>
    <row r="420">
      <c r="A420" s="38" t="n">
        <v>37073</v>
      </c>
      <c r="B420" s="39">
        <f>VLOOKUP(Table8[[#This Row],[Month]],database!A:J,MATCH('Capacity Utilization'!$A$1,database!$A$1:$J$1,),)</f>
        <v/>
      </c>
      <c r="C420" s="68">
        <f>(VLOOKUP(A420,database!A:K,11,) - VLOOKUP(A408,database!A:K,11,))/VLOOKUP(A408,database!A:K,11,)</f>
        <v/>
      </c>
    </row>
    <row r="421">
      <c r="A421" s="38" t="n">
        <v>37104</v>
      </c>
      <c r="B421" s="39">
        <f>VLOOKUP(Table8[[#This Row],[Month]],database!A:J,MATCH('Capacity Utilization'!$A$1,database!$A$1:$J$1,),)</f>
        <v/>
      </c>
      <c r="C421" s="68">
        <f>(VLOOKUP(A421,database!A:K,11,) - VLOOKUP(A409,database!A:K,11,))/VLOOKUP(A409,database!A:K,11,)</f>
        <v/>
      </c>
    </row>
    <row r="422">
      <c r="A422" s="38" t="n">
        <v>37135</v>
      </c>
      <c r="B422" s="39">
        <f>VLOOKUP(Table8[[#This Row],[Month]],database!A:J,MATCH('Capacity Utilization'!$A$1,database!$A$1:$J$1,),)</f>
        <v/>
      </c>
      <c r="C422" s="68">
        <f>(VLOOKUP(A422,database!A:K,11,) - VLOOKUP(A410,database!A:K,11,))/VLOOKUP(A410,database!A:K,11,)</f>
        <v/>
      </c>
    </row>
    <row r="423">
      <c r="A423" s="38" t="n">
        <v>37165</v>
      </c>
      <c r="B423" s="39">
        <f>VLOOKUP(Table8[[#This Row],[Month]],database!A:J,MATCH('Capacity Utilization'!$A$1,database!$A$1:$J$1,),)</f>
        <v/>
      </c>
      <c r="C423" s="68">
        <f>(VLOOKUP(A423,database!A:K,11,) - VLOOKUP(A411,database!A:K,11,))/VLOOKUP(A411,database!A:K,11,)</f>
        <v/>
      </c>
    </row>
    <row r="424">
      <c r="A424" s="38" t="n">
        <v>37196</v>
      </c>
      <c r="B424" s="39">
        <f>VLOOKUP(Table8[[#This Row],[Month]],database!A:J,MATCH('Capacity Utilization'!$A$1,database!$A$1:$J$1,),)</f>
        <v/>
      </c>
      <c r="C424" s="68">
        <f>(VLOOKUP(A424,database!A:K,11,) - VLOOKUP(A412,database!A:K,11,))/VLOOKUP(A412,database!A:K,11,)</f>
        <v/>
      </c>
    </row>
    <row r="425">
      <c r="A425" s="38" t="n">
        <v>37226</v>
      </c>
      <c r="B425" s="39">
        <f>VLOOKUP(Table8[[#This Row],[Month]],database!A:J,MATCH('Capacity Utilization'!$A$1,database!$A$1:$J$1,),)</f>
        <v/>
      </c>
      <c r="C425" s="68">
        <f>(VLOOKUP(A425,database!A:K,11,) - VLOOKUP(A413,database!A:K,11,))/VLOOKUP(A413,database!A:K,11,)</f>
        <v/>
      </c>
    </row>
    <row r="426">
      <c r="A426" s="38" t="n">
        <v>37257</v>
      </c>
      <c r="B426" s="39">
        <f>VLOOKUP(Table8[[#This Row],[Month]],database!A:J,MATCH('Capacity Utilization'!$A$1,database!$A$1:$J$1,),)</f>
        <v/>
      </c>
      <c r="C426" s="68">
        <f>(VLOOKUP(A426,database!A:K,11,) - VLOOKUP(A414,database!A:K,11,))/VLOOKUP(A414,database!A:K,11,)</f>
        <v/>
      </c>
    </row>
    <row r="427">
      <c r="A427" s="38" t="n">
        <v>37288</v>
      </c>
      <c r="B427" s="39">
        <f>VLOOKUP(Table8[[#This Row],[Month]],database!A:J,MATCH('Capacity Utilization'!$A$1,database!$A$1:$J$1,),)</f>
        <v/>
      </c>
      <c r="C427" s="68">
        <f>(VLOOKUP(A427,database!A:K,11,) - VLOOKUP(A415,database!A:K,11,))/VLOOKUP(A415,database!A:K,11,)</f>
        <v/>
      </c>
    </row>
    <row r="428">
      <c r="A428" s="38" t="n">
        <v>37316</v>
      </c>
      <c r="B428" s="39">
        <f>VLOOKUP(Table8[[#This Row],[Month]],database!A:J,MATCH('Capacity Utilization'!$A$1,database!$A$1:$J$1,),)</f>
        <v/>
      </c>
      <c r="C428" s="68">
        <f>(VLOOKUP(A428,database!A:K,11,) - VLOOKUP(A416,database!A:K,11,))/VLOOKUP(A416,database!A:K,11,)</f>
        <v/>
      </c>
    </row>
    <row r="429">
      <c r="A429" s="38" t="n">
        <v>37347</v>
      </c>
      <c r="B429" s="39">
        <f>VLOOKUP(Table8[[#This Row],[Month]],database!A:J,MATCH('Capacity Utilization'!$A$1,database!$A$1:$J$1,),)</f>
        <v/>
      </c>
      <c r="C429" s="68">
        <f>(VLOOKUP(A429,database!A:K,11,) - VLOOKUP(A417,database!A:K,11,))/VLOOKUP(A417,database!A:K,11,)</f>
        <v/>
      </c>
    </row>
    <row r="430">
      <c r="A430" s="38" t="n">
        <v>37377</v>
      </c>
      <c r="B430" s="39">
        <f>VLOOKUP(Table8[[#This Row],[Month]],database!A:J,MATCH('Capacity Utilization'!$A$1,database!$A$1:$J$1,),)</f>
        <v/>
      </c>
      <c r="C430" s="68">
        <f>(VLOOKUP(A430,database!A:K,11,) - VLOOKUP(A418,database!A:K,11,))/VLOOKUP(A418,database!A:K,11,)</f>
        <v/>
      </c>
    </row>
    <row r="431">
      <c r="A431" s="38" t="n">
        <v>37408</v>
      </c>
      <c r="B431" s="39">
        <f>VLOOKUP(Table8[[#This Row],[Month]],database!A:J,MATCH('Capacity Utilization'!$A$1,database!$A$1:$J$1,),)</f>
        <v/>
      </c>
      <c r="C431" s="68">
        <f>(VLOOKUP(A431,database!A:K,11,) - VLOOKUP(A419,database!A:K,11,))/VLOOKUP(A419,database!A:K,11,)</f>
        <v/>
      </c>
    </row>
    <row r="432">
      <c r="A432" s="38" t="n">
        <v>37438</v>
      </c>
      <c r="B432" s="39">
        <f>VLOOKUP(Table8[[#This Row],[Month]],database!A:J,MATCH('Capacity Utilization'!$A$1,database!$A$1:$J$1,),)</f>
        <v/>
      </c>
      <c r="C432" s="68">
        <f>(VLOOKUP(A432,database!A:K,11,) - VLOOKUP(A420,database!A:K,11,))/VLOOKUP(A420,database!A:K,11,)</f>
        <v/>
      </c>
    </row>
    <row r="433">
      <c r="A433" s="38" t="n">
        <v>37469</v>
      </c>
      <c r="B433" s="39">
        <f>VLOOKUP(Table8[[#This Row],[Month]],database!A:J,MATCH('Capacity Utilization'!$A$1,database!$A$1:$J$1,),)</f>
        <v/>
      </c>
      <c r="C433" s="68">
        <f>(VLOOKUP(A433,database!A:K,11,) - VLOOKUP(A421,database!A:K,11,))/VLOOKUP(A421,database!A:K,11,)</f>
        <v/>
      </c>
    </row>
    <row r="434">
      <c r="A434" s="38" t="n">
        <v>37500</v>
      </c>
      <c r="B434" s="39">
        <f>VLOOKUP(Table8[[#This Row],[Month]],database!A:J,MATCH('Capacity Utilization'!$A$1,database!$A$1:$J$1,),)</f>
        <v/>
      </c>
      <c r="C434" s="68">
        <f>(VLOOKUP(A434,database!A:K,11,) - VLOOKUP(A422,database!A:K,11,))/VLOOKUP(A422,database!A:K,11,)</f>
        <v/>
      </c>
    </row>
    <row r="435">
      <c r="A435" s="38" t="n">
        <v>37530</v>
      </c>
      <c r="B435" s="39">
        <f>VLOOKUP(Table8[[#This Row],[Month]],database!A:J,MATCH('Capacity Utilization'!$A$1,database!$A$1:$J$1,),)</f>
        <v/>
      </c>
      <c r="C435" s="68">
        <f>(VLOOKUP(A435,database!A:K,11,) - VLOOKUP(A423,database!A:K,11,))/VLOOKUP(A423,database!A:K,11,)</f>
        <v/>
      </c>
    </row>
    <row r="436">
      <c r="A436" s="38" t="n">
        <v>37561</v>
      </c>
      <c r="B436" s="39">
        <f>VLOOKUP(Table8[[#This Row],[Month]],database!A:J,MATCH('Capacity Utilization'!$A$1,database!$A$1:$J$1,),)</f>
        <v/>
      </c>
      <c r="C436" s="68">
        <f>(VLOOKUP(A436,database!A:K,11,) - VLOOKUP(A424,database!A:K,11,))/VLOOKUP(A424,database!A:K,11,)</f>
        <v/>
      </c>
    </row>
    <row r="437">
      <c r="A437" s="38" t="n">
        <v>37591</v>
      </c>
      <c r="B437" s="39">
        <f>VLOOKUP(Table8[[#This Row],[Month]],database!A:J,MATCH('Capacity Utilization'!$A$1,database!$A$1:$J$1,),)</f>
        <v/>
      </c>
      <c r="C437" s="68">
        <f>(VLOOKUP(A437,database!A:K,11,) - VLOOKUP(A425,database!A:K,11,))/VLOOKUP(A425,database!A:K,11,)</f>
        <v/>
      </c>
    </row>
    <row r="438">
      <c r="A438" s="38" t="n">
        <v>37622</v>
      </c>
      <c r="B438" s="39">
        <f>VLOOKUP(Table8[[#This Row],[Month]],database!A:J,MATCH('Capacity Utilization'!$A$1,database!$A$1:$J$1,),)</f>
        <v/>
      </c>
      <c r="C438" s="68">
        <f>(VLOOKUP(A438,database!A:K,11,) - VLOOKUP(A426,database!A:K,11,))/VLOOKUP(A426,database!A:K,11,)</f>
        <v/>
      </c>
    </row>
    <row r="439">
      <c r="A439" s="38" t="n">
        <v>37653</v>
      </c>
      <c r="B439" s="39">
        <f>VLOOKUP(Table8[[#This Row],[Month]],database!A:J,MATCH('Capacity Utilization'!$A$1,database!$A$1:$J$1,),)</f>
        <v/>
      </c>
      <c r="C439" s="68">
        <f>(VLOOKUP(A439,database!A:K,11,) - VLOOKUP(A427,database!A:K,11,))/VLOOKUP(A427,database!A:K,11,)</f>
        <v/>
      </c>
    </row>
    <row r="440">
      <c r="A440" s="38" t="n">
        <v>37681</v>
      </c>
      <c r="B440" s="39">
        <f>VLOOKUP(Table8[[#This Row],[Month]],database!A:J,MATCH('Capacity Utilization'!$A$1,database!$A$1:$J$1,),)</f>
        <v/>
      </c>
      <c r="C440" s="68">
        <f>(VLOOKUP(A440,database!A:K,11,) - VLOOKUP(A428,database!A:K,11,))/VLOOKUP(A428,database!A:K,11,)</f>
        <v/>
      </c>
    </row>
    <row r="441">
      <c r="A441" s="38" t="n">
        <v>37712</v>
      </c>
      <c r="B441" s="39">
        <f>VLOOKUP(Table8[[#This Row],[Month]],database!A:J,MATCH('Capacity Utilization'!$A$1,database!$A$1:$J$1,),)</f>
        <v/>
      </c>
      <c r="C441" s="68">
        <f>(VLOOKUP(A441,database!A:K,11,) - VLOOKUP(A429,database!A:K,11,))/VLOOKUP(A429,database!A:K,11,)</f>
        <v/>
      </c>
    </row>
    <row r="442">
      <c r="A442" s="38" t="n">
        <v>37742</v>
      </c>
      <c r="B442" s="39">
        <f>VLOOKUP(Table8[[#This Row],[Month]],database!A:J,MATCH('Capacity Utilization'!$A$1,database!$A$1:$J$1,),)</f>
        <v/>
      </c>
      <c r="C442" s="68">
        <f>(VLOOKUP(A442,database!A:K,11,) - VLOOKUP(A430,database!A:K,11,))/VLOOKUP(A430,database!A:K,11,)</f>
        <v/>
      </c>
    </row>
    <row r="443">
      <c r="A443" s="38" t="n">
        <v>37773</v>
      </c>
      <c r="B443" s="39">
        <f>VLOOKUP(Table8[[#This Row],[Month]],database!A:J,MATCH('Capacity Utilization'!$A$1,database!$A$1:$J$1,),)</f>
        <v/>
      </c>
      <c r="C443" s="68">
        <f>(VLOOKUP(A443,database!A:K,11,) - VLOOKUP(A431,database!A:K,11,))/VLOOKUP(A431,database!A:K,11,)</f>
        <v/>
      </c>
    </row>
    <row r="444">
      <c r="A444" s="38" t="n">
        <v>37803</v>
      </c>
      <c r="B444" s="39">
        <f>VLOOKUP(Table8[[#This Row],[Month]],database!A:J,MATCH('Capacity Utilization'!$A$1,database!$A$1:$J$1,),)</f>
        <v/>
      </c>
      <c r="C444" s="68">
        <f>(VLOOKUP(A444,database!A:K,11,) - VLOOKUP(A432,database!A:K,11,))/VLOOKUP(A432,database!A:K,11,)</f>
        <v/>
      </c>
    </row>
    <row r="445">
      <c r="A445" s="38" t="n">
        <v>37834</v>
      </c>
      <c r="B445" s="39">
        <f>VLOOKUP(Table8[[#This Row],[Month]],database!A:J,MATCH('Capacity Utilization'!$A$1,database!$A$1:$J$1,),)</f>
        <v/>
      </c>
      <c r="C445" s="68">
        <f>(VLOOKUP(A445,database!A:K,11,) - VLOOKUP(A433,database!A:K,11,))/VLOOKUP(A433,database!A:K,11,)</f>
        <v/>
      </c>
    </row>
    <row r="446">
      <c r="A446" s="38" t="n">
        <v>37865</v>
      </c>
      <c r="B446" s="39">
        <f>VLOOKUP(Table8[[#This Row],[Month]],database!A:J,MATCH('Capacity Utilization'!$A$1,database!$A$1:$J$1,),)</f>
        <v/>
      </c>
      <c r="C446" s="68">
        <f>(VLOOKUP(A446,database!A:K,11,) - VLOOKUP(A434,database!A:K,11,))/VLOOKUP(A434,database!A:K,11,)</f>
        <v/>
      </c>
    </row>
    <row r="447">
      <c r="A447" s="38" t="n">
        <v>37895</v>
      </c>
      <c r="B447" s="39">
        <f>VLOOKUP(Table8[[#This Row],[Month]],database!A:J,MATCH('Capacity Utilization'!$A$1,database!$A$1:$J$1,),)</f>
        <v/>
      </c>
      <c r="C447" s="68">
        <f>(VLOOKUP(A447,database!A:K,11,) - VLOOKUP(A435,database!A:K,11,))/VLOOKUP(A435,database!A:K,11,)</f>
        <v/>
      </c>
    </row>
    <row r="448">
      <c r="A448" s="38" t="n">
        <v>37926</v>
      </c>
      <c r="B448" s="39">
        <f>VLOOKUP(Table8[[#This Row],[Month]],database!A:J,MATCH('Capacity Utilization'!$A$1,database!$A$1:$J$1,),)</f>
        <v/>
      </c>
      <c r="C448" s="68">
        <f>(VLOOKUP(A448,database!A:K,11,) - VLOOKUP(A436,database!A:K,11,))/VLOOKUP(A436,database!A:K,11,)</f>
        <v/>
      </c>
    </row>
    <row r="449">
      <c r="A449" s="38" t="n">
        <v>37956</v>
      </c>
      <c r="B449" s="39">
        <f>VLOOKUP(Table8[[#This Row],[Month]],database!A:J,MATCH('Capacity Utilization'!$A$1,database!$A$1:$J$1,),)</f>
        <v/>
      </c>
      <c r="C449" s="68">
        <f>(VLOOKUP(A449,database!A:K,11,) - VLOOKUP(A437,database!A:K,11,))/VLOOKUP(A437,database!A:K,11,)</f>
        <v/>
      </c>
    </row>
    <row r="450">
      <c r="A450" s="38" t="n">
        <v>37987</v>
      </c>
      <c r="B450" s="39">
        <f>VLOOKUP(Table8[[#This Row],[Month]],database!A:J,MATCH('Capacity Utilization'!$A$1,database!$A$1:$J$1,),)</f>
        <v/>
      </c>
      <c r="C450" s="68">
        <f>(VLOOKUP(A450,database!A:K,11,) - VLOOKUP(A438,database!A:K,11,))/VLOOKUP(A438,database!A:K,11,)</f>
        <v/>
      </c>
    </row>
    <row r="451">
      <c r="A451" s="38" t="n">
        <v>38018</v>
      </c>
      <c r="B451" s="39">
        <f>VLOOKUP(Table8[[#This Row],[Month]],database!A:J,MATCH('Capacity Utilization'!$A$1,database!$A$1:$J$1,),)</f>
        <v/>
      </c>
      <c r="C451" s="68">
        <f>(VLOOKUP(A451,database!A:K,11,) - VLOOKUP(A439,database!A:K,11,))/VLOOKUP(A439,database!A:K,11,)</f>
        <v/>
      </c>
    </row>
    <row r="452">
      <c r="A452" s="38" t="n">
        <v>38047</v>
      </c>
      <c r="B452" s="39">
        <f>VLOOKUP(Table8[[#This Row],[Month]],database!A:J,MATCH('Capacity Utilization'!$A$1,database!$A$1:$J$1,),)</f>
        <v/>
      </c>
      <c r="C452" s="68">
        <f>(VLOOKUP(A452,database!A:K,11,) - VLOOKUP(A440,database!A:K,11,))/VLOOKUP(A440,database!A:K,11,)</f>
        <v/>
      </c>
    </row>
    <row r="453">
      <c r="A453" s="38" t="n">
        <v>38078</v>
      </c>
      <c r="B453" s="39">
        <f>VLOOKUP(Table8[[#This Row],[Month]],database!A:J,MATCH('Capacity Utilization'!$A$1,database!$A$1:$J$1,),)</f>
        <v/>
      </c>
      <c r="C453" s="68">
        <f>(VLOOKUP(A453,database!A:K,11,) - VLOOKUP(A441,database!A:K,11,))/VLOOKUP(A441,database!A:K,11,)</f>
        <v/>
      </c>
    </row>
    <row r="454">
      <c r="A454" s="38" t="n">
        <v>38108</v>
      </c>
      <c r="B454" s="39">
        <f>VLOOKUP(Table8[[#This Row],[Month]],database!A:J,MATCH('Capacity Utilization'!$A$1,database!$A$1:$J$1,),)</f>
        <v/>
      </c>
      <c r="C454" s="68">
        <f>(VLOOKUP(A454,database!A:K,11,) - VLOOKUP(A442,database!A:K,11,))/VLOOKUP(A442,database!A:K,11,)</f>
        <v/>
      </c>
    </row>
    <row r="455">
      <c r="A455" s="38" t="n">
        <v>38139</v>
      </c>
      <c r="B455" s="39">
        <f>VLOOKUP(Table8[[#This Row],[Month]],database!A:J,MATCH('Capacity Utilization'!$A$1,database!$A$1:$J$1,),)</f>
        <v/>
      </c>
      <c r="C455" s="68">
        <f>(VLOOKUP(A455,database!A:K,11,) - VLOOKUP(A443,database!A:K,11,))/VLOOKUP(A443,database!A:K,11,)</f>
        <v/>
      </c>
    </row>
    <row r="456">
      <c r="A456" s="38" t="n">
        <v>38169</v>
      </c>
      <c r="B456" s="39">
        <f>VLOOKUP(Table8[[#This Row],[Month]],database!A:J,MATCH('Capacity Utilization'!$A$1,database!$A$1:$J$1,),)</f>
        <v/>
      </c>
      <c r="C456" s="68">
        <f>(VLOOKUP(A456,database!A:K,11,) - VLOOKUP(A444,database!A:K,11,))/VLOOKUP(A444,database!A:K,11,)</f>
        <v/>
      </c>
    </row>
    <row r="457">
      <c r="A457" s="38" t="n">
        <v>38200</v>
      </c>
      <c r="B457" s="39">
        <f>VLOOKUP(Table8[[#This Row],[Month]],database!A:J,MATCH('Capacity Utilization'!$A$1,database!$A$1:$J$1,),)</f>
        <v/>
      </c>
      <c r="C457" s="68">
        <f>(VLOOKUP(A457,database!A:K,11,) - VLOOKUP(A445,database!A:K,11,))/VLOOKUP(A445,database!A:K,11,)</f>
        <v/>
      </c>
    </row>
    <row r="458">
      <c r="A458" s="38" t="n">
        <v>38231</v>
      </c>
      <c r="B458" s="39">
        <f>VLOOKUP(Table8[[#This Row],[Month]],database!A:J,MATCH('Capacity Utilization'!$A$1,database!$A$1:$J$1,),)</f>
        <v/>
      </c>
      <c r="C458" s="68">
        <f>(VLOOKUP(A458,database!A:K,11,) - VLOOKUP(A446,database!A:K,11,))/VLOOKUP(A446,database!A:K,11,)</f>
        <v/>
      </c>
    </row>
    <row r="459">
      <c r="A459" s="38" t="n">
        <v>38261</v>
      </c>
      <c r="B459" s="39">
        <f>VLOOKUP(Table8[[#This Row],[Month]],database!A:J,MATCH('Capacity Utilization'!$A$1,database!$A$1:$J$1,),)</f>
        <v/>
      </c>
      <c r="C459" s="68">
        <f>(VLOOKUP(A459,database!A:K,11,) - VLOOKUP(A447,database!A:K,11,))/VLOOKUP(A447,database!A:K,11,)</f>
        <v/>
      </c>
    </row>
    <row r="460">
      <c r="A460" s="38" t="n">
        <v>38292</v>
      </c>
      <c r="B460" s="39">
        <f>VLOOKUP(Table8[[#This Row],[Month]],database!A:J,MATCH('Capacity Utilization'!$A$1,database!$A$1:$J$1,),)</f>
        <v/>
      </c>
      <c r="C460" s="68">
        <f>(VLOOKUP(A460,database!A:K,11,) - VLOOKUP(A448,database!A:K,11,))/VLOOKUP(A448,database!A:K,11,)</f>
        <v/>
      </c>
    </row>
    <row r="461">
      <c r="A461" s="38" t="n">
        <v>38322</v>
      </c>
      <c r="B461" s="39">
        <f>VLOOKUP(Table8[[#This Row],[Month]],database!A:J,MATCH('Capacity Utilization'!$A$1,database!$A$1:$J$1,),)</f>
        <v/>
      </c>
      <c r="C461" s="68">
        <f>(VLOOKUP(A461,database!A:K,11,) - VLOOKUP(A449,database!A:K,11,))/VLOOKUP(A449,database!A:K,11,)</f>
        <v/>
      </c>
    </row>
    <row r="462">
      <c r="A462" s="38" t="n">
        <v>38353</v>
      </c>
      <c r="B462" s="39">
        <f>VLOOKUP(Table8[[#This Row],[Month]],database!A:J,MATCH('Capacity Utilization'!$A$1,database!$A$1:$J$1,),)</f>
        <v/>
      </c>
      <c r="C462" s="68">
        <f>(VLOOKUP(A462,database!A:K,11,) - VLOOKUP(A450,database!A:K,11,))/VLOOKUP(A450,database!A:K,11,)</f>
        <v/>
      </c>
    </row>
    <row r="463">
      <c r="A463" s="38" t="n">
        <v>38384</v>
      </c>
      <c r="B463" s="39">
        <f>VLOOKUP(Table8[[#This Row],[Month]],database!A:J,MATCH('Capacity Utilization'!$A$1,database!$A$1:$J$1,),)</f>
        <v/>
      </c>
      <c r="C463" s="68">
        <f>(VLOOKUP(A463,database!A:K,11,) - VLOOKUP(A451,database!A:K,11,))/VLOOKUP(A451,database!A:K,11,)</f>
        <v/>
      </c>
    </row>
    <row r="464">
      <c r="A464" s="38" t="n">
        <v>38412</v>
      </c>
      <c r="B464" s="39">
        <f>VLOOKUP(Table8[[#This Row],[Month]],database!A:J,MATCH('Capacity Utilization'!$A$1,database!$A$1:$J$1,),)</f>
        <v/>
      </c>
      <c r="C464" s="68">
        <f>(VLOOKUP(A464,database!A:K,11,) - VLOOKUP(A452,database!A:K,11,))/VLOOKUP(A452,database!A:K,11,)</f>
        <v/>
      </c>
    </row>
    <row r="465">
      <c r="A465" s="38" t="n">
        <v>38443</v>
      </c>
      <c r="B465" s="39">
        <f>VLOOKUP(Table8[[#This Row],[Month]],database!A:J,MATCH('Capacity Utilization'!$A$1,database!$A$1:$J$1,),)</f>
        <v/>
      </c>
      <c r="C465" s="68">
        <f>(VLOOKUP(A465,database!A:K,11,) - VLOOKUP(A453,database!A:K,11,))/VLOOKUP(A453,database!A:K,11,)</f>
        <v/>
      </c>
    </row>
    <row r="466">
      <c r="A466" s="38" t="n">
        <v>38473</v>
      </c>
      <c r="B466" s="39">
        <f>VLOOKUP(Table8[[#This Row],[Month]],database!A:J,MATCH('Capacity Utilization'!$A$1,database!$A$1:$J$1,),)</f>
        <v/>
      </c>
      <c r="C466" s="68">
        <f>(VLOOKUP(A466,database!A:K,11,) - VLOOKUP(A454,database!A:K,11,))/VLOOKUP(A454,database!A:K,11,)</f>
        <v/>
      </c>
    </row>
    <row r="467">
      <c r="A467" s="38" t="n">
        <v>38504</v>
      </c>
      <c r="B467" s="39">
        <f>VLOOKUP(Table8[[#This Row],[Month]],database!A:J,MATCH('Capacity Utilization'!$A$1,database!$A$1:$J$1,),)</f>
        <v/>
      </c>
      <c r="C467" s="68">
        <f>(VLOOKUP(A467,database!A:K,11,) - VLOOKUP(A455,database!A:K,11,))/VLOOKUP(A455,database!A:K,11,)</f>
        <v/>
      </c>
    </row>
    <row r="468">
      <c r="A468" s="38" t="n">
        <v>38534</v>
      </c>
      <c r="B468" s="39">
        <f>VLOOKUP(Table8[[#This Row],[Month]],database!A:J,MATCH('Capacity Utilization'!$A$1,database!$A$1:$J$1,),)</f>
        <v/>
      </c>
      <c r="C468" s="68">
        <f>(VLOOKUP(A468,database!A:K,11,) - VLOOKUP(A456,database!A:K,11,))/VLOOKUP(A456,database!A:K,11,)</f>
        <v/>
      </c>
    </row>
    <row r="469">
      <c r="A469" s="38" t="n">
        <v>38565</v>
      </c>
      <c r="B469" s="39">
        <f>VLOOKUP(Table8[[#This Row],[Month]],database!A:J,MATCH('Capacity Utilization'!$A$1,database!$A$1:$J$1,),)</f>
        <v/>
      </c>
      <c r="C469" s="68">
        <f>(VLOOKUP(A469,database!A:K,11,) - VLOOKUP(A457,database!A:K,11,))/VLOOKUP(A457,database!A:K,11,)</f>
        <v/>
      </c>
    </row>
    <row r="470">
      <c r="A470" s="38" t="n">
        <v>38596</v>
      </c>
      <c r="B470" s="39">
        <f>VLOOKUP(Table8[[#This Row],[Month]],database!A:J,MATCH('Capacity Utilization'!$A$1,database!$A$1:$J$1,),)</f>
        <v/>
      </c>
      <c r="C470" s="68">
        <f>(VLOOKUP(A470,database!A:K,11,) - VLOOKUP(A458,database!A:K,11,))/VLOOKUP(A458,database!A:K,11,)</f>
        <v/>
      </c>
    </row>
    <row r="471">
      <c r="A471" s="38" t="n">
        <v>38626</v>
      </c>
      <c r="B471" s="39">
        <f>VLOOKUP(Table8[[#This Row],[Month]],database!A:J,MATCH('Capacity Utilization'!$A$1,database!$A$1:$J$1,),)</f>
        <v/>
      </c>
      <c r="C471" s="68">
        <f>(VLOOKUP(A471,database!A:K,11,) - VLOOKUP(A459,database!A:K,11,))/VLOOKUP(A459,database!A:K,11,)</f>
        <v/>
      </c>
    </row>
    <row r="472">
      <c r="A472" s="38" t="n">
        <v>38657</v>
      </c>
      <c r="B472" s="39">
        <f>VLOOKUP(Table8[[#This Row],[Month]],database!A:J,MATCH('Capacity Utilization'!$A$1,database!$A$1:$J$1,),)</f>
        <v/>
      </c>
      <c r="C472" s="68">
        <f>(VLOOKUP(A472,database!A:K,11,) - VLOOKUP(A460,database!A:K,11,))/VLOOKUP(A460,database!A:K,11,)</f>
        <v/>
      </c>
    </row>
    <row r="473">
      <c r="A473" s="38" t="n">
        <v>38687</v>
      </c>
      <c r="B473" s="39">
        <f>VLOOKUP(Table8[[#This Row],[Month]],database!A:J,MATCH('Capacity Utilization'!$A$1,database!$A$1:$J$1,),)</f>
        <v/>
      </c>
      <c r="C473" s="68">
        <f>(VLOOKUP(A473,database!A:K,11,) - VLOOKUP(A461,database!A:K,11,))/VLOOKUP(A461,database!A:K,11,)</f>
        <v/>
      </c>
    </row>
    <row r="474">
      <c r="A474" s="38" t="n">
        <v>38718</v>
      </c>
      <c r="B474" s="39">
        <f>VLOOKUP(Table8[[#This Row],[Month]],database!A:J,MATCH('Capacity Utilization'!$A$1,database!$A$1:$J$1,),)</f>
        <v/>
      </c>
      <c r="C474" s="68">
        <f>(VLOOKUP(A474,database!A:K,11,) - VLOOKUP(A462,database!A:K,11,))/VLOOKUP(A462,database!A:K,11,)</f>
        <v/>
      </c>
    </row>
    <row r="475">
      <c r="A475" s="38" t="n">
        <v>38749</v>
      </c>
      <c r="B475" s="39">
        <f>VLOOKUP(Table8[[#This Row],[Month]],database!A:J,MATCH('Capacity Utilization'!$A$1,database!$A$1:$J$1,),)</f>
        <v/>
      </c>
      <c r="C475" s="68">
        <f>(VLOOKUP(A475,database!A:K,11,) - VLOOKUP(A463,database!A:K,11,))/VLOOKUP(A463,database!A:K,11,)</f>
        <v/>
      </c>
    </row>
    <row r="476">
      <c r="A476" s="38" t="n">
        <v>38777</v>
      </c>
      <c r="B476" s="39">
        <f>VLOOKUP(Table8[[#This Row],[Month]],database!A:J,MATCH('Capacity Utilization'!$A$1,database!$A$1:$J$1,),)</f>
        <v/>
      </c>
      <c r="C476" s="68">
        <f>(VLOOKUP(A476,database!A:K,11,) - VLOOKUP(A464,database!A:K,11,))/VLOOKUP(A464,database!A:K,11,)</f>
        <v/>
      </c>
    </row>
    <row r="477">
      <c r="A477" s="38" t="n">
        <v>38808</v>
      </c>
      <c r="B477" s="39">
        <f>VLOOKUP(Table8[[#This Row],[Month]],database!A:J,MATCH('Capacity Utilization'!$A$1,database!$A$1:$J$1,),)</f>
        <v/>
      </c>
      <c r="C477" s="68">
        <f>(VLOOKUP(A477,database!A:K,11,) - VLOOKUP(A465,database!A:K,11,))/VLOOKUP(A465,database!A:K,11,)</f>
        <v/>
      </c>
    </row>
    <row r="478">
      <c r="A478" s="38" t="n">
        <v>38838</v>
      </c>
      <c r="B478" s="39">
        <f>VLOOKUP(Table8[[#This Row],[Month]],database!A:J,MATCH('Capacity Utilization'!$A$1,database!$A$1:$J$1,),)</f>
        <v/>
      </c>
      <c r="C478" s="68">
        <f>(VLOOKUP(A478,database!A:K,11,) - VLOOKUP(A466,database!A:K,11,))/VLOOKUP(A466,database!A:K,11,)</f>
        <v/>
      </c>
    </row>
    <row r="479">
      <c r="A479" s="38" t="n">
        <v>38869</v>
      </c>
      <c r="B479" s="39">
        <f>VLOOKUP(Table8[[#This Row],[Month]],database!A:J,MATCH('Capacity Utilization'!$A$1,database!$A$1:$J$1,),)</f>
        <v/>
      </c>
      <c r="C479" s="68">
        <f>(VLOOKUP(A479,database!A:K,11,) - VLOOKUP(A467,database!A:K,11,))/VLOOKUP(A467,database!A:K,11,)</f>
        <v/>
      </c>
    </row>
    <row r="480">
      <c r="A480" s="38" t="n">
        <v>38899</v>
      </c>
      <c r="B480" s="39">
        <f>VLOOKUP(Table8[[#This Row],[Month]],database!A:J,MATCH('Capacity Utilization'!$A$1,database!$A$1:$J$1,),)</f>
        <v/>
      </c>
      <c r="C480" s="68">
        <f>(VLOOKUP(A480,database!A:K,11,) - VLOOKUP(A468,database!A:K,11,))/VLOOKUP(A468,database!A:K,11,)</f>
        <v/>
      </c>
    </row>
    <row r="481">
      <c r="A481" s="38" t="n">
        <v>38930</v>
      </c>
      <c r="B481" s="39">
        <f>VLOOKUP(Table8[[#This Row],[Month]],database!A:J,MATCH('Capacity Utilization'!$A$1,database!$A$1:$J$1,),)</f>
        <v/>
      </c>
      <c r="C481" s="68">
        <f>(VLOOKUP(A481,database!A:K,11,) - VLOOKUP(A469,database!A:K,11,))/VLOOKUP(A469,database!A:K,11,)</f>
        <v/>
      </c>
    </row>
    <row r="482">
      <c r="A482" s="38" t="n">
        <v>38961</v>
      </c>
      <c r="B482" s="39">
        <f>VLOOKUP(Table8[[#This Row],[Month]],database!A:J,MATCH('Capacity Utilization'!$A$1,database!$A$1:$J$1,),)</f>
        <v/>
      </c>
      <c r="C482" s="68">
        <f>(VLOOKUP(A482,database!A:K,11,) - VLOOKUP(A470,database!A:K,11,))/VLOOKUP(A470,database!A:K,11,)</f>
        <v/>
      </c>
    </row>
    <row r="483">
      <c r="A483" s="38" t="n">
        <v>38991</v>
      </c>
      <c r="B483" s="39">
        <f>VLOOKUP(Table8[[#This Row],[Month]],database!A:J,MATCH('Capacity Utilization'!$A$1,database!$A$1:$J$1,),)</f>
        <v/>
      </c>
      <c r="C483" s="68">
        <f>(VLOOKUP(A483,database!A:K,11,) - VLOOKUP(A471,database!A:K,11,))/VLOOKUP(A471,database!A:K,11,)</f>
        <v/>
      </c>
    </row>
    <row r="484">
      <c r="A484" s="38" t="n">
        <v>39022</v>
      </c>
      <c r="B484" s="39">
        <f>VLOOKUP(Table8[[#This Row],[Month]],database!A:J,MATCH('Capacity Utilization'!$A$1,database!$A$1:$J$1,),)</f>
        <v/>
      </c>
      <c r="C484" s="68">
        <f>(VLOOKUP(A484,database!A:K,11,) - VLOOKUP(A472,database!A:K,11,))/VLOOKUP(A472,database!A:K,11,)</f>
        <v/>
      </c>
    </row>
    <row r="485">
      <c r="A485" s="38" t="n">
        <v>39052</v>
      </c>
      <c r="B485" s="39">
        <f>VLOOKUP(Table8[[#This Row],[Month]],database!A:J,MATCH('Capacity Utilization'!$A$1,database!$A$1:$J$1,),)</f>
        <v/>
      </c>
      <c r="C485" s="68">
        <f>(VLOOKUP(A485,database!A:K,11,) - VLOOKUP(A473,database!A:K,11,))/VLOOKUP(A473,database!A:K,11,)</f>
        <v/>
      </c>
    </row>
    <row r="486">
      <c r="A486" s="38" t="n">
        <v>39083</v>
      </c>
      <c r="B486" s="39">
        <f>VLOOKUP(Table8[[#This Row],[Month]],database!A:J,MATCH('Capacity Utilization'!$A$1,database!$A$1:$J$1,),)</f>
        <v/>
      </c>
      <c r="C486" s="68">
        <f>(VLOOKUP(A486,database!A:K,11,) - VLOOKUP(A474,database!A:K,11,))/VLOOKUP(A474,database!A:K,11,)</f>
        <v/>
      </c>
    </row>
    <row r="487">
      <c r="A487" s="38" t="n">
        <v>39114</v>
      </c>
      <c r="B487" s="39">
        <f>VLOOKUP(Table8[[#This Row],[Month]],database!A:J,MATCH('Capacity Utilization'!$A$1,database!$A$1:$J$1,),)</f>
        <v/>
      </c>
      <c r="C487" s="68">
        <f>(VLOOKUP(A487,database!A:K,11,) - VLOOKUP(A475,database!A:K,11,))/VLOOKUP(A475,database!A:K,11,)</f>
        <v/>
      </c>
    </row>
    <row r="488">
      <c r="A488" s="38" t="n">
        <v>39142</v>
      </c>
      <c r="B488" s="39">
        <f>VLOOKUP(Table8[[#This Row],[Month]],database!A:J,MATCH('Capacity Utilization'!$A$1,database!$A$1:$J$1,),)</f>
        <v/>
      </c>
      <c r="C488" s="68">
        <f>(VLOOKUP(A488,database!A:K,11,) - VLOOKUP(A476,database!A:K,11,))/VLOOKUP(A476,database!A:K,11,)</f>
        <v/>
      </c>
    </row>
    <row r="489">
      <c r="A489" s="38" t="n">
        <v>39173</v>
      </c>
      <c r="B489" s="39">
        <f>VLOOKUP(Table8[[#This Row],[Month]],database!A:J,MATCH('Capacity Utilization'!$A$1,database!$A$1:$J$1,),)</f>
        <v/>
      </c>
      <c r="C489" s="68">
        <f>(VLOOKUP(A489,database!A:K,11,) - VLOOKUP(A477,database!A:K,11,))/VLOOKUP(A477,database!A:K,11,)</f>
        <v/>
      </c>
    </row>
    <row r="490">
      <c r="A490" s="38" t="n">
        <v>39203</v>
      </c>
      <c r="B490" s="39">
        <f>VLOOKUP(Table8[[#This Row],[Month]],database!A:J,MATCH('Capacity Utilization'!$A$1,database!$A$1:$J$1,),)</f>
        <v/>
      </c>
      <c r="C490" s="68">
        <f>(VLOOKUP(A490,database!A:K,11,) - VLOOKUP(A478,database!A:K,11,))/VLOOKUP(A478,database!A:K,11,)</f>
        <v/>
      </c>
    </row>
    <row r="491">
      <c r="A491" s="38" t="n">
        <v>39234</v>
      </c>
      <c r="B491" s="39">
        <f>VLOOKUP(Table8[[#This Row],[Month]],database!A:J,MATCH('Capacity Utilization'!$A$1,database!$A$1:$J$1,),)</f>
        <v/>
      </c>
      <c r="C491" s="68">
        <f>(VLOOKUP(A491,database!A:K,11,) - VLOOKUP(A479,database!A:K,11,))/VLOOKUP(A479,database!A:K,11,)</f>
        <v/>
      </c>
    </row>
    <row r="492">
      <c r="A492" s="38" t="n">
        <v>39264</v>
      </c>
      <c r="B492" s="39">
        <f>VLOOKUP(Table8[[#This Row],[Month]],database!A:J,MATCH('Capacity Utilization'!$A$1,database!$A$1:$J$1,),)</f>
        <v/>
      </c>
      <c r="C492" s="68">
        <f>(VLOOKUP(A492,database!A:K,11,) - VLOOKUP(A480,database!A:K,11,))/VLOOKUP(A480,database!A:K,11,)</f>
        <v/>
      </c>
    </row>
    <row r="493">
      <c r="A493" s="38" t="n">
        <v>39295</v>
      </c>
      <c r="B493" s="39">
        <f>VLOOKUP(Table8[[#This Row],[Month]],database!A:J,MATCH('Capacity Utilization'!$A$1,database!$A$1:$J$1,),)</f>
        <v/>
      </c>
      <c r="C493" s="68">
        <f>(VLOOKUP(A493,database!A:K,11,) - VLOOKUP(A481,database!A:K,11,))/VLOOKUP(A481,database!A:K,11,)</f>
        <v/>
      </c>
    </row>
    <row r="494">
      <c r="A494" s="38" t="n">
        <v>39326</v>
      </c>
      <c r="B494" s="39">
        <f>VLOOKUP(Table8[[#This Row],[Month]],database!A:J,MATCH('Capacity Utilization'!$A$1,database!$A$1:$J$1,),)</f>
        <v/>
      </c>
      <c r="C494" s="68">
        <f>(VLOOKUP(A494,database!A:K,11,) - VLOOKUP(A482,database!A:K,11,))/VLOOKUP(A482,database!A:K,11,)</f>
        <v/>
      </c>
    </row>
    <row r="495">
      <c r="A495" s="38" t="n">
        <v>39356</v>
      </c>
      <c r="B495" s="39">
        <f>VLOOKUP(Table8[[#This Row],[Month]],database!A:J,MATCH('Capacity Utilization'!$A$1,database!$A$1:$J$1,),)</f>
        <v/>
      </c>
      <c r="C495" s="68">
        <f>(VLOOKUP(A495,database!A:K,11,) - VLOOKUP(A483,database!A:K,11,))/VLOOKUP(A483,database!A:K,11,)</f>
        <v/>
      </c>
    </row>
    <row r="496">
      <c r="A496" s="38" t="n">
        <v>39387</v>
      </c>
      <c r="B496" s="39">
        <f>VLOOKUP(Table8[[#This Row],[Month]],database!A:J,MATCH('Capacity Utilization'!$A$1,database!$A$1:$J$1,),)</f>
        <v/>
      </c>
      <c r="C496" s="68">
        <f>(VLOOKUP(A496,database!A:K,11,) - VLOOKUP(A484,database!A:K,11,))/VLOOKUP(A484,database!A:K,11,)</f>
        <v/>
      </c>
    </row>
    <row r="497">
      <c r="A497" s="38" t="n">
        <v>39417</v>
      </c>
      <c r="B497" s="39">
        <f>VLOOKUP(Table8[[#This Row],[Month]],database!A:J,MATCH('Capacity Utilization'!$A$1,database!$A$1:$J$1,),)</f>
        <v/>
      </c>
      <c r="C497" s="68">
        <f>(VLOOKUP(A497,database!A:K,11,) - VLOOKUP(A485,database!A:K,11,))/VLOOKUP(A485,database!A:K,11,)</f>
        <v/>
      </c>
    </row>
    <row r="498">
      <c r="A498" s="38" t="n">
        <v>39448</v>
      </c>
      <c r="B498" s="39">
        <f>VLOOKUP(Table8[[#This Row],[Month]],database!A:J,MATCH('Capacity Utilization'!$A$1,database!$A$1:$J$1,),)</f>
        <v/>
      </c>
      <c r="C498" s="68">
        <f>(VLOOKUP(A498,database!A:K,11,) - VLOOKUP(A486,database!A:K,11,))/VLOOKUP(A486,database!A:K,11,)</f>
        <v/>
      </c>
    </row>
    <row r="499">
      <c r="A499" s="38" t="n">
        <v>39479</v>
      </c>
      <c r="B499" s="39">
        <f>VLOOKUP(Table8[[#This Row],[Month]],database!A:J,MATCH('Capacity Utilization'!$A$1,database!$A$1:$J$1,),)</f>
        <v/>
      </c>
      <c r="C499" s="68">
        <f>(VLOOKUP(A499,database!A:K,11,) - VLOOKUP(A487,database!A:K,11,))/VLOOKUP(A487,database!A:K,11,)</f>
        <v/>
      </c>
    </row>
    <row r="500">
      <c r="A500" s="38" t="n">
        <v>39508</v>
      </c>
      <c r="B500" s="39">
        <f>VLOOKUP(Table8[[#This Row],[Month]],database!A:J,MATCH('Capacity Utilization'!$A$1,database!$A$1:$J$1,),)</f>
        <v/>
      </c>
      <c r="C500" s="68">
        <f>(VLOOKUP(A500,database!A:K,11,) - VLOOKUP(A488,database!A:K,11,))/VLOOKUP(A488,database!A:K,11,)</f>
        <v/>
      </c>
    </row>
    <row r="501">
      <c r="A501" s="38" t="n">
        <v>39539</v>
      </c>
      <c r="B501" s="39">
        <f>VLOOKUP(Table8[[#This Row],[Month]],database!A:J,MATCH('Capacity Utilization'!$A$1,database!$A$1:$J$1,),)</f>
        <v/>
      </c>
      <c r="C501" s="68">
        <f>(VLOOKUP(A501,database!A:K,11,) - VLOOKUP(A489,database!A:K,11,))/VLOOKUP(A489,database!A:K,11,)</f>
        <v/>
      </c>
    </row>
    <row r="502">
      <c r="A502" s="38" t="n">
        <v>39569</v>
      </c>
      <c r="B502" s="39">
        <f>VLOOKUP(Table8[[#This Row],[Month]],database!A:J,MATCH('Capacity Utilization'!$A$1,database!$A$1:$J$1,),)</f>
        <v/>
      </c>
      <c r="C502" s="68">
        <f>(VLOOKUP(A502,database!A:K,11,) - VLOOKUP(A490,database!A:K,11,))/VLOOKUP(A490,database!A:K,11,)</f>
        <v/>
      </c>
    </row>
    <row r="503">
      <c r="A503" s="38" t="n">
        <v>39600</v>
      </c>
      <c r="B503" s="39">
        <f>VLOOKUP(Table8[[#This Row],[Month]],database!A:J,MATCH('Capacity Utilization'!$A$1,database!$A$1:$J$1,),)</f>
        <v/>
      </c>
      <c r="C503" s="68">
        <f>(VLOOKUP(A503,database!A:K,11,) - VLOOKUP(A491,database!A:K,11,))/VLOOKUP(A491,database!A:K,11,)</f>
        <v/>
      </c>
    </row>
    <row r="504">
      <c r="A504" s="38" t="n">
        <v>39630</v>
      </c>
      <c r="B504" s="39">
        <f>VLOOKUP(Table8[[#This Row],[Month]],database!A:J,MATCH('Capacity Utilization'!$A$1,database!$A$1:$J$1,),)</f>
        <v/>
      </c>
      <c r="C504" s="68">
        <f>(VLOOKUP(A504,database!A:K,11,) - VLOOKUP(A492,database!A:K,11,))/VLOOKUP(A492,database!A:K,11,)</f>
        <v/>
      </c>
    </row>
    <row r="505">
      <c r="A505" s="38" t="n">
        <v>39661</v>
      </c>
      <c r="B505" s="39">
        <f>VLOOKUP(Table8[[#This Row],[Month]],database!A:J,MATCH('Capacity Utilization'!$A$1,database!$A$1:$J$1,),)</f>
        <v/>
      </c>
      <c r="C505" s="68">
        <f>(VLOOKUP(A505,database!A:K,11,) - VLOOKUP(A493,database!A:K,11,))/VLOOKUP(A493,database!A:K,11,)</f>
        <v/>
      </c>
    </row>
    <row r="506">
      <c r="A506" s="38" t="n">
        <v>39692</v>
      </c>
      <c r="B506" s="39">
        <f>VLOOKUP(Table8[[#This Row],[Month]],database!A:J,MATCH('Capacity Utilization'!$A$1,database!$A$1:$J$1,),)</f>
        <v/>
      </c>
      <c r="C506" s="68">
        <f>(VLOOKUP(A506,database!A:K,11,) - VLOOKUP(A494,database!A:K,11,))/VLOOKUP(A494,database!A:K,11,)</f>
        <v/>
      </c>
    </row>
    <row r="507">
      <c r="A507" s="38" t="n">
        <v>39722</v>
      </c>
      <c r="B507" s="39">
        <f>VLOOKUP(Table8[[#This Row],[Month]],database!A:J,MATCH('Capacity Utilization'!$A$1,database!$A$1:$J$1,),)</f>
        <v/>
      </c>
      <c r="C507" s="68">
        <f>(VLOOKUP(A507,database!A:K,11,) - VLOOKUP(A495,database!A:K,11,))/VLOOKUP(A495,database!A:K,11,)</f>
        <v/>
      </c>
    </row>
    <row r="508">
      <c r="A508" s="38" t="n">
        <v>39753</v>
      </c>
      <c r="B508" s="39">
        <f>VLOOKUP(Table8[[#This Row],[Month]],database!A:J,MATCH('Capacity Utilization'!$A$1,database!$A$1:$J$1,),)</f>
        <v/>
      </c>
      <c r="C508" s="68">
        <f>(VLOOKUP(A508,database!A:K,11,) - VLOOKUP(A496,database!A:K,11,))/VLOOKUP(A496,database!A:K,11,)</f>
        <v/>
      </c>
    </row>
    <row r="509">
      <c r="A509" s="38" t="n">
        <v>39783</v>
      </c>
      <c r="B509" s="39">
        <f>VLOOKUP(Table8[[#This Row],[Month]],database!A:J,MATCH('Capacity Utilization'!$A$1,database!$A$1:$J$1,),)</f>
        <v/>
      </c>
      <c r="C509" s="68">
        <f>(VLOOKUP(A509,database!A:K,11,) - VLOOKUP(A497,database!A:K,11,))/VLOOKUP(A497,database!A:K,11,)</f>
        <v/>
      </c>
    </row>
    <row r="510">
      <c r="A510" s="38" t="n">
        <v>39814</v>
      </c>
      <c r="B510" s="39">
        <f>VLOOKUP(Table8[[#This Row],[Month]],database!A:J,MATCH('Capacity Utilization'!$A$1,database!$A$1:$J$1,),)</f>
        <v/>
      </c>
      <c r="C510" s="68">
        <f>(VLOOKUP(A510,database!A:K,11,) - VLOOKUP(A498,database!A:K,11,))/VLOOKUP(A498,database!A:K,11,)</f>
        <v/>
      </c>
    </row>
    <row r="511">
      <c r="A511" s="38" t="n">
        <v>39845</v>
      </c>
      <c r="B511" s="39">
        <f>VLOOKUP(Table8[[#This Row],[Month]],database!A:J,MATCH('Capacity Utilization'!$A$1,database!$A$1:$J$1,),)</f>
        <v/>
      </c>
      <c r="C511" s="68">
        <f>(VLOOKUP(A511,database!A:K,11,) - VLOOKUP(A499,database!A:K,11,))/VLOOKUP(A499,database!A:K,11,)</f>
        <v/>
      </c>
    </row>
    <row r="512">
      <c r="A512" s="38" t="n">
        <v>39873</v>
      </c>
      <c r="B512" s="39">
        <f>VLOOKUP(Table8[[#This Row],[Month]],database!A:J,MATCH('Capacity Utilization'!$A$1,database!$A$1:$J$1,),)</f>
        <v/>
      </c>
      <c r="C512" s="68">
        <f>(VLOOKUP(A512,database!A:K,11,) - VLOOKUP(A500,database!A:K,11,))/VLOOKUP(A500,database!A:K,11,)</f>
        <v/>
      </c>
    </row>
    <row r="513">
      <c r="A513" s="38" t="n">
        <v>39904</v>
      </c>
      <c r="B513" s="39">
        <f>VLOOKUP(Table8[[#This Row],[Month]],database!A:J,MATCH('Capacity Utilization'!$A$1,database!$A$1:$J$1,),)</f>
        <v/>
      </c>
      <c r="C513" s="68">
        <f>(VLOOKUP(A513,database!A:K,11,) - VLOOKUP(A501,database!A:K,11,))/VLOOKUP(A501,database!A:K,11,)</f>
        <v/>
      </c>
    </row>
    <row r="514">
      <c r="A514" s="38" t="n">
        <v>39934</v>
      </c>
      <c r="B514" s="39">
        <f>VLOOKUP(Table8[[#This Row],[Month]],database!A:J,MATCH('Capacity Utilization'!$A$1,database!$A$1:$J$1,),)</f>
        <v/>
      </c>
      <c r="C514" s="68">
        <f>(VLOOKUP(A514,database!A:K,11,) - VLOOKUP(A502,database!A:K,11,))/VLOOKUP(A502,database!A:K,11,)</f>
        <v/>
      </c>
    </row>
    <row r="515">
      <c r="A515" s="38" t="n">
        <v>39965</v>
      </c>
      <c r="B515" s="39">
        <f>VLOOKUP(Table8[[#This Row],[Month]],database!A:J,MATCH('Capacity Utilization'!$A$1,database!$A$1:$J$1,),)</f>
        <v/>
      </c>
      <c r="C515" s="68">
        <f>(VLOOKUP(A515,database!A:K,11,) - VLOOKUP(A503,database!A:K,11,))/VLOOKUP(A503,database!A:K,11,)</f>
        <v/>
      </c>
    </row>
    <row r="516">
      <c r="A516" s="38" t="n">
        <v>39995</v>
      </c>
      <c r="B516" s="39">
        <f>VLOOKUP(Table8[[#This Row],[Month]],database!A:J,MATCH('Capacity Utilization'!$A$1,database!$A$1:$J$1,),)</f>
        <v/>
      </c>
      <c r="C516" s="68">
        <f>(VLOOKUP(A516,database!A:K,11,) - VLOOKUP(A504,database!A:K,11,))/VLOOKUP(A504,database!A:K,11,)</f>
        <v/>
      </c>
    </row>
    <row r="517">
      <c r="A517" s="38" t="n">
        <v>40026</v>
      </c>
      <c r="B517" s="39">
        <f>VLOOKUP(Table8[[#This Row],[Month]],database!A:J,MATCH('Capacity Utilization'!$A$1,database!$A$1:$J$1,),)</f>
        <v/>
      </c>
      <c r="C517" s="68">
        <f>(VLOOKUP(A517,database!A:K,11,) - VLOOKUP(A505,database!A:K,11,))/VLOOKUP(A505,database!A:K,11,)</f>
        <v/>
      </c>
    </row>
    <row r="518">
      <c r="A518" s="38" t="n">
        <v>40057</v>
      </c>
      <c r="B518" s="39">
        <f>VLOOKUP(Table8[[#This Row],[Month]],database!A:J,MATCH('Capacity Utilization'!$A$1,database!$A$1:$J$1,),)</f>
        <v/>
      </c>
      <c r="C518" s="68">
        <f>(VLOOKUP(A518,database!A:K,11,) - VLOOKUP(A506,database!A:K,11,))/VLOOKUP(A506,database!A:K,11,)</f>
        <v/>
      </c>
    </row>
    <row r="519">
      <c r="A519" s="38" t="n">
        <v>40087</v>
      </c>
      <c r="B519" s="39">
        <f>VLOOKUP(Table8[[#This Row],[Month]],database!A:J,MATCH('Capacity Utilization'!$A$1,database!$A$1:$J$1,),)</f>
        <v/>
      </c>
      <c r="C519" s="68">
        <f>(VLOOKUP(A519,database!A:K,11,) - VLOOKUP(A507,database!A:K,11,))/VLOOKUP(A507,database!A:K,11,)</f>
        <v/>
      </c>
    </row>
    <row r="520">
      <c r="A520" s="38" t="n">
        <v>40118</v>
      </c>
      <c r="B520" s="39">
        <f>VLOOKUP(Table8[[#This Row],[Month]],database!A:J,MATCH('Capacity Utilization'!$A$1,database!$A$1:$J$1,),)</f>
        <v/>
      </c>
      <c r="C520" s="68">
        <f>(VLOOKUP(A520,database!A:K,11,) - VLOOKUP(A508,database!A:K,11,))/VLOOKUP(A508,database!A:K,11,)</f>
        <v/>
      </c>
    </row>
    <row r="521">
      <c r="A521" s="38" t="n">
        <v>40148</v>
      </c>
      <c r="B521" s="39">
        <f>VLOOKUP(Table8[[#This Row],[Month]],database!A:J,MATCH('Capacity Utilization'!$A$1,database!$A$1:$J$1,),)</f>
        <v/>
      </c>
      <c r="C521" s="68">
        <f>(VLOOKUP(A521,database!A:K,11,) - VLOOKUP(A509,database!A:K,11,))/VLOOKUP(A509,database!A:K,11,)</f>
        <v/>
      </c>
    </row>
    <row r="522">
      <c r="A522" s="38" t="n">
        <v>40179</v>
      </c>
      <c r="B522" s="39">
        <f>VLOOKUP(Table8[[#This Row],[Month]],database!A:J,MATCH('Capacity Utilization'!$A$1,database!$A$1:$J$1,),)</f>
        <v/>
      </c>
      <c r="C522" s="68">
        <f>(VLOOKUP(A522,database!A:K,11,) - VLOOKUP(A510,database!A:K,11,))/VLOOKUP(A510,database!A:K,11,)</f>
        <v/>
      </c>
    </row>
    <row r="523">
      <c r="A523" s="38" t="n">
        <v>40210</v>
      </c>
      <c r="B523" s="39">
        <f>VLOOKUP(Table8[[#This Row],[Month]],database!A:J,MATCH('Capacity Utilization'!$A$1,database!$A$1:$J$1,),)</f>
        <v/>
      </c>
      <c r="C523" s="68">
        <f>(VLOOKUP(A523,database!A:K,11,) - VLOOKUP(A511,database!A:K,11,))/VLOOKUP(A511,database!A:K,11,)</f>
        <v/>
      </c>
    </row>
    <row r="524">
      <c r="A524" s="38" t="n">
        <v>40238</v>
      </c>
      <c r="B524" s="39">
        <f>VLOOKUP(Table8[[#This Row],[Month]],database!A:J,MATCH('Capacity Utilization'!$A$1,database!$A$1:$J$1,),)</f>
        <v/>
      </c>
      <c r="C524" s="68">
        <f>(VLOOKUP(A524,database!A:K,11,) - VLOOKUP(A512,database!A:K,11,))/VLOOKUP(A512,database!A:K,11,)</f>
        <v/>
      </c>
    </row>
    <row r="525">
      <c r="A525" s="38" t="n">
        <v>40269</v>
      </c>
      <c r="B525" s="39">
        <f>VLOOKUP(Table8[[#This Row],[Month]],database!A:J,MATCH('Capacity Utilization'!$A$1,database!$A$1:$J$1,),)</f>
        <v/>
      </c>
      <c r="C525" s="68">
        <f>(VLOOKUP(A525,database!A:K,11,) - VLOOKUP(A513,database!A:K,11,))/VLOOKUP(A513,database!A:K,11,)</f>
        <v/>
      </c>
    </row>
    <row r="526">
      <c r="A526" s="38" t="n">
        <v>40299</v>
      </c>
      <c r="B526" s="39">
        <f>VLOOKUP(Table8[[#This Row],[Month]],database!A:J,MATCH('Capacity Utilization'!$A$1,database!$A$1:$J$1,),)</f>
        <v/>
      </c>
      <c r="C526" s="68">
        <f>(VLOOKUP(A526,database!A:K,11,) - VLOOKUP(A514,database!A:K,11,))/VLOOKUP(A514,database!A:K,11,)</f>
        <v/>
      </c>
    </row>
    <row r="527">
      <c r="A527" s="38" t="n">
        <v>40330</v>
      </c>
      <c r="B527" s="39">
        <f>VLOOKUP(Table8[[#This Row],[Month]],database!A:J,MATCH('Capacity Utilization'!$A$1,database!$A$1:$J$1,),)</f>
        <v/>
      </c>
      <c r="C527" s="68">
        <f>(VLOOKUP(A527,database!A:K,11,) - VLOOKUP(A515,database!A:K,11,))/VLOOKUP(A515,database!A:K,11,)</f>
        <v/>
      </c>
    </row>
    <row r="528">
      <c r="A528" s="38" t="n">
        <v>40360</v>
      </c>
      <c r="B528" s="39">
        <f>VLOOKUP(Table8[[#This Row],[Month]],database!A:J,MATCH('Capacity Utilization'!$A$1,database!$A$1:$J$1,),)</f>
        <v/>
      </c>
      <c r="C528" s="68">
        <f>(VLOOKUP(A528,database!A:K,11,) - VLOOKUP(A516,database!A:K,11,))/VLOOKUP(A516,database!A:K,11,)</f>
        <v/>
      </c>
    </row>
    <row r="529">
      <c r="A529" s="38" t="n">
        <v>40391</v>
      </c>
      <c r="B529" s="39">
        <f>VLOOKUP(Table8[[#This Row],[Month]],database!A:J,MATCH('Capacity Utilization'!$A$1,database!$A$1:$J$1,),)</f>
        <v/>
      </c>
      <c r="C529" s="68">
        <f>(VLOOKUP(A529,database!A:K,11,) - VLOOKUP(A517,database!A:K,11,))/VLOOKUP(A517,database!A:K,11,)</f>
        <v/>
      </c>
    </row>
    <row r="530">
      <c r="A530" s="38" t="n">
        <v>40422</v>
      </c>
      <c r="B530" s="39">
        <f>VLOOKUP(Table8[[#This Row],[Month]],database!A:J,MATCH('Capacity Utilization'!$A$1,database!$A$1:$J$1,),)</f>
        <v/>
      </c>
      <c r="C530" s="68">
        <f>(VLOOKUP(A530,database!A:K,11,) - VLOOKUP(A518,database!A:K,11,))/VLOOKUP(A518,database!A:K,11,)</f>
        <v/>
      </c>
    </row>
    <row r="531">
      <c r="A531" s="38" t="n">
        <v>40452</v>
      </c>
      <c r="B531" s="39">
        <f>VLOOKUP(Table8[[#This Row],[Month]],database!A:J,MATCH('Capacity Utilization'!$A$1,database!$A$1:$J$1,),)</f>
        <v/>
      </c>
      <c r="C531" s="68">
        <f>(VLOOKUP(A531,database!A:K,11,) - VLOOKUP(A519,database!A:K,11,))/VLOOKUP(A519,database!A:K,11,)</f>
        <v/>
      </c>
    </row>
    <row r="532">
      <c r="A532" s="38" t="n">
        <v>40483</v>
      </c>
      <c r="B532" s="39">
        <f>VLOOKUP(Table8[[#This Row],[Month]],database!A:J,MATCH('Capacity Utilization'!$A$1,database!$A$1:$J$1,),)</f>
        <v/>
      </c>
      <c r="C532" s="68">
        <f>(VLOOKUP(A532,database!A:K,11,) - VLOOKUP(A520,database!A:K,11,))/VLOOKUP(A520,database!A:K,11,)</f>
        <v/>
      </c>
    </row>
    <row r="533">
      <c r="A533" s="38" t="n">
        <v>40513</v>
      </c>
      <c r="B533" s="39">
        <f>VLOOKUP(Table8[[#This Row],[Month]],database!A:J,MATCH('Capacity Utilization'!$A$1,database!$A$1:$J$1,),)</f>
        <v/>
      </c>
      <c r="C533" s="68">
        <f>(VLOOKUP(A533,database!A:K,11,) - VLOOKUP(A521,database!A:K,11,))/VLOOKUP(A521,database!A:K,11,)</f>
        <v/>
      </c>
    </row>
    <row r="534">
      <c r="A534" s="38" t="n">
        <v>40544</v>
      </c>
      <c r="B534" s="39">
        <f>VLOOKUP(Table8[[#This Row],[Month]],database!A:J,MATCH('Capacity Utilization'!$A$1,database!$A$1:$J$1,),)</f>
        <v/>
      </c>
      <c r="C534" s="68">
        <f>(VLOOKUP(A534,database!A:K,11,) - VLOOKUP(A522,database!A:K,11,))/VLOOKUP(A522,database!A:K,11,)</f>
        <v/>
      </c>
    </row>
    <row r="535">
      <c r="A535" s="38" t="n">
        <v>40575</v>
      </c>
      <c r="B535" s="39">
        <f>VLOOKUP(Table8[[#This Row],[Month]],database!A:J,MATCH('Capacity Utilization'!$A$1,database!$A$1:$J$1,),)</f>
        <v/>
      </c>
      <c r="C535" s="68">
        <f>(VLOOKUP(A535,database!A:K,11,) - VLOOKUP(A523,database!A:K,11,))/VLOOKUP(A523,database!A:K,11,)</f>
        <v/>
      </c>
    </row>
    <row r="536">
      <c r="A536" s="38" t="n">
        <v>40603</v>
      </c>
      <c r="B536" s="39">
        <f>VLOOKUP(Table8[[#This Row],[Month]],database!A:J,MATCH('Capacity Utilization'!$A$1,database!$A$1:$J$1,),)</f>
        <v/>
      </c>
      <c r="C536" s="68">
        <f>(VLOOKUP(A536,database!A:K,11,) - VLOOKUP(A524,database!A:K,11,))/VLOOKUP(A524,database!A:K,11,)</f>
        <v/>
      </c>
    </row>
    <row r="537">
      <c r="A537" s="38" t="n">
        <v>40634</v>
      </c>
      <c r="B537" s="39">
        <f>VLOOKUP(Table8[[#This Row],[Month]],database!A:J,MATCH('Capacity Utilization'!$A$1,database!$A$1:$J$1,),)</f>
        <v/>
      </c>
      <c r="C537" s="68">
        <f>(VLOOKUP(A537,database!A:K,11,) - VLOOKUP(A525,database!A:K,11,))/VLOOKUP(A525,database!A:K,11,)</f>
        <v/>
      </c>
    </row>
    <row r="538">
      <c r="A538" s="38" t="n">
        <v>40664</v>
      </c>
      <c r="B538" s="39">
        <f>VLOOKUP(Table8[[#This Row],[Month]],database!A:J,MATCH('Capacity Utilization'!$A$1,database!$A$1:$J$1,),)</f>
        <v/>
      </c>
      <c r="C538" s="68">
        <f>(VLOOKUP(A538,database!A:K,11,) - VLOOKUP(A526,database!A:K,11,))/VLOOKUP(A526,database!A:K,11,)</f>
        <v/>
      </c>
    </row>
    <row r="539">
      <c r="A539" s="38" t="n">
        <v>40695</v>
      </c>
      <c r="B539" s="39">
        <f>VLOOKUP(Table8[[#This Row],[Month]],database!A:J,MATCH('Capacity Utilization'!$A$1,database!$A$1:$J$1,),)</f>
        <v/>
      </c>
      <c r="C539" s="68">
        <f>(VLOOKUP(A539,database!A:K,11,) - VLOOKUP(A527,database!A:K,11,))/VLOOKUP(A527,database!A:K,11,)</f>
        <v/>
      </c>
    </row>
    <row r="540">
      <c r="A540" s="38" t="n">
        <v>40725</v>
      </c>
      <c r="B540" s="39">
        <f>VLOOKUP(Table8[[#This Row],[Month]],database!A:J,MATCH('Capacity Utilization'!$A$1,database!$A$1:$J$1,),)</f>
        <v/>
      </c>
      <c r="C540" s="68">
        <f>(VLOOKUP(A540,database!A:K,11,) - VLOOKUP(A528,database!A:K,11,))/VLOOKUP(A528,database!A:K,11,)</f>
        <v/>
      </c>
    </row>
    <row r="541">
      <c r="A541" s="38" t="n">
        <v>40756</v>
      </c>
      <c r="B541" s="39">
        <f>VLOOKUP(Table8[[#This Row],[Month]],database!A:J,MATCH('Capacity Utilization'!$A$1,database!$A$1:$J$1,),)</f>
        <v/>
      </c>
      <c r="C541" s="68">
        <f>(VLOOKUP(A541,database!A:K,11,) - VLOOKUP(A529,database!A:K,11,))/VLOOKUP(A529,database!A:K,11,)</f>
        <v/>
      </c>
    </row>
    <row r="542">
      <c r="A542" s="38" t="n">
        <v>40787</v>
      </c>
      <c r="B542" s="39">
        <f>VLOOKUP(Table8[[#This Row],[Month]],database!A:J,MATCH('Capacity Utilization'!$A$1,database!$A$1:$J$1,),)</f>
        <v/>
      </c>
      <c r="C542" s="68">
        <f>(VLOOKUP(A542,database!A:K,11,) - VLOOKUP(A530,database!A:K,11,))/VLOOKUP(A530,database!A:K,11,)</f>
        <v/>
      </c>
    </row>
    <row r="543">
      <c r="A543" s="38" t="n">
        <v>40817</v>
      </c>
      <c r="B543" s="39">
        <f>VLOOKUP(Table8[[#This Row],[Month]],database!A:J,MATCH('Capacity Utilization'!$A$1,database!$A$1:$J$1,),)</f>
        <v/>
      </c>
      <c r="C543" s="68">
        <f>(VLOOKUP(A543,database!A:K,11,) - VLOOKUP(A531,database!A:K,11,))/VLOOKUP(A531,database!A:K,11,)</f>
        <v/>
      </c>
    </row>
    <row r="544">
      <c r="A544" s="38" t="n">
        <v>40848</v>
      </c>
      <c r="B544" s="39">
        <f>VLOOKUP(Table8[[#This Row],[Month]],database!A:J,MATCH('Capacity Utilization'!$A$1,database!$A$1:$J$1,),)</f>
        <v/>
      </c>
      <c r="C544" s="68">
        <f>(VLOOKUP(A544,database!A:K,11,) - VLOOKUP(A532,database!A:K,11,))/VLOOKUP(A532,database!A:K,11,)</f>
        <v/>
      </c>
    </row>
    <row r="545">
      <c r="A545" s="38" t="n">
        <v>40878</v>
      </c>
      <c r="B545" s="39">
        <f>VLOOKUP(Table8[[#This Row],[Month]],database!A:J,MATCH('Capacity Utilization'!$A$1,database!$A$1:$J$1,),)</f>
        <v/>
      </c>
      <c r="C545" s="68">
        <f>(VLOOKUP(A545,database!A:K,11,) - VLOOKUP(A533,database!A:K,11,))/VLOOKUP(A533,database!A:K,11,)</f>
        <v/>
      </c>
    </row>
    <row r="546">
      <c r="A546" s="38" t="n">
        <v>40909</v>
      </c>
      <c r="B546" s="39">
        <f>VLOOKUP(Table8[[#This Row],[Month]],database!A:J,MATCH('Capacity Utilization'!$A$1,database!$A$1:$J$1,),)</f>
        <v/>
      </c>
      <c r="C546" s="68">
        <f>(VLOOKUP(A546,database!A:K,11,) - VLOOKUP(A534,database!A:K,11,))/VLOOKUP(A534,database!A:K,11,)</f>
        <v/>
      </c>
    </row>
    <row r="547">
      <c r="A547" s="38" t="n">
        <v>40940</v>
      </c>
      <c r="B547" s="39">
        <f>VLOOKUP(Table8[[#This Row],[Month]],database!A:J,MATCH('Capacity Utilization'!$A$1,database!$A$1:$J$1,),)</f>
        <v/>
      </c>
      <c r="C547" s="68">
        <f>(VLOOKUP(A547,database!A:K,11,) - VLOOKUP(A535,database!A:K,11,))/VLOOKUP(A535,database!A:K,11,)</f>
        <v/>
      </c>
    </row>
    <row r="548">
      <c r="A548" s="38" t="n">
        <v>40969</v>
      </c>
      <c r="B548" s="39">
        <f>VLOOKUP(Table8[[#This Row],[Month]],database!A:J,MATCH('Capacity Utilization'!$A$1,database!$A$1:$J$1,),)</f>
        <v/>
      </c>
      <c r="C548" s="68">
        <f>(VLOOKUP(A548,database!A:K,11,) - VLOOKUP(A536,database!A:K,11,))/VLOOKUP(A536,database!A:K,11,)</f>
        <v/>
      </c>
    </row>
    <row r="549">
      <c r="A549" s="38" t="n">
        <v>41000</v>
      </c>
      <c r="B549" s="39">
        <f>VLOOKUP(Table8[[#This Row],[Month]],database!A:J,MATCH('Capacity Utilization'!$A$1,database!$A$1:$J$1,),)</f>
        <v/>
      </c>
      <c r="C549" s="68">
        <f>(VLOOKUP(A549,database!A:K,11,) - VLOOKUP(A537,database!A:K,11,))/VLOOKUP(A537,database!A:K,11,)</f>
        <v/>
      </c>
    </row>
    <row r="550">
      <c r="A550" s="38" t="n">
        <v>41030</v>
      </c>
      <c r="B550" s="39">
        <f>VLOOKUP(Table8[[#This Row],[Month]],database!A:J,MATCH('Capacity Utilization'!$A$1,database!$A$1:$J$1,),)</f>
        <v/>
      </c>
      <c r="C550" s="68">
        <f>(VLOOKUP(A550,database!A:K,11,) - VLOOKUP(A538,database!A:K,11,))/VLOOKUP(A538,database!A:K,11,)</f>
        <v/>
      </c>
    </row>
    <row r="551">
      <c r="A551" s="38" t="n">
        <v>41061</v>
      </c>
      <c r="B551" s="39">
        <f>VLOOKUP(Table8[[#This Row],[Month]],database!A:J,MATCH('Capacity Utilization'!$A$1,database!$A$1:$J$1,),)</f>
        <v/>
      </c>
      <c r="C551" s="68">
        <f>(VLOOKUP(A551,database!A:K,11,) - VLOOKUP(A539,database!A:K,11,))/VLOOKUP(A539,database!A:K,11,)</f>
        <v/>
      </c>
    </row>
    <row r="552">
      <c r="A552" s="38" t="n">
        <v>41091</v>
      </c>
      <c r="B552" s="39">
        <f>VLOOKUP(Table8[[#This Row],[Month]],database!A:J,MATCH('Capacity Utilization'!$A$1,database!$A$1:$J$1,),)</f>
        <v/>
      </c>
      <c r="C552" s="68">
        <f>(VLOOKUP(A552,database!A:K,11,) - VLOOKUP(A540,database!A:K,11,))/VLOOKUP(A540,database!A:K,11,)</f>
        <v/>
      </c>
    </row>
    <row r="553">
      <c r="A553" s="38" t="n">
        <v>41122</v>
      </c>
      <c r="B553" s="39">
        <f>VLOOKUP(Table8[[#This Row],[Month]],database!A:J,MATCH('Capacity Utilization'!$A$1,database!$A$1:$J$1,),)</f>
        <v/>
      </c>
      <c r="C553" s="68">
        <f>(VLOOKUP(A553,database!A:K,11,) - VLOOKUP(A541,database!A:K,11,))/VLOOKUP(A541,database!A:K,11,)</f>
        <v/>
      </c>
    </row>
    <row r="554">
      <c r="A554" s="38" t="n">
        <v>41153</v>
      </c>
      <c r="B554" s="39">
        <f>VLOOKUP(Table8[[#This Row],[Month]],database!A:J,MATCH('Capacity Utilization'!$A$1,database!$A$1:$J$1,),)</f>
        <v/>
      </c>
      <c r="C554" s="68">
        <f>(VLOOKUP(A554,database!A:K,11,) - VLOOKUP(A542,database!A:K,11,))/VLOOKUP(A542,database!A:K,11,)</f>
        <v/>
      </c>
    </row>
    <row r="555">
      <c r="A555" s="38" t="n">
        <v>41183</v>
      </c>
      <c r="B555" s="39">
        <f>VLOOKUP(Table8[[#This Row],[Month]],database!A:J,MATCH('Capacity Utilization'!$A$1,database!$A$1:$J$1,),)</f>
        <v/>
      </c>
      <c r="C555" s="68">
        <f>(VLOOKUP(A555,database!A:K,11,) - VLOOKUP(A543,database!A:K,11,))/VLOOKUP(A543,database!A:K,11,)</f>
        <v/>
      </c>
    </row>
    <row r="556">
      <c r="A556" s="38" t="n">
        <v>41214</v>
      </c>
      <c r="B556" s="39">
        <f>VLOOKUP(Table8[[#This Row],[Month]],database!A:J,MATCH('Capacity Utilization'!$A$1,database!$A$1:$J$1,),)</f>
        <v/>
      </c>
      <c r="C556" s="68">
        <f>(VLOOKUP(A556,database!A:K,11,) - VLOOKUP(A544,database!A:K,11,))/VLOOKUP(A544,database!A:K,11,)</f>
        <v/>
      </c>
    </row>
    <row r="557">
      <c r="A557" s="38" t="n">
        <v>41244</v>
      </c>
      <c r="B557" s="39">
        <f>VLOOKUP(Table8[[#This Row],[Month]],database!A:J,MATCH('Capacity Utilization'!$A$1,database!$A$1:$J$1,),)</f>
        <v/>
      </c>
      <c r="C557" s="68">
        <f>(VLOOKUP(A557,database!A:K,11,) - VLOOKUP(A545,database!A:K,11,))/VLOOKUP(A545,database!A:K,11,)</f>
        <v/>
      </c>
    </row>
    <row r="558">
      <c r="A558" s="38" t="n">
        <v>41275</v>
      </c>
      <c r="B558" s="39">
        <f>VLOOKUP(Table8[[#This Row],[Month]],database!A:J,MATCH('Capacity Utilization'!$A$1,database!$A$1:$J$1,),)</f>
        <v/>
      </c>
      <c r="C558" s="68">
        <f>(VLOOKUP(A558,database!A:K,11,) - VLOOKUP(A546,database!A:K,11,))/VLOOKUP(A546,database!A:K,11,)</f>
        <v/>
      </c>
    </row>
    <row r="559">
      <c r="A559" s="38" t="n">
        <v>41306</v>
      </c>
      <c r="B559" s="39">
        <f>VLOOKUP(Table8[[#This Row],[Month]],database!A:J,MATCH('Capacity Utilization'!$A$1,database!$A$1:$J$1,),)</f>
        <v/>
      </c>
      <c r="C559" s="68">
        <f>(VLOOKUP(A559,database!A:K,11,) - VLOOKUP(A547,database!A:K,11,))/VLOOKUP(A547,database!A:K,11,)</f>
        <v/>
      </c>
    </row>
    <row r="560">
      <c r="A560" s="38" t="n">
        <v>41334</v>
      </c>
      <c r="B560" s="39">
        <f>VLOOKUP(Table8[[#This Row],[Month]],database!A:J,MATCH('Capacity Utilization'!$A$1,database!$A$1:$J$1,),)</f>
        <v/>
      </c>
      <c r="C560" s="68">
        <f>(VLOOKUP(A560,database!A:K,11,) - VLOOKUP(A548,database!A:K,11,))/VLOOKUP(A548,database!A:K,11,)</f>
        <v/>
      </c>
    </row>
    <row r="561">
      <c r="A561" s="38" t="n">
        <v>41365</v>
      </c>
      <c r="B561" s="39">
        <f>VLOOKUP(Table8[[#This Row],[Month]],database!A:J,MATCH('Capacity Utilization'!$A$1,database!$A$1:$J$1,),)</f>
        <v/>
      </c>
      <c r="C561" s="68">
        <f>(VLOOKUP(A561,database!A:K,11,) - VLOOKUP(A549,database!A:K,11,))/VLOOKUP(A549,database!A:K,11,)</f>
        <v/>
      </c>
    </row>
    <row r="562">
      <c r="A562" s="38" t="n">
        <v>41395</v>
      </c>
      <c r="B562" s="39">
        <f>VLOOKUP(Table8[[#This Row],[Month]],database!A:J,MATCH('Capacity Utilization'!$A$1,database!$A$1:$J$1,),)</f>
        <v/>
      </c>
      <c r="C562" s="68">
        <f>(VLOOKUP(A562,database!A:K,11,) - VLOOKUP(A550,database!A:K,11,))/VLOOKUP(A550,database!A:K,11,)</f>
        <v/>
      </c>
    </row>
    <row r="563">
      <c r="A563" s="38" t="n">
        <v>41426</v>
      </c>
      <c r="B563" s="39">
        <f>VLOOKUP(Table8[[#This Row],[Month]],database!A:J,MATCH('Capacity Utilization'!$A$1,database!$A$1:$J$1,),)</f>
        <v/>
      </c>
      <c r="C563" s="68">
        <f>(VLOOKUP(A563,database!A:K,11,) - VLOOKUP(A551,database!A:K,11,))/VLOOKUP(A551,database!A:K,11,)</f>
        <v/>
      </c>
    </row>
    <row r="564">
      <c r="A564" s="38" t="n">
        <v>41456</v>
      </c>
      <c r="B564" s="39">
        <f>VLOOKUP(Table8[[#This Row],[Month]],database!A:J,MATCH('Capacity Utilization'!$A$1,database!$A$1:$J$1,),)</f>
        <v/>
      </c>
      <c r="C564" s="68">
        <f>(VLOOKUP(A564,database!A:K,11,) - VLOOKUP(A552,database!A:K,11,))/VLOOKUP(A552,database!A:K,11,)</f>
        <v/>
      </c>
    </row>
    <row r="565">
      <c r="A565" s="38" t="n">
        <v>41487</v>
      </c>
      <c r="B565" s="39">
        <f>VLOOKUP(Table8[[#This Row],[Month]],database!A:J,MATCH('Capacity Utilization'!$A$1,database!$A$1:$J$1,),)</f>
        <v/>
      </c>
      <c r="C565" s="68">
        <f>(VLOOKUP(A565,database!A:K,11,) - VLOOKUP(A553,database!A:K,11,))/VLOOKUP(A553,database!A:K,11,)</f>
        <v/>
      </c>
    </row>
    <row r="566">
      <c r="A566" s="38" t="n">
        <v>41518</v>
      </c>
      <c r="B566" s="39">
        <f>VLOOKUP(Table8[[#This Row],[Month]],database!A:J,MATCH('Capacity Utilization'!$A$1,database!$A$1:$J$1,),)</f>
        <v/>
      </c>
      <c r="C566" s="68">
        <f>(VLOOKUP(A566,database!A:K,11,) - VLOOKUP(A554,database!A:K,11,))/VLOOKUP(A554,database!A:K,11,)</f>
        <v/>
      </c>
    </row>
    <row r="567">
      <c r="A567" s="38" t="n">
        <v>41548</v>
      </c>
      <c r="B567" s="39">
        <f>VLOOKUP(Table8[[#This Row],[Month]],database!A:J,MATCH('Capacity Utilization'!$A$1,database!$A$1:$J$1,),)</f>
        <v/>
      </c>
      <c r="C567" s="68">
        <f>(VLOOKUP(A567,database!A:K,11,) - VLOOKUP(A555,database!A:K,11,))/VLOOKUP(A555,database!A:K,11,)</f>
        <v/>
      </c>
    </row>
    <row r="568">
      <c r="A568" s="38" t="n">
        <v>41579</v>
      </c>
      <c r="B568" s="39">
        <f>VLOOKUP(Table8[[#This Row],[Month]],database!A:J,MATCH('Capacity Utilization'!$A$1,database!$A$1:$J$1,),)</f>
        <v/>
      </c>
      <c r="C568" s="68">
        <f>(VLOOKUP(A568,database!A:K,11,) - VLOOKUP(A556,database!A:K,11,))/VLOOKUP(A556,database!A:K,11,)</f>
        <v/>
      </c>
    </row>
    <row r="569">
      <c r="A569" s="38" t="n">
        <v>41609</v>
      </c>
      <c r="B569" s="39">
        <f>VLOOKUP(Table8[[#This Row],[Month]],database!A:J,MATCH('Capacity Utilization'!$A$1,database!$A$1:$J$1,),)</f>
        <v/>
      </c>
      <c r="C569" s="68">
        <f>(VLOOKUP(A569,database!A:K,11,) - VLOOKUP(A557,database!A:K,11,))/VLOOKUP(A557,database!A:K,11,)</f>
        <v/>
      </c>
    </row>
    <row r="570">
      <c r="A570" s="38" t="n">
        <v>41640</v>
      </c>
      <c r="B570" s="39">
        <f>VLOOKUP(Table8[[#This Row],[Month]],database!A:J,MATCH('Capacity Utilization'!$A$1,database!$A$1:$J$1,),)</f>
        <v/>
      </c>
      <c r="C570" s="68">
        <f>(VLOOKUP(A570,database!A:K,11,) - VLOOKUP(A558,database!A:K,11,))/VLOOKUP(A558,database!A:K,11,)</f>
        <v/>
      </c>
    </row>
    <row r="571">
      <c r="A571" s="38" t="n">
        <v>41671</v>
      </c>
      <c r="B571" s="39">
        <f>VLOOKUP(Table8[[#This Row],[Month]],database!A:J,MATCH('Capacity Utilization'!$A$1,database!$A$1:$J$1,),)</f>
        <v/>
      </c>
      <c r="C571" s="68">
        <f>(VLOOKUP(A571,database!A:K,11,) - VLOOKUP(A559,database!A:K,11,))/VLOOKUP(A559,database!A:K,11,)</f>
        <v/>
      </c>
    </row>
    <row r="572">
      <c r="A572" s="38" t="n">
        <v>41699</v>
      </c>
      <c r="B572" s="39">
        <f>VLOOKUP(Table8[[#This Row],[Month]],database!A:J,MATCH('Capacity Utilization'!$A$1,database!$A$1:$J$1,),)</f>
        <v/>
      </c>
      <c r="C572" s="68">
        <f>(VLOOKUP(A572,database!A:K,11,) - VLOOKUP(A560,database!A:K,11,))/VLOOKUP(A560,database!A:K,11,)</f>
        <v/>
      </c>
    </row>
    <row r="573">
      <c r="A573" s="38" t="n">
        <v>41730</v>
      </c>
      <c r="B573" s="39">
        <f>VLOOKUP(Table8[[#This Row],[Month]],database!A:J,MATCH('Capacity Utilization'!$A$1,database!$A$1:$J$1,),)</f>
        <v/>
      </c>
      <c r="C573" s="68">
        <f>(VLOOKUP(A573,database!A:K,11,) - VLOOKUP(A561,database!A:K,11,))/VLOOKUP(A561,database!A:K,11,)</f>
        <v/>
      </c>
    </row>
    <row r="574">
      <c r="A574" s="38" t="n">
        <v>41760</v>
      </c>
      <c r="B574" s="39">
        <f>VLOOKUP(Table8[[#This Row],[Month]],database!A:J,MATCH('Capacity Utilization'!$A$1,database!$A$1:$J$1,),)</f>
        <v/>
      </c>
      <c r="C574" s="68">
        <f>(VLOOKUP(A574,database!A:K,11,) - VLOOKUP(A562,database!A:K,11,))/VLOOKUP(A562,database!A:K,11,)</f>
        <v/>
      </c>
    </row>
    <row r="575">
      <c r="A575" s="38" t="n">
        <v>41791</v>
      </c>
      <c r="B575" s="39">
        <f>VLOOKUP(Table8[[#This Row],[Month]],database!A:J,MATCH('Capacity Utilization'!$A$1,database!$A$1:$J$1,),)</f>
        <v/>
      </c>
      <c r="C575" s="68">
        <f>(VLOOKUP(A575,database!A:K,11,) - VLOOKUP(A563,database!A:K,11,))/VLOOKUP(A563,database!A:K,11,)</f>
        <v/>
      </c>
    </row>
    <row r="576">
      <c r="A576" s="38" t="n">
        <v>41821</v>
      </c>
      <c r="B576" s="39">
        <f>VLOOKUP(Table8[[#This Row],[Month]],database!A:J,MATCH('Capacity Utilization'!$A$1,database!$A$1:$J$1,),)</f>
        <v/>
      </c>
      <c r="C576" s="68">
        <f>(VLOOKUP(A576,database!A:K,11,) - VLOOKUP(A564,database!A:K,11,))/VLOOKUP(A564,database!A:K,11,)</f>
        <v/>
      </c>
    </row>
    <row r="577">
      <c r="A577" s="38" t="n">
        <v>41852</v>
      </c>
      <c r="B577" s="39">
        <f>VLOOKUP(Table8[[#This Row],[Month]],database!A:J,MATCH('Capacity Utilization'!$A$1,database!$A$1:$J$1,),)</f>
        <v/>
      </c>
      <c r="C577" s="68">
        <f>(VLOOKUP(A577,database!A:K,11,) - VLOOKUP(A565,database!A:K,11,))/VLOOKUP(A565,database!A:K,11,)</f>
        <v/>
      </c>
    </row>
    <row r="578">
      <c r="A578" s="38" t="n">
        <v>41883</v>
      </c>
      <c r="B578" s="39">
        <f>VLOOKUP(Table8[[#This Row],[Month]],database!A:J,MATCH('Capacity Utilization'!$A$1,database!$A$1:$J$1,),)</f>
        <v/>
      </c>
      <c r="C578" s="68">
        <f>(VLOOKUP(A578,database!A:K,11,) - VLOOKUP(A566,database!A:K,11,))/VLOOKUP(A566,database!A:K,11,)</f>
        <v/>
      </c>
    </row>
    <row r="579">
      <c r="A579" s="38" t="n">
        <v>41913</v>
      </c>
      <c r="B579" s="39">
        <f>VLOOKUP(Table8[[#This Row],[Month]],database!A:J,MATCH('Capacity Utilization'!$A$1,database!$A$1:$J$1,),)</f>
        <v/>
      </c>
      <c r="C579" s="68">
        <f>(VLOOKUP(A579,database!A:K,11,) - VLOOKUP(A567,database!A:K,11,))/VLOOKUP(A567,database!A:K,11,)</f>
        <v/>
      </c>
    </row>
    <row r="580">
      <c r="A580" s="38" t="n">
        <v>41944</v>
      </c>
      <c r="B580" s="39">
        <f>VLOOKUP(Table8[[#This Row],[Month]],database!A:J,MATCH('Capacity Utilization'!$A$1,database!$A$1:$J$1,),)</f>
        <v/>
      </c>
      <c r="C580" s="68">
        <f>(VLOOKUP(A580,database!A:K,11,) - VLOOKUP(A568,database!A:K,11,))/VLOOKUP(A568,database!A:K,11,)</f>
        <v/>
      </c>
    </row>
    <row r="581">
      <c r="A581" s="38" t="n">
        <v>41974</v>
      </c>
      <c r="B581" s="39">
        <f>VLOOKUP(Table8[[#This Row],[Month]],database!A:J,MATCH('Capacity Utilization'!$A$1,database!$A$1:$J$1,),)</f>
        <v/>
      </c>
      <c r="C581" s="68">
        <f>(VLOOKUP(A581,database!A:K,11,) - VLOOKUP(A569,database!A:K,11,))/VLOOKUP(A569,database!A:K,11,)</f>
        <v/>
      </c>
    </row>
    <row r="582">
      <c r="A582" s="38" t="n">
        <v>42005</v>
      </c>
      <c r="B582" s="39">
        <f>VLOOKUP(Table8[[#This Row],[Month]],database!A:J,MATCH('Capacity Utilization'!$A$1,database!$A$1:$J$1,),)</f>
        <v/>
      </c>
      <c r="C582" s="68">
        <f>(VLOOKUP(A582,database!A:K,11,) - VLOOKUP(A570,database!A:K,11,))/VLOOKUP(A570,database!A:K,11,)</f>
        <v/>
      </c>
    </row>
    <row r="583">
      <c r="A583" s="38" t="n">
        <v>42036</v>
      </c>
      <c r="B583" s="39">
        <f>VLOOKUP(Table8[[#This Row],[Month]],database!A:J,MATCH('Capacity Utilization'!$A$1,database!$A$1:$J$1,),)</f>
        <v/>
      </c>
      <c r="C583" s="68">
        <f>(VLOOKUP(A583,database!A:K,11,) - VLOOKUP(A571,database!A:K,11,))/VLOOKUP(A571,database!A:K,11,)</f>
        <v/>
      </c>
    </row>
    <row r="584">
      <c r="A584" s="38" t="n">
        <v>42064</v>
      </c>
      <c r="B584" s="39">
        <f>VLOOKUP(Table8[[#This Row],[Month]],database!A:J,MATCH('Capacity Utilization'!$A$1,database!$A$1:$J$1,),)</f>
        <v/>
      </c>
      <c r="C584" s="68">
        <f>(VLOOKUP(A584,database!A:K,11,) - VLOOKUP(A572,database!A:K,11,))/VLOOKUP(A572,database!A:K,11,)</f>
        <v/>
      </c>
    </row>
    <row r="585">
      <c r="A585" s="38" t="n">
        <v>42095</v>
      </c>
      <c r="B585" s="39">
        <f>VLOOKUP(Table8[[#This Row],[Month]],database!A:J,MATCH('Capacity Utilization'!$A$1,database!$A$1:$J$1,),)</f>
        <v/>
      </c>
      <c r="C585" s="68">
        <f>(VLOOKUP(A585,database!A:K,11,) - VLOOKUP(A573,database!A:K,11,))/VLOOKUP(A573,database!A:K,11,)</f>
        <v/>
      </c>
    </row>
    <row r="586">
      <c r="A586" s="38" t="n">
        <v>42125</v>
      </c>
      <c r="B586" s="39">
        <f>VLOOKUP(Table8[[#This Row],[Month]],database!A:J,MATCH('Capacity Utilization'!$A$1,database!$A$1:$J$1,),)</f>
        <v/>
      </c>
      <c r="C586" s="68">
        <f>(VLOOKUP(A586,database!A:K,11,) - VLOOKUP(A574,database!A:K,11,))/VLOOKUP(A574,database!A:K,11,)</f>
        <v/>
      </c>
    </row>
    <row r="587">
      <c r="A587" s="38" t="n">
        <v>42156</v>
      </c>
      <c r="B587" s="39">
        <f>VLOOKUP(Table8[[#This Row],[Month]],database!A:J,MATCH('Capacity Utilization'!$A$1,database!$A$1:$J$1,),)</f>
        <v/>
      </c>
      <c r="C587" s="68">
        <f>(VLOOKUP(A587,database!A:K,11,) - VLOOKUP(A575,database!A:K,11,))/VLOOKUP(A575,database!A:K,11,)</f>
        <v/>
      </c>
    </row>
    <row r="588">
      <c r="A588" s="38" t="n">
        <v>42186</v>
      </c>
      <c r="B588" s="39">
        <f>VLOOKUP(Table8[[#This Row],[Month]],database!A:J,MATCH('Capacity Utilization'!$A$1,database!$A$1:$J$1,),)</f>
        <v/>
      </c>
      <c r="C588" s="68">
        <f>(VLOOKUP(A588,database!A:K,11,) - VLOOKUP(A576,database!A:K,11,))/VLOOKUP(A576,database!A:K,11,)</f>
        <v/>
      </c>
    </row>
    <row r="589">
      <c r="A589" s="38" t="n">
        <v>42217</v>
      </c>
      <c r="B589" s="39">
        <f>VLOOKUP(Table8[[#This Row],[Month]],database!A:J,MATCH('Capacity Utilization'!$A$1,database!$A$1:$J$1,),)</f>
        <v/>
      </c>
      <c r="C589" s="68">
        <f>(VLOOKUP(A589,database!A:K,11,) - VLOOKUP(A577,database!A:K,11,))/VLOOKUP(A577,database!A:K,11,)</f>
        <v/>
      </c>
    </row>
    <row r="590">
      <c r="A590" s="38" t="n">
        <v>42248</v>
      </c>
      <c r="B590" s="39">
        <f>VLOOKUP(Table8[[#This Row],[Month]],database!A:J,MATCH('Capacity Utilization'!$A$1,database!$A$1:$J$1,),)</f>
        <v/>
      </c>
      <c r="C590" s="68">
        <f>(VLOOKUP(A590,database!A:K,11,) - VLOOKUP(A578,database!A:K,11,))/VLOOKUP(A578,database!A:K,11,)</f>
        <v/>
      </c>
    </row>
    <row r="591">
      <c r="A591" s="38" t="n">
        <v>42278</v>
      </c>
      <c r="B591" s="39">
        <f>VLOOKUP(Table8[[#This Row],[Month]],database!A:J,MATCH('Capacity Utilization'!$A$1,database!$A$1:$J$1,),)</f>
        <v/>
      </c>
      <c r="C591" s="68">
        <f>(VLOOKUP(A591,database!A:K,11,) - VLOOKUP(A579,database!A:K,11,))/VLOOKUP(A579,database!A:K,11,)</f>
        <v/>
      </c>
    </row>
    <row r="592">
      <c r="A592" s="38" t="n">
        <v>42309</v>
      </c>
      <c r="B592" s="39">
        <f>VLOOKUP(Table8[[#This Row],[Month]],database!A:J,MATCH('Capacity Utilization'!$A$1,database!$A$1:$J$1,),)</f>
        <v/>
      </c>
      <c r="C592" s="68">
        <f>(VLOOKUP(A592,database!A:K,11,) - VLOOKUP(A580,database!A:K,11,))/VLOOKUP(A580,database!A:K,11,)</f>
        <v/>
      </c>
    </row>
    <row r="593">
      <c r="A593" s="38" t="n">
        <v>42339</v>
      </c>
      <c r="B593" s="39">
        <f>VLOOKUP(Table8[[#This Row],[Month]],database!A:J,MATCH('Capacity Utilization'!$A$1,database!$A$1:$J$1,),)</f>
        <v/>
      </c>
      <c r="C593" s="68">
        <f>(VLOOKUP(A593,database!A:K,11,) - VLOOKUP(A581,database!A:K,11,))/VLOOKUP(A581,database!A:K,11,)</f>
        <v/>
      </c>
    </row>
    <row r="594">
      <c r="A594" s="38" t="n">
        <v>42370</v>
      </c>
      <c r="B594" s="39">
        <f>VLOOKUP(Table8[[#This Row],[Month]],database!A:J,MATCH('Capacity Utilization'!$A$1,database!$A$1:$J$1,),)</f>
        <v/>
      </c>
      <c r="C594" s="68">
        <f>(VLOOKUP(A594,database!A:K,11,) - VLOOKUP(A582,database!A:K,11,))/VLOOKUP(A582,database!A:K,11,)</f>
        <v/>
      </c>
    </row>
    <row r="595">
      <c r="A595" s="38" t="n">
        <v>42401</v>
      </c>
      <c r="B595" s="39">
        <f>VLOOKUP(Table8[[#This Row],[Month]],database!A:J,MATCH('Capacity Utilization'!$A$1,database!$A$1:$J$1,),)</f>
        <v/>
      </c>
      <c r="C595" s="68">
        <f>(VLOOKUP(A595,database!A:K,11,) - VLOOKUP(A583,database!A:K,11,))/VLOOKUP(A583,database!A:K,11,)</f>
        <v/>
      </c>
    </row>
    <row r="596">
      <c r="A596" s="38" t="n">
        <v>42430</v>
      </c>
      <c r="B596" s="39">
        <f>VLOOKUP(Table8[[#This Row],[Month]],database!A:J,MATCH('Capacity Utilization'!$A$1,database!$A$1:$J$1,),)</f>
        <v/>
      </c>
      <c r="C596" s="68">
        <f>(VLOOKUP(A596,database!A:K,11,) - VLOOKUP(A584,database!A:K,11,))/VLOOKUP(A584,database!A:K,11,)</f>
        <v/>
      </c>
    </row>
    <row r="597">
      <c r="A597" s="38" t="n">
        <v>42461</v>
      </c>
      <c r="B597" s="39">
        <f>VLOOKUP(Table8[[#This Row],[Month]],database!A:J,MATCH('Capacity Utilization'!$A$1,database!$A$1:$J$1,),)</f>
        <v/>
      </c>
      <c r="C597" s="68">
        <f>(VLOOKUP(A597,database!A:K,11,) - VLOOKUP(A585,database!A:K,11,))/VLOOKUP(A585,database!A:K,11,)</f>
        <v/>
      </c>
    </row>
    <row r="598">
      <c r="A598" s="38" t="n">
        <v>42491</v>
      </c>
      <c r="B598" s="39">
        <f>VLOOKUP(Table8[[#This Row],[Month]],database!A:J,MATCH('Capacity Utilization'!$A$1,database!$A$1:$J$1,),)</f>
        <v/>
      </c>
      <c r="C598" s="68">
        <f>(VLOOKUP(A598,database!A:K,11,) - VLOOKUP(A586,database!A:K,11,))/VLOOKUP(A586,database!A:K,11,)</f>
        <v/>
      </c>
    </row>
    <row r="599">
      <c r="A599" s="38" t="n">
        <v>42522</v>
      </c>
      <c r="B599" s="39">
        <f>VLOOKUP(Table8[[#This Row],[Month]],database!A:J,MATCH('Capacity Utilization'!$A$1,database!$A$1:$J$1,),)</f>
        <v/>
      </c>
      <c r="C599" s="68">
        <f>(VLOOKUP(A599,database!A:K,11,) - VLOOKUP(A587,database!A:K,11,))/VLOOKUP(A587,database!A:K,11,)</f>
        <v/>
      </c>
    </row>
    <row r="600">
      <c r="A600" s="38" t="n">
        <v>42552</v>
      </c>
      <c r="B600" s="39">
        <f>VLOOKUP(Table8[[#This Row],[Month]],database!A:J,MATCH('Capacity Utilization'!$A$1,database!$A$1:$J$1,),)</f>
        <v/>
      </c>
      <c r="C600" s="68">
        <f>(VLOOKUP(A600,database!A:K,11,) - VLOOKUP(A588,database!A:K,11,))/VLOOKUP(A588,database!A:K,11,)</f>
        <v/>
      </c>
    </row>
    <row r="601">
      <c r="A601" s="38" t="n">
        <v>42583</v>
      </c>
      <c r="B601" s="39">
        <f>VLOOKUP(Table8[[#This Row],[Month]],database!A:J,MATCH('Capacity Utilization'!$A$1,database!$A$1:$J$1,),)</f>
        <v/>
      </c>
      <c r="C601" s="68">
        <f>(VLOOKUP(A601,database!A:K,11,) - VLOOKUP(A589,database!A:K,11,))/VLOOKUP(A589,database!A:K,11,)</f>
        <v/>
      </c>
    </row>
    <row r="602">
      <c r="A602" s="38" t="n">
        <v>42614</v>
      </c>
      <c r="B602" s="39">
        <f>VLOOKUP(Table8[[#This Row],[Month]],database!A:J,MATCH('Capacity Utilization'!$A$1,database!$A$1:$J$1,),)</f>
        <v/>
      </c>
      <c r="C602" s="68">
        <f>(VLOOKUP(A602,database!A:K,11,) - VLOOKUP(A590,database!A:K,11,))/VLOOKUP(A590,database!A:K,11,)</f>
        <v/>
      </c>
    </row>
    <row r="603">
      <c r="A603" s="38" t="n">
        <v>42644</v>
      </c>
      <c r="B603" s="39">
        <f>VLOOKUP(Table8[[#This Row],[Month]],database!A:J,MATCH('Capacity Utilization'!$A$1,database!$A$1:$J$1,),)</f>
        <v/>
      </c>
      <c r="C603" s="68">
        <f>(VLOOKUP(A603,database!A:K,11,) - VLOOKUP(A591,database!A:K,11,))/VLOOKUP(A591,database!A:K,11,)</f>
        <v/>
      </c>
    </row>
    <row r="604">
      <c r="A604" s="38" t="n">
        <v>42675</v>
      </c>
      <c r="B604" s="39">
        <f>VLOOKUP(Table8[[#This Row],[Month]],database!A:J,MATCH('Capacity Utilization'!$A$1,database!$A$1:$J$1,),)</f>
        <v/>
      </c>
      <c r="C604" s="68">
        <f>(VLOOKUP(A604,database!A:K,11,) - VLOOKUP(A592,database!A:K,11,))/VLOOKUP(A592,database!A:K,11,)</f>
        <v/>
      </c>
    </row>
    <row r="605">
      <c r="A605" s="38" t="n">
        <v>42705</v>
      </c>
      <c r="B605" s="39">
        <f>VLOOKUP(Table8[[#This Row],[Month]],database!A:J,MATCH('Capacity Utilization'!$A$1,database!$A$1:$J$1,),)</f>
        <v/>
      </c>
      <c r="C605" s="68">
        <f>(VLOOKUP(A605,database!A:K,11,) - VLOOKUP(A593,database!A:K,11,))/VLOOKUP(A593,database!A:K,11,)</f>
        <v/>
      </c>
    </row>
    <row r="606">
      <c r="A606" s="38" t="n">
        <v>42736</v>
      </c>
      <c r="B606" s="39">
        <f>VLOOKUP(Table8[[#This Row],[Month]],database!A:J,MATCH('Capacity Utilization'!$A$1,database!$A$1:$J$1,),)</f>
        <v/>
      </c>
      <c r="C606" s="68">
        <f>(VLOOKUP(A606,database!A:K,11,) - VLOOKUP(A594,database!A:K,11,))/VLOOKUP(A594,database!A:K,11,)</f>
        <v/>
      </c>
    </row>
    <row r="607">
      <c r="A607" s="38" t="n">
        <v>42767</v>
      </c>
      <c r="B607" s="39">
        <f>VLOOKUP(Table8[[#This Row],[Month]],database!A:J,MATCH('Capacity Utilization'!$A$1,database!$A$1:$J$1,),)</f>
        <v/>
      </c>
      <c r="C607" s="68">
        <f>(VLOOKUP(A607,database!A:K,11,) - VLOOKUP(A595,database!A:K,11,))/VLOOKUP(A595,database!A:K,11,)</f>
        <v/>
      </c>
    </row>
    <row r="608">
      <c r="A608" s="38" t="n">
        <v>42795</v>
      </c>
      <c r="B608" s="39">
        <f>VLOOKUP(Table8[[#This Row],[Month]],database!A:J,MATCH('Capacity Utilization'!$A$1,database!$A$1:$J$1,),)</f>
        <v/>
      </c>
      <c r="C608" s="68">
        <f>(VLOOKUP(A608,database!A:K,11,) - VLOOKUP(A596,database!A:K,11,))/VLOOKUP(A596,database!A:K,11,)</f>
        <v/>
      </c>
    </row>
    <row r="609">
      <c r="A609" s="38" t="n">
        <v>42826</v>
      </c>
      <c r="B609" s="39">
        <f>VLOOKUP(Table8[[#This Row],[Month]],database!A:J,MATCH('Capacity Utilization'!$A$1,database!$A$1:$J$1,),)</f>
        <v/>
      </c>
      <c r="C609" s="68">
        <f>(VLOOKUP(A609,database!A:K,11,) - VLOOKUP(A597,database!A:K,11,))/VLOOKUP(A597,database!A:K,11,)</f>
        <v/>
      </c>
    </row>
    <row r="610">
      <c r="A610" s="38" t="n">
        <v>42856</v>
      </c>
      <c r="B610" s="39">
        <f>VLOOKUP(Table8[[#This Row],[Month]],database!A:J,MATCH('Capacity Utilization'!$A$1,database!$A$1:$J$1,),)</f>
        <v/>
      </c>
      <c r="C610" s="68">
        <f>(VLOOKUP(A610,database!A:K,11,) - VLOOKUP(A598,database!A:K,11,))/VLOOKUP(A598,database!A:K,11,)</f>
        <v/>
      </c>
    </row>
    <row r="611">
      <c r="A611" s="38" t="n">
        <v>42887</v>
      </c>
      <c r="B611" s="39">
        <f>VLOOKUP(Table8[[#This Row],[Month]],database!A:J,MATCH('Capacity Utilization'!$A$1,database!$A$1:$J$1,),)</f>
        <v/>
      </c>
      <c r="C611" s="68">
        <f>(VLOOKUP(A611,database!A:K,11,) - VLOOKUP(A599,database!A:K,11,))/VLOOKUP(A599,database!A:K,11,)</f>
        <v/>
      </c>
    </row>
    <row r="612">
      <c r="A612" s="38" t="n">
        <v>42917</v>
      </c>
      <c r="B612" s="39">
        <f>VLOOKUP(Table8[[#This Row],[Month]],database!A:J,MATCH('Capacity Utilization'!$A$1,database!$A$1:$J$1,),)</f>
        <v/>
      </c>
      <c r="C612" s="68">
        <f>(VLOOKUP(A612,database!A:K,11,) - VLOOKUP(A600,database!A:K,11,))/VLOOKUP(A600,database!A:K,11,)</f>
        <v/>
      </c>
    </row>
    <row r="613">
      <c r="A613" s="38" t="n">
        <v>42948</v>
      </c>
      <c r="B613" s="39">
        <f>VLOOKUP(Table8[[#This Row],[Month]],database!A:J,MATCH('Capacity Utilization'!$A$1,database!$A$1:$J$1,),)</f>
        <v/>
      </c>
      <c r="C613" s="68">
        <f>(VLOOKUP(A613,database!A:K,11,) - VLOOKUP(A601,database!A:K,11,))/VLOOKUP(A601,database!A:K,11,)</f>
        <v/>
      </c>
    </row>
    <row r="614">
      <c r="A614" s="38" t="n">
        <v>42979</v>
      </c>
      <c r="B614" s="39">
        <f>VLOOKUP(Table8[[#This Row],[Month]],database!A:J,MATCH('Capacity Utilization'!$A$1,database!$A$1:$J$1,),)</f>
        <v/>
      </c>
      <c r="C614" s="68">
        <f>(VLOOKUP(A614,database!A:K,11,) - VLOOKUP(A602,database!A:K,11,))/VLOOKUP(A602,database!A:K,11,)</f>
        <v/>
      </c>
    </row>
    <row r="615">
      <c r="A615" s="38" t="n">
        <v>43009</v>
      </c>
      <c r="B615" s="39">
        <f>VLOOKUP(Table8[[#This Row],[Month]],database!A:J,MATCH('Capacity Utilization'!$A$1,database!$A$1:$J$1,),)</f>
        <v/>
      </c>
      <c r="C615" s="68">
        <f>(VLOOKUP(A615,database!A:K,11,) - VLOOKUP(A603,database!A:K,11,))/VLOOKUP(A603,database!A:K,11,)</f>
        <v/>
      </c>
    </row>
    <row r="616">
      <c r="A616" s="38" t="n">
        <v>43040</v>
      </c>
      <c r="B616" s="39">
        <f>VLOOKUP(Table8[[#This Row],[Month]],database!A:J,MATCH('Capacity Utilization'!$A$1,database!$A$1:$J$1,),)</f>
        <v/>
      </c>
      <c r="C616" s="68">
        <f>(VLOOKUP(A616,database!A:K,11,) - VLOOKUP(A604,database!A:K,11,))/VLOOKUP(A604,database!A:K,11,)</f>
        <v/>
      </c>
    </row>
    <row r="617">
      <c r="A617" s="38" t="n">
        <v>43070</v>
      </c>
      <c r="B617" s="39">
        <f>VLOOKUP(Table8[[#This Row],[Month]],database!A:J,MATCH('Capacity Utilization'!$A$1,database!$A$1:$J$1,),)</f>
        <v/>
      </c>
      <c r="C617" s="68">
        <f>(VLOOKUP(A617,database!A:K,11,) - VLOOKUP(A605,database!A:K,11,))/VLOOKUP(A605,database!A:K,11,)</f>
        <v/>
      </c>
    </row>
    <row r="618">
      <c r="A618" s="38" t="n">
        <v>43101</v>
      </c>
      <c r="B618" s="39">
        <f>VLOOKUP(Table8[[#This Row],[Month]],database!A:J,MATCH('Capacity Utilization'!$A$1,database!$A$1:$J$1,),)</f>
        <v/>
      </c>
      <c r="C618" s="68">
        <f>(VLOOKUP(A618,database!A:K,11,) - VLOOKUP(A606,database!A:K,11,))/VLOOKUP(A606,database!A:K,11,)</f>
        <v/>
      </c>
    </row>
    <row r="619">
      <c r="A619" s="38" t="n">
        <v>43132</v>
      </c>
      <c r="B619" s="39">
        <f>VLOOKUP(Table8[[#This Row],[Month]],database!A:J,MATCH('Capacity Utilization'!$A$1,database!$A$1:$J$1,),)</f>
        <v/>
      </c>
      <c r="C619" s="68">
        <f>(VLOOKUP(A619,database!A:K,11,) - VLOOKUP(A607,database!A:K,11,))/VLOOKUP(A607,database!A:K,11,)</f>
        <v/>
      </c>
    </row>
    <row r="620">
      <c r="A620" s="38" t="n">
        <v>43160</v>
      </c>
      <c r="B620" s="39">
        <f>VLOOKUP(Table8[[#This Row],[Month]],database!A:J,MATCH('Capacity Utilization'!$A$1,database!$A$1:$J$1,),)</f>
        <v/>
      </c>
      <c r="C620" s="68">
        <f>(VLOOKUP(A620,database!A:K,11,) - VLOOKUP(A608,database!A:K,11,))/VLOOKUP(A608,database!A:K,11,)</f>
        <v/>
      </c>
    </row>
    <row r="621">
      <c r="A621" s="38" t="n">
        <v>43191</v>
      </c>
      <c r="B621" s="39">
        <f>VLOOKUP(Table8[[#This Row],[Month]],database!A:J,MATCH('Capacity Utilization'!$A$1,database!$A$1:$J$1,),)</f>
        <v/>
      </c>
      <c r="C621" s="68">
        <f>(VLOOKUP(A621,database!A:K,11,) - VLOOKUP(A609,database!A:K,11,))/VLOOKUP(A609,database!A:K,11,)</f>
        <v/>
      </c>
    </row>
    <row r="622">
      <c r="A622" s="38" t="n">
        <v>43221</v>
      </c>
      <c r="B622" s="39">
        <f>VLOOKUP(Table8[[#This Row],[Month]],database!A:J,MATCH('Capacity Utilization'!$A$1,database!$A$1:$J$1,),)</f>
        <v/>
      </c>
      <c r="C622" s="68">
        <f>(VLOOKUP(A622,database!A:K,11,) - VLOOKUP(A610,database!A:K,11,))/VLOOKUP(A610,database!A:K,11,)</f>
        <v/>
      </c>
    </row>
    <row r="623">
      <c r="A623" s="38" t="n">
        <v>43252</v>
      </c>
      <c r="B623" s="39">
        <f>VLOOKUP(Table8[[#This Row],[Month]],database!A:J,MATCH('Capacity Utilization'!$A$1,database!$A$1:$J$1,),)</f>
        <v/>
      </c>
      <c r="C623" s="68">
        <f>(VLOOKUP(A623,database!A:K,11,) - VLOOKUP(A611,database!A:K,11,))/VLOOKUP(A611,database!A:K,11,)</f>
        <v/>
      </c>
    </row>
    <row r="624">
      <c r="A624" s="38" t="n">
        <v>43282</v>
      </c>
      <c r="B624" s="39">
        <f>VLOOKUP(Table8[[#This Row],[Month]],database!A:J,MATCH('Capacity Utilization'!$A$1,database!$A$1:$J$1,),)</f>
        <v/>
      </c>
      <c r="C624" s="68">
        <f>(VLOOKUP(A624,database!A:K,11,) - VLOOKUP(A612,database!A:K,11,))/VLOOKUP(A612,database!A:K,11,)</f>
        <v/>
      </c>
    </row>
    <row r="625">
      <c r="A625" s="38" t="n">
        <v>43313</v>
      </c>
      <c r="B625" s="39">
        <f>VLOOKUP(Table8[[#This Row],[Month]],database!A:J,MATCH('Capacity Utilization'!$A$1,database!$A$1:$J$1,),)</f>
        <v/>
      </c>
      <c r="C625" s="68">
        <f>(VLOOKUP(A625,database!A:K,11,) - VLOOKUP(A613,database!A:K,11,))/VLOOKUP(A613,database!A:K,11,)</f>
        <v/>
      </c>
    </row>
    <row r="626">
      <c r="A626" s="38" t="n">
        <v>43344</v>
      </c>
      <c r="B626" s="39">
        <f>VLOOKUP(Table8[[#This Row],[Month]],database!A:J,MATCH('Capacity Utilization'!$A$1,database!$A$1:$J$1,),)</f>
        <v/>
      </c>
      <c r="C626" s="68">
        <f>(VLOOKUP(A626,database!A:K,11,) - VLOOKUP(A614,database!A:K,11,))/VLOOKUP(A614,database!A:K,11,)</f>
        <v/>
      </c>
    </row>
    <row r="627">
      <c r="A627" s="38" t="n">
        <v>43374</v>
      </c>
      <c r="B627" s="39">
        <f>VLOOKUP(Table8[[#This Row],[Month]],database!A:J,MATCH('Capacity Utilization'!$A$1,database!$A$1:$J$1,),)</f>
        <v/>
      </c>
      <c r="C627" s="68">
        <f>(VLOOKUP(A627,database!A:K,11,) - VLOOKUP(A615,database!A:K,11,))/VLOOKUP(A615,database!A:K,11,)</f>
        <v/>
      </c>
    </row>
    <row r="628">
      <c r="A628" s="38" t="n">
        <v>43405</v>
      </c>
      <c r="B628" s="39">
        <f>VLOOKUP(Table8[[#This Row],[Month]],database!A:J,MATCH('Capacity Utilization'!$A$1,database!$A$1:$J$1,),)</f>
        <v/>
      </c>
      <c r="C628" s="68">
        <f>(VLOOKUP(A628,database!A:K,11,) - VLOOKUP(A616,database!A:K,11,))/VLOOKUP(A616,database!A:K,11,)</f>
        <v/>
      </c>
    </row>
    <row r="629">
      <c r="A629" s="38" t="n">
        <v>43435</v>
      </c>
      <c r="B629" s="39">
        <f>VLOOKUP(Table8[[#This Row],[Month]],database!A:J,MATCH('Capacity Utilization'!$A$1,database!$A$1:$J$1,),)</f>
        <v/>
      </c>
      <c r="C629" s="68">
        <f>(VLOOKUP(A629,database!A:K,11,) - VLOOKUP(A617,database!A:K,11,))/VLOOKUP(A617,database!A:K,11,)</f>
        <v/>
      </c>
    </row>
    <row r="630">
      <c r="A630" s="38" t="n">
        <v>43466</v>
      </c>
      <c r="B630" s="39">
        <f>VLOOKUP(Table8[[#This Row],[Month]],database!A:J,MATCH('Capacity Utilization'!$A$1,database!$A$1:$J$1,),)</f>
        <v/>
      </c>
      <c r="C630" s="68">
        <f>(VLOOKUP(A630,database!A:K,11,) - VLOOKUP(A618,database!A:K,11,))/VLOOKUP(A618,database!A:K,11,)</f>
        <v/>
      </c>
    </row>
    <row r="631">
      <c r="A631" s="38" t="n">
        <v>43497</v>
      </c>
      <c r="B631" s="39">
        <f>VLOOKUP(Table8[[#This Row],[Month]],database!A:J,MATCH('Capacity Utilization'!$A$1,database!$A$1:$J$1,),)</f>
        <v/>
      </c>
      <c r="C631" s="68">
        <f>(VLOOKUP(A631,database!A:K,11,) - VLOOKUP(A619,database!A:K,11,))/VLOOKUP(A619,database!A:K,11,)</f>
        <v/>
      </c>
    </row>
    <row r="632">
      <c r="A632" s="38" t="n">
        <v>43525</v>
      </c>
      <c r="B632" s="39">
        <f>VLOOKUP(Table8[[#This Row],[Month]],database!A:J,MATCH('Capacity Utilization'!$A$1,database!$A$1:$J$1,),)</f>
        <v/>
      </c>
      <c r="C632" s="68">
        <f>(VLOOKUP(A632,database!A:K,11,) - VLOOKUP(A620,database!A:K,11,))/VLOOKUP(A620,database!A:K,11,)</f>
        <v/>
      </c>
    </row>
    <row r="633">
      <c r="A633" s="38" t="n">
        <v>43556</v>
      </c>
      <c r="B633" s="39">
        <f>VLOOKUP(Table8[[#This Row],[Month]],database!A:J,MATCH('Capacity Utilization'!$A$1,database!$A$1:$J$1,),)</f>
        <v/>
      </c>
      <c r="C633" s="68">
        <f>(VLOOKUP(A633,database!A:K,11,) - VLOOKUP(A621,database!A:K,11,))/VLOOKUP(A621,database!A:K,11,)</f>
        <v/>
      </c>
    </row>
    <row r="634">
      <c r="A634" s="38" t="n">
        <v>43586</v>
      </c>
      <c r="B634" s="39">
        <f>VLOOKUP(Table8[[#This Row],[Month]],database!A:J,MATCH('Capacity Utilization'!$A$1,database!$A$1:$J$1,),)</f>
        <v/>
      </c>
      <c r="C634" s="68">
        <f>(VLOOKUP(A634,database!A:K,11,) - VLOOKUP(A622,database!A:K,11,))/VLOOKUP(A622,database!A:K,11,)</f>
        <v/>
      </c>
    </row>
    <row r="635">
      <c r="A635" s="38" t="n">
        <v>43617</v>
      </c>
      <c r="B635" s="39">
        <f>VLOOKUP(Table8[[#This Row],[Month]],database!A:J,MATCH('Capacity Utilization'!$A$1,database!$A$1:$J$1,),)</f>
        <v/>
      </c>
      <c r="C635" s="68">
        <f>(VLOOKUP(A635,database!A:K,11,) - VLOOKUP(A623,database!A:K,11,))/VLOOKUP(A623,database!A:K,11,)</f>
        <v/>
      </c>
    </row>
    <row r="636">
      <c r="A636" s="38" t="n">
        <v>43647</v>
      </c>
      <c r="B636" s="39">
        <f>VLOOKUP(Table8[[#This Row],[Month]],database!A:J,MATCH('Capacity Utilization'!$A$1,database!$A$1:$J$1,),)</f>
        <v/>
      </c>
      <c r="C636" s="68">
        <f>(VLOOKUP(A636,database!A:K,11,) - VLOOKUP(A624,database!A:K,11,))/VLOOKUP(A624,database!A:K,11,)</f>
        <v/>
      </c>
    </row>
    <row r="637">
      <c r="A637" s="38" t="n">
        <v>43678</v>
      </c>
      <c r="B637" s="39">
        <f>VLOOKUP(Table8[[#This Row],[Month]],database!A:J,MATCH('Capacity Utilization'!$A$1,database!$A$1:$J$1,),)</f>
        <v/>
      </c>
      <c r="C637" s="68">
        <f>(VLOOKUP(A637,database!A:K,11,) - VLOOKUP(A625,database!A:K,11,))/VLOOKUP(A625,database!A:K,11,)</f>
        <v/>
      </c>
    </row>
    <row r="638">
      <c r="A638" s="38" t="n">
        <v>43709</v>
      </c>
      <c r="B638" s="39">
        <f>VLOOKUP(Table8[[#This Row],[Month]],database!A:J,MATCH('Capacity Utilization'!$A$1,database!$A$1:$J$1,),)</f>
        <v/>
      </c>
      <c r="C638" s="68">
        <f>(VLOOKUP(A638,database!A:K,11,) - VLOOKUP(A626,database!A:K,11,))/VLOOKUP(A626,database!A:K,11,)</f>
        <v/>
      </c>
    </row>
    <row r="639">
      <c r="A639" s="38" t="n">
        <v>43739</v>
      </c>
      <c r="B639" s="39">
        <f>VLOOKUP(Table8[[#This Row],[Month]],database!A:J,MATCH('Capacity Utilization'!$A$1,database!$A$1:$J$1,),)</f>
        <v/>
      </c>
      <c r="C639" s="68">
        <f>(VLOOKUP(A639,database!A:K,11,) - VLOOKUP(A627,database!A:K,11,))/VLOOKUP(A627,database!A:K,11,)</f>
        <v/>
      </c>
    </row>
    <row r="640">
      <c r="A640" s="38" t="n">
        <v>43770</v>
      </c>
      <c r="B640" s="39">
        <f>VLOOKUP(Table8[[#This Row],[Month]],database!A:J,MATCH('Capacity Utilization'!$A$1,database!$A$1:$J$1,),)</f>
        <v/>
      </c>
      <c r="C640" s="68">
        <f>(VLOOKUP(A640,database!A:K,11,) - VLOOKUP(A628,database!A:K,11,))/VLOOKUP(A628,database!A:K,11,)</f>
        <v/>
      </c>
    </row>
    <row r="641">
      <c r="A641" s="38" t="n">
        <v>43800</v>
      </c>
      <c r="B641" s="39">
        <f>VLOOKUP(Table8[[#This Row],[Month]],database!A:J,MATCH('Capacity Utilization'!$A$1,database!$A$1:$J$1,),)</f>
        <v/>
      </c>
      <c r="C641" s="68">
        <f>(VLOOKUP(A641,database!A:K,11,) - VLOOKUP(A629,database!A:K,11,))/VLOOKUP(A629,database!A:K,11,)</f>
        <v/>
      </c>
    </row>
    <row r="642">
      <c r="A642" s="38" t="n">
        <v>43831</v>
      </c>
      <c r="B642" s="39">
        <f>VLOOKUP(Table8[[#This Row],[Month]],database!A:J,MATCH('Capacity Utilization'!$A$1,database!$A$1:$J$1,),)</f>
        <v/>
      </c>
      <c r="C642" s="68">
        <f>(VLOOKUP(A642,database!A:K,11,) - VLOOKUP(A630,database!A:K,11,))/VLOOKUP(A630,database!A:K,11,)</f>
        <v/>
      </c>
    </row>
    <row r="643">
      <c r="A643" s="38" t="n">
        <v>43862</v>
      </c>
      <c r="B643" s="39">
        <f>VLOOKUP(Table8[[#This Row],[Month]],database!A:J,MATCH('Capacity Utilization'!$A$1,database!$A$1:$J$1,),)</f>
        <v/>
      </c>
      <c r="C643" s="68">
        <f>(VLOOKUP(A643,database!A:K,11,) - VLOOKUP(A631,database!A:K,11,))/VLOOKUP(A631,database!A:K,11,)</f>
        <v/>
      </c>
    </row>
    <row r="644">
      <c r="A644" s="38" t="n">
        <v>43891</v>
      </c>
      <c r="B644" s="39">
        <f>VLOOKUP(Table8[[#This Row],[Month]],database!A:J,MATCH('Capacity Utilization'!$A$1,database!$A$1:$J$1,),)</f>
        <v/>
      </c>
      <c r="C644" s="68">
        <f>(VLOOKUP(A644,database!A:K,11,) - VLOOKUP(A632,database!A:K,11,))/VLOOKUP(A632,database!A:K,11,)</f>
        <v/>
      </c>
    </row>
    <row r="645">
      <c r="A645" s="38" t="n">
        <v>43922</v>
      </c>
      <c r="B645" s="39">
        <f>VLOOKUP(Table8[[#This Row],[Month]],database!A:J,MATCH('Capacity Utilization'!$A$1,database!$A$1:$J$1,),)</f>
        <v/>
      </c>
      <c r="C645" s="68">
        <f>(VLOOKUP(A645,database!A:K,11,) - VLOOKUP(A633,database!A:K,11,))/VLOOKUP(A633,database!A:K,11,)</f>
        <v/>
      </c>
    </row>
    <row r="646">
      <c r="A646" s="38" t="n">
        <v>43952</v>
      </c>
      <c r="B646" s="39">
        <f>VLOOKUP(Table8[[#This Row],[Month]],database!A:J,MATCH('Capacity Utilization'!$A$1,database!$A$1:$J$1,),)</f>
        <v/>
      </c>
      <c r="C646" s="68">
        <f>(VLOOKUP(A646,database!A:K,11,) - VLOOKUP(A634,database!A:K,11,))/VLOOKUP(A634,database!A:K,11,)</f>
        <v/>
      </c>
    </row>
    <row r="647">
      <c r="A647" s="38" t="n">
        <v>43983</v>
      </c>
      <c r="B647" s="39">
        <f>VLOOKUP(Table8[[#This Row],[Month]],database!A:J,MATCH('Capacity Utilization'!$A$1,database!$A$1:$J$1,),)</f>
        <v/>
      </c>
      <c r="C647" s="68">
        <f>(VLOOKUP(A647,database!A:K,11,) - VLOOKUP(A635,database!A:K,11,))/VLOOKUP(A635,database!A:K,11,)</f>
        <v/>
      </c>
    </row>
    <row r="648">
      <c r="A648" s="38" t="n">
        <v>44013</v>
      </c>
      <c r="B648" s="39">
        <f>VLOOKUP(Table8[[#This Row],[Month]],database!A:J,MATCH('Capacity Utilization'!$A$1,database!$A$1:$J$1,),)</f>
        <v/>
      </c>
      <c r="C648" s="68">
        <f>(VLOOKUP(A648,database!A:K,11,) - VLOOKUP(A636,database!A:K,11,))/VLOOKUP(A636,database!A:K,11,)</f>
        <v/>
      </c>
    </row>
    <row r="649">
      <c r="A649" s="38" t="n">
        <v>44044</v>
      </c>
      <c r="B649" s="39">
        <f>VLOOKUP(Table8[[#This Row],[Month]],database!A:J,MATCH('Capacity Utilization'!$A$1,database!$A$1:$J$1,),)</f>
        <v/>
      </c>
      <c r="C649" s="68">
        <f>(VLOOKUP(A649,database!A:K,11,) - VLOOKUP(A637,database!A:K,11,))/VLOOKUP(A637,database!A:K,11,)</f>
        <v/>
      </c>
    </row>
    <row r="650">
      <c r="A650" s="38" t="n">
        <v>44075</v>
      </c>
      <c r="B650" s="39">
        <f>VLOOKUP(Table8[[#This Row],[Month]],database!A:J,MATCH('Capacity Utilization'!$A$1,database!$A$1:$J$1,),)</f>
        <v/>
      </c>
      <c r="C650" s="68">
        <f>(VLOOKUP(A650,database!A:K,11,) - VLOOKUP(A638,database!A:K,11,))/VLOOKUP(A638,database!A:K,11,)</f>
        <v/>
      </c>
    </row>
    <row r="651">
      <c r="A651" s="38" t="n">
        <v>44105</v>
      </c>
      <c r="B651" s="39">
        <f>VLOOKUP(Table8[[#This Row],[Month]],database!A:J,MATCH('Capacity Utilization'!$A$1,database!$A$1:$J$1,),)</f>
        <v/>
      </c>
      <c r="C651" s="68">
        <f>(VLOOKUP(A651,database!A:K,11,) - VLOOKUP(A639,database!A:K,11,))/VLOOKUP(A639,database!A:K,11,)</f>
        <v/>
      </c>
    </row>
    <row r="652">
      <c r="A652" s="38" t="n">
        <v>44136</v>
      </c>
      <c r="B652" s="39">
        <f>VLOOKUP(Table8[[#This Row],[Month]],database!A:J,MATCH('Capacity Utilization'!$A$1,database!$A$1:$J$1,),)</f>
        <v/>
      </c>
      <c r="C652" s="68">
        <f>(VLOOKUP(A652,database!A:K,11,) - VLOOKUP(A640,database!A:K,11,))/VLOOKUP(A640,database!A:K,11,)</f>
        <v/>
      </c>
    </row>
    <row r="653">
      <c r="A653" s="38" t="n">
        <v>44166</v>
      </c>
      <c r="B653" s="39">
        <f>VLOOKUP(Table8[[#This Row],[Month]],database!A:J,MATCH('Capacity Utilization'!$A$1,database!$A$1:$J$1,),)</f>
        <v/>
      </c>
      <c r="C653" s="68">
        <f>(VLOOKUP(A653,database!A:K,11,) - VLOOKUP(A641,database!A:K,11,))/VLOOKUP(A641,database!A:K,11,)</f>
        <v/>
      </c>
    </row>
    <row r="654">
      <c r="A654" s="38" t="n">
        <v>44197</v>
      </c>
      <c r="B654" s="39">
        <f>VLOOKUP(Table8[[#This Row],[Month]],database!A:J,MATCH('Capacity Utilization'!$A$1,database!$A$1:$J$1,),)</f>
        <v/>
      </c>
      <c r="C654" s="68">
        <f>(VLOOKUP(A654,database!A:K,11,) - VLOOKUP(A642,database!A:K,11,))/VLOOKUP(A642,database!A:K,11,)</f>
        <v/>
      </c>
    </row>
    <row r="655">
      <c r="A655" s="38" t="n">
        <v>44228</v>
      </c>
      <c r="B655" s="39">
        <f>VLOOKUP(Table8[[#This Row],[Month]],database!A:J,MATCH('Capacity Utilization'!$A$1,database!$A$1:$J$1,),)</f>
        <v/>
      </c>
      <c r="C655" s="68">
        <f>(VLOOKUP(A655,database!A:K,11,) - VLOOKUP(A643,database!A:K,11,))/VLOOKUP(A643,database!A:K,11,)</f>
        <v/>
      </c>
    </row>
    <row r="656">
      <c r="A656" s="38" t="n">
        <v>44256</v>
      </c>
      <c r="B656" s="39">
        <f>VLOOKUP(Table8[[#This Row],[Month]],database!A:J,MATCH('Capacity Utilization'!$A$1,database!$A$1:$J$1,),)</f>
        <v/>
      </c>
      <c r="C656" s="68">
        <f>(VLOOKUP(A656,database!A:K,11,) - VLOOKUP(A644,database!A:K,11,))/VLOOKUP(A644,database!A:K,11,)</f>
        <v/>
      </c>
    </row>
    <row r="657">
      <c r="A657" s="38" t="n">
        <v>44287</v>
      </c>
      <c r="B657" s="39">
        <f>VLOOKUP(Table8[[#This Row],[Month]],database!A:J,MATCH('Capacity Utilization'!$A$1,database!$A$1:$J$1,),)</f>
        <v/>
      </c>
      <c r="C657" s="68">
        <f>(VLOOKUP(A657,database!A:K,11,) - VLOOKUP(A645,database!A:K,11,))/VLOOKUP(A645,database!A:K,11,)</f>
        <v/>
      </c>
    </row>
    <row r="658">
      <c r="A658" s="38" t="n">
        <v>44317</v>
      </c>
      <c r="B658" s="39">
        <f>VLOOKUP(Table8[[#This Row],[Month]],database!A:J,MATCH('Capacity Utilization'!$A$1,database!$A$1:$J$1,),)</f>
        <v/>
      </c>
      <c r="C658" s="68">
        <f>(VLOOKUP(A658,database!A:K,11,) - VLOOKUP(A646,database!A:K,11,))/VLOOKUP(A646,database!A:K,11,)</f>
        <v/>
      </c>
    </row>
    <row r="659">
      <c r="A659" s="38" t="n">
        <v>44348</v>
      </c>
      <c r="B659" s="39">
        <f>VLOOKUP(Table8[[#This Row],[Month]],database!A:J,MATCH('Capacity Utilization'!$A$1,database!$A$1:$J$1,),)</f>
        <v/>
      </c>
      <c r="C659" s="68">
        <f>(VLOOKUP(A659,database!A:K,11,) - VLOOKUP(A647,database!A:K,11,))/VLOOKUP(A647,database!A:K,11,)</f>
        <v/>
      </c>
    </row>
    <row r="660">
      <c r="A660" s="38" t="n">
        <v>44378</v>
      </c>
      <c r="B660" s="39">
        <f>VLOOKUP(Table8[[#This Row],[Month]],database!A:J,MATCH('Capacity Utilization'!$A$1,database!$A$1:$J$1,),)</f>
        <v/>
      </c>
      <c r="C660" s="68">
        <f>(VLOOKUP(A660,database!A:K,11,) - VLOOKUP(A648,database!A:K,11,))/VLOOKUP(A648,database!A:K,11,)</f>
        <v/>
      </c>
    </row>
    <row r="661">
      <c r="A661" s="38" t="n">
        <v>44409</v>
      </c>
      <c r="B661" s="39">
        <f>VLOOKUP(Table8[[#This Row],[Month]],database!A:J,MATCH('Capacity Utilization'!$A$1,database!$A$1:$J$1,),)</f>
        <v/>
      </c>
      <c r="C661" s="68">
        <f>(VLOOKUP(A661,database!A:K,11,) - VLOOKUP(A649,database!A:K,11,))/VLOOKUP(A649,database!A:K,11,)</f>
        <v/>
      </c>
    </row>
    <row r="662">
      <c r="A662" s="38" t="n">
        <v>44440</v>
      </c>
      <c r="B662" s="39">
        <f>VLOOKUP(Table8[[#This Row],[Month]],database!A:J,MATCH('Capacity Utilization'!$A$1,database!$A$1:$J$1,),)</f>
        <v/>
      </c>
      <c r="C662" s="68">
        <f>(VLOOKUP(A662,database!A:K,11,) - VLOOKUP(A650,database!A:K,11,))/VLOOKUP(A650,database!A:K,11,)</f>
        <v/>
      </c>
    </row>
    <row r="663">
      <c r="A663" s="38" t="n">
        <v>44470</v>
      </c>
      <c r="B663" s="39">
        <f>VLOOKUP(Table8[[#This Row],[Month]],database!A:J,MATCH('Capacity Utilization'!$A$1,database!$A$1:$J$1,),)</f>
        <v/>
      </c>
      <c r="C663" s="68">
        <f>(VLOOKUP(A663,database!A:K,11,) - VLOOKUP(A651,database!A:K,11,))/VLOOKUP(A651,database!A:K,11,)</f>
        <v/>
      </c>
    </row>
    <row r="664">
      <c r="A664" s="38" t="n">
        <v>44501</v>
      </c>
      <c r="B664" s="39">
        <f>VLOOKUP(Table8[[#This Row],[Month]],database!A:J,MATCH('Capacity Utilization'!$A$1,database!$A$1:$J$1,),)</f>
        <v/>
      </c>
      <c r="C664" s="68">
        <f>(VLOOKUP(A664,database!A:K,11,) - VLOOKUP(A652,database!A:K,11,))/VLOOKUP(A652,database!A:K,11,)</f>
        <v/>
      </c>
    </row>
    <row r="665">
      <c r="A665" s="38" t="n">
        <v>44531</v>
      </c>
      <c r="B665" s="39">
        <f>VLOOKUP(Table8[[#This Row],[Month]],database!A:J,MATCH('Capacity Utilization'!$A$1,database!$A$1:$J$1,),)</f>
        <v/>
      </c>
      <c r="C665" s="68">
        <f>(VLOOKUP(A665,database!A:K,11,) - VLOOKUP(A653,database!A:K,11,))/VLOOKUP(A653,database!A:K,11,)</f>
        <v/>
      </c>
    </row>
    <row r="666">
      <c r="A666" s="38" t="n">
        <v>44562</v>
      </c>
      <c r="B666" s="39">
        <f>VLOOKUP(Table8[[#This Row],[Month]],database!A:J,MATCH('Capacity Utilization'!$A$1,database!$A$1:$J$1,),)</f>
        <v/>
      </c>
      <c r="C666" s="68">
        <f>(VLOOKUP(A666,database!A:K,11,) - VLOOKUP(A654,database!A:K,11,))/VLOOKUP(A654,database!A:K,11,)</f>
        <v/>
      </c>
    </row>
    <row r="667">
      <c r="A667" s="38" t="n">
        <v>44593</v>
      </c>
      <c r="B667" s="39">
        <f>VLOOKUP(Table8[[#This Row],[Month]],database!A:J,MATCH('Capacity Utilization'!$A$1,database!$A$1:$J$1,),)</f>
        <v/>
      </c>
      <c r="C667" s="68">
        <f>(VLOOKUP(A667,database!A:K,11,) - VLOOKUP(A655,database!A:K,11,))/VLOOKUP(A655,database!A:K,11,)</f>
        <v/>
      </c>
    </row>
    <row r="668">
      <c r="A668" s="38" t="n">
        <v>44621</v>
      </c>
      <c r="B668" s="39">
        <f>VLOOKUP(Table8[[#This Row],[Month]],database!A:J,MATCH('Capacity Utilization'!$A$1,database!$A$1:$J$1,),)</f>
        <v/>
      </c>
      <c r="C668" s="68">
        <f>(VLOOKUP(A668,database!A:K,11,) - VLOOKUP(A656,database!A:K,11,))/VLOOKUP(A656,database!A:K,11,)</f>
        <v/>
      </c>
    </row>
    <row r="669">
      <c r="A669" s="38" t="n">
        <v>44652</v>
      </c>
      <c r="B669" s="39">
        <f>VLOOKUP(Table8[[#This Row],[Month]],database!A:J,MATCH('Capacity Utilization'!$A$1,database!$A$1:$J$1,),)</f>
        <v/>
      </c>
      <c r="C669" s="68">
        <f>(VLOOKUP(A669,database!A:K,11,) - VLOOKUP(A657,database!A:K,11,))/VLOOKUP(A657,database!A:K,11,)</f>
        <v/>
      </c>
    </row>
    <row r="670">
      <c r="A670" s="38" t="n">
        <v>44682</v>
      </c>
      <c r="B670" s="39">
        <f>VLOOKUP(Table8[[#This Row],[Month]],database!A:J,MATCH('Capacity Utilization'!$A$1,database!$A$1:$J$1,),)</f>
        <v/>
      </c>
      <c r="C670" s="68">
        <f>(VLOOKUP(A670,database!A:K,11,) - VLOOKUP(A658,database!A:K,11,))/VLOOKUP(A658,database!A:K,11,)</f>
        <v/>
      </c>
    </row>
    <row r="671">
      <c r="A671" s="38" t="n">
        <v>44713</v>
      </c>
      <c r="B671" s="39">
        <f>VLOOKUP(Table8[[#This Row],[Month]],database!A:J,MATCH('Capacity Utilization'!$A$1,database!$A$1:$J$1,),)</f>
        <v/>
      </c>
      <c r="C671" s="68">
        <f>(VLOOKUP(A671,database!A:K,11,) - VLOOKUP(A659,database!A:K,11,))/VLOOKUP(A659,database!A:K,11,)</f>
        <v/>
      </c>
    </row>
    <row r="672">
      <c r="A672" s="38" t="n">
        <v>44743</v>
      </c>
      <c r="B672" s="39">
        <f>VLOOKUP(Table8[[#This Row],[Month]],database!A:J,MATCH('Capacity Utilization'!$A$1,database!$A$1:$J$1,),)</f>
        <v/>
      </c>
      <c r="C672" s="68">
        <f>(VLOOKUP(A672,database!A:K,11,) - VLOOKUP(A660,database!A:K,11,))/VLOOKUP(A660,database!A:K,11,)</f>
        <v/>
      </c>
    </row>
    <row r="673">
      <c r="A673" s="38" t="n">
        <v>44774</v>
      </c>
      <c r="B673" s="39">
        <f>VLOOKUP(Table8[[#This Row],[Month]],database!A:J,MATCH('Capacity Utilization'!$A$1,database!$A$1:$J$1,),)</f>
        <v/>
      </c>
      <c r="C673" s="68">
        <f>(VLOOKUP(A673,database!A:K,11,) - VLOOKUP(A661,database!A:K,11,))/VLOOKUP(A661,database!A:K,11,)</f>
        <v/>
      </c>
    </row>
    <row r="674">
      <c r="A674" s="38" t="n">
        <v>44805</v>
      </c>
      <c r="B674" s="39">
        <f>VLOOKUP(Table8[[#This Row],[Month]],database!A:J,MATCH('Capacity Utilization'!$A$1,database!$A$1:$J$1,),)</f>
        <v/>
      </c>
      <c r="C674" s="68">
        <f>(VLOOKUP(A674,database!A:K,11,) - VLOOKUP(A662,database!A:K,11,))/VLOOKUP(A662,database!A:K,11,)</f>
        <v/>
      </c>
    </row>
    <row r="675">
      <c r="A675" s="38" t="n">
        <v>44835</v>
      </c>
      <c r="B675" s="39">
        <f>VLOOKUP(Table8[[#This Row],[Month]],database!A:J,MATCH('Capacity Utilization'!$A$1,database!$A$1:$J$1,),)</f>
        <v/>
      </c>
      <c r="C675" s="68">
        <f>(VLOOKUP(A675,database!A:K,11,) - VLOOKUP(A663,database!A:K,11,))/VLOOKUP(A663,database!A:K,11,)</f>
        <v/>
      </c>
    </row>
    <row r="676">
      <c r="A676" s="38" t="n">
        <v>44866</v>
      </c>
      <c r="B676" s="39">
        <f>VLOOKUP(Table8[[#This Row],[Month]],database!A:J,MATCH('Capacity Utilization'!$A$1,database!$A$1:$J$1,),)</f>
        <v/>
      </c>
      <c r="C676" s="68">
        <f>(VLOOKUP(A676,database!A:K,11,) - VLOOKUP(A664,database!A:K,11,))/VLOOKUP(A664,database!A:K,11,)</f>
        <v/>
      </c>
    </row>
    <row r="677">
      <c r="A677" s="38" t="n">
        <v>44896</v>
      </c>
      <c r="B677" s="39">
        <f>VLOOKUP(Table8[[#This Row],[Month]],database!A:J,MATCH('Capacity Utilization'!$A$1,database!$A$1:$J$1,),)</f>
        <v/>
      </c>
      <c r="C677" s="68">
        <f>(VLOOKUP(A677,database!A:K,11,) - VLOOKUP(A665,database!A:K,11,))/VLOOKUP(A665,database!A:K,11,)</f>
        <v/>
      </c>
    </row>
    <row r="678">
      <c r="A678" s="38" t="n">
        <v>44927</v>
      </c>
      <c r="B678" s="39">
        <f>VLOOKUP(Table8[[#This Row],[Month]],database!A:J,MATCH('Capacity Utilization'!$A$1,database!$A$1:$J$1,),)</f>
        <v/>
      </c>
      <c r="C678" s="68">
        <f>(VLOOKUP(A678,database!A:K,11,) - VLOOKUP(A666,database!A:K,11,))/VLOOKUP(A666,database!A:K,11,)</f>
        <v/>
      </c>
    </row>
    <row r="679">
      <c r="A679" s="38" t="n">
        <v>44958</v>
      </c>
      <c r="B679" s="39">
        <f>VLOOKUP(Table8[[#This Row],[Month]],database!A:J,MATCH('Capacity Utilization'!$A$1,database!$A$1:$J$1,),)</f>
        <v/>
      </c>
      <c r="C679" s="68">
        <f>(VLOOKUP(A679,database!A:K,11,) - VLOOKUP(A667,database!A:K,11,))/VLOOKUP(A667,database!A:K,11,)</f>
        <v/>
      </c>
    </row>
    <row r="680">
      <c r="A680" s="38" t="n">
        <v>44986</v>
      </c>
      <c r="B680" s="39">
        <f>VLOOKUP(Table8[[#This Row],[Month]],database!A:J,MATCH('Capacity Utilization'!$A$1,database!$A$1:$J$1,),)</f>
        <v/>
      </c>
      <c r="C680" s="68">
        <f>(VLOOKUP(A680,database!A:K,11,) - VLOOKUP(A668,database!A:K,11,))/VLOOKUP(A668,database!A:K,11,)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21"/>
  <sheetViews>
    <sheetView zoomScale="70" zoomScaleNormal="70" workbookViewId="0">
      <pane ySplit="6" topLeftCell="A575" activePane="bottomLeft" state="frozen"/>
      <selection activeCell="A572" sqref="A572:D575"/>
      <selection pane="bottomLeft" activeCell="AE607" sqref="AE607"/>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IPMAT</t>
        </is>
      </c>
      <c r="B1" s="88" t="n"/>
      <c r="C1" s="88" t="n"/>
      <c r="S1" s="54" t="inlineStr">
        <is>
          <t>Industrial Production: Materials</t>
        </is>
      </c>
      <c r="T1" s="62" t="inlineStr">
        <is>
          <t xml:space="preserve"> since 2010</t>
        </is>
      </c>
      <c r="U1" s="88">
        <f>S1&amp;T1</f>
        <v/>
      </c>
      <c r="Y1" s="60">
        <f>U2&amp; T1</f>
        <v/>
      </c>
    </row>
    <row r="2">
      <c r="A2" s="16" t="n"/>
      <c r="B2" s="88" t="n"/>
      <c r="C2" s="88" t="n"/>
      <c r="S2" s="55" t="n"/>
      <c r="T2" s="62" t="n"/>
      <c r="U2" s="88">
        <f>S1&amp;Table17[[#Headers],[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VLOOKUP(Table17[[#This Row],[Date]],database!A:H,7,)</f>
        <v/>
      </c>
      <c r="C7" s="65" t="n"/>
      <c r="D7" s="65" t="n"/>
    </row>
    <row r="8">
      <c r="A8" s="17" t="n">
        <v>26330</v>
      </c>
      <c r="B8" s="58">
        <f>VLOOKUP(Table17[[#This Row],[Date]],database!A:H,7,)</f>
        <v/>
      </c>
      <c r="C8" s="66">
        <f>B8/B7-1</f>
        <v/>
      </c>
      <c r="D8" s="66" t="n"/>
    </row>
    <row r="9">
      <c r="A9" s="17" t="n">
        <v>26359</v>
      </c>
      <c r="B9" s="58">
        <f>VLOOKUP(Table17[[#This Row],[Date]],database!A:H,7,)</f>
        <v/>
      </c>
      <c r="C9" s="66">
        <f>B9/B8-1</f>
        <v/>
      </c>
      <c r="D9" s="66" t="n"/>
    </row>
    <row r="10">
      <c r="A10" s="17" t="n">
        <v>26390</v>
      </c>
      <c r="B10" s="58">
        <f>VLOOKUP(Table17[[#This Row],[Date]],database!A:H,7,)</f>
        <v/>
      </c>
      <c r="C10" s="66">
        <f>B10/B9-1</f>
        <v/>
      </c>
      <c r="D10" s="66" t="n"/>
    </row>
    <row r="11">
      <c r="A11" s="17" t="n">
        <v>26420</v>
      </c>
      <c r="B11" s="58">
        <f>VLOOKUP(Table17[[#This Row],[Date]],database!A:H,7,)</f>
        <v/>
      </c>
      <c r="C11" s="66">
        <f>B11/B10-1</f>
        <v/>
      </c>
      <c r="D11" s="66" t="n"/>
    </row>
    <row r="12">
      <c r="A12" s="17" t="n">
        <v>26451</v>
      </c>
      <c r="B12" s="58">
        <f>VLOOKUP(Table17[[#This Row],[Date]],database!A:H,7,)</f>
        <v/>
      </c>
      <c r="C12" s="66">
        <f>B12/B11-1</f>
        <v/>
      </c>
      <c r="D12" s="66" t="n"/>
    </row>
    <row r="13">
      <c r="A13" s="17" t="n">
        <v>26481</v>
      </c>
      <c r="B13" s="58">
        <f>VLOOKUP(Table17[[#This Row],[Date]],database!A:H,7,)</f>
        <v/>
      </c>
      <c r="C13" s="66">
        <f>B13/B12-1</f>
        <v/>
      </c>
      <c r="D13" s="66" t="n"/>
    </row>
    <row r="14">
      <c r="A14" s="17" t="n">
        <v>26512</v>
      </c>
      <c r="B14" s="58">
        <f>VLOOKUP(Table17[[#This Row],[Date]],database!A:H,7,)</f>
        <v/>
      </c>
      <c r="C14" s="66">
        <f>B14/B13-1</f>
        <v/>
      </c>
      <c r="D14" s="66" t="n"/>
    </row>
    <row r="15">
      <c r="A15" s="17" t="n">
        <v>26543</v>
      </c>
      <c r="B15" s="58">
        <f>VLOOKUP(Table17[[#This Row],[Date]],database!A:H,7,)</f>
        <v/>
      </c>
      <c r="C15" s="66">
        <f>B15/B14-1</f>
        <v/>
      </c>
      <c r="D15" s="66" t="n"/>
    </row>
    <row r="16">
      <c r="A16" s="17" t="n">
        <v>26573</v>
      </c>
      <c r="B16" s="58">
        <f>VLOOKUP(Table17[[#This Row],[Date]],database!A:H,7,)</f>
        <v/>
      </c>
      <c r="C16" s="66">
        <f>B16/B15-1</f>
        <v/>
      </c>
      <c r="D16" s="66" t="n"/>
    </row>
    <row r="17">
      <c r="A17" s="17" t="n">
        <v>26604</v>
      </c>
      <c r="B17" s="58">
        <f>VLOOKUP(Table17[[#This Row],[Date]],database!A:H,7,)</f>
        <v/>
      </c>
      <c r="C17" s="66">
        <f>B17/B16-1</f>
        <v/>
      </c>
      <c r="D17" s="66" t="n"/>
    </row>
    <row r="18">
      <c r="A18" s="17" t="n">
        <v>26634</v>
      </c>
      <c r="B18" s="58">
        <f>VLOOKUP(Table17[[#This Row],[Date]],database!A:H,7,)</f>
        <v/>
      </c>
      <c r="C18" s="66">
        <f>B18/B17-1</f>
        <v/>
      </c>
      <c r="D18" s="66" t="n"/>
    </row>
    <row r="19">
      <c r="A19" s="17" t="n">
        <v>26665</v>
      </c>
      <c r="B19" s="58">
        <f>VLOOKUP(Table17[[#This Row],[Date]],database!A:H,7,)</f>
        <v/>
      </c>
      <c r="C19" s="66">
        <f>B19/B18-1</f>
        <v/>
      </c>
      <c r="D19" s="66" t="n"/>
    </row>
    <row r="20">
      <c r="A20" s="17" t="n">
        <v>26696</v>
      </c>
      <c r="B20" s="58">
        <f>VLOOKUP(Table17[[#This Row],[Date]],database!A:H,7,)</f>
        <v/>
      </c>
      <c r="C20" s="66">
        <f>B20/B19-1</f>
        <v/>
      </c>
      <c r="D20" s="66">
        <f>(Table17[[#This Row],[Index]]-B8)/B8</f>
        <v/>
      </c>
    </row>
    <row r="21">
      <c r="A21" s="17" t="n">
        <v>26724</v>
      </c>
      <c r="B21" s="58">
        <f>VLOOKUP(Table17[[#This Row],[Date]],database!A:H,7,)</f>
        <v/>
      </c>
      <c r="C21" s="66">
        <f>B21/B20-1</f>
        <v/>
      </c>
      <c r="D21" s="66">
        <f>(Table17[[#This Row],[Index]]-B9)/B9</f>
        <v/>
      </c>
    </row>
    <row r="22">
      <c r="A22" s="17" t="n">
        <v>26755</v>
      </c>
      <c r="B22" s="58">
        <f>VLOOKUP(Table17[[#This Row],[Date]],database!A:H,7,)</f>
        <v/>
      </c>
      <c r="C22" s="66">
        <f>B22/B21-1</f>
        <v/>
      </c>
      <c r="D22" s="66">
        <f>(Table17[[#This Row],[Index]]-B10)/B10</f>
        <v/>
      </c>
    </row>
    <row r="23">
      <c r="A23" s="17" t="n">
        <v>26785</v>
      </c>
      <c r="B23" s="58">
        <f>VLOOKUP(Table17[[#This Row],[Date]],database!A:H,7,)</f>
        <v/>
      </c>
      <c r="C23" s="66">
        <f>B23/B22-1</f>
        <v/>
      </c>
      <c r="D23" s="66">
        <f>(Table17[[#This Row],[Index]]-B11)/B11</f>
        <v/>
      </c>
    </row>
    <row r="24">
      <c r="A24" s="17" t="n">
        <v>26816</v>
      </c>
      <c r="B24" s="58">
        <f>VLOOKUP(Table17[[#This Row],[Date]],database!A:H,7,)</f>
        <v/>
      </c>
      <c r="C24" s="66">
        <f>B24/B23-1</f>
        <v/>
      </c>
      <c r="D24" s="66">
        <f>(Table17[[#This Row],[Index]]-B12)/B12</f>
        <v/>
      </c>
    </row>
    <row r="25">
      <c r="A25" s="17" t="n">
        <v>26846</v>
      </c>
      <c r="B25" s="58">
        <f>VLOOKUP(Table17[[#This Row],[Date]],database!A:H,7,)</f>
        <v/>
      </c>
      <c r="C25" s="66">
        <f>B25/B24-1</f>
        <v/>
      </c>
      <c r="D25" s="66">
        <f>(Table17[[#This Row],[Index]]-B13)/B13</f>
        <v/>
      </c>
    </row>
    <row r="26">
      <c r="A26" s="17" t="n">
        <v>26877</v>
      </c>
      <c r="B26" s="58">
        <f>VLOOKUP(Table17[[#This Row],[Date]],database!A:H,7,)</f>
        <v/>
      </c>
      <c r="C26" s="66">
        <f>B26/B25-1</f>
        <v/>
      </c>
      <c r="D26" s="66">
        <f>(Table17[[#This Row],[Index]]-B14)/B14</f>
        <v/>
      </c>
    </row>
    <row r="27">
      <c r="A27" s="17" t="n">
        <v>26908</v>
      </c>
      <c r="B27" s="58">
        <f>VLOOKUP(Table17[[#This Row],[Date]],database!A:H,7,)</f>
        <v/>
      </c>
      <c r="C27" s="66">
        <f>B27/B26-1</f>
        <v/>
      </c>
      <c r="D27" s="66">
        <f>(Table17[[#This Row],[Index]]-B15)/B15</f>
        <v/>
      </c>
    </row>
    <row r="28">
      <c r="A28" s="17" t="n">
        <v>26938</v>
      </c>
      <c r="B28" s="58">
        <f>VLOOKUP(Table17[[#This Row],[Date]],database!A:H,7,)</f>
        <v/>
      </c>
      <c r="C28" s="66">
        <f>B28/B27-1</f>
        <v/>
      </c>
      <c r="D28" s="66">
        <f>(Table17[[#This Row],[Index]]-B16)/B16</f>
        <v/>
      </c>
    </row>
    <row r="29">
      <c r="A29" s="17" t="n">
        <v>26969</v>
      </c>
      <c r="B29" s="58">
        <f>VLOOKUP(Table17[[#This Row],[Date]],database!A:H,7,)</f>
        <v/>
      </c>
      <c r="C29" s="66">
        <f>B29/B28-1</f>
        <v/>
      </c>
      <c r="D29" s="66">
        <f>(Table17[[#This Row],[Index]]-B17)/B17</f>
        <v/>
      </c>
    </row>
    <row r="30">
      <c r="A30" s="17" t="n">
        <v>26999</v>
      </c>
      <c r="B30" s="58">
        <f>VLOOKUP(Table17[[#This Row],[Date]],database!A:H,7,)</f>
        <v/>
      </c>
      <c r="C30" s="66">
        <f>B30/B29-1</f>
        <v/>
      </c>
      <c r="D30" s="66">
        <f>(Table17[[#This Row],[Index]]-B18)/B18</f>
        <v/>
      </c>
    </row>
    <row r="31">
      <c r="A31" s="17" t="n">
        <v>27030</v>
      </c>
      <c r="B31" s="58">
        <f>VLOOKUP(Table17[[#This Row],[Date]],database!A:H,7,)</f>
        <v/>
      </c>
      <c r="C31" s="66">
        <f>B31/B30-1</f>
        <v/>
      </c>
      <c r="D31" s="66">
        <f>(Table17[[#This Row],[Index]]-B19)/B19</f>
        <v/>
      </c>
    </row>
    <row r="32">
      <c r="A32" s="17" t="n">
        <v>27061</v>
      </c>
      <c r="B32" s="58">
        <f>VLOOKUP(Table17[[#This Row],[Date]],database!A:H,7,)</f>
        <v/>
      </c>
      <c r="C32" s="66">
        <f>B32/B31-1</f>
        <v/>
      </c>
      <c r="D32" s="66">
        <f>(Table17[[#This Row],[Index]]-B20)/B20</f>
        <v/>
      </c>
    </row>
    <row r="33">
      <c r="A33" s="17" t="n">
        <v>27089</v>
      </c>
      <c r="B33" s="58">
        <f>VLOOKUP(Table17[[#This Row],[Date]],database!A:H,7,)</f>
        <v/>
      </c>
      <c r="C33" s="66">
        <f>B33/B32-1</f>
        <v/>
      </c>
      <c r="D33" s="66">
        <f>(Table17[[#This Row],[Index]]-B21)/B21</f>
        <v/>
      </c>
    </row>
    <row r="34">
      <c r="A34" s="17" t="n">
        <v>27120</v>
      </c>
      <c r="B34" s="58">
        <f>VLOOKUP(Table17[[#This Row],[Date]],database!A:H,7,)</f>
        <v/>
      </c>
      <c r="C34" s="66">
        <f>B34/B33-1</f>
        <v/>
      </c>
      <c r="D34" s="66">
        <f>(Table17[[#This Row],[Index]]-B22)/B22</f>
        <v/>
      </c>
    </row>
    <row r="35">
      <c r="A35" s="17" t="n">
        <v>27150</v>
      </c>
      <c r="B35" s="58">
        <f>VLOOKUP(Table17[[#This Row],[Date]],database!A:H,7,)</f>
        <v/>
      </c>
      <c r="C35" s="66">
        <f>B35/B34-1</f>
        <v/>
      </c>
      <c r="D35" s="66">
        <f>(Table17[[#This Row],[Index]]-B23)/B23</f>
        <v/>
      </c>
    </row>
    <row r="36">
      <c r="A36" s="17" t="n">
        <v>27181</v>
      </c>
      <c r="B36" s="58">
        <f>VLOOKUP(Table17[[#This Row],[Date]],database!A:H,7,)</f>
        <v/>
      </c>
      <c r="C36" s="66">
        <f>B36/B35-1</f>
        <v/>
      </c>
      <c r="D36" s="66">
        <f>(Table17[[#This Row],[Index]]-B24)/B24</f>
        <v/>
      </c>
    </row>
    <row r="37">
      <c r="A37" s="17" t="n">
        <v>27211</v>
      </c>
      <c r="B37" s="58">
        <f>VLOOKUP(Table17[[#This Row],[Date]],database!A:H,7,)</f>
        <v/>
      </c>
      <c r="C37" s="66">
        <f>B37/B36-1</f>
        <v/>
      </c>
      <c r="D37" s="66">
        <f>(Table17[[#This Row],[Index]]-B25)/B25</f>
        <v/>
      </c>
    </row>
    <row r="38">
      <c r="A38" s="17" t="n">
        <v>27242</v>
      </c>
      <c r="B38" s="58">
        <f>VLOOKUP(Table17[[#This Row],[Date]],database!A:H,7,)</f>
        <v/>
      </c>
      <c r="C38" s="66">
        <f>B38/B37-1</f>
        <v/>
      </c>
      <c r="D38" s="66">
        <f>(Table17[[#This Row],[Index]]-B26)/B26</f>
        <v/>
      </c>
    </row>
    <row r="39">
      <c r="A39" s="17" t="n">
        <v>27273</v>
      </c>
      <c r="B39" s="58">
        <f>VLOOKUP(Table17[[#This Row],[Date]],database!A:H,7,)</f>
        <v/>
      </c>
      <c r="C39" s="66">
        <f>B39/B38-1</f>
        <v/>
      </c>
      <c r="D39" s="66">
        <f>(Table17[[#This Row],[Index]]-B27)/B27</f>
        <v/>
      </c>
    </row>
    <row r="40">
      <c r="A40" s="17" t="n">
        <v>27303</v>
      </c>
      <c r="B40" s="58">
        <f>VLOOKUP(Table17[[#This Row],[Date]],database!A:H,7,)</f>
        <v/>
      </c>
      <c r="C40" s="66">
        <f>B40/B39-1</f>
        <v/>
      </c>
      <c r="D40" s="66">
        <f>(Table17[[#This Row],[Index]]-B28)/B28</f>
        <v/>
      </c>
    </row>
    <row r="41">
      <c r="A41" s="17" t="n">
        <v>27334</v>
      </c>
      <c r="B41" s="58">
        <f>VLOOKUP(Table17[[#This Row],[Date]],database!A:H,7,)</f>
        <v/>
      </c>
      <c r="C41" s="66">
        <f>B41/B40-1</f>
        <v/>
      </c>
      <c r="D41" s="66">
        <f>(Table17[[#This Row],[Index]]-B29)/B29</f>
        <v/>
      </c>
    </row>
    <row r="42">
      <c r="A42" s="17" t="n">
        <v>27364</v>
      </c>
      <c r="B42" s="58">
        <f>VLOOKUP(Table17[[#This Row],[Date]],database!A:H,7,)</f>
        <v/>
      </c>
      <c r="C42" s="66">
        <f>B42/B41-1</f>
        <v/>
      </c>
      <c r="D42" s="66">
        <f>(Table17[[#This Row],[Index]]-B30)/B30</f>
        <v/>
      </c>
    </row>
    <row r="43">
      <c r="A43" s="17" t="n">
        <v>27395</v>
      </c>
      <c r="B43" s="58">
        <f>VLOOKUP(Table17[[#This Row],[Date]],database!A:H,7,)</f>
        <v/>
      </c>
      <c r="C43" s="66">
        <f>B43/B42-1</f>
        <v/>
      </c>
      <c r="D43" s="66">
        <f>(Table17[[#This Row],[Index]]-B31)/B31</f>
        <v/>
      </c>
    </row>
    <row r="44">
      <c r="A44" s="17" t="n">
        <v>27426</v>
      </c>
      <c r="B44" s="58">
        <f>VLOOKUP(Table17[[#This Row],[Date]],database!A:H,7,)</f>
        <v/>
      </c>
      <c r="C44" s="66">
        <f>B44/B43-1</f>
        <v/>
      </c>
      <c r="D44" s="66">
        <f>(Table17[[#This Row],[Index]]-B32)/B32</f>
        <v/>
      </c>
    </row>
    <row r="45">
      <c r="A45" s="17" t="n">
        <v>27454</v>
      </c>
      <c r="B45" s="58">
        <f>VLOOKUP(Table17[[#This Row],[Date]],database!A:H,7,)</f>
        <v/>
      </c>
      <c r="C45" s="66">
        <f>B45/B44-1</f>
        <v/>
      </c>
      <c r="D45" s="66">
        <f>(Table17[[#This Row],[Index]]-B33)/B33</f>
        <v/>
      </c>
    </row>
    <row r="46">
      <c r="A46" s="17" t="n">
        <v>27485</v>
      </c>
      <c r="B46" s="58">
        <f>VLOOKUP(Table17[[#This Row],[Date]],database!A:H,7,)</f>
        <v/>
      </c>
      <c r="C46" s="66">
        <f>B46/B45-1</f>
        <v/>
      </c>
      <c r="D46" s="66">
        <f>(Table17[[#This Row],[Index]]-B34)/B34</f>
        <v/>
      </c>
    </row>
    <row r="47">
      <c r="A47" s="17" t="n">
        <v>27515</v>
      </c>
      <c r="B47" s="58">
        <f>VLOOKUP(Table17[[#This Row],[Date]],database!A:H,7,)</f>
        <v/>
      </c>
      <c r="C47" s="66">
        <f>B47/B46-1</f>
        <v/>
      </c>
      <c r="D47" s="66">
        <f>(Table17[[#This Row],[Index]]-B35)/B35</f>
        <v/>
      </c>
    </row>
    <row r="48">
      <c r="A48" s="17" t="n">
        <v>27546</v>
      </c>
      <c r="B48" s="58">
        <f>VLOOKUP(Table17[[#This Row],[Date]],database!A:H,7,)</f>
        <v/>
      </c>
      <c r="C48" s="66">
        <f>B48/B47-1</f>
        <v/>
      </c>
      <c r="D48" s="66">
        <f>(Table17[[#This Row],[Index]]-B36)/B36</f>
        <v/>
      </c>
    </row>
    <row r="49">
      <c r="A49" s="17" t="n">
        <v>27576</v>
      </c>
      <c r="B49" s="58">
        <f>VLOOKUP(Table17[[#This Row],[Date]],database!A:H,7,)</f>
        <v/>
      </c>
      <c r="C49" s="66">
        <f>B49/B48-1</f>
        <v/>
      </c>
      <c r="D49" s="66">
        <f>(Table17[[#This Row],[Index]]-B37)/B37</f>
        <v/>
      </c>
    </row>
    <row r="50">
      <c r="A50" s="17" t="n">
        <v>27607</v>
      </c>
      <c r="B50" s="58">
        <f>VLOOKUP(Table17[[#This Row],[Date]],database!A:H,7,)</f>
        <v/>
      </c>
      <c r="C50" s="66">
        <f>B50/B49-1</f>
        <v/>
      </c>
      <c r="D50" s="66">
        <f>(Table17[[#This Row],[Index]]-B38)/B38</f>
        <v/>
      </c>
    </row>
    <row r="51">
      <c r="A51" s="17" t="n">
        <v>27638</v>
      </c>
      <c r="B51" s="58">
        <f>VLOOKUP(Table17[[#This Row],[Date]],database!A:H,7,)</f>
        <v/>
      </c>
      <c r="C51" s="66">
        <f>B51/B50-1</f>
        <v/>
      </c>
      <c r="D51" s="66">
        <f>(Table17[[#This Row],[Index]]-B39)/B39</f>
        <v/>
      </c>
    </row>
    <row r="52">
      <c r="A52" s="17" t="n">
        <v>27668</v>
      </c>
      <c r="B52" s="58">
        <f>VLOOKUP(Table17[[#This Row],[Date]],database!A:H,7,)</f>
        <v/>
      </c>
      <c r="C52" s="66">
        <f>B52/B51-1</f>
        <v/>
      </c>
      <c r="D52" s="66">
        <f>(Table17[[#This Row],[Index]]-B40)/B40</f>
        <v/>
      </c>
    </row>
    <row r="53">
      <c r="A53" s="17" t="n">
        <v>27699</v>
      </c>
      <c r="B53" s="58">
        <f>VLOOKUP(Table17[[#This Row],[Date]],database!A:H,7,)</f>
        <v/>
      </c>
      <c r="C53" s="66">
        <f>B53/B52-1</f>
        <v/>
      </c>
      <c r="D53" s="66">
        <f>(Table17[[#This Row],[Index]]-B41)/B41</f>
        <v/>
      </c>
    </row>
    <row r="54">
      <c r="A54" s="17" t="n">
        <v>27729</v>
      </c>
      <c r="B54" s="58">
        <f>VLOOKUP(Table17[[#This Row],[Date]],database!A:H,7,)</f>
        <v/>
      </c>
      <c r="C54" s="66">
        <f>B54/B53-1</f>
        <v/>
      </c>
      <c r="D54" s="66">
        <f>(Table17[[#This Row],[Index]]-B42)/B42</f>
        <v/>
      </c>
    </row>
    <row r="55">
      <c r="A55" s="17" t="n">
        <v>27760</v>
      </c>
      <c r="B55" s="58">
        <f>VLOOKUP(Table17[[#This Row],[Date]],database!A:H,7,)</f>
        <v/>
      </c>
      <c r="C55" s="66">
        <f>B55/B54-1</f>
        <v/>
      </c>
      <c r="D55" s="66">
        <f>(Table17[[#This Row],[Index]]-B43)/B43</f>
        <v/>
      </c>
    </row>
    <row r="56">
      <c r="A56" s="17" t="n">
        <v>27791</v>
      </c>
      <c r="B56" s="58">
        <f>VLOOKUP(Table17[[#This Row],[Date]],database!A:H,7,)</f>
        <v/>
      </c>
      <c r="C56" s="66">
        <f>B56/B55-1</f>
        <v/>
      </c>
      <c r="D56" s="66">
        <f>(Table17[[#This Row],[Index]]-B44)/B44</f>
        <v/>
      </c>
    </row>
    <row r="57">
      <c r="A57" s="17" t="n">
        <v>27820</v>
      </c>
      <c r="B57" s="58">
        <f>VLOOKUP(Table17[[#This Row],[Date]],database!A:H,7,)</f>
        <v/>
      </c>
      <c r="C57" s="66">
        <f>B57/B56-1</f>
        <v/>
      </c>
      <c r="D57" s="66">
        <f>(Table17[[#This Row],[Index]]-B45)/B45</f>
        <v/>
      </c>
    </row>
    <row r="58">
      <c r="A58" s="17" t="n">
        <v>27851</v>
      </c>
      <c r="B58" s="58">
        <f>VLOOKUP(Table17[[#This Row],[Date]],database!A:H,7,)</f>
        <v/>
      </c>
      <c r="C58" s="66">
        <f>B58/B57-1</f>
        <v/>
      </c>
      <c r="D58" s="66">
        <f>(Table17[[#This Row],[Index]]-B46)/B46</f>
        <v/>
      </c>
    </row>
    <row r="59">
      <c r="A59" s="17" t="n">
        <v>27881</v>
      </c>
      <c r="B59" s="58">
        <f>VLOOKUP(Table17[[#This Row],[Date]],database!A:H,7,)</f>
        <v/>
      </c>
      <c r="C59" s="66">
        <f>B59/B58-1</f>
        <v/>
      </c>
      <c r="D59" s="66">
        <f>(Table17[[#This Row],[Index]]-B47)/B47</f>
        <v/>
      </c>
    </row>
    <row r="60">
      <c r="A60" s="17" t="n">
        <v>27912</v>
      </c>
      <c r="B60" s="58">
        <f>VLOOKUP(Table17[[#This Row],[Date]],database!A:H,7,)</f>
        <v/>
      </c>
      <c r="C60" s="66">
        <f>B60/B59-1</f>
        <v/>
      </c>
      <c r="D60" s="66">
        <f>(Table17[[#This Row],[Index]]-B48)/B48</f>
        <v/>
      </c>
    </row>
    <row r="61">
      <c r="A61" s="17" t="n">
        <v>27942</v>
      </c>
      <c r="B61" s="58">
        <f>VLOOKUP(Table17[[#This Row],[Date]],database!A:H,7,)</f>
        <v/>
      </c>
      <c r="C61" s="66">
        <f>B61/B60-1</f>
        <v/>
      </c>
      <c r="D61" s="66">
        <f>(Table17[[#This Row],[Index]]-B49)/B49</f>
        <v/>
      </c>
    </row>
    <row r="62">
      <c r="A62" s="17" t="n">
        <v>27973</v>
      </c>
      <c r="B62" s="58">
        <f>VLOOKUP(Table17[[#This Row],[Date]],database!A:H,7,)</f>
        <v/>
      </c>
      <c r="C62" s="66">
        <f>B62/B61-1</f>
        <v/>
      </c>
      <c r="D62" s="66">
        <f>(Table17[[#This Row],[Index]]-B50)/B50</f>
        <v/>
      </c>
    </row>
    <row r="63">
      <c r="A63" s="17" t="n">
        <v>28004</v>
      </c>
      <c r="B63" s="58">
        <f>VLOOKUP(Table17[[#This Row],[Date]],database!A:H,7,)</f>
        <v/>
      </c>
      <c r="C63" s="66">
        <f>B63/B62-1</f>
        <v/>
      </c>
      <c r="D63" s="66">
        <f>(Table17[[#This Row],[Index]]-B51)/B51</f>
        <v/>
      </c>
    </row>
    <row r="64">
      <c r="A64" s="17" t="n">
        <v>28034</v>
      </c>
      <c r="B64" s="58">
        <f>VLOOKUP(Table17[[#This Row],[Date]],database!A:H,7,)</f>
        <v/>
      </c>
      <c r="C64" s="66">
        <f>B64/B63-1</f>
        <v/>
      </c>
      <c r="D64" s="66">
        <f>(Table17[[#This Row],[Index]]-B52)/B52</f>
        <v/>
      </c>
    </row>
    <row r="65">
      <c r="A65" s="17" t="n">
        <v>28065</v>
      </c>
      <c r="B65" s="58">
        <f>VLOOKUP(Table17[[#This Row],[Date]],database!A:H,7,)</f>
        <v/>
      </c>
      <c r="C65" s="66">
        <f>B65/B64-1</f>
        <v/>
      </c>
      <c r="D65" s="66">
        <f>(Table17[[#This Row],[Index]]-B53)/B53</f>
        <v/>
      </c>
    </row>
    <row r="66">
      <c r="A66" s="17" t="n">
        <v>28095</v>
      </c>
      <c r="B66" s="58">
        <f>VLOOKUP(Table17[[#This Row],[Date]],database!A:H,7,)</f>
        <v/>
      </c>
      <c r="C66" s="66">
        <f>B66/B65-1</f>
        <v/>
      </c>
      <c r="D66" s="66">
        <f>(Table17[[#This Row],[Index]]-B54)/B54</f>
        <v/>
      </c>
    </row>
    <row r="67">
      <c r="A67" s="17" t="n">
        <v>28126</v>
      </c>
      <c r="B67" s="58">
        <f>VLOOKUP(Table17[[#This Row],[Date]],database!A:H,7,)</f>
        <v/>
      </c>
      <c r="C67" s="66">
        <f>B67/B66-1</f>
        <v/>
      </c>
      <c r="D67" s="66">
        <f>(Table17[[#This Row],[Index]]-B55)/B55</f>
        <v/>
      </c>
    </row>
    <row r="68">
      <c r="A68" s="17" t="n">
        <v>28157</v>
      </c>
      <c r="B68" s="58">
        <f>VLOOKUP(Table17[[#This Row],[Date]],database!A:H,7,)</f>
        <v/>
      </c>
      <c r="C68" s="66">
        <f>B68/B67-1</f>
        <v/>
      </c>
      <c r="D68" s="66">
        <f>(Table17[[#This Row],[Index]]-B56)/B56</f>
        <v/>
      </c>
    </row>
    <row r="69">
      <c r="A69" s="17" t="n">
        <v>28185</v>
      </c>
      <c r="B69" s="58">
        <f>VLOOKUP(Table17[[#This Row],[Date]],database!A:H,7,)</f>
        <v/>
      </c>
      <c r="C69" s="66">
        <f>B69/B68-1</f>
        <v/>
      </c>
      <c r="D69" s="66">
        <f>(Table17[[#This Row],[Index]]-B57)/B57</f>
        <v/>
      </c>
    </row>
    <row r="70">
      <c r="A70" s="17" t="n">
        <v>28216</v>
      </c>
      <c r="B70" s="58">
        <f>VLOOKUP(Table17[[#This Row],[Date]],database!A:H,7,)</f>
        <v/>
      </c>
      <c r="C70" s="66">
        <f>B70/B69-1</f>
        <v/>
      </c>
      <c r="D70" s="66">
        <f>(Table17[[#This Row],[Index]]-B58)/B58</f>
        <v/>
      </c>
    </row>
    <row r="71">
      <c r="A71" s="17" t="n">
        <v>28246</v>
      </c>
      <c r="B71" s="58">
        <f>VLOOKUP(Table17[[#This Row],[Date]],database!A:H,7,)</f>
        <v/>
      </c>
      <c r="C71" s="66">
        <f>B71/B70-1</f>
        <v/>
      </c>
      <c r="D71" s="66">
        <f>(Table17[[#This Row],[Index]]-B59)/B59</f>
        <v/>
      </c>
    </row>
    <row r="72">
      <c r="A72" s="17" t="n">
        <v>28277</v>
      </c>
      <c r="B72" s="58">
        <f>VLOOKUP(Table17[[#This Row],[Date]],database!A:H,7,)</f>
        <v/>
      </c>
      <c r="C72" s="66">
        <f>B72/B71-1</f>
        <v/>
      </c>
      <c r="D72" s="66">
        <f>(Table17[[#This Row],[Index]]-B60)/B60</f>
        <v/>
      </c>
    </row>
    <row r="73">
      <c r="A73" s="17" t="n">
        <v>28307</v>
      </c>
      <c r="B73" s="58">
        <f>VLOOKUP(Table17[[#This Row],[Date]],database!A:H,7,)</f>
        <v/>
      </c>
      <c r="C73" s="66">
        <f>B73/B72-1</f>
        <v/>
      </c>
      <c r="D73" s="66">
        <f>(Table17[[#This Row],[Index]]-B61)/B61</f>
        <v/>
      </c>
    </row>
    <row r="74">
      <c r="A74" s="17" t="n">
        <v>28338</v>
      </c>
      <c r="B74" s="58">
        <f>VLOOKUP(Table17[[#This Row],[Date]],database!A:H,7,)</f>
        <v/>
      </c>
      <c r="C74" s="66">
        <f>B74/B73-1</f>
        <v/>
      </c>
      <c r="D74" s="66">
        <f>(Table17[[#This Row],[Index]]-B62)/B62</f>
        <v/>
      </c>
    </row>
    <row r="75">
      <c r="A75" s="17" t="n">
        <v>28369</v>
      </c>
      <c r="B75" s="58">
        <f>VLOOKUP(Table17[[#This Row],[Date]],database!A:H,7,)</f>
        <v/>
      </c>
      <c r="C75" s="66">
        <f>B75/B74-1</f>
        <v/>
      </c>
      <c r="D75" s="66">
        <f>(Table17[[#This Row],[Index]]-B63)/B63</f>
        <v/>
      </c>
    </row>
    <row r="76">
      <c r="A76" s="17" t="n">
        <v>28399</v>
      </c>
      <c r="B76" s="58">
        <f>VLOOKUP(Table17[[#This Row],[Date]],database!A:H,7,)</f>
        <v/>
      </c>
      <c r="C76" s="66">
        <f>B76/B75-1</f>
        <v/>
      </c>
      <c r="D76" s="66">
        <f>(Table17[[#This Row],[Index]]-B64)/B64</f>
        <v/>
      </c>
    </row>
    <row r="77">
      <c r="A77" s="17" t="n">
        <v>28430</v>
      </c>
      <c r="B77" s="58">
        <f>VLOOKUP(Table17[[#This Row],[Date]],database!A:H,7,)</f>
        <v/>
      </c>
      <c r="C77" s="66">
        <f>B77/B76-1</f>
        <v/>
      </c>
      <c r="D77" s="66">
        <f>(Table17[[#This Row],[Index]]-B65)/B65</f>
        <v/>
      </c>
    </row>
    <row r="78">
      <c r="A78" s="17" t="n">
        <v>28460</v>
      </c>
      <c r="B78" s="58">
        <f>VLOOKUP(Table17[[#This Row],[Date]],database!A:H,7,)</f>
        <v/>
      </c>
      <c r="C78" s="66">
        <f>B78/B77-1</f>
        <v/>
      </c>
      <c r="D78" s="66">
        <f>(Table17[[#This Row],[Index]]-B66)/B66</f>
        <v/>
      </c>
    </row>
    <row r="79">
      <c r="A79" s="17" t="n">
        <v>28491</v>
      </c>
      <c r="B79" s="58">
        <f>VLOOKUP(Table17[[#This Row],[Date]],database!A:H,7,)</f>
        <v/>
      </c>
      <c r="C79" s="66">
        <f>B79/B78-1</f>
        <v/>
      </c>
      <c r="D79" s="66">
        <f>(Table17[[#This Row],[Index]]-B67)/B67</f>
        <v/>
      </c>
    </row>
    <row r="80">
      <c r="A80" s="17" t="n">
        <v>28522</v>
      </c>
      <c r="B80" s="58">
        <f>VLOOKUP(Table17[[#This Row],[Date]],database!A:H,7,)</f>
        <v/>
      </c>
      <c r="C80" s="66">
        <f>B80/B79-1</f>
        <v/>
      </c>
      <c r="D80" s="66">
        <f>(Table17[[#This Row],[Index]]-B68)/B68</f>
        <v/>
      </c>
    </row>
    <row r="81">
      <c r="A81" s="17" t="n">
        <v>28550</v>
      </c>
      <c r="B81" s="58">
        <f>VLOOKUP(Table17[[#This Row],[Date]],database!A:H,7,)</f>
        <v/>
      </c>
      <c r="C81" s="66">
        <f>B81/B80-1</f>
        <v/>
      </c>
      <c r="D81" s="66">
        <f>(Table17[[#This Row],[Index]]-B69)/B69</f>
        <v/>
      </c>
    </row>
    <row r="82">
      <c r="A82" s="17" t="n">
        <v>28581</v>
      </c>
      <c r="B82" s="58">
        <f>VLOOKUP(Table17[[#This Row],[Date]],database!A:H,7,)</f>
        <v/>
      </c>
      <c r="C82" s="66">
        <f>B82/B81-1</f>
        <v/>
      </c>
      <c r="D82" s="66">
        <f>(Table17[[#This Row],[Index]]-B70)/B70</f>
        <v/>
      </c>
    </row>
    <row r="83">
      <c r="A83" s="17" t="n">
        <v>28611</v>
      </c>
      <c r="B83" s="58">
        <f>VLOOKUP(Table17[[#This Row],[Date]],database!A:H,7,)</f>
        <v/>
      </c>
      <c r="C83" s="66">
        <f>B83/B82-1</f>
        <v/>
      </c>
      <c r="D83" s="66">
        <f>(Table17[[#This Row],[Index]]-B71)/B71</f>
        <v/>
      </c>
    </row>
    <row r="84">
      <c r="A84" s="17" t="n">
        <v>28642</v>
      </c>
      <c r="B84" s="58">
        <f>VLOOKUP(Table17[[#This Row],[Date]],database!A:H,7,)</f>
        <v/>
      </c>
      <c r="C84" s="66">
        <f>B84/B83-1</f>
        <v/>
      </c>
      <c r="D84" s="66">
        <f>(Table17[[#This Row],[Index]]-B72)/B72</f>
        <v/>
      </c>
    </row>
    <row r="85">
      <c r="A85" s="17" t="n">
        <v>28672</v>
      </c>
      <c r="B85" s="58">
        <f>VLOOKUP(Table17[[#This Row],[Date]],database!A:H,7,)</f>
        <v/>
      </c>
      <c r="C85" s="66">
        <f>B85/B84-1</f>
        <v/>
      </c>
      <c r="D85" s="66">
        <f>(Table17[[#This Row],[Index]]-B73)/B73</f>
        <v/>
      </c>
    </row>
    <row r="86">
      <c r="A86" s="17" t="n">
        <v>28703</v>
      </c>
      <c r="B86" s="58">
        <f>VLOOKUP(Table17[[#This Row],[Date]],database!A:H,7,)</f>
        <v/>
      </c>
      <c r="C86" s="66">
        <f>B86/B85-1</f>
        <v/>
      </c>
      <c r="D86" s="66">
        <f>(Table17[[#This Row],[Index]]-B74)/B74</f>
        <v/>
      </c>
    </row>
    <row r="87">
      <c r="A87" s="17" t="n">
        <v>28734</v>
      </c>
      <c r="B87" s="58">
        <f>VLOOKUP(Table17[[#This Row],[Date]],database!A:H,7,)</f>
        <v/>
      </c>
      <c r="C87" s="66">
        <f>B87/B86-1</f>
        <v/>
      </c>
      <c r="D87" s="66">
        <f>(Table17[[#This Row],[Index]]-B75)/B75</f>
        <v/>
      </c>
    </row>
    <row r="88">
      <c r="A88" s="17" t="n">
        <v>28764</v>
      </c>
      <c r="B88" s="58">
        <f>VLOOKUP(Table17[[#This Row],[Date]],database!A:H,7,)</f>
        <v/>
      </c>
      <c r="C88" s="66">
        <f>B88/B87-1</f>
        <v/>
      </c>
      <c r="D88" s="66">
        <f>(Table17[[#This Row],[Index]]-B76)/B76</f>
        <v/>
      </c>
    </row>
    <row r="89">
      <c r="A89" s="17" t="n">
        <v>28795</v>
      </c>
      <c r="B89" s="58">
        <f>VLOOKUP(Table17[[#This Row],[Date]],database!A:H,7,)</f>
        <v/>
      </c>
      <c r="C89" s="66">
        <f>B89/B88-1</f>
        <v/>
      </c>
      <c r="D89" s="66">
        <f>(Table17[[#This Row],[Index]]-B77)/B77</f>
        <v/>
      </c>
    </row>
    <row r="90">
      <c r="A90" s="17" t="n">
        <v>28825</v>
      </c>
      <c r="B90" s="58">
        <f>VLOOKUP(Table17[[#This Row],[Date]],database!A:H,7,)</f>
        <v/>
      </c>
      <c r="C90" s="66">
        <f>B90/B89-1</f>
        <v/>
      </c>
      <c r="D90" s="66">
        <f>(Table17[[#This Row],[Index]]-B78)/B78</f>
        <v/>
      </c>
    </row>
    <row r="91">
      <c r="A91" s="17" t="n">
        <v>28856</v>
      </c>
      <c r="B91" s="58">
        <f>VLOOKUP(Table17[[#This Row],[Date]],database!A:H,7,)</f>
        <v/>
      </c>
      <c r="C91" s="66">
        <f>B91/B90-1</f>
        <v/>
      </c>
      <c r="D91" s="66">
        <f>(Table17[[#This Row],[Index]]-B79)/B79</f>
        <v/>
      </c>
    </row>
    <row r="92">
      <c r="A92" s="17" t="n">
        <v>28887</v>
      </c>
      <c r="B92" s="58">
        <f>VLOOKUP(Table17[[#This Row],[Date]],database!A:H,7,)</f>
        <v/>
      </c>
      <c r="C92" s="66">
        <f>B92/B91-1</f>
        <v/>
      </c>
      <c r="D92" s="66">
        <f>(Table17[[#This Row],[Index]]-B80)/B80</f>
        <v/>
      </c>
    </row>
    <row r="93">
      <c r="A93" s="17" t="n">
        <v>28915</v>
      </c>
      <c r="B93" s="58">
        <f>VLOOKUP(Table17[[#This Row],[Date]],database!A:H,7,)</f>
        <v/>
      </c>
      <c r="C93" s="66">
        <f>B93/B92-1</f>
        <v/>
      </c>
      <c r="D93" s="66">
        <f>(Table17[[#This Row],[Index]]-B81)/B81</f>
        <v/>
      </c>
    </row>
    <row r="94">
      <c r="A94" s="17" t="n">
        <v>28946</v>
      </c>
      <c r="B94" s="58">
        <f>VLOOKUP(Table17[[#This Row],[Date]],database!A:H,7,)</f>
        <v/>
      </c>
      <c r="C94" s="66">
        <f>B94/B93-1</f>
        <v/>
      </c>
      <c r="D94" s="66">
        <f>(Table17[[#This Row],[Index]]-B82)/B82</f>
        <v/>
      </c>
    </row>
    <row r="95">
      <c r="A95" s="17" t="n">
        <v>28976</v>
      </c>
      <c r="B95" s="58">
        <f>VLOOKUP(Table17[[#This Row],[Date]],database!A:H,7,)</f>
        <v/>
      </c>
      <c r="C95" s="66">
        <f>B95/B94-1</f>
        <v/>
      </c>
      <c r="D95" s="66">
        <f>(Table17[[#This Row],[Index]]-B83)/B83</f>
        <v/>
      </c>
    </row>
    <row r="96">
      <c r="A96" s="17" t="n">
        <v>29007</v>
      </c>
      <c r="B96" s="58">
        <f>VLOOKUP(Table17[[#This Row],[Date]],database!A:H,7,)</f>
        <v/>
      </c>
      <c r="C96" s="66">
        <f>B96/B95-1</f>
        <v/>
      </c>
      <c r="D96" s="66">
        <f>(Table17[[#This Row],[Index]]-B84)/B84</f>
        <v/>
      </c>
    </row>
    <row r="97">
      <c r="A97" s="17" t="n">
        <v>29037</v>
      </c>
      <c r="B97" s="58">
        <f>VLOOKUP(Table17[[#This Row],[Date]],database!A:H,7,)</f>
        <v/>
      </c>
      <c r="C97" s="66">
        <f>B97/B96-1</f>
        <v/>
      </c>
      <c r="D97" s="66">
        <f>(Table17[[#This Row],[Index]]-B85)/B85</f>
        <v/>
      </c>
    </row>
    <row r="98">
      <c r="A98" s="17" t="n">
        <v>29068</v>
      </c>
      <c r="B98" s="58">
        <f>VLOOKUP(Table17[[#This Row],[Date]],database!A:H,7,)</f>
        <v/>
      </c>
      <c r="C98" s="66">
        <f>B98/B97-1</f>
        <v/>
      </c>
      <c r="D98" s="66">
        <f>(Table17[[#This Row],[Index]]-B86)/B86</f>
        <v/>
      </c>
    </row>
    <row r="99">
      <c r="A99" s="17" t="n">
        <v>29099</v>
      </c>
      <c r="B99" s="58">
        <f>VLOOKUP(Table17[[#This Row],[Date]],database!A:H,7,)</f>
        <v/>
      </c>
      <c r="C99" s="66">
        <f>B99/B98-1</f>
        <v/>
      </c>
      <c r="D99" s="66">
        <f>(Table17[[#This Row],[Index]]-B87)/B87</f>
        <v/>
      </c>
    </row>
    <row r="100">
      <c r="A100" s="17" t="n">
        <v>29129</v>
      </c>
      <c r="B100" s="58">
        <f>VLOOKUP(Table17[[#This Row],[Date]],database!A:H,7,)</f>
        <v/>
      </c>
      <c r="C100" s="66">
        <f>B100/B99-1</f>
        <v/>
      </c>
      <c r="D100" s="66">
        <f>(Table17[[#This Row],[Index]]-B88)/B88</f>
        <v/>
      </c>
    </row>
    <row r="101">
      <c r="A101" s="17" t="n">
        <v>29160</v>
      </c>
      <c r="B101" s="58">
        <f>VLOOKUP(Table17[[#This Row],[Date]],database!A:H,7,)</f>
        <v/>
      </c>
      <c r="C101" s="66">
        <f>B101/B100-1</f>
        <v/>
      </c>
      <c r="D101" s="66">
        <f>(Table17[[#This Row],[Index]]-B89)/B89</f>
        <v/>
      </c>
    </row>
    <row r="102">
      <c r="A102" s="17" t="n">
        <v>29190</v>
      </c>
      <c r="B102" s="58">
        <f>VLOOKUP(Table17[[#This Row],[Date]],database!A:H,7,)</f>
        <v/>
      </c>
      <c r="C102" s="66">
        <f>B102/B101-1</f>
        <v/>
      </c>
      <c r="D102" s="66">
        <f>(Table17[[#This Row],[Index]]-B90)/B90</f>
        <v/>
      </c>
    </row>
    <row r="103">
      <c r="A103" s="17" t="n">
        <v>29221</v>
      </c>
      <c r="B103" s="58">
        <f>VLOOKUP(Table17[[#This Row],[Date]],database!A:H,7,)</f>
        <v/>
      </c>
      <c r="C103" s="66">
        <f>B103/B102-1</f>
        <v/>
      </c>
      <c r="D103" s="66">
        <f>(Table17[[#This Row],[Index]]-B91)/B91</f>
        <v/>
      </c>
    </row>
    <row r="104">
      <c r="A104" s="17" t="n">
        <v>29252</v>
      </c>
      <c r="B104" s="58">
        <f>VLOOKUP(Table17[[#This Row],[Date]],database!A:H,7,)</f>
        <v/>
      </c>
      <c r="C104" s="66">
        <f>B104/B103-1</f>
        <v/>
      </c>
      <c r="D104" s="66">
        <f>(Table17[[#This Row],[Index]]-B92)/B92</f>
        <v/>
      </c>
    </row>
    <row r="105">
      <c r="A105" s="17" t="n">
        <v>29281</v>
      </c>
      <c r="B105" s="58">
        <f>VLOOKUP(Table17[[#This Row],[Date]],database!A:H,7,)</f>
        <v/>
      </c>
      <c r="C105" s="66">
        <f>B105/B104-1</f>
        <v/>
      </c>
      <c r="D105" s="66">
        <f>(Table17[[#This Row],[Index]]-B93)/B93</f>
        <v/>
      </c>
    </row>
    <row r="106">
      <c r="A106" s="17" t="n">
        <v>29312</v>
      </c>
      <c r="B106" s="58">
        <f>VLOOKUP(Table17[[#This Row],[Date]],database!A:H,7,)</f>
        <v/>
      </c>
      <c r="C106" s="66">
        <f>B106/B105-1</f>
        <v/>
      </c>
      <c r="D106" s="66">
        <f>(Table17[[#This Row],[Index]]-B94)/B94</f>
        <v/>
      </c>
    </row>
    <row r="107">
      <c r="A107" s="17" t="n">
        <v>29342</v>
      </c>
      <c r="B107" s="58">
        <f>VLOOKUP(Table17[[#This Row],[Date]],database!A:H,7,)</f>
        <v/>
      </c>
      <c r="C107" s="66">
        <f>B107/B106-1</f>
        <v/>
      </c>
      <c r="D107" s="66">
        <f>(Table17[[#This Row],[Index]]-B95)/B95</f>
        <v/>
      </c>
    </row>
    <row r="108">
      <c r="A108" s="17" t="n">
        <v>29373</v>
      </c>
      <c r="B108" s="58">
        <f>VLOOKUP(Table17[[#This Row],[Date]],database!A:H,7,)</f>
        <v/>
      </c>
      <c r="C108" s="66">
        <f>B108/B107-1</f>
        <v/>
      </c>
      <c r="D108" s="66">
        <f>(Table17[[#This Row],[Index]]-B96)/B96</f>
        <v/>
      </c>
    </row>
    <row r="109">
      <c r="A109" s="17" t="n">
        <v>29403</v>
      </c>
      <c r="B109" s="58">
        <f>VLOOKUP(Table17[[#This Row],[Date]],database!A:H,7,)</f>
        <v/>
      </c>
      <c r="C109" s="66">
        <f>B109/B108-1</f>
        <v/>
      </c>
      <c r="D109" s="66">
        <f>(Table17[[#This Row],[Index]]-B97)/B97</f>
        <v/>
      </c>
    </row>
    <row r="110">
      <c r="A110" s="17" t="n">
        <v>29434</v>
      </c>
      <c r="B110" s="58">
        <f>VLOOKUP(Table17[[#This Row],[Date]],database!A:H,7,)</f>
        <v/>
      </c>
      <c r="C110" s="66">
        <f>B110/B109-1</f>
        <v/>
      </c>
      <c r="D110" s="66">
        <f>(Table17[[#This Row],[Index]]-B98)/B98</f>
        <v/>
      </c>
    </row>
    <row r="111">
      <c r="A111" s="17" t="n">
        <v>29465</v>
      </c>
      <c r="B111" s="58">
        <f>VLOOKUP(Table17[[#This Row],[Date]],database!A:H,7,)</f>
        <v/>
      </c>
      <c r="C111" s="66">
        <f>B111/B110-1</f>
        <v/>
      </c>
      <c r="D111" s="66">
        <f>(Table17[[#This Row],[Index]]-B99)/B99</f>
        <v/>
      </c>
    </row>
    <row r="112">
      <c r="A112" s="17" t="n">
        <v>29495</v>
      </c>
      <c r="B112" s="58">
        <f>VLOOKUP(Table17[[#This Row],[Date]],database!A:H,7,)</f>
        <v/>
      </c>
      <c r="C112" s="66">
        <f>B112/B111-1</f>
        <v/>
      </c>
      <c r="D112" s="66">
        <f>(Table17[[#This Row],[Index]]-B100)/B100</f>
        <v/>
      </c>
    </row>
    <row r="113">
      <c r="A113" s="17" t="n">
        <v>29526</v>
      </c>
      <c r="B113" s="58">
        <f>VLOOKUP(Table17[[#This Row],[Date]],database!A:H,7,)</f>
        <v/>
      </c>
      <c r="C113" s="66">
        <f>B113/B112-1</f>
        <v/>
      </c>
      <c r="D113" s="66">
        <f>(Table17[[#This Row],[Index]]-B101)/B101</f>
        <v/>
      </c>
    </row>
    <row r="114">
      <c r="A114" s="17" t="n">
        <v>29556</v>
      </c>
      <c r="B114" s="58">
        <f>VLOOKUP(Table17[[#This Row],[Date]],database!A:H,7,)</f>
        <v/>
      </c>
      <c r="C114" s="66">
        <f>B114/B113-1</f>
        <v/>
      </c>
      <c r="D114" s="66">
        <f>(Table17[[#This Row],[Index]]-B102)/B102</f>
        <v/>
      </c>
    </row>
    <row r="115">
      <c r="A115" s="17" t="n">
        <v>29587</v>
      </c>
      <c r="B115" s="58">
        <f>VLOOKUP(Table17[[#This Row],[Date]],database!A:H,7,)</f>
        <v/>
      </c>
      <c r="C115" s="66">
        <f>B115/B114-1</f>
        <v/>
      </c>
      <c r="D115" s="66">
        <f>(Table17[[#This Row],[Index]]-B103)/B103</f>
        <v/>
      </c>
    </row>
    <row r="116">
      <c r="A116" s="17" t="n">
        <v>29618</v>
      </c>
      <c r="B116" s="58">
        <f>VLOOKUP(Table17[[#This Row],[Date]],database!A:H,7,)</f>
        <v/>
      </c>
      <c r="C116" s="66">
        <f>B116/B115-1</f>
        <v/>
      </c>
      <c r="D116" s="66">
        <f>(Table17[[#This Row],[Index]]-B104)/B104</f>
        <v/>
      </c>
    </row>
    <row r="117">
      <c r="A117" s="17" t="n">
        <v>29646</v>
      </c>
      <c r="B117" s="58">
        <f>VLOOKUP(Table17[[#This Row],[Date]],database!A:H,7,)</f>
        <v/>
      </c>
      <c r="C117" s="66">
        <f>B117/B116-1</f>
        <v/>
      </c>
      <c r="D117" s="66">
        <f>(Table17[[#This Row],[Index]]-B105)/B105</f>
        <v/>
      </c>
    </row>
    <row r="118">
      <c r="A118" s="17" t="n">
        <v>29677</v>
      </c>
      <c r="B118" s="58">
        <f>VLOOKUP(Table17[[#This Row],[Date]],database!A:H,7,)</f>
        <v/>
      </c>
      <c r="C118" s="66">
        <f>B118/B117-1</f>
        <v/>
      </c>
      <c r="D118" s="66">
        <f>(Table17[[#This Row],[Index]]-B106)/B106</f>
        <v/>
      </c>
    </row>
    <row r="119">
      <c r="A119" s="17" t="n">
        <v>29707</v>
      </c>
      <c r="B119" s="58">
        <f>VLOOKUP(Table17[[#This Row],[Date]],database!A:H,7,)</f>
        <v/>
      </c>
      <c r="C119" s="66">
        <f>B119/B118-1</f>
        <v/>
      </c>
      <c r="D119" s="66">
        <f>(Table17[[#This Row],[Index]]-B107)/B107</f>
        <v/>
      </c>
    </row>
    <row r="120">
      <c r="A120" s="17" t="n">
        <v>29738</v>
      </c>
      <c r="B120" s="58">
        <f>VLOOKUP(Table17[[#This Row],[Date]],database!A:H,7,)</f>
        <v/>
      </c>
      <c r="C120" s="66">
        <f>B120/B119-1</f>
        <v/>
      </c>
      <c r="D120" s="66">
        <f>(Table17[[#This Row],[Index]]-B108)/B108</f>
        <v/>
      </c>
    </row>
    <row r="121">
      <c r="A121" s="17" t="n">
        <v>29768</v>
      </c>
      <c r="B121" s="58">
        <f>VLOOKUP(Table17[[#This Row],[Date]],database!A:H,7,)</f>
        <v/>
      </c>
      <c r="C121" s="66">
        <f>B121/B120-1</f>
        <v/>
      </c>
      <c r="D121" s="66">
        <f>(Table17[[#This Row],[Index]]-B109)/B109</f>
        <v/>
      </c>
    </row>
    <row r="122">
      <c r="A122" s="17" t="n">
        <v>29799</v>
      </c>
      <c r="B122" s="58">
        <f>VLOOKUP(Table17[[#This Row],[Date]],database!A:H,7,)</f>
        <v/>
      </c>
      <c r="C122" s="66">
        <f>B122/B121-1</f>
        <v/>
      </c>
      <c r="D122" s="66">
        <f>(Table17[[#This Row],[Index]]-B110)/B110</f>
        <v/>
      </c>
    </row>
    <row r="123">
      <c r="A123" s="17" t="n">
        <v>29830</v>
      </c>
      <c r="B123" s="58">
        <f>VLOOKUP(Table17[[#This Row],[Date]],database!A:H,7,)</f>
        <v/>
      </c>
      <c r="C123" s="66">
        <f>B123/B122-1</f>
        <v/>
      </c>
      <c r="D123" s="66">
        <f>(Table17[[#This Row],[Index]]-B111)/B111</f>
        <v/>
      </c>
    </row>
    <row r="124">
      <c r="A124" s="17" t="n">
        <v>29860</v>
      </c>
      <c r="B124" s="58">
        <f>VLOOKUP(Table17[[#This Row],[Date]],database!A:H,7,)</f>
        <v/>
      </c>
      <c r="C124" s="66">
        <f>B124/B123-1</f>
        <v/>
      </c>
      <c r="D124" s="66">
        <f>(Table17[[#This Row],[Index]]-B112)/B112</f>
        <v/>
      </c>
    </row>
    <row r="125">
      <c r="A125" s="17" t="n">
        <v>29891</v>
      </c>
      <c r="B125" s="58">
        <f>VLOOKUP(Table17[[#This Row],[Date]],database!A:H,7,)</f>
        <v/>
      </c>
      <c r="C125" s="66">
        <f>B125/B124-1</f>
        <v/>
      </c>
      <c r="D125" s="66">
        <f>(Table17[[#This Row],[Index]]-B113)/B113</f>
        <v/>
      </c>
    </row>
    <row r="126">
      <c r="A126" s="17" t="n">
        <v>29921</v>
      </c>
      <c r="B126" s="58">
        <f>VLOOKUP(Table17[[#This Row],[Date]],database!A:H,7,)</f>
        <v/>
      </c>
      <c r="C126" s="66">
        <f>B126/B125-1</f>
        <v/>
      </c>
      <c r="D126" s="66">
        <f>(Table17[[#This Row],[Index]]-B114)/B114</f>
        <v/>
      </c>
    </row>
    <row r="127">
      <c r="A127" s="17" t="n">
        <v>29952</v>
      </c>
      <c r="B127" s="58">
        <f>VLOOKUP(Table17[[#This Row],[Date]],database!A:H,7,)</f>
        <v/>
      </c>
      <c r="C127" s="66">
        <f>B127/B126-1</f>
        <v/>
      </c>
      <c r="D127" s="66">
        <f>(Table17[[#This Row],[Index]]-B115)/B115</f>
        <v/>
      </c>
    </row>
    <row r="128">
      <c r="A128" s="17" t="n">
        <v>29983</v>
      </c>
      <c r="B128" s="58">
        <f>VLOOKUP(Table17[[#This Row],[Date]],database!A:H,7,)</f>
        <v/>
      </c>
      <c r="C128" s="66">
        <f>B128/B127-1</f>
        <v/>
      </c>
      <c r="D128" s="66">
        <f>(Table17[[#This Row],[Index]]-B116)/B116</f>
        <v/>
      </c>
    </row>
    <row r="129">
      <c r="A129" s="17" t="n">
        <v>30011</v>
      </c>
      <c r="B129" s="58">
        <f>VLOOKUP(Table17[[#This Row],[Date]],database!A:H,7,)</f>
        <v/>
      </c>
      <c r="C129" s="66">
        <f>B129/B128-1</f>
        <v/>
      </c>
      <c r="D129" s="66">
        <f>(Table17[[#This Row],[Index]]-B117)/B117</f>
        <v/>
      </c>
    </row>
    <row r="130">
      <c r="A130" s="17" t="n">
        <v>30042</v>
      </c>
      <c r="B130" s="58">
        <f>VLOOKUP(Table17[[#This Row],[Date]],database!A:H,7,)</f>
        <v/>
      </c>
      <c r="C130" s="66">
        <f>B130/B129-1</f>
        <v/>
      </c>
      <c r="D130" s="66">
        <f>(Table17[[#This Row],[Index]]-B118)/B118</f>
        <v/>
      </c>
    </row>
    <row r="131">
      <c r="A131" s="17" t="n">
        <v>30072</v>
      </c>
      <c r="B131" s="58">
        <f>VLOOKUP(Table17[[#This Row],[Date]],database!A:H,7,)</f>
        <v/>
      </c>
      <c r="C131" s="66">
        <f>B131/B130-1</f>
        <v/>
      </c>
      <c r="D131" s="66">
        <f>(Table17[[#This Row],[Index]]-B119)/B119</f>
        <v/>
      </c>
    </row>
    <row r="132">
      <c r="A132" s="17" t="n">
        <v>30103</v>
      </c>
      <c r="B132" s="58">
        <f>VLOOKUP(Table17[[#This Row],[Date]],database!A:H,7,)</f>
        <v/>
      </c>
      <c r="C132" s="66">
        <f>B132/B131-1</f>
        <v/>
      </c>
      <c r="D132" s="66">
        <f>(Table17[[#This Row],[Index]]-B120)/B120</f>
        <v/>
      </c>
    </row>
    <row r="133">
      <c r="A133" s="17" t="n">
        <v>30133</v>
      </c>
      <c r="B133" s="58">
        <f>VLOOKUP(Table17[[#This Row],[Date]],database!A:H,7,)</f>
        <v/>
      </c>
      <c r="C133" s="66">
        <f>B133/B132-1</f>
        <v/>
      </c>
      <c r="D133" s="66">
        <f>(Table17[[#This Row],[Index]]-B121)/B121</f>
        <v/>
      </c>
    </row>
    <row r="134">
      <c r="A134" s="17" t="n">
        <v>30164</v>
      </c>
      <c r="B134" s="58">
        <f>VLOOKUP(Table17[[#This Row],[Date]],database!A:H,7,)</f>
        <v/>
      </c>
      <c r="C134" s="66">
        <f>B134/B133-1</f>
        <v/>
      </c>
      <c r="D134" s="66">
        <f>(Table17[[#This Row],[Index]]-B122)/B122</f>
        <v/>
      </c>
    </row>
    <row r="135">
      <c r="A135" s="17" t="n">
        <v>30195</v>
      </c>
      <c r="B135" s="58">
        <f>VLOOKUP(Table17[[#This Row],[Date]],database!A:H,7,)</f>
        <v/>
      </c>
      <c r="C135" s="66">
        <f>B135/B134-1</f>
        <v/>
      </c>
      <c r="D135" s="66">
        <f>(Table17[[#This Row],[Index]]-B123)/B123</f>
        <v/>
      </c>
    </row>
    <row r="136">
      <c r="A136" s="17" t="n">
        <v>30225</v>
      </c>
      <c r="B136" s="58">
        <f>VLOOKUP(Table17[[#This Row],[Date]],database!A:H,7,)</f>
        <v/>
      </c>
      <c r="C136" s="66">
        <f>B136/B135-1</f>
        <v/>
      </c>
      <c r="D136" s="66">
        <f>(Table17[[#This Row],[Index]]-B124)/B124</f>
        <v/>
      </c>
    </row>
    <row r="137">
      <c r="A137" s="17" t="n">
        <v>30256</v>
      </c>
      <c r="B137" s="58">
        <f>VLOOKUP(Table17[[#This Row],[Date]],database!A:H,7,)</f>
        <v/>
      </c>
      <c r="C137" s="66">
        <f>B137/B136-1</f>
        <v/>
      </c>
      <c r="D137" s="66">
        <f>(Table17[[#This Row],[Index]]-B125)/B125</f>
        <v/>
      </c>
    </row>
    <row r="138">
      <c r="A138" s="17" t="n">
        <v>30286</v>
      </c>
      <c r="B138" s="58">
        <f>VLOOKUP(Table17[[#This Row],[Date]],database!A:H,7,)</f>
        <v/>
      </c>
      <c r="C138" s="66">
        <f>B138/B137-1</f>
        <v/>
      </c>
      <c r="D138" s="66">
        <f>(Table17[[#This Row],[Index]]-B126)/B126</f>
        <v/>
      </c>
    </row>
    <row r="139">
      <c r="A139" s="17" t="n">
        <v>30317</v>
      </c>
      <c r="B139" s="58">
        <f>VLOOKUP(Table17[[#This Row],[Date]],database!A:H,7,)</f>
        <v/>
      </c>
      <c r="C139" s="66">
        <f>B139/B138-1</f>
        <v/>
      </c>
      <c r="D139" s="66">
        <f>(Table17[[#This Row],[Index]]-B127)/B127</f>
        <v/>
      </c>
    </row>
    <row r="140">
      <c r="A140" s="17" t="n">
        <v>30348</v>
      </c>
      <c r="B140" s="58">
        <f>VLOOKUP(Table17[[#This Row],[Date]],database!A:H,7,)</f>
        <v/>
      </c>
      <c r="C140" s="66">
        <f>B140/B139-1</f>
        <v/>
      </c>
      <c r="D140" s="66">
        <f>(Table17[[#This Row],[Index]]-B128)/B128</f>
        <v/>
      </c>
    </row>
    <row r="141">
      <c r="A141" s="17" t="n">
        <v>30376</v>
      </c>
      <c r="B141" s="58">
        <f>VLOOKUP(Table17[[#This Row],[Date]],database!A:H,7,)</f>
        <v/>
      </c>
      <c r="C141" s="66">
        <f>B141/B140-1</f>
        <v/>
      </c>
      <c r="D141" s="66">
        <f>(Table17[[#This Row],[Index]]-B129)/B129</f>
        <v/>
      </c>
    </row>
    <row r="142">
      <c r="A142" s="17" t="n">
        <v>30407</v>
      </c>
      <c r="B142" s="58">
        <f>VLOOKUP(Table17[[#This Row],[Date]],database!A:H,7,)</f>
        <v/>
      </c>
      <c r="C142" s="66">
        <f>B142/B141-1</f>
        <v/>
      </c>
      <c r="D142" s="66">
        <f>(Table17[[#This Row],[Index]]-B130)/B130</f>
        <v/>
      </c>
    </row>
    <row r="143">
      <c r="A143" s="17" t="n">
        <v>30437</v>
      </c>
      <c r="B143" s="58">
        <f>VLOOKUP(Table17[[#This Row],[Date]],database!A:H,7,)</f>
        <v/>
      </c>
      <c r="C143" s="66">
        <f>B143/B142-1</f>
        <v/>
      </c>
      <c r="D143" s="66">
        <f>(Table17[[#This Row],[Index]]-B131)/B131</f>
        <v/>
      </c>
    </row>
    <row r="144">
      <c r="A144" s="17" t="n">
        <v>30468</v>
      </c>
      <c r="B144" s="58">
        <f>VLOOKUP(Table17[[#This Row],[Date]],database!A:H,7,)</f>
        <v/>
      </c>
      <c r="C144" s="66">
        <f>B144/B143-1</f>
        <v/>
      </c>
      <c r="D144" s="66">
        <f>(Table17[[#This Row],[Index]]-B132)/B132</f>
        <v/>
      </c>
    </row>
    <row r="145">
      <c r="A145" s="17" t="n">
        <v>30498</v>
      </c>
      <c r="B145" s="58">
        <f>VLOOKUP(Table17[[#This Row],[Date]],database!A:H,7,)</f>
        <v/>
      </c>
      <c r="C145" s="66">
        <f>B145/B144-1</f>
        <v/>
      </c>
      <c r="D145" s="66">
        <f>(Table17[[#This Row],[Index]]-B133)/B133</f>
        <v/>
      </c>
    </row>
    <row r="146">
      <c r="A146" s="17" t="n">
        <v>30529</v>
      </c>
      <c r="B146" s="58">
        <f>VLOOKUP(Table17[[#This Row],[Date]],database!A:H,7,)</f>
        <v/>
      </c>
      <c r="C146" s="66">
        <f>B146/B145-1</f>
        <v/>
      </c>
      <c r="D146" s="66">
        <f>(Table17[[#This Row],[Index]]-B134)/B134</f>
        <v/>
      </c>
    </row>
    <row r="147">
      <c r="A147" s="17" t="n">
        <v>30560</v>
      </c>
      <c r="B147" s="58">
        <f>VLOOKUP(Table17[[#This Row],[Date]],database!A:H,7,)</f>
        <v/>
      </c>
      <c r="C147" s="66">
        <f>B147/B146-1</f>
        <v/>
      </c>
      <c r="D147" s="66">
        <f>(Table17[[#This Row],[Index]]-B135)/B135</f>
        <v/>
      </c>
    </row>
    <row r="148">
      <c r="A148" s="17" t="n">
        <v>30590</v>
      </c>
      <c r="B148" s="58">
        <f>VLOOKUP(Table17[[#This Row],[Date]],database!A:H,7,)</f>
        <v/>
      </c>
      <c r="C148" s="66">
        <f>B148/B147-1</f>
        <v/>
      </c>
      <c r="D148" s="66">
        <f>(Table17[[#This Row],[Index]]-B136)/B136</f>
        <v/>
      </c>
    </row>
    <row r="149">
      <c r="A149" s="17" t="n">
        <v>30621</v>
      </c>
      <c r="B149" s="58">
        <f>VLOOKUP(Table17[[#This Row],[Date]],database!A:H,7,)</f>
        <v/>
      </c>
      <c r="C149" s="66">
        <f>B149/B148-1</f>
        <v/>
      </c>
      <c r="D149" s="66">
        <f>(Table17[[#This Row],[Index]]-B137)/B137</f>
        <v/>
      </c>
    </row>
    <row r="150">
      <c r="A150" s="17" t="n">
        <v>30651</v>
      </c>
      <c r="B150" s="58">
        <f>VLOOKUP(Table17[[#This Row],[Date]],database!A:H,7,)</f>
        <v/>
      </c>
      <c r="C150" s="66">
        <f>B150/B149-1</f>
        <v/>
      </c>
      <c r="D150" s="66">
        <f>(Table17[[#This Row],[Index]]-B138)/B138</f>
        <v/>
      </c>
    </row>
    <row r="151">
      <c r="A151" s="17" t="n">
        <v>30682</v>
      </c>
      <c r="B151" s="58">
        <f>VLOOKUP(Table17[[#This Row],[Date]],database!A:H,7,)</f>
        <v/>
      </c>
      <c r="C151" s="66">
        <f>B151/B150-1</f>
        <v/>
      </c>
      <c r="D151" s="66">
        <f>(Table17[[#This Row],[Index]]-B139)/B139</f>
        <v/>
      </c>
    </row>
    <row r="152">
      <c r="A152" s="17" t="n">
        <v>30713</v>
      </c>
      <c r="B152" s="58">
        <f>VLOOKUP(Table17[[#This Row],[Date]],database!A:H,7,)</f>
        <v/>
      </c>
      <c r="C152" s="66">
        <f>B152/B151-1</f>
        <v/>
      </c>
      <c r="D152" s="66">
        <f>(Table17[[#This Row],[Index]]-B140)/B140</f>
        <v/>
      </c>
    </row>
    <row r="153">
      <c r="A153" s="17" t="n">
        <v>30742</v>
      </c>
      <c r="B153" s="58">
        <f>VLOOKUP(Table17[[#This Row],[Date]],database!A:H,7,)</f>
        <v/>
      </c>
      <c r="C153" s="66">
        <f>B153/B152-1</f>
        <v/>
      </c>
      <c r="D153" s="66">
        <f>(Table17[[#This Row],[Index]]-B141)/B141</f>
        <v/>
      </c>
    </row>
    <row r="154">
      <c r="A154" s="17" t="n">
        <v>30773</v>
      </c>
      <c r="B154" s="58">
        <f>VLOOKUP(Table17[[#This Row],[Date]],database!A:H,7,)</f>
        <v/>
      </c>
      <c r="C154" s="66">
        <f>B154/B153-1</f>
        <v/>
      </c>
      <c r="D154" s="66">
        <f>(Table17[[#This Row],[Index]]-B142)/B142</f>
        <v/>
      </c>
    </row>
    <row r="155">
      <c r="A155" s="17" t="n">
        <v>30803</v>
      </c>
      <c r="B155" s="58">
        <f>VLOOKUP(Table17[[#This Row],[Date]],database!A:H,7,)</f>
        <v/>
      </c>
      <c r="C155" s="66">
        <f>B155/B154-1</f>
        <v/>
      </c>
      <c r="D155" s="66">
        <f>(Table17[[#This Row],[Index]]-B143)/B143</f>
        <v/>
      </c>
    </row>
    <row r="156">
      <c r="A156" s="17" t="n">
        <v>30834</v>
      </c>
      <c r="B156" s="58">
        <f>VLOOKUP(Table17[[#This Row],[Date]],database!A:H,7,)</f>
        <v/>
      </c>
      <c r="C156" s="66">
        <f>B156/B155-1</f>
        <v/>
      </c>
      <c r="D156" s="66">
        <f>(Table17[[#This Row],[Index]]-B144)/B144</f>
        <v/>
      </c>
    </row>
    <row r="157">
      <c r="A157" s="17" t="n">
        <v>30864</v>
      </c>
      <c r="B157" s="58">
        <f>VLOOKUP(Table17[[#This Row],[Date]],database!A:H,7,)</f>
        <v/>
      </c>
      <c r="C157" s="66">
        <f>B157/B156-1</f>
        <v/>
      </c>
      <c r="D157" s="66">
        <f>(Table17[[#This Row],[Index]]-B145)/B145</f>
        <v/>
      </c>
    </row>
    <row r="158">
      <c r="A158" s="17" t="n">
        <v>30895</v>
      </c>
      <c r="B158" s="58">
        <f>VLOOKUP(Table17[[#This Row],[Date]],database!A:H,7,)</f>
        <v/>
      </c>
      <c r="C158" s="66">
        <f>B158/B157-1</f>
        <v/>
      </c>
      <c r="D158" s="66">
        <f>(Table17[[#This Row],[Index]]-B146)/B146</f>
        <v/>
      </c>
    </row>
    <row r="159">
      <c r="A159" s="17" t="n">
        <v>30926</v>
      </c>
      <c r="B159" s="58">
        <f>VLOOKUP(Table17[[#This Row],[Date]],database!A:H,7,)</f>
        <v/>
      </c>
      <c r="C159" s="66">
        <f>B159/B158-1</f>
        <v/>
      </c>
      <c r="D159" s="66">
        <f>(Table17[[#This Row],[Index]]-B147)/B147</f>
        <v/>
      </c>
    </row>
    <row r="160">
      <c r="A160" s="17" t="n">
        <v>30956</v>
      </c>
      <c r="B160" s="58">
        <f>VLOOKUP(Table17[[#This Row],[Date]],database!A:H,7,)</f>
        <v/>
      </c>
      <c r="C160" s="66">
        <f>B160/B159-1</f>
        <v/>
      </c>
      <c r="D160" s="66">
        <f>(Table17[[#This Row],[Index]]-B148)/B148</f>
        <v/>
      </c>
    </row>
    <row r="161">
      <c r="A161" s="17" t="n">
        <v>30987</v>
      </c>
      <c r="B161" s="58">
        <f>VLOOKUP(Table17[[#This Row],[Date]],database!A:H,7,)</f>
        <v/>
      </c>
      <c r="C161" s="66">
        <f>B161/B160-1</f>
        <v/>
      </c>
      <c r="D161" s="66">
        <f>(Table17[[#This Row],[Index]]-B149)/B149</f>
        <v/>
      </c>
    </row>
    <row r="162">
      <c r="A162" s="17" t="n">
        <v>31017</v>
      </c>
      <c r="B162" s="58">
        <f>VLOOKUP(Table17[[#This Row],[Date]],database!A:H,7,)</f>
        <v/>
      </c>
      <c r="C162" s="66">
        <f>B162/B161-1</f>
        <v/>
      </c>
      <c r="D162" s="66">
        <f>(Table17[[#This Row],[Index]]-B150)/B150</f>
        <v/>
      </c>
    </row>
    <row r="163">
      <c r="A163" s="17" t="n">
        <v>31048</v>
      </c>
      <c r="B163" s="58">
        <f>VLOOKUP(Table17[[#This Row],[Date]],database!A:H,7,)</f>
        <v/>
      </c>
      <c r="C163" s="66">
        <f>B163/B162-1</f>
        <v/>
      </c>
      <c r="D163" s="66">
        <f>(Table17[[#This Row],[Index]]-B151)/B151</f>
        <v/>
      </c>
    </row>
    <row r="164">
      <c r="A164" s="17" t="n">
        <v>31079</v>
      </c>
      <c r="B164" s="58">
        <f>VLOOKUP(Table17[[#This Row],[Date]],database!A:H,7,)</f>
        <v/>
      </c>
      <c r="C164" s="66">
        <f>B164/B163-1</f>
        <v/>
      </c>
      <c r="D164" s="66">
        <f>(Table17[[#This Row],[Index]]-B152)/B152</f>
        <v/>
      </c>
    </row>
    <row r="165">
      <c r="A165" s="17" t="n">
        <v>31107</v>
      </c>
      <c r="B165" s="58">
        <f>VLOOKUP(Table17[[#This Row],[Date]],database!A:H,7,)</f>
        <v/>
      </c>
      <c r="C165" s="66">
        <f>B165/B164-1</f>
        <v/>
      </c>
      <c r="D165" s="66">
        <f>(Table17[[#This Row],[Index]]-B153)/B153</f>
        <v/>
      </c>
    </row>
    <row r="166">
      <c r="A166" s="17" t="n">
        <v>31138</v>
      </c>
      <c r="B166" s="58">
        <f>VLOOKUP(Table17[[#This Row],[Date]],database!A:H,7,)</f>
        <v/>
      </c>
      <c r="C166" s="66">
        <f>B166/B165-1</f>
        <v/>
      </c>
      <c r="D166" s="66">
        <f>(Table17[[#This Row],[Index]]-B154)/B154</f>
        <v/>
      </c>
    </row>
    <row r="167">
      <c r="A167" s="17" t="n">
        <v>31168</v>
      </c>
      <c r="B167" s="58">
        <f>VLOOKUP(Table17[[#This Row],[Date]],database!A:H,7,)</f>
        <v/>
      </c>
      <c r="C167" s="66">
        <f>B167/B166-1</f>
        <v/>
      </c>
      <c r="D167" s="66">
        <f>(Table17[[#This Row],[Index]]-B155)/B155</f>
        <v/>
      </c>
    </row>
    <row r="168">
      <c r="A168" s="17" t="n">
        <v>31199</v>
      </c>
      <c r="B168" s="58">
        <f>VLOOKUP(Table17[[#This Row],[Date]],database!A:H,7,)</f>
        <v/>
      </c>
      <c r="C168" s="66">
        <f>B168/B167-1</f>
        <v/>
      </c>
      <c r="D168" s="66">
        <f>(Table17[[#This Row],[Index]]-B156)/B156</f>
        <v/>
      </c>
    </row>
    <row r="169">
      <c r="A169" s="17" t="n">
        <v>31229</v>
      </c>
      <c r="B169" s="58">
        <f>VLOOKUP(Table17[[#This Row],[Date]],database!A:H,7,)</f>
        <v/>
      </c>
      <c r="C169" s="66">
        <f>B169/B168-1</f>
        <v/>
      </c>
      <c r="D169" s="66">
        <f>(Table17[[#This Row],[Index]]-B157)/B157</f>
        <v/>
      </c>
    </row>
    <row r="170">
      <c r="A170" s="17" t="n">
        <v>31260</v>
      </c>
      <c r="B170" s="58">
        <f>VLOOKUP(Table17[[#This Row],[Date]],database!A:H,7,)</f>
        <v/>
      </c>
      <c r="C170" s="66">
        <f>B170/B169-1</f>
        <v/>
      </c>
      <c r="D170" s="66">
        <f>(Table17[[#This Row],[Index]]-B158)/B158</f>
        <v/>
      </c>
    </row>
    <row r="171">
      <c r="A171" s="17" t="n">
        <v>31291</v>
      </c>
      <c r="B171" s="58">
        <f>VLOOKUP(Table17[[#This Row],[Date]],database!A:H,7,)</f>
        <v/>
      </c>
      <c r="C171" s="66">
        <f>B171/B170-1</f>
        <v/>
      </c>
      <c r="D171" s="66">
        <f>(Table17[[#This Row],[Index]]-B159)/B159</f>
        <v/>
      </c>
    </row>
    <row r="172">
      <c r="A172" s="17" t="n">
        <v>31321</v>
      </c>
      <c r="B172" s="58">
        <f>VLOOKUP(Table17[[#This Row],[Date]],database!A:H,7,)</f>
        <v/>
      </c>
      <c r="C172" s="66">
        <f>B172/B171-1</f>
        <v/>
      </c>
      <c r="D172" s="66">
        <f>(Table17[[#This Row],[Index]]-B160)/B160</f>
        <v/>
      </c>
    </row>
    <row r="173">
      <c r="A173" s="17" t="n">
        <v>31352</v>
      </c>
      <c r="B173" s="58">
        <f>VLOOKUP(Table17[[#This Row],[Date]],database!A:H,7,)</f>
        <v/>
      </c>
      <c r="C173" s="66">
        <f>B173/B172-1</f>
        <v/>
      </c>
      <c r="D173" s="66">
        <f>(Table17[[#This Row],[Index]]-B161)/B161</f>
        <v/>
      </c>
    </row>
    <row r="174">
      <c r="A174" s="17" t="n">
        <v>31382</v>
      </c>
      <c r="B174" s="58">
        <f>VLOOKUP(Table17[[#This Row],[Date]],database!A:H,7,)</f>
        <v/>
      </c>
      <c r="C174" s="66">
        <f>B174/B173-1</f>
        <v/>
      </c>
      <c r="D174" s="66">
        <f>(Table17[[#This Row],[Index]]-B162)/B162</f>
        <v/>
      </c>
    </row>
    <row r="175">
      <c r="A175" s="17" t="n">
        <v>31413</v>
      </c>
      <c r="B175" s="58">
        <f>VLOOKUP(Table17[[#This Row],[Date]],database!A:H,7,)</f>
        <v/>
      </c>
      <c r="C175" s="66">
        <f>B175/B174-1</f>
        <v/>
      </c>
      <c r="D175" s="66">
        <f>(Table17[[#This Row],[Index]]-B163)/B163</f>
        <v/>
      </c>
    </row>
    <row r="176">
      <c r="A176" s="17" t="n">
        <v>31444</v>
      </c>
      <c r="B176" s="58">
        <f>VLOOKUP(Table17[[#This Row],[Date]],database!A:H,7,)</f>
        <v/>
      </c>
      <c r="C176" s="66">
        <f>B176/B175-1</f>
        <v/>
      </c>
      <c r="D176" s="66">
        <f>(Table17[[#This Row],[Index]]-B164)/B164</f>
        <v/>
      </c>
    </row>
    <row r="177">
      <c r="A177" s="17" t="n">
        <v>31472</v>
      </c>
      <c r="B177" s="58">
        <f>VLOOKUP(Table17[[#This Row],[Date]],database!A:H,7,)</f>
        <v/>
      </c>
      <c r="C177" s="66">
        <f>B177/B176-1</f>
        <v/>
      </c>
      <c r="D177" s="66">
        <f>(Table17[[#This Row],[Index]]-B165)/B165</f>
        <v/>
      </c>
    </row>
    <row r="178">
      <c r="A178" s="17" t="n">
        <v>31503</v>
      </c>
      <c r="B178" s="58">
        <f>VLOOKUP(Table17[[#This Row],[Date]],database!A:H,7,)</f>
        <v/>
      </c>
      <c r="C178" s="66">
        <f>B178/B177-1</f>
        <v/>
      </c>
      <c r="D178" s="66">
        <f>(Table17[[#This Row],[Index]]-B166)/B166</f>
        <v/>
      </c>
    </row>
    <row r="179">
      <c r="A179" s="17" t="n">
        <v>31533</v>
      </c>
      <c r="B179" s="58">
        <f>VLOOKUP(Table17[[#This Row],[Date]],database!A:H,7,)</f>
        <v/>
      </c>
      <c r="C179" s="66">
        <f>B179/B178-1</f>
        <v/>
      </c>
      <c r="D179" s="66">
        <f>(Table17[[#This Row],[Index]]-B167)/B167</f>
        <v/>
      </c>
    </row>
    <row r="180">
      <c r="A180" s="17" t="n">
        <v>31564</v>
      </c>
      <c r="B180" s="58">
        <f>VLOOKUP(Table17[[#This Row],[Date]],database!A:H,7,)</f>
        <v/>
      </c>
      <c r="C180" s="66">
        <f>B180/B179-1</f>
        <v/>
      </c>
      <c r="D180" s="66">
        <f>(Table17[[#This Row],[Index]]-B168)/B168</f>
        <v/>
      </c>
    </row>
    <row r="181">
      <c r="A181" s="17" t="n">
        <v>31594</v>
      </c>
      <c r="B181" s="58">
        <f>VLOOKUP(Table17[[#This Row],[Date]],database!A:H,7,)</f>
        <v/>
      </c>
      <c r="C181" s="66">
        <f>B181/B180-1</f>
        <v/>
      </c>
      <c r="D181" s="66">
        <f>(Table17[[#This Row],[Index]]-B169)/B169</f>
        <v/>
      </c>
    </row>
    <row r="182">
      <c r="A182" s="17" t="n">
        <v>31625</v>
      </c>
      <c r="B182" s="58">
        <f>VLOOKUP(Table17[[#This Row],[Date]],database!A:H,7,)</f>
        <v/>
      </c>
      <c r="C182" s="66">
        <f>B182/B181-1</f>
        <v/>
      </c>
      <c r="D182" s="66">
        <f>(Table17[[#This Row],[Index]]-B170)/B170</f>
        <v/>
      </c>
    </row>
    <row r="183">
      <c r="A183" s="17" t="n">
        <v>31656</v>
      </c>
      <c r="B183" s="58">
        <f>VLOOKUP(Table17[[#This Row],[Date]],database!A:H,7,)</f>
        <v/>
      </c>
      <c r="C183" s="66">
        <f>B183/B182-1</f>
        <v/>
      </c>
      <c r="D183" s="66">
        <f>(Table17[[#This Row],[Index]]-B171)/B171</f>
        <v/>
      </c>
    </row>
    <row r="184">
      <c r="A184" s="17" t="n">
        <v>31686</v>
      </c>
      <c r="B184" s="58">
        <f>VLOOKUP(Table17[[#This Row],[Date]],database!A:H,7,)</f>
        <v/>
      </c>
      <c r="C184" s="66">
        <f>B184/B183-1</f>
        <v/>
      </c>
      <c r="D184" s="66">
        <f>(Table17[[#This Row],[Index]]-B172)/B172</f>
        <v/>
      </c>
    </row>
    <row r="185">
      <c r="A185" s="17" t="n">
        <v>31717</v>
      </c>
      <c r="B185" s="58">
        <f>VLOOKUP(Table17[[#This Row],[Date]],database!A:H,7,)</f>
        <v/>
      </c>
      <c r="C185" s="66">
        <f>B185/B184-1</f>
        <v/>
      </c>
      <c r="D185" s="66">
        <f>(Table17[[#This Row],[Index]]-B173)/B173</f>
        <v/>
      </c>
    </row>
    <row r="186">
      <c r="A186" s="17" t="n">
        <v>31747</v>
      </c>
      <c r="B186" s="58">
        <f>VLOOKUP(Table17[[#This Row],[Date]],database!A:H,7,)</f>
        <v/>
      </c>
      <c r="C186" s="66">
        <f>B186/B185-1</f>
        <v/>
      </c>
      <c r="D186" s="66">
        <f>(Table17[[#This Row],[Index]]-B174)/B174</f>
        <v/>
      </c>
    </row>
    <row r="187">
      <c r="A187" s="17" t="n">
        <v>31778</v>
      </c>
      <c r="B187" s="58">
        <f>VLOOKUP(Table17[[#This Row],[Date]],database!A:H,7,)</f>
        <v/>
      </c>
      <c r="C187" s="66">
        <f>B187/B186-1</f>
        <v/>
      </c>
      <c r="D187" s="66">
        <f>(Table17[[#This Row],[Index]]-B175)/B175</f>
        <v/>
      </c>
    </row>
    <row r="188">
      <c r="A188" s="17" t="n">
        <v>31809</v>
      </c>
      <c r="B188" s="58">
        <f>VLOOKUP(Table17[[#This Row],[Date]],database!A:H,7,)</f>
        <v/>
      </c>
      <c r="C188" s="66">
        <f>B188/B187-1</f>
        <v/>
      </c>
      <c r="D188" s="66">
        <f>(Table17[[#This Row],[Index]]-B176)/B176</f>
        <v/>
      </c>
    </row>
    <row r="189">
      <c r="A189" s="17" t="n">
        <v>31837</v>
      </c>
      <c r="B189" s="58">
        <f>VLOOKUP(Table17[[#This Row],[Date]],database!A:H,7,)</f>
        <v/>
      </c>
      <c r="C189" s="66">
        <f>B189/B188-1</f>
        <v/>
      </c>
      <c r="D189" s="66">
        <f>(Table17[[#This Row],[Index]]-B177)/B177</f>
        <v/>
      </c>
    </row>
    <row r="190">
      <c r="A190" s="17" t="n">
        <v>31868</v>
      </c>
      <c r="B190" s="58">
        <f>VLOOKUP(Table17[[#This Row],[Date]],database!A:H,7,)</f>
        <v/>
      </c>
      <c r="C190" s="66">
        <f>B190/B189-1</f>
        <v/>
      </c>
      <c r="D190" s="66">
        <f>(Table17[[#This Row],[Index]]-B178)/B178</f>
        <v/>
      </c>
    </row>
    <row r="191">
      <c r="A191" s="17" t="n">
        <v>31898</v>
      </c>
      <c r="B191" s="58">
        <f>VLOOKUP(Table17[[#This Row],[Date]],database!A:H,7,)</f>
        <v/>
      </c>
      <c r="C191" s="66">
        <f>B191/B190-1</f>
        <v/>
      </c>
      <c r="D191" s="66">
        <f>(Table17[[#This Row],[Index]]-B179)/B179</f>
        <v/>
      </c>
    </row>
    <row r="192">
      <c r="A192" s="17" t="n">
        <v>31929</v>
      </c>
      <c r="B192" s="58">
        <f>VLOOKUP(Table17[[#This Row],[Date]],database!A:H,7,)</f>
        <v/>
      </c>
      <c r="C192" s="66">
        <f>B192/B191-1</f>
        <v/>
      </c>
      <c r="D192" s="66">
        <f>(Table17[[#This Row],[Index]]-B180)/B180</f>
        <v/>
      </c>
    </row>
    <row r="193">
      <c r="A193" s="17" t="n">
        <v>31959</v>
      </c>
      <c r="B193" s="58">
        <f>VLOOKUP(Table17[[#This Row],[Date]],database!A:H,7,)</f>
        <v/>
      </c>
      <c r="C193" s="66">
        <f>B193/B192-1</f>
        <v/>
      </c>
      <c r="D193" s="66">
        <f>(Table17[[#This Row],[Index]]-B181)/B181</f>
        <v/>
      </c>
    </row>
    <row r="194">
      <c r="A194" s="17" t="n">
        <v>31990</v>
      </c>
      <c r="B194" s="58">
        <f>VLOOKUP(Table17[[#This Row],[Date]],database!A:H,7,)</f>
        <v/>
      </c>
      <c r="C194" s="66">
        <f>B194/B193-1</f>
        <v/>
      </c>
      <c r="D194" s="66">
        <f>(Table17[[#This Row],[Index]]-B182)/B182</f>
        <v/>
      </c>
    </row>
    <row r="195">
      <c r="A195" s="17" t="n">
        <v>32021</v>
      </c>
      <c r="B195" s="58">
        <f>VLOOKUP(Table17[[#This Row],[Date]],database!A:H,7,)</f>
        <v/>
      </c>
      <c r="C195" s="66">
        <f>B195/B194-1</f>
        <v/>
      </c>
      <c r="D195" s="66">
        <f>(Table17[[#This Row],[Index]]-B183)/B183</f>
        <v/>
      </c>
    </row>
    <row r="196">
      <c r="A196" s="17" t="n">
        <v>32051</v>
      </c>
      <c r="B196" s="58">
        <f>VLOOKUP(Table17[[#This Row],[Date]],database!A:H,7,)</f>
        <v/>
      </c>
      <c r="C196" s="66">
        <f>B196/B195-1</f>
        <v/>
      </c>
      <c r="D196" s="66">
        <f>(Table17[[#This Row],[Index]]-B184)/B184</f>
        <v/>
      </c>
    </row>
    <row r="197">
      <c r="A197" s="17" t="n">
        <v>32082</v>
      </c>
      <c r="B197" s="58">
        <f>VLOOKUP(Table17[[#This Row],[Date]],database!A:H,7,)</f>
        <v/>
      </c>
      <c r="C197" s="66">
        <f>B197/B196-1</f>
        <v/>
      </c>
      <c r="D197" s="66">
        <f>(Table17[[#This Row],[Index]]-B185)/B185</f>
        <v/>
      </c>
    </row>
    <row r="198">
      <c r="A198" s="17" t="n">
        <v>32112</v>
      </c>
      <c r="B198" s="58">
        <f>VLOOKUP(Table17[[#This Row],[Date]],database!A:H,7,)</f>
        <v/>
      </c>
      <c r="C198" s="66">
        <f>B198/B197-1</f>
        <v/>
      </c>
      <c r="D198" s="66">
        <f>(Table17[[#This Row],[Index]]-B186)/B186</f>
        <v/>
      </c>
    </row>
    <row r="199">
      <c r="A199" s="17" t="n">
        <v>32143</v>
      </c>
      <c r="B199" s="58">
        <f>VLOOKUP(Table17[[#This Row],[Date]],database!A:H,7,)</f>
        <v/>
      </c>
      <c r="C199" s="66">
        <f>B199/B198-1</f>
        <v/>
      </c>
      <c r="D199" s="66">
        <f>(Table17[[#This Row],[Index]]-B187)/B187</f>
        <v/>
      </c>
    </row>
    <row r="200">
      <c r="A200" s="17" t="n">
        <v>32174</v>
      </c>
      <c r="B200" s="58">
        <f>VLOOKUP(Table17[[#This Row],[Date]],database!A:H,7,)</f>
        <v/>
      </c>
      <c r="C200" s="66">
        <f>B200/B199-1</f>
        <v/>
      </c>
      <c r="D200" s="66">
        <f>(Table17[[#This Row],[Index]]-B188)/B188</f>
        <v/>
      </c>
    </row>
    <row r="201">
      <c r="A201" s="17" t="n">
        <v>32203</v>
      </c>
      <c r="B201" s="58">
        <f>VLOOKUP(Table17[[#This Row],[Date]],database!A:H,7,)</f>
        <v/>
      </c>
      <c r="C201" s="66">
        <f>B201/B200-1</f>
        <v/>
      </c>
      <c r="D201" s="66">
        <f>(Table17[[#This Row],[Index]]-B189)/B189</f>
        <v/>
      </c>
    </row>
    <row r="202">
      <c r="A202" s="17" t="n">
        <v>32234</v>
      </c>
      <c r="B202" s="58">
        <f>VLOOKUP(Table17[[#This Row],[Date]],database!A:H,7,)</f>
        <v/>
      </c>
      <c r="C202" s="66">
        <f>B202/B201-1</f>
        <v/>
      </c>
      <c r="D202" s="66">
        <f>(Table17[[#This Row],[Index]]-B190)/B190</f>
        <v/>
      </c>
    </row>
    <row r="203">
      <c r="A203" s="17" t="n">
        <v>32264</v>
      </c>
      <c r="B203" s="58">
        <f>VLOOKUP(Table17[[#This Row],[Date]],database!A:H,7,)</f>
        <v/>
      </c>
      <c r="C203" s="66">
        <f>B203/B202-1</f>
        <v/>
      </c>
      <c r="D203" s="66">
        <f>(Table17[[#This Row],[Index]]-B191)/B191</f>
        <v/>
      </c>
    </row>
    <row r="204">
      <c r="A204" s="17" t="n">
        <v>32295</v>
      </c>
      <c r="B204" s="58">
        <f>VLOOKUP(Table17[[#This Row],[Date]],database!A:H,7,)</f>
        <v/>
      </c>
      <c r="C204" s="66">
        <f>B204/B203-1</f>
        <v/>
      </c>
      <c r="D204" s="66">
        <f>(Table17[[#This Row],[Index]]-B192)/B192</f>
        <v/>
      </c>
    </row>
    <row r="205">
      <c r="A205" s="17" t="n">
        <v>32325</v>
      </c>
      <c r="B205" s="58">
        <f>VLOOKUP(Table17[[#This Row],[Date]],database!A:H,7,)</f>
        <v/>
      </c>
      <c r="C205" s="66">
        <f>B205/B204-1</f>
        <v/>
      </c>
      <c r="D205" s="66">
        <f>(Table17[[#This Row],[Index]]-B193)/B193</f>
        <v/>
      </c>
    </row>
    <row r="206">
      <c r="A206" s="17" t="n">
        <v>32356</v>
      </c>
      <c r="B206" s="58">
        <f>VLOOKUP(Table17[[#This Row],[Date]],database!A:H,7,)</f>
        <v/>
      </c>
      <c r="C206" s="66">
        <f>B206/B205-1</f>
        <v/>
      </c>
      <c r="D206" s="66">
        <f>(Table17[[#This Row],[Index]]-B194)/B194</f>
        <v/>
      </c>
    </row>
    <row r="207">
      <c r="A207" s="17" t="n">
        <v>32387</v>
      </c>
      <c r="B207" s="58">
        <f>VLOOKUP(Table17[[#This Row],[Date]],database!A:H,7,)</f>
        <v/>
      </c>
      <c r="C207" s="66">
        <f>B207/B206-1</f>
        <v/>
      </c>
      <c r="D207" s="66">
        <f>(Table17[[#This Row],[Index]]-B195)/B195</f>
        <v/>
      </c>
    </row>
    <row r="208">
      <c r="A208" s="17" t="n">
        <v>32417</v>
      </c>
      <c r="B208" s="58">
        <f>VLOOKUP(Table17[[#This Row],[Date]],database!A:H,7,)</f>
        <v/>
      </c>
      <c r="C208" s="66">
        <f>B208/B207-1</f>
        <v/>
      </c>
      <c r="D208" s="66">
        <f>(Table17[[#This Row],[Index]]-B196)/B196</f>
        <v/>
      </c>
    </row>
    <row r="209">
      <c r="A209" s="17" t="n">
        <v>32448</v>
      </c>
      <c r="B209" s="58">
        <f>VLOOKUP(Table17[[#This Row],[Date]],database!A:H,7,)</f>
        <v/>
      </c>
      <c r="C209" s="66">
        <f>B209/B208-1</f>
        <v/>
      </c>
      <c r="D209" s="66">
        <f>(Table17[[#This Row],[Index]]-B197)/B197</f>
        <v/>
      </c>
    </row>
    <row r="210">
      <c r="A210" s="17" t="n">
        <v>32478</v>
      </c>
      <c r="B210" s="58">
        <f>VLOOKUP(Table17[[#This Row],[Date]],database!A:H,7,)</f>
        <v/>
      </c>
      <c r="C210" s="66">
        <f>B210/B209-1</f>
        <v/>
      </c>
      <c r="D210" s="66">
        <f>(Table17[[#This Row],[Index]]-B198)/B198</f>
        <v/>
      </c>
    </row>
    <row r="211">
      <c r="A211" s="17" t="n">
        <v>32509</v>
      </c>
      <c r="B211" s="58">
        <f>VLOOKUP(Table17[[#This Row],[Date]],database!A:H,7,)</f>
        <v/>
      </c>
      <c r="C211" s="66">
        <f>B211/B210-1</f>
        <v/>
      </c>
      <c r="D211" s="66">
        <f>(Table17[[#This Row],[Index]]-B199)/B199</f>
        <v/>
      </c>
    </row>
    <row r="212">
      <c r="A212" s="17" t="n">
        <v>32540</v>
      </c>
      <c r="B212" s="58">
        <f>VLOOKUP(Table17[[#This Row],[Date]],database!A:H,7,)</f>
        <v/>
      </c>
      <c r="C212" s="66">
        <f>B212/B211-1</f>
        <v/>
      </c>
      <c r="D212" s="66">
        <f>(Table17[[#This Row],[Index]]-B200)/B200</f>
        <v/>
      </c>
    </row>
    <row r="213">
      <c r="A213" s="17" t="n">
        <v>32568</v>
      </c>
      <c r="B213" s="58">
        <f>VLOOKUP(Table17[[#This Row],[Date]],database!A:H,7,)</f>
        <v/>
      </c>
      <c r="C213" s="66">
        <f>B213/B212-1</f>
        <v/>
      </c>
      <c r="D213" s="66">
        <f>(Table17[[#This Row],[Index]]-B201)/B201</f>
        <v/>
      </c>
    </row>
    <row r="214">
      <c r="A214" s="17" t="n">
        <v>32599</v>
      </c>
      <c r="B214" s="58">
        <f>VLOOKUP(Table17[[#This Row],[Date]],database!A:H,7,)</f>
        <v/>
      </c>
      <c r="C214" s="66">
        <f>B214/B213-1</f>
        <v/>
      </c>
      <c r="D214" s="66">
        <f>(Table17[[#This Row],[Index]]-B202)/B202</f>
        <v/>
      </c>
    </row>
    <row r="215">
      <c r="A215" s="17" t="n">
        <v>32629</v>
      </c>
      <c r="B215" s="58">
        <f>VLOOKUP(Table17[[#This Row],[Date]],database!A:H,7,)</f>
        <v/>
      </c>
      <c r="C215" s="66">
        <f>B215/B214-1</f>
        <v/>
      </c>
      <c r="D215" s="66">
        <f>(Table17[[#This Row],[Index]]-B203)/B203</f>
        <v/>
      </c>
    </row>
    <row r="216">
      <c r="A216" s="17" t="n">
        <v>32660</v>
      </c>
      <c r="B216" s="58">
        <f>VLOOKUP(Table17[[#This Row],[Date]],database!A:H,7,)</f>
        <v/>
      </c>
      <c r="C216" s="66">
        <f>B216/B215-1</f>
        <v/>
      </c>
      <c r="D216" s="66">
        <f>(Table17[[#This Row],[Index]]-B204)/B204</f>
        <v/>
      </c>
    </row>
    <row r="217">
      <c r="A217" s="17" t="n">
        <v>32690</v>
      </c>
      <c r="B217" s="58">
        <f>VLOOKUP(Table17[[#This Row],[Date]],database!A:H,7,)</f>
        <v/>
      </c>
      <c r="C217" s="66">
        <f>B217/B216-1</f>
        <v/>
      </c>
      <c r="D217" s="66">
        <f>(Table17[[#This Row],[Index]]-B205)/B205</f>
        <v/>
      </c>
    </row>
    <row r="218">
      <c r="A218" s="17" t="n">
        <v>32721</v>
      </c>
      <c r="B218" s="58">
        <f>VLOOKUP(Table17[[#This Row],[Date]],database!A:H,7,)</f>
        <v/>
      </c>
      <c r="C218" s="66">
        <f>B218/B217-1</f>
        <v/>
      </c>
      <c r="D218" s="66">
        <f>(Table17[[#This Row],[Index]]-B206)/B206</f>
        <v/>
      </c>
    </row>
    <row r="219">
      <c r="A219" s="17" t="n">
        <v>32752</v>
      </c>
      <c r="B219" s="58">
        <f>VLOOKUP(Table17[[#This Row],[Date]],database!A:H,7,)</f>
        <v/>
      </c>
      <c r="C219" s="66">
        <f>B219/B218-1</f>
        <v/>
      </c>
      <c r="D219" s="66">
        <f>(Table17[[#This Row],[Index]]-B207)/B207</f>
        <v/>
      </c>
    </row>
    <row r="220">
      <c r="A220" s="17" t="n">
        <v>32782</v>
      </c>
      <c r="B220" s="58">
        <f>VLOOKUP(Table17[[#This Row],[Date]],database!A:H,7,)</f>
        <v/>
      </c>
      <c r="C220" s="66">
        <f>B220/B219-1</f>
        <v/>
      </c>
      <c r="D220" s="66">
        <f>(Table17[[#This Row],[Index]]-B208)/B208</f>
        <v/>
      </c>
    </row>
    <row r="221">
      <c r="A221" s="17" t="n">
        <v>32813</v>
      </c>
      <c r="B221" s="58">
        <f>VLOOKUP(Table17[[#This Row],[Date]],database!A:H,7,)</f>
        <v/>
      </c>
      <c r="C221" s="66">
        <f>B221/B220-1</f>
        <v/>
      </c>
      <c r="D221" s="66">
        <f>(Table17[[#This Row],[Index]]-B209)/B209</f>
        <v/>
      </c>
    </row>
    <row r="222">
      <c r="A222" s="17" t="n">
        <v>32843</v>
      </c>
      <c r="B222" s="58">
        <f>VLOOKUP(Table17[[#This Row],[Date]],database!A:H,7,)</f>
        <v/>
      </c>
      <c r="C222" s="66">
        <f>B222/B221-1</f>
        <v/>
      </c>
      <c r="D222" s="66">
        <f>(Table17[[#This Row],[Index]]-B210)/B210</f>
        <v/>
      </c>
    </row>
    <row r="223">
      <c r="A223" s="17" t="n">
        <v>32874</v>
      </c>
      <c r="B223" s="58">
        <f>VLOOKUP(Table17[[#This Row],[Date]],database!A:H,7,)</f>
        <v/>
      </c>
      <c r="C223" s="66">
        <f>B223/B222-1</f>
        <v/>
      </c>
      <c r="D223" s="66">
        <f>(Table17[[#This Row],[Index]]-B211)/B211</f>
        <v/>
      </c>
    </row>
    <row r="224">
      <c r="A224" s="17" t="n">
        <v>32905</v>
      </c>
      <c r="B224" s="58">
        <f>VLOOKUP(Table17[[#This Row],[Date]],database!A:H,7,)</f>
        <v/>
      </c>
      <c r="C224" s="66">
        <f>B224/B223-1</f>
        <v/>
      </c>
      <c r="D224" s="66">
        <f>(Table17[[#This Row],[Index]]-B212)/B212</f>
        <v/>
      </c>
    </row>
    <row r="225">
      <c r="A225" s="17" t="n">
        <v>32933</v>
      </c>
      <c r="B225" s="58">
        <f>VLOOKUP(Table17[[#This Row],[Date]],database!A:H,7,)</f>
        <v/>
      </c>
      <c r="C225" s="66">
        <f>B225/B224-1</f>
        <v/>
      </c>
      <c r="D225" s="66">
        <f>(Table17[[#This Row],[Index]]-B213)/B213</f>
        <v/>
      </c>
    </row>
    <row r="226">
      <c r="A226" s="17" t="n">
        <v>32964</v>
      </c>
      <c r="B226" s="58">
        <f>VLOOKUP(Table17[[#This Row],[Date]],database!A:H,7,)</f>
        <v/>
      </c>
      <c r="C226" s="66">
        <f>B226/B225-1</f>
        <v/>
      </c>
      <c r="D226" s="66">
        <f>(Table17[[#This Row],[Index]]-B214)/B214</f>
        <v/>
      </c>
    </row>
    <row r="227">
      <c r="A227" s="17" t="n">
        <v>32994</v>
      </c>
      <c r="B227" s="58">
        <f>VLOOKUP(Table17[[#This Row],[Date]],database!A:H,7,)</f>
        <v/>
      </c>
      <c r="C227" s="66">
        <f>B227/B226-1</f>
        <v/>
      </c>
      <c r="D227" s="66">
        <f>(Table17[[#This Row],[Index]]-B215)/B215</f>
        <v/>
      </c>
    </row>
    <row r="228">
      <c r="A228" s="17" t="n">
        <v>33025</v>
      </c>
      <c r="B228" s="58">
        <f>VLOOKUP(Table17[[#This Row],[Date]],database!A:H,7,)</f>
        <v/>
      </c>
      <c r="C228" s="66">
        <f>B228/B227-1</f>
        <v/>
      </c>
      <c r="D228" s="66">
        <f>(Table17[[#This Row],[Index]]-B216)/B216</f>
        <v/>
      </c>
    </row>
    <row r="229">
      <c r="A229" s="17" t="n">
        <v>33055</v>
      </c>
      <c r="B229" s="58">
        <f>VLOOKUP(Table17[[#This Row],[Date]],database!A:H,7,)</f>
        <v/>
      </c>
      <c r="C229" s="66">
        <f>B229/B228-1</f>
        <v/>
      </c>
      <c r="D229" s="66">
        <f>(Table17[[#This Row],[Index]]-B217)/B217</f>
        <v/>
      </c>
    </row>
    <row r="230">
      <c r="A230" s="17" t="n">
        <v>33086</v>
      </c>
      <c r="B230" s="58">
        <f>VLOOKUP(Table17[[#This Row],[Date]],database!A:H,7,)</f>
        <v/>
      </c>
      <c r="C230" s="66">
        <f>B230/B229-1</f>
        <v/>
      </c>
      <c r="D230" s="66">
        <f>(Table17[[#This Row],[Index]]-B218)/B218</f>
        <v/>
      </c>
    </row>
    <row r="231">
      <c r="A231" s="17" t="n">
        <v>33117</v>
      </c>
      <c r="B231" s="58">
        <f>VLOOKUP(Table17[[#This Row],[Date]],database!A:H,7,)</f>
        <v/>
      </c>
      <c r="C231" s="66">
        <f>B231/B230-1</f>
        <v/>
      </c>
      <c r="D231" s="66">
        <f>(Table17[[#This Row],[Index]]-B219)/B219</f>
        <v/>
      </c>
    </row>
    <row r="232">
      <c r="A232" s="17" t="n">
        <v>33147</v>
      </c>
      <c r="B232" s="58">
        <f>VLOOKUP(Table17[[#This Row],[Date]],database!A:H,7,)</f>
        <v/>
      </c>
      <c r="C232" s="66">
        <f>B232/B231-1</f>
        <v/>
      </c>
      <c r="D232" s="66">
        <f>(Table17[[#This Row],[Index]]-B220)/B220</f>
        <v/>
      </c>
    </row>
    <row r="233">
      <c r="A233" s="17" t="n">
        <v>33178</v>
      </c>
      <c r="B233" s="58">
        <f>VLOOKUP(Table17[[#This Row],[Date]],database!A:H,7,)</f>
        <v/>
      </c>
      <c r="C233" s="66">
        <f>B233/B232-1</f>
        <v/>
      </c>
      <c r="D233" s="66">
        <f>(Table17[[#This Row],[Index]]-B221)/B221</f>
        <v/>
      </c>
    </row>
    <row r="234">
      <c r="A234" s="17" t="n">
        <v>33208</v>
      </c>
      <c r="B234" s="58">
        <f>VLOOKUP(Table17[[#This Row],[Date]],database!A:H,7,)</f>
        <v/>
      </c>
      <c r="C234" s="66">
        <f>B234/B233-1</f>
        <v/>
      </c>
      <c r="D234" s="66">
        <f>(Table17[[#This Row],[Index]]-B222)/B222</f>
        <v/>
      </c>
    </row>
    <row r="235">
      <c r="A235" s="17" t="n">
        <v>33239</v>
      </c>
      <c r="B235" s="58">
        <f>VLOOKUP(Table17[[#This Row],[Date]],database!A:H,7,)</f>
        <v/>
      </c>
      <c r="C235" s="66">
        <f>B235/B234-1</f>
        <v/>
      </c>
      <c r="D235" s="66">
        <f>(Table17[[#This Row],[Index]]-B223)/B223</f>
        <v/>
      </c>
    </row>
    <row r="236">
      <c r="A236" s="17" t="n">
        <v>33270</v>
      </c>
      <c r="B236" s="58">
        <f>VLOOKUP(Table17[[#This Row],[Date]],database!A:H,7,)</f>
        <v/>
      </c>
      <c r="C236" s="66">
        <f>B236/B235-1</f>
        <v/>
      </c>
      <c r="D236" s="66">
        <f>(Table17[[#This Row],[Index]]-B224)/B224</f>
        <v/>
      </c>
    </row>
    <row r="237">
      <c r="A237" s="17" t="n">
        <v>33298</v>
      </c>
      <c r="B237" s="58">
        <f>VLOOKUP(Table17[[#This Row],[Date]],database!A:H,7,)</f>
        <v/>
      </c>
      <c r="C237" s="66">
        <f>B237/B236-1</f>
        <v/>
      </c>
      <c r="D237" s="66">
        <f>(Table17[[#This Row],[Index]]-B225)/B225</f>
        <v/>
      </c>
    </row>
    <row r="238">
      <c r="A238" s="17" t="n">
        <v>33329</v>
      </c>
      <c r="B238" s="58">
        <f>VLOOKUP(Table17[[#This Row],[Date]],database!A:H,7,)</f>
        <v/>
      </c>
      <c r="C238" s="66">
        <f>B238/B237-1</f>
        <v/>
      </c>
      <c r="D238" s="66">
        <f>(Table17[[#This Row],[Index]]-B226)/B226</f>
        <v/>
      </c>
    </row>
    <row r="239">
      <c r="A239" s="17" t="n">
        <v>33359</v>
      </c>
      <c r="B239" s="58">
        <f>VLOOKUP(Table17[[#This Row],[Date]],database!A:H,7,)</f>
        <v/>
      </c>
      <c r="C239" s="66">
        <f>B239/B238-1</f>
        <v/>
      </c>
      <c r="D239" s="66">
        <f>(Table17[[#This Row],[Index]]-B227)/B227</f>
        <v/>
      </c>
    </row>
    <row r="240">
      <c r="A240" s="17" t="n">
        <v>33390</v>
      </c>
      <c r="B240" s="58">
        <f>VLOOKUP(Table17[[#This Row],[Date]],database!A:H,7,)</f>
        <v/>
      </c>
      <c r="C240" s="66">
        <f>B240/B239-1</f>
        <v/>
      </c>
      <c r="D240" s="66">
        <f>(Table17[[#This Row],[Index]]-B228)/B228</f>
        <v/>
      </c>
    </row>
    <row r="241">
      <c r="A241" s="17" t="n">
        <v>33420</v>
      </c>
      <c r="B241" s="58">
        <f>VLOOKUP(Table17[[#This Row],[Date]],database!A:H,7,)</f>
        <v/>
      </c>
      <c r="C241" s="66">
        <f>B241/B240-1</f>
        <v/>
      </c>
      <c r="D241" s="66">
        <f>(Table17[[#This Row],[Index]]-B229)/B229</f>
        <v/>
      </c>
    </row>
    <row r="242">
      <c r="A242" s="17" t="n">
        <v>33451</v>
      </c>
      <c r="B242" s="58">
        <f>VLOOKUP(Table17[[#This Row],[Date]],database!A:H,7,)</f>
        <v/>
      </c>
      <c r="C242" s="66">
        <f>B242/B241-1</f>
        <v/>
      </c>
      <c r="D242" s="66">
        <f>(Table17[[#This Row],[Index]]-B230)/B230</f>
        <v/>
      </c>
    </row>
    <row r="243">
      <c r="A243" s="17" t="n">
        <v>33482</v>
      </c>
      <c r="B243" s="58">
        <f>VLOOKUP(Table17[[#This Row],[Date]],database!A:H,7,)</f>
        <v/>
      </c>
      <c r="C243" s="66">
        <f>B243/B242-1</f>
        <v/>
      </c>
      <c r="D243" s="66">
        <f>(Table17[[#This Row],[Index]]-B231)/B231</f>
        <v/>
      </c>
    </row>
    <row r="244">
      <c r="A244" s="17" t="n">
        <v>33512</v>
      </c>
      <c r="B244" s="58">
        <f>VLOOKUP(Table17[[#This Row],[Date]],database!A:H,7,)</f>
        <v/>
      </c>
      <c r="C244" s="66">
        <f>B244/B243-1</f>
        <v/>
      </c>
      <c r="D244" s="66">
        <f>(Table17[[#This Row],[Index]]-B232)/B232</f>
        <v/>
      </c>
    </row>
    <row r="245">
      <c r="A245" s="17" t="n">
        <v>33543</v>
      </c>
      <c r="B245" s="58">
        <f>VLOOKUP(Table17[[#This Row],[Date]],database!A:H,7,)</f>
        <v/>
      </c>
      <c r="C245" s="66">
        <f>B245/B244-1</f>
        <v/>
      </c>
      <c r="D245" s="66">
        <f>(Table17[[#This Row],[Index]]-B233)/B233</f>
        <v/>
      </c>
    </row>
    <row r="246">
      <c r="A246" s="17" t="n">
        <v>33573</v>
      </c>
      <c r="B246" s="58">
        <f>VLOOKUP(Table17[[#This Row],[Date]],database!A:H,7,)</f>
        <v/>
      </c>
      <c r="C246" s="66">
        <f>B246/B245-1</f>
        <v/>
      </c>
      <c r="D246" s="66">
        <f>(Table17[[#This Row],[Index]]-B234)/B234</f>
        <v/>
      </c>
    </row>
    <row r="247">
      <c r="A247" s="17" t="n">
        <v>33604</v>
      </c>
      <c r="B247" s="58">
        <f>VLOOKUP(Table17[[#This Row],[Date]],database!A:H,7,)</f>
        <v/>
      </c>
      <c r="C247" s="66">
        <f>B247/B246-1</f>
        <v/>
      </c>
      <c r="D247" s="66">
        <f>(Table17[[#This Row],[Index]]-B235)/B235</f>
        <v/>
      </c>
    </row>
    <row r="248">
      <c r="A248" s="17" t="n">
        <v>33635</v>
      </c>
      <c r="B248" s="58">
        <f>VLOOKUP(Table17[[#This Row],[Date]],database!A:H,7,)</f>
        <v/>
      </c>
      <c r="C248" s="66">
        <f>B248/B247-1</f>
        <v/>
      </c>
      <c r="D248" s="66">
        <f>(Table17[[#This Row],[Index]]-B236)/B236</f>
        <v/>
      </c>
    </row>
    <row r="249">
      <c r="A249" s="17" t="n">
        <v>33664</v>
      </c>
      <c r="B249" s="58">
        <f>VLOOKUP(Table17[[#This Row],[Date]],database!A:H,7,)</f>
        <v/>
      </c>
      <c r="C249" s="66">
        <f>B249/B248-1</f>
        <v/>
      </c>
      <c r="D249" s="66">
        <f>(Table17[[#This Row],[Index]]-B237)/B237</f>
        <v/>
      </c>
    </row>
    <row r="250">
      <c r="A250" s="17" t="n">
        <v>33695</v>
      </c>
      <c r="B250" s="58">
        <f>VLOOKUP(Table17[[#This Row],[Date]],database!A:H,7,)</f>
        <v/>
      </c>
      <c r="C250" s="66">
        <f>B250/B249-1</f>
        <v/>
      </c>
      <c r="D250" s="66">
        <f>(Table17[[#This Row],[Index]]-B238)/B238</f>
        <v/>
      </c>
    </row>
    <row r="251">
      <c r="A251" s="17" t="n">
        <v>33725</v>
      </c>
      <c r="B251" s="58">
        <f>VLOOKUP(Table17[[#This Row],[Date]],database!A:H,7,)</f>
        <v/>
      </c>
      <c r="C251" s="66">
        <f>B251/B250-1</f>
        <v/>
      </c>
      <c r="D251" s="66">
        <f>(Table17[[#This Row],[Index]]-B239)/B239</f>
        <v/>
      </c>
    </row>
    <row r="252">
      <c r="A252" s="17" t="n">
        <v>33756</v>
      </c>
      <c r="B252" s="58">
        <f>VLOOKUP(Table17[[#This Row],[Date]],database!A:H,7,)</f>
        <v/>
      </c>
      <c r="C252" s="66">
        <f>B252/B251-1</f>
        <v/>
      </c>
      <c r="D252" s="66">
        <f>(Table17[[#This Row],[Index]]-B240)/B240</f>
        <v/>
      </c>
    </row>
    <row r="253">
      <c r="A253" s="17" t="n">
        <v>33786</v>
      </c>
      <c r="B253" s="58">
        <f>VLOOKUP(Table17[[#This Row],[Date]],database!A:H,7,)</f>
        <v/>
      </c>
      <c r="C253" s="66">
        <f>B253/B252-1</f>
        <v/>
      </c>
      <c r="D253" s="66">
        <f>(Table17[[#This Row],[Index]]-B241)/B241</f>
        <v/>
      </c>
    </row>
    <row r="254">
      <c r="A254" s="17" t="n">
        <v>33817</v>
      </c>
      <c r="B254" s="58">
        <f>VLOOKUP(Table17[[#This Row],[Date]],database!A:H,7,)</f>
        <v/>
      </c>
      <c r="C254" s="66">
        <f>B254/B253-1</f>
        <v/>
      </c>
      <c r="D254" s="66">
        <f>(Table17[[#This Row],[Index]]-B242)/B242</f>
        <v/>
      </c>
    </row>
    <row r="255">
      <c r="A255" s="17" t="n">
        <v>33848</v>
      </c>
      <c r="B255" s="58">
        <f>VLOOKUP(Table17[[#This Row],[Date]],database!A:H,7,)</f>
        <v/>
      </c>
      <c r="C255" s="66">
        <f>B255/B254-1</f>
        <v/>
      </c>
      <c r="D255" s="66">
        <f>(Table17[[#This Row],[Index]]-B243)/B243</f>
        <v/>
      </c>
    </row>
    <row r="256">
      <c r="A256" s="17" t="n">
        <v>33878</v>
      </c>
      <c r="B256" s="58">
        <f>VLOOKUP(Table17[[#This Row],[Date]],database!A:H,7,)</f>
        <v/>
      </c>
      <c r="C256" s="66">
        <f>B256/B255-1</f>
        <v/>
      </c>
      <c r="D256" s="66">
        <f>(Table17[[#This Row],[Index]]-B244)/B244</f>
        <v/>
      </c>
    </row>
    <row r="257">
      <c r="A257" s="17" t="n">
        <v>33909</v>
      </c>
      <c r="B257" s="58">
        <f>VLOOKUP(Table17[[#This Row],[Date]],database!A:H,7,)</f>
        <v/>
      </c>
      <c r="C257" s="66">
        <f>B257/B256-1</f>
        <v/>
      </c>
      <c r="D257" s="66">
        <f>(Table17[[#This Row],[Index]]-B245)/B245</f>
        <v/>
      </c>
    </row>
    <row r="258">
      <c r="A258" s="17" t="n">
        <v>33939</v>
      </c>
      <c r="B258" s="58">
        <f>VLOOKUP(Table17[[#This Row],[Date]],database!A:H,7,)</f>
        <v/>
      </c>
      <c r="C258" s="66">
        <f>B258/B257-1</f>
        <v/>
      </c>
      <c r="D258" s="66">
        <f>(Table17[[#This Row],[Index]]-B246)/B246</f>
        <v/>
      </c>
    </row>
    <row r="259">
      <c r="A259" s="17" t="n">
        <v>33970</v>
      </c>
      <c r="B259" s="58">
        <f>VLOOKUP(Table17[[#This Row],[Date]],database!A:H,7,)</f>
        <v/>
      </c>
      <c r="C259" s="66">
        <f>B259/B258-1</f>
        <v/>
      </c>
      <c r="D259" s="66">
        <f>(Table17[[#This Row],[Index]]-B247)/B247</f>
        <v/>
      </c>
    </row>
    <row r="260">
      <c r="A260" s="17" t="n">
        <v>34001</v>
      </c>
      <c r="B260" s="58">
        <f>VLOOKUP(Table17[[#This Row],[Date]],database!A:H,7,)</f>
        <v/>
      </c>
      <c r="C260" s="66">
        <f>B260/B259-1</f>
        <v/>
      </c>
      <c r="D260" s="66">
        <f>(Table17[[#This Row],[Index]]-B248)/B248</f>
        <v/>
      </c>
    </row>
    <row r="261">
      <c r="A261" s="17" t="n">
        <v>34029</v>
      </c>
      <c r="B261" s="58">
        <f>VLOOKUP(Table17[[#This Row],[Date]],database!A:H,7,)</f>
        <v/>
      </c>
      <c r="C261" s="66">
        <f>B261/B260-1</f>
        <v/>
      </c>
      <c r="D261" s="66">
        <f>(Table17[[#This Row],[Index]]-B249)/B249</f>
        <v/>
      </c>
    </row>
    <row r="262">
      <c r="A262" s="17" t="n">
        <v>34060</v>
      </c>
      <c r="B262" s="58">
        <f>VLOOKUP(Table17[[#This Row],[Date]],database!A:H,7,)</f>
        <v/>
      </c>
      <c r="C262" s="66">
        <f>B262/B261-1</f>
        <v/>
      </c>
      <c r="D262" s="66">
        <f>(Table17[[#This Row],[Index]]-B250)/B250</f>
        <v/>
      </c>
    </row>
    <row r="263">
      <c r="A263" s="17" t="n">
        <v>34090</v>
      </c>
      <c r="B263" s="58">
        <f>VLOOKUP(Table17[[#This Row],[Date]],database!A:H,7,)</f>
        <v/>
      </c>
      <c r="C263" s="66">
        <f>B263/B262-1</f>
        <v/>
      </c>
      <c r="D263" s="66">
        <f>(Table17[[#This Row],[Index]]-B251)/B251</f>
        <v/>
      </c>
    </row>
    <row r="264">
      <c r="A264" s="17" t="n">
        <v>34121</v>
      </c>
      <c r="B264" s="58">
        <f>VLOOKUP(Table17[[#This Row],[Date]],database!A:H,7,)</f>
        <v/>
      </c>
      <c r="C264" s="66">
        <f>B264/B263-1</f>
        <v/>
      </c>
      <c r="D264" s="66">
        <f>(Table17[[#This Row],[Index]]-B252)/B252</f>
        <v/>
      </c>
    </row>
    <row r="265">
      <c r="A265" s="17" t="n">
        <v>34151</v>
      </c>
      <c r="B265" s="58">
        <f>VLOOKUP(Table17[[#This Row],[Date]],database!A:H,7,)</f>
        <v/>
      </c>
      <c r="C265" s="66">
        <f>B265/B264-1</f>
        <v/>
      </c>
      <c r="D265" s="66">
        <f>(Table17[[#This Row],[Index]]-B253)/B253</f>
        <v/>
      </c>
    </row>
    <row r="266">
      <c r="A266" s="17" t="n">
        <v>34182</v>
      </c>
      <c r="B266" s="58">
        <f>VLOOKUP(Table17[[#This Row],[Date]],database!A:H,7,)</f>
        <v/>
      </c>
      <c r="C266" s="66">
        <f>B266/B265-1</f>
        <v/>
      </c>
      <c r="D266" s="66">
        <f>(Table17[[#This Row],[Index]]-B254)/B254</f>
        <v/>
      </c>
    </row>
    <row r="267">
      <c r="A267" s="17" t="n">
        <v>34213</v>
      </c>
      <c r="B267" s="58">
        <f>VLOOKUP(Table17[[#This Row],[Date]],database!A:H,7,)</f>
        <v/>
      </c>
      <c r="C267" s="66">
        <f>B267/B266-1</f>
        <v/>
      </c>
      <c r="D267" s="66">
        <f>(Table17[[#This Row],[Index]]-B255)/B255</f>
        <v/>
      </c>
    </row>
    <row r="268">
      <c r="A268" s="17" t="n">
        <v>34243</v>
      </c>
      <c r="B268" s="58">
        <f>VLOOKUP(Table17[[#This Row],[Date]],database!A:H,7,)</f>
        <v/>
      </c>
      <c r="C268" s="66">
        <f>B268/B267-1</f>
        <v/>
      </c>
      <c r="D268" s="66">
        <f>(Table17[[#This Row],[Index]]-B256)/B256</f>
        <v/>
      </c>
    </row>
    <row r="269">
      <c r="A269" s="17" t="n">
        <v>34274</v>
      </c>
      <c r="B269" s="58">
        <f>VLOOKUP(Table17[[#This Row],[Date]],database!A:H,7,)</f>
        <v/>
      </c>
      <c r="C269" s="66">
        <f>B269/B268-1</f>
        <v/>
      </c>
      <c r="D269" s="66">
        <f>(Table17[[#This Row],[Index]]-B257)/B257</f>
        <v/>
      </c>
    </row>
    <row r="270">
      <c r="A270" s="17" t="n">
        <v>34304</v>
      </c>
      <c r="B270" s="58">
        <f>VLOOKUP(Table17[[#This Row],[Date]],database!A:H,7,)</f>
        <v/>
      </c>
      <c r="C270" s="66">
        <f>B270/B269-1</f>
        <v/>
      </c>
      <c r="D270" s="66">
        <f>(Table17[[#This Row],[Index]]-B258)/B258</f>
        <v/>
      </c>
    </row>
    <row r="271">
      <c r="A271" s="17" t="n">
        <v>34335</v>
      </c>
      <c r="B271" s="58">
        <f>VLOOKUP(Table17[[#This Row],[Date]],database!A:H,7,)</f>
        <v/>
      </c>
      <c r="C271" s="66">
        <f>B271/B270-1</f>
        <v/>
      </c>
      <c r="D271" s="66">
        <f>(Table17[[#This Row],[Index]]-B259)/B259</f>
        <v/>
      </c>
    </row>
    <row r="272">
      <c r="A272" s="17" t="n">
        <v>34366</v>
      </c>
      <c r="B272" s="58">
        <f>VLOOKUP(Table17[[#This Row],[Date]],database!A:H,7,)</f>
        <v/>
      </c>
      <c r="C272" s="66">
        <f>B272/B271-1</f>
        <v/>
      </c>
      <c r="D272" s="66">
        <f>(Table17[[#This Row],[Index]]-B260)/B260</f>
        <v/>
      </c>
    </row>
    <row r="273">
      <c r="A273" s="17" t="n">
        <v>34394</v>
      </c>
      <c r="B273" s="58">
        <f>VLOOKUP(Table17[[#This Row],[Date]],database!A:H,7,)</f>
        <v/>
      </c>
      <c r="C273" s="66">
        <f>B273/B272-1</f>
        <v/>
      </c>
      <c r="D273" s="66">
        <f>(Table17[[#This Row],[Index]]-B261)/B261</f>
        <v/>
      </c>
    </row>
    <row r="274">
      <c r="A274" s="17" t="n">
        <v>34425</v>
      </c>
      <c r="B274" s="58">
        <f>VLOOKUP(Table17[[#This Row],[Date]],database!A:H,7,)</f>
        <v/>
      </c>
      <c r="C274" s="66">
        <f>B274/B273-1</f>
        <v/>
      </c>
      <c r="D274" s="66">
        <f>(Table17[[#This Row],[Index]]-B262)/B262</f>
        <v/>
      </c>
    </row>
    <row r="275">
      <c r="A275" s="17" t="n">
        <v>34455</v>
      </c>
      <c r="B275" s="58">
        <f>VLOOKUP(Table17[[#This Row],[Date]],database!A:H,7,)</f>
        <v/>
      </c>
      <c r="C275" s="66">
        <f>B275/B274-1</f>
        <v/>
      </c>
      <c r="D275" s="66">
        <f>(Table17[[#This Row],[Index]]-B263)/B263</f>
        <v/>
      </c>
    </row>
    <row r="276">
      <c r="A276" s="17" t="n">
        <v>34486</v>
      </c>
      <c r="B276" s="58">
        <f>VLOOKUP(Table17[[#This Row],[Date]],database!A:H,7,)</f>
        <v/>
      </c>
      <c r="C276" s="66">
        <f>B276/B275-1</f>
        <v/>
      </c>
      <c r="D276" s="66">
        <f>(Table17[[#This Row],[Index]]-B264)/B264</f>
        <v/>
      </c>
    </row>
    <row r="277">
      <c r="A277" s="17" t="n">
        <v>34516</v>
      </c>
      <c r="B277" s="58">
        <f>VLOOKUP(Table17[[#This Row],[Date]],database!A:H,7,)</f>
        <v/>
      </c>
      <c r="C277" s="66">
        <f>B277/B276-1</f>
        <v/>
      </c>
      <c r="D277" s="66">
        <f>(Table17[[#This Row],[Index]]-B265)/B265</f>
        <v/>
      </c>
    </row>
    <row r="278">
      <c r="A278" s="17" t="n">
        <v>34547</v>
      </c>
      <c r="B278" s="58">
        <f>VLOOKUP(Table17[[#This Row],[Date]],database!A:H,7,)</f>
        <v/>
      </c>
      <c r="C278" s="66">
        <f>B278/B277-1</f>
        <v/>
      </c>
      <c r="D278" s="66">
        <f>(Table17[[#This Row],[Index]]-B266)/B266</f>
        <v/>
      </c>
    </row>
    <row r="279">
      <c r="A279" s="17" t="n">
        <v>34578</v>
      </c>
      <c r="B279" s="58">
        <f>VLOOKUP(Table17[[#This Row],[Date]],database!A:H,7,)</f>
        <v/>
      </c>
      <c r="C279" s="66">
        <f>B279/B278-1</f>
        <v/>
      </c>
      <c r="D279" s="66">
        <f>(Table17[[#This Row],[Index]]-B267)/B267</f>
        <v/>
      </c>
    </row>
    <row r="280">
      <c r="A280" s="17" t="n">
        <v>34608</v>
      </c>
      <c r="B280" s="58">
        <f>VLOOKUP(Table17[[#This Row],[Date]],database!A:H,7,)</f>
        <v/>
      </c>
      <c r="C280" s="66">
        <f>B280/B279-1</f>
        <v/>
      </c>
      <c r="D280" s="66">
        <f>(Table17[[#This Row],[Index]]-B268)/B268</f>
        <v/>
      </c>
    </row>
    <row r="281">
      <c r="A281" s="17" t="n">
        <v>34639</v>
      </c>
      <c r="B281" s="58">
        <f>VLOOKUP(Table17[[#This Row],[Date]],database!A:H,7,)</f>
        <v/>
      </c>
      <c r="C281" s="66">
        <f>B281/B280-1</f>
        <v/>
      </c>
      <c r="D281" s="66">
        <f>(Table17[[#This Row],[Index]]-B269)/B269</f>
        <v/>
      </c>
    </row>
    <row r="282">
      <c r="A282" s="17" t="n">
        <v>34669</v>
      </c>
      <c r="B282" s="58">
        <f>VLOOKUP(Table17[[#This Row],[Date]],database!A:H,7,)</f>
        <v/>
      </c>
      <c r="C282" s="66">
        <f>B282/B281-1</f>
        <v/>
      </c>
      <c r="D282" s="66">
        <f>(Table17[[#This Row],[Index]]-B270)/B270</f>
        <v/>
      </c>
    </row>
    <row r="283">
      <c r="A283" s="17" t="n">
        <v>34700</v>
      </c>
      <c r="B283" s="58">
        <f>VLOOKUP(Table17[[#This Row],[Date]],database!A:H,7,)</f>
        <v/>
      </c>
      <c r="C283" s="66">
        <f>B283/B282-1</f>
        <v/>
      </c>
      <c r="D283" s="66">
        <f>(Table17[[#This Row],[Index]]-B271)/B271</f>
        <v/>
      </c>
    </row>
    <row r="284">
      <c r="A284" s="17" t="n">
        <v>34731</v>
      </c>
      <c r="B284" s="58">
        <f>VLOOKUP(Table17[[#This Row],[Date]],database!A:H,7,)</f>
        <v/>
      </c>
      <c r="C284" s="66">
        <f>B284/B283-1</f>
        <v/>
      </c>
      <c r="D284" s="66">
        <f>(Table17[[#This Row],[Index]]-B272)/B272</f>
        <v/>
      </c>
    </row>
    <row r="285">
      <c r="A285" s="17" t="n">
        <v>34759</v>
      </c>
      <c r="B285" s="58">
        <f>VLOOKUP(Table17[[#This Row],[Date]],database!A:H,7,)</f>
        <v/>
      </c>
      <c r="C285" s="66">
        <f>B285/B284-1</f>
        <v/>
      </c>
      <c r="D285" s="66">
        <f>(Table17[[#This Row],[Index]]-B273)/B273</f>
        <v/>
      </c>
    </row>
    <row r="286">
      <c r="A286" s="17" t="n">
        <v>34790</v>
      </c>
      <c r="B286" s="58">
        <f>VLOOKUP(Table17[[#This Row],[Date]],database!A:H,7,)</f>
        <v/>
      </c>
      <c r="C286" s="66">
        <f>B286/B285-1</f>
        <v/>
      </c>
      <c r="D286" s="66">
        <f>(Table17[[#This Row],[Index]]-B274)/B274</f>
        <v/>
      </c>
    </row>
    <row r="287">
      <c r="A287" s="17" t="n">
        <v>34820</v>
      </c>
      <c r="B287" s="58">
        <f>VLOOKUP(Table17[[#This Row],[Date]],database!A:H,7,)</f>
        <v/>
      </c>
      <c r="C287" s="66">
        <f>B287/B286-1</f>
        <v/>
      </c>
      <c r="D287" s="66">
        <f>(Table17[[#This Row],[Index]]-B275)/B275</f>
        <v/>
      </c>
    </row>
    <row r="288">
      <c r="A288" s="17" t="n">
        <v>34851</v>
      </c>
      <c r="B288" s="58">
        <f>VLOOKUP(Table17[[#This Row],[Date]],database!A:H,7,)</f>
        <v/>
      </c>
      <c r="C288" s="66">
        <f>B288/B287-1</f>
        <v/>
      </c>
      <c r="D288" s="66">
        <f>(Table17[[#This Row],[Index]]-B276)/B276</f>
        <v/>
      </c>
    </row>
    <row r="289">
      <c r="A289" s="17" t="n">
        <v>34881</v>
      </c>
      <c r="B289" s="58">
        <f>VLOOKUP(Table17[[#This Row],[Date]],database!A:H,7,)</f>
        <v/>
      </c>
      <c r="C289" s="66">
        <f>B289/B288-1</f>
        <v/>
      </c>
      <c r="D289" s="66">
        <f>(Table17[[#This Row],[Index]]-B277)/B277</f>
        <v/>
      </c>
    </row>
    <row r="290">
      <c r="A290" s="17" t="n">
        <v>34912</v>
      </c>
      <c r="B290" s="58">
        <f>VLOOKUP(Table17[[#This Row],[Date]],database!A:H,7,)</f>
        <v/>
      </c>
      <c r="C290" s="66">
        <f>B290/B289-1</f>
        <v/>
      </c>
      <c r="D290" s="66">
        <f>(Table17[[#This Row],[Index]]-B278)/B278</f>
        <v/>
      </c>
    </row>
    <row r="291">
      <c r="A291" s="17" t="n">
        <v>34943</v>
      </c>
      <c r="B291" s="58">
        <f>VLOOKUP(Table17[[#This Row],[Date]],database!A:H,7,)</f>
        <v/>
      </c>
      <c r="C291" s="66">
        <f>B291/B290-1</f>
        <v/>
      </c>
      <c r="D291" s="66">
        <f>(Table17[[#This Row],[Index]]-B279)/B279</f>
        <v/>
      </c>
    </row>
    <row r="292">
      <c r="A292" s="17" t="n">
        <v>34973</v>
      </c>
      <c r="B292" s="58">
        <f>VLOOKUP(Table17[[#This Row],[Date]],database!A:H,7,)</f>
        <v/>
      </c>
      <c r="C292" s="66">
        <f>B292/B291-1</f>
        <v/>
      </c>
      <c r="D292" s="66">
        <f>(Table17[[#This Row],[Index]]-B280)/B280</f>
        <v/>
      </c>
    </row>
    <row r="293">
      <c r="A293" s="17" t="n">
        <v>35004</v>
      </c>
      <c r="B293" s="58">
        <f>VLOOKUP(Table17[[#This Row],[Date]],database!A:H,7,)</f>
        <v/>
      </c>
      <c r="C293" s="66">
        <f>B293/B292-1</f>
        <v/>
      </c>
      <c r="D293" s="66">
        <f>(Table17[[#This Row],[Index]]-B281)/B281</f>
        <v/>
      </c>
    </row>
    <row r="294">
      <c r="A294" s="17" t="n">
        <v>35034</v>
      </c>
      <c r="B294" s="58">
        <f>VLOOKUP(Table17[[#This Row],[Date]],database!A:H,7,)</f>
        <v/>
      </c>
      <c r="C294" s="66">
        <f>B294/B293-1</f>
        <v/>
      </c>
      <c r="D294" s="66">
        <f>(Table17[[#This Row],[Index]]-B282)/B282</f>
        <v/>
      </c>
    </row>
    <row r="295">
      <c r="A295" s="17" t="n">
        <v>35065</v>
      </c>
      <c r="B295" s="58">
        <f>VLOOKUP(Table17[[#This Row],[Date]],database!A:H,7,)</f>
        <v/>
      </c>
      <c r="C295" s="66">
        <f>B295/B294-1</f>
        <v/>
      </c>
      <c r="D295" s="66">
        <f>(Table17[[#This Row],[Index]]-B283)/B283</f>
        <v/>
      </c>
    </row>
    <row r="296">
      <c r="A296" s="17" t="n">
        <v>35096</v>
      </c>
      <c r="B296" s="58">
        <f>VLOOKUP(Table17[[#This Row],[Date]],database!A:H,7,)</f>
        <v/>
      </c>
      <c r="C296" s="66">
        <f>B296/B295-1</f>
        <v/>
      </c>
      <c r="D296" s="66">
        <f>(Table17[[#This Row],[Index]]-B284)/B284</f>
        <v/>
      </c>
    </row>
    <row r="297">
      <c r="A297" s="17" t="n">
        <v>35125</v>
      </c>
      <c r="B297" s="58">
        <f>VLOOKUP(Table17[[#This Row],[Date]],database!A:H,7,)</f>
        <v/>
      </c>
      <c r="C297" s="66">
        <f>B297/B296-1</f>
        <v/>
      </c>
      <c r="D297" s="66">
        <f>(Table17[[#This Row],[Index]]-B285)/B285</f>
        <v/>
      </c>
    </row>
    <row r="298">
      <c r="A298" s="17" t="n">
        <v>35156</v>
      </c>
      <c r="B298" s="58">
        <f>VLOOKUP(Table17[[#This Row],[Date]],database!A:H,7,)</f>
        <v/>
      </c>
      <c r="C298" s="66">
        <f>B298/B297-1</f>
        <v/>
      </c>
      <c r="D298" s="66">
        <f>(Table17[[#This Row],[Index]]-B286)/B286</f>
        <v/>
      </c>
    </row>
    <row r="299">
      <c r="A299" s="17" t="n">
        <v>35186</v>
      </c>
      <c r="B299" s="58">
        <f>VLOOKUP(Table17[[#This Row],[Date]],database!A:H,7,)</f>
        <v/>
      </c>
      <c r="C299" s="66">
        <f>B299/B298-1</f>
        <v/>
      </c>
      <c r="D299" s="66">
        <f>(Table17[[#This Row],[Index]]-B287)/B287</f>
        <v/>
      </c>
    </row>
    <row r="300">
      <c r="A300" s="17" t="n">
        <v>35217</v>
      </c>
      <c r="B300" s="58">
        <f>VLOOKUP(Table17[[#This Row],[Date]],database!A:H,7,)</f>
        <v/>
      </c>
      <c r="C300" s="66">
        <f>B300/B299-1</f>
        <v/>
      </c>
      <c r="D300" s="66">
        <f>(Table17[[#This Row],[Index]]-B288)/B288</f>
        <v/>
      </c>
    </row>
    <row r="301">
      <c r="A301" s="17" t="n">
        <v>35247</v>
      </c>
      <c r="B301" s="58">
        <f>VLOOKUP(Table17[[#This Row],[Date]],database!A:H,7,)</f>
        <v/>
      </c>
      <c r="C301" s="66">
        <f>B301/B300-1</f>
        <v/>
      </c>
      <c r="D301" s="66">
        <f>(Table17[[#This Row],[Index]]-B289)/B289</f>
        <v/>
      </c>
    </row>
    <row r="302">
      <c r="A302" s="17" t="n">
        <v>35278</v>
      </c>
      <c r="B302" s="58">
        <f>VLOOKUP(Table17[[#This Row],[Date]],database!A:H,7,)</f>
        <v/>
      </c>
      <c r="C302" s="66">
        <f>B302/B301-1</f>
        <v/>
      </c>
      <c r="D302" s="66">
        <f>(Table17[[#This Row],[Index]]-B290)/B290</f>
        <v/>
      </c>
    </row>
    <row r="303">
      <c r="A303" s="17" t="n">
        <v>35309</v>
      </c>
      <c r="B303" s="58">
        <f>VLOOKUP(Table17[[#This Row],[Date]],database!A:H,7,)</f>
        <v/>
      </c>
      <c r="C303" s="66">
        <f>B303/B302-1</f>
        <v/>
      </c>
      <c r="D303" s="66">
        <f>(Table17[[#This Row],[Index]]-B291)/B291</f>
        <v/>
      </c>
    </row>
    <row r="304">
      <c r="A304" s="17" t="n">
        <v>35339</v>
      </c>
      <c r="B304" s="58">
        <f>VLOOKUP(Table17[[#This Row],[Date]],database!A:H,7,)</f>
        <v/>
      </c>
      <c r="C304" s="66">
        <f>B304/B303-1</f>
        <v/>
      </c>
      <c r="D304" s="66">
        <f>(Table17[[#This Row],[Index]]-B292)/B292</f>
        <v/>
      </c>
    </row>
    <row r="305">
      <c r="A305" s="17" t="n">
        <v>35370</v>
      </c>
      <c r="B305" s="58">
        <f>VLOOKUP(Table17[[#This Row],[Date]],database!A:H,7,)</f>
        <v/>
      </c>
      <c r="C305" s="66">
        <f>B305/B304-1</f>
        <v/>
      </c>
      <c r="D305" s="66">
        <f>(Table17[[#This Row],[Index]]-B293)/B293</f>
        <v/>
      </c>
    </row>
    <row r="306">
      <c r="A306" s="17" t="n">
        <v>35400</v>
      </c>
      <c r="B306" s="58">
        <f>VLOOKUP(Table17[[#This Row],[Date]],database!A:H,7,)</f>
        <v/>
      </c>
      <c r="C306" s="66">
        <f>B306/B305-1</f>
        <v/>
      </c>
      <c r="D306" s="66">
        <f>(Table17[[#This Row],[Index]]-B294)/B294</f>
        <v/>
      </c>
    </row>
    <row r="307">
      <c r="A307" s="17" t="n">
        <v>35431</v>
      </c>
      <c r="B307" s="58">
        <f>VLOOKUP(Table17[[#This Row],[Date]],database!A:H,7,)</f>
        <v/>
      </c>
      <c r="C307" s="66">
        <f>B307/B306-1</f>
        <v/>
      </c>
      <c r="D307" s="66">
        <f>(Table17[[#This Row],[Index]]-B295)/B295</f>
        <v/>
      </c>
    </row>
    <row r="308">
      <c r="A308" s="17" t="n">
        <v>35462</v>
      </c>
      <c r="B308" s="58">
        <f>VLOOKUP(Table17[[#This Row],[Date]],database!A:H,7,)</f>
        <v/>
      </c>
      <c r="C308" s="66">
        <f>B308/B307-1</f>
        <v/>
      </c>
      <c r="D308" s="66">
        <f>(Table17[[#This Row],[Index]]-B296)/B296</f>
        <v/>
      </c>
    </row>
    <row r="309">
      <c r="A309" s="17" t="n">
        <v>35490</v>
      </c>
      <c r="B309" s="58">
        <f>VLOOKUP(Table17[[#This Row],[Date]],database!A:H,7,)</f>
        <v/>
      </c>
      <c r="C309" s="66">
        <f>B309/B308-1</f>
        <v/>
      </c>
      <c r="D309" s="66">
        <f>(Table17[[#This Row],[Index]]-B297)/B297</f>
        <v/>
      </c>
    </row>
    <row r="310">
      <c r="A310" s="17" t="n">
        <v>35521</v>
      </c>
      <c r="B310" s="58">
        <f>VLOOKUP(Table17[[#This Row],[Date]],database!A:H,7,)</f>
        <v/>
      </c>
      <c r="C310" s="66">
        <f>B310/B309-1</f>
        <v/>
      </c>
      <c r="D310" s="66">
        <f>(Table17[[#This Row],[Index]]-B298)/B298</f>
        <v/>
      </c>
    </row>
    <row r="311">
      <c r="A311" s="17" t="n">
        <v>35551</v>
      </c>
      <c r="B311" s="58">
        <f>VLOOKUP(Table17[[#This Row],[Date]],database!A:H,7,)</f>
        <v/>
      </c>
      <c r="C311" s="66">
        <f>B311/B310-1</f>
        <v/>
      </c>
      <c r="D311" s="66">
        <f>(Table17[[#This Row],[Index]]-B299)/B299</f>
        <v/>
      </c>
    </row>
    <row r="312">
      <c r="A312" s="17" t="n">
        <v>35582</v>
      </c>
      <c r="B312" s="58">
        <f>VLOOKUP(Table17[[#This Row],[Date]],database!A:H,7,)</f>
        <v/>
      </c>
      <c r="C312" s="66">
        <f>B312/B311-1</f>
        <v/>
      </c>
      <c r="D312" s="66">
        <f>(Table17[[#This Row],[Index]]-B300)/B300</f>
        <v/>
      </c>
    </row>
    <row r="313">
      <c r="A313" s="17" t="n">
        <v>35612</v>
      </c>
      <c r="B313" s="58">
        <f>VLOOKUP(Table17[[#This Row],[Date]],database!A:H,7,)</f>
        <v/>
      </c>
      <c r="C313" s="66">
        <f>B313/B312-1</f>
        <v/>
      </c>
      <c r="D313" s="66">
        <f>(Table17[[#This Row],[Index]]-B301)/B301</f>
        <v/>
      </c>
    </row>
    <row r="314">
      <c r="A314" s="17" t="n">
        <v>35643</v>
      </c>
      <c r="B314" s="58">
        <f>VLOOKUP(Table17[[#This Row],[Date]],database!A:H,7,)</f>
        <v/>
      </c>
      <c r="C314" s="66">
        <f>B314/B313-1</f>
        <v/>
      </c>
      <c r="D314" s="66">
        <f>(Table17[[#This Row],[Index]]-B302)/B302</f>
        <v/>
      </c>
    </row>
    <row r="315">
      <c r="A315" s="17" t="n">
        <v>35674</v>
      </c>
      <c r="B315" s="58">
        <f>VLOOKUP(Table17[[#This Row],[Date]],database!A:H,7,)</f>
        <v/>
      </c>
      <c r="C315" s="66">
        <f>B315/B314-1</f>
        <v/>
      </c>
      <c r="D315" s="66">
        <f>(Table17[[#This Row],[Index]]-B303)/B303</f>
        <v/>
      </c>
    </row>
    <row r="316">
      <c r="A316" s="17" t="n">
        <v>35704</v>
      </c>
      <c r="B316" s="58">
        <f>VLOOKUP(Table17[[#This Row],[Date]],database!A:H,7,)</f>
        <v/>
      </c>
      <c r="C316" s="66">
        <f>B316/B315-1</f>
        <v/>
      </c>
      <c r="D316" s="66">
        <f>(Table17[[#This Row],[Index]]-B304)/B304</f>
        <v/>
      </c>
    </row>
    <row r="317">
      <c r="A317" s="17" t="n">
        <v>35735</v>
      </c>
      <c r="B317" s="58">
        <f>VLOOKUP(Table17[[#This Row],[Date]],database!A:H,7,)</f>
        <v/>
      </c>
      <c r="C317" s="66">
        <f>B317/B316-1</f>
        <v/>
      </c>
      <c r="D317" s="66">
        <f>(Table17[[#This Row],[Index]]-B305)/B305</f>
        <v/>
      </c>
    </row>
    <row r="318">
      <c r="A318" s="17" t="n">
        <v>35765</v>
      </c>
      <c r="B318" s="58">
        <f>VLOOKUP(Table17[[#This Row],[Date]],database!A:H,7,)</f>
        <v/>
      </c>
      <c r="C318" s="66">
        <f>B318/B317-1</f>
        <v/>
      </c>
      <c r="D318" s="66">
        <f>(Table17[[#This Row],[Index]]-B306)/B306</f>
        <v/>
      </c>
    </row>
    <row r="319">
      <c r="A319" s="17" t="n">
        <v>35796</v>
      </c>
      <c r="B319" s="58">
        <f>VLOOKUP(Table17[[#This Row],[Date]],database!A:H,7,)</f>
        <v/>
      </c>
      <c r="C319" s="66">
        <f>B319/B318-1</f>
        <v/>
      </c>
      <c r="D319" s="66">
        <f>(Table17[[#This Row],[Index]]-B307)/B307</f>
        <v/>
      </c>
    </row>
    <row r="320">
      <c r="A320" s="17" t="n">
        <v>35827</v>
      </c>
      <c r="B320" s="58">
        <f>VLOOKUP(Table17[[#This Row],[Date]],database!A:H,7,)</f>
        <v/>
      </c>
      <c r="C320" s="66">
        <f>B320/B319-1</f>
        <v/>
      </c>
      <c r="D320" s="66">
        <f>(Table17[[#This Row],[Index]]-B308)/B308</f>
        <v/>
      </c>
    </row>
    <row r="321">
      <c r="A321" s="17" t="n">
        <v>35855</v>
      </c>
      <c r="B321" s="58">
        <f>VLOOKUP(Table17[[#This Row],[Date]],database!A:H,7,)</f>
        <v/>
      </c>
      <c r="C321" s="66">
        <f>B321/B320-1</f>
        <v/>
      </c>
      <c r="D321" s="66">
        <f>(Table17[[#This Row],[Index]]-B309)/B309</f>
        <v/>
      </c>
    </row>
    <row r="322">
      <c r="A322" s="17" t="n">
        <v>35886</v>
      </c>
      <c r="B322" s="58">
        <f>VLOOKUP(Table17[[#This Row],[Date]],database!A:H,7,)</f>
        <v/>
      </c>
      <c r="C322" s="66">
        <f>B322/B321-1</f>
        <v/>
      </c>
      <c r="D322" s="66">
        <f>(Table17[[#This Row],[Index]]-B310)/B310</f>
        <v/>
      </c>
    </row>
    <row r="323">
      <c r="A323" s="17" t="n">
        <v>35916</v>
      </c>
      <c r="B323" s="58">
        <f>VLOOKUP(Table17[[#This Row],[Date]],database!A:H,7,)</f>
        <v/>
      </c>
      <c r="C323" s="66">
        <f>B323/B322-1</f>
        <v/>
      </c>
      <c r="D323" s="66">
        <f>(Table17[[#This Row],[Index]]-B311)/B311</f>
        <v/>
      </c>
    </row>
    <row r="324">
      <c r="A324" s="17" t="n">
        <v>35947</v>
      </c>
      <c r="B324" s="58">
        <f>VLOOKUP(Table17[[#This Row],[Date]],database!A:H,7,)</f>
        <v/>
      </c>
      <c r="C324" s="66">
        <f>B324/B323-1</f>
        <v/>
      </c>
      <c r="D324" s="66">
        <f>(Table17[[#This Row],[Index]]-B312)/B312</f>
        <v/>
      </c>
    </row>
    <row r="325">
      <c r="A325" s="17" t="n">
        <v>35977</v>
      </c>
      <c r="B325" s="58">
        <f>VLOOKUP(Table17[[#This Row],[Date]],database!A:H,7,)</f>
        <v/>
      </c>
      <c r="C325" s="66">
        <f>B325/B324-1</f>
        <v/>
      </c>
      <c r="D325" s="66">
        <f>(Table17[[#This Row],[Index]]-B313)/B313</f>
        <v/>
      </c>
    </row>
    <row r="326">
      <c r="A326" s="17" t="n">
        <v>36008</v>
      </c>
      <c r="B326" s="58">
        <f>VLOOKUP(Table17[[#This Row],[Date]],database!A:H,7,)</f>
        <v/>
      </c>
      <c r="C326" s="66">
        <f>B326/B325-1</f>
        <v/>
      </c>
      <c r="D326" s="66">
        <f>(Table17[[#This Row],[Index]]-B314)/B314</f>
        <v/>
      </c>
    </row>
    <row r="327">
      <c r="A327" s="17" t="n">
        <v>36039</v>
      </c>
      <c r="B327" s="58">
        <f>VLOOKUP(Table17[[#This Row],[Date]],database!A:H,7,)</f>
        <v/>
      </c>
      <c r="C327" s="66">
        <f>B327/B326-1</f>
        <v/>
      </c>
      <c r="D327" s="66">
        <f>(Table17[[#This Row],[Index]]-B315)/B315</f>
        <v/>
      </c>
    </row>
    <row r="328">
      <c r="A328" s="17" t="n">
        <v>36069</v>
      </c>
      <c r="B328" s="58">
        <f>VLOOKUP(Table17[[#This Row],[Date]],database!A:H,7,)</f>
        <v/>
      </c>
      <c r="C328" s="66">
        <f>B328/B327-1</f>
        <v/>
      </c>
      <c r="D328" s="66">
        <f>(Table17[[#This Row],[Index]]-B316)/B316</f>
        <v/>
      </c>
    </row>
    <row r="329">
      <c r="A329" s="17" t="n">
        <v>36100</v>
      </c>
      <c r="B329" s="58">
        <f>VLOOKUP(Table17[[#This Row],[Date]],database!A:H,7,)</f>
        <v/>
      </c>
      <c r="C329" s="66">
        <f>B329/B328-1</f>
        <v/>
      </c>
      <c r="D329" s="66">
        <f>(Table17[[#This Row],[Index]]-B317)/B317</f>
        <v/>
      </c>
    </row>
    <row r="330">
      <c r="A330" s="17" t="n">
        <v>36130</v>
      </c>
      <c r="B330" s="58">
        <f>VLOOKUP(Table17[[#This Row],[Date]],database!A:H,7,)</f>
        <v/>
      </c>
      <c r="C330" s="66">
        <f>B330/B329-1</f>
        <v/>
      </c>
      <c r="D330" s="66">
        <f>(Table17[[#This Row],[Index]]-B318)/B318</f>
        <v/>
      </c>
    </row>
    <row r="331">
      <c r="A331" s="17" t="n">
        <v>36161</v>
      </c>
      <c r="B331" s="58">
        <f>VLOOKUP(Table17[[#This Row],[Date]],database!A:H,7,)</f>
        <v/>
      </c>
      <c r="C331" s="66">
        <f>B331/B330-1</f>
        <v/>
      </c>
      <c r="D331" s="66">
        <f>(Table17[[#This Row],[Index]]-B319)/B319</f>
        <v/>
      </c>
    </row>
    <row r="332">
      <c r="A332" s="17" t="n">
        <v>36192</v>
      </c>
      <c r="B332" s="58">
        <f>VLOOKUP(Table17[[#This Row],[Date]],database!A:H,7,)</f>
        <v/>
      </c>
      <c r="C332" s="66">
        <f>B332/B331-1</f>
        <v/>
      </c>
      <c r="D332" s="66">
        <f>(Table17[[#This Row],[Index]]-B320)/B320</f>
        <v/>
      </c>
    </row>
    <row r="333">
      <c r="A333" s="17" t="n">
        <v>36220</v>
      </c>
      <c r="B333" s="58">
        <f>VLOOKUP(Table17[[#This Row],[Date]],database!A:H,7,)</f>
        <v/>
      </c>
      <c r="C333" s="66">
        <f>B333/B332-1</f>
        <v/>
      </c>
      <c r="D333" s="66">
        <f>(Table17[[#This Row],[Index]]-B321)/B321</f>
        <v/>
      </c>
    </row>
    <row r="334">
      <c r="A334" s="17" t="n">
        <v>36251</v>
      </c>
      <c r="B334" s="58">
        <f>VLOOKUP(Table17[[#This Row],[Date]],database!A:H,7,)</f>
        <v/>
      </c>
      <c r="C334" s="66">
        <f>B334/B333-1</f>
        <v/>
      </c>
      <c r="D334" s="66">
        <f>(Table17[[#This Row],[Index]]-B322)/B322</f>
        <v/>
      </c>
    </row>
    <row r="335">
      <c r="A335" s="17" t="n">
        <v>36281</v>
      </c>
      <c r="B335" s="58">
        <f>VLOOKUP(Table17[[#This Row],[Date]],database!A:H,7,)</f>
        <v/>
      </c>
      <c r="C335" s="66">
        <f>B335/B334-1</f>
        <v/>
      </c>
      <c r="D335" s="66">
        <f>(Table17[[#This Row],[Index]]-B323)/B323</f>
        <v/>
      </c>
    </row>
    <row r="336">
      <c r="A336" s="17" t="n">
        <v>36312</v>
      </c>
      <c r="B336" s="58">
        <f>VLOOKUP(Table17[[#This Row],[Date]],database!A:H,7,)</f>
        <v/>
      </c>
      <c r="C336" s="66">
        <f>B336/B335-1</f>
        <v/>
      </c>
      <c r="D336" s="66">
        <f>(Table17[[#This Row],[Index]]-B324)/B324</f>
        <v/>
      </c>
    </row>
    <row r="337">
      <c r="A337" s="17" t="n">
        <v>36342</v>
      </c>
      <c r="B337" s="58">
        <f>VLOOKUP(Table17[[#This Row],[Date]],database!A:H,7,)</f>
        <v/>
      </c>
      <c r="C337" s="66">
        <f>B337/B336-1</f>
        <v/>
      </c>
      <c r="D337" s="66">
        <f>(Table17[[#This Row],[Index]]-B325)/B325</f>
        <v/>
      </c>
    </row>
    <row r="338">
      <c r="A338" s="17" t="n">
        <v>36373</v>
      </c>
      <c r="B338" s="58">
        <f>VLOOKUP(Table17[[#This Row],[Date]],database!A:H,7,)</f>
        <v/>
      </c>
      <c r="C338" s="66">
        <f>B338/B337-1</f>
        <v/>
      </c>
      <c r="D338" s="66">
        <f>(Table17[[#This Row],[Index]]-B326)/B326</f>
        <v/>
      </c>
    </row>
    <row r="339">
      <c r="A339" s="17" t="n">
        <v>36404</v>
      </c>
      <c r="B339" s="58">
        <f>VLOOKUP(Table17[[#This Row],[Date]],database!A:H,7,)</f>
        <v/>
      </c>
      <c r="C339" s="66">
        <f>B339/B338-1</f>
        <v/>
      </c>
      <c r="D339" s="66">
        <f>(Table17[[#This Row],[Index]]-B327)/B327</f>
        <v/>
      </c>
    </row>
    <row r="340">
      <c r="A340" s="17" t="n">
        <v>36434</v>
      </c>
      <c r="B340" s="58">
        <f>VLOOKUP(Table17[[#This Row],[Date]],database!A:H,7,)</f>
        <v/>
      </c>
      <c r="C340" s="66">
        <f>B340/B339-1</f>
        <v/>
      </c>
      <c r="D340" s="66">
        <f>(Table17[[#This Row],[Index]]-B328)/B328</f>
        <v/>
      </c>
    </row>
    <row r="341">
      <c r="A341" s="17" t="n">
        <v>36465</v>
      </c>
      <c r="B341" s="58">
        <f>VLOOKUP(Table17[[#This Row],[Date]],database!A:H,7,)</f>
        <v/>
      </c>
      <c r="C341" s="66">
        <f>B341/B340-1</f>
        <v/>
      </c>
      <c r="D341" s="66">
        <f>(Table17[[#This Row],[Index]]-B329)/B329</f>
        <v/>
      </c>
    </row>
    <row r="342">
      <c r="A342" s="17" t="n">
        <v>36495</v>
      </c>
      <c r="B342" s="58">
        <f>VLOOKUP(Table17[[#This Row],[Date]],database!A:H,7,)</f>
        <v/>
      </c>
      <c r="C342" s="66">
        <f>B342/B341-1</f>
        <v/>
      </c>
      <c r="D342" s="66">
        <f>(Table17[[#This Row],[Index]]-B330)/B330</f>
        <v/>
      </c>
    </row>
    <row r="343">
      <c r="A343" s="17" t="n">
        <v>36526</v>
      </c>
      <c r="B343" s="58">
        <f>VLOOKUP(Table17[[#This Row],[Date]],database!A:H,7,)</f>
        <v/>
      </c>
      <c r="C343" s="66">
        <f>B343/B342-1</f>
        <v/>
      </c>
      <c r="D343" s="66">
        <f>(Table17[[#This Row],[Index]]-B331)/B331</f>
        <v/>
      </c>
    </row>
    <row r="344">
      <c r="A344" s="17" t="n">
        <v>36557</v>
      </c>
      <c r="B344" s="58">
        <f>VLOOKUP(Table17[[#This Row],[Date]],database!A:H,7,)</f>
        <v/>
      </c>
      <c r="C344" s="66">
        <f>B344/B343-1</f>
        <v/>
      </c>
      <c r="D344" s="66">
        <f>(Table17[[#This Row],[Index]]-B332)/B332</f>
        <v/>
      </c>
    </row>
    <row r="345">
      <c r="A345" s="17" t="n">
        <v>36586</v>
      </c>
      <c r="B345" s="58">
        <f>VLOOKUP(Table17[[#This Row],[Date]],database!A:H,7,)</f>
        <v/>
      </c>
      <c r="C345" s="66">
        <f>B345/B344-1</f>
        <v/>
      </c>
      <c r="D345" s="66">
        <f>(Table17[[#This Row],[Index]]-B333)/B333</f>
        <v/>
      </c>
    </row>
    <row r="346">
      <c r="A346" s="17" t="n">
        <v>36617</v>
      </c>
      <c r="B346" s="58">
        <f>VLOOKUP(Table17[[#This Row],[Date]],database!A:H,7,)</f>
        <v/>
      </c>
      <c r="C346" s="66">
        <f>B346/B345-1</f>
        <v/>
      </c>
      <c r="D346" s="66">
        <f>(Table17[[#This Row],[Index]]-B334)/B334</f>
        <v/>
      </c>
    </row>
    <row r="347">
      <c r="A347" s="17" t="n">
        <v>36647</v>
      </c>
      <c r="B347" s="58">
        <f>VLOOKUP(Table17[[#This Row],[Date]],database!A:H,7,)</f>
        <v/>
      </c>
      <c r="C347" s="66">
        <f>B347/B346-1</f>
        <v/>
      </c>
      <c r="D347" s="66">
        <f>(Table17[[#This Row],[Index]]-B335)/B335</f>
        <v/>
      </c>
    </row>
    <row r="348">
      <c r="A348" s="17" t="n">
        <v>36678</v>
      </c>
      <c r="B348" s="58">
        <f>VLOOKUP(Table17[[#This Row],[Date]],database!A:H,7,)</f>
        <v/>
      </c>
      <c r="C348" s="66">
        <f>B348/B347-1</f>
        <v/>
      </c>
      <c r="D348" s="66">
        <f>(Table17[[#This Row],[Index]]-B336)/B336</f>
        <v/>
      </c>
    </row>
    <row r="349">
      <c r="A349" s="17" t="n">
        <v>36708</v>
      </c>
      <c r="B349" s="58">
        <f>VLOOKUP(Table17[[#This Row],[Date]],database!A:H,7,)</f>
        <v/>
      </c>
      <c r="C349" s="66">
        <f>B349/B348-1</f>
        <v/>
      </c>
      <c r="D349" s="66">
        <f>(Table17[[#This Row],[Index]]-B337)/B337</f>
        <v/>
      </c>
    </row>
    <row r="350">
      <c r="A350" s="17" t="n">
        <v>36739</v>
      </c>
      <c r="B350" s="58">
        <f>VLOOKUP(Table17[[#This Row],[Date]],database!A:H,7,)</f>
        <v/>
      </c>
      <c r="C350" s="66">
        <f>B350/B349-1</f>
        <v/>
      </c>
      <c r="D350" s="66">
        <f>(Table17[[#This Row],[Index]]-B338)/B338</f>
        <v/>
      </c>
    </row>
    <row r="351">
      <c r="A351" s="17" t="n">
        <v>36770</v>
      </c>
      <c r="B351" s="58">
        <f>VLOOKUP(Table17[[#This Row],[Date]],database!A:H,7,)</f>
        <v/>
      </c>
      <c r="C351" s="66">
        <f>B351/B350-1</f>
        <v/>
      </c>
      <c r="D351" s="66">
        <f>(Table17[[#This Row],[Index]]-B339)/B339</f>
        <v/>
      </c>
    </row>
    <row r="352">
      <c r="A352" s="17" t="n">
        <v>36800</v>
      </c>
      <c r="B352" s="58">
        <f>VLOOKUP(Table17[[#This Row],[Date]],database!A:H,7,)</f>
        <v/>
      </c>
      <c r="C352" s="66">
        <f>B352/B351-1</f>
        <v/>
      </c>
      <c r="D352" s="66">
        <f>(Table17[[#This Row],[Index]]-B340)/B340</f>
        <v/>
      </c>
    </row>
    <row r="353">
      <c r="A353" s="17" t="n">
        <v>36831</v>
      </c>
      <c r="B353" s="58">
        <f>VLOOKUP(Table17[[#This Row],[Date]],database!A:H,7,)</f>
        <v/>
      </c>
      <c r="C353" s="66">
        <f>B353/B352-1</f>
        <v/>
      </c>
      <c r="D353" s="66">
        <f>(Table17[[#This Row],[Index]]-B341)/B341</f>
        <v/>
      </c>
    </row>
    <row r="354">
      <c r="A354" s="17" t="n">
        <v>36861</v>
      </c>
      <c r="B354" s="58">
        <f>VLOOKUP(Table17[[#This Row],[Date]],database!A:H,7,)</f>
        <v/>
      </c>
      <c r="C354" s="66">
        <f>B354/B353-1</f>
        <v/>
      </c>
      <c r="D354" s="66">
        <f>(Table17[[#This Row],[Index]]-B342)/B342</f>
        <v/>
      </c>
    </row>
    <row r="355">
      <c r="A355" s="17" t="n">
        <v>36892</v>
      </c>
      <c r="B355" s="58">
        <f>VLOOKUP(Table17[[#This Row],[Date]],database!A:H,7,)</f>
        <v/>
      </c>
      <c r="C355" s="66">
        <f>B355/B354-1</f>
        <v/>
      </c>
      <c r="D355" s="66">
        <f>(Table17[[#This Row],[Index]]-B343)/B343</f>
        <v/>
      </c>
    </row>
    <row r="356">
      <c r="A356" s="17" t="n">
        <v>36923</v>
      </c>
      <c r="B356" s="58">
        <f>VLOOKUP(Table17[[#This Row],[Date]],database!A:H,7,)</f>
        <v/>
      </c>
      <c r="C356" s="66">
        <f>B356/B355-1</f>
        <v/>
      </c>
      <c r="D356" s="66">
        <f>(Table17[[#This Row],[Index]]-B344)/B344</f>
        <v/>
      </c>
    </row>
    <row r="357">
      <c r="A357" s="17" t="n">
        <v>36951</v>
      </c>
      <c r="B357" s="58">
        <f>VLOOKUP(Table17[[#This Row],[Date]],database!A:H,7,)</f>
        <v/>
      </c>
      <c r="C357" s="66">
        <f>B357/B356-1</f>
        <v/>
      </c>
      <c r="D357" s="66">
        <f>(Table17[[#This Row],[Index]]-B345)/B345</f>
        <v/>
      </c>
    </row>
    <row r="358">
      <c r="A358" s="17" t="n">
        <v>36982</v>
      </c>
      <c r="B358" s="58">
        <f>VLOOKUP(Table17[[#This Row],[Date]],database!A:H,7,)</f>
        <v/>
      </c>
      <c r="C358" s="66">
        <f>B358/B357-1</f>
        <v/>
      </c>
      <c r="D358" s="66">
        <f>(Table17[[#This Row],[Index]]-B346)/B346</f>
        <v/>
      </c>
    </row>
    <row r="359">
      <c r="A359" s="17" t="n">
        <v>37012</v>
      </c>
      <c r="B359" s="58">
        <f>VLOOKUP(Table17[[#This Row],[Date]],database!A:H,7,)</f>
        <v/>
      </c>
      <c r="C359" s="66">
        <f>B359/B358-1</f>
        <v/>
      </c>
      <c r="D359" s="66">
        <f>(Table17[[#This Row],[Index]]-B347)/B347</f>
        <v/>
      </c>
    </row>
    <row r="360">
      <c r="A360" s="17" t="n">
        <v>37043</v>
      </c>
      <c r="B360" s="58">
        <f>VLOOKUP(Table17[[#This Row],[Date]],database!A:H,7,)</f>
        <v/>
      </c>
      <c r="C360" s="66">
        <f>B360/B359-1</f>
        <v/>
      </c>
      <c r="D360" s="66">
        <f>(Table17[[#This Row],[Index]]-B348)/B348</f>
        <v/>
      </c>
    </row>
    <row r="361">
      <c r="A361" s="17" t="n">
        <v>37073</v>
      </c>
      <c r="B361" s="58">
        <f>VLOOKUP(Table17[[#This Row],[Date]],database!A:H,7,)</f>
        <v/>
      </c>
      <c r="C361" s="66">
        <f>B361/B360-1</f>
        <v/>
      </c>
      <c r="D361" s="66">
        <f>(Table17[[#This Row],[Index]]-B349)/B349</f>
        <v/>
      </c>
    </row>
    <row r="362">
      <c r="A362" s="17" t="n">
        <v>37104</v>
      </c>
      <c r="B362" s="58">
        <f>VLOOKUP(Table17[[#This Row],[Date]],database!A:H,7,)</f>
        <v/>
      </c>
      <c r="C362" s="66">
        <f>B362/B361-1</f>
        <v/>
      </c>
      <c r="D362" s="66">
        <f>(Table17[[#This Row],[Index]]-B350)/B350</f>
        <v/>
      </c>
    </row>
    <row r="363">
      <c r="A363" s="17" t="n">
        <v>37135</v>
      </c>
      <c r="B363" s="58">
        <f>VLOOKUP(Table17[[#This Row],[Date]],database!A:H,7,)</f>
        <v/>
      </c>
      <c r="C363" s="66">
        <f>B363/B362-1</f>
        <v/>
      </c>
      <c r="D363" s="66">
        <f>(Table17[[#This Row],[Index]]-B351)/B351</f>
        <v/>
      </c>
    </row>
    <row r="364">
      <c r="A364" s="17" t="n">
        <v>37165</v>
      </c>
      <c r="B364" s="58">
        <f>VLOOKUP(Table17[[#This Row],[Date]],database!A:H,7,)</f>
        <v/>
      </c>
      <c r="C364" s="66">
        <f>B364/B363-1</f>
        <v/>
      </c>
      <c r="D364" s="66">
        <f>(Table17[[#This Row],[Index]]-B352)/B352</f>
        <v/>
      </c>
    </row>
    <row r="365">
      <c r="A365" s="17" t="n">
        <v>37196</v>
      </c>
      <c r="B365" s="58">
        <f>VLOOKUP(Table17[[#This Row],[Date]],database!A:H,7,)</f>
        <v/>
      </c>
      <c r="C365" s="66">
        <f>B365/B364-1</f>
        <v/>
      </c>
      <c r="D365" s="66">
        <f>(Table17[[#This Row],[Index]]-B353)/B353</f>
        <v/>
      </c>
    </row>
    <row r="366">
      <c r="A366" s="17" t="n">
        <v>37226</v>
      </c>
      <c r="B366" s="58">
        <f>VLOOKUP(Table17[[#This Row],[Date]],database!A:H,7,)</f>
        <v/>
      </c>
      <c r="C366" s="66">
        <f>B366/B365-1</f>
        <v/>
      </c>
      <c r="D366" s="66">
        <f>(Table17[[#This Row],[Index]]-B354)/B354</f>
        <v/>
      </c>
    </row>
    <row r="367">
      <c r="A367" s="17" t="n">
        <v>37257</v>
      </c>
      <c r="B367" s="58">
        <f>VLOOKUP(Table17[[#This Row],[Date]],database!A:H,7,)</f>
        <v/>
      </c>
      <c r="C367" s="66">
        <f>B367/B366-1</f>
        <v/>
      </c>
      <c r="D367" s="66">
        <f>(Table17[[#This Row],[Index]]-B355)/B355</f>
        <v/>
      </c>
    </row>
    <row r="368">
      <c r="A368" s="17" t="n">
        <v>37288</v>
      </c>
      <c r="B368" s="58">
        <f>VLOOKUP(Table17[[#This Row],[Date]],database!A:H,7,)</f>
        <v/>
      </c>
      <c r="C368" s="66">
        <f>B368/B367-1</f>
        <v/>
      </c>
      <c r="D368" s="66">
        <f>(Table17[[#This Row],[Index]]-B356)/B356</f>
        <v/>
      </c>
    </row>
    <row r="369">
      <c r="A369" s="17" t="n">
        <v>37316</v>
      </c>
      <c r="B369" s="58">
        <f>VLOOKUP(Table17[[#This Row],[Date]],database!A:H,7,)</f>
        <v/>
      </c>
      <c r="C369" s="66">
        <f>B369/B368-1</f>
        <v/>
      </c>
      <c r="D369" s="66">
        <f>(Table17[[#This Row],[Index]]-B357)/B357</f>
        <v/>
      </c>
    </row>
    <row r="370">
      <c r="A370" s="17" t="n">
        <v>37347</v>
      </c>
      <c r="B370" s="58">
        <f>VLOOKUP(Table17[[#This Row],[Date]],database!A:H,7,)</f>
        <v/>
      </c>
      <c r="C370" s="66">
        <f>B370/B369-1</f>
        <v/>
      </c>
      <c r="D370" s="66">
        <f>(Table17[[#This Row],[Index]]-B358)/B358</f>
        <v/>
      </c>
    </row>
    <row r="371">
      <c r="A371" s="17" t="n">
        <v>37377</v>
      </c>
      <c r="B371" s="58">
        <f>VLOOKUP(Table17[[#This Row],[Date]],database!A:H,7,)</f>
        <v/>
      </c>
      <c r="C371" s="66">
        <f>B371/B370-1</f>
        <v/>
      </c>
      <c r="D371" s="66">
        <f>(Table17[[#This Row],[Index]]-B359)/B359</f>
        <v/>
      </c>
    </row>
    <row r="372">
      <c r="A372" s="17" t="n">
        <v>37408</v>
      </c>
      <c r="B372" s="58">
        <f>VLOOKUP(Table17[[#This Row],[Date]],database!A:H,7,)</f>
        <v/>
      </c>
      <c r="C372" s="66">
        <f>B372/B371-1</f>
        <v/>
      </c>
      <c r="D372" s="66">
        <f>(Table17[[#This Row],[Index]]-B360)/B360</f>
        <v/>
      </c>
    </row>
    <row r="373">
      <c r="A373" s="17" t="n">
        <v>37438</v>
      </c>
      <c r="B373" s="58">
        <f>VLOOKUP(Table17[[#This Row],[Date]],database!A:H,7,)</f>
        <v/>
      </c>
      <c r="C373" s="66">
        <f>B373/B372-1</f>
        <v/>
      </c>
      <c r="D373" s="66">
        <f>(Table17[[#This Row],[Index]]-B361)/B361</f>
        <v/>
      </c>
    </row>
    <row r="374">
      <c r="A374" s="17" t="n">
        <v>37469</v>
      </c>
      <c r="B374" s="58">
        <f>VLOOKUP(Table17[[#This Row],[Date]],database!A:H,7,)</f>
        <v/>
      </c>
      <c r="C374" s="66">
        <f>B374/B373-1</f>
        <v/>
      </c>
      <c r="D374" s="66">
        <f>(Table17[[#This Row],[Index]]-B362)/B362</f>
        <v/>
      </c>
    </row>
    <row r="375">
      <c r="A375" s="17" t="n">
        <v>37500</v>
      </c>
      <c r="B375" s="58">
        <f>VLOOKUP(Table17[[#This Row],[Date]],database!A:H,7,)</f>
        <v/>
      </c>
      <c r="C375" s="66">
        <f>B375/B374-1</f>
        <v/>
      </c>
      <c r="D375" s="66">
        <f>(Table17[[#This Row],[Index]]-B363)/B363</f>
        <v/>
      </c>
    </row>
    <row r="376">
      <c r="A376" s="17" t="n">
        <v>37530</v>
      </c>
      <c r="B376" s="58">
        <f>VLOOKUP(Table17[[#This Row],[Date]],database!A:H,7,)</f>
        <v/>
      </c>
      <c r="C376" s="66">
        <f>B376/B375-1</f>
        <v/>
      </c>
      <c r="D376" s="66">
        <f>(Table17[[#This Row],[Index]]-B364)/B364</f>
        <v/>
      </c>
    </row>
    <row r="377">
      <c r="A377" s="17" t="n">
        <v>37561</v>
      </c>
      <c r="B377" s="58">
        <f>VLOOKUP(Table17[[#This Row],[Date]],database!A:H,7,)</f>
        <v/>
      </c>
      <c r="C377" s="66">
        <f>B377/B376-1</f>
        <v/>
      </c>
      <c r="D377" s="66">
        <f>(Table17[[#This Row],[Index]]-B365)/B365</f>
        <v/>
      </c>
    </row>
    <row r="378">
      <c r="A378" s="17" t="n">
        <v>37591</v>
      </c>
      <c r="B378" s="58">
        <f>VLOOKUP(Table17[[#This Row],[Date]],database!A:H,7,)</f>
        <v/>
      </c>
      <c r="C378" s="66">
        <f>B378/B377-1</f>
        <v/>
      </c>
      <c r="D378" s="66">
        <f>(Table17[[#This Row],[Index]]-B366)/B366</f>
        <v/>
      </c>
    </row>
    <row r="379">
      <c r="A379" s="17" t="n">
        <v>37622</v>
      </c>
      <c r="B379" s="58">
        <f>VLOOKUP(Table17[[#This Row],[Date]],database!A:H,7,)</f>
        <v/>
      </c>
      <c r="C379" s="66">
        <f>B379/B378-1</f>
        <v/>
      </c>
      <c r="D379" s="66">
        <f>(Table17[[#This Row],[Index]]-B367)/B367</f>
        <v/>
      </c>
    </row>
    <row r="380">
      <c r="A380" s="17" t="n">
        <v>37653</v>
      </c>
      <c r="B380" s="58">
        <f>VLOOKUP(Table17[[#This Row],[Date]],database!A:H,7,)</f>
        <v/>
      </c>
      <c r="C380" s="66">
        <f>B380/B379-1</f>
        <v/>
      </c>
      <c r="D380" s="66">
        <f>(Table17[[#This Row],[Index]]-B368)/B368</f>
        <v/>
      </c>
    </row>
    <row r="381">
      <c r="A381" s="17" t="n">
        <v>37681</v>
      </c>
      <c r="B381" s="58">
        <f>VLOOKUP(Table17[[#This Row],[Date]],database!A:H,7,)</f>
        <v/>
      </c>
      <c r="C381" s="66">
        <f>B381/B380-1</f>
        <v/>
      </c>
      <c r="D381" s="66">
        <f>(Table17[[#This Row],[Index]]-B369)/B369</f>
        <v/>
      </c>
    </row>
    <row r="382">
      <c r="A382" s="17" t="n">
        <v>37712</v>
      </c>
      <c r="B382" s="58">
        <f>VLOOKUP(Table17[[#This Row],[Date]],database!A:H,7,)</f>
        <v/>
      </c>
      <c r="C382" s="66">
        <f>B382/B381-1</f>
        <v/>
      </c>
      <c r="D382" s="66">
        <f>(Table17[[#This Row],[Index]]-B370)/B370</f>
        <v/>
      </c>
    </row>
    <row r="383">
      <c r="A383" s="17" t="n">
        <v>37742</v>
      </c>
      <c r="B383" s="58">
        <f>VLOOKUP(Table17[[#This Row],[Date]],database!A:H,7,)</f>
        <v/>
      </c>
      <c r="C383" s="66">
        <f>B383/B382-1</f>
        <v/>
      </c>
      <c r="D383" s="66">
        <f>(Table17[[#This Row],[Index]]-B371)/B371</f>
        <v/>
      </c>
    </row>
    <row r="384">
      <c r="A384" s="17" t="n">
        <v>37773</v>
      </c>
      <c r="B384" s="58">
        <f>VLOOKUP(Table17[[#This Row],[Date]],database!A:H,7,)</f>
        <v/>
      </c>
      <c r="C384" s="66">
        <f>B384/B383-1</f>
        <v/>
      </c>
      <c r="D384" s="66">
        <f>(Table17[[#This Row],[Index]]-B372)/B372</f>
        <v/>
      </c>
    </row>
    <row r="385">
      <c r="A385" s="17" t="n">
        <v>37803</v>
      </c>
      <c r="B385" s="58">
        <f>VLOOKUP(Table17[[#This Row],[Date]],database!A:H,7,)</f>
        <v/>
      </c>
      <c r="C385" s="66">
        <f>B385/B384-1</f>
        <v/>
      </c>
      <c r="D385" s="66">
        <f>(Table17[[#This Row],[Index]]-B373)/B373</f>
        <v/>
      </c>
    </row>
    <row r="386">
      <c r="A386" s="17" t="n">
        <v>37834</v>
      </c>
      <c r="B386" s="58">
        <f>VLOOKUP(Table17[[#This Row],[Date]],database!A:H,7,)</f>
        <v/>
      </c>
      <c r="C386" s="66">
        <f>B386/B385-1</f>
        <v/>
      </c>
      <c r="D386" s="66">
        <f>(Table17[[#This Row],[Index]]-B374)/B374</f>
        <v/>
      </c>
    </row>
    <row r="387">
      <c r="A387" s="17" t="n">
        <v>37865</v>
      </c>
      <c r="B387" s="58">
        <f>VLOOKUP(Table17[[#This Row],[Date]],database!A:H,7,)</f>
        <v/>
      </c>
      <c r="C387" s="66">
        <f>B387/B386-1</f>
        <v/>
      </c>
      <c r="D387" s="66">
        <f>(Table17[[#This Row],[Index]]-B375)/B375</f>
        <v/>
      </c>
    </row>
    <row r="388">
      <c r="A388" s="17" t="n">
        <v>37895</v>
      </c>
      <c r="B388" s="58">
        <f>VLOOKUP(Table17[[#This Row],[Date]],database!A:H,7,)</f>
        <v/>
      </c>
      <c r="C388" s="66">
        <f>B388/B387-1</f>
        <v/>
      </c>
      <c r="D388" s="66">
        <f>(Table17[[#This Row],[Index]]-B376)/B376</f>
        <v/>
      </c>
    </row>
    <row r="389">
      <c r="A389" s="17" t="n">
        <v>37926</v>
      </c>
      <c r="B389" s="58">
        <f>VLOOKUP(Table17[[#This Row],[Date]],database!A:H,7,)</f>
        <v/>
      </c>
      <c r="C389" s="66">
        <f>B389/B388-1</f>
        <v/>
      </c>
      <c r="D389" s="66">
        <f>(Table17[[#This Row],[Index]]-B377)/B377</f>
        <v/>
      </c>
    </row>
    <row r="390">
      <c r="A390" s="17" t="n">
        <v>37956</v>
      </c>
      <c r="B390" s="58">
        <f>VLOOKUP(Table17[[#This Row],[Date]],database!A:H,7,)</f>
        <v/>
      </c>
      <c r="C390" s="66">
        <f>B390/B389-1</f>
        <v/>
      </c>
      <c r="D390" s="66">
        <f>(Table17[[#This Row],[Index]]-B378)/B378</f>
        <v/>
      </c>
    </row>
    <row r="391">
      <c r="A391" s="17" t="n">
        <v>37987</v>
      </c>
      <c r="B391" s="58">
        <f>VLOOKUP(Table17[[#This Row],[Date]],database!A:H,7,)</f>
        <v/>
      </c>
      <c r="C391" s="66">
        <f>B391/B390-1</f>
        <v/>
      </c>
      <c r="D391" s="66">
        <f>(Table17[[#This Row],[Index]]-B379)/B379</f>
        <v/>
      </c>
    </row>
    <row r="392">
      <c r="A392" s="17" t="n">
        <v>38018</v>
      </c>
      <c r="B392" s="58">
        <f>VLOOKUP(Table17[[#This Row],[Date]],database!A:H,7,)</f>
        <v/>
      </c>
      <c r="C392" s="66">
        <f>B392/B391-1</f>
        <v/>
      </c>
      <c r="D392" s="66">
        <f>(Table17[[#This Row],[Index]]-B380)/B380</f>
        <v/>
      </c>
    </row>
    <row r="393">
      <c r="A393" s="17" t="n">
        <v>38047</v>
      </c>
      <c r="B393" s="58">
        <f>VLOOKUP(Table17[[#This Row],[Date]],database!A:H,7,)</f>
        <v/>
      </c>
      <c r="C393" s="66">
        <f>B393/B392-1</f>
        <v/>
      </c>
      <c r="D393" s="66">
        <f>(Table17[[#This Row],[Index]]-B381)/B381</f>
        <v/>
      </c>
    </row>
    <row r="394">
      <c r="A394" s="17" t="n">
        <v>38078</v>
      </c>
      <c r="B394" s="58">
        <f>VLOOKUP(Table17[[#This Row],[Date]],database!A:H,7,)</f>
        <v/>
      </c>
      <c r="C394" s="66">
        <f>B394/B393-1</f>
        <v/>
      </c>
      <c r="D394" s="66">
        <f>(Table17[[#This Row],[Index]]-B382)/B382</f>
        <v/>
      </c>
    </row>
    <row r="395">
      <c r="A395" s="17" t="n">
        <v>38108</v>
      </c>
      <c r="B395" s="58">
        <f>VLOOKUP(Table17[[#This Row],[Date]],database!A:H,7,)</f>
        <v/>
      </c>
      <c r="C395" s="66">
        <f>B395/B394-1</f>
        <v/>
      </c>
      <c r="D395" s="66">
        <f>(Table17[[#This Row],[Index]]-B383)/B383</f>
        <v/>
      </c>
    </row>
    <row r="396">
      <c r="A396" s="17" t="n">
        <v>38139</v>
      </c>
      <c r="B396" s="58">
        <f>VLOOKUP(Table17[[#This Row],[Date]],database!A:H,7,)</f>
        <v/>
      </c>
      <c r="C396" s="66">
        <f>B396/B395-1</f>
        <v/>
      </c>
      <c r="D396" s="66">
        <f>(Table17[[#This Row],[Index]]-B384)/B384</f>
        <v/>
      </c>
    </row>
    <row r="397">
      <c r="A397" s="17" t="n">
        <v>38169</v>
      </c>
      <c r="B397" s="58">
        <f>VLOOKUP(Table17[[#This Row],[Date]],database!A:H,7,)</f>
        <v/>
      </c>
      <c r="C397" s="66">
        <f>B397/B396-1</f>
        <v/>
      </c>
      <c r="D397" s="66">
        <f>(Table17[[#This Row],[Index]]-B385)/B385</f>
        <v/>
      </c>
    </row>
    <row r="398">
      <c r="A398" s="17" t="n">
        <v>38200</v>
      </c>
      <c r="B398" s="58">
        <f>VLOOKUP(Table17[[#This Row],[Date]],database!A:H,7,)</f>
        <v/>
      </c>
      <c r="C398" s="66">
        <f>B398/B397-1</f>
        <v/>
      </c>
      <c r="D398" s="66">
        <f>(Table17[[#This Row],[Index]]-B386)/B386</f>
        <v/>
      </c>
    </row>
    <row r="399">
      <c r="A399" s="17" t="n">
        <v>38231</v>
      </c>
      <c r="B399" s="58">
        <f>VLOOKUP(Table17[[#This Row],[Date]],database!A:H,7,)</f>
        <v/>
      </c>
      <c r="C399" s="66">
        <f>B399/B398-1</f>
        <v/>
      </c>
      <c r="D399" s="66">
        <f>(Table17[[#This Row],[Index]]-B387)/B387</f>
        <v/>
      </c>
    </row>
    <row r="400">
      <c r="A400" s="17" t="n">
        <v>38261</v>
      </c>
      <c r="B400" s="58">
        <f>VLOOKUP(Table17[[#This Row],[Date]],database!A:H,7,)</f>
        <v/>
      </c>
      <c r="C400" s="66">
        <f>B400/B399-1</f>
        <v/>
      </c>
      <c r="D400" s="66">
        <f>(Table17[[#This Row],[Index]]-B388)/B388</f>
        <v/>
      </c>
    </row>
    <row r="401">
      <c r="A401" s="17" t="n">
        <v>38292</v>
      </c>
      <c r="B401" s="58">
        <f>VLOOKUP(Table17[[#This Row],[Date]],database!A:H,7,)</f>
        <v/>
      </c>
      <c r="C401" s="66">
        <f>B401/B400-1</f>
        <v/>
      </c>
      <c r="D401" s="66">
        <f>(Table17[[#This Row],[Index]]-B389)/B389</f>
        <v/>
      </c>
    </row>
    <row r="402">
      <c r="A402" s="17" t="n">
        <v>38322</v>
      </c>
      <c r="B402" s="58">
        <f>VLOOKUP(Table17[[#This Row],[Date]],database!A:H,7,)</f>
        <v/>
      </c>
      <c r="C402" s="66">
        <f>B402/B401-1</f>
        <v/>
      </c>
      <c r="D402" s="66">
        <f>(Table17[[#This Row],[Index]]-B390)/B390</f>
        <v/>
      </c>
    </row>
    <row r="403">
      <c r="A403" s="17" t="n">
        <v>38353</v>
      </c>
      <c r="B403" s="58">
        <f>VLOOKUP(Table17[[#This Row],[Date]],database!A:H,7,)</f>
        <v/>
      </c>
      <c r="C403" s="66">
        <f>B403/B402-1</f>
        <v/>
      </c>
      <c r="D403" s="66">
        <f>(Table17[[#This Row],[Index]]-B391)/B391</f>
        <v/>
      </c>
    </row>
    <row r="404">
      <c r="A404" s="17" t="n">
        <v>38384</v>
      </c>
      <c r="B404" s="58">
        <f>VLOOKUP(Table17[[#This Row],[Date]],database!A:H,7,)</f>
        <v/>
      </c>
      <c r="C404" s="66">
        <f>B404/B403-1</f>
        <v/>
      </c>
      <c r="D404" s="66">
        <f>(Table17[[#This Row],[Index]]-B392)/B392</f>
        <v/>
      </c>
    </row>
    <row r="405">
      <c r="A405" s="17" t="n">
        <v>38412</v>
      </c>
      <c r="B405" s="58">
        <f>VLOOKUP(Table17[[#This Row],[Date]],database!A:H,7,)</f>
        <v/>
      </c>
      <c r="C405" s="66">
        <f>B405/B404-1</f>
        <v/>
      </c>
      <c r="D405" s="66">
        <f>(Table17[[#This Row],[Index]]-B393)/B393</f>
        <v/>
      </c>
    </row>
    <row r="406">
      <c r="A406" s="17" t="n">
        <v>38443</v>
      </c>
      <c r="B406" s="58">
        <f>VLOOKUP(Table17[[#This Row],[Date]],database!A:H,7,)</f>
        <v/>
      </c>
      <c r="C406" s="66">
        <f>B406/B405-1</f>
        <v/>
      </c>
      <c r="D406" s="66">
        <f>(Table17[[#This Row],[Index]]-B394)/B394</f>
        <v/>
      </c>
    </row>
    <row r="407">
      <c r="A407" s="17" t="n">
        <v>38473</v>
      </c>
      <c r="B407" s="58">
        <f>VLOOKUP(Table17[[#This Row],[Date]],database!A:H,7,)</f>
        <v/>
      </c>
      <c r="C407" s="66">
        <f>B407/B406-1</f>
        <v/>
      </c>
      <c r="D407" s="66">
        <f>(Table17[[#This Row],[Index]]-B395)/B395</f>
        <v/>
      </c>
    </row>
    <row r="408">
      <c r="A408" s="17" t="n">
        <v>38504</v>
      </c>
      <c r="B408" s="58">
        <f>VLOOKUP(Table17[[#This Row],[Date]],database!A:H,7,)</f>
        <v/>
      </c>
      <c r="C408" s="66">
        <f>B408/B407-1</f>
        <v/>
      </c>
      <c r="D408" s="66">
        <f>(Table17[[#This Row],[Index]]-B396)/B396</f>
        <v/>
      </c>
    </row>
    <row r="409">
      <c r="A409" s="17" t="n">
        <v>38534</v>
      </c>
      <c r="B409" s="58">
        <f>VLOOKUP(Table17[[#This Row],[Date]],database!A:H,7,)</f>
        <v/>
      </c>
      <c r="C409" s="66">
        <f>B409/B408-1</f>
        <v/>
      </c>
      <c r="D409" s="66">
        <f>(Table17[[#This Row],[Index]]-B397)/B397</f>
        <v/>
      </c>
    </row>
    <row r="410">
      <c r="A410" s="17" t="n">
        <v>38565</v>
      </c>
      <c r="B410" s="58">
        <f>VLOOKUP(Table17[[#This Row],[Date]],database!A:H,7,)</f>
        <v/>
      </c>
      <c r="C410" s="66">
        <f>B410/B409-1</f>
        <v/>
      </c>
      <c r="D410" s="66">
        <f>(Table17[[#This Row],[Index]]-B398)/B398</f>
        <v/>
      </c>
    </row>
    <row r="411">
      <c r="A411" s="17" t="n">
        <v>38596</v>
      </c>
      <c r="B411" s="58">
        <f>VLOOKUP(Table17[[#This Row],[Date]],database!A:H,7,)</f>
        <v/>
      </c>
      <c r="C411" s="66">
        <f>B411/B410-1</f>
        <v/>
      </c>
      <c r="D411" s="66">
        <f>(Table17[[#This Row],[Index]]-B399)/B399</f>
        <v/>
      </c>
    </row>
    <row r="412">
      <c r="A412" s="17" t="n">
        <v>38626</v>
      </c>
      <c r="B412" s="58">
        <f>VLOOKUP(Table17[[#This Row],[Date]],database!A:H,7,)</f>
        <v/>
      </c>
      <c r="C412" s="66">
        <f>B412/B411-1</f>
        <v/>
      </c>
      <c r="D412" s="66">
        <f>(Table17[[#This Row],[Index]]-B400)/B400</f>
        <v/>
      </c>
    </row>
    <row r="413">
      <c r="A413" s="17" t="n">
        <v>38657</v>
      </c>
      <c r="B413" s="58">
        <f>VLOOKUP(Table17[[#This Row],[Date]],database!A:H,7,)</f>
        <v/>
      </c>
      <c r="C413" s="66">
        <f>B413/B412-1</f>
        <v/>
      </c>
      <c r="D413" s="66">
        <f>(Table17[[#This Row],[Index]]-B401)/B401</f>
        <v/>
      </c>
    </row>
    <row r="414">
      <c r="A414" s="17" t="n">
        <v>38687</v>
      </c>
      <c r="B414" s="58">
        <f>VLOOKUP(Table17[[#This Row],[Date]],database!A:H,7,)</f>
        <v/>
      </c>
      <c r="C414" s="66">
        <f>B414/B413-1</f>
        <v/>
      </c>
      <c r="D414" s="66">
        <f>(Table17[[#This Row],[Index]]-B402)/B402</f>
        <v/>
      </c>
    </row>
    <row r="415">
      <c r="A415" s="17" t="n">
        <v>38718</v>
      </c>
      <c r="B415" s="58">
        <f>VLOOKUP(Table17[[#This Row],[Date]],database!A:H,7,)</f>
        <v/>
      </c>
      <c r="C415" s="66">
        <f>B415/B414-1</f>
        <v/>
      </c>
      <c r="D415" s="66">
        <f>(Table17[[#This Row],[Index]]-B403)/B403</f>
        <v/>
      </c>
    </row>
    <row r="416">
      <c r="A416" s="17" t="n">
        <v>38749</v>
      </c>
      <c r="B416" s="58">
        <f>VLOOKUP(Table17[[#This Row],[Date]],database!A:H,7,)</f>
        <v/>
      </c>
      <c r="C416" s="66">
        <f>B416/B415-1</f>
        <v/>
      </c>
      <c r="D416" s="66">
        <f>(Table17[[#This Row],[Index]]-B404)/B404</f>
        <v/>
      </c>
    </row>
    <row r="417">
      <c r="A417" s="17" t="n">
        <v>38777</v>
      </c>
      <c r="B417" s="58">
        <f>VLOOKUP(Table17[[#This Row],[Date]],database!A:H,7,)</f>
        <v/>
      </c>
      <c r="C417" s="66">
        <f>B417/B416-1</f>
        <v/>
      </c>
      <c r="D417" s="66">
        <f>(Table17[[#This Row],[Index]]-B405)/B405</f>
        <v/>
      </c>
    </row>
    <row r="418">
      <c r="A418" s="17" t="n">
        <v>38808</v>
      </c>
      <c r="B418" s="58">
        <f>VLOOKUP(Table17[[#This Row],[Date]],database!A:H,7,)</f>
        <v/>
      </c>
      <c r="C418" s="66">
        <f>B418/B417-1</f>
        <v/>
      </c>
      <c r="D418" s="66">
        <f>(Table17[[#This Row],[Index]]-B406)/B406</f>
        <v/>
      </c>
    </row>
    <row r="419">
      <c r="A419" s="17" t="n">
        <v>38838</v>
      </c>
      <c r="B419" s="58">
        <f>VLOOKUP(Table17[[#This Row],[Date]],database!A:H,7,)</f>
        <v/>
      </c>
      <c r="C419" s="66">
        <f>B419/B418-1</f>
        <v/>
      </c>
      <c r="D419" s="66">
        <f>(Table17[[#This Row],[Index]]-B407)/B407</f>
        <v/>
      </c>
    </row>
    <row r="420">
      <c r="A420" s="17" t="n">
        <v>38869</v>
      </c>
      <c r="B420" s="58">
        <f>VLOOKUP(Table17[[#This Row],[Date]],database!A:H,7,)</f>
        <v/>
      </c>
      <c r="C420" s="66">
        <f>B420/B419-1</f>
        <v/>
      </c>
      <c r="D420" s="66">
        <f>(Table17[[#This Row],[Index]]-B408)/B408</f>
        <v/>
      </c>
    </row>
    <row r="421">
      <c r="A421" s="17" t="n">
        <v>38899</v>
      </c>
      <c r="B421" s="58">
        <f>VLOOKUP(Table17[[#This Row],[Date]],database!A:H,7,)</f>
        <v/>
      </c>
      <c r="C421" s="66">
        <f>B421/B420-1</f>
        <v/>
      </c>
      <c r="D421" s="66">
        <f>(Table17[[#This Row],[Index]]-B409)/B409</f>
        <v/>
      </c>
    </row>
    <row r="422">
      <c r="A422" s="17" t="n">
        <v>38930</v>
      </c>
      <c r="B422" s="58">
        <f>VLOOKUP(Table17[[#This Row],[Date]],database!A:H,7,)</f>
        <v/>
      </c>
      <c r="C422" s="66">
        <f>B422/B421-1</f>
        <v/>
      </c>
      <c r="D422" s="66">
        <f>(Table17[[#This Row],[Index]]-B410)/B410</f>
        <v/>
      </c>
    </row>
    <row r="423">
      <c r="A423" s="17" t="n">
        <v>38961</v>
      </c>
      <c r="B423" s="58">
        <f>VLOOKUP(Table17[[#This Row],[Date]],database!A:H,7,)</f>
        <v/>
      </c>
      <c r="C423" s="66">
        <f>B423/B422-1</f>
        <v/>
      </c>
      <c r="D423" s="66">
        <f>(Table17[[#This Row],[Index]]-B411)/B411</f>
        <v/>
      </c>
    </row>
    <row r="424">
      <c r="A424" s="17" t="n">
        <v>38991</v>
      </c>
      <c r="B424" s="58">
        <f>VLOOKUP(Table17[[#This Row],[Date]],database!A:H,7,)</f>
        <v/>
      </c>
      <c r="C424" s="66">
        <f>B424/B423-1</f>
        <v/>
      </c>
      <c r="D424" s="66">
        <f>(Table17[[#This Row],[Index]]-B412)/B412</f>
        <v/>
      </c>
    </row>
    <row r="425">
      <c r="A425" s="17" t="n">
        <v>39022</v>
      </c>
      <c r="B425" s="58">
        <f>VLOOKUP(Table17[[#This Row],[Date]],database!A:H,7,)</f>
        <v/>
      </c>
      <c r="C425" s="66">
        <f>B425/B424-1</f>
        <v/>
      </c>
      <c r="D425" s="66">
        <f>(Table17[[#This Row],[Index]]-B413)/B413</f>
        <v/>
      </c>
    </row>
    <row r="426">
      <c r="A426" s="17" t="n">
        <v>39052</v>
      </c>
      <c r="B426" s="58">
        <f>VLOOKUP(Table17[[#This Row],[Date]],database!A:H,7,)</f>
        <v/>
      </c>
      <c r="C426" s="66">
        <f>B426/B425-1</f>
        <v/>
      </c>
      <c r="D426" s="66">
        <f>(Table17[[#This Row],[Index]]-B414)/B414</f>
        <v/>
      </c>
    </row>
    <row r="427">
      <c r="A427" s="17" t="n">
        <v>39083</v>
      </c>
      <c r="B427" s="58">
        <f>VLOOKUP(Table17[[#This Row],[Date]],database!A:H,7,)</f>
        <v/>
      </c>
      <c r="C427" s="66">
        <f>B427/B426-1</f>
        <v/>
      </c>
      <c r="D427" s="66">
        <f>(Table17[[#This Row],[Index]]-B415)/B415</f>
        <v/>
      </c>
    </row>
    <row r="428">
      <c r="A428" s="17" t="n">
        <v>39114</v>
      </c>
      <c r="B428" s="58">
        <f>VLOOKUP(Table17[[#This Row],[Date]],database!A:H,7,)</f>
        <v/>
      </c>
      <c r="C428" s="66">
        <f>B428/B427-1</f>
        <v/>
      </c>
      <c r="D428" s="66">
        <f>(Table17[[#This Row],[Index]]-B416)/B416</f>
        <v/>
      </c>
    </row>
    <row r="429">
      <c r="A429" s="17" t="n">
        <v>39142</v>
      </c>
      <c r="B429" s="58">
        <f>VLOOKUP(Table17[[#This Row],[Date]],database!A:H,7,)</f>
        <v/>
      </c>
      <c r="C429" s="66">
        <f>B429/B428-1</f>
        <v/>
      </c>
      <c r="D429" s="66">
        <f>(Table17[[#This Row],[Index]]-B417)/B417</f>
        <v/>
      </c>
    </row>
    <row r="430">
      <c r="A430" s="17" t="n">
        <v>39173</v>
      </c>
      <c r="B430" s="58">
        <f>VLOOKUP(Table17[[#This Row],[Date]],database!A:H,7,)</f>
        <v/>
      </c>
      <c r="C430" s="66">
        <f>B430/B429-1</f>
        <v/>
      </c>
      <c r="D430" s="66">
        <f>(Table17[[#This Row],[Index]]-B418)/B418</f>
        <v/>
      </c>
    </row>
    <row r="431">
      <c r="A431" s="17" t="n">
        <v>39203</v>
      </c>
      <c r="B431" s="58">
        <f>VLOOKUP(Table17[[#This Row],[Date]],database!A:H,7,)</f>
        <v/>
      </c>
      <c r="C431" s="66">
        <f>B431/B430-1</f>
        <v/>
      </c>
      <c r="D431" s="66">
        <f>(Table17[[#This Row],[Index]]-B419)/B419</f>
        <v/>
      </c>
    </row>
    <row r="432">
      <c r="A432" s="17" t="n">
        <v>39234</v>
      </c>
      <c r="B432" s="58">
        <f>VLOOKUP(Table17[[#This Row],[Date]],database!A:H,7,)</f>
        <v/>
      </c>
      <c r="C432" s="66">
        <f>B432/B431-1</f>
        <v/>
      </c>
      <c r="D432" s="66">
        <f>(Table17[[#This Row],[Index]]-B420)/B420</f>
        <v/>
      </c>
    </row>
    <row r="433">
      <c r="A433" s="17" t="n">
        <v>39264</v>
      </c>
      <c r="B433" s="58">
        <f>VLOOKUP(Table17[[#This Row],[Date]],database!A:H,7,)</f>
        <v/>
      </c>
      <c r="C433" s="66">
        <f>B433/B432-1</f>
        <v/>
      </c>
      <c r="D433" s="66">
        <f>(Table17[[#This Row],[Index]]-B421)/B421</f>
        <v/>
      </c>
    </row>
    <row r="434">
      <c r="A434" s="17" t="n">
        <v>39295</v>
      </c>
      <c r="B434" s="58">
        <f>VLOOKUP(Table17[[#This Row],[Date]],database!A:H,7,)</f>
        <v/>
      </c>
      <c r="C434" s="66">
        <f>B434/B433-1</f>
        <v/>
      </c>
      <c r="D434" s="66">
        <f>(Table17[[#This Row],[Index]]-B422)/B422</f>
        <v/>
      </c>
    </row>
    <row r="435">
      <c r="A435" s="17" t="n">
        <v>39326</v>
      </c>
      <c r="B435" s="58">
        <f>VLOOKUP(Table17[[#This Row],[Date]],database!A:H,7,)</f>
        <v/>
      </c>
      <c r="C435" s="66">
        <f>B435/B434-1</f>
        <v/>
      </c>
      <c r="D435" s="66">
        <f>(Table17[[#This Row],[Index]]-B423)/B423</f>
        <v/>
      </c>
    </row>
    <row r="436">
      <c r="A436" s="17" t="n">
        <v>39356</v>
      </c>
      <c r="B436" s="58">
        <f>VLOOKUP(Table17[[#This Row],[Date]],database!A:H,7,)</f>
        <v/>
      </c>
      <c r="C436" s="66">
        <f>B436/B435-1</f>
        <v/>
      </c>
      <c r="D436" s="66">
        <f>(Table17[[#This Row],[Index]]-B424)/B424</f>
        <v/>
      </c>
    </row>
    <row r="437">
      <c r="A437" s="17" t="n">
        <v>39387</v>
      </c>
      <c r="B437" s="58">
        <f>VLOOKUP(Table17[[#This Row],[Date]],database!A:H,7,)</f>
        <v/>
      </c>
      <c r="C437" s="66">
        <f>B437/B436-1</f>
        <v/>
      </c>
      <c r="D437" s="66">
        <f>(Table17[[#This Row],[Index]]-B425)/B425</f>
        <v/>
      </c>
    </row>
    <row r="438">
      <c r="A438" s="17" t="n">
        <v>39417</v>
      </c>
      <c r="B438" s="58">
        <f>VLOOKUP(Table17[[#This Row],[Date]],database!A:H,7,)</f>
        <v/>
      </c>
      <c r="C438" s="66">
        <f>B438/B437-1</f>
        <v/>
      </c>
      <c r="D438" s="66">
        <f>(Table17[[#This Row],[Index]]-B426)/B426</f>
        <v/>
      </c>
    </row>
    <row r="439">
      <c r="A439" s="17" t="n">
        <v>39448</v>
      </c>
      <c r="B439" s="58">
        <f>VLOOKUP(Table17[[#This Row],[Date]],database!A:H,7,)</f>
        <v/>
      </c>
      <c r="C439" s="66">
        <f>B439/B438-1</f>
        <v/>
      </c>
      <c r="D439" s="66">
        <f>(Table17[[#This Row],[Index]]-B427)/B427</f>
        <v/>
      </c>
    </row>
    <row r="440">
      <c r="A440" s="17" t="n">
        <v>39479</v>
      </c>
      <c r="B440" s="58">
        <f>VLOOKUP(Table17[[#This Row],[Date]],database!A:H,7,)</f>
        <v/>
      </c>
      <c r="C440" s="66">
        <f>B440/B439-1</f>
        <v/>
      </c>
      <c r="D440" s="66">
        <f>(Table17[[#This Row],[Index]]-B428)/B428</f>
        <v/>
      </c>
    </row>
    <row r="441">
      <c r="A441" s="17" t="n">
        <v>39508</v>
      </c>
      <c r="B441" s="58">
        <f>VLOOKUP(Table17[[#This Row],[Date]],database!A:H,7,)</f>
        <v/>
      </c>
      <c r="C441" s="66">
        <f>B441/B440-1</f>
        <v/>
      </c>
      <c r="D441" s="66">
        <f>(Table17[[#This Row],[Index]]-B429)/B429</f>
        <v/>
      </c>
    </row>
    <row r="442">
      <c r="A442" s="17" t="n">
        <v>39539</v>
      </c>
      <c r="B442" s="58">
        <f>VLOOKUP(Table17[[#This Row],[Date]],database!A:H,7,)</f>
        <v/>
      </c>
      <c r="C442" s="66">
        <f>B442/B441-1</f>
        <v/>
      </c>
      <c r="D442" s="66">
        <f>(Table17[[#This Row],[Index]]-B430)/B430</f>
        <v/>
      </c>
    </row>
    <row r="443">
      <c r="A443" s="17" t="n">
        <v>39569</v>
      </c>
      <c r="B443" s="58">
        <f>VLOOKUP(Table17[[#This Row],[Date]],database!A:H,7,)</f>
        <v/>
      </c>
      <c r="C443" s="66">
        <f>B443/B442-1</f>
        <v/>
      </c>
      <c r="D443" s="66">
        <f>(Table17[[#This Row],[Index]]-B431)/B431</f>
        <v/>
      </c>
    </row>
    <row r="444">
      <c r="A444" s="17" t="n">
        <v>39600</v>
      </c>
      <c r="B444" s="58">
        <f>VLOOKUP(Table17[[#This Row],[Date]],database!A:H,7,)</f>
        <v/>
      </c>
      <c r="C444" s="66">
        <f>B444/B443-1</f>
        <v/>
      </c>
      <c r="D444" s="66">
        <f>(Table17[[#This Row],[Index]]-B432)/B432</f>
        <v/>
      </c>
    </row>
    <row r="445">
      <c r="A445" s="17" t="n">
        <v>39630</v>
      </c>
      <c r="B445" s="58">
        <f>VLOOKUP(Table17[[#This Row],[Date]],database!A:H,7,)</f>
        <v/>
      </c>
      <c r="C445" s="66">
        <f>B445/B444-1</f>
        <v/>
      </c>
      <c r="D445" s="66">
        <f>(Table17[[#This Row],[Index]]-B433)/B433</f>
        <v/>
      </c>
    </row>
    <row r="446">
      <c r="A446" s="17" t="n">
        <v>39661</v>
      </c>
      <c r="B446" s="58">
        <f>VLOOKUP(Table17[[#This Row],[Date]],database!A:H,7,)</f>
        <v/>
      </c>
      <c r="C446" s="66">
        <f>B446/B445-1</f>
        <v/>
      </c>
      <c r="D446" s="66">
        <f>(Table17[[#This Row],[Index]]-B434)/B434</f>
        <v/>
      </c>
    </row>
    <row r="447">
      <c r="A447" s="17" t="n">
        <v>39692</v>
      </c>
      <c r="B447" s="58">
        <f>VLOOKUP(Table17[[#This Row],[Date]],database!A:H,7,)</f>
        <v/>
      </c>
      <c r="C447" s="66">
        <f>B447/B446-1</f>
        <v/>
      </c>
      <c r="D447" s="66">
        <f>(Table17[[#This Row],[Index]]-B435)/B435</f>
        <v/>
      </c>
    </row>
    <row r="448">
      <c r="A448" s="17" t="n">
        <v>39722</v>
      </c>
      <c r="B448" s="58">
        <f>VLOOKUP(Table17[[#This Row],[Date]],database!A:H,7,)</f>
        <v/>
      </c>
      <c r="C448" s="66">
        <f>B448/B447-1</f>
        <v/>
      </c>
      <c r="D448" s="66">
        <f>(Table17[[#This Row],[Index]]-B436)/B436</f>
        <v/>
      </c>
    </row>
    <row r="449">
      <c r="A449" s="17" t="n">
        <v>39753</v>
      </c>
      <c r="B449" s="58">
        <f>VLOOKUP(Table17[[#This Row],[Date]],database!A:H,7,)</f>
        <v/>
      </c>
      <c r="C449" s="66">
        <f>B449/B448-1</f>
        <v/>
      </c>
      <c r="D449" s="66">
        <f>(Table17[[#This Row],[Index]]-B437)/B437</f>
        <v/>
      </c>
    </row>
    <row r="450">
      <c r="A450" s="17" t="n">
        <v>39783</v>
      </c>
      <c r="B450" s="58">
        <f>VLOOKUP(Table17[[#This Row],[Date]],database!A:H,7,)</f>
        <v/>
      </c>
      <c r="C450" s="66">
        <f>B450/B449-1</f>
        <v/>
      </c>
      <c r="D450" s="66">
        <f>(Table17[[#This Row],[Index]]-B438)/B438</f>
        <v/>
      </c>
    </row>
    <row r="451">
      <c r="A451" s="17" t="n">
        <v>39814</v>
      </c>
      <c r="B451" s="58">
        <f>VLOOKUP(Table17[[#This Row],[Date]],database!A:H,7,)</f>
        <v/>
      </c>
      <c r="C451" s="66">
        <f>B451/B450-1</f>
        <v/>
      </c>
      <c r="D451" s="66">
        <f>(Table17[[#This Row],[Index]]-B439)/B439</f>
        <v/>
      </c>
    </row>
    <row r="452">
      <c r="A452" s="17" t="n">
        <v>39845</v>
      </c>
      <c r="B452" s="58">
        <f>VLOOKUP(Table17[[#This Row],[Date]],database!A:H,7,)</f>
        <v/>
      </c>
      <c r="C452" s="66">
        <f>B452/B451-1</f>
        <v/>
      </c>
      <c r="D452" s="66">
        <f>(Table17[[#This Row],[Index]]-B440)/B440</f>
        <v/>
      </c>
    </row>
    <row r="453">
      <c r="A453" s="17" t="n">
        <v>39873</v>
      </c>
      <c r="B453" s="58">
        <f>VLOOKUP(Table17[[#This Row],[Date]],database!A:H,7,)</f>
        <v/>
      </c>
      <c r="C453" s="66">
        <f>B453/B452-1</f>
        <v/>
      </c>
      <c r="D453" s="66">
        <f>(Table17[[#This Row],[Index]]-B441)/B441</f>
        <v/>
      </c>
    </row>
    <row r="454">
      <c r="A454" s="17" t="n">
        <v>39904</v>
      </c>
      <c r="B454" s="58">
        <f>VLOOKUP(Table17[[#This Row],[Date]],database!A:H,7,)</f>
        <v/>
      </c>
      <c r="C454" s="66">
        <f>B454/B453-1</f>
        <v/>
      </c>
      <c r="D454" s="66">
        <f>(Table17[[#This Row],[Index]]-B442)/B442</f>
        <v/>
      </c>
    </row>
    <row r="455">
      <c r="A455" s="17" t="n">
        <v>39934</v>
      </c>
      <c r="B455" s="58">
        <f>VLOOKUP(Table17[[#This Row],[Date]],database!A:H,7,)</f>
        <v/>
      </c>
      <c r="C455" s="66">
        <f>B455/B454-1</f>
        <v/>
      </c>
      <c r="D455" s="66">
        <f>(Table17[[#This Row],[Index]]-B443)/B443</f>
        <v/>
      </c>
    </row>
    <row r="456">
      <c r="A456" s="17" t="n">
        <v>39965</v>
      </c>
      <c r="B456" s="58">
        <f>VLOOKUP(Table17[[#This Row],[Date]],database!A:H,7,)</f>
        <v/>
      </c>
      <c r="C456" s="66">
        <f>B456/B455-1</f>
        <v/>
      </c>
      <c r="D456" s="66">
        <f>(Table17[[#This Row],[Index]]-B444)/B444</f>
        <v/>
      </c>
    </row>
    <row r="457">
      <c r="A457" s="17" t="n">
        <v>39995</v>
      </c>
      <c r="B457" s="58">
        <f>VLOOKUP(Table17[[#This Row],[Date]],database!A:H,7,)</f>
        <v/>
      </c>
      <c r="C457" s="66">
        <f>B457/B456-1</f>
        <v/>
      </c>
      <c r="D457" s="66">
        <f>(Table17[[#This Row],[Index]]-B445)/B445</f>
        <v/>
      </c>
    </row>
    <row r="458">
      <c r="A458" s="17" t="n">
        <v>40026</v>
      </c>
      <c r="B458" s="58">
        <f>VLOOKUP(Table17[[#This Row],[Date]],database!A:H,7,)</f>
        <v/>
      </c>
      <c r="C458" s="66">
        <f>B458/B457-1</f>
        <v/>
      </c>
      <c r="D458" s="66">
        <f>(Table17[[#This Row],[Index]]-B446)/B446</f>
        <v/>
      </c>
    </row>
    <row r="459">
      <c r="A459" s="17" t="n">
        <v>40057</v>
      </c>
      <c r="B459" s="58">
        <f>VLOOKUP(Table17[[#This Row],[Date]],database!A:H,7,)</f>
        <v/>
      </c>
      <c r="C459" s="66">
        <f>B459/B458-1</f>
        <v/>
      </c>
      <c r="D459" s="66">
        <f>(Table17[[#This Row],[Index]]-B447)/B447</f>
        <v/>
      </c>
    </row>
    <row r="460">
      <c r="A460" s="17" t="n">
        <v>40087</v>
      </c>
      <c r="B460" s="58">
        <f>VLOOKUP(Table17[[#This Row],[Date]],database!A:H,7,)</f>
        <v/>
      </c>
      <c r="C460" s="66">
        <f>B460/B459-1</f>
        <v/>
      </c>
      <c r="D460" s="66">
        <f>(Table17[[#This Row],[Index]]-B448)/B448</f>
        <v/>
      </c>
    </row>
    <row r="461">
      <c r="A461" s="17" t="n">
        <v>40118</v>
      </c>
      <c r="B461" s="58">
        <f>VLOOKUP(Table17[[#This Row],[Date]],database!A:H,7,)</f>
        <v/>
      </c>
      <c r="C461" s="66">
        <f>B461/B460-1</f>
        <v/>
      </c>
      <c r="D461" s="66">
        <f>(Table17[[#This Row],[Index]]-B449)/B449</f>
        <v/>
      </c>
    </row>
    <row r="462">
      <c r="A462" s="17" t="n">
        <v>40148</v>
      </c>
      <c r="B462" s="58">
        <f>VLOOKUP(Table17[[#This Row],[Date]],database!A:H,7,)</f>
        <v/>
      </c>
      <c r="C462" s="66">
        <f>B462/B461-1</f>
        <v/>
      </c>
      <c r="D462" s="66">
        <f>(Table17[[#This Row],[Index]]-B450)/B450</f>
        <v/>
      </c>
    </row>
    <row r="463">
      <c r="A463" s="17" t="n">
        <v>40179</v>
      </c>
      <c r="B463" s="58">
        <f>VLOOKUP(Table17[[#This Row],[Date]],database!A:H,7,)</f>
        <v/>
      </c>
      <c r="C463" s="66">
        <f>B463/B462-1</f>
        <v/>
      </c>
      <c r="D463" s="66">
        <f>(Table17[[#This Row],[Index]]-B451)/B451</f>
        <v/>
      </c>
    </row>
    <row r="464">
      <c r="A464" s="17" t="n">
        <v>40210</v>
      </c>
      <c r="B464" s="58">
        <f>VLOOKUP(Table17[[#This Row],[Date]],database!A:H,7,)</f>
        <v/>
      </c>
      <c r="C464" s="66">
        <f>B464/B463-1</f>
        <v/>
      </c>
      <c r="D464" s="66">
        <f>(Table17[[#This Row],[Index]]-B452)/B452</f>
        <v/>
      </c>
    </row>
    <row r="465">
      <c r="A465" s="17" t="n">
        <v>40238</v>
      </c>
      <c r="B465" s="58">
        <f>VLOOKUP(Table17[[#This Row],[Date]],database!A:H,7,)</f>
        <v/>
      </c>
      <c r="C465" s="66">
        <f>B465/B464-1</f>
        <v/>
      </c>
      <c r="D465" s="66">
        <f>(Table17[[#This Row],[Index]]-B453)/B453</f>
        <v/>
      </c>
    </row>
    <row r="466">
      <c r="A466" s="17" t="n">
        <v>40269</v>
      </c>
      <c r="B466" s="58">
        <f>VLOOKUP(Table17[[#This Row],[Date]],database!A:H,7,)</f>
        <v/>
      </c>
      <c r="C466" s="66">
        <f>B466/B465-1</f>
        <v/>
      </c>
      <c r="D466" s="66">
        <f>(Table17[[#This Row],[Index]]-B454)/B454</f>
        <v/>
      </c>
    </row>
    <row r="467">
      <c r="A467" s="17" t="n">
        <v>40299</v>
      </c>
      <c r="B467" s="58">
        <f>VLOOKUP(Table17[[#This Row],[Date]],database!A:H,7,)</f>
        <v/>
      </c>
      <c r="C467" s="66">
        <f>B467/B466-1</f>
        <v/>
      </c>
      <c r="D467" s="66">
        <f>(Table17[[#This Row],[Index]]-B455)/B455</f>
        <v/>
      </c>
    </row>
    <row r="468">
      <c r="A468" s="17" t="n">
        <v>40330</v>
      </c>
      <c r="B468" s="58">
        <f>VLOOKUP(Table17[[#This Row],[Date]],database!A:H,7,)</f>
        <v/>
      </c>
      <c r="C468" s="66">
        <f>B468/B467-1</f>
        <v/>
      </c>
      <c r="D468" s="66">
        <f>(Table17[[#This Row],[Index]]-B456)/B456</f>
        <v/>
      </c>
    </row>
    <row r="469">
      <c r="A469" s="17" t="n">
        <v>40360</v>
      </c>
      <c r="B469" s="58">
        <f>VLOOKUP(Table17[[#This Row],[Date]],database!A:H,7,)</f>
        <v/>
      </c>
      <c r="C469" s="66">
        <f>B469/B468-1</f>
        <v/>
      </c>
      <c r="D469" s="66">
        <f>(Table17[[#This Row],[Index]]-B457)/B457</f>
        <v/>
      </c>
    </row>
    <row r="470">
      <c r="A470" s="17" t="n">
        <v>40391</v>
      </c>
      <c r="B470" s="58">
        <f>VLOOKUP(Table17[[#This Row],[Date]],database!A:H,7,)</f>
        <v/>
      </c>
      <c r="C470" s="66">
        <f>B470/B469-1</f>
        <v/>
      </c>
      <c r="D470" s="66">
        <f>(Table17[[#This Row],[Index]]-B458)/B458</f>
        <v/>
      </c>
    </row>
    <row r="471">
      <c r="A471" s="17" t="n">
        <v>40422</v>
      </c>
      <c r="B471" s="58">
        <f>VLOOKUP(Table17[[#This Row],[Date]],database!A:H,7,)</f>
        <v/>
      </c>
      <c r="C471" s="66">
        <f>B471/B470-1</f>
        <v/>
      </c>
      <c r="D471" s="66">
        <f>(Table17[[#This Row],[Index]]-B459)/B459</f>
        <v/>
      </c>
    </row>
    <row r="472">
      <c r="A472" s="17" t="n">
        <v>40452</v>
      </c>
      <c r="B472" s="58">
        <f>VLOOKUP(Table17[[#This Row],[Date]],database!A:H,7,)</f>
        <v/>
      </c>
      <c r="C472" s="66">
        <f>B472/B471-1</f>
        <v/>
      </c>
      <c r="D472" s="66">
        <f>(Table17[[#This Row],[Index]]-B460)/B460</f>
        <v/>
      </c>
    </row>
    <row r="473">
      <c r="A473" s="17" t="n">
        <v>40483</v>
      </c>
      <c r="B473" s="58">
        <f>VLOOKUP(Table17[[#This Row],[Date]],database!A:H,7,)</f>
        <v/>
      </c>
      <c r="C473" s="66">
        <f>B473/B472-1</f>
        <v/>
      </c>
      <c r="D473" s="66">
        <f>(Table17[[#This Row],[Index]]-B461)/B461</f>
        <v/>
      </c>
    </row>
    <row r="474">
      <c r="A474" s="17" t="n">
        <v>40513</v>
      </c>
      <c r="B474" s="58">
        <f>VLOOKUP(Table17[[#This Row],[Date]],database!A:H,7,)</f>
        <v/>
      </c>
      <c r="C474" s="66">
        <f>B474/B473-1</f>
        <v/>
      </c>
      <c r="D474" s="66">
        <f>(Table17[[#This Row],[Index]]-B462)/B462</f>
        <v/>
      </c>
    </row>
    <row r="475">
      <c r="A475" s="17" t="n">
        <v>40544</v>
      </c>
      <c r="B475" s="58">
        <f>VLOOKUP(Table17[[#This Row],[Date]],database!A:H,7,)</f>
        <v/>
      </c>
      <c r="C475" s="66">
        <f>B475/B474-1</f>
        <v/>
      </c>
      <c r="D475" s="66">
        <f>(Table17[[#This Row],[Index]]-B463)/B463</f>
        <v/>
      </c>
    </row>
    <row r="476">
      <c r="A476" s="17" t="n">
        <v>40575</v>
      </c>
      <c r="B476" s="58">
        <f>VLOOKUP(Table17[[#This Row],[Date]],database!A:H,7,)</f>
        <v/>
      </c>
      <c r="C476" s="66">
        <f>B476/B475-1</f>
        <v/>
      </c>
      <c r="D476" s="66">
        <f>(Table17[[#This Row],[Index]]-B464)/B464</f>
        <v/>
      </c>
    </row>
    <row r="477">
      <c r="A477" s="17" t="n">
        <v>40603</v>
      </c>
      <c r="B477" s="58">
        <f>VLOOKUP(Table17[[#This Row],[Date]],database!A:H,7,)</f>
        <v/>
      </c>
      <c r="C477" s="66">
        <f>B477/B476-1</f>
        <v/>
      </c>
      <c r="D477" s="66">
        <f>(Table17[[#This Row],[Index]]-B465)/B465</f>
        <v/>
      </c>
    </row>
    <row r="478">
      <c r="A478" s="17" t="n">
        <v>40634</v>
      </c>
      <c r="B478" s="58">
        <f>VLOOKUP(Table17[[#This Row],[Date]],database!A:H,7,)</f>
        <v/>
      </c>
      <c r="C478" s="67">
        <f>B478/B477-1</f>
        <v/>
      </c>
      <c r="D478" s="66">
        <f>(Table17[[#This Row],[Index]]-B466)/B466</f>
        <v/>
      </c>
    </row>
    <row r="479">
      <c r="A479" s="17" t="n">
        <v>40664</v>
      </c>
      <c r="B479" s="58">
        <f>VLOOKUP(Table17[[#This Row],[Date]],database!A:H,7,)</f>
        <v/>
      </c>
      <c r="C479" s="66">
        <f>B479/B478-1</f>
        <v/>
      </c>
      <c r="D479" s="66">
        <f>(Table17[[#This Row],[Index]]-B467)/B467</f>
        <v/>
      </c>
    </row>
    <row r="480">
      <c r="A480" s="17" t="n">
        <v>40695</v>
      </c>
      <c r="B480" s="58">
        <f>VLOOKUP(Table17[[#This Row],[Date]],database!A:H,7,)</f>
        <v/>
      </c>
      <c r="C480" s="66">
        <f>B480/B479-1</f>
        <v/>
      </c>
      <c r="D480" s="66">
        <f>(Table17[[#This Row],[Index]]-B468)/B468</f>
        <v/>
      </c>
    </row>
    <row r="481">
      <c r="A481" s="17" t="n">
        <v>40725</v>
      </c>
      <c r="B481" s="58">
        <f>VLOOKUP(Table17[[#This Row],[Date]],database!A:H,7,)</f>
        <v/>
      </c>
      <c r="C481" s="66">
        <f>B481/B480-1</f>
        <v/>
      </c>
      <c r="D481" s="66">
        <f>(Table17[[#This Row],[Index]]-B469)/B469</f>
        <v/>
      </c>
    </row>
    <row r="482">
      <c r="A482" s="17" t="n">
        <v>40756</v>
      </c>
      <c r="B482" s="58">
        <f>VLOOKUP(Table17[[#This Row],[Date]],database!A:H,7,)</f>
        <v/>
      </c>
      <c r="C482" s="66">
        <f>B482/B481-1</f>
        <v/>
      </c>
      <c r="D482" s="66">
        <f>(Table17[[#This Row],[Index]]-B470)/B470</f>
        <v/>
      </c>
    </row>
    <row r="483">
      <c r="A483" s="17" t="n">
        <v>40787</v>
      </c>
      <c r="B483" s="58">
        <f>VLOOKUP(Table17[[#This Row],[Date]],database!A:H,7,)</f>
        <v/>
      </c>
      <c r="C483" s="66">
        <f>B483/B482-1</f>
        <v/>
      </c>
      <c r="D483" s="66">
        <f>(Table17[[#This Row],[Index]]-B471)/B471</f>
        <v/>
      </c>
    </row>
    <row r="484">
      <c r="A484" s="17" t="n">
        <v>40817</v>
      </c>
      <c r="B484" s="58">
        <f>VLOOKUP(Table17[[#This Row],[Date]],database!A:H,7,)</f>
        <v/>
      </c>
      <c r="C484" s="66">
        <f>B484/B483-1</f>
        <v/>
      </c>
      <c r="D484" s="66">
        <f>(Table17[[#This Row],[Index]]-B472)/B472</f>
        <v/>
      </c>
    </row>
    <row r="485">
      <c r="A485" s="17" t="n">
        <v>40848</v>
      </c>
      <c r="B485" s="58">
        <f>VLOOKUP(Table17[[#This Row],[Date]],database!A:H,7,)</f>
        <v/>
      </c>
      <c r="C485" s="66">
        <f>B485/B484-1</f>
        <v/>
      </c>
      <c r="D485" s="66">
        <f>(Table17[[#This Row],[Index]]-B473)/B473</f>
        <v/>
      </c>
    </row>
    <row r="486">
      <c r="A486" s="17" t="n">
        <v>40878</v>
      </c>
      <c r="B486" s="58">
        <f>VLOOKUP(Table17[[#This Row],[Date]],database!A:H,7,)</f>
        <v/>
      </c>
      <c r="C486" s="66">
        <f>B486/B485-1</f>
        <v/>
      </c>
      <c r="D486" s="66">
        <f>(Table17[[#This Row],[Index]]-B474)/B474</f>
        <v/>
      </c>
    </row>
    <row r="487">
      <c r="A487" s="17" t="n">
        <v>40909</v>
      </c>
      <c r="B487" s="58">
        <f>VLOOKUP(Table17[[#This Row],[Date]],database!A:H,7,)</f>
        <v/>
      </c>
      <c r="C487" s="66">
        <f>B487/B486-1</f>
        <v/>
      </c>
      <c r="D487" s="66">
        <f>(Table17[[#This Row],[Index]]-B475)/B475</f>
        <v/>
      </c>
    </row>
    <row r="488">
      <c r="A488" s="17" t="n">
        <v>40940</v>
      </c>
      <c r="B488" s="58">
        <f>VLOOKUP(Table17[[#This Row],[Date]],database!A:H,7,)</f>
        <v/>
      </c>
      <c r="C488" s="66">
        <f>B488/B487-1</f>
        <v/>
      </c>
      <c r="D488" s="66">
        <f>(Table17[[#This Row],[Index]]-B476)/B476</f>
        <v/>
      </c>
    </row>
    <row r="489">
      <c r="A489" s="17" t="n">
        <v>40969</v>
      </c>
      <c r="B489" s="58">
        <f>VLOOKUP(Table17[[#This Row],[Date]],database!A:H,7,)</f>
        <v/>
      </c>
      <c r="C489" s="66">
        <f>B489/B488-1</f>
        <v/>
      </c>
      <c r="D489" s="66">
        <f>(Table17[[#This Row],[Index]]-B477)/B477</f>
        <v/>
      </c>
    </row>
    <row r="490">
      <c r="A490" s="17" t="n">
        <v>41000</v>
      </c>
      <c r="B490" s="58">
        <f>VLOOKUP(Table17[[#This Row],[Date]],database!A:H,7,)</f>
        <v/>
      </c>
      <c r="C490" s="66">
        <f>B490/B489-1</f>
        <v/>
      </c>
      <c r="D490" s="66">
        <f>(Table17[[#This Row],[Index]]-B478)/B478</f>
        <v/>
      </c>
    </row>
    <row r="491">
      <c r="A491" s="17" t="n">
        <v>41030</v>
      </c>
      <c r="B491" s="58">
        <f>VLOOKUP(Table17[[#This Row],[Date]],database!A:H,7,)</f>
        <v/>
      </c>
      <c r="C491" s="66">
        <f>B491/B490-1</f>
        <v/>
      </c>
      <c r="D491" s="66">
        <f>(Table17[[#This Row],[Index]]-B479)/B479</f>
        <v/>
      </c>
    </row>
    <row r="492">
      <c r="A492" s="17" t="n">
        <v>41061</v>
      </c>
      <c r="B492" s="58">
        <f>VLOOKUP(Table17[[#This Row],[Date]],database!A:H,7,)</f>
        <v/>
      </c>
      <c r="C492" s="66">
        <f>B492/B491-1</f>
        <v/>
      </c>
      <c r="D492" s="66">
        <f>(Table17[[#This Row],[Index]]-B480)/B480</f>
        <v/>
      </c>
    </row>
    <row r="493">
      <c r="A493" s="17" t="n">
        <v>41091</v>
      </c>
      <c r="B493" s="58">
        <f>VLOOKUP(Table17[[#This Row],[Date]],database!A:H,7,)</f>
        <v/>
      </c>
      <c r="C493" s="66">
        <f>B493/B492-1</f>
        <v/>
      </c>
      <c r="D493" s="66">
        <f>(Table17[[#This Row],[Index]]-B481)/B481</f>
        <v/>
      </c>
    </row>
    <row r="494">
      <c r="A494" s="17" t="n">
        <v>41122</v>
      </c>
      <c r="B494" s="58">
        <f>VLOOKUP(Table17[[#This Row],[Date]],database!A:H,7,)</f>
        <v/>
      </c>
      <c r="C494" s="66">
        <f>B494/B493-1</f>
        <v/>
      </c>
      <c r="D494" s="66">
        <f>(Table17[[#This Row],[Index]]-B482)/B482</f>
        <v/>
      </c>
    </row>
    <row r="495">
      <c r="A495" s="17" t="n">
        <v>41153</v>
      </c>
      <c r="B495" s="58">
        <f>VLOOKUP(Table17[[#This Row],[Date]],database!A:H,7,)</f>
        <v/>
      </c>
      <c r="C495" s="66">
        <f>B495/B494-1</f>
        <v/>
      </c>
      <c r="D495" s="66">
        <f>(Table17[[#This Row],[Index]]-B483)/B483</f>
        <v/>
      </c>
    </row>
    <row r="496">
      <c r="A496" s="17" t="n">
        <v>41183</v>
      </c>
      <c r="B496" s="58">
        <f>VLOOKUP(Table17[[#This Row],[Date]],database!A:H,7,)</f>
        <v/>
      </c>
      <c r="C496" s="66">
        <f>B496/B495-1</f>
        <v/>
      </c>
      <c r="D496" s="66">
        <f>(Table17[[#This Row],[Index]]-B484)/B484</f>
        <v/>
      </c>
    </row>
    <row r="497">
      <c r="A497" s="17" t="n">
        <v>41214</v>
      </c>
      <c r="B497" s="58">
        <f>VLOOKUP(Table17[[#This Row],[Date]],database!A:H,7,)</f>
        <v/>
      </c>
      <c r="C497" s="66">
        <f>B497/B496-1</f>
        <v/>
      </c>
      <c r="D497" s="66">
        <f>(Table17[[#This Row],[Index]]-B485)/B485</f>
        <v/>
      </c>
    </row>
    <row r="498">
      <c r="A498" s="17" t="n">
        <v>41244</v>
      </c>
      <c r="B498" s="58">
        <f>VLOOKUP(Table17[[#This Row],[Date]],database!A:H,7,)</f>
        <v/>
      </c>
      <c r="C498" s="66">
        <f>B498/B497-1</f>
        <v/>
      </c>
      <c r="D498" s="66">
        <f>(Table17[[#This Row],[Index]]-B486)/B486</f>
        <v/>
      </c>
    </row>
    <row r="499">
      <c r="A499" s="17" t="n">
        <v>41275</v>
      </c>
      <c r="B499" s="58">
        <f>VLOOKUP(Table17[[#This Row],[Date]],database!A:H,7,)</f>
        <v/>
      </c>
      <c r="C499" s="66">
        <f>B499/B498-1</f>
        <v/>
      </c>
      <c r="D499" s="66">
        <f>(Table17[[#This Row],[Index]]-B487)/B487</f>
        <v/>
      </c>
    </row>
    <row r="500">
      <c r="A500" s="17" t="n">
        <v>41306</v>
      </c>
      <c r="B500" s="58">
        <f>VLOOKUP(Table17[[#This Row],[Date]],database!A:H,7,)</f>
        <v/>
      </c>
      <c r="C500" s="66">
        <f>B500/B499-1</f>
        <v/>
      </c>
      <c r="D500" s="66">
        <f>(Table17[[#This Row],[Index]]-B488)/B488</f>
        <v/>
      </c>
    </row>
    <row r="501">
      <c r="A501" s="17" t="n">
        <v>41334</v>
      </c>
      <c r="B501" s="58">
        <f>VLOOKUP(Table17[[#This Row],[Date]],database!A:H,7,)</f>
        <v/>
      </c>
      <c r="C501" s="66">
        <f>B501/B500-1</f>
        <v/>
      </c>
      <c r="D501" s="66">
        <f>(Table17[[#This Row],[Index]]-B489)/B489</f>
        <v/>
      </c>
    </row>
    <row r="502">
      <c r="A502" s="17" t="n">
        <v>41365</v>
      </c>
      <c r="B502" s="58">
        <f>VLOOKUP(Table17[[#This Row],[Date]],database!A:H,7,)</f>
        <v/>
      </c>
      <c r="C502" s="66">
        <f>B502/B501-1</f>
        <v/>
      </c>
      <c r="D502" s="66">
        <f>(Table17[[#This Row],[Index]]-B490)/B490</f>
        <v/>
      </c>
    </row>
    <row r="503">
      <c r="A503" s="17" t="n">
        <v>41395</v>
      </c>
      <c r="B503" s="58">
        <f>VLOOKUP(Table17[[#This Row],[Date]],database!A:H,7,)</f>
        <v/>
      </c>
      <c r="C503" s="66">
        <f>B503/B502-1</f>
        <v/>
      </c>
      <c r="D503" s="66">
        <f>(Table17[[#This Row],[Index]]-B491)/B491</f>
        <v/>
      </c>
    </row>
    <row r="504">
      <c r="A504" s="17" t="n">
        <v>41426</v>
      </c>
      <c r="B504" s="58">
        <f>VLOOKUP(Table17[[#This Row],[Date]],database!A:H,7,)</f>
        <v/>
      </c>
      <c r="C504" s="66">
        <f>B504/B503-1</f>
        <v/>
      </c>
      <c r="D504" s="66">
        <f>(Table17[[#This Row],[Index]]-B492)/B492</f>
        <v/>
      </c>
    </row>
    <row r="505">
      <c r="A505" s="17" t="n">
        <v>41456</v>
      </c>
      <c r="B505" s="58">
        <f>VLOOKUP(Table17[[#This Row],[Date]],database!A:H,7,)</f>
        <v/>
      </c>
      <c r="C505" s="66">
        <f>B505/B504-1</f>
        <v/>
      </c>
      <c r="D505" s="66">
        <f>(Table17[[#This Row],[Index]]-B493)/B493</f>
        <v/>
      </c>
    </row>
    <row r="506">
      <c r="A506" s="17" t="n">
        <v>41487</v>
      </c>
      <c r="B506" s="58">
        <f>VLOOKUP(Table17[[#This Row],[Date]],database!A:H,7,)</f>
        <v/>
      </c>
      <c r="C506" s="66">
        <f>B506/B505-1</f>
        <v/>
      </c>
      <c r="D506" s="66">
        <f>(Table17[[#This Row],[Index]]-B494)/B494</f>
        <v/>
      </c>
    </row>
    <row r="507">
      <c r="A507" s="17" t="n">
        <v>41518</v>
      </c>
      <c r="B507" s="58">
        <f>VLOOKUP(Table17[[#This Row],[Date]],database!A:H,7,)</f>
        <v/>
      </c>
      <c r="C507" s="66">
        <f>B507/B506-1</f>
        <v/>
      </c>
      <c r="D507" s="66">
        <f>(Table17[[#This Row],[Index]]-B495)/B495</f>
        <v/>
      </c>
    </row>
    <row r="508">
      <c r="A508" s="17" t="n">
        <v>41548</v>
      </c>
      <c r="B508" s="58">
        <f>VLOOKUP(Table17[[#This Row],[Date]],database!A:H,7,)</f>
        <v/>
      </c>
      <c r="C508" s="66">
        <f>B508/B507-1</f>
        <v/>
      </c>
      <c r="D508" s="66">
        <f>(Table17[[#This Row],[Index]]-B496)/B496</f>
        <v/>
      </c>
    </row>
    <row r="509">
      <c r="A509" s="17" t="n">
        <v>41579</v>
      </c>
      <c r="B509" s="58">
        <f>VLOOKUP(Table17[[#This Row],[Date]],database!A:H,7,)</f>
        <v/>
      </c>
      <c r="C509" s="66">
        <f>B509/B508-1</f>
        <v/>
      </c>
      <c r="D509" s="66">
        <f>(Table17[[#This Row],[Index]]-B497)/B497</f>
        <v/>
      </c>
    </row>
    <row r="510">
      <c r="A510" s="17" t="n">
        <v>41609</v>
      </c>
      <c r="B510" s="58">
        <f>VLOOKUP(Table17[[#This Row],[Date]],database!A:H,7,)</f>
        <v/>
      </c>
      <c r="C510" s="66">
        <f>B510/B509-1</f>
        <v/>
      </c>
      <c r="D510" s="66">
        <f>(Table17[[#This Row],[Index]]-B498)/B498</f>
        <v/>
      </c>
    </row>
    <row r="511">
      <c r="A511" s="17" t="n">
        <v>41640</v>
      </c>
      <c r="B511" s="58">
        <f>VLOOKUP(Table17[[#This Row],[Date]],database!A:H,7,)</f>
        <v/>
      </c>
      <c r="C511" s="66">
        <f>B511/B510-1</f>
        <v/>
      </c>
      <c r="D511" s="66">
        <f>(Table17[[#This Row],[Index]]-B499)/B499</f>
        <v/>
      </c>
    </row>
    <row r="512">
      <c r="A512" s="17" t="n">
        <v>41671</v>
      </c>
      <c r="B512" s="58">
        <f>VLOOKUP(Table17[[#This Row],[Date]],database!A:H,7,)</f>
        <v/>
      </c>
      <c r="C512" s="66">
        <f>B512/B511-1</f>
        <v/>
      </c>
      <c r="D512" s="66">
        <f>(Table17[[#This Row],[Index]]-B500)/B500</f>
        <v/>
      </c>
    </row>
    <row r="513">
      <c r="A513" s="17" t="n">
        <v>41699</v>
      </c>
      <c r="B513" s="58">
        <f>VLOOKUP(Table17[[#This Row],[Date]],database!A:H,7,)</f>
        <v/>
      </c>
      <c r="C513" s="66">
        <f>B513/B512-1</f>
        <v/>
      </c>
      <c r="D513" s="66">
        <f>(Table17[[#This Row],[Index]]-B501)/B501</f>
        <v/>
      </c>
    </row>
    <row r="514">
      <c r="A514" s="17" t="n">
        <v>41730</v>
      </c>
      <c r="B514" s="58">
        <f>VLOOKUP(Table17[[#This Row],[Date]],database!A:H,7,)</f>
        <v/>
      </c>
      <c r="C514" s="66">
        <f>B514/B513-1</f>
        <v/>
      </c>
      <c r="D514" s="66">
        <f>(Table17[[#This Row],[Index]]-B502)/B502</f>
        <v/>
      </c>
    </row>
    <row r="515">
      <c r="A515" s="17" t="n">
        <v>41760</v>
      </c>
      <c r="B515" s="58">
        <f>VLOOKUP(Table17[[#This Row],[Date]],database!A:H,7,)</f>
        <v/>
      </c>
      <c r="C515" s="66">
        <f>B515/B514-1</f>
        <v/>
      </c>
      <c r="D515" s="66">
        <f>(Table17[[#This Row],[Index]]-B503)/B503</f>
        <v/>
      </c>
    </row>
    <row r="516">
      <c r="A516" s="17" t="n">
        <v>41791</v>
      </c>
      <c r="B516" s="58">
        <f>VLOOKUP(Table17[[#This Row],[Date]],database!A:H,7,)</f>
        <v/>
      </c>
      <c r="C516" s="66">
        <f>B516/B515-1</f>
        <v/>
      </c>
      <c r="D516" s="66">
        <f>(Table17[[#This Row],[Index]]-B504)/B504</f>
        <v/>
      </c>
    </row>
    <row r="517">
      <c r="A517" s="17" t="n">
        <v>41821</v>
      </c>
      <c r="B517" s="58">
        <f>VLOOKUP(Table17[[#This Row],[Date]],database!A:H,7,)</f>
        <v/>
      </c>
      <c r="C517" s="66">
        <f>B517/B516-1</f>
        <v/>
      </c>
      <c r="D517" s="66">
        <f>(Table17[[#This Row],[Index]]-B505)/B505</f>
        <v/>
      </c>
    </row>
    <row r="518">
      <c r="A518" s="17" t="n">
        <v>41852</v>
      </c>
      <c r="B518" s="58">
        <f>VLOOKUP(Table17[[#This Row],[Date]],database!A:H,7,)</f>
        <v/>
      </c>
      <c r="C518" s="66">
        <f>B518/B517-1</f>
        <v/>
      </c>
      <c r="D518" s="66">
        <f>(Table17[[#This Row],[Index]]-B506)/B506</f>
        <v/>
      </c>
    </row>
    <row r="519">
      <c r="A519" s="17" t="n">
        <v>41883</v>
      </c>
      <c r="B519" s="58">
        <f>VLOOKUP(Table17[[#This Row],[Date]],database!A:H,7,)</f>
        <v/>
      </c>
      <c r="C519" s="66">
        <f>B519/B518-1</f>
        <v/>
      </c>
      <c r="D519" s="66">
        <f>(Table17[[#This Row],[Index]]-B507)/B507</f>
        <v/>
      </c>
    </row>
    <row r="520">
      <c r="A520" s="17" t="n">
        <v>41913</v>
      </c>
      <c r="B520" s="58">
        <f>VLOOKUP(Table17[[#This Row],[Date]],database!A:H,7,)</f>
        <v/>
      </c>
      <c r="C520" s="66">
        <f>B520/B519-1</f>
        <v/>
      </c>
      <c r="D520" s="66">
        <f>(Table17[[#This Row],[Index]]-B508)/B508</f>
        <v/>
      </c>
    </row>
    <row r="521">
      <c r="A521" s="17" t="n">
        <v>41944</v>
      </c>
      <c r="B521" s="58">
        <f>VLOOKUP(Table17[[#This Row],[Date]],database!A:H,7,)</f>
        <v/>
      </c>
      <c r="C521" s="67">
        <f>B521/B520-1</f>
        <v/>
      </c>
      <c r="D521" s="66">
        <f>(Table17[[#This Row],[Index]]-B509)/B509</f>
        <v/>
      </c>
    </row>
    <row r="522">
      <c r="A522" s="17" t="n">
        <v>41974</v>
      </c>
      <c r="B522" s="58">
        <f>VLOOKUP(Table17[[#This Row],[Date]],database!A:H,7,)</f>
        <v/>
      </c>
      <c r="C522" s="66">
        <f>B522/B521-1</f>
        <v/>
      </c>
      <c r="D522" s="66">
        <f>(Table17[[#This Row],[Index]]-B510)/B510</f>
        <v/>
      </c>
    </row>
    <row r="523">
      <c r="A523" s="17" t="n">
        <v>42005</v>
      </c>
      <c r="B523" s="58">
        <f>VLOOKUP(Table17[[#This Row],[Date]],database!A:H,7,)</f>
        <v/>
      </c>
      <c r="C523" s="67">
        <f>B523/B522-1</f>
        <v/>
      </c>
      <c r="D523" s="66">
        <f>(Table17[[#This Row],[Index]]-B511)/B511</f>
        <v/>
      </c>
    </row>
    <row r="524">
      <c r="A524" s="17" t="n">
        <v>42036</v>
      </c>
      <c r="B524" s="58">
        <f>VLOOKUP(Table17[[#This Row],[Date]],database!A:H,7,)</f>
        <v/>
      </c>
      <c r="C524" s="66">
        <f>B524/B523-1</f>
        <v/>
      </c>
      <c r="D524" s="66">
        <f>(Table17[[#This Row],[Index]]-B512)/B512</f>
        <v/>
      </c>
    </row>
    <row r="525">
      <c r="A525" s="17" t="n">
        <v>42064</v>
      </c>
      <c r="B525" s="58">
        <f>VLOOKUP(Table17[[#This Row],[Date]],database!A:H,7,)</f>
        <v/>
      </c>
      <c r="C525" s="67">
        <f>B525/B524-1</f>
        <v/>
      </c>
      <c r="D525" s="66">
        <f>(Table17[[#This Row],[Index]]-B513)/B513</f>
        <v/>
      </c>
    </row>
    <row r="526">
      <c r="A526" s="17" t="n">
        <v>42095</v>
      </c>
      <c r="B526" s="58">
        <f>VLOOKUP(Table17[[#This Row],[Date]],database!A:H,7,)</f>
        <v/>
      </c>
      <c r="C526" s="66">
        <f>B526/B525-1</f>
        <v/>
      </c>
      <c r="D526" s="66">
        <f>(Table17[[#This Row],[Index]]-B514)/B514</f>
        <v/>
      </c>
    </row>
    <row r="527">
      <c r="A527" s="17" t="n">
        <v>42125</v>
      </c>
      <c r="B527" s="58">
        <f>VLOOKUP(Table17[[#This Row],[Date]],database!A:H,7,)</f>
        <v/>
      </c>
      <c r="C527" s="66">
        <f>B527/B526-1</f>
        <v/>
      </c>
      <c r="D527" s="66">
        <f>(Table17[[#This Row],[Index]]-B515)/B515</f>
        <v/>
      </c>
    </row>
    <row r="528">
      <c r="A528" s="17" t="n">
        <v>42156</v>
      </c>
      <c r="B528" s="58">
        <f>VLOOKUP(Table17[[#This Row],[Date]],database!A:H,7,)</f>
        <v/>
      </c>
      <c r="C528" s="66">
        <f>B528/B527-1</f>
        <v/>
      </c>
      <c r="D528" s="66">
        <f>(Table17[[#This Row],[Index]]-B516)/B516</f>
        <v/>
      </c>
    </row>
    <row r="529">
      <c r="A529" s="17" t="n">
        <v>42186</v>
      </c>
      <c r="B529" s="58">
        <f>VLOOKUP(Table17[[#This Row],[Date]],database!A:H,7,)</f>
        <v/>
      </c>
      <c r="C529" s="66">
        <f>B529/B528-1</f>
        <v/>
      </c>
      <c r="D529" s="66">
        <f>(Table17[[#This Row],[Index]]-B517)/B517</f>
        <v/>
      </c>
    </row>
    <row r="530">
      <c r="A530" s="17" t="n">
        <v>42217</v>
      </c>
      <c r="B530" s="58">
        <f>VLOOKUP(Table17[[#This Row],[Date]],database!A:H,7,)</f>
        <v/>
      </c>
      <c r="C530" s="66">
        <f>B530/B529-1</f>
        <v/>
      </c>
      <c r="D530" s="66">
        <f>(Table17[[#This Row],[Index]]-B518)/B518</f>
        <v/>
      </c>
    </row>
    <row r="531">
      <c r="A531" s="17" t="n">
        <v>42248</v>
      </c>
      <c r="B531" s="58">
        <f>VLOOKUP(Table17[[#This Row],[Date]],database!A:H,7,)</f>
        <v/>
      </c>
      <c r="C531" s="66">
        <f>B531/B530-1</f>
        <v/>
      </c>
      <c r="D531" s="66">
        <f>(Table17[[#This Row],[Index]]-B519)/B519</f>
        <v/>
      </c>
    </row>
    <row r="532">
      <c r="A532" s="17" t="n">
        <v>42278</v>
      </c>
      <c r="B532" s="58">
        <f>VLOOKUP(Table17[[#This Row],[Date]],database!A:H,7,)</f>
        <v/>
      </c>
      <c r="C532" s="66">
        <f>B532/B531-1</f>
        <v/>
      </c>
      <c r="D532" s="66">
        <f>(Table17[[#This Row],[Index]]-B520)/B520</f>
        <v/>
      </c>
    </row>
    <row r="533">
      <c r="A533" s="17" t="n">
        <v>42309</v>
      </c>
      <c r="B533" s="58">
        <f>VLOOKUP(Table17[[#This Row],[Date]],database!A:H,7,)</f>
        <v/>
      </c>
      <c r="C533" s="66">
        <f>B533/B532-1</f>
        <v/>
      </c>
      <c r="D533" s="66">
        <f>(Table17[[#This Row],[Index]]-B521)/B521</f>
        <v/>
      </c>
    </row>
    <row r="534">
      <c r="A534" s="17" t="n">
        <v>42339</v>
      </c>
      <c r="B534" s="58">
        <f>VLOOKUP(Table17[[#This Row],[Date]],database!A:H,7,)</f>
        <v/>
      </c>
      <c r="C534" s="66">
        <f>B534/B533-1</f>
        <v/>
      </c>
      <c r="D534" s="66">
        <f>(Table17[[#This Row],[Index]]-B522)/B522</f>
        <v/>
      </c>
    </row>
    <row r="535">
      <c r="A535" s="17" t="n">
        <v>42370</v>
      </c>
      <c r="B535" s="58">
        <f>VLOOKUP(Table17[[#This Row],[Date]],database!A:H,7,)</f>
        <v/>
      </c>
      <c r="C535" s="66">
        <f>B535/B534-1</f>
        <v/>
      </c>
      <c r="D535" s="66">
        <f>(Table17[[#This Row],[Index]]-B523)/B523</f>
        <v/>
      </c>
    </row>
    <row r="536">
      <c r="A536" s="17" t="n">
        <v>42401</v>
      </c>
      <c r="B536" s="58">
        <f>VLOOKUP(Table17[[#This Row],[Date]],database!A:H,7,)</f>
        <v/>
      </c>
      <c r="C536" s="66">
        <f>B536/B535-1</f>
        <v/>
      </c>
      <c r="D536" s="66">
        <f>(Table17[[#This Row],[Index]]-B524)/B524</f>
        <v/>
      </c>
    </row>
    <row r="537">
      <c r="A537" s="17" t="n">
        <v>42430</v>
      </c>
      <c r="B537" s="58">
        <f>VLOOKUP(Table17[[#This Row],[Date]],database!A:H,7,)</f>
        <v/>
      </c>
      <c r="C537" s="66">
        <f>B537/B536-1</f>
        <v/>
      </c>
      <c r="D537" s="66">
        <f>(Table17[[#This Row],[Index]]-B525)/B525</f>
        <v/>
      </c>
    </row>
    <row r="538">
      <c r="A538" s="17" t="n">
        <v>42461</v>
      </c>
      <c r="B538" s="58">
        <f>VLOOKUP(Table17[[#This Row],[Date]],database!A:H,7,)</f>
        <v/>
      </c>
      <c r="C538" s="66">
        <f>B538/B537-1</f>
        <v/>
      </c>
      <c r="D538" s="66">
        <f>(Table17[[#This Row],[Index]]-B526)/B526</f>
        <v/>
      </c>
    </row>
    <row r="539">
      <c r="A539" s="17" t="n">
        <v>42491</v>
      </c>
      <c r="B539" s="58">
        <f>VLOOKUP(Table17[[#This Row],[Date]],database!A:H,7,)</f>
        <v/>
      </c>
      <c r="C539" s="66">
        <f>B539/B538-1</f>
        <v/>
      </c>
      <c r="D539" s="66">
        <f>(Table17[[#This Row],[Index]]-B527)/B527</f>
        <v/>
      </c>
    </row>
    <row r="540">
      <c r="A540" s="17" t="n">
        <v>42522</v>
      </c>
      <c r="B540" s="58">
        <f>VLOOKUP(Table17[[#This Row],[Date]],database!A:H,7,)</f>
        <v/>
      </c>
      <c r="C540" s="66">
        <f>B540/B539-1</f>
        <v/>
      </c>
      <c r="D540" s="66">
        <f>(Table17[[#This Row],[Index]]-B528)/B528</f>
        <v/>
      </c>
    </row>
    <row r="541">
      <c r="A541" s="17" t="n">
        <v>42552</v>
      </c>
      <c r="B541" s="58">
        <f>VLOOKUP(Table17[[#This Row],[Date]],database!A:H,7,)</f>
        <v/>
      </c>
      <c r="C541" s="66">
        <f>B541/B540-1</f>
        <v/>
      </c>
      <c r="D541" s="66">
        <f>(Table17[[#This Row],[Index]]-B529)/B529</f>
        <v/>
      </c>
    </row>
    <row r="542">
      <c r="A542" s="17" t="n">
        <v>42583</v>
      </c>
      <c r="B542" s="58">
        <f>VLOOKUP(Table17[[#This Row],[Date]],database!A:H,7,)</f>
        <v/>
      </c>
      <c r="C542" s="66">
        <f>B542/B541-1</f>
        <v/>
      </c>
      <c r="D542" s="66">
        <f>(Table17[[#This Row],[Index]]-B530)/B530</f>
        <v/>
      </c>
    </row>
    <row r="543">
      <c r="A543" s="17" t="n">
        <v>42614</v>
      </c>
      <c r="B543" s="58">
        <f>VLOOKUP(Table17[[#This Row],[Date]],database!A:H,7,)</f>
        <v/>
      </c>
      <c r="C543" s="66">
        <f>B543/B542-1</f>
        <v/>
      </c>
      <c r="D543" s="66">
        <f>(Table17[[#This Row],[Index]]-B531)/B531</f>
        <v/>
      </c>
    </row>
    <row r="544">
      <c r="A544" s="17" t="n">
        <v>42644</v>
      </c>
      <c r="B544" s="58">
        <f>VLOOKUP(Table17[[#This Row],[Date]],database!A:H,7,)</f>
        <v/>
      </c>
      <c r="C544" s="66">
        <f>B544/B543-1</f>
        <v/>
      </c>
      <c r="D544" s="66">
        <f>(Table17[[#This Row],[Index]]-B532)/B532</f>
        <v/>
      </c>
    </row>
    <row r="545">
      <c r="A545" s="17" t="n">
        <v>42675</v>
      </c>
      <c r="B545" s="58">
        <f>VLOOKUP(Table17[[#This Row],[Date]],database!A:H,7,)</f>
        <v/>
      </c>
      <c r="C545" s="66">
        <f>B545/B544-1</f>
        <v/>
      </c>
      <c r="D545" s="66">
        <f>(Table17[[#This Row],[Index]]-B533)/B533</f>
        <v/>
      </c>
    </row>
    <row r="546">
      <c r="A546" s="17" t="n">
        <v>42705</v>
      </c>
      <c r="B546" s="58">
        <f>VLOOKUP(Table17[[#This Row],[Date]],database!A:H,7,)</f>
        <v/>
      </c>
      <c r="C546" s="66">
        <f>B546/B545-1</f>
        <v/>
      </c>
      <c r="D546" s="66">
        <f>(Table17[[#This Row],[Index]]-B534)/B534</f>
        <v/>
      </c>
    </row>
    <row r="547">
      <c r="A547" s="17" t="n">
        <v>42736</v>
      </c>
      <c r="B547" s="58">
        <f>VLOOKUP(Table17[[#This Row],[Date]],database!A:H,7,)</f>
        <v/>
      </c>
      <c r="C547" s="66">
        <f>B547/B546-1</f>
        <v/>
      </c>
      <c r="D547" s="66">
        <f>(Table17[[#This Row],[Index]]-B535)/B535</f>
        <v/>
      </c>
    </row>
    <row r="548">
      <c r="A548" s="17" t="n">
        <v>42767</v>
      </c>
      <c r="B548" s="58">
        <f>VLOOKUP(Table17[[#This Row],[Date]],database!A:H,7,)</f>
        <v/>
      </c>
      <c r="C548" s="66">
        <f>B548/B547-1</f>
        <v/>
      </c>
      <c r="D548" s="66">
        <f>(Table17[[#This Row],[Index]]-B536)/B536</f>
        <v/>
      </c>
    </row>
    <row r="549">
      <c r="A549" s="17" t="n">
        <v>42795</v>
      </c>
      <c r="B549" s="58">
        <f>VLOOKUP(Table17[[#This Row],[Date]],database!A:H,7,)</f>
        <v/>
      </c>
      <c r="C549" s="66">
        <f>B549/B548-1</f>
        <v/>
      </c>
      <c r="D549" s="66">
        <f>(Table17[[#This Row],[Index]]-B537)/B537</f>
        <v/>
      </c>
    </row>
    <row r="550">
      <c r="A550" s="17" t="n">
        <v>42826</v>
      </c>
      <c r="B550" s="58">
        <f>VLOOKUP(Table17[[#This Row],[Date]],database!A:H,7,)</f>
        <v/>
      </c>
      <c r="C550" s="66">
        <f>B550/B549-1</f>
        <v/>
      </c>
      <c r="D550" s="66">
        <f>(Table17[[#This Row],[Index]]-B538)/B538</f>
        <v/>
      </c>
    </row>
    <row r="551">
      <c r="A551" s="17" t="n">
        <v>42856</v>
      </c>
      <c r="B551" s="58">
        <f>VLOOKUP(Table17[[#This Row],[Date]],database!A:H,7,)</f>
        <v/>
      </c>
      <c r="C551" s="66">
        <f>B551/B550-1</f>
        <v/>
      </c>
      <c r="D551" s="66">
        <f>(Table17[[#This Row],[Index]]-B539)/B539</f>
        <v/>
      </c>
    </row>
    <row r="552">
      <c r="A552" s="17" t="n">
        <v>42887</v>
      </c>
      <c r="B552" s="58">
        <f>VLOOKUP(Table17[[#This Row],[Date]],database!A:H,7,)</f>
        <v/>
      </c>
      <c r="C552" s="66">
        <f>B552/B551-1</f>
        <v/>
      </c>
      <c r="D552" s="66">
        <f>(Table17[[#This Row],[Index]]-B540)/B540</f>
        <v/>
      </c>
    </row>
    <row r="553">
      <c r="A553" s="17" t="n">
        <v>42917</v>
      </c>
      <c r="B553" s="58">
        <f>VLOOKUP(Table17[[#This Row],[Date]],database!A:H,7,)</f>
        <v/>
      </c>
      <c r="C553" s="66">
        <f>B553/B552-1</f>
        <v/>
      </c>
      <c r="D553" s="66">
        <f>(Table17[[#This Row],[Index]]-B541)/B541</f>
        <v/>
      </c>
    </row>
    <row r="554">
      <c r="A554" s="17" t="n">
        <v>42948</v>
      </c>
      <c r="B554" s="58">
        <f>VLOOKUP(Table17[[#This Row],[Date]],database!A:H,7,)</f>
        <v/>
      </c>
      <c r="C554" s="66">
        <f>B554/B553-1</f>
        <v/>
      </c>
      <c r="D554" s="66">
        <f>(Table17[[#This Row],[Index]]-B542)/B542</f>
        <v/>
      </c>
    </row>
    <row r="555">
      <c r="A555" s="17" t="n">
        <v>42979</v>
      </c>
      <c r="B555" s="58">
        <f>VLOOKUP(Table17[[#This Row],[Date]],database!A:H,7,)</f>
        <v/>
      </c>
      <c r="C555" s="66">
        <f>B555/B554-1</f>
        <v/>
      </c>
      <c r="D555" s="66">
        <f>(Table17[[#This Row],[Index]]-B543)/B543</f>
        <v/>
      </c>
    </row>
    <row r="556">
      <c r="A556" s="17" t="n">
        <v>43009</v>
      </c>
      <c r="B556" s="58">
        <f>VLOOKUP(Table17[[#This Row],[Date]],database!A:H,7,)</f>
        <v/>
      </c>
      <c r="C556" s="66">
        <f>B556/B555-1</f>
        <v/>
      </c>
      <c r="D556" s="66">
        <f>(Table17[[#This Row],[Index]]-B544)/B544</f>
        <v/>
      </c>
    </row>
    <row r="557">
      <c r="A557" s="17" t="n">
        <v>43040</v>
      </c>
      <c r="B557" s="58">
        <f>VLOOKUP(Table17[[#This Row],[Date]],database!A:H,7,)</f>
        <v/>
      </c>
      <c r="C557" s="66">
        <f>B557/B556-1</f>
        <v/>
      </c>
      <c r="D557" s="66">
        <f>(Table17[[#This Row],[Index]]-B545)/B545</f>
        <v/>
      </c>
    </row>
    <row r="558">
      <c r="A558" s="17" t="n">
        <v>43070</v>
      </c>
      <c r="B558" s="58">
        <f>VLOOKUP(Table17[[#This Row],[Date]],database!A:H,7,)</f>
        <v/>
      </c>
      <c r="C558" s="66">
        <f>B558/B557-1</f>
        <v/>
      </c>
      <c r="D558" s="66">
        <f>(Table17[[#This Row],[Index]]-B546)/B546</f>
        <v/>
      </c>
    </row>
    <row r="559">
      <c r="A559" s="17" t="n">
        <v>43101</v>
      </c>
      <c r="B559" s="58">
        <f>VLOOKUP(Table17[[#This Row],[Date]],database!A:H,7,)</f>
        <v/>
      </c>
      <c r="C559" s="66">
        <f>B559/B558-1</f>
        <v/>
      </c>
      <c r="D559" s="66">
        <f>(Table17[[#This Row],[Index]]-B547)/B547</f>
        <v/>
      </c>
    </row>
    <row r="560">
      <c r="A560" s="17" t="n">
        <v>43132</v>
      </c>
      <c r="B560" s="58">
        <f>VLOOKUP(Table17[[#This Row],[Date]],database!A:H,7,)</f>
        <v/>
      </c>
      <c r="C560" s="66">
        <f>B560/B559-1</f>
        <v/>
      </c>
      <c r="D560" s="66">
        <f>(Table17[[#This Row],[Index]]-B548)/B548</f>
        <v/>
      </c>
    </row>
    <row r="561">
      <c r="A561" s="17" t="n">
        <v>43160</v>
      </c>
      <c r="B561" s="58">
        <f>VLOOKUP(Table17[[#This Row],[Date]],database!A:H,7,)</f>
        <v/>
      </c>
      <c r="C561" s="66">
        <f>B561/B560-1</f>
        <v/>
      </c>
      <c r="D561" s="66">
        <f>(Table17[[#This Row],[Index]]-B549)/B549</f>
        <v/>
      </c>
    </row>
    <row r="562">
      <c r="A562" s="17" t="n">
        <v>43191</v>
      </c>
      <c r="B562" s="58">
        <f>VLOOKUP(Table17[[#This Row],[Date]],database!A:H,7,)</f>
        <v/>
      </c>
      <c r="C562" s="66">
        <f>B562/B561-1</f>
        <v/>
      </c>
      <c r="D562" s="66">
        <f>(Table17[[#This Row],[Index]]-B550)/B550</f>
        <v/>
      </c>
    </row>
    <row r="563">
      <c r="A563" s="17" t="n">
        <v>43221</v>
      </c>
      <c r="B563" s="58">
        <f>VLOOKUP(Table17[[#This Row],[Date]],database!A:H,7,)</f>
        <v/>
      </c>
      <c r="C563" s="66">
        <f>B563/B562-1</f>
        <v/>
      </c>
      <c r="D563" s="66">
        <f>(Table17[[#This Row],[Index]]-B551)/B551</f>
        <v/>
      </c>
    </row>
    <row r="564">
      <c r="A564" s="17" t="n">
        <v>43252</v>
      </c>
      <c r="B564" s="58">
        <f>VLOOKUP(Table17[[#This Row],[Date]],database!A:H,7,)</f>
        <v/>
      </c>
      <c r="C564" s="66">
        <f>B564/B563-1</f>
        <v/>
      </c>
      <c r="D564" s="66">
        <f>(Table17[[#This Row],[Index]]-B552)/B552</f>
        <v/>
      </c>
    </row>
    <row r="565">
      <c r="A565" s="17" t="n">
        <v>43282</v>
      </c>
      <c r="B565" s="58">
        <f>VLOOKUP(Table17[[#This Row],[Date]],database!A:H,7,)</f>
        <v/>
      </c>
      <c r="C565" s="66">
        <f>B565/B564-1</f>
        <v/>
      </c>
      <c r="D565" s="66">
        <f>(Table17[[#This Row],[Index]]-B553)/B553</f>
        <v/>
      </c>
    </row>
    <row r="566">
      <c r="A566" s="17" t="n">
        <v>43313</v>
      </c>
      <c r="B566" s="58">
        <f>VLOOKUP(Table17[[#This Row],[Date]],database!A:H,7,)</f>
        <v/>
      </c>
      <c r="C566" s="66">
        <f>B566/B565-1</f>
        <v/>
      </c>
      <c r="D566" s="66">
        <f>(Table17[[#This Row],[Index]]-B554)/B554</f>
        <v/>
      </c>
    </row>
    <row r="567">
      <c r="A567" s="17" t="n">
        <v>43344</v>
      </c>
      <c r="B567" s="58">
        <f>VLOOKUP(Table17[[#This Row],[Date]],database!A:H,7,)</f>
        <v/>
      </c>
      <c r="C567" s="66">
        <f>B567/B566-1</f>
        <v/>
      </c>
      <c r="D567" s="66">
        <f>(Table17[[#This Row],[Index]]-B555)/B555</f>
        <v/>
      </c>
    </row>
    <row r="568">
      <c r="A568" s="17" t="n">
        <v>43374</v>
      </c>
      <c r="B568" s="58">
        <f>VLOOKUP(Table17[[#This Row],[Date]],database!A:H,7,)</f>
        <v/>
      </c>
      <c r="C568" s="66">
        <f>B568/B567-1</f>
        <v/>
      </c>
      <c r="D568" s="66">
        <f>(Table17[[#This Row],[Index]]-B556)/B556</f>
        <v/>
      </c>
    </row>
    <row r="569">
      <c r="A569" s="17" t="n">
        <v>43405</v>
      </c>
      <c r="B569" s="58">
        <f>VLOOKUP(Table17[[#This Row],[Date]],database!A:H,7,)</f>
        <v/>
      </c>
      <c r="C569" s="66">
        <f>B569/B568-1</f>
        <v/>
      </c>
      <c r="D569" s="66">
        <f>(Table17[[#This Row],[Index]]-B557)/B557</f>
        <v/>
      </c>
    </row>
    <row r="570">
      <c r="A570" s="17" t="n">
        <v>43435</v>
      </c>
      <c r="B570" s="58">
        <f>VLOOKUP(Table17[[#This Row],[Date]],database!A:H,7,)</f>
        <v/>
      </c>
      <c r="C570" s="66">
        <f>B570/B569-1</f>
        <v/>
      </c>
      <c r="D570" s="66">
        <f>(Table17[[#This Row],[Index]]-B558)/B558</f>
        <v/>
      </c>
    </row>
    <row r="571">
      <c r="A571" s="17" t="n">
        <v>43466</v>
      </c>
      <c r="B571" s="58">
        <f>VLOOKUP(Table17[[#This Row],[Date]],database!A:H,7,)</f>
        <v/>
      </c>
      <c r="C571" s="66">
        <f>B571/B570-1</f>
        <v/>
      </c>
      <c r="D571" s="66">
        <f>(Table17[[#This Row],[Index]]-B559)/B559</f>
        <v/>
      </c>
    </row>
    <row r="572">
      <c r="A572" s="17" t="n">
        <v>43497</v>
      </c>
      <c r="B572" s="58">
        <f>VLOOKUP(Table17[[#This Row],[Date]],database!A:H,7,)</f>
        <v/>
      </c>
      <c r="C572" s="66">
        <f>B572/B571-1</f>
        <v/>
      </c>
      <c r="D572" s="66">
        <f>(Table17[[#This Row],[Index]]-B560)/B560</f>
        <v/>
      </c>
    </row>
    <row r="573">
      <c r="A573" s="17" t="n">
        <v>43525</v>
      </c>
      <c r="B573" s="58">
        <f>VLOOKUP(Table17[[#This Row],[Date]],database!A:H,7,)</f>
        <v/>
      </c>
      <c r="C573" s="66">
        <f>B573/B572-1</f>
        <v/>
      </c>
      <c r="D573" s="66">
        <f>(Table17[[#This Row],[Index]]-B561)/B561</f>
        <v/>
      </c>
    </row>
    <row r="574">
      <c r="A574" s="17" t="n">
        <v>43556</v>
      </c>
      <c r="B574" s="58">
        <f>VLOOKUP(Table17[[#This Row],[Date]],database!A:H,7,)</f>
        <v/>
      </c>
      <c r="C574" s="66">
        <f>B574/B573-1</f>
        <v/>
      </c>
      <c r="D574" s="66">
        <f>(Table17[[#This Row],[Index]]-B562)/B562</f>
        <v/>
      </c>
    </row>
    <row r="575">
      <c r="A575" s="17" t="n">
        <v>43586</v>
      </c>
      <c r="B575" s="58">
        <f>VLOOKUP(Table17[[#This Row],[Date]],database!A:H,7,)</f>
        <v/>
      </c>
      <c r="C575" s="66">
        <f>B575/B574-1</f>
        <v/>
      </c>
      <c r="D575" s="66">
        <f>(Table17[[#This Row],[Index]]-B563)/B563</f>
        <v/>
      </c>
    </row>
    <row r="576">
      <c r="A576" s="17" t="n">
        <v>43617</v>
      </c>
      <c r="B576" s="58">
        <f>VLOOKUP(Table17[[#This Row],[Date]],database!A:H,7,)</f>
        <v/>
      </c>
      <c r="C576" s="66">
        <f>B576/B575-1</f>
        <v/>
      </c>
      <c r="D576" s="66">
        <f>(Table17[[#This Row],[Index]]-B564)/B564</f>
        <v/>
      </c>
    </row>
    <row r="577">
      <c r="A577" s="17" t="n">
        <v>43647</v>
      </c>
      <c r="B577" s="58">
        <f>VLOOKUP(Table17[[#This Row],[Date]],database!A:H,7,)</f>
        <v/>
      </c>
      <c r="C577" s="66">
        <f>B577/B576-1</f>
        <v/>
      </c>
      <c r="D577" s="66">
        <f>(Table17[[#This Row],[Index]]-B565)/B565</f>
        <v/>
      </c>
    </row>
    <row r="578">
      <c r="A578" s="17" t="n">
        <v>43678</v>
      </c>
      <c r="B578" s="58">
        <f>VLOOKUP(Table17[[#This Row],[Date]],database!A:H,7,)</f>
        <v/>
      </c>
      <c r="C578" s="66">
        <f>B578/B577-1</f>
        <v/>
      </c>
      <c r="D578" s="66">
        <f>(Table17[[#This Row],[Index]]-B566)/B566</f>
        <v/>
      </c>
    </row>
    <row r="579">
      <c r="A579" s="17" t="n">
        <v>43709</v>
      </c>
      <c r="B579" s="58">
        <f>VLOOKUP(Table17[[#This Row],[Date]],database!A:H,7,)</f>
        <v/>
      </c>
      <c r="C579" s="66">
        <f>B579/B578-1</f>
        <v/>
      </c>
      <c r="D579" s="66">
        <f>(Table17[[#This Row],[Index]]-B567)/B567</f>
        <v/>
      </c>
    </row>
    <row r="580">
      <c r="A580" s="17" t="n">
        <v>43739</v>
      </c>
      <c r="B580" s="58">
        <f>VLOOKUP(Table17[[#This Row],[Date]],database!A:H,7,)</f>
        <v/>
      </c>
      <c r="C580" s="66">
        <f>B580/B579-1</f>
        <v/>
      </c>
      <c r="D580" s="66">
        <f>(Table17[[#This Row],[Index]]-B568)/B568</f>
        <v/>
      </c>
    </row>
    <row r="581">
      <c r="A581" s="17" t="n">
        <v>43770</v>
      </c>
      <c r="B581" s="58">
        <f>VLOOKUP(Table17[[#This Row],[Date]],database!A:H,7,)</f>
        <v/>
      </c>
      <c r="C581" s="66">
        <f>B581/B580-1</f>
        <v/>
      </c>
      <c r="D581" s="66">
        <f>(Table17[[#This Row],[Index]]-B569)/B569</f>
        <v/>
      </c>
    </row>
    <row r="582">
      <c r="A582" s="17" t="n">
        <v>43800</v>
      </c>
      <c r="B582" s="58">
        <f>VLOOKUP(Table17[[#This Row],[Date]],database!A:H,7,)</f>
        <v/>
      </c>
      <c r="C582" s="66">
        <f>B582/B581-1</f>
        <v/>
      </c>
      <c r="D582" s="66">
        <f>(Table17[[#This Row],[Index]]-B570)/B570</f>
        <v/>
      </c>
    </row>
    <row r="583">
      <c r="A583" s="17" t="n">
        <v>43831</v>
      </c>
      <c r="B583" s="58">
        <f>VLOOKUP(Table17[[#This Row],[Date]],database!A:H,7,)</f>
        <v/>
      </c>
      <c r="C583" s="66">
        <f>B583/B582-1</f>
        <v/>
      </c>
      <c r="D583" s="66">
        <f>(Table17[[#This Row],[Index]]-B571)/B571</f>
        <v/>
      </c>
    </row>
    <row r="584">
      <c r="A584" s="17" t="n">
        <v>43862</v>
      </c>
      <c r="B584" s="58">
        <f>VLOOKUP(Table17[[#This Row],[Date]],database!A:H,7,)</f>
        <v/>
      </c>
      <c r="C584" s="66">
        <f>B584/B583-1</f>
        <v/>
      </c>
      <c r="D584" s="66">
        <f>(Table17[[#This Row],[Index]]-B572)/B572</f>
        <v/>
      </c>
    </row>
    <row r="585">
      <c r="A585" s="17" t="n">
        <v>43891</v>
      </c>
      <c r="B585" s="58">
        <f>VLOOKUP(Table17[[#This Row],[Date]],database!A:H,7,)</f>
        <v/>
      </c>
      <c r="C585" s="66">
        <f>B585/B584-1</f>
        <v/>
      </c>
      <c r="D585" s="66">
        <f>(Table17[[#This Row],[Index]]-B573)/B573</f>
        <v/>
      </c>
    </row>
    <row r="586">
      <c r="A586" s="17" t="n">
        <v>43922</v>
      </c>
      <c r="B586" s="58">
        <f>VLOOKUP(Table17[[#This Row],[Date]],database!A:H,7,)</f>
        <v/>
      </c>
      <c r="C586" s="66">
        <f>B586/B585-1</f>
        <v/>
      </c>
      <c r="D586" s="66">
        <f>(Table17[[#This Row],[Index]]-B574)/B574</f>
        <v/>
      </c>
    </row>
    <row r="587">
      <c r="A587" s="17" t="n">
        <v>43952</v>
      </c>
      <c r="B587" s="58">
        <f>VLOOKUP(Table17[[#This Row],[Date]],database!A:H,7,)</f>
        <v/>
      </c>
      <c r="C587" s="66">
        <f>B587/B586-1</f>
        <v/>
      </c>
      <c r="D587" s="66">
        <f>(Table17[[#This Row],[Index]]-B575)/B575</f>
        <v/>
      </c>
    </row>
    <row r="588">
      <c r="A588" s="17" t="n">
        <v>43983</v>
      </c>
      <c r="B588" s="58">
        <f>VLOOKUP(Table17[[#This Row],[Date]],database!A:H,7,)</f>
        <v/>
      </c>
      <c r="C588" s="66">
        <f>B588/B587-1</f>
        <v/>
      </c>
      <c r="D588" s="66">
        <f>(Table17[[#This Row],[Index]]-B576)/B576</f>
        <v/>
      </c>
    </row>
    <row r="589">
      <c r="A589" s="17" t="n">
        <v>44013</v>
      </c>
      <c r="B589" s="58">
        <f>VLOOKUP(Table17[[#This Row],[Date]],database!A:H,7,)</f>
        <v/>
      </c>
      <c r="C589" s="66">
        <f>B589/B588-1</f>
        <v/>
      </c>
      <c r="D589" s="66">
        <f>(Table17[[#This Row],[Index]]-B577)/B577</f>
        <v/>
      </c>
    </row>
    <row r="590">
      <c r="A590" s="17" t="n">
        <v>44044</v>
      </c>
      <c r="B590" s="58">
        <f>VLOOKUP(Table17[[#This Row],[Date]],database!A:H,7,)</f>
        <v/>
      </c>
      <c r="C590" s="66">
        <f>B590/B589-1</f>
        <v/>
      </c>
      <c r="D590" s="66">
        <f>(Table17[[#This Row],[Index]]-B578)/B578</f>
        <v/>
      </c>
    </row>
    <row r="591">
      <c r="A591" s="17" t="n">
        <v>44075</v>
      </c>
      <c r="B591" s="58">
        <f>VLOOKUP(Table17[[#This Row],[Date]],database!A:H,7,)</f>
        <v/>
      </c>
      <c r="C591" s="66">
        <f>B591/B590-1</f>
        <v/>
      </c>
      <c r="D591" s="66">
        <f>(Table17[[#This Row],[Index]]-B579)/B579</f>
        <v/>
      </c>
    </row>
    <row r="592">
      <c r="A592" s="17" t="n">
        <v>44105</v>
      </c>
      <c r="B592" s="58">
        <f>VLOOKUP(Table17[[#This Row],[Date]],database!A:H,7,)</f>
        <v/>
      </c>
      <c r="C592" s="66">
        <f>B592/B591-1</f>
        <v/>
      </c>
      <c r="D592" s="66">
        <f>(Table17[[#This Row],[Index]]-B580)/B580</f>
        <v/>
      </c>
    </row>
    <row r="593">
      <c r="A593" s="17" t="n">
        <v>44136</v>
      </c>
      <c r="B593" s="58">
        <f>VLOOKUP(Table17[[#This Row],[Date]],database!A:H,7,)</f>
        <v/>
      </c>
      <c r="C593" s="66">
        <f>B593/B592-1</f>
        <v/>
      </c>
      <c r="D593" s="66">
        <f>(Table17[[#This Row],[Index]]-B581)/B581</f>
        <v/>
      </c>
    </row>
    <row r="594">
      <c r="A594" s="17" t="n">
        <v>44166</v>
      </c>
      <c r="B594" s="58">
        <f>VLOOKUP(Table17[[#This Row],[Date]],database!A:H,7,)</f>
        <v/>
      </c>
      <c r="C594" s="66">
        <f>B594/B593-1</f>
        <v/>
      </c>
      <c r="D594" s="66">
        <f>(Table17[[#This Row],[Index]]-B582)/B582</f>
        <v/>
      </c>
    </row>
    <row r="595">
      <c r="A595" s="17" t="n">
        <v>44197</v>
      </c>
      <c r="B595" s="58">
        <f>VLOOKUP(Table17[[#This Row],[Date]],database!A:H,7,)</f>
        <v/>
      </c>
      <c r="C595" s="66">
        <f>B595/B594-1</f>
        <v/>
      </c>
      <c r="D595" s="66">
        <f>(Table17[[#This Row],[Index]]-B583)/B583</f>
        <v/>
      </c>
    </row>
    <row r="596">
      <c r="A596" s="17" t="n">
        <v>44228</v>
      </c>
      <c r="B596" s="58">
        <f>VLOOKUP(Table17[[#This Row],[Date]],database!A:H,7,)</f>
        <v/>
      </c>
      <c r="C596" s="66">
        <f>B596/B595-1</f>
        <v/>
      </c>
      <c r="D596" s="66">
        <f>(Table17[[#This Row],[Index]]-B584)/B584</f>
        <v/>
      </c>
    </row>
    <row r="597">
      <c r="A597" s="17" t="n">
        <v>44256</v>
      </c>
      <c r="B597" s="58">
        <f>VLOOKUP(Table17[[#This Row],[Date]],database!A:H,7,)</f>
        <v/>
      </c>
      <c r="C597" s="66">
        <f>B597/B596-1</f>
        <v/>
      </c>
      <c r="D597" s="66">
        <f>(Table17[[#This Row],[Index]]-B585)/B585</f>
        <v/>
      </c>
    </row>
    <row r="598">
      <c r="A598" s="17" t="n">
        <v>44287</v>
      </c>
      <c r="B598" s="58">
        <f>VLOOKUP(Table17[[#This Row],[Date]],database!A:H,7,)</f>
        <v/>
      </c>
      <c r="C598" s="66">
        <f>B598/B597-1</f>
        <v/>
      </c>
      <c r="D598" s="66">
        <f>(Table17[[#This Row],[Index]]-B586)/B586</f>
        <v/>
      </c>
    </row>
    <row r="599">
      <c r="A599" s="17" t="n">
        <v>44317</v>
      </c>
      <c r="B599" s="58">
        <f>VLOOKUP(Table17[[#This Row],[Date]],database!A:H,7,)</f>
        <v/>
      </c>
      <c r="C599" s="66">
        <f>B599/B598-1</f>
        <v/>
      </c>
      <c r="D599" s="66">
        <f>(Table17[[#This Row],[Index]]-B587)/B587</f>
        <v/>
      </c>
    </row>
    <row r="600">
      <c r="A600" s="17" t="n">
        <v>44348</v>
      </c>
      <c r="B600" s="58">
        <f>VLOOKUP(Table17[[#This Row],[Date]],database!A:H,7,)</f>
        <v/>
      </c>
      <c r="C600" s="66">
        <f>B600/B599-1</f>
        <v/>
      </c>
      <c r="D600" s="66">
        <f>(Table17[[#This Row],[Index]]-B588)/B588</f>
        <v/>
      </c>
    </row>
    <row r="601">
      <c r="A601" s="17" t="n">
        <v>44378</v>
      </c>
      <c r="B601" s="58">
        <f>VLOOKUP(Table17[[#This Row],[Date]],database!A:H,7,)</f>
        <v/>
      </c>
      <c r="C601" s="66">
        <f>B601/B600-1</f>
        <v/>
      </c>
      <c r="D601" s="66">
        <f>(Table17[[#This Row],[Index]]-B589)/B589</f>
        <v/>
      </c>
    </row>
    <row r="602">
      <c r="A602" s="17" t="n">
        <v>44409</v>
      </c>
      <c r="B602" s="58">
        <f>VLOOKUP(Table17[[#This Row],[Date]],database!A:H,7,)</f>
        <v/>
      </c>
      <c r="C602" s="66">
        <f>B602/B601-1</f>
        <v/>
      </c>
      <c r="D602" s="66">
        <f>(Table17[[#This Row],[Index]]-B590)/B590</f>
        <v/>
      </c>
    </row>
    <row r="603">
      <c r="A603" s="17" t="n">
        <v>44440</v>
      </c>
      <c r="B603" s="58">
        <f>VLOOKUP(Table17[[#This Row],[Date]],database!A:H,7,)</f>
        <v/>
      </c>
      <c r="C603" s="66">
        <f>B603/B602-1</f>
        <v/>
      </c>
      <c r="D603" s="66">
        <f>(Table17[[#This Row],[Index]]-B591)/B591</f>
        <v/>
      </c>
    </row>
    <row r="604">
      <c r="A604" s="17" t="n">
        <v>44470</v>
      </c>
      <c r="B604" s="58">
        <f>VLOOKUP(Table17[[#This Row],[Date]],database!A:H,7,)</f>
        <v/>
      </c>
      <c r="C604" s="66">
        <f>B604/B603-1</f>
        <v/>
      </c>
      <c r="D604" s="66">
        <f>(Table17[[#This Row],[Index]]-B592)/B592</f>
        <v/>
      </c>
    </row>
    <row r="605">
      <c r="A605" s="17" t="n">
        <v>44501</v>
      </c>
      <c r="B605" s="58">
        <f>VLOOKUP(Table17[[#This Row],[Date]],database!A:H,7,)</f>
        <v/>
      </c>
      <c r="C605" s="66">
        <f>B605/B604-1</f>
        <v/>
      </c>
      <c r="D605" s="66">
        <f>(Table17[[#This Row],[Index]]-B593)/B593</f>
        <v/>
      </c>
    </row>
    <row r="606">
      <c r="A606" s="17" t="n">
        <v>44531</v>
      </c>
      <c r="B606" s="58">
        <f>VLOOKUP(Table17[[#This Row],[Date]],database!A:H,7,)</f>
        <v/>
      </c>
      <c r="C606" s="66">
        <f>B606/B605-1</f>
        <v/>
      </c>
      <c r="D606" s="66">
        <f>(Table17[[#This Row],[Index]]-B594)/B594</f>
        <v/>
      </c>
    </row>
    <row r="607">
      <c r="A607" s="17" t="n">
        <v>44562</v>
      </c>
      <c r="B607" s="58">
        <f>VLOOKUP(Table17[[#This Row],[Date]],database!A:H,7,)</f>
        <v/>
      </c>
      <c r="C607" s="66">
        <f>B607/B606-1</f>
        <v/>
      </c>
      <c r="D607" s="66">
        <f>(Table17[[#This Row],[Index]]-B595)/B595</f>
        <v/>
      </c>
    </row>
    <row r="608">
      <c r="A608" s="17" t="n">
        <v>44593</v>
      </c>
      <c r="B608" s="58">
        <f>VLOOKUP(Table17[[#This Row],[Date]],database!A:H,7,)</f>
        <v/>
      </c>
      <c r="C608" s="66">
        <f>B608/B607-1</f>
        <v/>
      </c>
      <c r="D608" s="66">
        <f>(Table17[[#This Row],[Index]]-B596)/B596</f>
        <v/>
      </c>
    </row>
    <row r="609">
      <c r="A609" s="17" t="n">
        <v>44621</v>
      </c>
      <c r="B609" s="58">
        <f>VLOOKUP(Table17[[#This Row],[Date]],database!A:H,7,)</f>
        <v/>
      </c>
      <c r="C609" s="66">
        <f>B609/B608-1</f>
        <v/>
      </c>
      <c r="D609" s="66">
        <f>(Table17[[#This Row],[Index]]-B597)/B597</f>
        <v/>
      </c>
    </row>
    <row r="610">
      <c r="A610" s="17" t="n">
        <v>44652</v>
      </c>
      <c r="B610" s="58">
        <f>VLOOKUP(Table17[[#This Row],[Date]],database!A:H,7,)</f>
        <v/>
      </c>
      <c r="C610" s="66">
        <f>B610/B609-1</f>
        <v/>
      </c>
      <c r="D610" s="66">
        <f>(Table17[[#This Row],[Index]]-B598)/B598</f>
        <v/>
      </c>
    </row>
    <row r="611">
      <c r="A611" s="17" t="n">
        <v>44682</v>
      </c>
      <c r="B611" s="58">
        <f>VLOOKUP(Table17[[#This Row],[Date]],database!A:H,7,)</f>
        <v/>
      </c>
      <c r="C611" s="66">
        <f>B611/B610-1</f>
        <v/>
      </c>
      <c r="D611" s="66">
        <f>(Table17[[#This Row],[Index]]-B599)/B599</f>
        <v/>
      </c>
    </row>
    <row r="612">
      <c r="A612" s="17" t="n">
        <v>44713</v>
      </c>
      <c r="B612" s="58">
        <f>VLOOKUP(Table17[[#This Row],[Date]],database!A:H,7,)</f>
        <v/>
      </c>
      <c r="C612" s="66">
        <f>B612/B611-1</f>
        <v/>
      </c>
      <c r="D612" s="66">
        <f>(Table17[[#This Row],[Index]]-B600)/B600</f>
        <v/>
      </c>
    </row>
    <row r="613">
      <c r="A613" s="17" t="n">
        <v>44743</v>
      </c>
      <c r="B613" s="58">
        <f>VLOOKUP(Table17[[#This Row],[Date]],database!A:H,7,)</f>
        <v/>
      </c>
      <c r="C613" s="66">
        <f>B613/B612-1</f>
        <v/>
      </c>
      <c r="D613" s="66">
        <f>(Table17[[#This Row],[Index]]-B601)/B601</f>
        <v/>
      </c>
    </row>
    <row r="614">
      <c r="A614" s="17" t="n">
        <v>44774</v>
      </c>
      <c r="B614" s="58">
        <f>VLOOKUP(Table17[[#This Row],[Date]],database!A:H,7,)</f>
        <v/>
      </c>
      <c r="C614" s="66">
        <f>B614/B613-1</f>
        <v/>
      </c>
      <c r="D614" s="66">
        <f>(Table17[[#This Row],[Index]]-B602)/B602</f>
        <v/>
      </c>
    </row>
    <row r="615">
      <c r="A615" s="17" t="n">
        <v>44805</v>
      </c>
      <c r="B615" s="58">
        <f>VLOOKUP(Table17[[#This Row],[Date]],database!A:H,7,)</f>
        <v/>
      </c>
      <c r="C615" s="66">
        <f>B615/B614-1</f>
        <v/>
      </c>
      <c r="D615" s="66">
        <f>(Table17[[#This Row],[Index]]-B603)/B603</f>
        <v/>
      </c>
    </row>
    <row r="616">
      <c r="A616" s="17" t="n">
        <v>44835</v>
      </c>
      <c r="B616" s="58">
        <f>VLOOKUP(Table17[[#This Row],[Date]],database!A:H,7,)</f>
        <v/>
      </c>
      <c r="C616" s="66">
        <f>B616/B615-1</f>
        <v/>
      </c>
      <c r="D616" s="66">
        <f>(Table17[[#This Row],[Index]]-B604)/B604</f>
        <v/>
      </c>
    </row>
    <row r="617">
      <c r="A617" s="17" t="n">
        <v>44866</v>
      </c>
      <c r="B617" s="58">
        <f>VLOOKUP(Table17[[#This Row],[Date]],database!A:H,7,)</f>
        <v/>
      </c>
      <c r="C617" s="66">
        <f>B617/B616-1</f>
        <v/>
      </c>
      <c r="D617" s="66">
        <f>(Table17[[#This Row],[Index]]-B605)/B605</f>
        <v/>
      </c>
    </row>
    <row r="618">
      <c r="A618" s="17" t="n">
        <v>44896</v>
      </c>
      <c r="B618" s="58">
        <f>VLOOKUP(Table17[[#This Row],[Date]],database!A:H,7,)</f>
        <v/>
      </c>
      <c r="C618" s="66">
        <f>B618/B617-1</f>
        <v/>
      </c>
      <c r="D618" s="66">
        <f>(Table17[[#This Row],[Index]]-B606)/B606</f>
        <v/>
      </c>
    </row>
    <row r="619">
      <c r="A619" s="17" t="n">
        <v>44927</v>
      </c>
      <c r="B619" s="58">
        <f>VLOOKUP(Table17[[#This Row],[Date]],database!A:H,7,)</f>
        <v/>
      </c>
      <c r="C619" s="66">
        <f>B619/B618-1</f>
        <v/>
      </c>
      <c r="D619" s="66">
        <f>(Table17[[#This Row],[Index]]-B607)/B607</f>
        <v/>
      </c>
    </row>
    <row r="620">
      <c r="A620" s="17" t="n">
        <v>44958</v>
      </c>
      <c r="B620" s="58">
        <f>VLOOKUP(Table17[[#This Row],[Date]],database!A:H,7,)</f>
        <v/>
      </c>
      <c r="C620" s="66">
        <f>B620/B619-1</f>
        <v/>
      </c>
      <c r="D620" s="66">
        <f>(Table17[[#This Row],[Index]]-B608)/B608</f>
        <v/>
      </c>
    </row>
    <row r="621">
      <c r="A621" s="17" t="n">
        <v>44986</v>
      </c>
      <c r="B621" s="58">
        <f>VLOOKUP(Table17[[#This Row],[Date]],database!A:H,7,)</f>
        <v/>
      </c>
      <c r="C621" s="66">
        <f>B621/B620-1</f>
        <v/>
      </c>
      <c r="D621" s="66">
        <f>(Table17[[#This Row],[Index]]-B609)/B609</f>
        <v/>
      </c>
    </row>
  </sheetData>
  <conditionalFormatting sqref="D463:D62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21"/>
  <sheetViews>
    <sheetView zoomScale="80" zoomScaleNormal="80" workbookViewId="0">
      <pane ySplit="6" topLeftCell="A596" activePane="bottomLeft" state="frozen"/>
      <selection activeCell="J582" sqref="J582"/>
      <selection pane="bottomLeft" activeCell="AB627" sqref="AB627"/>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22"/>
    <col width="15.36328125" customWidth="1" style="88" min="23" max="23"/>
    <col width="9.1796875" customWidth="1" style="88" min="24" max="42"/>
    <col width="9.1796875" customWidth="1" style="88" min="43" max="16384"/>
  </cols>
  <sheetData>
    <row r="1">
      <c r="A1" s="15" t="inlineStr">
        <is>
          <t>IPCONGD</t>
        </is>
      </c>
      <c r="B1" s="88" t="n"/>
      <c r="C1" s="88" t="n"/>
      <c r="S1" s="88" t="inlineStr">
        <is>
          <t>Industrial Production: Consumer Goods</t>
        </is>
      </c>
      <c r="T1" s="88" t="inlineStr">
        <is>
          <t xml:space="preserve"> since 2010 </t>
        </is>
      </c>
      <c r="U1" s="88">
        <f>S1&amp;T1</f>
        <v/>
      </c>
      <c r="Y1" s="88">
        <f>U2&amp; T1</f>
        <v/>
      </c>
    </row>
    <row r="2">
      <c r="A2" s="16" t="n"/>
      <c r="B2" s="88" t="n"/>
      <c r="C2" s="88" t="n"/>
      <c r="U2" s="88">
        <f>S1&amp;Table18[[#Headers],[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VLOOKUP(Table18[[#This Row],[Date]],database!A:G,5,)</f>
        <v/>
      </c>
      <c r="C7" s="65" t="n"/>
      <c r="D7" s="65" t="n"/>
    </row>
    <row r="8">
      <c r="A8" s="17" t="n">
        <v>26330</v>
      </c>
      <c r="B8" s="58">
        <f>VLOOKUP(Table18[[#This Row],[Date]],database!A:G,5,)</f>
        <v/>
      </c>
      <c r="C8" s="66">
        <f>B8/B7-1</f>
        <v/>
      </c>
      <c r="D8" s="66" t="n"/>
    </row>
    <row r="9">
      <c r="A9" s="17" t="n">
        <v>26359</v>
      </c>
      <c r="B9" s="58">
        <f>VLOOKUP(Table18[[#This Row],[Date]],database!A:G,5,)</f>
        <v/>
      </c>
      <c r="C9" s="66">
        <f>B9/B8-1</f>
        <v/>
      </c>
      <c r="D9" s="66" t="n"/>
    </row>
    <row r="10">
      <c r="A10" s="17" t="n">
        <v>26390</v>
      </c>
      <c r="B10" s="58">
        <f>VLOOKUP(Table18[[#This Row],[Date]],database!A:G,5,)</f>
        <v/>
      </c>
      <c r="C10" s="66">
        <f>B10/B9-1</f>
        <v/>
      </c>
      <c r="D10" s="66" t="n"/>
    </row>
    <row r="11">
      <c r="A11" s="17" t="n">
        <v>26420</v>
      </c>
      <c r="B11" s="58">
        <f>VLOOKUP(Table18[[#This Row],[Date]],database!A:G,5,)</f>
        <v/>
      </c>
      <c r="C11" s="66">
        <f>B11/B10-1</f>
        <v/>
      </c>
      <c r="D11" s="66" t="n"/>
    </row>
    <row r="12">
      <c r="A12" s="17" t="n">
        <v>26451</v>
      </c>
      <c r="B12" s="58">
        <f>VLOOKUP(Table18[[#This Row],[Date]],database!A:G,5,)</f>
        <v/>
      </c>
      <c r="C12" s="66">
        <f>B12/B11-1</f>
        <v/>
      </c>
      <c r="D12" s="66" t="n"/>
    </row>
    <row r="13">
      <c r="A13" s="17" t="n">
        <v>26481</v>
      </c>
      <c r="B13" s="58">
        <f>VLOOKUP(Table18[[#This Row],[Date]],database!A:G,5,)</f>
        <v/>
      </c>
      <c r="C13" s="66">
        <f>B13/B12-1</f>
        <v/>
      </c>
      <c r="D13" s="66" t="n"/>
    </row>
    <row r="14">
      <c r="A14" s="17" t="n">
        <v>26512</v>
      </c>
      <c r="B14" s="58">
        <f>VLOOKUP(Table18[[#This Row],[Date]],database!A:G,5,)</f>
        <v/>
      </c>
      <c r="C14" s="66">
        <f>B14/B13-1</f>
        <v/>
      </c>
      <c r="D14" s="66" t="n"/>
    </row>
    <row r="15">
      <c r="A15" s="17" t="n">
        <v>26543</v>
      </c>
      <c r="B15" s="58">
        <f>VLOOKUP(Table18[[#This Row],[Date]],database!A:G,5,)</f>
        <v/>
      </c>
      <c r="C15" s="66">
        <f>B15/B14-1</f>
        <v/>
      </c>
      <c r="D15" s="66" t="n"/>
    </row>
    <row r="16">
      <c r="A16" s="17" t="n">
        <v>26573</v>
      </c>
      <c r="B16" s="58">
        <f>VLOOKUP(Table18[[#This Row],[Date]],database!A:G,5,)</f>
        <v/>
      </c>
      <c r="C16" s="66">
        <f>B16/B15-1</f>
        <v/>
      </c>
      <c r="D16" s="66" t="n"/>
    </row>
    <row r="17">
      <c r="A17" s="17" t="n">
        <v>26604</v>
      </c>
      <c r="B17" s="58">
        <f>VLOOKUP(Table18[[#This Row],[Date]],database!A:G,5,)</f>
        <v/>
      </c>
      <c r="C17" s="66">
        <f>B17/B16-1</f>
        <v/>
      </c>
      <c r="D17" s="66" t="n"/>
    </row>
    <row r="18">
      <c r="A18" s="17" t="n">
        <v>26634</v>
      </c>
      <c r="B18" s="58">
        <f>VLOOKUP(Table18[[#This Row],[Date]],database!A:G,5,)</f>
        <v/>
      </c>
      <c r="C18" s="66">
        <f>B18/B17-1</f>
        <v/>
      </c>
      <c r="D18" s="66" t="n"/>
    </row>
    <row r="19">
      <c r="A19" s="17" t="n">
        <v>26665</v>
      </c>
      <c r="B19" s="58">
        <f>VLOOKUP(Table18[[#This Row],[Date]],database!A:G,5,)</f>
        <v/>
      </c>
      <c r="C19" s="66">
        <f>B19/B18-1</f>
        <v/>
      </c>
      <c r="D19" s="66" t="n"/>
    </row>
    <row r="20">
      <c r="A20" s="17" t="n">
        <v>26696</v>
      </c>
      <c r="B20" s="58">
        <f>VLOOKUP(Table18[[#This Row],[Date]],database!A:G,5,)</f>
        <v/>
      </c>
      <c r="C20" s="66">
        <f>B20/B19-1</f>
        <v/>
      </c>
      <c r="D20" s="66">
        <f>(Table18[[#This Row],[Index]]-B8)/B8</f>
        <v/>
      </c>
    </row>
    <row r="21">
      <c r="A21" s="17" t="n">
        <v>26724</v>
      </c>
      <c r="B21" s="58">
        <f>VLOOKUP(Table18[[#This Row],[Date]],database!A:G,5,)</f>
        <v/>
      </c>
      <c r="C21" s="66">
        <f>B21/B20-1</f>
        <v/>
      </c>
      <c r="D21" s="66">
        <f>(Table18[[#This Row],[Index]]-B9)/B9</f>
        <v/>
      </c>
    </row>
    <row r="22">
      <c r="A22" s="17" t="n">
        <v>26755</v>
      </c>
      <c r="B22" s="58">
        <f>VLOOKUP(Table18[[#This Row],[Date]],database!A:G,5,)</f>
        <v/>
      </c>
      <c r="C22" s="66">
        <f>B22/B21-1</f>
        <v/>
      </c>
      <c r="D22" s="66">
        <f>(Table18[[#This Row],[Index]]-B10)/B10</f>
        <v/>
      </c>
    </row>
    <row r="23">
      <c r="A23" s="17" t="n">
        <v>26785</v>
      </c>
      <c r="B23" s="58">
        <f>VLOOKUP(Table18[[#This Row],[Date]],database!A:G,5,)</f>
        <v/>
      </c>
      <c r="C23" s="66">
        <f>B23/B22-1</f>
        <v/>
      </c>
      <c r="D23" s="66">
        <f>(Table18[[#This Row],[Index]]-B11)/B11</f>
        <v/>
      </c>
    </row>
    <row r="24">
      <c r="A24" s="17" t="n">
        <v>26816</v>
      </c>
      <c r="B24" s="58">
        <f>VLOOKUP(Table18[[#This Row],[Date]],database!A:G,5,)</f>
        <v/>
      </c>
      <c r="C24" s="66">
        <f>B24/B23-1</f>
        <v/>
      </c>
      <c r="D24" s="66">
        <f>(Table18[[#This Row],[Index]]-B12)/B12</f>
        <v/>
      </c>
    </row>
    <row r="25">
      <c r="A25" s="17" t="n">
        <v>26846</v>
      </c>
      <c r="B25" s="58">
        <f>VLOOKUP(Table18[[#This Row],[Date]],database!A:G,5,)</f>
        <v/>
      </c>
      <c r="C25" s="66">
        <f>B25/B24-1</f>
        <v/>
      </c>
      <c r="D25" s="66">
        <f>(Table18[[#This Row],[Index]]-B13)/B13</f>
        <v/>
      </c>
    </row>
    <row r="26">
      <c r="A26" s="17" t="n">
        <v>26877</v>
      </c>
      <c r="B26" s="58">
        <f>VLOOKUP(Table18[[#This Row],[Date]],database!A:G,5,)</f>
        <v/>
      </c>
      <c r="C26" s="66">
        <f>B26/B25-1</f>
        <v/>
      </c>
      <c r="D26" s="66">
        <f>(Table18[[#This Row],[Index]]-B14)/B14</f>
        <v/>
      </c>
    </row>
    <row r="27">
      <c r="A27" s="17" t="n">
        <v>26908</v>
      </c>
      <c r="B27" s="58">
        <f>VLOOKUP(Table18[[#This Row],[Date]],database!A:G,5,)</f>
        <v/>
      </c>
      <c r="C27" s="66">
        <f>B27/B26-1</f>
        <v/>
      </c>
      <c r="D27" s="66">
        <f>(Table18[[#This Row],[Index]]-B15)/B15</f>
        <v/>
      </c>
    </row>
    <row r="28">
      <c r="A28" s="17" t="n">
        <v>26938</v>
      </c>
      <c r="B28" s="58">
        <f>VLOOKUP(Table18[[#This Row],[Date]],database!A:G,5,)</f>
        <v/>
      </c>
      <c r="C28" s="66">
        <f>B28/B27-1</f>
        <v/>
      </c>
      <c r="D28" s="66">
        <f>(Table18[[#This Row],[Index]]-B16)/B16</f>
        <v/>
      </c>
    </row>
    <row r="29">
      <c r="A29" s="17" t="n">
        <v>26969</v>
      </c>
      <c r="B29" s="58">
        <f>VLOOKUP(Table18[[#This Row],[Date]],database!A:G,5,)</f>
        <v/>
      </c>
      <c r="C29" s="66">
        <f>B29/B28-1</f>
        <v/>
      </c>
      <c r="D29" s="66">
        <f>(Table18[[#This Row],[Index]]-B17)/B17</f>
        <v/>
      </c>
    </row>
    <row r="30">
      <c r="A30" s="17" t="n">
        <v>26999</v>
      </c>
      <c r="B30" s="58">
        <f>VLOOKUP(Table18[[#This Row],[Date]],database!A:G,5,)</f>
        <v/>
      </c>
      <c r="C30" s="66">
        <f>B30/B29-1</f>
        <v/>
      </c>
      <c r="D30" s="66">
        <f>(Table18[[#This Row],[Index]]-B18)/B18</f>
        <v/>
      </c>
    </row>
    <row r="31">
      <c r="A31" s="17" t="n">
        <v>27030</v>
      </c>
      <c r="B31" s="58">
        <f>VLOOKUP(Table18[[#This Row],[Date]],database!A:G,5,)</f>
        <v/>
      </c>
      <c r="C31" s="66">
        <f>B31/B30-1</f>
        <v/>
      </c>
      <c r="D31" s="66">
        <f>(Table18[[#This Row],[Index]]-B19)/B19</f>
        <v/>
      </c>
    </row>
    <row r="32">
      <c r="A32" s="17" t="n">
        <v>27061</v>
      </c>
      <c r="B32" s="58">
        <f>VLOOKUP(Table18[[#This Row],[Date]],database!A:G,5,)</f>
        <v/>
      </c>
      <c r="C32" s="66">
        <f>B32/B31-1</f>
        <v/>
      </c>
      <c r="D32" s="66">
        <f>(Table18[[#This Row],[Index]]-B20)/B20</f>
        <v/>
      </c>
    </row>
    <row r="33">
      <c r="A33" s="17" t="n">
        <v>27089</v>
      </c>
      <c r="B33" s="58">
        <f>VLOOKUP(Table18[[#This Row],[Date]],database!A:G,5,)</f>
        <v/>
      </c>
      <c r="C33" s="66">
        <f>B33/B32-1</f>
        <v/>
      </c>
      <c r="D33" s="66">
        <f>(Table18[[#This Row],[Index]]-B21)/B21</f>
        <v/>
      </c>
    </row>
    <row r="34">
      <c r="A34" s="17" t="n">
        <v>27120</v>
      </c>
      <c r="B34" s="58">
        <f>VLOOKUP(Table18[[#This Row],[Date]],database!A:G,5,)</f>
        <v/>
      </c>
      <c r="C34" s="66">
        <f>B34/B33-1</f>
        <v/>
      </c>
      <c r="D34" s="66">
        <f>(Table18[[#This Row],[Index]]-B22)/B22</f>
        <v/>
      </c>
    </row>
    <row r="35">
      <c r="A35" s="17" t="n">
        <v>27150</v>
      </c>
      <c r="B35" s="58">
        <f>VLOOKUP(Table18[[#This Row],[Date]],database!A:G,5,)</f>
        <v/>
      </c>
      <c r="C35" s="66">
        <f>B35/B34-1</f>
        <v/>
      </c>
      <c r="D35" s="66">
        <f>(Table18[[#This Row],[Index]]-B23)/B23</f>
        <v/>
      </c>
    </row>
    <row r="36">
      <c r="A36" s="17" t="n">
        <v>27181</v>
      </c>
      <c r="B36" s="58">
        <f>VLOOKUP(Table18[[#This Row],[Date]],database!A:G,5,)</f>
        <v/>
      </c>
      <c r="C36" s="66">
        <f>B36/B35-1</f>
        <v/>
      </c>
      <c r="D36" s="66">
        <f>(Table18[[#This Row],[Index]]-B24)/B24</f>
        <v/>
      </c>
    </row>
    <row r="37">
      <c r="A37" s="17" t="n">
        <v>27211</v>
      </c>
      <c r="B37" s="58">
        <f>VLOOKUP(Table18[[#This Row],[Date]],database!A:G,5,)</f>
        <v/>
      </c>
      <c r="C37" s="66">
        <f>B37/B36-1</f>
        <v/>
      </c>
      <c r="D37" s="66">
        <f>(Table18[[#This Row],[Index]]-B25)/B25</f>
        <v/>
      </c>
    </row>
    <row r="38">
      <c r="A38" s="17" t="n">
        <v>27242</v>
      </c>
      <c r="B38" s="58">
        <f>VLOOKUP(Table18[[#This Row],[Date]],database!A:G,5,)</f>
        <v/>
      </c>
      <c r="C38" s="66">
        <f>B38/B37-1</f>
        <v/>
      </c>
      <c r="D38" s="66">
        <f>(Table18[[#This Row],[Index]]-B26)/B26</f>
        <v/>
      </c>
    </row>
    <row r="39">
      <c r="A39" s="17" t="n">
        <v>27273</v>
      </c>
      <c r="B39" s="58">
        <f>VLOOKUP(Table18[[#This Row],[Date]],database!A:G,5,)</f>
        <v/>
      </c>
      <c r="C39" s="66">
        <f>B39/B38-1</f>
        <v/>
      </c>
      <c r="D39" s="66">
        <f>(Table18[[#This Row],[Index]]-B27)/B27</f>
        <v/>
      </c>
    </row>
    <row r="40">
      <c r="A40" s="17" t="n">
        <v>27303</v>
      </c>
      <c r="B40" s="58">
        <f>VLOOKUP(Table18[[#This Row],[Date]],database!A:G,5,)</f>
        <v/>
      </c>
      <c r="C40" s="66">
        <f>B40/B39-1</f>
        <v/>
      </c>
      <c r="D40" s="66">
        <f>(Table18[[#This Row],[Index]]-B28)/B28</f>
        <v/>
      </c>
    </row>
    <row r="41">
      <c r="A41" s="17" t="n">
        <v>27334</v>
      </c>
      <c r="B41" s="58">
        <f>VLOOKUP(Table18[[#This Row],[Date]],database!A:G,5,)</f>
        <v/>
      </c>
      <c r="C41" s="66">
        <f>B41/B40-1</f>
        <v/>
      </c>
      <c r="D41" s="66">
        <f>(Table18[[#This Row],[Index]]-B29)/B29</f>
        <v/>
      </c>
    </row>
    <row r="42">
      <c r="A42" s="17" t="n">
        <v>27364</v>
      </c>
      <c r="B42" s="58">
        <f>VLOOKUP(Table18[[#This Row],[Date]],database!A:G,5,)</f>
        <v/>
      </c>
      <c r="C42" s="66">
        <f>B42/B41-1</f>
        <v/>
      </c>
      <c r="D42" s="66">
        <f>(Table18[[#This Row],[Index]]-B30)/B30</f>
        <v/>
      </c>
    </row>
    <row r="43">
      <c r="A43" s="17" t="n">
        <v>27395</v>
      </c>
      <c r="B43" s="58">
        <f>VLOOKUP(Table18[[#This Row],[Date]],database!A:G,5,)</f>
        <v/>
      </c>
      <c r="C43" s="66">
        <f>B43/B42-1</f>
        <v/>
      </c>
      <c r="D43" s="66">
        <f>(Table18[[#This Row],[Index]]-B31)/B31</f>
        <v/>
      </c>
    </row>
    <row r="44">
      <c r="A44" s="17" t="n">
        <v>27426</v>
      </c>
      <c r="B44" s="58">
        <f>VLOOKUP(Table18[[#This Row],[Date]],database!A:G,5,)</f>
        <v/>
      </c>
      <c r="C44" s="66">
        <f>B44/B43-1</f>
        <v/>
      </c>
      <c r="D44" s="66">
        <f>(Table18[[#This Row],[Index]]-B32)/B32</f>
        <v/>
      </c>
    </row>
    <row r="45">
      <c r="A45" s="17" t="n">
        <v>27454</v>
      </c>
      <c r="B45" s="58">
        <f>VLOOKUP(Table18[[#This Row],[Date]],database!A:G,5,)</f>
        <v/>
      </c>
      <c r="C45" s="66">
        <f>B45/B44-1</f>
        <v/>
      </c>
      <c r="D45" s="66">
        <f>(Table18[[#This Row],[Index]]-B33)/B33</f>
        <v/>
      </c>
    </row>
    <row r="46">
      <c r="A46" s="17" t="n">
        <v>27485</v>
      </c>
      <c r="B46" s="58">
        <f>VLOOKUP(Table18[[#This Row],[Date]],database!A:G,5,)</f>
        <v/>
      </c>
      <c r="C46" s="66">
        <f>B46/B45-1</f>
        <v/>
      </c>
      <c r="D46" s="66">
        <f>(Table18[[#This Row],[Index]]-B34)/B34</f>
        <v/>
      </c>
    </row>
    <row r="47">
      <c r="A47" s="17" t="n">
        <v>27515</v>
      </c>
      <c r="B47" s="58">
        <f>VLOOKUP(Table18[[#This Row],[Date]],database!A:G,5,)</f>
        <v/>
      </c>
      <c r="C47" s="66">
        <f>B47/B46-1</f>
        <v/>
      </c>
      <c r="D47" s="66">
        <f>(Table18[[#This Row],[Index]]-B35)/B35</f>
        <v/>
      </c>
    </row>
    <row r="48">
      <c r="A48" s="17" t="n">
        <v>27546</v>
      </c>
      <c r="B48" s="58">
        <f>VLOOKUP(Table18[[#This Row],[Date]],database!A:G,5,)</f>
        <v/>
      </c>
      <c r="C48" s="66">
        <f>B48/B47-1</f>
        <v/>
      </c>
      <c r="D48" s="66">
        <f>(Table18[[#This Row],[Index]]-B36)/B36</f>
        <v/>
      </c>
    </row>
    <row r="49">
      <c r="A49" s="17" t="n">
        <v>27576</v>
      </c>
      <c r="B49" s="58">
        <f>VLOOKUP(Table18[[#This Row],[Date]],database!A:G,5,)</f>
        <v/>
      </c>
      <c r="C49" s="66">
        <f>B49/B48-1</f>
        <v/>
      </c>
      <c r="D49" s="66">
        <f>(Table18[[#This Row],[Index]]-B37)/B37</f>
        <v/>
      </c>
    </row>
    <row r="50">
      <c r="A50" s="17" t="n">
        <v>27607</v>
      </c>
      <c r="B50" s="58">
        <f>VLOOKUP(Table18[[#This Row],[Date]],database!A:G,5,)</f>
        <v/>
      </c>
      <c r="C50" s="66">
        <f>B50/B49-1</f>
        <v/>
      </c>
      <c r="D50" s="66">
        <f>(Table18[[#This Row],[Index]]-B38)/B38</f>
        <v/>
      </c>
    </row>
    <row r="51">
      <c r="A51" s="17" t="n">
        <v>27638</v>
      </c>
      <c r="B51" s="58">
        <f>VLOOKUP(Table18[[#This Row],[Date]],database!A:G,5,)</f>
        <v/>
      </c>
      <c r="C51" s="66">
        <f>B51/B50-1</f>
        <v/>
      </c>
      <c r="D51" s="66">
        <f>(Table18[[#This Row],[Index]]-B39)/B39</f>
        <v/>
      </c>
    </row>
    <row r="52">
      <c r="A52" s="17" t="n">
        <v>27668</v>
      </c>
      <c r="B52" s="58">
        <f>VLOOKUP(Table18[[#This Row],[Date]],database!A:G,5,)</f>
        <v/>
      </c>
      <c r="C52" s="66">
        <f>B52/B51-1</f>
        <v/>
      </c>
      <c r="D52" s="66">
        <f>(Table18[[#This Row],[Index]]-B40)/B40</f>
        <v/>
      </c>
    </row>
    <row r="53">
      <c r="A53" s="17" t="n">
        <v>27699</v>
      </c>
      <c r="B53" s="58">
        <f>VLOOKUP(Table18[[#This Row],[Date]],database!A:G,5,)</f>
        <v/>
      </c>
      <c r="C53" s="66">
        <f>B53/B52-1</f>
        <v/>
      </c>
      <c r="D53" s="66">
        <f>(Table18[[#This Row],[Index]]-B41)/B41</f>
        <v/>
      </c>
    </row>
    <row r="54">
      <c r="A54" s="17" t="n">
        <v>27729</v>
      </c>
      <c r="B54" s="58">
        <f>VLOOKUP(Table18[[#This Row],[Date]],database!A:G,5,)</f>
        <v/>
      </c>
      <c r="C54" s="66">
        <f>B54/B53-1</f>
        <v/>
      </c>
      <c r="D54" s="66">
        <f>(Table18[[#This Row],[Index]]-B42)/B42</f>
        <v/>
      </c>
    </row>
    <row r="55">
      <c r="A55" s="17" t="n">
        <v>27760</v>
      </c>
      <c r="B55" s="58">
        <f>VLOOKUP(Table18[[#This Row],[Date]],database!A:G,5,)</f>
        <v/>
      </c>
      <c r="C55" s="66">
        <f>B55/B54-1</f>
        <v/>
      </c>
      <c r="D55" s="66">
        <f>(Table18[[#This Row],[Index]]-B43)/B43</f>
        <v/>
      </c>
    </row>
    <row r="56">
      <c r="A56" s="17" t="n">
        <v>27791</v>
      </c>
      <c r="B56" s="58">
        <f>VLOOKUP(Table18[[#This Row],[Date]],database!A:G,5,)</f>
        <v/>
      </c>
      <c r="C56" s="66">
        <f>B56/B55-1</f>
        <v/>
      </c>
      <c r="D56" s="66">
        <f>(Table18[[#This Row],[Index]]-B44)/B44</f>
        <v/>
      </c>
    </row>
    <row r="57">
      <c r="A57" s="17" t="n">
        <v>27820</v>
      </c>
      <c r="B57" s="58">
        <f>VLOOKUP(Table18[[#This Row],[Date]],database!A:G,5,)</f>
        <v/>
      </c>
      <c r="C57" s="66">
        <f>B57/B56-1</f>
        <v/>
      </c>
      <c r="D57" s="66">
        <f>(Table18[[#This Row],[Index]]-B45)/B45</f>
        <v/>
      </c>
    </row>
    <row r="58">
      <c r="A58" s="17" t="n">
        <v>27851</v>
      </c>
      <c r="B58" s="58">
        <f>VLOOKUP(Table18[[#This Row],[Date]],database!A:G,5,)</f>
        <v/>
      </c>
      <c r="C58" s="66">
        <f>B58/B57-1</f>
        <v/>
      </c>
      <c r="D58" s="66">
        <f>(Table18[[#This Row],[Index]]-B46)/B46</f>
        <v/>
      </c>
    </row>
    <row r="59">
      <c r="A59" s="17" t="n">
        <v>27881</v>
      </c>
      <c r="B59" s="58">
        <f>VLOOKUP(Table18[[#This Row],[Date]],database!A:G,5,)</f>
        <v/>
      </c>
      <c r="C59" s="66">
        <f>B59/B58-1</f>
        <v/>
      </c>
      <c r="D59" s="66">
        <f>(Table18[[#This Row],[Index]]-B47)/B47</f>
        <v/>
      </c>
    </row>
    <row r="60">
      <c r="A60" s="17" t="n">
        <v>27912</v>
      </c>
      <c r="B60" s="58">
        <f>VLOOKUP(Table18[[#This Row],[Date]],database!A:G,5,)</f>
        <v/>
      </c>
      <c r="C60" s="66">
        <f>B60/B59-1</f>
        <v/>
      </c>
      <c r="D60" s="66">
        <f>(Table18[[#This Row],[Index]]-B48)/B48</f>
        <v/>
      </c>
    </row>
    <row r="61">
      <c r="A61" s="17" t="n">
        <v>27942</v>
      </c>
      <c r="B61" s="58">
        <f>VLOOKUP(Table18[[#This Row],[Date]],database!A:G,5,)</f>
        <v/>
      </c>
      <c r="C61" s="66">
        <f>B61/B60-1</f>
        <v/>
      </c>
      <c r="D61" s="66">
        <f>(Table18[[#This Row],[Index]]-B49)/B49</f>
        <v/>
      </c>
    </row>
    <row r="62">
      <c r="A62" s="17" t="n">
        <v>27973</v>
      </c>
      <c r="B62" s="58">
        <f>VLOOKUP(Table18[[#This Row],[Date]],database!A:G,5,)</f>
        <v/>
      </c>
      <c r="C62" s="66">
        <f>B62/B61-1</f>
        <v/>
      </c>
      <c r="D62" s="66">
        <f>(Table18[[#This Row],[Index]]-B50)/B50</f>
        <v/>
      </c>
    </row>
    <row r="63">
      <c r="A63" s="17" t="n">
        <v>28004</v>
      </c>
      <c r="B63" s="58">
        <f>VLOOKUP(Table18[[#This Row],[Date]],database!A:G,5,)</f>
        <v/>
      </c>
      <c r="C63" s="66">
        <f>B63/B62-1</f>
        <v/>
      </c>
      <c r="D63" s="66">
        <f>(Table18[[#This Row],[Index]]-B51)/B51</f>
        <v/>
      </c>
    </row>
    <row r="64">
      <c r="A64" s="17" t="n">
        <v>28034</v>
      </c>
      <c r="B64" s="58">
        <f>VLOOKUP(Table18[[#This Row],[Date]],database!A:G,5,)</f>
        <v/>
      </c>
      <c r="C64" s="66">
        <f>B64/B63-1</f>
        <v/>
      </c>
      <c r="D64" s="66">
        <f>(Table18[[#This Row],[Index]]-B52)/B52</f>
        <v/>
      </c>
    </row>
    <row r="65">
      <c r="A65" s="17" t="n">
        <v>28065</v>
      </c>
      <c r="B65" s="58">
        <f>VLOOKUP(Table18[[#This Row],[Date]],database!A:G,5,)</f>
        <v/>
      </c>
      <c r="C65" s="66">
        <f>B65/B64-1</f>
        <v/>
      </c>
      <c r="D65" s="66">
        <f>(Table18[[#This Row],[Index]]-B53)/B53</f>
        <v/>
      </c>
    </row>
    <row r="66">
      <c r="A66" s="17" t="n">
        <v>28095</v>
      </c>
      <c r="B66" s="58">
        <f>VLOOKUP(Table18[[#This Row],[Date]],database!A:G,5,)</f>
        <v/>
      </c>
      <c r="C66" s="66">
        <f>B66/B65-1</f>
        <v/>
      </c>
      <c r="D66" s="66">
        <f>(Table18[[#This Row],[Index]]-B54)/B54</f>
        <v/>
      </c>
    </row>
    <row r="67">
      <c r="A67" s="17" t="n">
        <v>28126</v>
      </c>
      <c r="B67" s="58">
        <f>VLOOKUP(Table18[[#This Row],[Date]],database!A:G,5,)</f>
        <v/>
      </c>
      <c r="C67" s="66">
        <f>B67/B66-1</f>
        <v/>
      </c>
      <c r="D67" s="66">
        <f>(Table18[[#This Row],[Index]]-B55)/B55</f>
        <v/>
      </c>
    </row>
    <row r="68">
      <c r="A68" s="17" t="n">
        <v>28157</v>
      </c>
      <c r="B68" s="58">
        <f>VLOOKUP(Table18[[#This Row],[Date]],database!A:G,5,)</f>
        <v/>
      </c>
      <c r="C68" s="66">
        <f>B68/B67-1</f>
        <v/>
      </c>
      <c r="D68" s="66">
        <f>(Table18[[#This Row],[Index]]-B56)/B56</f>
        <v/>
      </c>
    </row>
    <row r="69">
      <c r="A69" s="17" t="n">
        <v>28185</v>
      </c>
      <c r="B69" s="58">
        <f>VLOOKUP(Table18[[#This Row],[Date]],database!A:G,5,)</f>
        <v/>
      </c>
      <c r="C69" s="66">
        <f>B69/B68-1</f>
        <v/>
      </c>
      <c r="D69" s="66">
        <f>(Table18[[#This Row],[Index]]-B57)/B57</f>
        <v/>
      </c>
    </row>
    <row r="70">
      <c r="A70" s="17" t="n">
        <v>28216</v>
      </c>
      <c r="B70" s="58">
        <f>VLOOKUP(Table18[[#This Row],[Date]],database!A:G,5,)</f>
        <v/>
      </c>
      <c r="C70" s="66">
        <f>B70/B69-1</f>
        <v/>
      </c>
      <c r="D70" s="66">
        <f>(Table18[[#This Row],[Index]]-B58)/B58</f>
        <v/>
      </c>
    </row>
    <row r="71">
      <c r="A71" s="17" t="n">
        <v>28246</v>
      </c>
      <c r="B71" s="58">
        <f>VLOOKUP(Table18[[#This Row],[Date]],database!A:G,5,)</f>
        <v/>
      </c>
      <c r="C71" s="66">
        <f>B71/B70-1</f>
        <v/>
      </c>
      <c r="D71" s="66">
        <f>(Table18[[#This Row],[Index]]-B59)/B59</f>
        <v/>
      </c>
    </row>
    <row r="72">
      <c r="A72" s="17" t="n">
        <v>28277</v>
      </c>
      <c r="B72" s="58">
        <f>VLOOKUP(Table18[[#This Row],[Date]],database!A:G,5,)</f>
        <v/>
      </c>
      <c r="C72" s="66">
        <f>B72/B71-1</f>
        <v/>
      </c>
      <c r="D72" s="66">
        <f>(Table18[[#This Row],[Index]]-B60)/B60</f>
        <v/>
      </c>
    </row>
    <row r="73">
      <c r="A73" s="17" t="n">
        <v>28307</v>
      </c>
      <c r="B73" s="58">
        <f>VLOOKUP(Table18[[#This Row],[Date]],database!A:G,5,)</f>
        <v/>
      </c>
      <c r="C73" s="66">
        <f>B73/B72-1</f>
        <v/>
      </c>
      <c r="D73" s="66">
        <f>(Table18[[#This Row],[Index]]-B61)/B61</f>
        <v/>
      </c>
    </row>
    <row r="74">
      <c r="A74" s="17" t="n">
        <v>28338</v>
      </c>
      <c r="B74" s="58">
        <f>VLOOKUP(Table18[[#This Row],[Date]],database!A:G,5,)</f>
        <v/>
      </c>
      <c r="C74" s="66">
        <f>B74/B73-1</f>
        <v/>
      </c>
      <c r="D74" s="66">
        <f>(Table18[[#This Row],[Index]]-B62)/B62</f>
        <v/>
      </c>
    </row>
    <row r="75">
      <c r="A75" s="17" t="n">
        <v>28369</v>
      </c>
      <c r="B75" s="58">
        <f>VLOOKUP(Table18[[#This Row],[Date]],database!A:G,5,)</f>
        <v/>
      </c>
      <c r="C75" s="66">
        <f>B75/B74-1</f>
        <v/>
      </c>
      <c r="D75" s="66">
        <f>(Table18[[#This Row],[Index]]-B63)/B63</f>
        <v/>
      </c>
    </row>
    <row r="76">
      <c r="A76" s="17" t="n">
        <v>28399</v>
      </c>
      <c r="B76" s="58">
        <f>VLOOKUP(Table18[[#This Row],[Date]],database!A:G,5,)</f>
        <v/>
      </c>
      <c r="C76" s="66">
        <f>B76/B75-1</f>
        <v/>
      </c>
      <c r="D76" s="66">
        <f>(Table18[[#This Row],[Index]]-B64)/B64</f>
        <v/>
      </c>
    </row>
    <row r="77">
      <c r="A77" s="17" t="n">
        <v>28430</v>
      </c>
      <c r="B77" s="58">
        <f>VLOOKUP(Table18[[#This Row],[Date]],database!A:G,5,)</f>
        <v/>
      </c>
      <c r="C77" s="66">
        <f>B77/B76-1</f>
        <v/>
      </c>
      <c r="D77" s="66">
        <f>(Table18[[#This Row],[Index]]-B65)/B65</f>
        <v/>
      </c>
    </row>
    <row r="78">
      <c r="A78" s="17" t="n">
        <v>28460</v>
      </c>
      <c r="B78" s="58">
        <f>VLOOKUP(Table18[[#This Row],[Date]],database!A:G,5,)</f>
        <v/>
      </c>
      <c r="C78" s="66">
        <f>B78/B77-1</f>
        <v/>
      </c>
      <c r="D78" s="66">
        <f>(Table18[[#This Row],[Index]]-B66)/B66</f>
        <v/>
      </c>
    </row>
    <row r="79">
      <c r="A79" s="17" t="n">
        <v>28491</v>
      </c>
      <c r="B79" s="58">
        <f>VLOOKUP(Table18[[#This Row],[Date]],database!A:G,5,)</f>
        <v/>
      </c>
      <c r="C79" s="66">
        <f>B79/B78-1</f>
        <v/>
      </c>
      <c r="D79" s="66">
        <f>(Table18[[#This Row],[Index]]-B67)/B67</f>
        <v/>
      </c>
    </row>
    <row r="80">
      <c r="A80" s="17" t="n">
        <v>28522</v>
      </c>
      <c r="B80" s="58">
        <f>VLOOKUP(Table18[[#This Row],[Date]],database!A:G,5,)</f>
        <v/>
      </c>
      <c r="C80" s="66">
        <f>B80/B79-1</f>
        <v/>
      </c>
      <c r="D80" s="66">
        <f>(Table18[[#This Row],[Index]]-B68)/B68</f>
        <v/>
      </c>
    </row>
    <row r="81">
      <c r="A81" s="17" t="n">
        <v>28550</v>
      </c>
      <c r="B81" s="58">
        <f>VLOOKUP(Table18[[#This Row],[Date]],database!A:G,5,)</f>
        <v/>
      </c>
      <c r="C81" s="66">
        <f>B81/B80-1</f>
        <v/>
      </c>
      <c r="D81" s="66">
        <f>(Table18[[#This Row],[Index]]-B69)/B69</f>
        <v/>
      </c>
    </row>
    <row r="82">
      <c r="A82" s="17" t="n">
        <v>28581</v>
      </c>
      <c r="B82" s="58">
        <f>VLOOKUP(Table18[[#This Row],[Date]],database!A:G,5,)</f>
        <v/>
      </c>
      <c r="C82" s="66">
        <f>B82/B81-1</f>
        <v/>
      </c>
      <c r="D82" s="66">
        <f>(Table18[[#This Row],[Index]]-B70)/B70</f>
        <v/>
      </c>
    </row>
    <row r="83">
      <c r="A83" s="17" t="n">
        <v>28611</v>
      </c>
      <c r="B83" s="58">
        <f>VLOOKUP(Table18[[#This Row],[Date]],database!A:G,5,)</f>
        <v/>
      </c>
      <c r="C83" s="66">
        <f>B83/B82-1</f>
        <v/>
      </c>
      <c r="D83" s="66">
        <f>(Table18[[#This Row],[Index]]-B71)/B71</f>
        <v/>
      </c>
    </row>
    <row r="84">
      <c r="A84" s="17" t="n">
        <v>28642</v>
      </c>
      <c r="B84" s="58">
        <f>VLOOKUP(Table18[[#This Row],[Date]],database!A:G,5,)</f>
        <v/>
      </c>
      <c r="C84" s="66">
        <f>B84/B83-1</f>
        <v/>
      </c>
      <c r="D84" s="66">
        <f>(Table18[[#This Row],[Index]]-B72)/B72</f>
        <v/>
      </c>
    </row>
    <row r="85">
      <c r="A85" s="17" t="n">
        <v>28672</v>
      </c>
      <c r="B85" s="58">
        <f>VLOOKUP(Table18[[#This Row],[Date]],database!A:G,5,)</f>
        <v/>
      </c>
      <c r="C85" s="66">
        <f>B85/B84-1</f>
        <v/>
      </c>
      <c r="D85" s="66">
        <f>(Table18[[#This Row],[Index]]-B73)/B73</f>
        <v/>
      </c>
    </row>
    <row r="86">
      <c r="A86" s="17" t="n">
        <v>28703</v>
      </c>
      <c r="B86" s="58">
        <f>VLOOKUP(Table18[[#This Row],[Date]],database!A:G,5,)</f>
        <v/>
      </c>
      <c r="C86" s="66">
        <f>B86/B85-1</f>
        <v/>
      </c>
      <c r="D86" s="66">
        <f>(Table18[[#This Row],[Index]]-B74)/B74</f>
        <v/>
      </c>
    </row>
    <row r="87">
      <c r="A87" s="17" t="n">
        <v>28734</v>
      </c>
      <c r="B87" s="58">
        <f>VLOOKUP(Table18[[#This Row],[Date]],database!A:G,5,)</f>
        <v/>
      </c>
      <c r="C87" s="66">
        <f>B87/B86-1</f>
        <v/>
      </c>
      <c r="D87" s="66">
        <f>(Table18[[#This Row],[Index]]-B75)/B75</f>
        <v/>
      </c>
    </row>
    <row r="88">
      <c r="A88" s="17" t="n">
        <v>28764</v>
      </c>
      <c r="B88" s="58">
        <f>VLOOKUP(Table18[[#This Row],[Date]],database!A:G,5,)</f>
        <v/>
      </c>
      <c r="C88" s="66">
        <f>B88/B87-1</f>
        <v/>
      </c>
      <c r="D88" s="66">
        <f>(Table18[[#This Row],[Index]]-B76)/B76</f>
        <v/>
      </c>
    </row>
    <row r="89">
      <c r="A89" s="17" t="n">
        <v>28795</v>
      </c>
      <c r="B89" s="58">
        <f>VLOOKUP(Table18[[#This Row],[Date]],database!A:G,5,)</f>
        <v/>
      </c>
      <c r="C89" s="66">
        <f>B89/B88-1</f>
        <v/>
      </c>
      <c r="D89" s="66">
        <f>(Table18[[#This Row],[Index]]-B77)/B77</f>
        <v/>
      </c>
    </row>
    <row r="90">
      <c r="A90" s="17" t="n">
        <v>28825</v>
      </c>
      <c r="B90" s="58">
        <f>VLOOKUP(Table18[[#This Row],[Date]],database!A:G,5,)</f>
        <v/>
      </c>
      <c r="C90" s="66">
        <f>B90/B89-1</f>
        <v/>
      </c>
      <c r="D90" s="66">
        <f>(Table18[[#This Row],[Index]]-B78)/B78</f>
        <v/>
      </c>
    </row>
    <row r="91">
      <c r="A91" s="17" t="n">
        <v>28856</v>
      </c>
      <c r="B91" s="58">
        <f>VLOOKUP(Table18[[#This Row],[Date]],database!A:G,5,)</f>
        <v/>
      </c>
      <c r="C91" s="66">
        <f>B91/B90-1</f>
        <v/>
      </c>
      <c r="D91" s="66">
        <f>(Table18[[#This Row],[Index]]-B79)/B79</f>
        <v/>
      </c>
    </row>
    <row r="92">
      <c r="A92" s="17" t="n">
        <v>28887</v>
      </c>
      <c r="B92" s="58">
        <f>VLOOKUP(Table18[[#This Row],[Date]],database!A:G,5,)</f>
        <v/>
      </c>
      <c r="C92" s="66">
        <f>B92/B91-1</f>
        <v/>
      </c>
      <c r="D92" s="66">
        <f>(Table18[[#This Row],[Index]]-B80)/B80</f>
        <v/>
      </c>
    </row>
    <row r="93">
      <c r="A93" s="17" t="n">
        <v>28915</v>
      </c>
      <c r="B93" s="58">
        <f>VLOOKUP(Table18[[#This Row],[Date]],database!A:G,5,)</f>
        <v/>
      </c>
      <c r="C93" s="66">
        <f>B93/B92-1</f>
        <v/>
      </c>
      <c r="D93" s="66">
        <f>(Table18[[#This Row],[Index]]-B81)/B81</f>
        <v/>
      </c>
    </row>
    <row r="94">
      <c r="A94" s="17" t="n">
        <v>28946</v>
      </c>
      <c r="B94" s="58">
        <f>VLOOKUP(Table18[[#This Row],[Date]],database!A:G,5,)</f>
        <v/>
      </c>
      <c r="C94" s="66">
        <f>B94/B93-1</f>
        <v/>
      </c>
      <c r="D94" s="66">
        <f>(Table18[[#This Row],[Index]]-B82)/B82</f>
        <v/>
      </c>
    </row>
    <row r="95">
      <c r="A95" s="17" t="n">
        <v>28976</v>
      </c>
      <c r="B95" s="58">
        <f>VLOOKUP(Table18[[#This Row],[Date]],database!A:G,5,)</f>
        <v/>
      </c>
      <c r="C95" s="66">
        <f>B95/B94-1</f>
        <v/>
      </c>
      <c r="D95" s="66">
        <f>(Table18[[#This Row],[Index]]-B83)/B83</f>
        <v/>
      </c>
    </row>
    <row r="96">
      <c r="A96" s="17" t="n">
        <v>29007</v>
      </c>
      <c r="B96" s="58">
        <f>VLOOKUP(Table18[[#This Row],[Date]],database!A:G,5,)</f>
        <v/>
      </c>
      <c r="C96" s="66">
        <f>B96/B95-1</f>
        <v/>
      </c>
      <c r="D96" s="66">
        <f>(Table18[[#This Row],[Index]]-B84)/B84</f>
        <v/>
      </c>
    </row>
    <row r="97">
      <c r="A97" s="17" t="n">
        <v>29037</v>
      </c>
      <c r="B97" s="58">
        <f>VLOOKUP(Table18[[#This Row],[Date]],database!A:G,5,)</f>
        <v/>
      </c>
      <c r="C97" s="66">
        <f>B97/B96-1</f>
        <v/>
      </c>
      <c r="D97" s="66">
        <f>(Table18[[#This Row],[Index]]-B85)/B85</f>
        <v/>
      </c>
    </row>
    <row r="98">
      <c r="A98" s="17" t="n">
        <v>29068</v>
      </c>
      <c r="B98" s="58">
        <f>VLOOKUP(Table18[[#This Row],[Date]],database!A:G,5,)</f>
        <v/>
      </c>
      <c r="C98" s="66">
        <f>B98/B97-1</f>
        <v/>
      </c>
      <c r="D98" s="66">
        <f>(Table18[[#This Row],[Index]]-B86)/B86</f>
        <v/>
      </c>
    </row>
    <row r="99">
      <c r="A99" s="17" t="n">
        <v>29099</v>
      </c>
      <c r="B99" s="58">
        <f>VLOOKUP(Table18[[#This Row],[Date]],database!A:G,5,)</f>
        <v/>
      </c>
      <c r="C99" s="66">
        <f>B99/B98-1</f>
        <v/>
      </c>
      <c r="D99" s="66">
        <f>(Table18[[#This Row],[Index]]-B87)/B87</f>
        <v/>
      </c>
    </row>
    <row r="100">
      <c r="A100" s="17" t="n">
        <v>29129</v>
      </c>
      <c r="B100" s="58">
        <f>VLOOKUP(Table18[[#This Row],[Date]],database!A:G,5,)</f>
        <v/>
      </c>
      <c r="C100" s="66">
        <f>B100/B99-1</f>
        <v/>
      </c>
      <c r="D100" s="66">
        <f>(Table18[[#This Row],[Index]]-B88)/B88</f>
        <v/>
      </c>
    </row>
    <row r="101">
      <c r="A101" s="17" t="n">
        <v>29160</v>
      </c>
      <c r="B101" s="58">
        <f>VLOOKUP(Table18[[#This Row],[Date]],database!A:G,5,)</f>
        <v/>
      </c>
      <c r="C101" s="66">
        <f>B101/B100-1</f>
        <v/>
      </c>
      <c r="D101" s="66">
        <f>(Table18[[#This Row],[Index]]-B89)/B89</f>
        <v/>
      </c>
    </row>
    <row r="102">
      <c r="A102" s="17" t="n">
        <v>29190</v>
      </c>
      <c r="B102" s="58">
        <f>VLOOKUP(Table18[[#This Row],[Date]],database!A:G,5,)</f>
        <v/>
      </c>
      <c r="C102" s="66">
        <f>B102/B101-1</f>
        <v/>
      </c>
      <c r="D102" s="66">
        <f>(Table18[[#This Row],[Index]]-B90)/B90</f>
        <v/>
      </c>
    </row>
    <row r="103">
      <c r="A103" s="17" t="n">
        <v>29221</v>
      </c>
      <c r="B103" s="58">
        <f>VLOOKUP(Table18[[#This Row],[Date]],database!A:G,5,)</f>
        <v/>
      </c>
      <c r="C103" s="66">
        <f>B103/B102-1</f>
        <v/>
      </c>
      <c r="D103" s="66">
        <f>(Table18[[#This Row],[Index]]-B91)/B91</f>
        <v/>
      </c>
    </row>
    <row r="104">
      <c r="A104" s="17" t="n">
        <v>29252</v>
      </c>
      <c r="B104" s="58">
        <f>VLOOKUP(Table18[[#This Row],[Date]],database!A:G,5,)</f>
        <v/>
      </c>
      <c r="C104" s="66">
        <f>B104/B103-1</f>
        <v/>
      </c>
      <c r="D104" s="66">
        <f>(Table18[[#This Row],[Index]]-B92)/B92</f>
        <v/>
      </c>
    </row>
    <row r="105">
      <c r="A105" s="17" t="n">
        <v>29281</v>
      </c>
      <c r="B105" s="58">
        <f>VLOOKUP(Table18[[#This Row],[Date]],database!A:G,5,)</f>
        <v/>
      </c>
      <c r="C105" s="66">
        <f>B105/B104-1</f>
        <v/>
      </c>
      <c r="D105" s="66">
        <f>(Table18[[#This Row],[Index]]-B93)/B93</f>
        <v/>
      </c>
    </row>
    <row r="106">
      <c r="A106" s="17" t="n">
        <v>29312</v>
      </c>
      <c r="B106" s="58">
        <f>VLOOKUP(Table18[[#This Row],[Date]],database!A:G,5,)</f>
        <v/>
      </c>
      <c r="C106" s="66">
        <f>B106/B105-1</f>
        <v/>
      </c>
      <c r="D106" s="66">
        <f>(Table18[[#This Row],[Index]]-B94)/B94</f>
        <v/>
      </c>
    </row>
    <row r="107">
      <c r="A107" s="17" t="n">
        <v>29342</v>
      </c>
      <c r="B107" s="58">
        <f>VLOOKUP(Table18[[#This Row],[Date]],database!A:G,5,)</f>
        <v/>
      </c>
      <c r="C107" s="66">
        <f>B107/B106-1</f>
        <v/>
      </c>
      <c r="D107" s="66">
        <f>(Table18[[#This Row],[Index]]-B95)/B95</f>
        <v/>
      </c>
    </row>
    <row r="108">
      <c r="A108" s="17" t="n">
        <v>29373</v>
      </c>
      <c r="B108" s="58">
        <f>VLOOKUP(Table18[[#This Row],[Date]],database!A:G,5,)</f>
        <v/>
      </c>
      <c r="C108" s="66">
        <f>B108/B107-1</f>
        <v/>
      </c>
      <c r="D108" s="66">
        <f>(Table18[[#This Row],[Index]]-B96)/B96</f>
        <v/>
      </c>
    </row>
    <row r="109">
      <c r="A109" s="17" t="n">
        <v>29403</v>
      </c>
      <c r="B109" s="58">
        <f>VLOOKUP(Table18[[#This Row],[Date]],database!A:G,5,)</f>
        <v/>
      </c>
      <c r="C109" s="66">
        <f>B109/B108-1</f>
        <v/>
      </c>
      <c r="D109" s="66">
        <f>(Table18[[#This Row],[Index]]-B97)/B97</f>
        <v/>
      </c>
    </row>
    <row r="110">
      <c r="A110" s="17" t="n">
        <v>29434</v>
      </c>
      <c r="B110" s="58">
        <f>VLOOKUP(Table18[[#This Row],[Date]],database!A:G,5,)</f>
        <v/>
      </c>
      <c r="C110" s="66">
        <f>B110/B109-1</f>
        <v/>
      </c>
      <c r="D110" s="66">
        <f>(Table18[[#This Row],[Index]]-B98)/B98</f>
        <v/>
      </c>
    </row>
    <row r="111">
      <c r="A111" s="17" t="n">
        <v>29465</v>
      </c>
      <c r="B111" s="58">
        <f>VLOOKUP(Table18[[#This Row],[Date]],database!A:G,5,)</f>
        <v/>
      </c>
      <c r="C111" s="66">
        <f>B111/B110-1</f>
        <v/>
      </c>
      <c r="D111" s="66">
        <f>(Table18[[#This Row],[Index]]-B99)/B99</f>
        <v/>
      </c>
    </row>
    <row r="112">
      <c r="A112" s="17" t="n">
        <v>29495</v>
      </c>
      <c r="B112" s="58">
        <f>VLOOKUP(Table18[[#This Row],[Date]],database!A:G,5,)</f>
        <v/>
      </c>
      <c r="C112" s="66">
        <f>B112/B111-1</f>
        <v/>
      </c>
      <c r="D112" s="66">
        <f>(Table18[[#This Row],[Index]]-B100)/B100</f>
        <v/>
      </c>
    </row>
    <row r="113">
      <c r="A113" s="17" t="n">
        <v>29526</v>
      </c>
      <c r="B113" s="58">
        <f>VLOOKUP(Table18[[#This Row],[Date]],database!A:G,5,)</f>
        <v/>
      </c>
      <c r="C113" s="66">
        <f>B113/B112-1</f>
        <v/>
      </c>
      <c r="D113" s="66">
        <f>(Table18[[#This Row],[Index]]-B101)/B101</f>
        <v/>
      </c>
    </row>
    <row r="114">
      <c r="A114" s="17" t="n">
        <v>29556</v>
      </c>
      <c r="B114" s="58">
        <f>VLOOKUP(Table18[[#This Row],[Date]],database!A:G,5,)</f>
        <v/>
      </c>
      <c r="C114" s="66">
        <f>B114/B113-1</f>
        <v/>
      </c>
      <c r="D114" s="66">
        <f>(Table18[[#This Row],[Index]]-B102)/B102</f>
        <v/>
      </c>
    </row>
    <row r="115">
      <c r="A115" s="17" t="n">
        <v>29587</v>
      </c>
      <c r="B115" s="58">
        <f>VLOOKUP(Table18[[#This Row],[Date]],database!A:G,5,)</f>
        <v/>
      </c>
      <c r="C115" s="66">
        <f>B115/B114-1</f>
        <v/>
      </c>
      <c r="D115" s="66">
        <f>(Table18[[#This Row],[Index]]-B103)/B103</f>
        <v/>
      </c>
    </row>
    <row r="116">
      <c r="A116" s="17" t="n">
        <v>29618</v>
      </c>
      <c r="B116" s="58">
        <f>VLOOKUP(Table18[[#This Row],[Date]],database!A:G,5,)</f>
        <v/>
      </c>
      <c r="C116" s="66">
        <f>B116/B115-1</f>
        <v/>
      </c>
      <c r="D116" s="66">
        <f>(Table18[[#This Row],[Index]]-B104)/B104</f>
        <v/>
      </c>
    </row>
    <row r="117">
      <c r="A117" s="17" t="n">
        <v>29646</v>
      </c>
      <c r="B117" s="58">
        <f>VLOOKUP(Table18[[#This Row],[Date]],database!A:G,5,)</f>
        <v/>
      </c>
      <c r="C117" s="66">
        <f>B117/B116-1</f>
        <v/>
      </c>
      <c r="D117" s="66">
        <f>(Table18[[#This Row],[Index]]-B105)/B105</f>
        <v/>
      </c>
    </row>
    <row r="118">
      <c r="A118" s="17" t="n">
        <v>29677</v>
      </c>
      <c r="B118" s="58">
        <f>VLOOKUP(Table18[[#This Row],[Date]],database!A:G,5,)</f>
        <v/>
      </c>
      <c r="C118" s="66">
        <f>B118/B117-1</f>
        <v/>
      </c>
      <c r="D118" s="66">
        <f>(Table18[[#This Row],[Index]]-B106)/B106</f>
        <v/>
      </c>
    </row>
    <row r="119">
      <c r="A119" s="17" t="n">
        <v>29707</v>
      </c>
      <c r="B119" s="58">
        <f>VLOOKUP(Table18[[#This Row],[Date]],database!A:G,5,)</f>
        <v/>
      </c>
      <c r="C119" s="66">
        <f>B119/B118-1</f>
        <v/>
      </c>
      <c r="D119" s="66">
        <f>(Table18[[#This Row],[Index]]-B107)/B107</f>
        <v/>
      </c>
    </row>
    <row r="120">
      <c r="A120" s="17" t="n">
        <v>29738</v>
      </c>
      <c r="B120" s="58">
        <f>VLOOKUP(Table18[[#This Row],[Date]],database!A:G,5,)</f>
        <v/>
      </c>
      <c r="C120" s="66">
        <f>B120/B119-1</f>
        <v/>
      </c>
      <c r="D120" s="66">
        <f>(Table18[[#This Row],[Index]]-B108)/B108</f>
        <v/>
      </c>
    </row>
    <row r="121">
      <c r="A121" s="17" t="n">
        <v>29768</v>
      </c>
      <c r="B121" s="58">
        <f>VLOOKUP(Table18[[#This Row],[Date]],database!A:G,5,)</f>
        <v/>
      </c>
      <c r="C121" s="66">
        <f>B121/B120-1</f>
        <v/>
      </c>
      <c r="D121" s="66">
        <f>(Table18[[#This Row],[Index]]-B109)/B109</f>
        <v/>
      </c>
    </row>
    <row r="122">
      <c r="A122" s="17" t="n">
        <v>29799</v>
      </c>
      <c r="B122" s="58">
        <f>VLOOKUP(Table18[[#This Row],[Date]],database!A:G,5,)</f>
        <v/>
      </c>
      <c r="C122" s="66">
        <f>B122/B121-1</f>
        <v/>
      </c>
      <c r="D122" s="66">
        <f>(Table18[[#This Row],[Index]]-B110)/B110</f>
        <v/>
      </c>
    </row>
    <row r="123">
      <c r="A123" s="17" t="n">
        <v>29830</v>
      </c>
      <c r="B123" s="58">
        <f>VLOOKUP(Table18[[#This Row],[Date]],database!A:G,5,)</f>
        <v/>
      </c>
      <c r="C123" s="66">
        <f>B123/B122-1</f>
        <v/>
      </c>
      <c r="D123" s="66">
        <f>(Table18[[#This Row],[Index]]-B111)/B111</f>
        <v/>
      </c>
    </row>
    <row r="124">
      <c r="A124" s="17" t="n">
        <v>29860</v>
      </c>
      <c r="B124" s="58">
        <f>VLOOKUP(Table18[[#This Row],[Date]],database!A:G,5,)</f>
        <v/>
      </c>
      <c r="C124" s="66">
        <f>B124/B123-1</f>
        <v/>
      </c>
      <c r="D124" s="66">
        <f>(Table18[[#This Row],[Index]]-B112)/B112</f>
        <v/>
      </c>
    </row>
    <row r="125">
      <c r="A125" s="17" t="n">
        <v>29891</v>
      </c>
      <c r="B125" s="58">
        <f>VLOOKUP(Table18[[#This Row],[Date]],database!A:G,5,)</f>
        <v/>
      </c>
      <c r="C125" s="66">
        <f>B125/B124-1</f>
        <v/>
      </c>
      <c r="D125" s="66">
        <f>(Table18[[#This Row],[Index]]-B113)/B113</f>
        <v/>
      </c>
    </row>
    <row r="126">
      <c r="A126" s="17" t="n">
        <v>29921</v>
      </c>
      <c r="B126" s="58">
        <f>VLOOKUP(Table18[[#This Row],[Date]],database!A:G,5,)</f>
        <v/>
      </c>
      <c r="C126" s="66">
        <f>B126/B125-1</f>
        <v/>
      </c>
      <c r="D126" s="66">
        <f>(Table18[[#This Row],[Index]]-B114)/B114</f>
        <v/>
      </c>
    </row>
    <row r="127">
      <c r="A127" s="17" t="n">
        <v>29952</v>
      </c>
      <c r="B127" s="58">
        <f>VLOOKUP(Table18[[#This Row],[Date]],database!A:G,5,)</f>
        <v/>
      </c>
      <c r="C127" s="66">
        <f>B127/B126-1</f>
        <v/>
      </c>
      <c r="D127" s="66">
        <f>(Table18[[#This Row],[Index]]-B115)/B115</f>
        <v/>
      </c>
    </row>
    <row r="128">
      <c r="A128" s="17" t="n">
        <v>29983</v>
      </c>
      <c r="B128" s="58">
        <f>VLOOKUP(Table18[[#This Row],[Date]],database!A:G,5,)</f>
        <v/>
      </c>
      <c r="C128" s="66">
        <f>B128/B127-1</f>
        <v/>
      </c>
      <c r="D128" s="66">
        <f>(Table18[[#This Row],[Index]]-B116)/B116</f>
        <v/>
      </c>
    </row>
    <row r="129">
      <c r="A129" s="17" t="n">
        <v>30011</v>
      </c>
      <c r="B129" s="58">
        <f>VLOOKUP(Table18[[#This Row],[Date]],database!A:G,5,)</f>
        <v/>
      </c>
      <c r="C129" s="66">
        <f>B129/B128-1</f>
        <v/>
      </c>
      <c r="D129" s="66">
        <f>(Table18[[#This Row],[Index]]-B117)/B117</f>
        <v/>
      </c>
    </row>
    <row r="130">
      <c r="A130" s="17" t="n">
        <v>30042</v>
      </c>
      <c r="B130" s="58">
        <f>VLOOKUP(Table18[[#This Row],[Date]],database!A:G,5,)</f>
        <v/>
      </c>
      <c r="C130" s="66">
        <f>B130/B129-1</f>
        <v/>
      </c>
      <c r="D130" s="66">
        <f>(Table18[[#This Row],[Index]]-B118)/B118</f>
        <v/>
      </c>
    </row>
    <row r="131">
      <c r="A131" s="17" t="n">
        <v>30072</v>
      </c>
      <c r="B131" s="58">
        <f>VLOOKUP(Table18[[#This Row],[Date]],database!A:G,5,)</f>
        <v/>
      </c>
      <c r="C131" s="66">
        <f>B131/B130-1</f>
        <v/>
      </c>
      <c r="D131" s="66">
        <f>(Table18[[#This Row],[Index]]-B119)/B119</f>
        <v/>
      </c>
    </row>
    <row r="132">
      <c r="A132" s="17" t="n">
        <v>30103</v>
      </c>
      <c r="B132" s="58">
        <f>VLOOKUP(Table18[[#This Row],[Date]],database!A:G,5,)</f>
        <v/>
      </c>
      <c r="C132" s="66">
        <f>B132/B131-1</f>
        <v/>
      </c>
      <c r="D132" s="66">
        <f>(Table18[[#This Row],[Index]]-B120)/B120</f>
        <v/>
      </c>
    </row>
    <row r="133">
      <c r="A133" s="17" t="n">
        <v>30133</v>
      </c>
      <c r="B133" s="58">
        <f>VLOOKUP(Table18[[#This Row],[Date]],database!A:G,5,)</f>
        <v/>
      </c>
      <c r="C133" s="66">
        <f>B133/B132-1</f>
        <v/>
      </c>
      <c r="D133" s="66">
        <f>(Table18[[#This Row],[Index]]-B121)/B121</f>
        <v/>
      </c>
    </row>
    <row r="134">
      <c r="A134" s="17" t="n">
        <v>30164</v>
      </c>
      <c r="B134" s="58">
        <f>VLOOKUP(Table18[[#This Row],[Date]],database!A:G,5,)</f>
        <v/>
      </c>
      <c r="C134" s="66">
        <f>B134/B133-1</f>
        <v/>
      </c>
      <c r="D134" s="66">
        <f>(Table18[[#This Row],[Index]]-B122)/B122</f>
        <v/>
      </c>
    </row>
    <row r="135">
      <c r="A135" s="17" t="n">
        <v>30195</v>
      </c>
      <c r="B135" s="58">
        <f>VLOOKUP(Table18[[#This Row],[Date]],database!A:G,5,)</f>
        <v/>
      </c>
      <c r="C135" s="66">
        <f>B135/B134-1</f>
        <v/>
      </c>
      <c r="D135" s="66">
        <f>(Table18[[#This Row],[Index]]-B123)/B123</f>
        <v/>
      </c>
    </row>
    <row r="136">
      <c r="A136" s="17" t="n">
        <v>30225</v>
      </c>
      <c r="B136" s="58">
        <f>VLOOKUP(Table18[[#This Row],[Date]],database!A:G,5,)</f>
        <v/>
      </c>
      <c r="C136" s="66">
        <f>B136/B135-1</f>
        <v/>
      </c>
      <c r="D136" s="66">
        <f>(Table18[[#This Row],[Index]]-B124)/B124</f>
        <v/>
      </c>
    </row>
    <row r="137">
      <c r="A137" s="17" t="n">
        <v>30256</v>
      </c>
      <c r="B137" s="58">
        <f>VLOOKUP(Table18[[#This Row],[Date]],database!A:G,5,)</f>
        <v/>
      </c>
      <c r="C137" s="66">
        <f>B137/B136-1</f>
        <v/>
      </c>
      <c r="D137" s="66">
        <f>(Table18[[#This Row],[Index]]-B125)/B125</f>
        <v/>
      </c>
    </row>
    <row r="138">
      <c r="A138" s="17" t="n">
        <v>30286</v>
      </c>
      <c r="B138" s="58">
        <f>VLOOKUP(Table18[[#This Row],[Date]],database!A:G,5,)</f>
        <v/>
      </c>
      <c r="C138" s="66">
        <f>B138/B137-1</f>
        <v/>
      </c>
      <c r="D138" s="66">
        <f>(Table18[[#This Row],[Index]]-B126)/B126</f>
        <v/>
      </c>
    </row>
    <row r="139">
      <c r="A139" s="17" t="n">
        <v>30317</v>
      </c>
      <c r="B139" s="58">
        <f>VLOOKUP(Table18[[#This Row],[Date]],database!A:G,5,)</f>
        <v/>
      </c>
      <c r="C139" s="66">
        <f>B139/B138-1</f>
        <v/>
      </c>
      <c r="D139" s="66">
        <f>(Table18[[#This Row],[Index]]-B127)/B127</f>
        <v/>
      </c>
    </row>
    <row r="140">
      <c r="A140" s="17" t="n">
        <v>30348</v>
      </c>
      <c r="B140" s="58">
        <f>VLOOKUP(Table18[[#This Row],[Date]],database!A:G,5,)</f>
        <v/>
      </c>
      <c r="C140" s="66">
        <f>B140/B139-1</f>
        <v/>
      </c>
      <c r="D140" s="66">
        <f>(Table18[[#This Row],[Index]]-B128)/B128</f>
        <v/>
      </c>
    </row>
    <row r="141">
      <c r="A141" s="17" t="n">
        <v>30376</v>
      </c>
      <c r="B141" s="58">
        <f>VLOOKUP(Table18[[#This Row],[Date]],database!A:G,5,)</f>
        <v/>
      </c>
      <c r="C141" s="66">
        <f>B141/B140-1</f>
        <v/>
      </c>
      <c r="D141" s="66">
        <f>(Table18[[#This Row],[Index]]-B129)/B129</f>
        <v/>
      </c>
    </row>
    <row r="142">
      <c r="A142" s="17" t="n">
        <v>30407</v>
      </c>
      <c r="B142" s="58">
        <f>VLOOKUP(Table18[[#This Row],[Date]],database!A:G,5,)</f>
        <v/>
      </c>
      <c r="C142" s="66">
        <f>B142/B141-1</f>
        <v/>
      </c>
      <c r="D142" s="66">
        <f>(Table18[[#This Row],[Index]]-B130)/B130</f>
        <v/>
      </c>
    </row>
    <row r="143">
      <c r="A143" s="17" t="n">
        <v>30437</v>
      </c>
      <c r="B143" s="58">
        <f>VLOOKUP(Table18[[#This Row],[Date]],database!A:G,5,)</f>
        <v/>
      </c>
      <c r="C143" s="66">
        <f>B143/B142-1</f>
        <v/>
      </c>
      <c r="D143" s="66">
        <f>(Table18[[#This Row],[Index]]-B131)/B131</f>
        <v/>
      </c>
    </row>
    <row r="144">
      <c r="A144" s="17" t="n">
        <v>30468</v>
      </c>
      <c r="B144" s="58">
        <f>VLOOKUP(Table18[[#This Row],[Date]],database!A:G,5,)</f>
        <v/>
      </c>
      <c r="C144" s="66">
        <f>B144/B143-1</f>
        <v/>
      </c>
      <c r="D144" s="66">
        <f>(Table18[[#This Row],[Index]]-B132)/B132</f>
        <v/>
      </c>
    </row>
    <row r="145">
      <c r="A145" s="17" t="n">
        <v>30498</v>
      </c>
      <c r="B145" s="58">
        <f>VLOOKUP(Table18[[#This Row],[Date]],database!A:G,5,)</f>
        <v/>
      </c>
      <c r="C145" s="66">
        <f>B145/B144-1</f>
        <v/>
      </c>
      <c r="D145" s="66">
        <f>(Table18[[#This Row],[Index]]-B133)/B133</f>
        <v/>
      </c>
    </row>
    <row r="146">
      <c r="A146" s="17" t="n">
        <v>30529</v>
      </c>
      <c r="B146" s="58">
        <f>VLOOKUP(Table18[[#This Row],[Date]],database!A:G,5,)</f>
        <v/>
      </c>
      <c r="C146" s="66">
        <f>B146/B145-1</f>
        <v/>
      </c>
      <c r="D146" s="66">
        <f>(Table18[[#This Row],[Index]]-B134)/B134</f>
        <v/>
      </c>
    </row>
    <row r="147">
      <c r="A147" s="17" t="n">
        <v>30560</v>
      </c>
      <c r="B147" s="58">
        <f>VLOOKUP(Table18[[#This Row],[Date]],database!A:G,5,)</f>
        <v/>
      </c>
      <c r="C147" s="66">
        <f>B147/B146-1</f>
        <v/>
      </c>
      <c r="D147" s="66">
        <f>(Table18[[#This Row],[Index]]-B135)/B135</f>
        <v/>
      </c>
    </row>
    <row r="148">
      <c r="A148" s="17" t="n">
        <v>30590</v>
      </c>
      <c r="B148" s="58">
        <f>VLOOKUP(Table18[[#This Row],[Date]],database!A:G,5,)</f>
        <v/>
      </c>
      <c r="C148" s="66">
        <f>B148/B147-1</f>
        <v/>
      </c>
      <c r="D148" s="66">
        <f>(Table18[[#This Row],[Index]]-B136)/B136</f>
        <v/>
      </c>
    </row>
    <row r="149">
      <c r="A149" s="17" t="n">
        <v>30621</v>
      </c>
      <c r="B149" s="58">
        <f>VLOOKUP(Table18[[#This Row],[Date]],database!A:G,5,)</f>
        <v/>
      </c>
      <c r="C149" s="66">
        <f>B149/B148-1</f>
        <v/>
      </c>
      <c r="D149" s="66">
        <f>(Table18[[#This Row],[Index]]-B137)/B137</f>
        <v/>
      </c>
    </row>
    <row r="150">
      <c r="A150" s="17" t="n">
        <v>30651</v>
      </c>
      <c r="B150" s="58">
        <f>VLOOKUP(Table18[[#This Row],[Date]],database!A:G,5,)</f>
        <v/>
      </c>
      <c r="C150" s="66">
        <f>B150/B149-1</f>
        <v/>
      </c>
      <c r="D150" s="66">
        <f>(Table18[[#This Row],[Index]]-B138)/B138</f>
        <v/>
      </c>
    </row>
    <row r="151">
      <c r="A151" s="17" t="n">
        <v>30682</v>
      </c>
      <c r="B151" s="58">
        <f>VLOOKUP(Table18[[#This Row],[Date]],database!A:G,5,)</f>
        <v/>
      </c>
      <c r="C151" s="66">
        <f>B151/B150-1</f>
        <v/>
      </c>
      <c r="D151" s="66">
        <f>(Table18[[#This Row],[Index]]-B139)/B139</f>
        <v/>
      </c>
    </row>
    <row r="152">
      <c r="A152" s="17" t="n">
        <v>30713</v>
      </c>
      <c r="B152" s="58">
        <f>VLOOKUP(Table18[[#This Row],[Date]],database!A:G,5,)</f>
        <v/>
      </c>
      <c r="C152" s="66">
        <f>B152/B151-1</f>
        <v/>
      </c>
      <c r="D152" s="66">
        <f>(Table18[[#This Row],[Index]]-B140)/B140</f>
        <v/>
      </c>
    </row>
    <row r="153">
      <c r="A153" s="17" t="n">
        <v>30742</v>
      </c>
      <c r="B153" s="58">
        <f>VLOOKUP(Table18[[#This Row],[Date]],database!A:G,5,)</f>
        <v/>
      </c>
      <c r="C153" s="66">
        <f>B153/B152-1</f>
        <v/>
      </c>
      <c r="D153" s="66">
        <f>(Table18[[#This Row],[Index]]-B141)/B141</f>
        <v/>
      </c>
    </row>
    <row r="154">
      <c r="A154" s="17" t="n">
        <v>30773</v>
      </c>
      <c r="B154" s="58">
        <f>VLOOKUP(Table18[[#This Row],[Date]],database!A:G,5,)</f>
        <v/>
      </c>
      <c r="C154" s="66">
        <f>B154/B153-1</f>
        <v/>
      </c>
      <c r="D154" s="66">
        <f>(Table18[[#This Row],[Index]]-B142)/B142</f>
        <v/>
      </c>
    </row>
    <row r="155">
      <c r="A155" s="17" t="n">
        <v>30803</v>
      </c>
      <c r="B155" s="58">
        <f>VLOOKUP(Table18[[#This Row],[Date]],database!A:G,5,)</f>
        <v/>
      </c>
      <c r="C155" s="66">
        <f>B155/B154-1</f>
        <v/>
      </c>
      <c r="D155" s="66">
        <f>(Table18[[#This Row],[Index]]-B143)/B143</f>
        <v/>
      </c>
    </row>
    <row r="156">
      <c r="A156" s="17" t="n">
        <v>30834</v>
      </c>
      <c r="B156" s="58">
        <f>VLOOKUP(Table18[[#This Row],[Date]],database!A:G,5,)</f>
        <v/>
      </c>
      <c r="C156" s="66">
        <f>B156/B155-1</f>
        <v/>
      </c>
      <c r="D156" s="66">
        <f>(Table18[[#This Row],[Index]]-B144)/B144</f>
        <v/>
      </c>
    </row>
    <row r="157">
      <c r="A157" s="17" t="n">
        <v>30864</v>
      </c>
      <c r="B157" s="58">
        <f>VLOOKUP(Table18[[#This Row],[Date]],database!A:G,5,)</f>
        <v/>
      </c>
      <c r="C157" s="66">
        <f>B157/B156-1</f>
        <v/>
      </c>
      <c r="D157" s="66">
        <f>(Table18[[#This Row],[Index]]-B145)/B145</f>
        <v/>
      </c>
    </row>
    <row r="158">
      <c r="A158" s="17" t="n">
        <v>30895</v>
      </c>
      <c r="B158" s="58">
        <f>VLOOKUP(Table18[[#This Row],[Date]],database!A:G,5,)</f>
        <v/>
      </c>
      <c r="C158" s="66">
        <f>B158/B157-1</f>
        <v/>
      </c>
      <c r="D158" s="66">
        <f>(Table18[[#This Row],[Index]]-B146)/B146</f>
        <v/>
      </c>
    </row>
    <row r="159">
      <c r="A159" s="17" t="n">
        <v>30926</v>
      </c>
      <c r="B159" s="58">
        <f>VLOOKUP(Table18[[#This Row],[Date]],database!A:G,5,)</f>
        <v/>
      </c>
      <c r="C159" s="66">
        <f>B159/B158-1</f>
        <v/>
      </c>
      <c r="D159" s="66">
        <f>(Table18[[#This Row],[Index]]-B147)/B147</f>
        <v/>
      </c>
    </row>
    <row r="160">
      <c r="A160" s="17" t="n">
        <v>30956</v>
      </c>
      <c r="B160" s="58">
        <f>VLOOKUP(Table18[[#This Row],[Date]],database!A:G,5,)</f>
        <v/>
      </c>
      <c r="C160" s="66">
        <f>B160/B159-1</f>
        <v/>
      </c>
      <c r="D160" s="66">
        <f>(Table18[[#This Row],[Index]]-B148)/B148</f>
        <v/>
      </c>
    </row>
    <row r="161">
      <c r="A161" s="17" t="n">
        <v>30987</v>
      </c>
      <c r="B161" s="58">
        <f>VLOOKUP(Table18[[#This Row],[Date]],database!A:G,5,)</f>
        <v/>
      </c>
      <c r="C161" s="66">
        <f>B161/B160-1</f>
        <v/>
      </c>
      <c r="D161" s="66">
        <f>(Table18[[#This Row],[Index]]-B149)/B149</f>
        <v/>
      </c>
    </row>
    <row r="162">
      <c r="A162" s="17" t="n">
        <v>31017</v>
      </c>
      <c r="B162" s="58">
        <f>VLOOKUP(Table18[[#This Row],[Date]],database!A:G,5,)</f>
        <v/>
      </c>
      <c r="C162" s="66">
        <f>B162/B161-1</f>
        <v/>
      </c>
      <c r="D162" s="66">
        <f>(Table18[[#This Row],[Index]]-B150)/B150</f>
        <v/>
      </c>
    </row>
    <row r="163">
      <c r="A163" s="17" t="n">
        <v>31048</v>
      </c>
      <c r="B163" s="58">
        <f>VLOOKUP(Table18[[#This Row],[Date]],database!A:G,5,)</f>
        <v/>
      </c>
      <c r="C163" s="66">
        <f>B163/B162-1</f>
        <v/>
      </c>
      <c r="D163" s="66">
        <f>(Table18[[#This Row],[Index]]-B151)/B151</f>
        <v/>
      </c>
    </row>
    <row r="164">
      <c r="A164" s="17" t="n">
        <v>31079</v>
      </c>
      <c r="B164" s="58">
        <f>VLOOKUP(Table18[[#This Row],[Date]],database!A:G,5,)</f>
        <v/>
      </c>
      <c r="C164" s="66">
        <f>B164/B163-1</f>
        <v/>
      </c>
      <c r="D164" s="66">
        <f>(Table18[[#This Row],[Index]]-B152)/B152</f>
        <v/>
      </c>
    </row>
    <row r="165">
      <c r="A165" s="17" t="n">
        <v>31107</v>
      </c>
      <c r="B165" s="58">
        <f>VLOOKUP(Table18[[#This Row],[Date]],database!A:G,5,)</f>
        <v/>
      </c>
      <c r="C165" s="66">
        <f>B165/B164-1</f>
        <v/>
      </c>
      <c r="D165" s="66">
        <f>(Table18[[#This Row],[Index]]-B153)/B153</f>
        <v/>
      </c>
    </row>
    <row r="166">
      <c r="A166" s="17" t="n">
        <v>31138</v>
      </c>
      <c r="B166" s="58">
        <f>VLOOKUP(Table18[[#This Row],[Date]],database!A:G,5,)</f>
        <v/>
      </c>
      <c r="C166" s="66">
        <f>B166/B165-1</f>
        <v/>
      </c>
      <c r="D166" s="66">
        <f>(Table18[[#This Row],[Index]]-B154)/B154</f>
        <v/>
      </c>
    </row>
    <row r="167">
      <c r="A167" s="17" t="n">
        <v>31168</v>
      </c>
      <c r="B167" s="58">
        <f>VLOOKUP(Table18[[#This Row],[Date]],database!A:G,5,)</f>
        <v/>
      </c>
      <c r="C167" s="66">
        <f>B167/B166-1</f>
        <v/>
      </c>
      <c r="D167" s="66">
        <f>(Table18[[#This Row],[Index]]-B155)/B155</f>
        <v/>
      </c>
    </row>
    <row r="168">
      <c r="A168" s="17" t="n">
        <v>31199</v>
      </c>
      <c r="B168" s="58">
        <f>VLOOKUP(Table18[[#This Row],[Date]],database!A:G,5,)</f>
        <v/>
      </c>
      <c r="C168" s="66">
        <f>B168/B167-1</f>
        <v/>
      </c>
      <c r="D168" s="66">
        <f>(Table18[[#This Row],[Index]]-B156)/B156</f>
        <v/>
      </c>
    </row>
    <row r="169">
      <c r="A169" s="17" t="n">
        <v>31229</v>
      </c>
      <c r="B169" s="58">
        <f>VLOOKUP(Table18[[#This Row],[Date]],database!A:G,5,)</f>
        <v/>
      </c>
      <c r="C169" s="66">
        <f>B169/B168-1</f>
        <v/>
      </c>
      <c r="D169" s="66">
        <f>(Table18[[#This Row],[Index]]-B157)/B157</f>
        <v/>
      </c>
    </row>
    <row r="170">
      <c r="A170" s="17" t="n">
        <v>31260</v>
      </c>
      <c r="B170" s="58">
        <f>VLOOKUP(Table18[[#This Row],[Date]],database!A:G,5,)</f>
        <v/>
      </c>
      <c r="C170" s="66">
        <f>B170/B169-1</f>
        <v/>
      </c>
      <c r="D170" s="66">
        <f>(Table18[[#This Row],[Index]]-B158)/B158</f>
        <v/>
      </c>
    </row>
    <row r="171">
      <c r="A171" s="17" t="n">
        <v>31291</v>
      </c>
      <c r="B171" s="58">
        <f>VLOOKUP(Table18[[#This Row],[Date]],database!A:G,5,)</f>
        <v/>
      </c>
      <c r="C171" s="66">
        <f>B171/B170-1</f>
        <v/>
      </c>
      <c r="D171" s="66">
        <f>(Table18[[#This Row],[Index]]-B159)/B159</f>
        <v/>
      </c>
    </row>
    <row r="172">
      <c r="A172" s="17" t="n">
        <v>31321</v>
      </c>
      <c r="B172" s="58">
        <f>VLOOKUP(Table18[[#This Row],[Date]],database!A:G,5,)</f>
        <v/>
      </c>
      <c r="C172" s="66">
        <f>B172/B171-1</f>
        <v/>
      </c>
      <c r="D172" s="66">
        <f>(Table18[[#This Row],[Index]]-B160)/B160</f>
        <v/>
      </c>
    </row>
    <row r="173">
      <c r="A173" s="17" t="n">
        <v>31352</v>
      </c>
      <c r="B173" s="58">
        <f>VLOOKUP(Table18[[#This Row],[Date]],database!A:G,5,)</f>
        <v/>
      </c>
      <c r="C173" s="66">
        <f>B173/B172-1</f>
        <v/>
      </c>
      <c r="D173" s="66">
        <f>(Table18[[#This Row],[Index]]-B161)/B161</f>
        <v/>
      </c>
    </row>
    <row r="174">
      <c r="A174" s="17" t="n">
        <v>31382</v>
      </c>
      <c r="B174" s="58">
        <f>VLOOKUP(Table18[[#This Row],[Date]],database!A:G,5,)</f>
        <v/>
      </c>
      <c r="C174" s="66">
        <f>B174/B173-1</f>
        <v/>
      </c>
      <c r="D174" s="66">
        <f>(Table18[[#This Row],[Index]]-B162)/B162</f>
        <v/>
      </c>
    </row>
    <row r="175">
      <c r="A175" s="17" t="n">
        <v>31413</v>
      </c>
      <c r="B175" s="58">
        <f>VLOOKUP(Table18[[#This Row],[Date]],database!A:G,5,)</f>
        <v/>
      </c>
      <c r="C175" s="66">
        <f>B175/B174-1</f>
        <v/>
      </c>
      <c r="D175" s="66">
        <f>(Table18[[#This Row],[Index]]-B163)/B163</f>
        <v/>
      </c>
    </row>
    <row r="176">
      <c r="A176" s="17" t="n">
        <v>31444</v>
      </c>
      <c r="B176" s="58">
        <f>VLOOKUP(Table18[[#This Row],[Date]],database!A:G,5,)</f>
        <v/>
      </c>
      <c r="C176" s="66">
        <f>B176/B175-1</f>
        <v/>
      </c>
      <c r="D176" s="66">
        <f>(Table18[[#This Row],[Index]]-B164)/B164</f>
        <v/>
      </c>
    </row>
    <row r="177">
      <c r="A177" s="17" t="n">
        <v>31472</v>
      </c>
      <c r="B177" s="58">
        <f>VLOOKUP(Table18[[#This Row],[Date]],database!A:G,5,)</f>
        <v/>
      </c>
      <c r="C177" s="66">
        <f>B177/B176-1</f>
        <v/>
      </c>
      <c r="D177" s="66">
        <f>(Table18[[#This Row],[Index]]-B165)/B165</f>
        <v/>
      </c>
    </row>
    <row r="178">
      <c r="A178" s="17" t="n">
        <v>31503</v>
      </c>
      <c r="B178" s="58">
        <f>VLOOKUP(Table18[[#This Row],[Date]],database!A:G,5,)</f>
        <v/>
      </c>
      <c r="C178" s="66">
        <f>B178/B177-1</f>
        <v/>
      </c>
      <c r="D178" s="66">
        <f>(Table18[[#This Row],[Index]]-B166)/B166</f>
        <v/>
      </c>
    </row>
    <row r="179">
      <c r="A179" s="17" t="n">
        <v>31533</v>
      </c>
      <c r="B179" s="58">
        <f>VLOOKUP(Table18[[#This Row],[Date]],database!A:G,5,)</f>
        <v/>
      </c>
      <c r="C179" s="66">
        <f>B179/B178-1</f>
        <v/>
      </c>
      <c r="D179" s="66">
        <f>(Table18[[#This Row],[Index]]-B167)/B167</f>
        <v/>
      </c>
    </row>
    <row r="180">
      <c r="A180" s="17" t="n">
        <v>31564</v>
      </c>
      <c r="B180" s="58">
        <f>VLOOKUP(Table18[[#This Row],[Date]],database!A:G,5,)</f>
        <v/>
      </c>
      <c r="C180" s="66">
        <f>B180/B179-1</f>
        <v/>
      </c>
      <c r="D180" s="66">
        <f>(Table18[[#This Row],[Index]]-B168)/B168</f>
        <v/>
      </c>
    </row>
    <row r="181">
      <c r="A181" s="17" t="n">
        <v>31594</v>
      </c>
      <c r="B181" s="58">
        <f>VLOOKUP(Table18[[#This Row],[Date]],database!A:G,5,)</f>
        <v/>
      </c>
      <c r="C181" s="66">
        <f>B181/B180-1</f>
        <v/>
      </c>
      <c r="D181" s="66">
        <f>(Table18[[#This Row],[Index]]-B169)/B169</f>
        <v/>
      </c>
    </row>
    <row r="182">
      <c r="A182" s="17" t="n">
        <v>31625</v>
      </c>
      <c r="B182" s="58">
        <f>VLOOKUP(Table18[[#This Row],[Date]],database!A:G,5,)</f>
        <v/>
      </c>
      <c r="C182" s="66">
        <f>B182/B181-1</f>
        <v/>
      </c>
      <c r="D182" s="66">
        <f>(Table18[[#This Row],[Index]]-B170)/B170</f>
        <v/>
      </c>
    </row>
    <row r="183">
      <c r="A183" s="17" t="n">
        <v>31656</v>
      </c>
      <c r="B183" s="58">
        <f>VLOOKUP(Table18[[#This Row],[Date]],database!A:G,5,)</f>
        <v/>
      </c>
      <c r="C183" s="66">
        <f>B183/B182-1</f>
        <v/>
      </c>
      <c r="D183" s="66">
        <f>(Table18[[#This Row],[Index]]-B171)/B171</f>
        <v/>
      </c>
    </row>
    <row r="184">
      <c r="A184" s="17" t="n">
        <v>31686</v>
      </c>
      <c r="B184" s="58">
        <f>VLOOKUP(Table18[[#This Row],[Date]],database!A:G,5,)</f>
        <v/>
      </c>
      <c r="C184" s="66">
        <f>B184/B183-1</f>
        <v/>
      </c>
      <c r="D184" s="66">
        <f>(Table18[[#This Row],[Index]]-B172)/B172</f>
        <v/>
      </c>
    </row>
    <row r="185">
      <c r="A185" s="17" t="n">
        <v>31717</v>
      </c>
      <c r="B185" s="58">
        <f>VLOOKUP(Table18[[#This Row],[Date]],database!A:G,5,)</f>
        <v/>
      </c>
      <c r="C185" s="66">
        <f>B185/B184-1</f>
        <v/>
      </c>
      <c r="D185" s="66">
        <f>(Table18[[#This Row],[Index]]-B173)/B173</f>
        <v/>
      </c>
    </row>
    <row r="186">
      <c r="A186" s="17" t="n">
        <v>31747</v>
      </c>
      <c r="B186" s="58">
        <f>VLOOKUP(Table18[[#This Row],[Date]],database!A:G,5,)</f>
        <v/>
      </c>
      <c r="C186" s="66">
        <f>B186/B185-1</f>
        <v/>
      </c>
      <c r="D186" s="66">
        <f>(Table18[[#This Row],[Index]]-B174)/B174</f>
        <v/>
      </c>
    </row>
    <row r="187">
      <c r="A187" s="17" t="n">
        <v>31778</v>
      </c>
      <c r="B187" s="58">
        <f>VLOOKUP(Table18[[#This Row],[Date]],database!A:G,5,)</f>
        <v/>
      </c>
      <c r="C187" s="66">
        <f>B187/B186-1</f>
        <v/>
      </c>
      <c r="D187" s="66">
        <f>(Table18[[#This Row],[Index]]-B175)/B175</f>
        <v/>
      </c>
    </row>
    <row r="188">
      <c r="A188" s="17" t="n">
        <v>31809</v>
      </c>
      <c r="B188" s="58">
        <f>VLOOKUP(Table18[[#This Row],[Date]],database!A:G,5,)</f>
        <v/>
      </c>
      <c r="C188" s="66">
        <f>B188/B187-1</f>
        <v/>
      </c>
      <c r="D188" s="66">
        <f>(Table18[[#This Row],[Index]]-B176)/B176</f>
        <v/>
      </c>
    </row>
    <row r="189">
      <c r="A189" s="17" t="n">
        <v>31837</v>
      </c>
      <c r="B189" s="58">
        <f>VLOOKUP(Table18[[#This Row],[Date]],database!A:G,5,)</f>
        <v/>
      </c>
      <c r="C189" s="66">
        <f>B189/B188-1</f>
        <v/>
      </c>
      <c r="D189" s="66">
        <f>(Table18[[#This Row],[Index]]-B177)/B177</f>
        <v/>
      </c>
    </row>
    <row r="190">
      <c r="A190" s="17" t="n">
        <v>31868</v>
      </c>
      <c r="B190" s="58">
        <f>VLOOKUP(Table18[[#This Row],[Date]],database!A:G,5,)</f>
        <v/>
      </c>
      <c r="C190" s="66">
        <f>B190/B189-1</f>
        <v/>
      </c>
      <c r="D190" s="66">
        <f>(Table18[[#This Row],[Index]]-B178)/B178</f>
        <v/>
      </c>
    </row>
    <row r="191">
      <c r="A191" s="17" t="n">
        <v>31898</v>
      </c>
      <c r="B191" s="58">
        <f>VLOOKUP(Table18[[#This Row],[Date]],database!A:G,5,)</f>
        <v/>
      </c>
      <c r="C191" s="66">
        <f>B191/B190-1</f>
        <v/>
      </c>
      <c r="D191" s="66">
        <f>(Table18[[#This Row],[Index]]-B179)/B179</f>
        <v/>
      </c>
    </row>
    <row r="192">
      <c r="A192" s="17" t="n">
        <v>31929</v>
      </c>
      <c r="B192" s="58">
        <f>VLOOKUP(Table18[[#This Row],[Date]],database!A:G,5,)</f>
        <v/>
      </c>
      <c r="C192" s="66">
        <f>B192/B191-1</f>
        <v/>
      </c>
      <c r="D192" s="66">
        <f>(Table18[[#This Row],[Index]]-B180)/B180</f>
        <v/>
      </c>
    </row>
    <row r="193">
      <c r="A193" s="17" t="n">
        <v>31959</v>
      </c>
      <c r="B193" s="58">
        <f>VLOOKUP(Table18[[#This Row],[Date]],database!A:G,5,)</f>
        <v/>
      </c>
      <c r="C193" s="66">
        <f>B193/B192-1</f>
        <v/>
      </c>
      <c r="D193" s="66">
        <f>(Table18[[#This Row],[Index]]-B181)/B181</f>
        <v/>
      </c>
    </row>
    <row r="194">
      <c r="A194" s="17" t="n">
        <v>31990</v>
      </c>
      <c r="B194" s="58">
        <f>VLOOKUP(Table18[[#This Row],[Date]],database!A:G,5,)</f>
        <v/>
      </c>
      <c r="C194" s="66">
        <f>B194/B193-1</f>
        <v/>
      </c>
      <c r="D194" s="66">
        <f>(Table18[[#This Row],[Index]]-B182)/B182</f>
        <v/>
      </c>
    </row>
    <row r="195">
      <c r="A195" s="17" t="n">
        <v>32021</v>
      </c>
      <c r="B195" s="58">
        <f>VLOOKUP(Table18[[#This Row],[Date]],database!A:G,5,)</f>
        <v/>
      </c>
      <c r="C195" s="66">
        <f>B195/B194-1</f>
        <v/>
      </c>
      <c r="D195" s="66">
        <f>(Table18[[#This Row],[Index]]-B183)/B183</f>
        <v/>
      </c>
    </row>
    <row r="196">
      <c r="A196" s="17" t="n">
        <v>32051</v>
      </c>
      <c r="B196" s="58">
        <f>VLOOKUP(Table18[[#This Row],[Date]],database!A:G,5,)</f>
        <v/>
      </c>
      <c r="C196" s="66">
        <f>B196/B195-1</f>
        <v/>
      </c>
      <c r="D196" s="66">
        <f>(Table18[[#This Row],[Index]]-B184)/B184</f>
        <v/>
      </c>
    </row>
    <row r="197">
      <c r="A197" s="17" t="n">
        <v>32082</v>
      </c>
      <c r="B197" s="58">
        <f>VLOOKUP(Table18[[#This Row],[Date]],database!A:G,5,)</f>
        <v/>
      </c>
      <c r="C197" s="66">
        <f>B197/B196-1</f>
        <v/>
      </c>
      <c r="D197" s="66">
        <f>(Table18[[#This Row],[Index]]-B185)/B185</f>
        <v/>
      </c>
    </row>
    <row r="198">
      <c r="A198" s="17" t="n">
        <v>32112</v>
      </c>
      <c r="B198" s="58">
        <f>VLOOKUP(Table18[[#This Row],[Date]],database!A:G,5,)</f>
        <v/>
      </c>
      <c r="C198" s="66">
        <f>B198/B197-1</f>
        <v/>
      </c>
      <c r="D198" s="66">
        <f>(Table18[[#This Row],[Index]]-B186)/B186</f>
        <v/>
      </c>
    </row>
    <row r="199">
      <c r="A199" s="17" t="n">
        <v>32143</v>
      </c>
      <c r="B199" s="58">
        <f>VLOOKUP(Table18[[#This Row],[Date]],database!A:G,5,)</f>
        <v/>
      </c>
      <c r="C199" s="66">
        <f>B199/B198-1</f>
        <v/>
      </c>
      <c r="D199" s="66">
        <f>(Table18[[#This Row],[Index]]-B187)/B187</f>
        <v/>
      </c>
    </row>
    <row r="200">
      <c r="A200" s="17" t="n">
        <v>32174</v>
      </c>
      <c r="B200" s="58">
        <f>VLOOKUP(Table18[[#This Row],[Date]],database!A:G,5,)</f>
        <v/>
      </c>
      <c r="C200" s="66">
        <f>B200/B199-1</f>
        <v/>
      </c>
      <c r="D200" s="66">
        <f>(Table18[[#This Row],[Index]]-B188)/B188</f>
        <v/>
      </c>
    </row>
    <row r="201">
      <c r="A201" s="17" t="n">
        <v>32203</v>
      </c>
      <c r="B201" s="58">
        <f>VLOOKUP(Table18[[#This Row],[Date]],database!A:G,5,)</f>
        <v/>
      </c>
      <c r="C201" s="66">
        <f>B201/B200-1</f>
        <v/>
      </c>
      <c r="D201" s="66">
        <f>(Table18[[#This Row],[Index]]-B189)/B189</f>
        <v/>
      </c>
    </row>
    <row r="202">
      <c r="A202" s="17" t="n">
        <v>32234</v>
      </c>
      <c r="B202" s="58">
        <f>VLOOKUP(Table18[[#This Row],[Date]],database!A:G,5,)</f>
        <v/>
      </c>
      <c r="C202" s="66">
        <f>B202/B201-1</f>
        <v/>
      </c>
      <c r="D202" s="66">
        <f>(Table18[[#This Row],[Index]]-B190)/B190</f>
        <v/>
      </c>
    </row>
    <row r="203">
      <c r="A203" s="17" t="n">
        <v>32264</v>
      </c>
      <c r="B203" s="58">
        <f>VLOOKUP(Table18[[#This Row],[Date]],database!A:G,5,)</f>
        <v/>
      </c>
      <c r="C203" s="66">
        <f>B203/B202-1</f>
        <v/>
      </c>
      <c r="D203" s="66">
        <f>(Table18[[#This Row],[Index]]-B191)/B191</f>
        <v/>
      </c>
    </row>
    <row r="204">
      <c r="A204" s="17" t="n">
        <v>32295</v>
      </c>
      <c r="B204" s="58">
        <f>VLOOKUP(Table18[[#This Row],[Date]],database!A:G,5,)</f>
        <v/>
      </c>
      <c r="C204" s="66">
        <f>B204/B203-1</f>
        <v/>
      </c>
      <c r="D204" s="66">
        <f>(Table18[[#This Row],[Index]]-B192)/B192</f>
        <v/>
      </c>
    </row>
    <row r="205">
      <c r="A205" s="17" t="n">
        <v>32325</v>
      </c>
      <c r="B205" s="58">
        <f>VLOOKUP(Table18[[#This Row],[Date]],database!A:G,5,)</f>
        <v/>
      </c>
      <c r="C205" s="66">
        <f>B205/B204-1</f>
        <v/>
      </c>
      <c r="D205" s="66">
        <f>(Table18[[#This Row],[Index]]-B193)/B193</f>
        <v/>
      </c>
    </row>
    <row r="206">
      <c r="A206" s="17" t="n">
        <v>32356</v>
      </c>
      <c r="B206" s="58">
        <f>VLOOKUP(Table18[[#This Row],[Date]],database!A:G,5,)</f>
        <v/>
      </c>
      <c r="C206" s="66">
        <f>B206/B205-1</f>
        <v/>
      </c>
      <c r="D206" s="66">
        <f>(Table18[[#This Row],[Index]]-B194)/B194</f>
        <v/>
      </c>
    </row>
    <row r="207">
      <c r="A207" s="17" t="n">
        <v>32387</v>
      </c>
      <c r="B207" s="58">
        <f>VLOOKUP(Table18[[#This Row],[Date]],database!A:G,5,)</f>
        <v/>
      </c>
      <c r="C207" s="66">
        <f>B207/B206-1</f>
        <v/>
      </c>
      <c r="D207" s="66">
        <f>(Table18[[#This Row],[Index]]-B195)/B195</f>
        <v/>
      </c>
    </row>
    <row r="208">
      <c r="A208" s="17" t="n">
        <v>32417</v>
      </c>
      <c r="B208" s="58">
        <f>VLOOKUP(Table18[[#This Row],[Date]],database!A:G,5,)</f>
        <v/>
      </c>
      <c r="C208" s="66">
        <f>B208/B207-1</f>
        <v/>
      </c>
      <c r="D208" s="66">
        <f>(Table18[[#This Row],[Index]]-B196)/B196</f>
        <v/>
      </c>
    </row>
    <row r="209">
      <c r="A209" s="17" t="n">
        <v>32448</v>
      </c>
      <c r="B209" s="58">
        <f>VLOOKUP(Table18[[#This Row],[Date]],database!A:G,5,)</f>
        <v/>
      </c>
      <c r="C209" s="66">
        <f>B209/B208-1</f>
        <v/>
      </c>
      <c r="D209" s="66">
        <f>(Table18[[#This Row],[Index]]-B197)/B197</f>
        <v/>
      </c>
    </row>
    <row r="210">
      <c r="A210" s="17" t="n">
        <v>32478</v>
      </c>
      <c r="B210" s="58">
        <f>VLOOKUP(Table18[[#This Row],[Date]],database!A:G,5,)</f>
        <v/>
      </c>
      <c r="C210" s="66">
        <f>B210/B209-1</f>
        <v/>
      </c>
      <c r="D210" s="66">
        <f>(Table18[[#This Row],[Index]]-B198)/B198</f>
        <v/>
      </c>
    </row>
    <row r="211">
      <c r="A211" s="17" t="n">
        <v>32509</v>
      </c>
      <c r="B211" s="58">
        <f>VLOOKUP(Table18[[#This Row],[Date]],database!A:G,5,)</f>
        <v/>
      </c>
      <c r="C211" s="66">
        <f>B211/B210-1</f>
        <v/>
      </c>
      <c r="D211" s="66">
        <f>(Table18[[#This Row],[Index]]-B199)/B199</f>
        <v/>
      </c>
    </row>
    <row r="212">
      <c r="A212" s="17" t="n">
        <v>32540</v>
      </c>
      <c r="B212" s="58">
        <f>VLOOKUP(Table18[[#This Row],[Date]],database!A:G,5,)</f>
        <v/>
      </c>
      <c r="C212" s="66">
        <f>B212/B211-1</f>
        <v/>
      </c>
      <c r="D212" s="66">
        <f>(Table18[[#This Row],[Index]]-B200)/B200</f>
        <v/>
      </c>
    </row>
    <row r="213">
      <c r="A213" s="17" t="n">
        <v>32568</v>
      </c>
      <c r="B213" s="58">
        <f>VLOOKUP(Table18[[#This Row],[Date]],database!A:G,5,)</f>
        <v/>
      </c>
      <c r="C213" s="66">
        <f>B213/B212-1</f>
        <v/>
      </c>
      <c r="D213" s="66">
        <f>(Table18[[#This Row],[Index]]-B201)/B201</f>
        <v/>
      </c>
    </row>
    <row r="214">
      <c r="A214" s="17" t="n">
        <v>32599</v>
      </c>
      <c r="B214" s="58">
        <f>VLOOKUP(Table18[[#This Row],[Date]],database!A:G,5,)</f>
        <v/>
      </c>
      <c r="C214" s="66">
        <f>B214/B213-1</f>
        <v/>
      </c>
      <c r="D214" s="66">
        <f>(Table18[[#This Row],[Index]]-B202)/B202</f>
        <v/>
      </c>
    </row>
    <row r="215">
      <c r="A215" s="17" t="n">
        <v>32629</v>
      </c>
      <c r="B215" s="58">
        <f>VLOOKUP(Table18[[#This Row],[Date]],database!A:G,5,)</f>
        <v/>
      </c>
      <c r="C215" s="66">
        <f>B215/B214-1</f>
        <v/>
      </c>
      <c r="D215" s="66">
        <f>(Table18[[#This Row],[Index]]-B203)/B203</f>
        <v/>
      </c>
    </row>
    <row r="216">
      <c r="A216" s="17" t="n">
        <v>32660</v>
      </c>
      <c r="B216" s="58">
        <f>VLOOKUP(Table18[[#This Row],[Date]],database!A:G,5,)</f>
        <v/>
      </c>
      <c r="C216" s="66">
        <f>B216/B215-1</f>
        <v/>
      </c>
      <c r="D216" s="66">
        <f>(Table18[[#This Row],[Index]]-B204)/B204</f>
        <v/>
      </c>
    </row>
    <row r="217">
      <c r="A217" s="17" t="n">
        <v>32690</v>
      </c>
      <c r="B217" s="58">
        <f>VLOOKUP(Table18[[#This Row],[Date]],database!A:G,5,)</f>
        <v/>
      </c>
      <c r="C217" s="66">
        <f>B217/B216-1</f>
        <v/>
      </c>
      <c r="D217" s="66">
        <f>(Table18[[#This Row],[Index]]-B205)/B205</f>
        <v/>
      </c>
    </row>
    <row r="218">
      <c r="A218" s="17" t="n">
        <v>32721</v>
      </c>
      <c r="B218" s="58">
        <f>VLOOKUP(Table18[[#This Row],[Date]],database!A:G,5,)</f>
        <v/>
      </c>
      <c r="C218" s="66">
        <f>B218/B217-1</f>
        <v/>
      </c>
      <c r="D218" s="66">
        <f>(Table18[[#This Row],[Index]]-B206)/B206</f>
        <v/>
      </c>
    </row>
    <row r="219">
      <c r="A219" s="17" t="n">
        <v>32752</v>
      </c>
      <c r="B219" s="58">
        <f>VLOOKUP(Table18[[#This Row],[Date]],database!A:G,5,)</f>
        <v/>
      </c>
      <c r="C219" s="66">
        <f>B219/B218-1</f>
        <v/>
      </c>
      <c r="D219" s="66">
        <f>(Table18[[#This Row],[Index]]-B207)/B207</f>
        <v/>
      </c>
    </row>
    <row r="220">
      <c r="A220" s="17" t="n">
        <v>32782</v>
      </c>
      <c r="B220" s="58">
        <f>VLOOKUP(Table18[[#This Row],[Date]],database!A:G,5,)</f>
        <v/>
      </c>
      <c r="C220" s="66">
        <f>B220/B219-1</f>
        <v/>
      </c>
      <c r="D220" s="66">
        <f>(Table18[[#This Row],[Index]]-B208)/B208</f>
        <v/>
      </c>
    </row>
    <row r="221">
      <c r="A221" s="17" t="n">
        <v>32813</v>
      </c>
      <c r="B221" s="58">
        <f>VLOOKUP(Table18[[#This Row],[Date]],database!A:G,5,)</f>
        <v/>
      </c>
      <c r="C221" s="66">
        <f>B221/B220-1</f>
        <v/>
      </c>
      <c r="D221" s="66">
        <f>(Table18[[#This Row],[Index]]-B209)/B209</f>
        <v/>
      </c>
    </row>
    <row r="222">
      <c r="A222" s="17" t="n">
        <v>32843</v>
      </c>
      <c r="B222" s="58">
        <f>VLOOKUP(Table18[[#This Row],[Date]],database!A:G,5,)</f>
        <v/>
      </c>
      <c r="C222" s="66">
        <f>B222/B221-1</f>
        <v/>
      </c>
      <c r="D222" s="66">
        <f>(Table18[[#This Row],[Index]]-B210)/B210</f>
        <v/>
      </c>
    </row>
    <row r="223">
      <c r="A223" s="17" t="n">
        <v>32874</v>
      </c>
      <c r="B223" s="58">
        <f>VLOOKUP(Table18[[#This Row],[Date]],database!A:G,5,)</f>
        <v/>
      </c>
      <c r="C223" s="66">
        <f>B223/B222-1</f>
        <v/>
      </c>
      <c r="D223" s="66">
        <f>(Table18[[#This Row],[Index]]-B211)/B211</f>
        <v/>
      </c>
    </row>
    <row r="224">
      <c r="A224" s="17" t="n">
        <v>32905</v>
      </c>
      <c r="B224" s="58">
        <f>VLOOKUP(Table18[[#This Row],[Date]],database!A:G,5,)</f>
        <v/>
      </c>
      <c r="C224" s="66">
        <f>B224/B223-1</f>
        <v/>
      </c>
      <c r="D224" s="66">
        <f>(Table18[[#This Row],[Index]]-B212)/B212</f>
        <v/>
      </c>
    </row>
    <row r="225">
      <c r="A225" s="17" t="n">
        <v>32933</v>
      </c>
      <c r="B225" s="58">
        <f>VLOOKUP(Table18[[#This Row],[Date]],database!A:G,5,)</f>
        <v/>
      </c>
      <c r="C225" s="66">
        <f>B225/B224-1</f>
        <v/>
      </c>
      <c r="D225" s="66">
        <f>(Table18[[#This Row],[Index]]-B213)/B213</f>
        <v/>
      </c>
    </row>
    <row r="226">
      <c r="A226" s="17" t="n">
        <v>32964</v>
      </c>
      <c r="B226" s="58">
        <f>VLOOKUP(Table18[[#This Row],[Date]],database!A:G,5,)</f>
        <v/>
      </c>
      <c r="C226" s="66">
        <f>B226/B225-1</f>
        <v/>
      </c>
      <c r="D226" s="66">
        <f>(Table18[[#This Row],[Index]]-B214)/B214</f>
        <v/>
      </c>
    </row>
    <row r="227">
      <c r="A227" s="17" t="n">
        <v>32994</v>
      </c>
      <c r="B227" s="58">
        <f>VLOOKUP(Table18[[#This Row],[Date]],database!A:G,5,)</f>
        <v/>
      </c>
      <c r="C227" s="66">
        <f>B227/B226-1</f>
        <v/>
      </c>
      <c r="D227" s="66">
        <f>(Table18[[#This Row],[Index]]-B215)/B215</f>
        <v/>
      </c>
    </row>
    <row r="228">
      <c r="A228" s="17" t="n">
        <v>33025</v>
      </c>
      <c r="B228" s="58">
        <f>VLOOKUP(Table18[[#This Row],[Date]],database!A:G,5,)</f>
        <v/>
      </c>
      <c r="C228" s="66">
        <f>B228/B227-1</f>
        <v/>
      </c>
      <c r="D228" s="66">
        <f>(Table18[[#This Row],[Index]]-B216)/B216</f>
        <v/>
      </c>
    </row>
    <row r="229">
      <c r="A229" s="17" t="n">
        <v>33055</v>
      </c>
      <c r="B229" s="58">
        <f>VLOOKUP(Table18[[#This Row],[Date]],database!A:G,5,)</f>
        <v/>
      </c>
      <c r="C229" s="66">
        <f>B229/B228-1</f>
        <v/>
      </c>
      <c r="D229" s="66">
        <f>(Table18[[#This Row],[Index]]-B217)/B217</f>
        <v/>
      </c>
    </row>
    <row r="230">
      <c r="A230" s="17" t="n">
        <v>33086</v>
      </c>
      <c r="B230" s="58">
        <f>VLOOKUP(Table18[[#This Row],[Date]],database!A:G,5,)</f>
        <v/>
      </c>
      <c r="C230" s="66">
        <f>B230/B229-1</f>
        <v/>
      </c>
      <c r="D230" s="66">
        <f>(Table18[[#This Row],[Index]]-B218)/B218</f>
        <v/>
      </c>
    </row>
    <row r="231">
      <c r="A231" s="17" t="n">
        <v>33117</v>
      </c>
      <c r="B231" s="58">
        <f>VLOOKUP(Table18[[#This Row],[Date]],database!A:G,5,)</f>
        <v/>
      </c>
      <c r="C231" s="66">
        <f>B231/B230-1</f>
        <v/>
      </c>
      <c r="D231" s="66">
        <f>(Table18[[#This Row],[Index]]-B219)/B219</f>
        <v/>
      </c>
    </row>
    <row r="232">
      <c r="A232" s="17" t="n">
        <v>33147</v>
      </c>
      <c r="B232" s="58">
        <f>VLOOKUP(Table18[[#This Row],[Date]],database!A:G,5,)</f>
        <v/>
      </c>
      <c r="C232" s="66">
        <f>B232/B231-1</f>
        <v/>
      </c>
      <c r="D232" s="66">
        <f>(Table18[[#This Row],[Index]]-B220)/B220</f>
        <v/>
      </c>
    </row>
    <row r="233">
      <c r="A233" s="17" t="n">
        <v>33178</v>
      </c>
      <c r="B233" s="58">
        <f>VLOOKUP(Table18[[#This Row],[Date]],database!A:G,5,)</f>
        <v/>
      </c>
      <c r="C233" s="66">
        <f>B233/B232-1</f>
        <v/>
      </c>
      <c r="D233" s="66">
        <f>(Table18[[#This Row],[Index]]-B221)/B221</f>
        <v/>
      </c>
    </row>
    <row r="234">
      <c r="A234" s="17" t="n">
        <v>33208</v>
      </c>
      <c r="B234" s="58">
        <f>VLOOKUP(Table18[[#This Row],[Date]],database!A:G,5,)</f>
        <v/>
      </c>
      <c r="C234" s="66">
        <f>B234/B233-1</f>
        <v/>
      </c>
      <c r="D234" s="66">
        <f>(Table18[[#This Row],[Index]]-B222)/B222</f>
        <v/>
      </c>
    </row>
    <row r="235">
      <c r="A235" s="17" t="n">
        <v>33239</v>
      </c>
      <c r="B235" s="58">
        <f>VLOOKUP(Table18[[#This Row],[Date]],database!A:G,5,)</f>
        <v/>
      </c>
      <c r="C235" s="66">
        <f>B235/B234-1</f>
        <v/>
      </c>
      <c r="D235" s="66">
        <f>(Table18[[#This Row],[Index]]-B223)/B223</f>
        <v/>
      </c>
    </row>
    <row r="236">
      <c r="A236" s="17" t="n">
        <v>33270</v>
      </c>
      <c r="B236" s="58">
        <f>VLOOKUP(Table18[[#This Row],[Date]],database!A:G,5,)</f>
        <v/>
      </c>
      <c r="C236" s="66">
        <f>B236/B235-1</f>
        <v/>
      </c>
      <c r="D236" s="66">
        <f>(Table18[[#This Row],[Index]]-B224)/B224</f>
        <v/>
      </c>
    </row>
    <row r="237">
      <c r="A237" s="17" t="n">
        <v>33298</v>
      </c>
      <c r="B237" s="58">
        <f>VLOOKUP(Table18[[#This Row],[Date]],database!A:G,5,)</f>
        <v/>
      </c>
      <c r="C237" s="66">
        <f>B237/B236-1</f>
        <v/>
      </c>
      <c r="D237" s="66">
        <f>(Table18[[#This Row],[Index]]-B225)/B225</f>
        <v/>
      </c>
    </row>
    <row r="238">
      <c r="A238" s="17" t="n">
        <v>33329</v>
      </c>
      <c r="B238" s="58">
        <f>VLOOKUP(Table18[[#This Row],[Date]],database!A:G,5,)</f>
        <v/>
      </c>
      <c r="C238" s="66">
        <f>B238/B237-1</f>
        <v/>
      </c>
      <c r="D238" s="66">
        <f>(Table18[[#This Row],[Index]]-B226)/B226</f>
        <v/>
      </c>
    </row>
    <row r="239">
      <c r="A239" s="17" t="n">
        <v>33359</v>
      </c>
      <c r="B239" s="58">
        <f>VLOOKUP(Table18[[#This Row],[Date]],database!A:G,5,)</f>
        <v/>
      </c>
      <c r="C239" s="66">
        <f>B239/B238-1</f>
        <v/>
      </c>
      <c r="D239" s="66">
        <f>(Table18[[#This Row],[Index]]-B227)/B227</f>
        <v/>
      </c>
    </row>
    <row r="240">
      <c r="A240" s="17" t="n">
        <v>33390</v>
      </c>
      <c r="B240" s="58">
        <f>VLOOKUP(Table18[[#This Row],[Date]],database!A:G,5,)</f>
        <v/>
      </c>
      <c r="C240" s="66">
        <f>B240/B239-1</f>
        <v/>
      </c>
      <c r="D240" s="66">
        <f>(Table18[[#This Row],[Index]]-B228)/B228</f>
        <v/>
      </c>
    </row>
    <row r="241">
      <c r="A241" s="17" t="n">
        <v>33420</v>
      </c>
      <c r="B241" s="58">
        <f>VLOOKUP(Table18[[#This Row],[Date]],database!A:G,5,)</f>
        <v/>
      </c>
      <c r="C241" s="66">
        <f>B241/B240-1</f>
        <v/>
      </c>
      <c r="D241" s="66">
        <f>(Table18[[#This Row],[Index]]-B229)/B229</f>
        <v/>
      </c>
    </row>
    <row r="242">
      <c r="A242" s="17" t="n">
        <v>33451</v>
      </c>
      <c r="B242" s="58">
        <f>VLOOKUP(Table18[[#This Row],[Date]],database!A:G,5,)</f>
        <v/>
      </c>
      <c r="C242" s="66">
        <f>B242/B241-1</f>
        <v/>
      </c>
      <c r="D242" s="66">
        <f>(Table18[[#This Row],[Index]]-B230)/B230</f>
        <v/>
      </c>
    </row>
    <row r="243">
      <c r="A243" s="17" t="n">
        <v>33482</v>
      </c>
      <c r="B243" s="58">
        <f>VLOOKUP(Table18[[#This Row],[Date]],database!A:G,5,)</f>
        <v/>
      </c>
      <c r="C243" s="66">
        <f>B243/B242-1</f>
        <v/>
      </c>
      <c r="D243" s="66">
        <f>(Table18[[#This Row],[Index]]-B231)/B231</f>
        <v/>
      </c>
    </row>
    <row r="244">
      <c r="A244" s="17" t="n">
        <v>33512</v>
      </c>
      <c r="B244" s="58">
        <f>VLOOKUP(Table18[[#This Row],[Date]],database!A:G,5,)</f>
        <v/>
      </c>
      <c r="C244" s="66">
        <f>B244/B243-1</f>
        <v/>
      </c>
      <c r="D244" s="66">
        <f>(Table18[[#This Row],[Index]]-B232)/B232</f>
        <v/>
      </c>
    </row>
    <row r="245">
      <c r="A245" s="17" t="n">
        <v>33543</v>
      </c>
      <c r="B245" s="58">
        <f>VLOOKUP(Table18[[#This Row],[Date]],database!A:G,5,)</f>
        <v/>
      </c>
      <c r="C245" s="66">
        <f>B245/B244-1</f>
        <v/>
      </c>
      <c r="D245" s="66">
        <f>(Table18[[#This Row],[Index]]-B233)/B233</f>
        <v/>
      </c>
    </row>
    <row r="246">
      <c r="A246" s="17" t="n">
        <v>33573</v>
      </c>
      <c r="B246" s="58">
        <f>VLOOKUP(Table18[[#This Row],[Date]],database!A:G,5,)</f>
        <v/>
      </c>
      <c r="C246" s="66">
        <f>B246/B245-1</f>
        <v/>
      </c>
      <c r="D246" s="66">
        <f>(Table18[[#This Row],[Index]]-B234)/B234</f>
        <v/>
      </c>
    </row>
    <row r="247">
      <c r="A247" s="17" t="n">
        <v>33604</v>
      </c>
      <c r="B247" s="58">
        <f>VLOOKUP(Table18[[#This Row],[Date]],database!A:G,5,)</f>
        <v/>
      </c>
      <c r="C247" s="66">
        <f>B247/B246-1</f>
        <v/>
      </c>
      <c r="D247" s="66">
        <f>(Table18[[#This Row],[Index]]-B235)/B235</f>
        <v/>
      </c>
    </row>
    <row r="248">
      <c r="A248" s="17" t="n">
        <v>33635</v>
      </c>
      <c r="B248" s="58">
        <f>VLOOKUP(Table18[[#This Row],[Date]],database!A:G,5,)</f>
        <v/>
      </c>
      <c r="C248" s="66">
        <f>B248/B247-1</f>
        <v/>
      </c>
      <c r="D248" s="66">
        <f>(Table18[[#This Row],[Index]]-B236)/B236</f>
        <v/>
      </c>
    </row>
    <row r="249">
      <c r="A249" s="17" t="n">
        <v>33664</v>
      </c>
      <c r="B249" s="58">
        <f>VLOOKUP(Table18[[#This Row],[Date]],database!A:G,5,)</f>
        <v/>
      </c>
      <c r="C249" s="66">
        <f>B249/B248-1</f>
        <v/>
      </c>
      <c r="D249" s="66">
        <f>(Table18[[#This Row],[Index]]-B237)/B237</f>
        <v/>
      </c>
    </row>
    <row r="250">
      <c r="A250" s="17" t="n">
        <v>33695</v>
      </c>
      <c r="B250" s="58">
        <f>VLOOKUP(Table18[[#This Row],[Date]],database!A:G,5,)</f>
        <v/>
      </c>
      <c r="C250" s="66">
        <f>B250/B249-1</f>
        <v/>
      </c>
      <c r="D250" s="66">
        <f>(Table18[[#This Row],[Index]]-B238)/B238</f>
        <v/>
      </c>
    </row>
    <row r="251">
      <c r="A251" s="17" t="n">
        <v>33725</v>
      </c>
      <c r="B251" s="58">
        <f>VLOOKUP(Table18[[#This Row],[Date]],database!A:G,5,)</f>
        <v/>
      </c>
      <c r="C251" s="66">
        <f>B251/B250-1</f>
        <v/>
      </c>
      <c r="D251" s="66">
        <f>(Table18[[#This Row],[Index]]-B239)/B239</f>
        <v/>
      </c>
    </row>
    <row r="252">
      <c r="A252" s="17" t="n">
        <v>33756</v>
      </c>
      <c r="B252" s="58">
        <f>VLOOKUP(Table18[[#This Row],[Date]],database!A:G,5,)</f>
        <v/>
      </c>
      <c r="C252" s="66">
        <f>B252/B251-1</f>
        <v/>
      </c>
      <c r="D252" s="66">
        <f>(Table18[[#This Row],[Index]]-B240)/B240</f>
        <v/>
      </c>
    </row>
    <row r="253">
      <c r="A253" s="17" t="n">
        <v>33786</v>
      </c>
      <c r="B253" s="58">
        <f>VLOOKUP(Table18[[#This Row],[Date]],database!A:G,5,)</f>
        <v/>
      </c>
      <c r="C253" s="66">
        <f>B253/B252-1</f>
        <v/>
      </c>
      <c r="D253" s="66">
        <f>(Table18[[#This Row],[Index]]-B241)/B241</f>
        <v/>
      </c>
    </row>
    <row r="254">
      <c r="A254" s="17" t="n">
        <v>33817</v>
      </c>
      <c r="B254" s="58">
        <f>VLOOKUP(Table18[[#This Row],[Date]],database!A:G,5,)</f>
        <v/>
      </c>
      <c r="C254" s="66">
        <f>B254/B253-1</f>
        <v/>
      </c>
      <c r="D254" s="66">
        <f>(Table18[[#This Row],[Index]]-B242)/B242</f>
        <v/>
      </c>
    </row>
    <row r="255">
      <c r="A255" s="17" t="n">
        <v>33848</v>
      </c>
      <c r="B255" s="58">
        <f>VLOOKUP(Table18[[#This Row],[Date]],database!A:G,5,)</f>
        <v/>
      </c>
      <c r="C255" s="66">
        <f>B255/B254-1</f>
        <v/>
      </c>
      <c r="D255" s="66">
        <f>(Table18[[#This Row],[Index]]-B243)/B243</f>
        <v/>
      </c>
    </row>
    <row r="256">
      <c r="A256" s="17" t="n">
        <v>33878</v>
      </c>
      <c r="B256" s="58">
        <f>VLOOKUP(Table18[[#This Row],[Date]],database!A:G,5,)</f>
        <v/>
      </c>
      <c r="C256" s="66">
        <f>B256/B255-1</f>
        <v/>
      </c>
      <c r="D256" s="66">
        <f>(Table18[[#This Row],[Index]]-B244)/B244</f>
        <v/>
      </c>
    </row>
    <row r="257">
      <c r="A257" s="17" t="n">
        <v>33909</v>
      </c>
      <c r="B257" s="58">
        <f>VLOOKUP(Table18[[#This Row],[Date]],database!A:G,5,)</f>
        <v/>
      </c>
      <c r="C257" s="66">
        <f>B257/B256-1</f>
        <v/>
      </c>
      <c r="D257" s="66">
        <f>(Table18[[#This Row],[Index]]-B245)/B245</f>
        <v/>
      </c>
    </row>
    <row r="258">
      <c r="A258" s="17" t="n">
        <v>33939</v>
      </c>
      <c r="B258" s="58">
        <f>VLOOKUP(Table18[[#This Row],[Date]],database!A:G,5,)</f>
        <v/>
      </c>
      <c r="C258" s="66">
        <f>B258/B257-1</f>
        <v/>
      </c>
      <c r="D258" s="66">
        <f>(Table18[[#This Row],[Index]]-B246)/B246</f>
        <v/>
      </c>
    </row>
    <row r="259">
      <c r="A259" s="17" t="n">
        <v>33970</v>
      </c>
      <c r="B259" s="58">
        <f>VLOOKUP(Table18[[#This Row],[Date]],database!A:G,5,)</f>
        <v/>
      </c>
      <c r="C259" s="66">
        <f>B259/B258-1</f>
        <v/>
      </c>
      <c r="D259" s="66">
        <f>(Table18[[#This Row],[Index]]-B247)/B247</f>
        <v/>
      </c>
    </row>
    <row r="260">
      <c r="A260" s="17" t="n">
        <v>34001</v>
      </c>
      <c r="B260" s="58">
        <f>VLOOKUP(Table18[[#This Row],[Date]],database!A:G,5,)</f>
        <v/>
      </c>
      <c r="C260" s="66">
        <f>B260/B259-1</f>
        <v/>
      </c>
      <c r="D260" s="66">
        <f>(Table18[[#This Row],[Index]]-B248)/B248</f>
        <v/>
      </c>
    </row>
    <row r="261">
      <c r="A261" s="17" t="n">
        <v>34029</v>
      </c>
      <c r="B261" s="58">
        <f>VLOOKUP(Table18[[#This Row],[Date]],database!A:G,5,)</f>
        <v/>
      </c>
      <c r="C261" s="66">
        <f>B261/B260-1</f>
        <v/>
      </c>
      <c r="D261" s="66">
        <f>(Table18[[#This Row],[Index]]-B249)/B249</f>
        <v/>
      </c>
    </row>
    <row r="262">
      <c r="A262" s="17" t="n">
        <v>34060</v>
      </c>
      <c r="B262" s="58">
        <f>VLOOKUP(Table18[[#This Row],[Date]],database!A:G,5,)</f>
        <v/>
      </c>
      <c r="C262" s="66">
        <f>B262/B261-1</f>
        <v/>
      </c>
      <c r="D262" s="66">
        <f>(Table18[[#This Row],[Index]]-B250)/B250</f>
        <v/>
      </c>
    </row>
    <row r="263">
      <c r="A263" s="17" t="n">
        <v>34090</v>
      </c>
      <c r="B263" s="58">
        <f>VLOOKUP(Table18[[#This Row],[Date]],database!A:G,5,)</f>
        <v/>
      </c>
      <c r="C263" s="66">
        <f>B263/B262-1</f>
        <v/>
      </c>
      <c r="D263" s="66">
        <f>(Table18[[#This Row],[Index]]-B251)/B251</f>
        <v/>
      </c>
    </row>
    <row r="264">
      <c r="A264" s="17" t="n">
        <v>34121</v>
      </c>
      <c r="B264" s="58">
        <f>VLOOKUP(Table18[[#This Row],[Date]],database!A:G,5,)</f>
        <v/>
      </c>
      <c r="C264" s="66">
        <f>B264/B263-1</f>
        <v/>
      </c>
      <c r="D264" s="66">
        <f>(Table18[[#This Row],[Index]]-B252)/B252</f>
        <v/>
      </c>
    </row>
    <row r="265">
      <c r="A265" s="17" t="n">
        <v>34151</v>
      </c>
      <c r="B265" s="58">
        <f>VLOOKUP(Table18[[#This Row],[Date]],database!A:G,5,)</f>
        <v/>
      </c>
      <c r="C265" s="66">
        <f>B265/B264-1</f>
        <v/>
      </c>
      <c r="D265" s="66">
        <f>(Table18[[#This Row],[Index]]-B253)/B253</f>
        <v/>
      </c>
    </row>
    <row r="266">
      <c r="A266" s="17" t="n">
        <v>34182</v>
      </c>
      <c r="B266" s="58">
        <f>VLOOKUP(Table18[[#This Row],[Date]],database!A:G,5,)</f>
        <v/>
      </c>
      <c r="C266" s="66">
        <f>B266/B265-1</f>
        <v/>
      </c>
      <c r="D266" s="66">
        <f>(Table18[[#This Row],[Index]]-B254)/B254</f>
        <v/>
      </c>
    </row>
    <row r="267">
      <c r="A267" s="17" t="n">
        <v>34213</v>
      </c>
      <c r="B267" s="58">
        <f>VLOOKUP(Table18[[#This Row],[Date]],database!A:G,5,)</f>
        <v/>
      </c>
      <c r="C267" s="66">
        <f>B267/B266-1</f>
        <v/>
      </c>
      <c r="D267" s="66">
        <f>(Table18[[#This Row],[Index]]-B255)/B255</f>
        <v/>
      </c>
    </row>
    <row r="268">
      <c r="A268" s="17" t="n">
        <v>34243</v>
      </c>
      <c r="B268" s="58">
        <f>VLOOKUP(Table18[[#This Row],[Date]],database!A:G,5,)</f>
        <v/>
      </c>
      <c r="C268" s="66">
        <f>B268/B267-1</f>
        <v/>
      </c>
      <c r="D268" s="66">
        <f>(Table18[[#This Row],[Index]]-B256)/B256</f>
        <v/>
      </c>
    </row>
    <row r="269">
      <c r="A269" s="17" t="n">
        <v>34274</v>
      </c>
      <c r="B269" s="58">
        <f>VLOOKUP(Table18[[#This Row],[Date]],database!A:G,5,)</f>
        <v/>
      </c>
      <c r="C269" s="66">
        <f>B269/B268-1</f>
        <v/>
      </c>
      <c r="D269" s="66">
        <f>(Table18[[#This Row],[Index]]-B257)/B257</f>
        <v/>
      </c>
    </row>
    <row r="270">
      <c r="A270" s="17" t="n">
        <v>34304</v>
      </c>
      <c r="B270" s="58">
        <f>VLOOKUP(Table18[[#This Row],[Date]],database!A:G,5,)</f>
        <v/>
      </c>
      <c r="C270" s="66">
        <f>B270/B269-1</f>
        <v/>
      </c>
      <c r="D270" s="66">
        <f>(Table18[[#This Row],[Index]]-B258)/B258</f>
        <v/>
      </c>
    </row>
    <row r="271">
      <c r="A271" s="17" t="n">
        <v>34335</v>
      </c>
      <c r="B271" s="58">
        <f>VLOOKUP(Table18[[#This Row],[Date]],database!A:G,5,)</f>
        <v/>
      </c>
      <c r="C271" s="66">
        <f>B271/B270-1</f>
        <v/>
      </c>
      <c r="D271" s="66">
        <f>(Table18[[#This Row],[Index]]-B259)/B259</f>
        <v/>
      </c>
    </row>
    <row r="272">
      <c r="A272" s="17" t="n">
        <v>34366</v>
      </c>
      <c r="B272" s="58">
        <f>VLOOKUP(Table18[[#This Row],[Date]],database!A:G,5,)</f>
        <v/>
      </c>
      <c r="C272" s="66">
        <f>B272/B271-1</f>
        <v/>
      </c>
      <c r="D272" s="66">
        <f>(Table18[[#This Row],[Index]]-B260)/B260</f>
        <v/>
      </c>
    </row>
    <row r="273">
      <c r="A273" s="17" t="n">
        <v>34394</v>
      </c>
      <c r="B273" s="58">
        <f>VLOOKUP(Table18[[#This Row],[Date]],database!A:G,5,)</f>
        <v/>
      </c>
      <c r="C273" s="66">
        <f>B273/B272-1</f>
        <v/>
      </c>
      <c r="D273" s="66">
        <f>(Table18[[#This Row],[Index]]-B261)/B261</f>
        <v/>
      </c>
    </row>
    <row r="274">
      <c r="A274" s="17" t="n">
        <v>34425</v>
      </c>
      <c r="B274" s="58">
        <f>VLOOKUP(Table18[[#This Row],[Date]],database!A:G,5,)</f>
        <v/>
      </c>
      <c r="C274" s="66">
        <f>B274/B273-1</f>
        <v/>
      </c>
      <c r="D274" s="66">
        <f>(Table18[[#This Row],[Index]]-B262)/B262</f>
        <v/>
      </c>
    </row>
    <row r="275">
      <c r="A275" s="17" t="n">
        <v>34455</v>
      </c>
      <c r="B275" s="58">
        <f>VLOOKUP(Table18[[#This Row],[Date]],database!A:G,5,)</f>
        <v/>
      </c>
      <c r="C275" s="66">
        <f>B275/B274-1</f>
        <v/>
      </c>
      <c r="D275" s="66">
        <f>(Table18[[#This Row],[Index]]-B263)/B263</f>
        <v/>
      </c>
    </row>
    <row r="276">
      <c r="A276" s="17" t="n">
        <v>34486</v>
      </c>
      <c r="B276" s="58">
        <f>VLOOKUP(Table18[[#This Row],[Date]],database!A:G,5,)</f>
        <v/>
      </c>
      <c r="C276" s="66">
        <f>B276/B275-1</f>
        <v/>
      </c>
      <c r="D276" s="66">
        <f>(Table18[[#This Row],[Index]]-B264)/B264</f>
        <v/>
      </c>
    </row>
    <row r="277">
      <c r="A277" s="17" t="n">
        <v>34516</v>
      </c>
      <c r="B277" s="58">
        <f>VLOOKUP(Table18[[#This Row],[Date]],database!A:G,5,)</f>
        <v/>
      </c>
      <c r="C277" s="66">
        <f>B277/B276-1</f>
        <v/>
      </c>
      <c r="D277" s="66">
        <f>(Table18[[#This Row],[Index]]-B265)/B265</f>
        <v/>
      </c>
    </row>
    <row r="278">
      <c r="A278" s="17" t="n">
        <v>34547</v>
      </c>
      <c r="B278" s="58">
        <f>VLOOKUP(Table18[[#This Row],[Date]],database!A:G,5,)</f>
        <v/>
      </c>
      <c r="C278" s="66">
        <f>B278/B277-1</f>
        <v/>
      </c>
      <c r="D278" s="66">
        <f>(Table18[[#This Row],[Index]]-B266)/B266</f>
        <v/>
      </c>
    </row>
    <row r="279">
      <c r="A279" s="17" t="n">
        <v>34578</v>
      </c>
      <c r="B279" s="58">
        <f>VLOOKUP(Table18[[#This Row],[Date]],database!A:G,5,)</f>
        <v/>
      </c>
      <c r="C279" s="66">
        <f>B279/B278-1</f>
        <v/>
      </c>
      <c r="D279" s="66">
        <f>(Table18[[#This Row],[Index]]-B267)/B267</f>
        <v/>
      </c>
    </row>
    <row r="280">
      <c r="A280" s="17" t="n">
        <v>34608</v>
      </c>
      <c r="B280" s="58">
        <f>VLOOKUP(Table18[[#This Row],[Date]],database!A:G,5,)</f>
        <v/>
      </c>
      <c r="C280" s="66">
        <f>B280/B279-1</f>
        <v/>
      </c>
      <c r="D280" s="66">
        <f>(Table18[[#This Row],[Index]]-B268)/B268</f>
        <v/>
      </c>
    </row>
    <row r="281">
      <c r="A281" s="17" t="n">
        <v>34639</v>
      </c>
      <c r="B281" s="58">
        <f>VLOOKUP(Table18[[#This Row],[Date]],database!A:G,5,)</f>
        <v/>
      </c>
      <c r="C281" s="66">
        <f>B281/B280-1</f>
        <v/>
      </c>
      <c r="D281" s="66">
        <f>(Table18[[#This Row],[Index]]-B269)/B269</f>
        <v/>
      </c>
    </row>
    <row r="282">
      <c r="A282" s="17" t="n">
        <v>34669</v>
      </c>
      <c r="B282" s="58">
        <f>VLOOKUP(Table18[[#This Row],[Date]],database!A:G,5,)</f>
        <v/>
      </c>
      <c r="C282" s="66">
        <f>B282/B281-1</f>
        <v/>
      </c>
      <c r="D282" s="66">
        <f>(Table18[[#This Row],[Index]]-B270)/B270</f>
        <v/>
      </c>
    </row>
    <row r="283">
      <c r="A283" s="17" t="n">
        <v>34700</v>
      </c>
      <c r="B283" s="58">
        <f>VLOOKUP(Table18[[#This Row],[Date]],database!A:G,5,)</f>
        <v/>
      </c>
      <c r="C283" s="66">
        <f>B283/B282-1</f>
        <v/>
      </c>
      <c r="D283" s="66">
        <f>(Table18[[#This Row],[Index]]-B271)/B271</f>
        <v/>
      </c>
    </row>
    <row r="284">
      <c r="A284" s="17" t="n">
        <v>34731</v>
      </c>
      <c r="B284" s="58">
        <f>VLOOKUP(Table18[[#This Row],[Date]],database!A:G,5,)</f>
        <v/>
      </c>
      <c r="C284" s="66">
        <f>B284/B283-1</f>
        <v/>
      </c>
      <c r="D284" s="66">
        <f>(Table18[[#This Row],[Index]]-B272)/B272</f>
        <v/>
      </c>
    </row>
    <row r="285">
      <c r="A285" s="17" t="n">
        <v>34759</v>
      </c>
      <c r="B285" s="58">
        <f>VLOOKUP(Table18[[#This Row],[Date]],database!A:G,5,)</f>
        <v/>
      </c>
      <c r="C285" s="66">
        <f>B285/B284-1</f>
        <v/>
      </c>
      <c r="D285" s="66">
        <f>(Table18[[#This Row],[Index]]-B273)/B273</f>
        <v/>
      </c>
    </row>
    <row r="286">
      <c r="A286" s="17" t="n">
        <v>34790</v>
      </c>
      <c r="B286" s="58">
        <f>VLOOKUP(Table18[[#This Row],[Date]],database!A:G,5,)</f>
        <v/>
      </c>
      <c r="C286" s="66">
        <f>B286/B285-1</f>
        <v/>
      </c>
      <c r="D286" s="66">
        <f>(Table18[[#This Row],[Index]]-B274)/B274</f>
        <v/>
      </c>
    </row>
    <row r="287">
      <c r="A287" s="17" t="n">
        <v>34820</v>
      </c>
      <c r="B287" s="58">
        <f>VLOOKUP(Table18[[#This Row],[Date]],database!A:G,5,)</f>
        <v/>
      </c>
      <c r="C287" s="66">
        <f>B287/B286-1</f>
        <v/>
      </c>
      <c r="D287" s="66">
        <f>(Table18[[#This Row],[Index]]-B275)/B275</f>
        <v/>
      </c>
    </row>
    <row r="288">
      <c r="A288" s="17" t="n">
        <v>34851</v>
      </c>
      <c r="B288" s="58">
        <f>VLOOKUP(Table18[[#This Row],[Date]],database!A:G,5,)</f>
        <v/>
      </c>
      <c r="C288" s="66">
        <f>B288/B287-1</f>
        <v/>
      </c>
      <c r="D288" s="66">
        <f>(Table18[[#This Row],[Index]]-B276)/B276</f>
        <v/>
      </c>
    </row>
    <row r="289">
      <c r="A289" s="17" t="n">
        <v>34881</v>
      </c>
      <c r="B289" s="58">
        <f>VLOOKUP(Table18[[#This Row],[Date]],database!A:G,5,)</f>
        <v/>
      </c>
      <c r="C289" s="66">
        <f>B289/B288-1</f>
        <v/>
      </c>
      <c r="D289" s="66">
        <f>(Table18[[#This Row],[Index]]-B277)/B277</f>
        <v/>
      </c>
    </row>
    <row r="290">
      <c r="A290" s="17" t="n">
        <v>34912</v>
      </c>
      <c r="B290" s="58">
        <f>VLOOKUP(Table18[[#This Row],[Date]],database!A:G,5,)</f>
        <v/>
      </c>
      <c r="C290" s="66">
        <f>B290/B289-1</f>
        <v/>
      </c>
      <c r="D290" s="66">
        <f>(Table18[[#This Row],[Index]]-B278)/B278</f>
        <v/>
      </c>
    </row>
    <row r="291">
      <c r="A291" s="17" t="n">
        <v>34943</v>
      </c>
      <c r="B291" s="58">
        <f>VLOOKUP(Table18[[#This Row],[Date]],database!A:G,5,)</f>
        <v/>
      </c>
      <c r="C291" s="66">
        <f>B291/B290-1</f>
        <v/>
      </c>
      <c r="D291" s="66">
        <f>(Table18[[#This Row],[Index]]-B279)/B279</f>
        <v/>
      </c>
    </row>
    <row r="292">
      <c r="A292" s="17" t="n">
        <v>34973</v>
      </c>
      <c r="B292" s="58">
        <f>VLOOKUP(Table18[[#This Row],[Date]],database!A:G,5,)</f>
        <v/>
      </c>
      <c r="C292" s="66">
        <f>B292/B291-1</f>
        <v/>
      </c>
      <c r="D292" s="66">
        <f>(Table18[[#This Row],[Index]]-B280)/B280</f>
        <v/>
      </c>
    </row>
    <row r="293">
      <c r="A293" s="17" t="n">
        <v>35004</v>
      </c>
      <c r="B293" s="58">
        <f>VLOOKUP(Table18[[#This Row],[Date]],database!A:G,5,)</f>
        <v/>
      </c>
      <c r="C293" s="66">
        <f>B293/B292-1</f>
        <v/>
      </c>
      <c r="D293" s="66">
        <f>(Table18[[#This Row],[Index]]-B281)/B281</f>
        <v/>
      </c>
    </row>
    <row r="294">
      <c r="A294" s="17" t="n">
        <v>35034</v>
      </c>
      <c r="B294" s="58">
        <f>VLOOKUP(Table18[[#This Row],[Date]],database!A:G,5,)</f>
        <v/>
      </c>
      <c r="C294" s="66">
        <f>B294/B293-1</f>
        <v/>
      </c>
      <c r="D294" s="66">
        <f>(Table18[[#This Row],[Index]]-B282)/B282</f>
        <v/>
      </c>
    </row>
    <row r="295">
      <c r="A295" s="17" t="n">
        <v>35065</v>
      </c>
      <c r="B295" s="58">
        <f>VLOOKUP(Table18[[#This Row],[Date]],database!A:G,5,)</f>
        <v/>
      </c>
      <c r="C295" s="66">
        <f>B295/B294-1</f>
        <v/>
      </c>
      <c r="D295" s="66">
        <f>(Table18[[#This Row],[Index]]-B283)/B283</f>
        <v/>
      </c>
    </row>
    <row r="296">
      <c r="A296" s="17" t="n">
        <v>35096</v>
      </c>
      <c r="B296" s="58">
        <f>VLOOKUP(Table18[[#This Row],[Date]],database!A:G,5,)</f>
        <v/>
      </c>
      <c r="C296" s="66">
        <f>B296/B295-1</f>
        <v/>
      </c>
      <c r="D296" s="66">
        <f>(Table18[[#This Row],[Index]]-B284)/B284</f>
        <v/>
      </c>
    </row>
    <row r="297">
      <c r="A297" s="17" t="n">
        <v>35125</v>
      </c>
      <c r="B297" s="58">
        <f>VLOOKUP(Table18[[#This Row],[Date]],database!A:G,5,)</f>
        <v/>
      </c>
      <c r="C297" s="66">
        <f>B297/B296-1</f>
        <v/>
      </c>
      <c r="D297" s="66">
        <f>(Table18[[#This Row],[Index]]-B285)/B285</f>
        <v/>
      </c>
    </row>
    <row r="298">
      <c r="A298" s="17" t="n">
        <v>35156</v>
      </c>
      <c r="B298" s="58">
        <f>VLOOKUP(Table18[[#This Row],[Date]],database!A:G,5,)</f>
        <v/>
      </c>
      <c r="C298" s="66">
        <f>B298/B297-1</f>
        <v/>
      </c>
      <c r="D298" s="66">
        <f>(Table18[[#This Row],[Index]]-B286)/B286</f>
        <v/>
      </c>
    </row>
    <row r="299">
      <c r="A299" s="17" t="n">
        <v>35186</v>
      </c>
      <c r="B299" s="58">
        <f>VLOOKUP(Table18[[#This Row],[Date]],database!A:G,5,)</f>
        <v/>
      </c>
      <c r="C299" s="66">
        <f>B299/B298-1</f>
        <v/>
      </c>
      <c r="D299" s="66">
        <f>(Table18[[#This Row],[Index]]-B287)/B287</f>
        <v/>
      </c>
    </row>
    <row r="300">
      <c r="A300" s="17" t="n">
        <v>35217</v>
      </c>
      <c r="B300" s="58">
        <f>VLOOKUP(Table18[[#This Row],[Date]],database!A:G,5,)</f>
        <v/>
      </c>
      <c r="C300" s="66">
        <f>B300/B299-1</f>
        <v/>
      </c>
      <c r="D300" s="66">
        <f>(Table18[[#This Row],[Index]]-B288)/B288</f>
        <v/>
      </c>
    </row>
    <row r="301">
      <c r="A301" s="17" t="n">
        <v>35247</v>
      </c>
      <c r="B301" s="58">
        <f>VLOOKUP(Table18[[#This Row],[Date]],database!A:G,5,)</f>
        <v/>
      </c>
      <c r="C301" s="66">
        <f>B301/B300-1</f>
        <v/>
      </c>
      <c r="D301" s="66">
        <f>(Table18[[#This Row],[Index]]-B289)/B289</f>
        <v/>
      </c>
    </row>
    <row r="302">
      <c r="A302" s="17" t="n">
        <v>35278</v>
      </c>
      <c r="B302" s="58">
        <f>VLOOKUP(Table18[[#This Row],[Date]],database!A:G,5,)</f>
        <v/>
      </c>
      <c r="C302" s="66">
        <f>B302/B301-1</f>
        <v/>
      </c>
      <c r="D302" s="66">
        <f>(Table18[[#This Row],[Index]]-B290)/B290</f>
        <v/>
      </c>
    </row>
    <row r="303">
      <c r="A303" s="17" t="n">
        <v>35309</v>
      </c>
      <c r="B303" s="58">
        <f>VLOOKUP(Table18[[#This Row],[Date]],database!A:G,5,)</f>
        <v/>
      </c>
      <c r="C303" s="66">
        <f>B303/B302-1</f>
        <v/>
      </c>
      <c r="D303" s="66">
        <f>(Table18[[#This Row],[Index]]-B291)/B291</f>
        <v/>
      </c>
    </row>
    <row r="304">
      <c r="A304" s="17" t="n">
        <v>35339</v>
      </c>
      <c r="B304" s="58">
        <f>VLOOKUP(Table18[[#This Row],[Date]],database!A:G,5,)</f>
        <v/>
      </c>
      <c r="C304" s="66">
        <f>B304/B303-1</f>
        <v/>
      </c>
      <c r="D304" s="66">
        <f>(Table18[[#This Row],[Index]]-B292)/B292</f>
        <v/>
      </c>
    </row>
    <row r="305">
      <c r="A305" s="17" t="n">
        <v>35370</v>
      </c>
      <c r="B305" s="58">
        <f>VLOOKUP(Table18[[#This Row],[Date]],database!A:G,5,)</f>
        <v/>
      </c>
      <c r="C305" s="66">
        <f>B305/B304-1</f>
        <v/>
      </c>
      <c r="D305" s="66">
        <f>(Table18[[#This Row],[Index]]-B293)/B293</f>
        <v/>
      </c>
    </row>
    <row r="306">
      <c r="A306" s="17" t="n">
        <v>35400</v>
      </c>
      <c r="B306" s="58">
        <f>VLOOKUP(Table18[[#This Row],[Date]],database!A:G,5,)</f>
        <v/>
      </c>
      <c r="C306" s="66">
        <f>B306/B305-1</f>
        <v/>
      </c>
      <c r="D306" s="66">
        <f>(Table18[[#This Row],[Index]]-B294)/B294</f>
        <v/>
      </c>
    </row>
    <row r="307">
      <c r="A307" s="17" t="n">
        <v>35431</v>
      </c>
      <c r="B307" s="58">
        <f>VLOOKUP(Table18[[#This Row],[Date]],database!A:G,5,)</f>
        <v/>
      </c>
      <c r="C307" s="66">
        <f>B307/B306-1</f>
        <v/>
      </c>
      <c r="D307" s="66">
        <f>(Table18[[#This Row],[Index]]-B295)/B295</f>
        <v/>
      </c>
    </row>
    <row r="308">
      <c r="A308" s="17" t="n">
        <v>35462</v>
      </c>
      <c r="B308" s="58">
        <f>VLOOKUP(Table18[[#This Row],[Date]],database!A:G,5,)</f>
        <v/>
      </c>
      <c r="C308" s="66">
        <f>B308/B307-1</f>
        <v/>
      </c>
      <c r="D308" s="66">
        <f>(Table18[[#This Row],[Index]]-B296)/B296</f>
        <v/>
      </c>
    </row>
    <row r="309">
      <c r="A309" s="17" t="n">
        <v>35490</v>
      </c>
      <c r="B309" s="58">
        <f>VLOOKUP(Table18[[#This Row],[Date]],database!A:G,5,)</f>
        <v/>
      </c>
      <c r="C309" s="66">
        <f>B309/B308-1</f>
        <v/>
      </c>
      <c r="D309" s="66">
        <f>(Table18[[#This Row],[Index]]-B297)/B297</f>
        <v/>
      </c>
    </row>
    <row r="310">
      <c r="A310" s="17" t="n">
        <v>35521</v>
      </c>
      <c r="B310" s="58">
        <f>VLOOKUP(Table18[[#This Row],[Date]],database!A:G,5,)</f>
        <v/>
      </c>
      <c r="C310" s="66">
        <f>B310/B309-1</f>
        <v/>
      </c>
      <c r="D310" s="66">
        <f>(Table18[[#This Row],[Index]]-B298)/B298</f>
        <v/>
      </c>
    </row>
    <row r="311">
      <c r="A311" s="17" t="n">
        <v>35551</v>
      </c>
      <c r="B311" s="58">
        <f>VLOOKUP(Table18[[#This Row],[Date]],database!A:G,5,)</f>
        <v/>
      </c>
      <c r="C311" s="66">
        <f>B311/B310-1</f>
        <v/>
      </c>
      <c r="D311" s="66">
        <f>(Table18[[#This Row],[Index]]-B299)/B299</f>
        <v/>
      </c>
    </row>
    <row r="312">
      <c r="A312" s="17" t="n">
        <v>35582</v>
      </c>
      <c r="B312" s="58">
        <f>VLOOKUP(Table18[[#This Row],[Date]],database!A:G,5,)</f>
        <v/>
      </c>
      <c r="C312" s="66">
        <f>B312/B311-1</f>
        <v/>
      </c>
      <c r="D312" s="66">
        <f>(Table18[[#This Row],[Index]]-B300)/B300</f>
        <v/>
      </c>
    </row>
    <row r="313">
      <c r="A313" s="17" t="n">
        <v>35612</v>
      </c>
      <c r="B313" s="58">
        <f>VLOOKUP(Table18[[#This Row],[Date]],database!A:G,5,)</f>
        <v/>
      </c>
      <c r="C313" s="66">
        <f>B313/B312-1</f>
        <v/>
      </c>
      <c r="D313" s="66">
        <f>(Table18[[#This Row],[Index]]-B301)/B301</f>
        <v/>
      </c>
    </row>
    <row r="314">
      <c r="A314" s="17" t="n">
        <v>35643</v>
      </c>
      <c r="B314" s="58">
        <f>VLOOKUP(Table18[[#This Row],[Date]],database!A:G,5,)</f>
        <v/>
      </c>
      <c r="C314" s="66">
        <f>B314/B313-1</f>
        <v/>
      </c>
      <c r="D314" s="66">
        <f>(Table18[[#This Row],[Index]]-B302)/B302</f>
        <v/>
      </c>
    </row>
    <row r="315">
      <c r="A315" s="17" t="n">
        <v>35674</v>
      </c>
      <c r="B315" s="58">
        <f>VLOOKUP(Table18[[#This Row],[Date]],database!A:G,5,)</f>
        <v/>
      </c>
      <c r="C315" s="66">
        <f>B315/B314-1</f>
        <v/>
      </c>
      <c r="D315" s="66">
        <f>(Table18[[#This Row],[Index]]-B303)/B303</f>
        <v/>
      </c>
    </row>
    <row r="316">
      <c r="A316" s="17" t="n">
        <v>35704</v>
      </c>
      <c r="B316" s="58">
        <f>VLOOKUP(Table18[[#This Row],[Date]],database!A:G,5,)</f>
        <v/>
      </c>
      <c r="C316" s="66">
        <f>B316/B315-1</f>
        <v/>
      </c>
      <c r="D316" s="66">
        <f>(Table18[[#This Row],[Index]]-B304)/B304</f>
        <v/>
      </c>
    </row>
    <row r="317">
      <c r="A317" s="17" t="n">
        <v>35735</v>
      </c>
      <c r="B317" s="58">
        <f>VLOOKUP(Table18[[#This Row],[Date]],database!A:G,5,)</f>
        <v/>
      </c>
      <c r="C317" s="66">
        <f>B317/B316-1</f>
        <v/>
      </c>
      <c r="D317" s="66">
        <f>(Table18[[#This Row],[Index]]-B305)/B305</f>
        <v/>
      </c>
    </row>
    <row r="318">
      <c r="A318" s="17" t="n">
        <v>35765</v>
      </c>
      <c r="B318" s="58">
        <f>VLOOKUP(Table18[[#This Row],[Date]],database!A:G,5,)</f>
        <v/>
      </c>
      <c r="C318" s="66">
        <f>B318/B317-1</f>
        <v/>
      </c>
      <c r="D318" s="66">
        <f>(Table18[[#This Row],[Index]]-B306)/B306</f>
        <v/>
      </c>
    </row>
    <row r="319">
      <c r="A319" s="17" t="n">
        <v>35796</v>
      </c>
      <c r="B319" s="58">
        <f>VLOOKUP(Table18[[#This Row],[Date]],database!A:G,5,)</f>
        <v/>
      </c>
      <c r="C319" s="66">
        <f>B319/B318-1</f>
        <v/>
      </c>
      <c r="D319" s="66">
        <f>(Table18[[#This Row],[Index]]-B307)/B307</f>
        <v/>
      </c>
    </row>
    <row r="320">
      <c r="A320" s="17" t="n">
        <v>35827</v>
      </c>
      <c r="B320" s="58">
        <f>VLOOKUP(Table18[[#This Row],[Date]],database!A:G,5,)</f>
        <v/>
      </c>
      <c r="C320" s="66">
        <f>B320/B319-1</f>
        <v/>
      </c>
      <c r="D320" s="66">
        <f>(Table18[[#This Row],[Index]]-B308)/B308</f>
        <v/>
      </c>
    </row>
    <row r="321">
      <c r="A321" s="17" t="n">
        <v>35855</v>
      </c>
      <c r="B321" s="58">
        <f>VLOOKUP(Table18[[#This Row],[Date]],database!A:G,5,)</f>
        <v/>
      </c>
      <c r="C321" s="66">
        <f>B321/B320-1</f>
        <v/>
      </c>
      <c r="D321" s="66">
        <f>(Table18[[#This Row],[Index]]-B309)/B309</f>
        <v/>
      </c>
    </row>
    <row r="322">
      <c r="A322" s="17" t="n">
        <v>35886</v>
      </c>
      <c r="B322" s="58">
        <f>VLOOKUP(Table18[[#This Row],[Date]],database!A:G,5,)</f>
        <v/>
      </c>
      <c r="C322" s="66">
        <f>B322/B321-1</f>
        <v/>
      </c>
      <c r="D322" s="66">
        <f>(Table18[[#This Row],[Index]]-B310)/B310</f>
        <v/>
      </c>
    </row>
    <row r="323">
      <c r="A323" s="17" t="n">
        <v>35916</v>
      </c>
      <c r="B323" s="58">
        <f>VLOOKUP(Table18[[#This Row],[Date]],database!A:G,5,)</f>
        <v/>
      </c>
      <c r="C323" s="66">
        <f>B323/B322-1</f>
        <v/>
      </c>
      <c r="D323" s="66">
        <f>(Table18[[#This Row],[Index]]-B311)/B311</f>
        <v/>
      </c>
    </row>
    <row r="324">
      <c r="A324" s="17" t="n">
        <v>35947</v>
      </c>
      <c r="B324" s="58">
        <f>VLOOKUP(Table18[[#This Row],[Date]],database!A:G,5,)</f>
        <v/>
      </c>
      <c r="C324" s="66">
        <f>B324/B323-1</f>
        <v/>
      </c>
      <c r="D324" s="66">
        <f>(Table18[[#This Row],[Index]]-B312)/B312</f>
        <v/>
      </c>
    </row>
    <row r="325">
      <c r="A325" s="17" t="n">
        <v>35977</v>
      </c>
      <c r="B325" s="58">
        <f>VLOOKUP(Table18[[#This Row],[Date]],database!A:G,5,)</f>
        <v/>
      </c>
      <c r="C325" s="66">
        <f>B325/B324-1</f>
        <v/>
      </c>
      <c r="D325" s="66">
        <f>(Table18[[#This Row],[Index]]-B313)/B313</f>
        <v/>
      </c>
    </row>
    <row r="326">
      <c r="A326" s="17" t="n">
        <v>36008</v>
      </c>
      <c r="B326" s="58">
        <f>VLOOKUP(Table18[[#This Row],[Date]],database!A:G,5,)</f>
        <v/>
      </c>
      <c r="C326" s="66">
        <f>B326/B325-1</f>
        <v/>
      </c>
      <c r="D326" s="66">
        <f>(Table18[[#This Row],[Index]]-B314)/B314</f>
        <v/>
      </c>
    </row>
    <row r="327">
      <c r="A327" s="17" t="n">
        <v>36039</v>
      </c>
      <c r="B327" s="58">
        <f>VLOOKUP(Table18[[#This Row],[Date]],database!A:G,5,)</f>
        <v/>
      </c>
      <c r="C327" s="66">
        <f>B327/B326-1</f>
        <v/>
      </c>
      <c r="D327" s="66">
        <f>(Table18[[#This Row],[Index]]-B315)/B315</f>
        <v/>
      </c>
    </row>
    <row r="328">
      <c r="A328" s="17" t="n">
        <v>36069</v>
      </c>
      <c r="B328" s="58">
        <f>VLOOKUP(Table18[[#This Row],[Date]],database!A:G,5,)</f>
        <v/>
      </c>
      <c r="C328" s="66">
        <f>B328/B327-1</f>
        <v/>
      </c>
      <c r="D328" s="66">
        <f>(Table18[[#This Row],[Index]]-B316)/B316</f>
        <v/>
      </c>
    </row>
    <row r="329">
      <c r="A329" s="17" t="n">
        <v>36100</v>
      </c>
      <c r="B329" s="58">
        <f>VLOOKUP(Table18[[#This Row],[Date]],database!A:G,5,)</f>
        <v/>
      </c>
      <c r="C329" s="66">
        <f>B329/B328-1</f>
        <v/>
      </c>
      <c r="D329" s="66">
        <f>(Table18[[#This Row],[Index]]-B317)/B317</f>
        <v/>
      </c>
    </row>
    <row r="330">
      <c r="A330" s="17" t="n">
        <v>36130</v>
      </c>
      <c r="B330" s="58">
        <f>VLOOKUP(Table18[[#This Row],[Date]],database!A:G,5,)</f>
        <v/>
      </c>
      <c r="C330" s="66">
        <f>B330/B329-1</f>
        <v/>
      </c>
      <c r="D330" s="66">
        <f>(Table18[[#This Row],[Index]]-B318)/B318</f>
        <v/>
      </c>
    </row>
    <row r="331">
      <c r="A331" s="17" t="n">
        <v>36161</v>
      </c>
      <c r="B331" s="58">
        <f>VLOOKUP(Table18[[#This Row],[Date]],database!A:G,5,)</f>
        <v/>
      </c>
      <c r="C331" s="66">
        <f>B331/B330-1</f>
        <v/>
      </c>
      <c r="D331" s="66">
        <f>(Table18[[#This Row],[Index]]-B319)/B319</f>
        <v/>
      </c>
    </row>
    <row r="332">
      <c r="A332" s="17" t="n">
        <v>36192</v>
      </c>
      <c r="B332" s="58">
        <f>VLOOKUP(Table18[[#This Row],[Date]],database!A:G,5,)</f>
        <v/>
      </c>
      <c r="C332" s="66">
        <f>B332/B331-1</f>
        <v/>
      </c>
      <c r="D332" s="66">
        <f>(Table18[[#This Row],[Index]]-B320)/B320</f>
        <v/>
      </c>
    </row>
    <row r="333">
      <c r="A333" s="17" t="n">
        <v>36220</v>
      </c>
      <c r="B333" s="58">
        <f>VLOOKUP(Table18[[#This Row],[Date]],database!A:G,5,)</f>
        <v/>
      </c>
      <c r="C333" s="66">
        <f>B333/B332-1</f>
        <v/>
      </c>
      <c r="D333" s="66">
        <f>(Table18[[#This Row],[Index]]-B321)/B321</f>
        <v/>
      </c>
    </row>
    <row r="334">
      <c r="A334" s="17" t="n">
        <v>36251</v>
      </c>
      <c r="B334" s="58">
        <f>VLOOKUP(Table18[[#This Row],[Date]],database!A:G,5,)</f>
        <v/>
      </c>
      <c r="C334" s="66">
        <f>B334/B333-1</f>
        <v/>
      </c>
      <c r="D334" s="66">
        <f>(Table18[[#This Row],[Index]]-B322)/B322</f>
        <v/>
      </c>
    </row>
    <row r="335">
      <c r="A335" s="17" t="n">
        <v>36281</v>
      </c>
      <c r="B335" s="58">
        <f>VLOOKUP(Table18[[#This Row],[Date]],database!A:G,5,)</f>
        <v/>
      </c>
      <c r="C335" s="66">
        <f>B335/B334-1</f>
        <v/>
      </c>
      <c r="D335" s="66">
        <f>(Table18[[#This Row],[Index]]-B323)/B323</f>
        <v/>
      </c>
    </row>
    <row r="336">
      <c r="A336" s="17" t="n">
        <v>36312</v>
      </c>
      <c r="B336" s="58">
        <f>VLOOKUP(Table18[[#This Row],[Date]],database!A:G,5,)</f>
        <v/>
      </c>
      <c r="C336" s="66">
        <f>B336/B335-1</f>
        <v/>
      </c>
      <c r="D336" s="66">
        <f>(Table18[[#This Row],[Index]]-B324)/B324</f>
        <v/>
      </c>
    </row>
    <row r="337">
      <c r="A337" s="17" t="n">
        <v>36342</v>
      </c>
      <c r="B337" s="58">
        <f>VLOOKUP(Table18[[#This Row],[Date]],database!A:G,5,)</f>
        <v/>
      </c>
      <c r="C337" s="66">
        <f>B337/B336-1</f>
        <v/>
      </c>
      <c r="D337" s="66">
        <f>(Table18[[#This Row],[Index]]-B325)/B325</f>
        <v/>
      </c>
    </row>
    <row r="338">
      <c r="A338" s="17" t="n">
        <v>36373</v>
      </c>
      <c r="B338" s="58">
        <f>VLOOKUP(Table18[[#This Row],[Date]],database!A:G,5,)</f>
        <v/>
      </c>
      <c r="C338" s="66">
        <f>B338/B337-1</f>
        <v/>
      </c>
      <c r="D338" s="66">
        <f>(Table18[[#This Row],[Index]]-B326)/B326</f>
        <v/>
      </c>
    </row>
    <row r="339">
      <c r="A339" s="17" t="n">
        <v>36404</v>
      </c>
      <c r="B339" s="58">
        <f>VLOOKUP(Table18[[#This Row],[Date]],database!A:G,5,)</f>
        <v/>
      </c>
      <c r="C339" s="66">
        <f>B339/B338-1</f>
        <v/>
      </c>
      <c r="D339" s="66">
        <f>(Table18[[#This Row],[Index]]-B327)/B327</f>
        <v/>
      </c>
    </row>
    <row r="340">
      <c r="A340" s="17" t="n">
        <v>36434</v>
      </c>
      <c r="B340" s="58">
        <f>VLOOKUP(Table18[[#This Row],[Date]],database!A:G,5,)</f>
        <v/>
      </c>
      <c r="C340" s="66">
        <f>B340/B339-1</f>
        <v/>
      </c>
      <c r="D340" s="66">
        <f>(Table18[[#This Row],[Index]]-B328)/B328</f>
        <v/>
      </c>
    </row>
    <row r="341">
      <c r="A341" s="17" t="n">
        <v>36465</v>
      </c>
      <c r="B341" s="58">
        <f>VLOOKUP(Table18[[#This Row],[Date]],database!A:G,5,)</f>
        <v/>
      </c>
      <c r="C341" s="66">
        <f>B341/B340-1</f>
        <v/>
      </c>
      <c r="D341" s="66">
        <f>(Table18[[#This Row],[Index]]-B329)/B329</f>
        <v/>
      </c>
    </row>
    <row r="342">
      <c r="A342" s="17" t="n">
        <v>36495</v>
      </c>
      <c r="B342" s="58">
        <f>VLOOKUP(Table18[[#This Row],[Date]],database!A:G,5,)</f>
        <v/>
      </c>
      <c r="C342" s="66">
        <f>B342/B341-1</f>
        <v/>
      </c>
      <c r="D342" s="66">
        <f>(Table18[[#This Row],[Index]]-B330)/B330</f>
        <v/>
      </c>
    </row>
    <row r="343">
      <c r="A343" s="17" t="n">
        <v>36526</v>
      </c>
      <c r="B343" s="58">
        <f>VLOOKUP(Table18[[#This Row],[Date]],database!A:G,5,)</f>
        <v/>
      </c>
      <c r="C343" s="66">
        <f>B343/B342-1</f>
        <v/>
      </c>
      <c r="D343" s="66">
        <f>(Table18[[#This Row],[Index]]-B331)/B331</f>
        <v/>
      </c>
    </row>
    <row r="344">
      <c r="A344" s="17" t="n">
        <v>36557</v>
      </c>
      <c r="B344" s="58">
        <f>VLOOKUP(Table18[[#This Row],[Date]],database!A:G,5,)</f>
        <v/>
      </c>
      <c r="C344" s="66">
        <f>B344/B343-1</f>
        <v/>
      </c>
      <c r="D344" s="66">
        <f>(Table18[[#This Row],[Index]]-B332)/B332</f>
        <v/>
      </c>
    </row>
    <row r="345">
      <c r="A345" s="17" t="n">
        <v>36586</v>
      </c>
      <c r="B345" s="58">
        <f>VLOOKUP(Table18[[#This Row],[Date]],database!A:G,5,)</f>
        <v/>
      </c>
      <c r="C345" s="66">
        <f>B345/B344-1</f>
        <v/>
      </c>
      <c r="D345" s="66">
        <f>(Table18[[#This Row],[Index]]-B333)/B333</f>
        <v/>
      </c>
    </row>
    <row r="346">
      <c r="A346" s="17" t="n">
        <v>36617</v>
      </c>
      <c r="B346" s="58">
        <f>VLOOKUP(Table18[[#This Row],[Date]],database!A:G,5,)</f>
        <v/>
      </c>
      <c r="C346" s="66">
        <f>B346/B345-1</f>
        <v/>
      </c>
      <c r="D346" s="66">
        <f>(Table18[[#This Row],[Index]]-B334)/B334</f>
        <v/>
      </c>
    </row>
    <row r="347">
      <c r="A347" s="17" t="n">
        <v>36647</v>
      </c>
      <c r="B347" s="58">
        <f>VLOOKUP(Table18[[#This Row],[Date]],database!A:G,5,)</f>
        <v/>
      </c>
      <c r="C347" s="66">
        <f>B347/B346-1</f>
        <v/>
      </c>
      <c r="D347" s="66">
        <f>(Table18[[#This Row],[Index]]-B335)/B335</f>
        <v/>
      </c>
    </row>
    <row r="348">
      <c r="A348" s="17" t="n">
        <v>36678</v>
      </c>
      <c r="B348" s="58">
        <f>VLOOKUP(Table18[[#This Row],[Date]],database!A:G,5,)</f>
        <v/>
      </c>
      <c r="C348" s="66">
        <f>B348/B347-1</f>
        <v/>
      </c>
      <c r="D348" s="66">
        <f>(Table18[[#This Row],[Index]]-B336)/B336</f>
        <v/>
      </c>
    </row>
    <row r="349">
      <c r="A349" s="17" t="n">
        <v>36708</v>
      </c>
      <c r="B349" s="58">
        <f>VLOOKUP(Table18[[#This Row],[Date]],database!A:G,5,)</f>
        <v/>
      </c>
      <c r="C349" s="66">
        <f>B349/B348-1</f>
        <v/>
      </c>
      <c r="D349" s="66">
        <f>(Table18[[#This Row],[Index]]-B337)/B337</f>
        <v/>
      </c>
    </row>
    <row r="350">
      <c r="A350" s="17" t="n">
        <v>36739</v>
      </c>
      <c r="B350" s="58">
        <f>VLOOKUP(Table18[[#This Row],[Date]],database!A:G,5,)</f>
        <v/>
      </c>
      <c r="C350" s="66">
        <f>B350/B349-1</f>
        <v/>
      </c>
      <c r="D350" s="66">
        <f>(Table18[[#This Row],[Index]]-B338)/B338</f>
        <v/>
      </c>
    </row>
    <row r="351">
      <c r="A351" s="17" t="n">
        <v>36770</v>
      </c>
      <c r="B351" s="58">
        <f>VLOOKUP(Table18[[#This Row],[Date]],database!A:G,5,)</f>
        <v/>
      </c>
      <c r="C351" s="66">
        <f>B351/B350-1</f>
        <v/>
      </c>
      <c r="D351" s="66">
        <f>(Table18[[#This Row],[Index]]-B339)/B339</f>
        <v/>
      </c>
    </row>
    <row r="352">
      <c r="A352" s="17" t="n">
        <v>36800</v>
      </c>
      <c r="B352" s="58">
        <f>VLOOKUP(Table18[[#This Row],[Date]],database!A:G,5,)</f>
        <v/>
      </c>
      <c r="C352" s="66">
        <f>B352/B351-1</f>
        <v/>
      </c>
      <c r="D352" s="66">
        <f>(Table18[[#This Row],[Index]]-B340)/B340</f>
        <v/>
      </c>
    </row>
    <row r="353">
      <c r="A353" s="17" t="n">
        <v>36831</v>
      </c>
      <c r="B353" s="58">
        <f>VLOOKUP(Table18[[#This Row],[Date]],database!A:G,5,)</f>
        <v/>
      </c>
      <c r="C353" s="66">
        <f>B353/B352-1</f>
        <v/>
      </c>
      <c r="D353" s="66">
        <f>(Table18[[#This Row],[Index]]-B341)/B341</f>
        <v/>
      </c>
    </row>
    <row r="354">
      <c r="A354" s="17" t="n">
        <v>36861</v>
      </c>
      <c r="B354" s="58">
        <f>VLOOKUP(Table18[[#This Row],[Date]],database!A:G,5,)</f>
        <v/>
      </c>
      <c r="C354" s="66">
        <f>B354/B353-1</f>
        <v/>
      </c>
      <c r="D354" s="66">
        <f>(Table18[[#This Row],[Index]]-B342)/B342</f>
        <v/>
      </c>
    </row>
    <row r="355">
      <c r="A355" s="17" t="n">
        <v>36892</v>
      </c>
      <c r="B355" s="58">
        <f>VLOOKUP(Table18[[#This Row],[Date]],database!A:G,5,)</f>
        <v/>
      </c>
      <c r="C355" s="66">
        <f>B355/B354-1</f>
        <v/>
      </c>
      <c r="D355" s="66">
        <f>(Table18[[#This Row],[Index]]-B343)/B343</f>
        <v/>
      </c>
    </row>
    <row r="356">
      <c r="A356" s="17" t="n">
        <v>36923</v>
      </c>
      <c r="B356" s="58">
        <f>VLOOKUP(Table18[[#This Row],[Date]],database!A:G,5,)</f>
        <v/>
      </c>
      <c r="C356" s="66">
        <f>B356/B355-1</f>
        <v/>
      </c>
      <c r="D356" s="66">
        <f>(Table18[[#This Row],[Index]]-B344)/B344</f>
        <v/>
      </c>
    </row>
    <row r="357">
      <c r="A357" s="17" t="n">
        <v>36951</v>
      </c>
      <c r="B357" s="58">
        <f>VLOOKUP(Table18[[#This Row],[Date]],database!A:G,5,)</f>
        <v/>
      </c>
      <c r="C357" s="66">
        <f>B357/B356-1</f>
        <v/>
      </c>
      <c r="D357" s="66">
        <f>(Table18[[#This Row],[Index]]-B345)/B345</f>
        <v/>
      </c>
    </row>
    <row r="358">
      <c r="A358" s="17" t="n">
        <v>36982</v>
      </c>
      <c r="B358" s="58">
        <f>VLOOKUP(Table18[[#This Row],[Date]],database!A:G,5,)</f>
        <v/>
      </c>
      <c r="C358" s="66">
        <f>B358/B357-1</f>
        <v/>
      </c>
      <c r="D358" s="66">
        <f>(Table18[[#This Row],[Index]]-B346)/B346</f>
        <v/>
      </c>
    </row>
    <row r="359">
      <c r="A359" s="17" t="n">
        <v>37012</v>
      </c>
      <c r="B359" s="58">
        <f>VLOOKUP(Table18[[#This Row],[Date]],database!A:G,5,)</f>
        <v/>
      </c>
      <c r="C359" s="66">
        <f>B359/B358-1</f>
        <v/>
      </c>
      <c r="D359" s="66">
        <f>(Table18[[#This Row],[Index]]-B347)/B347</f>
        <v/>
      </c>
    </row>
    <row r="360">
      <c r="A360" s="17" t="n">
        <v>37043</v>
      </c>
      <c r="B360" s="58">
        <f>VLOOKUP(Table18[[#This Row],[Date]],database!A:G,5,)</f>
        <v/>
      </c>
      <c r="C360" s="66">
        <f>B360/B359-1</f>
        <v/>
      </c>
      <c r="D360" s="66">
        <f>(Table18[[#This Row],[Index]]-B348)/B348</f>
        <v/>
      </c>
    </row>
    <row r="361">
      <c r="A361" s="17" t="n">
        <v>37073</v>
      </c>
      <c r="B361" s="58">
        <f>VLOOKUP(Table18[[#This Row],[Date]],database!A:G,5,)</f>
        <v/>
      </c>
      <c r="C361" s="66">
        <f>B361/B360-1</f>
        <v/>
      </c>
      <c r="D361" s="66">
        <f>(Table18[[#This Row],[Index]]-B349)/B349</f>
        <v/>
      </c>
    </row>
    <row r="362">
      <c r="A362" s="17" t="n">
        <v>37104</v>
      </c>
      <c r="B362" s="58">
        <f>VLOOKUP(Table18[[#This Row],[Date]],database!A:G,5,)</f>
        <v/>
      </c>
      <c r="C362" s="66">
        <f>B362/B361-1</f>
        <v/>
      </c>
      <c r="D362" s="66">
        <f>(Table18[[#This Row],[Index]]-B350)/B350</f>
        <v/>
      </c>
    </row>
    <row r="363">
      <c r="A363" s="17" t="n">
        <v>37135</v>
      </c>
      <c r="B363" s="58">
        <f>VLOOKUP(Table18[[#This Row],[Date]],database!A:G,5,)</f>
        <v/>
      </c>
      <c r="C363" s="66">
        <f>B363/B362-1</f>
        <v/>
      </c>
      <c r="D363" s="66">
        <f>(Table18[[#This Row],[Index]]-B351)/B351</f>
        <v/>
      </c>
    </row>
    <row r="364">
      <c r="A364" s="17" t="n">
        <v>37165</v>
      </c>
      <c r="B364" s="58">
        <f>VLOOKUP(Table18[[#This Row],[Date]],database!A:G,5,)</f>
        <v/>
      </c>
      <c r="C364" s="66">
        <f>B364/B363-1</f>
        <v/>
      </c>
      <c r="D364" s="66">
        <f>(Table18[[#This Row],[Index]]-B352)/B352</f>
        <v/>
      </c>
    </row>
    <row r="365">
      <c r="A365" s="17" t="n">
        <v>37196</v>
      </c>
      <c r="B365" s="58">
        <f>VLOOKUP(Table18[[#This Row],[Date]],database!A:G,5,)</f>
        <v/>
      </c>
      <c r="C365" s="66">
        <f>B365/B364-1</f>
        <v/>
      </c>
      <c r="D365" s="66">
        <f>(Table18[[#This Row],[Index]]-B353)/B353</f>
        <v/>
      </c>
    </row>
    <row r="366">
      <c r="A366" s="17" t="n">
        <v>37226</v>
      </c>
      <c r="B366" s="58">
        <f>VLOOKUP(Table18[[#This Row],[Date]],database!A:G,5,)</f>
        <v/>
      </c>
      <c r="C366" s="66">
        <f>B366/B365-1</f>
        <v/>
      </c>
      <c r="D366" s="66">
        <f>(Table18[[#This Row],[Index]]-B354)/B354</f>
        <v/>
      </c>
    </row>
    <row r="367">
      <c r="A367" s="17" t="n">
        <v>37257</v>
      </c>
      <c r="B367" s="58">
        <f>VLOOKUP(Table18[[#This Row],[Date]],database!A:G,5,)</f>
        <v/>
      </c>
      <c r="C367" s="66">
        <f>B367/B366-1</f>
        <v/>
      </c>
      <c r="D367" s="66">
        <f>(Table18[[#This Row],[Index]]-B355)/B355</f>
        <v/>
      </c>
    </row>
    <row r="368">
      <c r="A368" s="17" t="n">
        <v>37288</v>
      </c>
      <c r="B368" s="58">
        <f>VLOOKUP(Table18[[#This Row],[Date]],database!A:G,5,)</f>
        <v/>
      </c>
      <c r="C368" s="66">
        <f>B368/B367-1</f>
        <v/>
      </c>
      <c r="D368" s="66">
        <f>(Table18[[#This Row],[Index]]-B356)/B356</f>
        <v/>
      </c>
    </row>
    <row r="369">
      <c r="A369" s="17" t="n">
        <v>37316</v>
      </c>
      <c r="B369" s="58">
        <f>VLOOKUP(Table18[[#This Row],[Date]],database!A:G,5,)</f>
        <v/>
      </c>
      <c r="C369" s="66">
        <f>B369/B368-1</f>
        <v/>
      </c>
      <c r="D369" s="66">
        <f>(Table18[[#This Row],[Index]]-B357)/B357</f>
        <v/>
      </c>
    </row>
    <row r="370">
      <c r="A370" s="17" t="n">
        <v>37347</v>
      </c>
      <c r="B370" s="58">
        <f>VLOOKUP(Table18[[#This Row],[Date]],database!A:G,5,)</f>
        <v/>
      </c>
      <c r="C370" s="66">
        <f>B370/B369-1</f>
        <v/>
      </c>
      <c r="D370" s="66">
        <f>(Table18[[#This Row],[Index]]-B358)/B358</f>
        <v/>
      </c>
    </row>
    <row r="371">
      <c r="A371" s="17" t="n">
        <v>37377</v>
      </c>
      <c r="B371" s="58">
        <f>VLOOKUP(Table18[[#This Row],[Date]],database!A:G,5,)</f>
        <v/>
      </c>
      <c r="C371" s="66">
        <f>B371/B370-1</f>
        <v/>
      </c>
      <c r="D371" s="66">
        <f>(Table18[[#This Row],[Index]]-B359)/B359</f>
        <v/>
      </c>
    </row>
    <row r="372">
      <c r="A372" s="17" t="n">
        <v>37408</v>
      </c>
      <c r="B372" s="58">
        <f>VLOOKUP(Table18[[#This Row],[Date]],database!A:G,5,)</f>
        <v/>
      </c>
      <c r="C372" s="66">
        <f>B372/B371-1</f>
        <v/>
      </c>
      <c r="D372" s="66">
        <f>(Table18[[#This Row],[Index]]-B360)/B360</f>
        <v/>
      </c>
    </row>
    <row r="373">
      <c r="A373" s="17" t="n">
        <v>37438</v>
      </c>
      <c r="B373" s="58">
        <f>VLOOKUP(Table18[[#This Row],[Date]],database!A:G,5,)</f>
        <v/>
      </c>
      <c r="C373" s="66">
        <f>B373/B372-1</f>
        <v/>
      </c>
      <c r="D373" s="66">
        <f>(Table18[[#This Row],[Index]]-B361)/B361</f>
        <v/>
      </c>
    </row>
    <row r="374">
      <c r="A374" s="17" t="n">
        <v>37469</v>
      </c>
      <c r="B374" s="58">
        <f>VLOOKUP(Table18[[#This Row],[Date]],database!A:G,5,)</f>
        <v/>
      </c>
      <c r="C374" s="66">
        <f>B374/B373-1</f>
        <v/>
      </c>
      <c r="D374" s="66">
        <f>(Table18[[#This Row],[Index]]-B362)/B362</f>
        <v/>
      </c>
    </row>
    <row r="375">
      <c r="A375" s="17" t="n">
        <v>37500</v>
      </c>
      <c r="B375" s="58">
        <f>VLOOKUP(Table18[[#This Row],[Date]],database!A:G,5,)</f>
        <v/>
      </c>
      <c r="C375" s="66">
        <f>B375/B374-1</f>
        <v/>
      </c>
      <c r="D375" s="66">
        <f>(Table18[[#This Row],[Index]]-B363)/B363</f>
        <v/>
      </c>
    </row>
    <row r="376">
      <c r="A376" s="17" t="n">
        <v>37530</v>
      </c>
      <c r="B376" s="58">
        <f>VLOOKUP(Table18[[#This Row],[Date]],database!A:G,5,)</f>
        <v/>
      </c>
      <c r="C376" s="66">
        <f>B376/B375-1</f>
        <v/>
      </c>
      <c r="D376" s="66">
        <f>(Table18[[#This Row],[Index]]-B364)/B364</f>
        <v/>
      </c>
    </row>
    <row r="377">
      <c r="A377" s="17" t="n">
        <v>37561</v>
      </c>
      <c r="B377" s="58">
        <f>VLOOKUP(Table18[[#This Row],[Date]],database!A:G,5,)</f>
        <v/>
      </c>
      <c r="C377" s="66">
        <f>B377/B376-1</f>
        <v/>
      </c>
      <c r="D377" s="66">
        <f>(Table18[[#This Row],[Index]]-B365)/B365</f>
        <v/>
      </c>
    </row>
    <row r="378">
      <c r="A378" s="17" t="n">
        <v>37591</v>
      </c>
      <c r="B378" s="58">
        <f>VLOOKUP(Table18[[#This Row],[Date]],database!A:G,5,)</f>
        <v/>
      </c>
      <c r="C378" s="66">
        <f>B378/B377-1</f>
        <v/>
      </c>
      <c r="D378" s="66">
        <f>(Table18[[#This Row],[Index]]-B366)/B366</f>
        <v/>
      </c>
    </row>
    <row r="379">
      <c r="A379" s="17" t="n">
        <v>37622</v>
      </c>
      <c r="B379" s="58">
        <f>VLOOKUP(Table18[[#This Row],[Date]],database!A:G,5,)</f>
        <v/>
      </c>
      <c r="C379" s="66">
        <f>B379/B378-1</f>
        <v/>
      </c>
      <c r="D379" s="66">
        <f>(Table18[[#This Row],[Index]]-B367)/B367</f>
        <v/>
      </c>
    </row>
    <row r="380">
      <c r="A380" s="17" t="n">
        <v>37653</v>
      </c>
      <c r="B380" s="58">
        <f>VLOOKUP(Table18[[#This Row],[Date]],database!A:G,5,)</f>
        <v/>
      </c>
      <c r="C380" s="66">
        <f>B380/B379-1</f>
        <v/>
      </c>
      <c r="D380" s="66">
        <f>(Table18[[#This Row],[Index]]-B368)/B368</f>
        <v/>
      </c>
    </row>
    <row r="381">
      <c r="A381" s="17" t="n">
        <v>37681</v>
      </c>
      <c r="B381" s="58">
        <f>VLOOKUP(Table18[[#This Row],[Date]],database!A:G,5,)</f>
        <v/>
      </c>
      <c r="C381" s="66">
        <f>B381/B380-1</f>
        <v/>
      </c>
      <c r="D381" s="66">
        <f>(Table18[[#This Row],[Index]]-B369)/B369</f>
        <v/>
      </c>
    </row>
    <row r="382">
      <c r="A382" s="17" t="n">
        <v>37712</v>
      </c>
      <c r="B382" s="58">
        <f>VLOOKUP(Table18[[#This Row],[Date]],database!A:G,5,)</f>
        <v/>
      </c>
      <c r="C382" s="66">
        <f>B382/B381-1</f>
        <v/>
      </c>
      <c r="D382" s="66">
        <f>(Table18[[#This Row],[Index]]-B370)/B370</f>
        <v/>
      </c>
    </row>
    <row r="383">
      <c r="A383" s="17" t="n">
        <v>37742</v>
      </c>
      <c r="B383" s="58">
        <f>VLOOKUP(Table18[[#This Row],[Date]],database!A:G,5,)</f>
        <v/>
      </c>
      <c r="C383" s="66">
        <f>B383/B382-1</f>
        <v/>
      </c>
      <c r="D383" s="66">
        <f>(Table18[[#This Row],[Index]]-B371)/B371</f>
        <v/>
      </c>
    </row>
    <row r="384">
      <c r="A384" s="17" t="n">
        <v>37773</v>
      </c>
      <c r="B384" s="58">
        <f>VLOOKUP(Table18[[#This Row],[Date]],database!A:G,5,)</f>
        <v/>
      </c>
      <c r="C384" s="66">
        <f>B384/B383-1</f>
        <v/>
      </c>
      <c r="D384" s="66">
        <f>(Table18[[#This Row],[Index]]-B372)/B372</f>
        <v/>
      </c>
    </row>
    <row r="385">
      <c r="A385" s="17" t="n">
        <v>37803</v>
      </c>
      <c r="B385" s="58">
        <f>VLOOKUP(Table18[[#This Row],[Date]],database!A:G,5,)</f>
        <v/>
      </c>
      <c r="C385" s="66">
        <f>B385/B384-1</f>
        <v/>
      </c>
      <c r="D385" s="66">
        <f>(Table18[[#This Row],[Index]]-B373)/B373</f>
        <v/>
      </c>
    </row>
    <row r="386">
      <c r="A386" s="17" t="n">
        <v>37834</v>
      </c>
      <c r="B386" s="58">
        <f>VLOOKUP(Table18[[#This Row],[Date]],database!A:G,5,)</f>
        <v/>
      </c>
      <c r="C386" s="66">
        <f>B386/B385-1</f>
        <v/>
      </c>
      <c r="D386" s="66">
        <f>(Table18[[#This Row],[Index]]-B374)/B374</f>
        <v/>
      </c>
    </row>
    <row r="387">
      <c r="A387" s="17" t="n">
        <v>37865</v>
      </c>
      <c r="B387" s="58">
        <f>VLOOKUP(Table18[[#This Row],[Date]],database!A:G,5,)</f>
        <v/>
      </c>
      <c r="C387" s="66">
        <f>B387/B386-1</f>
        <v/>
      </c>
      <c r="D387" s="66">
        <f>(Table18[[#This Row],[Index]]-B375)/B375</f>
        <v/>
      </c>
    </row>
    <row r="388">
      <c r="A388" s="17" t="n">
        <v>37895</v>
      </c>
      <c r="B388" s="58">
        <f>VLOOKUP(Table18[[#This Row],[Date]],database!A:G,5,)</f>
        <v/>
      </c>
      <c r="C388" s="66">
        <f>B388/B387-1</f>
        <v/>
      </c>
      <c r="D388" s="66">
        <f>(Table18[[#This Row],[Index]]-B376)/B376</f>
        <v/>
      </c>
    </row>
    <row r="389">
      <c r="A389" s="17" t="n">
        <v>37926</v>
      </c>
      <c r="B389" s="58">
        <f>VLOOKUP(Table18[[#This Row],[Date]],database!A:G,5,)</f>
        <v/>
      </c>
      <c r="C389" s="66">
        <f>B389/B388-1</f>
        <v/>
      </c>
      <c r="D389" s="66">
        <f>(Table18[[#This Row],[Index]]-B377)/B377</f>
        <v/>
      </c>
    </row>
    <row r="390">
      <c r="A390" s="17" t="n">
        <v>37956</v>
      </c>
      <c r="B390" s="58">
        <f>VLOOKUP(Table18[[#This Row],[Date]],database!A:G,5,)</f>
        <v/>
      </c>
      <c r="C390" s="66">
        <f>B390/B389-1</f>
        <v/>
      </c>
      <c r="D390" s="66">
        <f>(Table18[[#This Row],[Index]]-B378)/B378</f>
        <v/>
      </c>
    </row>
    <row r="391">
      <c r="A391" s="17" t="n">
        <v>37987</v>
      </c>
      <c r="B391" s="58">
        <f>VLOOKUP(Table18[[#This Row],[Date]],database!A:G,5,)</f>
        <v/>
      </c>
      <c r="C391" s="66">
        <f>B391/B390-1</f>
        <v/>
      </c>
      <c r="D391" s="66">
        <f>(Table18[[#This Row],[Index]]-B379)/B379</f>
        <v/>
      </c>
    </row>
    <row r="392">
      <c r="A392" s="17" t="n">
        <v>38018</v>
      </c>
      <c r="B392" s="58">
        <f>VLOOKUP(Table18[[#This Row],[Date]],database!A:G,5,)</f>
        <v/>
      </c>
      <c r="C392" s="66">
        <f>B392/B391-1</f>
        <v/>
      </c>
      <c r="D392" s="66">
        <f>(Table18[[#This Row],[Index]]-B380)/B380</f>
        <v/>
      </c>
    </row>
    <row r="393">
      <c r="A393" s="17" t="n">
        <v>38047</v>
      </c>
      <c r="B393" s="58">
        <f>VLOOKUP(Table18[[#This Row],[Date]],database!A:G,5,)</f>
        <v/>
      </c>
      <c r="C393" s="66">
        <f>B393/B392-1</f>
        <v/>
      </c>
      <c r="D393" s="66">
        <f>(Table18[[#This Row],[Index]]-B381)/B381</f>
        <v/>
      </c>
    </row>
    <row r="394">
      <c r="A394" s="17" t="n">
        <v>38078</v>
      </c>
      <c r="B394" s="58">
        <f>VLOOKUP(Table18[[#This Row],[Date]],database!A:G,5,)</f>
        <v/>
      </c>
      <c r="C394" s="66">
        <f>B394/B393-1</f>
        <v/>
      </c>
      <c r="D394" s="66">
        <f>(Table18[[#This Row],[Index]]-B382)/B382</f>
        <v/>
      </c>
    </row>
    <row r="395">
      <c r="A395" s="17" t="n">
        <v>38108</v>
      </c>
      <c r="B395" s="58">
        <f>VLOOKUP(Table18[[#This Row],[Date]],database!A:G,5,)</f>
        <v/>
      </c>
      <c r="C395" s="66">
        <f>B395/B394-1</f>
        <v/>
      </c>
      <c r="D395" s="66">
        <f>(Table18[[#This Row],[Index]]-B383)/B383</f>
        <v/>
      </c>
    </row>
    <row r="396">
      <c r="A396" s="17" t="n">
        <v>38139</v>
      </c>
      <c r="B396" s="58">
        <f>VLOOKUP(Table18[[#This Row],[Date]],database!A:G,5,)</f>
        <v/>
      </c>
      <c r="C396" s="66">
        <f>B396/B395-1</f>
        <v/>
      </c>
      <c r="D396" s="66">
        <f>(Table18[[#This Row],[Index]]-B384)/B384</f>
        <v/>
      </c>
    </row>
    <row r="397">
      <c r="A397" s="17" t="n">
        <v>38169</v>
      </c>
      <c r="B397" s="58">
        <f>VLOOKUP(Table18[[#This Row],[Date]],database!A:G,5,)</f>
        <v/>
      </c>
      <c r="C397" s="66">
        <f>B397/B396-1</f>
        <v/>
      </c>
      <c r="D397" s="66">
        <f>(Table18[[#This Row],[Index]]-B385)/B385</f>
        <v/>
      </c>
    </row>
    <row r="398">
      <c r="A398" s="17" t="n">
        <v>38200</v>
      </c>
      <c r="B398" s="58">
        <f>VLOOKUP(Table18[[#This Row],[Date]],database!A:G,5,)</f>
        <v/>
      </c>
      <c r="C398" s="66">
        <f>B398/B397-1</f>
        <v/>
      </c>
      <c r="D398" s="66">
        <f>(Table18[[#This Row],[Index]]-B386)/B386</f>
        <v/>
      </c>
    </row>
    <row r="399">
      <c r="A399" s="17" t="n">
        <v>38231</v>
      </c>
      <c r="B399" s="58">
        <f>VLOOKUP(Table18[[#This Row],[Date]],database!A:G,5,)</f>
        <v/>
      </c>
      <c r="C399" s="66">
        <f>B399/B398-1</f>
        <v/>
      </c>
      <c r="D399" s="66">
        <f>(Table18[[#This Row],[Index]]-B387)/B387</f>
        <v/>
      </c>
    </row>
    <row r="400">
      <c r="A400" s="17" t="n">
        <v>38261</v>
      </c>
      <c r="B400" s="58">
        <f>VLOOKUP(Table18[[#This Row],[Date]],database!A:G,5,)</f>
        <v/>
      </c>
      <c r="C400" s="66">
        <f>B400/B399-1</f>
        <v/>
      </c>
      <c r="D400" s="66">
        <f>(Table18[[#This Row],[Index]]-B388)/B388</f>
        <v/>
      </c>
    </row>
    <row r="401">
      <c r="A401" s="17" t="n">
        <v>38292</v>
      </c>
      <c r="B401" s="58">
        <f>VLOOKUP(Table18[[#This Row],[Date]],database!A:G,5,)</f>
        <v/>
      </c>
      <c r="C401" s="66">
        <f>B401/B400-1</f>
        <v/>
      </c>
      <c r="D401" s="66">
        <f>(Table18[[#This Row],[Index]]-B389)/B389</f>
        <v/>
      </c>
    </row>
    <row r="402">
      <c r="A402" s="17" t="n">
        <v>38322</v>
      </c>
      <c r="B402" s="58">
        <f>VLOOKUP(Table18[[#This Row],[Date]],database!A:G,5,)</f>
        <v/>
      </c>
      <c r="C402" s="66">
        <f>B402/B401-1</f>
        <v/>
      </c>
      <c r="D402" s="66">
        <f>(Table18[[#This Row],[Index]]-B390)/B390</f>
        <v/>
      </c>
    </row>
    <row r="403">
      <c r="A403" s="17" t="n">
        <v>38353</v>
      </c>
      <c r="B403" s="58">
        <f>VLOOKUP(Table18[[#This Row],[Date]],database!A:G,5,)</f>
        <v/>
      </c>
      <c r="C403" s="66">
        <f>B403/B402-1</f>
        <v/>
      </c>
      <c r="D403" s="66">
        <f>(Table18[[#This Row],[Index]]-B391)/B391</f>
        <v/>
      </c>
    </row>
    <row r="404">
      <c r="A404" s="17" t="n">
        <v>38384</v>
      </c>
      <c r="B404" s="58">
        <f>VLOOKUP(Table18[[#This Row],[Date]],database!A:G,5,)</f>
        <v/>
      </c>
      <c r="C404" s="66">
        <f>B404/B403-1</f>
        <v/>
      </c>
      <c r="D404" s="66">
        <f>(Table18[[#This Row],[Index]]-B392)/B392</f>
        <v/>
      </c>
    </row>
    <row r="405">
      <c r="A405" s="17" t="n">
        <v>38412</v>
      </c>
      <c r="B405" s="58">
        <f>VLOOKUP(Table18[[#This Row],[Date]],database!A:G,5,)</f>
        <v/>
      </c>
      <c r="C405" s="66">
        <f>B405/B404-1</f>
        <v/>
      </c>
      <c r="D405" s="66">
        <f>(Table18[[#This Row],[Index]]-B393)/B393</f>
        <v/>
      </c>
    </row>
    <row r="406">
      <c r="A406" s="17" t="n">
        <v>38443</v>
      </c>
      <c r="B406" s="58">
        <f>VLOOKUP(Table18[[#This Row],[Date]],database!A:G,5,)</f>
        <v/>
      </c>
      <c r="C406" s="66">
        <f>B406/B405-1</f>
        <v/>
      </c>
      <c r="D406" s="66">
        <f>(Table18[[#This Row],[Index]]-B394)/B394</f>
        <v/>
      </c>
    </row>
    <row r="407">
      <c r="A407" s="17" t="n">
        <v>38473</v>
      </c>
      <c r="B407" s="58">
        <f>VLOOKUP(Table18[[#This Row],[Date]],database!A:G,5,)</f>
        <v/>
      </c>
      <c r="C407" s="66">
        <f>B407/B406-1</f>
        <v/>
      </c>
      <c r="D407" s="66">
        <f>(Table18[[#This Row],[Index]]-B395)/B395</f>
        <v/>
      </c>
    </row>
    <row r="408">
      <c r="A408" s="17" t="n">
        <v>38504</v>
      </c>
      <c r="B408" s="58">
        <f>VLOOKUP(Table18[[#This Row],[Date]],database!A:G,5,)</f>
        <v/>
      </c>
      <c r="C408" s="66">
        <f>B408/B407-1</f>
        <v/>
      </c>
      <c r="D408" s="66">
        <f>(Table18[[#This Row],[Index]]-B396)/B396</f>
        <v/>
      </c>
    </row>
    <row r="409">
      <c r="A409" s="17" t="n">
        <v>38534</v>
      </c>
      <c r="B409" s="58">
        <f>VLOOKUP(Table18[[#This Row],[Date]],database!A:G,5,)</f>
        <v/>
      </c>
      <c r="C409" s="66">
        <f>B409/B408-1</f>
        <v/>
      </c>
      <c r="D409" s="66">
        <f>(Table18[[#This Row],[Index]]-B397)/B397</f>
        <v/>
      </c>
    </row>
    <row r="410">
      <c r="A410" s="17" t="n">
        <v>38565</v>
      </c>
      <c r="B410" s="58">
        <f>VLOOKUP(Table18[[#This Row],[Date]],database!A:G,5,)</f>
        <v/>
      </c>
      <c r="C410" s="66">
        <f>B410/B409-1</f>
        <v/>
      </c>
      <c r="D410" s="66">
        <f>(Table18[[#This Row],[Index]]-B398)/B398</f>
        <v/>
      </c>
    </row>
    <row r="411">
      <c r="A411" s="17" t="n">
        <v>38596</v>
      </c>
      <c r="B411" s="58">
        <f>VLOOKUP(Table18[[#This Row],[Date]],database!A:G,5,)</f>
        <v/>
      </c>
      <c r="C411" s="66">
        <f>B411/B410-1</f>
        <v/>
      </c>
      <c r="D411" s="66">
        <f>(Table18[[#This Row],[Index]]-B399)/B399</f>
        <v/>
      </c>
    </row>
    <row r="412">
      <c r="A412" s="17" t="n">
        <v>38626</v>
      </c>
      <c r="B412" s="58">
        <f>VLOOKUP(Table18[[#This Row],[Date]],database!A:G,5,)</f>
        <v/>
      </c>
      <c r="C412" s="66">
        <f>B412/B411-1</f>
        <v/>
      </c>
      <c r="D412" s="66">
        <f>(Table18[[#This Row],[Index]]-B400)/B400</f>
        <v/>
      </c>
    </row>
    <row r="413">
      <c r="A413" s="17" t="n">
        <v>38657</v>
      </c>
      <c r="B413" s="58">
        <f>VLOOKUP(Table18[[#This Row],[Date]],database!A:G,5,)</f>
        <v/>
      </c>
      <c r="C413" s="66">
        <f>B413/B412-1</f>
        <v/>
      </c>
      <c r="D413" s="66">
        <f>(Table18[[#This Row],[Index]]-B401)/B401</f>
        <v/>
      </c>
    </row>
    <row r="414">
      <c r="A414" s="17" t="n">
        <v>38687</v>
      </c>
      <c r="B414" s="58">
        <f>VLOOKUP(Table18[[#This Row],[Date]],database!A:G,5,)</f>
        <v/>
      </c>
      <c r="C414" s="66">
        <f>B414/B413-1</f>
        <v/>
      </c>
      <c r="D414" s="66">
        <f>(Table18[[#This Row],[Index]]-B402)/B402</f>
        <v/>
      </c>
    </row>
    <row r="415">
      <c r="A415" s="17" t="n">
        <v>38718</v>
      </c>
      <c r="B415" s="58">
        <f>VLOOKUP(Table18[[#This Row],[Date]],database!A:G,5,)</f>
        <v/>
      </c>
      <c r="C415" s="66">
        <f>B415/B414-1</f>
        <v/>
      </c>
      <c r="D415" s="66">
        <f>(Table18[[#This Row],[Index]]-B403)/B403</f>
        <v/>
      </c>
    </row>
    <row r="416">
      <c r="A416" s="17" t="n">
        <v>38749</v>
      </c>
      <c r="B416" s="58">
        <f>VLOOKUP(Table18[[#This Row],[Date]],database!A:G,5,)</f>
        <v/>
      </c>
      <c r="C416" s="66">
        <f>B416/B415-1</f>
        <v/>
      </c>
      <c r="D416" s="66">
        <f>(Table18[[#This Row],[Index]]-B404)/B404</f>
        <v/>
      </c>
    </row>
    <row r="417">
      <c r="A417" s="17" t="n">
        <v>38777</v>
      </c>
      <c r="B417" s="58">
        <f>VLOOKUP(Table18[[#This Row],[Date]],database!A:G,5,)</f>
        <v/>
      </c>
      <c r="C417" s="66">
        <f>B417/B416-1</f>
        <v/>
      </c>
      <c r="D417" s="66">
        <f>(Table18[[#This Row],[Index]]-B405)/B405</f>
        <v/>
      </c>
    </row>
    <row r="418">
      <c r="A418" s="17" t="n">
        <v>38808</v>
      </c>
      <c r="B418" s="58">
        <f>VLOOKUP(Table18[[#This Row],[Date]],database!A:G,5,)</f>
        <v/>
      </c>
      <c r="C418" s="66">
        <f>B418/B417-1</f>
        <v/>
      </c>
      <c r="D418" s="66">
        <f>(Table18[[#This Row],[Index]]-B406)/B406</f>
        <v/>
      </c>
    </row>
    <row r="419">
      <c r="A419" s="17" t="n">
        <v>38838</v>
      </c>
      <c r="B419" s="58">
        <f>VLOOKUP(Table18[[#This Row],[Date]],database!A:G,5,)</f>
        <v/>
      </c>
      <c r="C419" s="66">
        <f>B419/B418-1</f>
        <v/>
      </c>
      <c r="D419" s="66">
        <f>(Table18[[#This Row],[Index]]-B407)/B407</f>
        <v/>
      </c>
    </row>
    <row r="420">
      <c r="A420" s="17" t="n">
        <v>38869</v>
      </c>
      <c r="B420" s="58">
        <f>VLOOKUP(Table18[[#This Row],[Date]],database!A:G,5,)</f>
        <v/>
      </c>
      <c r="C420" s="66">
        <f>B420/B419-1</f>
        <v/>
      </c>
      <c r="D420" s="66">
        <f>(Table18[[#This Row],[Index]]-B408)/B408</f>
        <v/>
      </c>
    </row>
    <row r="421">
      <c r="A421" s="17" t="n">
        <v>38899</v>
      </c>
      <c r="B421" s="58">
        <f>VLOOKUP(Table18[[#This Row],[Date]],database!A:G,5,)</f>
        <v/>
      </c>
      <c r="C421" s="66">
        <f>B421/B420-1</f>
        <v/>
      </c>
      <c r="D421" s="66">
        <f>(Table18[[#This Row],[Index]]-B409)/B409</f>
        <v/>
      </c>
    </row>
    <row r="422">
      <c r="A422" s="17" t="n">
        <v>38930</v>
      </c>
      <c r="B422" s="58">
        <f>VLOOKUP(Table18[[#This Row],[Date]],database!A:G,5,)</f>
        <v/>
      </c>
      <c r="C422" s="66">
        <f>B422/B421-1</f>
        <v/>
      </c>
      <c r="D422" s="66">
        <f>(Table18[[#This Row],[Index]]-B410)/B410</f>
        <v/>
      </c>
    </row>
    <row r="423">
      <c r="A423" s="17" t="n">
        <v>38961</v>
      </c>
      <c r="B423" s="58">
        <f>VLOOKUP(Table18[[#This Row],[Date]],database!A:G,5,)</f>
        <v/>
      </c>
      <c r="C423" s="66">
        <f>B423/B422-1</f>
        <v/>
      </c>
      <c r="D423" s="66">
        <f>(Table18[[#This Row],[Index]]-B411)/B411</f>
        <v/>
      </c>
    </row>
    <row r="424">
      <c r="A424" s="17" t="n">
        <v>38991</v>
      </c>
      <c r="B424" s="58">
        <f>VLOOKUP(Table18[[#This Row],[Date]],database!A:G,5,)</f>
        <v/>
      </c>
      <c r="C424" s="66">
        <f>B424/B423-1</f>
        <v/>
      </c>
      <c r="D424" s="66">
        <f>(Table18[[#This Row],[Index]]-B412)/B412</f>
        <v/>
      </c>
    </row>
    <row r="425">
      <c r="A425" s="17" t="n">
        <v>39022</v>
      </c>
      <c r="B425" s="58">
        <f>VLOOKUP(Table18[[#This Row],[Date]],database!A:G,5,)</f>
        <v/>
      </c>
      <c r="C425" s="66">
        <f>B425/B424-1</f>
        <v/>
      </c>
      <c r="D425" s="66">
        <f>(Table18[[#This Row],[Index]]-B413)/B413</f>
        <v/>
      </c>
    </row>
    <row r="426">
      <c r="A426" s="17" t="n">
        <v>39052</v>
      </c>
      <c r="B426" s="58">
        <f>VLOOKUP(Table18[[#This Row],[Date]],database!A:G,5,)</f>
        <v/>
      </c>
      <c r="C426" s="66">
        <f>B426/B425-1</f>
        <v/>
      </c>
      <c r="D426" s="66">
        <f>(Table18[[#This Row],[Index]]-B414)/B414</f>
        <v/>
      </c>
    </row>
    <row r="427">
      <c r="A427" s="17" t="n">
        <v>39083</v>
      </c>
      <c r="B427" s="58">
        <f>VLOOKUP(Table18[[#This Row],[Date]],database!A:G,5,)</f>
        <v/>
      </c>
      <c r="C427" s="66">
        <f>B427/B426-1</f>
        <v/>
      </c>
      <c r="D427" s="66">
        <f>(Table18[[#This Row],[Index]]-B415)/B415</f>
        <v/>
      </c>
    </row>
    <row r="428">
      <c r="A428" s="17" t="n">
        <v>39114</v>
      </c>
      <c r="B428" s="58">
        <f>VLOOKUP(Table18[[#This Row],[Date]],database!A:G,5,)</f>
        <v/>
      </c>
      <c r="C428" s="66">
        <f>B428/B427-1</f>
        <v/>
      </c>
      <c r="D428" s="66">
        <f>(Table18[[#This Row],[Index]]-B416)/B416</f>
        <v/>
      </c>
    </row>
    <row r="429">
      <c r="A429" s="17" t="n">
        <v>39142</v>
      </c>
      <c r="B429" s="58">
        <f>VLOOKUP(Table18[[#This Row],[Date]],database!A:G,5,)</f>
        <v/>
      </c>
      <c r="C429" s="66">
        <f>B429/B428-1</f>
        <v/>
      </c>
      <c r="D429" s="66">
        <f>(Table18[[#This Row],[Index]]-B417)/B417</f>
        <v/>
      </c>
    </row>
    <row r="430">
      <c r="A430" s="17" t="n">
        <v>39173</v>
      </c>
      <c r="B430" s="58">
        <f>VLOOKUP(Table18[[#This Row],[Date]],database!A:G,5,)</f>
        <v/>
      </c>
      <c r="C430" s="66">
        <f>B430/B429-1</f>
        <v/>
      </c>
      <c r="D430" s="66">
        <f>(Table18[[#This Row],[Index]]-B418)/B418</f>
        <v/>
      </c>
    </row>
    <row r="431">
      <c r="A431" s="17" t="n">
        <v>39203</v>
      </c>
      <c r="B431" s="58">
        <f>VLOOKUP(Table18[[#This Row],[Date]],database!A:G,5,)</f>
        <v/>
      </c>
      <c r="C431" s="66">
        <f>B431/B430-1</f>
        <v/>
      </c>
      <c r="D431" s="66">
        <f>(Table18[[#This Row],[Index]]-B419)/B419</f>
        <v/>
      </c>
    </row>
    <row r="432">
      <c r="A432" s="17" t="n">
        <v>39234</v>
      </c>
      <c r="B432" s="58">
        <f>VLOOKUP(Table18[[#This Row],[Date]],database!A:G,5,)</f>
        <v/>
      </c>
      <c r="C432" s="66">
        <f>B432/B431-1</f>
        <v/>
      </c>
      <c r="D432" s="66">
        <f>(Table18[[#This Row],[Index]]-B420)/B420</f>
        <v/>
      </c>
    </row>
    <row r="433">
      <c r="A433" s="17" t="n">
        <v>39264</v>
      </c>
      <c r="B433" s="58">
        <f>VLOOKUP(Table18[[#This Row],[Date]],database!A:G,5,)</f>
        <v/>
      </c>
      <c r="C433" s="66">
        <f>B433/B432-1</f>
        <v/>
      </c>
      <c r="D433" s="66">
        <f>(Table18[[#This Row],[Index]]-B421)/B421</f>
        <v/>
      </c>
    </row>
    <row r="434">
      <c r="A434" s="17" t="n">
        <v>39295</v>
      </c>
      <c r="B434" s="58">
        <f>VLOOKUP(Table18[[#This Row],[Date]],database!A:G,5,)</f>
        <v/>
      </c>
      <c r="C434" s="66">
        <f>B434/B433-1</f>
        <v/>
      </c>
      <c r="D434" s="66">
        <f>(Table18[[#This Row],[Index]]-B422)/B422</f>
        <v/>
      </c>
    </row>
    <row r="435">
      <c r="A435" s="17" t="n">
        <v>39326</v>
      </c>
      <c r="B435" s="58">
        <f>VLOOKUP(Table18[[#This Row],[Date]],database!A:G,5,)</f>
        <v/>
      </c>
      <c r="C435" s="66">
        <f>B435/B434-1</f>
        <v/>
      </c>
      <c r="D435" s="66">
        <f>(Table18[[#This Row],[Index]]-B423)/B423</f>
        <v/>
      </c>
    </row>
    <row r="436">
      <c r="A436" s="17" t="n">
        <v>39356</v>
      </c>
      <c r="B436" s="58">
        <f>VLOOKUP(Table18[[#This Row],[Date]],database!A:G,5,)</f>
        <v/>
      </c>
      <c r="C436" s="66">
        <f>B436/B435-1</f>
        <v/>
      </c>
      <c r="D436" s="66">
        <f>(Table18[[#This Row],[Index]]-B424)/B424</f>
        <v/>
      </c>
    </row>
    <row r="437">
      <c r="A437" s="17" t="n">
        <v>39387</v>
      </c>
      <c r="B437" s="58">
        <f>VLOOKUP(Table18[[#This Row],[Date]],database!A:G,5,)</f>
        <v/>
      </c>
      <c r="C437" s="66">
        <f>B437/B436-1</f>
        <v/>
      </c>
      <c r="D437" s="66">
        <f>(Table18[[#This Row],[Index]]-B425)/B425</f>
        <v/>
      </c>
    </row>
    <row r="438">
      <c r="A438" s="17" t="n">
        <v>39417</v>
      </c>
      <c r="B438" s="58">
        <f>VLOOKUP(Table18[[#This Row],[Date]],database!A:G,5,)</f>
        <v/>
      </c>
      <c r="C438" s="66">
        <f>B438/B437-1</f>
        <v/>
      </c>
      <c r="D438" s="66">
        <f>(Table18[[#This Row],[Index]]-B426)/B426</f>
        <v/>
      </c>
    </row>
    <row r="439">
      <c r="A439" s="17" t="n">
        <v>39448</v>
      </c>
      <c r="B439" s="58">
        <f>VLOOKUP(Table18[[#This Row],[Date]],database!A:G,5,)</f>
        <v/>
      </c>
      <c r="C439" s="66">
        <f>B439/B438-1</f>
        <v/>
      </c>
      <c r="D439" s="66">
        <f>(Table18[[#This Row],[Index]]-B427)/B427</f>
        <v/>
      </c>
    </row>
    <row r="440">
      <c r="A440" s="17" t="n">
        <v>39479</v>
      </c>
      <c r="B440" s="58">
        <f>VLOOKUP(Table18[[#This Row],[Date]],database!A:G,5,)</f>
        <v/>
      </c>
      <c r="C440" s="66">
        <f>B440/B439-1</f>
        <v/>
      </c>
      <c r="D440" s="66">
        <f>(Table18[[#This Row],[Index]]-B428)/B428</f>
        <v/>
      </c>
    </row>
    <row r="441">
      <c r="A441" s="17" t="n">
        <v>39508</v>
      </c>
      <c r="B441" s="58">
        <f>VLOOKUP(Table18[[#This Row],[Date]],database!A:G,5,)</f>
        <v/>
      </c>
      <c r="C441" s="66">
        <f>B441/B440-1</f>
        <v/>
      </c>
      <c r="D441" s="66">
        <f>(Table18[[#This Row],[Index]]-B429)/B429</f>
        <v/>
      </c>
    </row>
    <row r="442">
      <c r="A442" s="17" t="n">
        <v>39539</v>
      </c>
      <c r="B442" s="58">
        <f>VLOOKUP(Table18[[#This Row],[Date]],database!A:G,5,)</f>
        <v/>
      </c>
      <c r="C442" s="66">
        <f>B442/B441-1</f>
        <v/>
      </c>
      <c r="D442" s="66">
        <f>(Table18[[#This Row],[Index]]-B430)/B430</f>
        <v/>
      </c>
    </row>
    <row r="443">
      <c r="A443" s="17" t="n">
        <v>39569</v>
      </c>
      <c r="B443" s="58">
        <f>VLOOKUP(Table18[[#This Row],[Date]],database!A:G,5,)</f>
        <v/>
      </c>
      <c r="C443" s="66">
        <f>B443/B442-1</f>
        <v/>
      </c>
      <c r="D443" s="66">
        <f>(Table18[[#This Row],[Index]]-B431)/B431</f>
        <v/>
      </c>
    </row>
    <row r="444">
      <c r="A444" s="17" t="n">
        <v>39600</v>
      </c>
      <c r="B444" s="58">
        <f>VLOOKUP(Table18[[#This Row],[Date]],database!A:G,5,)</f>
        <v/>
      </c>
      <c r="C444" s="66">
        <f>B444/B443-1</f>
        <v/>
      </c>
      <c r="D444" s="66">
        <f>(Table18[[#This Row],[Index]]-B432)/B432</f>
        <v/>
      </c>
    </row>
    <row r="445">
      <c r="A445" s="17" t="n">
        <v>39630</v>
      </c>
      <c r="B445" s="58">
        <f>VLOOKUP(Table18[[#This Row],[Date]],database!A:G,5,)</f>
        <v/>
      </c>
      <c r="C445" s="66">
        <f>B445/B444-1</f>
        <v/>
      </c>
      <c r="D445" s="66">
        <f>(Table18[[#This Row],[Index]]-B433)/B433</f>
        <v/>
      </c>
    </row>
    <row r="446">
      <c r="A446" s="17" t="n">
        <v>39661</v>
      </c>
      <c r="B446" s="58">
        <f>VLOOKUP(Table18[[#This Row],[Date]],database!A:G,5,)</f>
        <v/>
      </c>
      <c r="C446" s="66">
        <f>B446/B445-1</f>
        <v/>
      </c>
      <c r="D446" s="66">
        <f>(Table18[[#This Row],[Index]]-B434)/B434</f>
        <v/>
      </c>
    </row>
    <row r="447">
      <c r="A447" s="17" t="n">
        <v>39692</v>
      </c>
      <c r="B447" s="58">
        <f>VLOOKUP(Table18[[#This Row],[Date]],database!A:G,5,)</f>
        <v/>
      </c>
      <c r="C447" s="66">
        <f>B447/B446-1</f>
        <v/>
      </c>
      <c r="D447" s="66">
        <f>(Table18[[#This Row],[Index]]-B435)/B435</f>
        <v/>
      </c>
    </row>
    <row r="448">
      <c r="A448" s="17" t="n">
        <v>39722</v>
      </c>
      <c r="B448" s="58">
        <f>VLOOKUP(Table18[[#This Row],[Date]],database!A:G,5,)</f>
        <v/>
      </c>
      <c r="C448" s="66">
        <f>B448/B447-1</f>
        <v/>
      </c>
      <c r="D448" s="66">
        <f>(Table18[[#This Row],[Index]]-B436)/B436</f>
        <v/>
      </c>
    </row>
    <row r="449">
      <c r="A449" s="17" t="n">
        <v>39753</v>
      </c>
      <c r="B449" s="58">
        <f>VLOOKUP(Table18[[#This Row],[Date]],database!A:G,5,)</f>
        <v/>
      </c>
      <c r="C449" s="66">
        <f>B449/B448-1</f>
        <v/>
      </c>
      <c r="D449" s="66">
        <f>(Table18[[#This Row],[Index]]-B437)/B437</f>
        <v/>
      </c>
    </row>
    <row r="450">
      <c r="A450" s="17" t="n">
        <v>39783</v>
      </c>
      <c r="B450" s="58">
        <f>VLOOKUP(Table18[[#This Row],[Date]],database!A:G,5,)</f>
        <v/>
      </c>
      <c r="C450" s="66">
        <f>B450/B449-1</f>
        <v/>
      </c>
      <c r="D450" s="66">
        <f>(Table18[[#This Row],[Index]]-B438)/B438</f>
        <v/>
      </c>
    </row>
    <row r="451">
      <c r="A451" s="17" t="n">
        <v>39814</v>
      </c>
      <c r="B451" s="58">
        <f>VLOOKUP(Table18[[#This Row],[Date]],database!A:G,5,)</f>
        <v/>
      </c>
      <c r="C451" s="66">
        <f>B451/B450-1</f>
        <v/>
      </c>
      <c r="D451" s="66">
        <f>(Table18[[#This Row],[Index]]-B439)/B439</f>
        <v/>
      </c>
    </row>
    <row r="452">
      <c r="A452" s="17" t="n">
        <v>39845</v>
      </c>
      <c r="B452" s="58">
        <f>VLOOKUP(Table18[[#This Row],[Date]],database!A:G,5,)</f>
        <v/>
      </c>
      <c r="C452" s="66">
        <f>B452/B451-1</f>
        <v/>
      </c>
      <c r="D452" s="66">
        <f>(Table18[[#This Row],[Index]]-B440)/B440</f>
        <v/>
      </c>
    </row>
    <row r="453">
      <c r="A453" s="17" t="n">
        <v>39873</v>
      </c>
      <c r="B453" s="58">
        <f>VLOOKUP(Table18[[#This Row],[Date]],database!A:G,5,)</f>
        <v/>
      </c>
      <c r="C453" s="66">
        <f>B453/B452-1</f>
        <v/>
      </c>
      <c r="D453" s="66">
        <f>(Table18[[#This Row],[Index]]-B441)/B441</f>
        <v/>
      </c>
    </row>
    <row r="454">
      <c r="A454" s="17" t="n">
        <v>39904</v>
      </c>
      <c r="B454" s="58">
        <f>VLOOKUP(Table18[[#This Row],[Date]],database!A:G,5,)</f>
        <v/>
      </c>
      <c r="C454" s="66">
        <f>B454/B453-1</f>
        <v/>
      </c>
      <c r="D454" s="66">
        <f>(Table18[[#This Row],[Index]]-B442)/B442</f>
        <v/>
      </c>
    </row>
    <row r="455">
      <c r="A455" s="17" t="n">
        <v>39934</v>
      </c>
      <c r="B455" s="58">
        <f>VLOOKUP(Table18[[#This Row],[Date]],database!A:G,5,)</f>
        <v/>
      </c>
      <c r="C455" s="66">
        <f>B455/B454-1</f>
        <v/>
      </c>
      <c r="D455" s="66">
        <f>(Table18[[#This Row],[Index]]-B443)/B443</f>
        <v/>
      </c>
    </row>
    <row r="456">
      <c r="A456" s="17" t="n">
        <v>39965</v>
      </c>
      <c r="B456" s="58">
        <f>VLOOKUP(Table18[[#This Row],[Date]],database!A:G,5,)</f>
        <v/>
      </c>
      <c r="C456" s="66">
        <f>B456/B455-1</f>
        <v/>
      </c>
      <c r="D456" s="66">
        <f>(Table18[[#This Row],[Index]]-B444)/B444</f>
        <v/>
      </c>
    </row>
    <row r="457">
      <c r="A457" s="17" t="n">
        <v>39995</v>
      </c>
      <c r="B457" s="58">
        <f>VLOOKUP(Table18[[#This Row],[Date]],database!A:G,5,)</f>
        <v/>
      </c>
      <c r="C457" s="66">
        <f>B457/B456-1</f>
        <v/>
      </c>
      <c r="D457" s="66">
        <f>(Table18[[#This Row],[Index]]-B445)/B445</f>
        <v/>
      </c>
    </row>
    <row r="458">
      <c r="A458" s="17" t="n">
        <v>40026</v>
      </c>
      <c r="B458" s="58">
        <f>VLOOKUP(Table18[[#This Row],[Date]],database!A:G,5,)</f>
        <v/>
      </c>
      <c r="C458" s="66">
        <f>B458/B457-1</f>
        <v/>
      </c>
      <c r="D458" s="66">
        <f>(Table18[[#This Row],[Index]]-B446)/B446</f>
        <v/>
      </c>
    </row>
    <row r="459">
      <c r="A459" s="17" t="n">
        <v>40057</v>
      </c>
      <c r="B459" s="58">
        <f>VLOOKUP(Table18[[#This Row],[Date]],database!A:G,5,)</f>
        <v/>
      </c>
      <c r="C459" s="66">
        <f>B459/B458-1</f>
        <v/>
      </c>
      <c r="D459" s="66">
        <f>(Table18[[#This Row],[Index]]-B447)/B447</f>
        <v/>
      </c>
    </row>
    <row r="460">
      <c r="A460" s="17" t="n">
        <v>40087</v>
      </c>
      <c r="B460" s="58">
        <f>VLOOKUP(Table18[[#This Row],[Date]],database!A:G,5,)</f>
        <v/>
      </c>
      <c r="C460" s="66">
        <f>B460/B459-1</f>
        <v/>
      </c>
      <c r="D460" s="66">
        <f>(Table18[[#This Row],[Index]]-B448)/B448</f>
        <v/>
      </c>
    </row>
    <row r="461">
      <c r="A461" s="17" t="n">
        <v>40118</v>
      </c>
      <c r="B461" s="58">
        <f>VLOOKUP(Table18[[#This Row],[Date]],database!A:G,5,)</f>
        <v/>
      </c>
      <c r="C461" s="66">
        <f>B461/B460-1</f>
        <v/>
      </c>
      <c r="D461" s="66">
        <f>(Table18[[#This Row],[Index]]-B449)/B449</f>
        <v/>
      </c>
    </row>
    <row r="462">
      <c r="A462" s="17" t="n">
        <v>40148</v>
      </c>
      <c r="B462" s="58">
        <f>VLOOKUP(Table18[[#This Row],[Date]],database!A:G,5,)</f>
        <v/>
      </c>
      <c r="C462" s="66">
        <f>B462/B461-1</f>
        <v/>
      </c>
      <c r="D462" s="66">
        <f>(Table18[[#This Row],[Index]]-B450)/B450</f>
        <v/>
      </c>
    </row>
    <row r="463">
      <c r="A463" s="17" t="n">
        <v>40179</v>
      </c>
      <c r="B463" s="58">
        <f>VLOOKUP(Table18[[#This Row],[Date]],database!A:G,5,)</f>
        <v/>
      </c>
      <c r="C463" s="66">
        <f>B463/B462-1</f>
        <v/>
      </c>
      <c r="D463" s="66">
        <f>(Table18[[#This Row],[Index]]-B451)/B451</f>
        <v/>
      </c>
    </row>
    <row r="464">
      <c r="A464" s="17" t="n">
        <v>40210</v>
      </c>
      <c r="B464" s="58">
        <f>VLOOKUP(Table18[[#This Row],[Date]],database!A:G,5,)</f>
        <v/>
      </c>
      <c r="C464" s="66">
        <f>B464/B463-1</f>
        <v/>
      </c>
      <c r="D464" s="66">
        <f>(Table18[[#This Row],[Index]]-B452)/B452</f>
        <v/>
      </c>
    </row>
    <row r="465">
      <c r="A465" s="17" t="n">
        <v>40238</v>
      </c>
      <c r="B465" s="58">
        <f>VLOOKUP(Table18[[#This Row],[Date]],database!A:G,5,)</f>
        <v/>
      </c>
      <c r="C465" s="66">
        <f>B465/B464-1</f>
        <v/>
      </c>
      <c r="D465" s="66">
        <f>(Table18[[#This Row],[Index]]-B453)/B453</f>
        <v/>
      </c>
    </row>
    <row r="466">
      <c r="A466" s="17" t="n">
        <v>40269</v>
      </c>
      <c r="B466" s="58">
        <f>VLOOKUP(Table18[[#This Row],[Date]],database!A:G,5,)</f>
        <v/>
      </c>
      <c r="C466" s="66">
        <f>B466/B465-1</f>
        <v/>
      </c>
      <c r="D466" s="66">
        <f>(Table18[[#This Row],[Index]]-B454)/B454</f>
        <v/>
      </c>
    </row>
    <row r="467">
      <c r="A467" s="17" t="n">
        <v>40299</v>
      </c>
      <c r="B467" s="58">
        <f>VLOOKUP(Table18[[#This Row],[Date]],database!A:G,5,)</f>
        <v/>
      </c>
      <c r="C467" s="66">
        <f>B467/B466-1</f>
        <v/>
      </c>
      <c r="D467" s="66">
        <f>(Table18[[#This Row],[Index]]-B455)/B455</f>
        <v/>
      </c>
    </row>
    <row r="468">
      <c r="A468" s="17" t="n">
        <v>40330</v>
      </c>
      <c r="B468" s="58">
        <f>VLOOKUP(Table18[[#This Row],[Date]],database!A:G,5,)</f>
        <v/>
      </c>
      <c r="C468" s="66">
        <f>B468/B467-1</f>
        <v/>
      </c>
      <c r="D468" s="66">
        <f>(Table18[[#This Row],[Index]]-B456)/B456</f>
        <v/>
      </c>
    </row>
    <row r="469">
      <c r="A469" s="17" t="n">
        <v>40360</v>
      </c>
      <c r="B469" s="58">
        <f>VLOOKUP(Table18[[#This Row],[Date]],database!A:G,5,)</f>
        <v/>
      </c>
      <c r="C469" s="66">
        <f>B469/B468-1</f>
        <v/>
      </c>
      <c r="D469" s="66">
        <f>(Table18[[#This Row],[Index]]-B457)/B457</f>
        <v/>
      </c>
    </row>
    <row r="470">
      <c r="A470" s="17" t="n">
        <v>40391</v>
      </c>
      <c r="B470" s="58">
        <f>VLOOKUP(Table18[[#This Row],[Date]],database!A:G,5,)</f>
        <v/>
      </c>
      <c r="C470" s="66">
        <f>B470/B469-1</f>
        <v/>
      </c>
      <c r="D470" s="66">
        <f>(Table18[[#This Row],[Index]]-B458)/B458</f>
        <v/>
      </c>
    </row>
    <row r="471">
      <c r="A471" s="17" t="n">
        <v>40422</v>
      </c>
      <c r="B471" s="58">
        <f>VLOOKUP(Table18[[#This Row],[Date]],database!A:G,5,)</f>
        <v/>
      </c>
      <c r="C471" s="66">
        <f>B471/B470-1</f>
        <v/>
      </c>
      <c r="D471" s="66">
        <f>(Table18[[#This Row],[Index]]-B459)/B459</f>
        <v/>
      </c>
    </row>
    <row r="472">
      <c r="A472" s="17" t="n">
        <v>40452</v>
      </c>
      <c r="B472" s="58">
        <f>VLOOKUP(Table18[[#This Row],[Date]],database!A:G,5,)</f>
        <v/>
      </c>
      <c r="C472" s="66">
        <f>B472/B471-1</f>
        <v/>
      </c>
      <c r="D472" s="66">
        <f>(Table18[[#This Row],[Index]]-B460)/B460</f>
        <v/>
      </c>
    </row>
    <row r="473">
      <c r="A473" s="17" t="n">
        <v>40483</v>
      </c>
      <c r="B473" s="58">
        <f>VLOOKUP(Table18[[#This Row],[Date]],database!A:G,5,)</f>
        <v/>
      </c>
      <c r="C473" s="66">
        <f>B473/B472-1</f>
        <v/>
      </c>
      <c r="D473" s="66">
        <f>(Table18[[#This Row],[Index]]-B461)/B461</f>
        <v/>
      </c>
    </row>
    <row r="474">
      <c r="A474" s="17" t="n">
        <v>40513</v>
      </c>
      <c r="B474" s="58">
        <f>VLOOKUP(Table18[[#This Row],[Date]],database!A:G,5,)</f>
        <v/>
      </c>
      <c r="C474" s="66">
        <f>B474/B473-1</f>
        <v/>
      </c>
      <c r="D474" s="66">
        <f>(Table18[[#This Row],[Index]]-B462)/B462</f>
        <v/>
      </c>
    </row>
    <row r="475">
      <c r="A475" s="17" t="n">
        <v>40544</v>
      </c>
      <c r="B475" s="58">
        <f>VLOOKUP(Table18[[#This Row],[Date]],database!A:G,5,)</f>
        <v/>
      </c>
      <c r="C475" s="66">
        <f>B475/B474-1</f>
        <v/>
      </c>
      <c r="D475" s="66">
        <f>(Table18[[#This Row],[Index]]-B463)/B463</f>
        <v/>
      </c>
    </row>
    <row r="476">
      <c r="A476" s="17" t="n">
        <v>40575</v>
      </c>
      <c r="B476" s="58">
        <f>VLOOKUP(Table18[[#This Row],[Date]],database!A:G,5,)</f>
        <v/>
      </c>
      <c r="C476" s="66">
        <f>B476/B475-1</f>
        <v/>
      </c>
      <c r="D476" s="66">
        <f>(Table18[[#This Row],[Index]]-B464)/B464</f>
        <v/>
      </c>
    </row>
    <row r="477">
      <c r="A477" s="17" t="n">
        <v>40603</v>
      </c>
      <c r="B477" s="58">
        <f>VLOOKUP(Table18[[#This Row],[Date]],database!A:G,5,)</f>
        <v/>
      </c>
      <c r="C477" s="66">
        <f>B477/B476-1</f>
        <v/>
      </c>
      <c r="D477" s="66">
        <f>(Table18[[#This Row],[Index]]-B465)/B465</f>
        <v/>
      </c>
    </row>
    <row r="478">
      <c r="A478" s="17" t="n">
        <v>40634</v>
      </c>
      <c r="B478" s="58">
        <f>VLOOKUP(Table18[[#This Row],[Date]],database!A:G,5,)</f>
        <v/>
      </c>
      <c r="C478" s="67">
        <f>B478/B477-1</f>
        <v/>
      </c>
      <c r="D478" s="66">
        <f>(Table18[[#This Row],[Index]]-B466)/B466</f>
        <v/>
      </c>
    </row>
    <row r="479">
      <c r="A479" s="17" t="n">
        <v>40664</v>
      </c>
      <c r="B479" s="58">
        <f>VLOOKUP(Table18[[#This Row],[Date]],database!A:G,5,)</f>
        <v/>
      </c>
      <c r="C479" s="66">
        <f>B479/B478-1</f>
        <v/>
      </c>
      <c r="D479" s="66">
        <f>(Table18[[#This Row],[Index]]-B467)/B467</f>
        <v/>
      </c>
    </row>
    <row r="480">
      <c r="A480" s="17" t="n">
        <v>40695</v>
      </c>
      <c r="B480" s="58">
        <f>VLOOKUP(Table18[[#This Row],[Date]],database!A:G,5,)</f>
        <v/>
      </c>
      <c r="C480" s="66">
        <f>B480/B479-1</f>
        <v/>
      </c>
      <c r="D480" s="66">
        <f>(Table18[[#This Row],[Index]]-B468)/B468</f>
        <v/>
      </c>
    </row>
    <row r="481">
      <c r="A481" s="17" t="n">
        <v>40725</v>
      </c>
      <c r="B481" s="58">
        <f>VLOOKUP(Table18[[#This Row],[Date]],database!A:G,5,)</f>
        <v/>
      </c>
      <c r="C481" s="66">
        <f>B481/B480-1</f>
        <v/>
      </c>
      <c r="D481" s="66">
        <f>(Table18[[#This Row],[Index]]-B469)/B469</f>
        <v/>
      </c>
    </row>
    <row r="482">
      <c r="A482" s="17" t="n">
        <v>40756</v>
      </c>
      <c r="B482" s="58">
        <f>VLOOKUP(Table18[[#This Row],[Date]],database!A:G,5,)</f>
        <v/>
      </c>
      <c r="C482" s="66">
        <f>B482/B481-1</f>
        <v/>
      </c>
      <c r="D482" s="66">
        <f>(Table18[[#This Row],[Index]]-B470)/B470</f>
        <v/>
      </c>
    </row>
    <row r="483">
      <c r="A483" s="17" t="n">
        <v>40787</v>
      </c>
      <c r="B483" s="58">
        <f>VLOOKUP(Table18[[#This Row],[Date]],database!A:G,5,)</f>
        <v/>
      </c>
      <c r="C483" s="66">
        <f>B483/B482-1</f>
        <v/>
      </c>
      <c r="D483" s="66">
        <f>(Table18[[#This Row],[Index]]-B471)/B471</f>
        <v/>
      </c>
    </row>
    <row r="484">
      <c r="A484" s="17" t="n">
        <v>40817</v>
      </c>
      <c r="B484" s="58">
        <f>VLOOKUP(Table18[[#This Row],[Date]],database!A:G,5,)</f>
        <v/>
      </c>
      <c r="C484" s="66">
        <f>B484/B483-1</f>
        <v/>
      </c>
      <c r="D484" s="66">
        <f>(Table18[[#This Row],[Index]]-B472)/B472</f>
        <v/>
      </c>
    </row>
    <row r="485">
      <c r="A485" s="17" t="n">
        <v>40848</v>
      </c>
      <c r="B485" s="58">
        <f>VLOOKUP(Table18[[#This Row],[Date]],database!A:G,5,)</f>
        <v/>
      </c>
      <c r="C485" s="66">
        <f>B485/B484-1</f>
        <v/>
      </c>
      <c r="D485" s="66">
        <f>(Table18[[#This Row],[Index]]-B473)/B473</f>
        <v/>
      </c>
    </row>
    <row r="486">
      <c r="A486" s="17" t="n">
        <v>40878</v>
      </c>
      <c r="B486" s="58">
        <f>VLOOKUP(Table18[[#This Row],[Date]],database!A:G,5,)</f>
        <v/>
      </c>
      <c r="C486" s="66">
        <f>B486/B485-1</f>
        <v/>
      </c>
      <c r="D486" s="66">
        <f>(Table18[[#This Row],[Index]]-B474)/B474</f>
        <v/>
      </c>
    </row>
    <row r="487">
      <c r="A487" s="17" t="n">
        <v>40909</v>
      </c>
      <c r="B487" s="58">
        <f>VLOOKUP(Table18[[#This Row],[Date]],database!A:G,5,)</f>
        <v/>
      </c>
      <c r="C487" s="66">
        <f>B487/B486-1</f>
        <v/>
      </c>
      <c r="D487" s="66">
        <f>(Table18[[#This Row],[Index]]-B475)/B475</f>
        <v/>
      </c>
    </row>
    <row r="488">
      <c r="A488" s="17" t="n">
        <v>40940</v>
      </c>
      <c r="B488" s="58">
        <f>VLOOKUP(Table18[[#This Row],[Date]],database!A:G,5,)</f>
        <v/>
      </c>
      <c r="C488" s="66">
        <f>B488/B487-1</f>
        <v/>
      </c>
      <c r="D488" s="66">
        <f>(Table18[[#This Row],[Index]]-B476)/B476</f>
        <v/>
      </c>
    </row>
    <row r="489">
      <c r="A489" s="17" t="n">
        <v>40969</v>
      </c>
      <c r="B489" s="58">
        <f>VLOOKUP(Table18[[#This Row],[Date]],database!A:G,5,)</f>
        <v/>
      </c>
      <c r="C489" s="66">
        <f>B489/B488-1</f>
        <v/>
      </c>
      <c r="D489" s="66">
        <f>(Table18[[#This Row],[Index]]-B477)/B477</f>
        <v/>
      </c>
    </row>
    <row r="490">
      <c r="A490" s="17" t="n">
        <v>41000</v>
      </c>
      <c r="B490" s="58">
        <f>VLOOKUP(Table18[[#This Row],[Date]],database!A:G,5,)</f>
        <v/>
      </c>
      <c r="C490" s="66">
        <f>B490/B489-1</f>
        <v/>
      </c>
      <c r="D490" s="66">
        <f>(Table18[[#This Row],[Index]]-B478)/B478</f>
        <v/>
      </c>
    </row>
    <row r="491">
      <c r="A491" s="17" t="n">
        <v>41030</v>
      </c>
      <c r="B491" s="58">
        <f>VLOOKUP(Table18[[#This Row],[Date]],database!A:G,5,)</f>
        <v/>
      </c>
      <c r="C491" s="66">
        <f>B491/B490-1</f>
        <v/>
      </c>
      <c r="D491" s="66">
        <f>(Table18[[#This Row],[Index]]-B479)/B479</f>
        <v/>
      </c>
    </row>
    <row r="492">
      <c r="A492" s="17" t="n">
        <v>41061</v>
      </c>
      <c r="B492" s="58">
        <f>VLOOKUP(Table18[[#This Row],[Date]],database!A:G,5,)</f>
        <v/>
      </c>
      <c r="C492" s="66">
        <f>B492/B491-1</f>
        <v/>
      </c>
      <c r="D492" s="66">
        <f>(Table18[[#This Row],[Index]]-B480)/B480</f>
        <v/>
      </c>
    </row>
    <row r="493">
      <c r="A493" s="17" t="n">
        <v>41091</v>
      </c>
      <c r="B493" s="58">
        <f>VLOOKUP(Table18[[#This Row],[Date]],database!A:G,5,)</f>
        <v/>
      </c>
      <c r="C493" s="66">
        <f>B493/B492-1</f>
        <v/>
      </c>
      <c r="D493" s="66">
        <f>(Table18[[#This Row],[Index]]-B481)/B481</f>
        <v/>
      </c>
    </row>
    <row r="494">
      <c r="A494" s="17" t="n">
        <v>41122</v>
      </c>
      <c r="B494" s="58">
        <f>VLOOKUP(Table18[[#This Row],[Date]],database!A:G,5,)</f>
        <v/>
      </c>
      <c r="C494" s="66">
        <f>B494/B493-1</f>
        <v/>
      </c>
      <c r="D494" s="66">
        <f>(Table18[[#This Row],[Index]]-B482)/B482</f>
        <v/>
      </c>
    </row>
    <row r="495">
      <c r="A495" s="17" t="n">
        <v>41153</v>
      </c>
      <c r="B495" s="58">
        <f>VLOOKUP(Table18[[#This Row],[Date]],database!A:G,5,)</f>
        <v/>
      </c>
      <c r="C495" s="66">
        <f>B495/B494-1</f>
        <v/>
      </c>
      <c r="D495" s="66">
        <f>(Table18[[#This Row],[Index]]-B483)/B483</f>
        <v/>
      </c>
    </row>
    <row r="496">
      <c r="A496" s="17" t="n">
        <v>41183</v>
      </c>
      <c r="B496" s="58">
        <f>VLOOKUP(Table18[[#This Row],[Date]],database!A:G,5,)</f>
        <v/>
      </c>
      <c r="C496" s="66">
        <f>B496/B495-1</f>
        <v/>
      </c>
      <c r="D496" s="66">
        <f>(Table18[[#This Row],[Index]]-B484)/B484</f>
        <v/>
      </c>
    </row>
    <row r="497">
      <c r="A497" s="17" t="n">
        <v>41214</v>
      </c>
      <c r="B497" s="58">
        <f>VLOOKUP(Table18[[#This Row],[Date]],database!A:G,5,)</f>
        <v/>
      </c>
      <c r="C497" s="66">
        <f>B497/B496-1</f>
        <v/>
      </c>
      <c r="D497" s="66">
        <f>(Table18[[#This Row],[Index]]-B485)/B485</f>
        <v/>
      </c>
    </row>
    <row r="498">
      <c r="A498" s="17" t="n">
        <v>41244</v>
      </c>
      <c r="B498" s="58">
        <f>VLOOKUP(Table18[[#This Row],[Date]],database!A:G,5,)</f>
        <v/>
      </c>
      <c r="C498" s="66">
        <f>B498/B497-1</f>
        <v/>
      </c>
      <c r="D498" s="66">
        <f>(Table18[[#This Row],[Index]]-B486)/B486</f>
        <v/>
      </c>
    </row>
    <row r="499">
      <c r="A499" s="17" t="n">
        <v>41275</v>
      </c>
      <c r="B499" s="58">
        <f>VLOOKUP(Table18[[#This Row],[Date]],database!A:G,5,)</f>
        <v/>
      </c>
      <c r="C499" s="66">
        <f>B499/B498-1</f>
        <v/>
      </c>
      <c r="D499" s="66">
        <f>(Table18[[#This Row],[Index]]-B487)/B487</f>
        <v/>
      </c>
    </row>
    <row r="500">
      <c r="A500" s="17" t="n">
        <v>41306</v>
      </c>
      <c r="B500" s="58">
        <f>VLOOKUP(Table18[[#This Row],[Date]],database!A:G,5,)</f>
        <v/>
      </c>
      <c r="C500" s="66">
        <f>B500/B499-1</f>
        <v/>
      </c>
      <c r="D500" s="66">
        <f>(Table18[[#This Row],[Index]]-B488)/B488</f>
        <v/>
      </c>
    </row>
    <row r="501">
      <c r="A501" s="17" t="n">
        <v>41334</v>
      </c>
      <c r="B501" s="58">
        <f>VLOOKUP(Table18[[#This Row],[Date]],database!A:G,5,)</f>
        <v/>
      </c>
      <c r="C501" s="66">
        <f>B501/B500-1</f>
        <v/>
      </c>
      <c r="D501" s="66">
        <f>(Table18[[#This Row],[Index]]-B489)/B489</f>
        <v/>
      </c>
    </row>
    <row r="502">
      <c r="A502" s="17" t="n">
        <v>41365</v>
      </c>
      <c r="B502" s="58">
        <f>VLOOKUP(Table18[[#This Row],[Date]],database!A:G,5,)</f>
        <v/>
      </c>
      <c r="C502" s="66">
        <f>B502/B501-1</f>
        <v/>
      </c>
      <c r="D502" s="66">
        <f>(Table18[[#This Row],[Index]]-B490)/B490</f>
        <v/>
      </c>
    </row>
    <row r="503">
      <c r="A503" s="17" t="n">
        <v>41395</v>
      </c>
      <c r="B503" s="58">
        <f>VLOOKUP(Table18[[#This Row],[Date]],database!A:G,5,)</f>
        <v/>
      </c>
      <c r="C503" s="66">
        <f>B503/B502-1</f>
        <v/>
      </c>
      <c r="D503" s="66">
        <f>(Table18[[#This Row],[Index]]-B491)/B491</f>
        <v/>
      </c>
    </row>
    <row r="504">
      <c r="A504" s="17" t="n">
        <v>41426</v>
      </c>
      <c r="B504" s="58">
        <f>VLOOKUP(Table18[[#This Row],[Date]],database!A:G,5,)</f>
        <v/>
      </c>
      <c r="C504" s="66">
        <f>B504/B503-1</f>
        <v/>
      </c>
      <c r="D504" s="66">
        <f>(Table18[[#This Row],[Index]]-B492)/B492</f>
        <v/>
      </c>
    </row>
    <row r="505">
      <c r="A505" s="17" t="n">
        <v>41456</v>
      </c>
      <c r="B505" s="58">
        <f>VLOOKUP(Table18[[#This Row],[Date]],database!A:G,5,)</f>
        <v/>
      </c>
      <c r="C505" s="66">
        <f>B505/B504-1</f>
        <v/>
      </c>
      <c r="D505" s="66">
        <f>(Table18[[#This Row],[Index]]-B493)/B493</f>
        <v/>
      </c>
    </row>
    <row r="506">
      <c r="A506" s="17" t="n">
        <v>41487</v>
      </c>
      <c r="B506" s="58">
        <f>VLOOKUP(Table18[[#This Row],[Date]],database!A:G,5,)</f>
        <v/>
      </c>
      <c r="C506" s="66">
        <f>B506/B505-1</f>
        <v/>
      </c>
      <c r="D506" s="66">
        <f>(Table18[[#This Row],[Index]]-B494)/B494</f>
        <v/>
      </c>
    </row>
    <row r="507">
      <c r="A507" s="17" t="n">
        <v>41518</v>
      </c>
      <c r="B507" s="58">
        <f>VLOOKUP(Table18[[#This Row],[Date]],database!A:G,5,)</f>
        <v/>
      </c>
      <c r="C507" s="66">
        <f>B507/B506-1</f>
        <v/>
      </c>
      <c r="D507" s="66">
        <f>(Table18[[#This Row],[Index]]-B495)/B495</f>
        <v/>
      </c>
    </row>
    <row r="508">
      <c r="A508" s="17" t="n">
        <v>41548</v>
      </c>
      <c r="B508" s="58">
        <f>VLOOKUP(Table18[[#This Row],[Date]],database!A:G,5,)</f>
        <v/>
      </c>
      <c r="C508" s="66">
        <f>B508/B507-1</f>
        <v/>
      </c>
      <c r="D508" s="66">
        <f>(Table18[[#This Row],[Index]]-B496)/B496</f>
        <v/>
      </c>
    </row>
    <row r="509">
      <c r="A509" s="17" t="n">
        <v>41579</v>
      </c>
      <c r="B509" s="58">
        <f>VLOOKUP(Table18[[#This Row],[Date]],database!A:G,5,)</f>
        <v/>
      </c>
      <c r="C509" s="66">
        <f>B509/B508-1</f>
        <v/>
      </c>
      <c r="D509" s="66">
        <f>(Table18[[#This Row],[Index]]-B497)/B497</f>
        <v/>
      </c>
    </row>
    <row r="510">
      <c r="A510" s="17" t="n">
        <v>41609</v>
      </c>
      <c r="B510" s="58">
        <f>VLOOKUP(Table18[[#This Row],[Date]],database!A:G,5,)</f>
        <v/>
      </c>
      <c r="C510" s="66">
        <f>B510/B509-1</f>
        <v/>
      </c>
      <c r="D510" s="66">
        <f>(Table18[[#This Row],[Index]]-B498)/B498</f>
        <v/>
      </c>
    </row>
    <row r="511">
      <c r="A511" s="17" t="n">
        <v>41640</v>
      </c>
      <c r="B511" s="58">
        <f>VLOOKUP(Table18[[#This Row],[Date]],database!A:G,5,)</f>
        <v/>
      </c>
      <c r="C511" s="66">
        <f>B511/B510-1</f>
        <v/>
      </c>
      <c r="D511" s="66">
        <f>(Table18[[#This Row],[Index]]-B499)/B499</f>
        <v/>
      </c>
    </row>
    <row r="512">
      <c r="A512" s="17" t="n">
        <v>41671</v>
      </c>
      <c r="B512" s="58">
        <f>VLOOKUP(Table18[[#This Row],[Date]],database!A:G,5,)</f>
        <v/>
      </c>
      <c r="C512" s="66">
        <f>B512/B511-1</f>
        <v/>
      </c>
      <c r="D512" s="66">
        <f>(Table18[[#This Row],[Index]]-B500)/B500</f>
        <v/>
      </c>
    </row>
    <row r="513">
      <c r="A513" s="17" t="n">
        <v>41699</v>
      </c>
      <c r="B513" s="58">
        <f>VLOOKUP(Table18[[#This Row],[Date]],database!A:G,5,)</f>
        <v/>
      </c>
      <c r="C513" s="66">
        <f>B513/B512-1</f>
        <v/>
      </c>
      <c r="D513" s="66">
        <f>(Table18[[#This Row],[Index]]-B501)/B501</f>
        <v/>
      </c>
    </row>
    <row r="514">
      <c r="A514" s="17" t="n">
        <v>41730</v>
      </c>
      <c r="B514" s="58">
        <f>VLOOKUP(Table18[[#This Row],[Date]],database!A:G,5,)</f>
        <v/>
      </c>
      <c r="C514" s="66">
        <f>B514/B513-1</f>
        <v/>
      </c>
      <c r="D514" s="66">
        <f>(Table18[[#This Row],[Index]]-B502)/B502</f>
        <v/>
      </c>
    </row>
    <row r="515">
      <c r="A515" s="17" t="n">
        <v>41760</v>
      </c>
      <c r="B515" s="58">
        <f>VLOOKUP(Table18[[#This Row],[Date]],database!A:G,5,)</f>
        <v/>
      </c>
      <c r="C515" s="66">
        <f>B515/B514-1</f>
        <v/>
      </c>
      <c r="D515" s="66">
        <f>(Table18[[#This Row],[Index]]-B503)/B503</f>
        <v/>
      </c>
    </row>
    <row r="516">
      <c r="A516" s="17" t="n">
        <v>41791</v>
      </c>
      <c r="B516" s="58">
        <f>VLOOKUP(Table18[[#This Row],[Date]],database!A:G,5,)</f>
        <v/>
      </c>
      <c r="C516" s="66">
        <f>B516/B515-1</f>
        <v/>
      </c>
      <c r="D516" s="66">
        <f>(Table18[[#This Row],[Index]]-B504)/B504</f>
        <v/>
      </c>
    </row>
    <row r="517">
      <c r="A517" s="17" t="n">
        <v>41821</v>
      </c>
      <c r="B517" s="58">
        <f>VLOOKUP(Table18[[#This Row],[Date]],database!A:G,5,)</f>
        <v/>
      </c>
      <c r="C517" s="66">
        <f>B517/B516-1</f>
        <v/>
      </c>
      <c r="D517" s="66">
        <f>(Table18[[#This Row],[Index]]-B505)/B505</f>
        <v/>
      </c>
    </row>
    <row r="518">
      <c r="A518" s="17" t="n">
        <v>41852</v>
      </c>
      <c r="B518" s="58">
        <f>VLOOKUP(Table18[[#This Row],[Date]],database!A:G,5,)</f>
        <v/>
      </c>
      <c r="C518" s="66">
        <f>B518/B517-1</f>
        <v/>
      </c>
      <c r="D518" s="66">
        <f>(Table18[[#This Row],[Index]]-B506)/B506</f>
        <v/>
      </c>
    </row>
    <row r="519">
      <c r="A519" s="17" t="n">
        <v>41883</v>
      </c>
      <c r="B519" s="58">
        <f>VLOOKUP(Table18[[#This Row],[Date]],database!A:G,5,)</f>
        <v/>
      </c>
      <c r="C519" s="66">
        <f>B519/B518-1</f>
        <v/>
      </c>
      <c r="D519" s="66">
        <f>(Table18[[#This Row],[Index]]-B507)/B507</f>
        <v/>
      </c>
    </row>
    <row r="520">
      <c r="A520" s="17" t="n">
        <v>41913</v>
      </c>
      <c r="B520" s="58">
        <f>VLOOKUP(Table18[[#This Row],[Date]],database!A:G,5,)</f>
        <v/>
      </c>
      <c r="C520" s="66">
        <f>B520/B519-1</f>
        <v/>
      </c>
      <c r="D520" s="66">
        <f>(Table18[[#This Row],[Index]]-B508)/B508</f>
        <v/>
      </c>
    </row>
    <row r="521">
      <c r="A521" s="17" t="n">
        <v>41944</v>
      </c>
      <c r="B521" s="58">
        <f>VLOOKUP(Table18[[#This Row],[Date]],database!A:G,5,)</f>
        <v/>
      </c>
      <c r="C521" s="67">
        <f>B521/B520-1</f>
        <v/>
      </c>
      <c r="D521" s="66">
        <f>(Table18[[#This Row],[Index]]-B509)/B509</f>
        <v/>
      </c>
    </row>
    <row r="522">
      <c r="A522" s="17" t="n">
        <v>41974</v>
      </c>
      <c r="B522" s="58">
        <f>VLOOKUP(Table18[[#This Row],[Date]],database!A:G,5,)</f>
        <v/>
      </c>
      <c r="C522" s="66">
        <f>B522/B521-1</f>
        <v/>
      </c>
      <c r="D522" s="66">
        <f>(Table18[[#This Row],[Index]]-B510)/B510</f>
        <v/>
      </c>
    </row>
    <row r="523">
      <c r="A523" s="17" t="n">
        <v>42005</v>
      </c>
      <c r="B523" s="58">
        <f>VLOOKUP(Table18[[#This Row],[Date]],database!A:G,5,)</f>
        <v/>
      </c>
      <c r="C523" s="67">
        <f>B523/B522-1</f>
        <v/>
      </c>
      <c r="D523" s="66">
        <f>(Table18[[#This Row],[Index]]-B511)/B511</f>
        <v/>
      </c>
    </row>
    <row r="524">
      <c r="A524" s="17" t="n">
        <v>42036</v>
      </c>
      <c r="B524" s="58">
        <f>VLOOKUP(Table18[[#This Row],[Date]],database!A:G,5,)</f>
        <v/>
      </c>
      <c r="C524" s="66">
        <f>B524/B523-1</f>
        <v/>
      </c>
      <c r="D524" s="66">
        <f>(Table18[[#This Row],[Index]]-B512)/B512</f>
        <v/>
      </c>
    </row>
    <row r="525">
      <c r="A525" s="17" t="n">
        <v>42064</v>
      </c>
      <c r="B525" s="58">
        <f>VLOOKUP(Table18[[#This Row],[Date]],database!A:G,5,)</f>
        <v/>
      </c>
      <c r="C525" s="67">
        <f>B525/B524-1</f>
        <v/>
      </c>
      <c r="D525" s="66">
        <f>(Table18[[#This Row],[Index]]-B513)/B513</f>
        <v/>
      </c>
    </row>
    <row r="526">
      <c r="A526" s="17" t="n">
        <v>42095</v>
      </c>
      <c r="B526" s="58">
        <f>VLOOKUP(Table18[[#This Row],[Date]],database!A:G,5,)</f>
        <v/>
      </c>
      <c r="C526" s="66">
        <f>B526/B525-1</f>
        <v/>
      </c>
      <c r="D526" s="66">
        <f>(Table18[[#This Row],[Index]]-B514)/B514</f>
        <v/>
      </c>
    </row>
    <row r="527">
      <c r="A527" s="17" t="n">
        <v>42125</v>
      </c>
      <c r="B527" s="58">
        <f>VLOOKUP(Table18[[#This Row],[Date]],database!A:G,5,)</f>
        <v/>
      </c>
      <c r="C527" s="66">
        <f>B527/B526-1</f>
        <v/>
      </c>
      <c r="D527" s="66">
        <f>(Table18[[#This Row],[Index]]-B515)/B515</f>
        <v/>
      </c>
    </row>
    <row r="528">
      <c r="A528" s="17" t="n">
        <v>42156</v>
      </c>
      <c r="B528" s="58">
        <f>VLOOKUP(Table18[[#This Row],[Date]],database!A:G,5,)</f>
        <v/>
      </c>
      <c r="C528" s="66">
        <f>B528/B527-1</f>
        <v/>
      </c>
      <c r="D528" s="66">
        <f>(Table18[[#This Row],[Index]]-B516)/B516</f>
        <v/>
      </c>
    </row>
    <row r="529">
      <c r="A529" s="17" t="n">
        <v>42186</v>
      </c>
      <c r="B529" s="58">
        <f>VLOOKUP(Table18[[#This Row],[Date]],database!A:G,5,)</f>
        <v/>
      </c>
      <c r="C529" s="66">
        <f>B529/B528-1</f>
        <v/>
      </c>
      <c r="D529" s="66">
        <f>(Table18[[#This Row],[Index]]-B517)/B517</f>
        <v/>
      </c>
    </row>
    <row r="530">
      <c r="A530" s="17" t="n">
        <v>42217</v>
      </c>
      <c r="B530" s="58">
        <f>VLOOKUP(Table18[[#This Row],[Date]],database!A:G,5,)</f>
        <v/>
      </c>
      <c r="C530" s="66">
        <f>B530/B529-1</f>
        <v/>
      </c>
      <c r="D530" s="66">
        <f>(Table18[[#This Row],[Index]]-B518)/B518</f>
        <v/>
      </c>
    </row>
    <row r="531">
      <c r="A531" s="17" t="n">
        <v>42248</v>
      </c>
      <c r="B531" s="58">
        <f>VLOOKUP(Table18[[#This Row],[Date]],database!A:G,5,)</f>
        <v/>
      </c>
      <c r="C531" s="66">
        <f>B531/B530-1</f>
        <v/>
      </c>
      <c r="D531" s="66">
        <f>(Table18[[#This Row],[Index]]-B519)/B519</f>
        <v/>
      </c>
    </row>
    <row r="532">
      <c r="A532" s="17" t="n">
        <v>42278</v>
      </c>
      <c r="B532" s="58">
        <f>VLOOKUP(Table18[[#This Row],[Date]],database!A:G,5,)</f>
        <v/>
      </c>
      <c r="C532" s="66">
        <f>B532/B531-1</f>
        <v/>
      </c>
      <c r="D532" s="66">
        <f>(Table18[[#This Row],[Index]]-B520)/B520</f>
        <v/>
      </c>
    </row>
    <row r="533">
      <c r="A533" s="17" t="n">
        <v>42309</v>
      </c>
      <c r="B533" s="58">
        <f>VLOOKUP(Table18[[#This Row],[Date]],database!A:G,5,)</f>
        <v/>
      </c>
      <c r="C533" s="66">
        <f>B533/B532-1</f>
        <v/>
      </c>
      <c r="D533" s="66">
        <f>(Table18[[#This Row],[Index]]-B521)/B521</f>
        <v/>
      </c>
    </row>
    <row r="534">
      <c r="A534" s="17" t="n">
        <v>42339</v>
      </c>
      <c r="B534" s="58">
        <f>VLOOKUP(Table18[[#This Row],[Date]],database!A:G,5,)</f>
        <v/>
      </c>
      <c r="C534" s="66">
        <f>B534/B533-1</f>
        <v/>
      </c>
      <c r="D534" s="66">
        <f>(Table18[[#This Row],[Index]]-B522)/B522</f>
        <v/>
      </c>
    </row>
    <row r="535">
      <c r="A535" s="17" t="n">
        <v>42370</v>
      </c>
      <c r="B535" s="58">
        <f>VLOOKUP(Table18[[#This Row],[Date]],database!A:G,5,)</f>
        <v/>
      </c>
      <c r="C535" s="66">
        <f>B535/B534-1</f>
        <v/>
      </c>
      <c r="D535" s="66">
        <f>(Table18[[#This Row],[Index]]-B523)/B523</f>
        <v/>
      </c>
    </row>
    <row r="536">
      <c r="A536" s="17" t="n">
        <v>42401</v>
      </c>
      <c r="B536" s="58">
        <f>VLOOKUP(Table18[[#This Row],[Date]],database!A:G,5,)</f>
        <v/>
      </c>
      <c r="C536" s="66">
        <f>B536/B535-1</f>
        <v/>
      </c>
      <c r="D536" s="66">
        <f>(Table18[[#This Row],[Index]]-B524)/B524</f>
        <v/>
      </c>
    </row>
    <row r="537">
      <c r="A537" s="17" t="n">
        <v>42430</v>
      </c>
      <c r="B537" s="58">
        <f>VLOOKUP(Table18[[#This Row],[Date]],database!A:G,5,)</f>
        <v/>
      </c>
      <c r="C537" s="66">
        <f>B537/B536-1</f>
        <v/>
      </c>
      <c r="D537" s="66">
        <f>(Table18[[#This Row],[Index]]-B525)/B525</f>
        <v/>
      </c>
    </row>
    <row r="538">
      <c r="A538" s="17" t="n">
        <v>42461</v>
      </c>
      <c r="B538" s="58">
        <f>VLOOKUP(Table18[[#This Row],[Date]],database!A:G,5,)</f>
        <v/>
      </c>
      <c r="C538" s="66">
        <f>B538/B537-1</f>
        <v/>
      </c>
      <c r="D538" s="66">
        <f>(Table18[[#This Row],[Index]]-B526)/B526</f>
        <v/>
      </c>
    </row>
    <row r="539">
      <c r="A539" s="17" t="n">
        <v>42491</v>
      </c>
      <c r="B539" s="58">
        <f>VLOOKUP(Table18[[#This Row],[Date]],database!A:G,5,)</f>
        <v/>
      </c>
      <c r="C539" s="66">
        <f>B539/B538-1</f>
        <v/>
      </c>
      <c r="D539" s="66">
        <f>(Table18[[#This Row],[Index]]-B527)/B527</f>
        <v/>
      </c>
    </row>
    <row r="540">
      <c r="A540" s="17" t="n">
        <v>42522</v>
      </c>
      <c r="B540" s="58">
        <f>VLOOKUP(Table18[[#This Row],[Date]],database!A:G,5,)</f>
        <v/>
      </c>
      <c r="C540" s="66">
        <f>B540/B539-1</f>
        <v/>
      </c>
      <c r="D540" s="66">
        <f>(Table18[[#This Row],[Index]]-B528)/B528</f>
        <v/>
      </c>
    </row>
    <row r="541">
      <c r="A541" s="17" t="n">
        <v>42552</v>
      </c>
      <c r="B541" s="58">
        <f>VLOOKUP(Table18[[#This Row],[Date]],database!A:G,5,)</f>
        <v/>
      </c>
      <c r="C541" s="66">
        <f>B541/B540-1</f>
        <v/>
      </c>
      <c r="D541" s="66">
        <f>(Table18[[#This Row],[Index]]-B529)/B529</f>
        <v/>
      </c>
    </row>
    <row r="542">
      <c r="A542" s="17" t="n">
        <v>42583</v>
      </c>
      <c r="B542" s="58">
        <f>VLOOKUP(Table18[[#This Row],[Date]],database!A:G,5,)</f>
        <v/>
      </c>
      <c r="C542" s="66">
        <f>B542/B541-1</f>
        <v/>
      </c>
      <c r="D542" s="66">
        <f>(Table18[[#This Row],[Index]]-B530)/B530</f>
        <v/>
      </c>
    </row>
    <row r="543">
      <c r="A543" s="17" t="n">
        <v>42614</v>
      </c>
      <c r="B543" s="58">
        <f>VLOOKUP(Table18[[#This Row],[Date]],database!A:G,5,)</f>
        <v/>
      </c>
      <c r="C543" s="66">
        <f>B543/B542-1</f>
        <v/>
      </c>
      <c r="D543" s="66">
        <f>(Table18[[#This Row],[Index]]-B531)/B531</f>
        <v/>
      </c>
    </row>
    <row r="544">
      <c r="A544" s="17" t="n">
        <v>42644</v>
      </c>
      <c r="B544" s="58">
        <f>VLOOKUP(Table18[[#This Row],[Date]],database!A:G,5,)</f>
        <v/>
      </c>
      <c r="C544" s="66">
        <f>B544/B543-1</f>
        <v/>
      </c>
      <c r="D544" s="66">
        <f>(Table18[[#This Row],[Index]]-B532)/B532</f>
        <v/>
      </c>
    </row>
    <row r="545">
      <c r="A545" s="17" t="n">
        <v>42675</v>
      </c>
      <c r="B545" s="58">
        <f>VLOOKUP(Table18[[#This Row],[Date]],database!A:G,5,)</f>
        <v/>
      </c>
      <c r="C545" s="66">
        <f>B545/B544-1</f>
        <v/>
      </c>
      <c r="D545" s="66">
        <f>(Table18[[#This Row],[Index]]-B533)/B533</f>
        <v/>
      </c>
    </row>
    <row r="546">
      <c r="A546" s="17" t="n">
        <v>42705</v>
      </c>
      <c r="B546" s="58">
        <f>VLOOKUP(Table18[[#This Row],[Date]],database!A:G,5,)</f>
        <v/>
      </c>
      <c r="C546" s="66">
        <f>B546/B545-1</f>
        <v/>
      </c>
      <c r="D546" s="66">
        <f>(Table18[[#This Row],[Index]]-B534)/B534</f>
        <v/>
      </c>
    </row>
    <row r="547">
      <c r="A547" s="17" t="n">
        <v>42736</v>
      </c>
      <c r="B547" s="58">
        <f>VLOOKUP(Table18[[#This Row],[Date]],database!A:G,5,)</f>
        <v/>
      </c>
      <c r="C547" s="66">
        <f>B547/B546-1</f>
        <v/>
      </c>
      <c r="D547" s="66">
        <f>(Table18[[#This Row],[Index]]-B535)/B535</f>
        <v/>
      </c>
    </row>
    <row r="548">
      <c r="A548" s="17" t="n">
        <v>42767</v>
      </c>
      <c r="B548" s="58">
        <f>VLOOKUP(Table18[[#This Row],[Date]],database!A:G,5,)</f>
        <v/>
      </c>
      <c r="C548" s="66">
        <f>B548/B547-1</f>
        <v/>
      </c>
      <c r="D548" s="66">
        <f>(Table18[[#This Row],[Index]]-B536)/B536</f>
        <v/>
      </c>
    </row>
    <row r="549">
      <c r="A549" s="17" t="n">
        <v>42795</v>
      </c>
      <c r="B549" s="58">
        <f>VLOOKUP(Table18[[#This Row],[Date]],database!A:G,5,)</f>
        <v/>
      </c>
      <c r="C549" s="66">
        <f>B549/B548-1</f>
        <v/>
      </c>
      <c r="D549" s="66">
        <f>(Table18[[#This Row],[Index]]-B537)/B537</f>
        <v/>
      </c>
    </row>
    <row r="550">
      <c r="A550" s="17" t="n">
        <v>42826</v>
      </c>
      <c r="B550" s="58">
        <f>VLOOKUP(Table18[[#This Row],[Date]],database!A:G,5,)</f>
        <v/>
      </c>
      <c r="C550" s="66">
        <f>B550/B549-1</f>
        <v/>
      </c>
      <c r="D550" s="66">
        <f>(Table18[[#This Row],[Index]]-B538)/B538</f>
        <v/>
      </c>
    </row>
    <row r="551">
      <c r="A551" s="17" t="n">
        <v>42856</v>
      </c>
      <c r="B551" s="58">
        <f>VLOOKUP(Table18[[#This Row],[Date]],database!A:G,5,)</f>
        <v/>
      </c>
      <c r="C551" s="66">
        <f>B551/B550-1</f>
        <v/>
      </c>
      <c r="D551" s="66">
        <f>(Table18[[#This Row],[Index]]-B539)/B539</f>
        <v/>
      </c>
    </row>
    <row r="552">
      <c r="A552" s="17" t="n">
        <v>42887</v>
      </c>
      <c r="B552" s="58">
        <f>VLOOKUP(Table18[[#This Row],[Date]],database!A:G,5,)</f>
        <v/>
      </c>
      <c r="C552" s="66">
        <f>B552/B551-1</f>
        <v/>
      </c>
      <c r="D552" s="66">
        <f>(Table18[[#This Row],[Index]]-B540)/B540</f>
        <v/>
      </c>
    </row>
    <row r="553">
      <c r="A553" s="17" t="n">
        <v>42917</v>
      </c>
      <c r="B553" s="58">
        <f>VLOOKUP(Table18[[#This Row],[Date]],database!A:G,5,)</f>
        <v/>
      </c>
      <c r="C553" s="66">
        <f>B553/B552-1</f>
        <v/>
      </c>
      <c r="D553" s="66">
        <f>(Table18[[#This Row],[Index]]-B541)/B541</f>
        <v/>
      </c>
    </row>
    <row r="554">
      <c r="A554" s="17" t="n">
        <v>42948</v>
      </c>
      <c r="B554" s="58">
        <f>VLOOKUP(Table18[[#This Row],[Date]],database!A:G,5,)</f>
        <v/>
      </c>
      <c r="C554" s="66">
        <f>B554/B553-1</f>
        <v/>
      </c>
      <c r="D554" s="66">
        <f>(Table18[[#This Row],[Index]]-B542)/B542</f>
        <v/>
      </c>
    </row>
    <row r="555">
      <c r="A555" s="17" t="n">
        <v>42979</v>
      </c>
      <c r="B555" s="58">
        <f>VLOOKUP(Table18[[#This Row],[Date]],database!A:G,5,)</f>
        <v/>
      </c>
      <c r="C555" s="66">
        <f>B555/B554-1</f>
        <v/>
      </c>
      <c r="D555" s="66">
        <f>(Table18[[#This Row],[Index]]-B543)/B543</f>
        <v/>
      </c>
    </row>
    <row r="556">
      <c r="A556" s="17" t="n">
        <v>43009</v>
      </c>
      <c r="B556" s="58">
        <f>VLOOKUP(Table18[[#This Row],[Date]],database!A:G,5,)</f>
        <v/>
      </c>
      <c r="C556" s="66">
        <f>B556/B555-1</f>
        <v/>
      </c>
      <c r="D556" s="66">
        <f>(Table18[[#This Row],[Index]]-B544)/B544</f>
        <v/>
      </c>
    </row>
    <row r="557">
      <c r="A557" s="17" t="n">
        <v>43040</v>
      </c>
      <c r="B557" s="58">
        <f>VLOOKUP(Table18[[#This Row],[Date]],database!A:G,5,)</f>
        <v/>
      </c>
      <c r="C557" s="66">
        <f>B557/B556-1</f>
        <v/>
      </c>
      <c r="D557" s="66">
        <f>(Table18[[#This Row],[Index]]-B545)/B545</f>
        <v/>
      </c>
    </row>
    <row r="558">
      <c r="A558" s="17" t="n">
        <v>43070</v>
      </c>
      <c r="B558" s="58">
        <f>VLOOKUP(Table18[[#This Row],[Date]],database!A:G,5,)</f>
        <v/>
      </c>
      <c r="C558" s="66">
        <f>B558/B557-1</f>
        <v/>
      </c>
      <c r="D558" s="66">
        <f>(Table18[[#This Row],[Index]]-B546)/B546</f>
        <v/>
      </c>
    </row>
    <row r="559">
      <c r="A559" s="17" t="n">
        <v>43101</v>
      </c>
      <c r="B559" s="58">
        <f>VLOOKUP(Table18[[#This Row],[Date]],database!A:G,5,)</f>
        <v/>
      </c>
      <c r="C559" s="66">
        <f>B559/B558-1</f>
        <v/>
      </c>
      <c r="D559" s="66">
        <f>(Table18[[#This Row],[Index]]-B547)/B547</f>
        <v/>
      </c>
    </row>
    <row r="560">
      <c r="A560" s="17" t="n">
        <v>43132</v>
      </c>
      <c r="B560" s="58">
        <f>VLOOKUP(Table18[[#This Row],[Date]],database!A:G,5,)</f>
        <v/>
      </c>
      <c r="C560" s="66">
        <f>B560/B559-1</f>
        <v/>
      </c>
      <c r="D560" s="66">
        <f>(Table18[[#This Row],[Index]]-B548)/B548</f>
        <v/>
      </c>
    </row>
    <row r="561">
      <c r="A561" s="17" t="n">
        <v>43160</v>
      </c>
      <c r="B561" s="58">
        <f>VLOOKUP(Table18[[#This Row],[Date]],database!A:G,5,)</f>
        <v/>
      </c>
      <c r="C561" s="66">
        <f>B561/B560-1</f>
        <v/>
      </c>
      <c r="D561" s="66">
        <f>(Table18[[#This Row],[Index]]-B549)/B549</f>
        <v/>
      </c>
    </row>
    <row r="562">
      <c r="A562" s="17" t="n">
        <v>43191</v>
      </c>
      <c r="B562" s="58">
        <f>VLOOKUP(Table18[[#This Row],[Date]],database!A:G,5,)</f>
        <v/>
      </c>
      <c r="C562" s="66">
        <f>B562/B561-1</f>
        <v/>
      </c>
      <c r="D562" s="66">
        <f>(Table18[[#This Row],[Index]]-B550)/B550</f>
        <v/>
      </c>
    </row>
    <row r="563">
      <c r="A563" s="17" t="n">
        <v>43221</v>
      </c>
      <c r="B563" s="58">
        <f>VLOOKUP(Table18[[#This Row],[Date]],database!A:G,5,)</f>
        <v/>
      </c>
      <c r="C563" s="66">
        <f>B563/B562-1</f>
        <v/>
      </c>
      <c r="D563" s="66">
        <f>(Table18[[#This Row],[Index]]-B551)/B551</f>
        <v/>
      </c>
    </row>
    <row r="564">
      <c r="A564" s="17" t="n">
        <v>43252</v>
      </c>
      <c r="B564" s="58">
        <f>VLOOKUP(Table18[[#This Row],[Date]],database!A:G,5,)</f>
        <v/>
      </c>
      <c r="C564" s="66">
        <f>B564/B563-1</f>
        <v/>
      </c>
      <c r="D564" s="66">
        <f>(Table18[[#This Row],[Index]]-B552)/B552</f>
        <v/>
      </c>
    </row>
    <row r="565">
      <c r="A565" s="17" t="n">
        <v>43282</v>
      </c>
      <c r="B565" s="58">
        <f>VLOOKUP(Table18[[#This Row],[Date]],database!A:G,5,)</f>
        <v/>
      </c>
      <c r="C565" s="66">
        <f>B565/B564-1</f>
        <v/>
      </c>
      <c r="D565" s="66">
        <f>(Table18[[#This Row],[Index]]-B553)/B553</f>
        <v/>
      </c>
    </row>
    <row r="566">
      <c r="A566" s="17" t="n">
        <v>43313</v>
      </c>
      <c r="B566" s="58">
        <f>VLOOKUP(Table18[[#This Row],[Date]],database!A:G,5,)</f>
        <v/>
      </c>
      <c r="C566" s="66">
        <f>B566/B565-1</f>
        <v/>
      </c>
      <c r="D566" s="66">
        <f>(Table18[[#This Row],[Index]]-B554)/B554</f>
        <v/>
      </c>
    </row>
    <row r="567">
      <c r="A567" s="17" t="n">
        <v>43344</v>
      </c>
      <c r="B567" s="58">
        <f>VLOOKUP(Table18[[#This Row],[Date]],database!A:G,5,)</f>
        <v/>
      </c>
      <c r="C567" s="66">
        <f>B567/B566-1</f>
        <v/>
      </c>
      <c r="D567" s="66">
        <f>(Table18[[#This Row],[Index]]-B555)/B555</f>
        <v/>
      </c>
    </row>
    <row r="568">
      <c r="A568" s="17" t="n">
        <v>43374</v>
      </c>
      <c r="B568" s="58">
        <f>VLOOKUP(Table18[[#This Row],[Date]],database!A:G,5,)</f>
        <v/>
      </c>
      <c r="C568" s="66">
        <f>B568/B567-1</f>
        <v/>
      </c>
      <c r="D568" s="66">
        <f>(Table18[[#This Row],[Index]]-B556)/B556</f>
        <v/>
      </c>
    </row>
    <row r="569">
      <c r="A569" s="17" t="n">
        <v>43405</v>
      </c>
      <c r="B569" s="58">
        <f>VLOOKUP(Table18[[#This Row],[Date]],database!A:G,5,)</f>
        <v/>
      </c>
      <c r="C569" s="66">
        <f>B569/B568-1</f>
        <v/>
      </c>
      <c r="D569" s="66">
        <f>(Table18[[#This Row],[Index]]-B557)/B557</f>
        <v/>
      </c>
    </row>
    <row r="570">
      <c r="A570" s="17" t="n">
        <v>43435</v>
      </c>
      <c r="B570" s="58">
        <f>VLOOKUP(Table18[[#This Row],[Date]],database!A:G,5,)</f>
        <v/>
      </c>
      <c r="C570" s="66">
        <f>B570/B569-1</f>
        <v/>
      </c>
      <c r="D570" s="66">
        <f>(Table18[[#This Row],[Index]]-B558)/B558</f>
        <v/>
      </c>
    </row>
    <row r="571">
      <c r="A571" s="17" t="n">
        <v>43466</v>
      </c>
      <c r="B571" s="58">
        <f>VLOOKUP(Table18[[#This Row],[Date]],database!A:G,5,)</f>
        <v/>
      </c>
      <c r="C571" s="66">
        <f>B571/B570-1</f>
        <v/>
      </c>
      <c r="D571" s="66">
        <f>(Table18[[#This Row],[Index]]-B559)/B559</f>
        <v/>
      </c>
    </row>
    <row r="572">
      <c r="A572" s="17" t="n">
        <v>43497</v>
      </c>
      <c r="B572" s="58">
        <f>VLOOKUP(Table18[[#This Row],[Date]],database!A:G,5,)</f>
        <v/>
      </c>
      <c r="C572" s="66">
        <f>B572/B571-1</f>
        <v/>
      </c>
      <c r="D572" s="66">
        <f>(Table18[[#This Row],[Index]]-B560)/B560</f>
        <v/>
      </c>
    </row>
    <row r="573">
      <c r="A573" s="17" t="n">
        <v>43525</v>
      </c>
      <c r="B573" s="58">
        <f>VLOOKUP(Table18[[#This Row],[Date]],database!A:G,5,)</f>
        <v/>
      </c>
      <c r="C573" s="66">
        <f>B573/B572-1</f>
        <v/>
      </c>
      <c r="D573" s="66">
        <f>(Table18[[#This Row],[Index]]-B561)/B561</f>
        <v/>
      </c>
    </row>
    <row r="574">
      <c r="A574" s="17" t="n">
        <v>43556</v>
      </c>
      <c r="B574" s="58">
        <f>VLOOKUP(Table18[[#This Row],[Date]],database!A:G,5,)</f>
        <v/>
      </c>
      <c r="C574" s="66">
        <f>B574/B573-1</f>
        <v/>
      </c>
      <c r="D574" s="66">
        <f>(Table18[[#This Row],[Index]]-B562)/B562</f>
        <v/>
      </c>
    </row>
    <row r="575">
      <c r="A575" s="17" t="n">
        <v>43586</v>
      </c>
      <c r="B575" s="58">
        <f>VLOOKUP(Table18[[#This Row],[Date]],database!A:G,5,)</f>
        <v/>
      </c>
      <c r="C575" s="66">
        <f>B575/B574-1</f>
        <v/>
      </c>
      <c r="D575" s="66">
        <f>(Table18[[#This Row],[Index]]-B563)/B563</f>
        <v/>
      </c>
    </row>
    <row r="576">
      <c r="A576" s="17" t="n">
        <v>43617</v>
      </c>
      <c r="B576" s="58">
        <f>VLOOKUP(Table18[[#This Row],[Date]],database!A:G,5,)</f>
        <v/>
      </c>
      <c r="C576" s="66">
        <f>B576/B575-1</f>
        <v/>
      </c>
      <c r="D576" s="66">
        <f>(Table18[[#This Row],[Index]]-B564)/B564</f>
        <v/>
      </c>
    </row>
    <row r="577">
      <c r="A577" s="17" t="n">
        <v>43647</v>
      </c>
      <c r="B577" s="58">
        <f>VLOOKUP(Table18[[#This Row],[Date]],database!A:G,5,)</f>
        <v/>
      </c>
      <c r="C577" s="66">
        <f>B577/B576-1</f>
        <v/>
      </c>
      <c r="D577" s="66">
        <f>(Table18[[#This Row],[Index]]-B565)/B565</f>
        <v/>
      </c>
    </row>
    <row r="578">
      <c r="A578" s="17" t="n">
        <v>43678</v>
      </c>
      <c r="B578" s="58">
        <f>VLOOKUP(Table18[[#This Row],[Date]],database!A:G,5,)</f>
        <v/>
      </c>
      <c r="C578" s="66">
        <f>B578/B577-1</f>
        <v/>
      </c>
      <c r="D578" s="66">
        <f>(Table18[[#This Row],[Index]]-B566)/B566</f>
        <v/>
      </c>
    </row>
    <row r="579">
      <c r="A579" s="17" t="n">
        <v>43709</v>
      </c>
      <c r="B579" s="58">
        <f>VLOOKUP(Table18[[#This Row],[Date]],database!A:G,5,)</f>
        <v/>
      </c>
      <c r="C579" s="66">
        <f>B579/B578-1</f>
        <v/>
      </c>
      <c r="D579" s="66">
        <f>(Table18[[#This Row],[Index]]-B567)/B567</f>
        <v/>
      </c>
    </row>
    <row r="580">
      <c r="A580" s="17" t="n">
        <v>43739</v>
      </c>
      <c r="B580" s="58">
        <f>VLOOKUP(Table18[[#This Row],[Date]],database!A:G,5,)</f>
        <v/>
      </c>
      <c r="C580" s="66">
        <f>B580/B579-1</f>
        <v/>
      </c>
      <c r="D580" s="66">
        <f>(Table18[[#This Row],[Index]]-B568)/B568</f>
        <v/>
      </c>
    </row>
    <row r="581">
      <c r="A581" s="17" t="n">
        <v>43770</v>
      </c>
      <c r="B581" s="58">
        <f>VLOOKUP(Table18[[#This Row],[Date]],database!A:G,5,)</f>
        <v/>
      </c>
      <c r="C581" s="66">
        <f>B581/B580-1</f>
        <v/>
      </c>
      <c r="D581" s="66">
        <f>(Table18[[#This Row],[Index]]-B569)/B569</f>
        <v/>
      </c>
    </row>
    <row r="582">
      <c r="A582" s="17" t="n">
        <v>43800</v>
      </c>
      <c r="B582" s="58">
        <f>VLOOKUP(Table18[[#This Row],[Date]],database!A:G,5,)</f>
        <v/>
      </c>
      <c r="C582" s="66">
        <f>B582/B581-1</f>
        <v/>
      </c>
      <c r="D582" s="66">
        <f>(Table18[[#This Row],[Index]]-B570)/B570</f>
        <v/>
      </c>
    </row>
    <row r="583">
      <c r="A583" s="17" t="n">
        <v>43831</v>
      </c>
      <c r="B583" s="58">
        <f>VLOOKUP(Table18[[#This Row],[Date]],database!A:G,5,)</f>
        <v/>
      </c>
      <c r="C583" s="66">
        <f>B583/B582-1</f>
        <v/>
      </c>
      <c r="D583" s="66">
        <f>(Table18[[#This Row],[Index]]-B571)/B571</f>
        <v/>
      </c>
    </row>
    <row r="584">
      <c r="A584" s="17" t="n">
        <v>43862</v>
      </c>
      <c r="B584" s="58">
        <f>VLOOKUP(Table18[[#This Row],[Date]],database!A:G,5,)</f>
        <v/>
      </c>
      <c r="C584" s="66">
        <f>B584/B583-1</f>
        <v/>
      </c>
      <c r="D584" s="66">
        <f>(Table18[[#This Row],[Index]]-B572)/B572</f>
        <v/>
      </c>
    </row>
    <row r="585">
      <c r="A585" s="17" t="n">
        <v>43891</v>
      </c>
      <c r="B585" s="58">
        <f>VLOOKUP(Table18[[#This Row],[Date]],database!A:G,5,)</f>
        <v/>
      </c>
      <c r="C585" s="66">
        <f>B585/B584-1</f>
        <v/>
      </c>
      <c r="D585" s="66">
        <f>(Table18[[#This Row],[Index]]-B573)/B573</f>
        <v/>
      </c>
    </row>
    <row r="586">
      <c r="A586" s="17" t="n">
        <v>43922</v>
      </c>
      <c r="B586" s="58">
        <f>VLOOKUP(Table18[[#This Row],[Date]],database!A:G,5,)</f>
        <v/>
      </c>
      <c r="C586" s="66">
        <f>B586/B585-1</f>
        <v/>
      </c>
      <c r="D586" s="66">
        <f>(Table18[[#This Row],[Index]]-B574)/B574</f>
        <v/>
      </c>
    </row>
    <row r="587">
      <c r="A587" s="17" t="n">
        <v>43952</v>
      </c>
      <c r="B587" s="58">
        <f>VLOOKUP(Table18[[#This Row],[Date]],database!A:G,5,)</f>
        <v/>
      </c>
      <c r="C587" s="66">
        <f>B587/B586-1</f>
        <v/>
      </c>
      <c r="D587" s="66">
        <f>(Table18[[#This Row],[Index]]-B575)/B575</f>
        <v/>
      </c>
    </row>
    <row r="588">
      <c r="A588" s="17" t="n">
        <v>43983</v>
      </c>
      <c r="B588" s="58">
        <f>VLOOKUP(Table18[[#This Row],[Date]],database!A:G,5,)</f>
        <v/>
      </c>
      <c r="C588" s="66">
        <f>B588/B587-1</f>
        <v/>
      </c>
      <c r="D588" s="66">
        <f>(Table18[[#This Row],[Index]]-B576)/B576</f>
        <v/>
      </c>
    </row>
    <row r="589">
      <c r="A589" s="17" t="n">
        <v>44013</v>
      </c>
      <c r="B589" s="58">
        <f>VLOOKUP(Table18[[#This Row],[Date]],database!A:G,5,)</f>
        <v/>
      </c>
      <c r="C589" s="66">
        <f>B589/B588-1</f>
        <v/>
      </c>
      <c r="D589" s="66">
        <f>(Table18[[#This Row],[Index]]-B577)/B577</f>
        <v/>
      </c>
    </row>
    <row r="590">
      <c r="A590" s="17" t="n">
        <v>44044</v>
      </c>
      <c r="B590" s="58">
        <f>VLOOKUP(Table18[[#This Row],[Date]],database!A:G,5,)</f>
        <v/>
      </c>
      <c r="C590" s="66">
        <f>B590/B589-1</f>
        <v/>
      </c>
      <c r="D590" s="66">
        <f>(Table18[[#This Row],[Index]]-B578)/B578</f>
        <v/>
      </c>
    </row>
    <row r="591">
      <c r="A591" s="17" t="n">
        <v>44075</v>
      </c>
      <c r="B591" s="58">
        <f>VLOOKUP(Table18[[#This Row],[Date]],database!A:G,5,)</f>
        <v/>
      </c>
      <c r="C591" s="66">
        <f>B591/B590-1</f>
        <v/>
      </c>
      <c r="D591" s="66">
        <f>(Table18[[#This Row],[Index]]-B579)/B579</f>
        <v/>
      </c>
    </row>
    <row r="592">
      <c r="A592" s="17" t="n">
        <v>44105</v>
      </c>
      <c r="B592" s="58">
        <f>VLOOKUP(Table18[[#This Row],[Date]],database!A:G,5,)</f>
        <v/>
      </c>
      <c r="C592" s="66">
        <f>B592/B591-1</f>
        <v/>
      </c>
      <c r="D592" s="66">
        <f>(Table18[[#This Row],[Index]]-B580)/B580</f>
        <v/>
      </c>
    </row>
    <row r="593">
      <c r="A593" s="17" t="n">
        <v>44136</v>
      </c>
      <c r="B593" s="58">
        <f>VLOOKUP(Table18[[#This Row],[Date]],database!A:G,5,)</f>
        <v/>
      </c>
      <c r="C593" s="66">
        <f>B593/B592-1</f>
        <v/>
      </c>
      <c r="D593" s="66">
        <f>(Table18[[#This Row],[Index]]-B581)/B581</f>
        <v/>
      </c>
    </row>
    <row r="594">
      <c r="A594" s="17" t="n">
        <v>44166</v>
      </c>
      <c r="B594" s="58">
        <f>VLOOKUP(Table18[[#This Row],[Date]],database!A:G,5,)</f>
        <v/>
      </c>
      <c r="C594" s="66">
        <f>B594/B593-1</f>
        <v/>
      </c>
      <c r="D594" s="66">
        <f>(Table18[[#This Row],[Index]]-B582)/B582</f>
        <v/>
      </c>
    </row>
    <row r="595">
      <c r="A595" s="17" t="n">
        <v>44197</v>
      </c>
      <c r="B595" s="58">
        <f>VLOOKUP(Table18[[#This Row],[Date]],database!A:G,5,)</f>
        <v/>
      </c>
      <c r="C595" s="66">
        <f>B595/B594-1</f>
        <v/>
      </c>
      <c r="D595" s="66">
        <f>(Table18[[#This Row],[Index]]-B583)/B583</f>
        <v/>
      </c>
    </row>
    <row r="596">
      <c r="A596" s="17" t="n">
        <v>44228</v>
      </c>
      <c r="B596" s="58">
        <f>VLOOKUP(Table18[[#This Row],[Date]],database!A:G,5,)</f>
        <v/>
      </c>
      <c r="C596" s="66">
        <f>B596/B595-1</f>
        <v/>
      </c>
      <c r="D596" s="66">
        <f>(Table18[[#This Row],[Index]]-B584)/B584</f>
        <v/>
      </c>
    </row>
    <row r="597">
      <c r="A597" s="17" t="n">
        <v>44256</v>
      </c>
      <c r="B597" s="58">
        <f>VLOOKUP(Table18[[#This Row],[Date]],database!A:G,5,)</f>
        <v/>
      </c>
      <c r="C597" s="66">
        <f>B597/B596-1</f>
        <v/>
      </c>
      <c r="D597" s="66">
        <f>(Table18[[#This Row],[Index]]-B585)/B585</f>
        <v/>
      </c>
    </row>
    <row r="598">
      <c r="A598" s="17" t="n">
        <v>44287</v>
      </c>
      <c r="B598" s="58">
        <f>VLOOKUP(Table18[[#This Row],[Date]],database!A:G,5,)</f>
        <v/>
      </c>
      <c r="C598" s="66">
        <f>B598/B597-1</f>
        <v/>
      </c>
      <c r="D598" s="66">
        <f>(Table18[[#This Row],[Index]]-B586)/B586</f>
        <v/>
      </c>
    </row>
    <row r="599">
      <c r="A599" s="17" t="n">
        <v>44317</v>
      </c>
      <c r="B599" s="58">
        <f>VLOOKUP(Table18[[#This Row],[Date]],database!A:G,5,)</f>
        <v/>
      </c>
      <c r="C599" s="66">
        <f>B599/B598-1</f>
        <v/>
      </c>
      <c r="D599" s="66">
        <f>(Table18[[#This Row],[Index]]-B587)/B587</f>
        <v/>
      </c>
    </row>
    <row r="600">
      <c r="A600" s="17" t="n">
        <v>44348</v>
      </c>
      <c r="B600" s="58">
        <f>VLOOKUP(Table18[[#This Row],[Date]],database!A:G,5,)</f>
        <v/>
      </c>
      <c r="C600" s="66">
        <f>B600/B599-1</f>
        <v/>
      </c>
      <c r="D600" s="66">
        <f>(Table18[[#This Row],[Index]]-B588)/B588</f>
        <v/>
      </c>
    </row>
    <row r="601">
      <c r="A601" s="17" t="n">
        <v>44378</v>
      </c>
      <c r="B601" s="58">
        <f>VLOOKUP(Table18[[#This Row],[Date]],database!A:G,5,)</f>
        <v/>
      </c>
      <c r="C601" s="66">
        <f>B601/B600-1</f>
        <v/>
      </c>
      <c r="D601" s="66">
        <f>(Table18[[#This Row],[Index]]-B589)/B589</f>
        <v/>
      </c>
    </row>
    <row r="602">
      <c r="A602" s="17" t="n">
        <v>44409</v>
      </c>
      <c r="B602" s="58">
        <f>VLOOKUP(Table18[[#This Row],[Date]],database!A:G,5,)</f>
        <v/>
      </c>
      <c r="C602" s="66">
        <f>B602/B601-1</f>
        <v/>
      </c>
      <c r="D602" s="66">
        <f>(Table18[[#This Row],[Index]]-B590)/B590</f>
        <v/>
      </c>
    </row>
    <row r="603">
      <c r="A603" s="17" t="n">
        <v>44440</v>
      </c>
      <c r="B603" s="58">
        <f>VLOOKUP(Table18[[#This Row],[Date]],database!A:G,5,)</f>
        <v/>
      </c>
      <c r="C603" s="66">
        <f>B603/B602-1</f>
        <v/>
      </c>
      <c r="D603" s="66">
        <f>(Table18[[#This Row],[Index]]-B591)/B591</f>
        <v/>
      </c>
    </row>
    <row r="604">
      <c r="A604" s="17" t="n">
        <v>44470</v>
      </c>
      <c r="B604" s="58">
        <f>VLOOKUP(Table18[[#This Row],[Date]],database!A:G,5,)</f>
        <v/>
      </c>
      <c r="C604" s="66">
        <f>B604/B603-1</f>
        <v/>
      </c>
      <c r="D604" s="66">
        <f>(Table18[[#This Row],[Index]]-B592)/B592</f>
        <v/>
      </c>
    </row>
    <row r="605">
      <c r="A605" s="17" t="n">
        <v>44501</v>
      </c>
      <c r="B605" s="58">
        <f>VLOOKUP(Table18[[#This Row],[Date]],database!A:G,5,)</f>
        <v/>
      </c>
      <c r="C605" s="66">
        <f>B605/B604-1</f>
        <v/>
      </c>
      <c r="D605" s="66">
        <f>(Table18[[#This Row],[Index]]-B593)/B593</f>
        <v/>
      </c>
    </row>
    <row r="606">
      <c r="A606" s="17" t="n">
        <v>44531</v>
      </c>
      <c r="B606" s="58">
        <f>VLOOKUP(Table18[[#This Row],[Date]],database!A:G,5,)</f>
        <v/>
      </c>
      <c r="C606" s="66">
        <f>B606/B605-1</f>
        <v/>
      </c>
      <c r="D606" s="66">
        <f>(Table18[[#This Row],[Index]]-B594)/B594</f>
        <v/>
      </c>
    </row>
    <row r="607">
      <c r="A607" s="17" t="n">
        <v>44562</v>
      </c>
      <c r="B607" s="58">
        <f>VLOOKUP(Table18[[#This Row],[Date]],database!A:G,5,)</f>
        <v/>
      </c>
      <c r="C607" s="66">
        <f>B607/B606-1</f>
        <v/>
      </c>
      <c r="D607" s="66">
        <f>(Table18[[#This Row],[Index]]-B595)/B595</f>
        <v/>
      </c>
    </row>
    <row r="608">
      <c r="A608" s="17" t="n">
        <v>44593</v>
      </c>
      <c r="B608" s="58">
        <f>VLOOKUP(Table18[[#This Row],[Date]],database!A:G,5,)</f>
        <v/>
      </c>
      <c r="C608" s="66">
        <f>B608/B607-1</f>
        <v/>
      </c>
      <c r="D608" s="66">
        <f>(Table18[[#This Row],[Index]]-B596)/B596</f>
        <v/>
      </c>
    </row>
    <row r="609">
      <c r="A609" s="17" t="n">
        <v>44621</v>
      </c>
      <c r="B609" s="58">
        <f>VLOOKUP(Table18[[#This Row],[Date]],database!A:G,5,)</f>
        <v/>
      </c>
      <c r="C609" s="66">
        <f>B609/B608-1</f>
        <v/>
      </c>
      <c r="D609" s="66">
        <f>(Table18[[#This Row],[Index]]-B597)/B597</f>
        <v/>
      </c>
    </row>
    <row r="610">
      <c r="A610" s="17" t="n">
        <v>44652</v>
      </c>
      <c r="B610" s="58">
        <f>VLOOKUP(Table18[[#This Row],[Date]],database!A:G,5,)</f>
        <v/>
      </c>
      <c r="C610" s="66">
        <f>B610/B609-1</f>
        <v/>
      </c>
      <c r="D610" s="66">
        <f>(Table18[[#This Row],[Index]]-B598)/B598</f>
        <v/>
      </c>
    </row>
    <row r="611">
      <c r="A611" s="17" t="n">
        <v>44682</v>
      </c>
      <c r="B611" s="58">
        <f>VLOOKUP(Table18[[#This Row],[Date]],database!A:G,5,)</f>
        <v/>
      </c>
      <c r="C611" s="66">
        <f>B611/B610-1</f>
        <v/>
      </c>
      <c r="D611" s="66">
        <f>(Table18[[#This Row],[Index]]-B599)/B599</f>
        <v/>
      </c>
    </row>
    <row r="612">
      <c r="A612" s="17" t="n">
        <v>44713</v>
      </c>
      <c r="B612" s="58">
        <f>VLOOKUP(Table18[[#This Row],[Date]],database!A:G,5,)</f>
        <v/>
      </c>
      <c r="C612" s="66">
        <f>B612/B611-1</f>
        <v/>
      </c>
      <c r="D612" s="66">
        <f>(Table18[[#This Row],[Index]]-B600)/B600</f>
        <v/>
      </c>
    </row>
    <row r="613">
      <c r="A613" s="17" t="n">
        <v>44743</v>
      </c>
      <c r="B613" s="58">
        <f>VLOOKUP(Table18[[#This Row],[Date]],database!A:G,5,)</f>
        <v/>
      </c>
      <c r="C613" s="66">
        <f>B613/B612-1</f>
        <v/>
      </c>
      <c r="D613" s="66">
        <f>(Table18[[#This Row],[Index]]-B601)/B601</f>
        <v/>
      </c>
    </row>
    <row r="614">
      <c r="A614" s="17" t="n">
        <v>44774</v>
      </c>
      <c r="B614" s="58">
        <f>VLOOKUP(Table18[[#This Row],[Date]],database!A:G,5,)</f>
        <v/>
      </c>
      <c r="C614" s="66">
        <f>B614/B613-1</f>
        <v/>
      </c>
      <c r="D614" s="66">
        <f>(Table18[[#This Row],[Index]]-B602)/B602</f>
        <v/>
      </c>
    </row>
    <row r="615">
      <c r="A615" s="17" t="n">
        <v>44805</v>
      </c>
      <c r="B615" s="58">
        <f>VLOOKUP(Table18[[#This Row],[Date]],database!A:G,5,)</f>
        <v/>
      </c>
      <c r="C615" s="66">
        <f>B615/B614-1</f>
        <v/>
      </c>
      <c r="D615" s="66">
        <f>(Table18[[#This Row],[Index]]-B603)/B603</f>
        <v/>
      </c>
    </row>
    <row r="616">
      <c r="A616" s="17" t="n">
        <v>44835</v>
      </c>
      <c r="B616" s="58">
        <f>VLOOKUP(Table18[[#This Row],[Date]],database!A:G,5,)</f>
        <v/>
      </c>
      <c r="C616" s="66">
        <f>B616/B615-1</f>
        <v/>
      </c>
      <c r="D616" s="66">
        <f>(Table18[[#This Row],[Index]]-B604)/B604</f>
        <v/>
      </c>
    </row>
    <row r="617">
      <c r="A617" s="17" t="n">
        <v>44866</v>
      </c>
      <c r="B617" s="58">
        <f>VLOOKUP(Table18[[#This Row],[Date]],database!A:G,5,)</f>
        <v/>
      </c>
      <c r="C617" s="66">
        <f>B617/B616-1</f>
        <v/>
      </c>
      <c r="D617" s="66">
        <f>(Table18[[#This Row],[Index]]-B605)/B605</f>
        <v/>
      </c>
    </row>
    <row r="618">
      <c r="A618" s="17" t="n">
        <v>44896</v>
      </c>
      <c r="B618" s="58">
        <f>VLOOKUP(Table18[[#This Row],[Date]],database!A:G,5,)</f>
        <v/>
      </c>
      <c r="C618" s="66">
        <f>B618/B617-1</f>
        <v/>
      </c>
      <c r="D618" s="66">
        <f>(Table18[[#This Row],[Index]]-B606)/B606</f>
        <v/>
      </c>
    </row>
    <row r="619">
      <c r="A619" s="17" t="n">
        <v>44927</v>
      </c>
      <c r="B619" s="58">
        <f>VLOOKUP(Table18[[#This Row],[Date]],database!A:G,5,)</f>
        <v/>
      </c>
      <c r="C619" s="66">
        <f>B619/B618-1</f>
        <v/>
      </c>
      <c r="D619" s="66">
        <f>(Table18[[#This Row],[Index]]-B607)/B607</f>
        <v/>
      </c>
    </row>
    <row r="620">
      <c r="A620" s="17" t="n">
        <v>44958</v>
      </c>
      <c r="B620" s="58">
        <f>VLOOKUP(Table18[[#This Row],[Date]],database!A:G,5,)</f>
        <v/>
      </c>
      <c r="C620" s="66">
        <f>B620/B619-1</f>
        <v/>
      </c>
      <c r="D620" s="66">
        <f>(Table18[[#This Row],[Index]]-B608)/B608</f>
        <v/>
      </c>
    </row>
    <row r="621">
      <c r="A621" s="17" t="n">
        <v>44986</v>
      </c>
      <c r="B621" s="58">
        <f>VLOOKUP(Table18[[#This Row],[Date]],database!A:G,5,)</f>
        <v/>
      </c>
      <c r="C621" s="66">
        <f>B621/B620-1</f>
        <v/>
      </c>
      <c r="D621" s="66">
        <f>(Table18[[#This Row],[Index]]-B609)/B609</f>
        <v/>
      </c>
    </row>
  </sheetData>
  <conditionalFormatting sqref="D463:D621">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21"/>
  <sheetViews>
    <sheetView zoomScale="70" zoomScaleNormal="70" workbookViewId="0">
      <pane ySplit="6" topLeftCell="A591" activePane="bottomLeft" state="frozen"/>
      <selection activeCell="J582" sqref="J582"/>
      <selection pane="bottomLeft" activeCell="AE609" sqref="AE609"/>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IPBUSEQ</t>
        </is>
      </c>
      <c r="B1" s="88" t="n"/>
      <c r="C1" s="88" t="n"/>
      <c r="S1" s="88" t="inlineStr">
        <is>
          <t>Industrial Production: Business Equipment</t>
        </is>
      </c>
      <c r="T1" s="88" t="inlineStr">
        <is>
          <t xml:space="preserve"> since 2010</t>
        </is>
      </c>
      <c r="U1" s="88">
        <f>S1&amp;T1</f>
        <v/>
      </c>
      <c r="Y1" s="88">
        <f>U2&amp; T1</f>
        <v/>
      </c>
    </row>
    <row r="2">
      <c r="A2" s="16" t="n"/>
      <c r="B2" s="88" t="n"/>
      <c r="C2" s="88" t="n"/>
      <c r="U2" s="88">
        <f>S1&amp;Table16[[#Headers],[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VLOOKUP(Table16[[#This Row],[Date]],database!A:H,4,)</f>
        <v/>
      </c>
      <c r="C7" s="66" t="n"/>
      <c r="D7" s="66" t="n"/>
    </row>
    <row r="8">
      <c r="A8" s="17" t="n">
        <v>26330</v>
      </c>
      <c r="B8" s="58">
        <f>VLOOKUP(Table16[[#This Row],[Date]],database!A:H,4,)</f>
        <v/>
      </c>
      <c r="C8" s="66">
        <f>B8/B7-1</f>
        <v/>
      </c>
      <c r="D8" s="66" t="n"/>
    </row>
    <row r="9">
      <c r="A9" s="17" t="n">
        <v>26359</v>
      </c>
      <c r="B9" s="58">
        <f>VLOOKUP(Table16[[#This Row],[Date]],database!A:H,4,)</f>
        <v/>
      </c>
      <c r="C9" s="66">
        <f>B9/B8-1</f>
        <v/>
      </c>
      <c r="D9" s="66" t="n"/>
    </row>
    <row r="10">
      <c r="A10" s="17" t="n">
        <v>26390</v>
      </c>
      <c r="B10" s="58">
        <f>VLOOKUP(Table16[[#This Row],[Date]],database!A:H,4,)</f>
        <v/>
      </c>
      <c r="C10" s="66">
        <f>B10/B9-1</f>
        <v/>
      </c>
      <c r="D10" s="66" t="n"/>
    </row>
    <row r="11">
      <c r="A11" s="17" t="n">
        <v>26420</v>
      </c>
      <c r="B11" s="58">
        <f>VLOOKUP(Table16[[#This Row],[Date]],database!A:H,4,)</f>
        <v/>
      </c>
      <c r="C11" s="66">
        <f>B11/B10-1</f>
        <v/>
      </c>
      <c r="D11" s="66" t="n"/>
    </row>
    <row r="12">
      <c r="A12" s="17" t="n">
        <v>26451</v>
      </c>
      <c r="B12" s="58">
        <f>VLOOKUP(Table16[[#This Row],[Date]],database!A:H,4,)</f>
        <v/>
      </c>
      <c r="C12" s="66">
        <f>B12/B11-1</f>
        <v/>
      </c>
      <c r="D12" s="66" t="n"/>
    </row>
    <row r="13">
      <c r="A13" s="17" t="n">
        <v>26481</v>
      </c>
      <c r="B13" s="58">
        <f>VLOOKUP(Table16[[#This Row],[Date]],database!A:H,4,)</f>
        <v/>
      </c>
      <c r="C13" s="66">
        <f>B13/B12-1</f>
        <v/>
      </c>
      <c r="D13" s="66" t="n"/>
    </row>
    <row r="14">
      <c r="A14" s="17" t="n">
        <v>26512</v>
      </c>
      <c r="B14" s="58">
        <f>VLOOKUP(Table16[[#This Row],[Date]],database!A:H,4,)</f>
        <v/>
      </c>
      <c r="C14" s="66">
        <f>B14/B13-1</f>
        <v/>
      </c>
      <c r="D14" s="66" t="n"/>
    </row>
    <row r="15">
      <c r="A15" s="17" t="n">
        <v>26543</v>
      </c>
      <c r="B15" s="58">
        <f>VLOOKUP(Table16[[#This Row],[Date]],database!A:H,4,)</f>
        <v/>
      </c>
      <c r="C15" s="66">
        <f>B15/B14-1</f>
        <v/>
      </c>
      <c r="D15" s="66" t="n"/>
    </row>
    <row r="16">
      <c r="A16" s="17" t="n">
        <v>26573</v>
      </c>
      <c r="B16" s="58">
        <f>VLOOKUP(Table16[[#This Row],[Date]],database!A:H,4,)</f>
        <v/>
      </c>
      <c r="C16" s="66">
        <f>B16/B15-1</f>
        <v/>
      </c>
      <c r="D16" s="66" t="n"/>
    </row>
    <row r="17">
      <c r="A17" s="17" t="n">
        <v>26604</v>
      </c>
      <c r="B17" s="58">
        <f>VLOOKUP(Table16[[#This Row],[Date]],database!A:H,4,)</f>
        <v/>
      </c>
      <c r="C17" s="66">
        <f>B17/B16-1</f>
        <v/>
      </c>
      <c r="D17" s="66" t="n"/>
    </row>
    <row r="18">
      <c r="A18" s="17" t="n">
        <v>26634</v>
      </c>
      <c r="B18" s="58">
        <f>VLOOKUP(Table16[[#This Row],[Date]],database!A:H,4,)</f>
        <v/>
      </c>
      <c r="C18" s="66">
        <f>B18/B17-1</f>
        <v/>
      </c>
      <c r="D18" s="66" t="n"/>
    </row>
    <row r="19">
      <c r="A19" s="17" t="n">
        <v>26665</v>
      </c>
      <c r="B19" s="58">
        <f>VLOOKUP(Table16[[#This Row],[Date]],database!A:H,4,)</f>
        <v/>
      </c>
      <c r="C19" s="66">
        <f>B19/B18-1</f>
        <v/>
      </c>
      <c r="D19" s="66" t="n"/>
    </row>
    <row r="20">
      <c r="A20" s="17" t="n">
        <v>26696</v>
      </c>
      <c r="B20" s="58">
        <f>VLOOKUP(Table16[[#This Row],[Date]],database!A:H,4,)</f>
        <v/>
      </c>
      <c r="C20" s="66">
        <f>B20/B19-1</f>
        <v/>
      </c>
      <c r="D20" s="66">
        <f>(Table16[[#This Row],[Index]]-B8)/B8</f>
        <v/>
      </c>
    </row>
    <row r="21">
      <c r="A21" s="17" t="n">
        <v>26724</v>
      </c>
      <c r="B21" s="58">
        <f>VLOOKUP(Table16[[#This Row],[Date]],database!A:H,4,)</f>
        <v/>
      </c>
      <c r="C21" s="66">
        <f>B21/B20-1</f>
        <v/>
      </c>
      <c r="D21" s="66">
        <f>(Table16[[#This Row],[Index]]-B9)/B9</f>
        <v/>
      </c>
    </row>
    <row r="22">
      <c r="A22" s="17" t="n">
        <v>26755</v>
      </c>
      <c r="B22" s="58">
        <f>VLOOKUP(Table16[[#This Row],[Date]],database!A:H,4,)</f>
        <v/>
      </c>
      <c r="C22" s="66">
        <f>B22/B21-1</f>
        <v/>
      </c>
      <c r="D22" s="66">
        <f>(Table16[[#This Row],[Index]]-B10)/B10</f>
        <v/>
      </c>
    </row>
    <row r="23">
      <c r="A23" s="17" t="n">
        <v>26785</v>
      </c>
      <c r="B23" s="58">
        <f>VLOOKUP(Table16[[#This Row],[Date]],database!A:H,4,)</f>
        <v/>
      </c>
      <c r="C23" s="66">
        <f>B23/B22-1</f>
        <v/>
      </c>
      <c r="D23" s="66">
        <f>(Table16[[#This Row],[Index]]-B11)/B11</f>
        <v/>
      </c>
    </row>
    <row r="24">
      <c r="A24" s="17" t="n">
        <v>26816</v>
      </c>
      <c r="B24" s="58">
        <f>VLOOKUP(Table16[[#This Row],[Date]],database!A:H,4,)</f>
        <v/>
      </c>
      <c r="C24" s="66">
        <f>B24/B23-1</f>
        <v/>
      </c>
      <c r="D24" s="66">
        <f>(Table16[[#This Row],[Index]]-B12)/B12</f>
        <v/>
      </c>
    </row>
    <row r="25">
      <c r="A25" s="17" t="n">
        <v>26846</v>
      </c>
      <c r="B25" s="58">
        <f>VLOOKUP(Table16[[#This Row],[Date]],database!A:H,4,)</f>
        <v/>
      </c>
      <c r="C25" s="66">
        <f>B25/B24-1</f>
        <v/>
      </c>
      <c r="D25" s="66">
        <f>(Table16[[#This Row],[Index]]-B13)/B13</f>
        <v/>
      </c>
    </row>
    <row r="26">
      <c r="A26" s="17" t="n">
        <v>26877</v>
      </c>
      <c r="B26" s="58">
        <f>VLOOKUP(Table16[[#This Row],[Date]],database!A:H,4,)</f>
        <v/>
      </c>
      <c r="C26" s="66">
        <f>B26/B25-1</f>
        <v/>
      </c>
      <c r="D26" s="66">
        <f>(Table16[[#This Row],[Index]]-B14)/B14</f>
        <v/>
      </c>
    </row>
    <row r="27">
      <c r="A27" s="17" t="n">
        <v>26908</v>
      </c>
      <c r="B27" s="58">
        <f>VLOOKUP(Table16[[#This Row],[Date]],database!A:H,4,)</f>
        <v/>
      </c>
      <c r="C27" s="66">
        <f>B27/B26-1</f>
        <v/>
      </c>
      <c r="D27" s="66">
        <f>(Table16[[#This Row],[Index]]-B15)/B15</f>
        <v/>
      </c>
    </row>
    <row r="28">
      <c r="A28" s="17" t="n">
        <v>26938</v>
      </c>
      <c r="B28" s="58">
        <f>VLOOKUP(Table16[[#This Row],[Date]],database!A:H,4,)</f>
        <v/>
      </c>
      <c r="C28" s="66">
        <f>B28/B27-1</f>
        <v/>
      </c>
      <c r="D28" s="66">
        <f>(Table16[[#This Row],[Index]]-B16)/B16</f>
        <v/>
      </c>
    </row>
    <row r="29">
      <c r="A29" s="17" t="n">
        <v>26969</v>
      </c>
      <c r="B29" s="58">
        <f>VLOOKUP(Table16[[#This Row],[Date]],database!A:H,4,)</f>
        <v/>
      </c>
      <c r="C29" s="66">
        <f>B29/B28-1</f>
        <v/>
      </c>
      <c r="D29" s="66">
        <f>(Table16[[#This Row],[Index]]-B17)/B17</f>
        <v/>
      </c>
    </row>
    <row r="30">
      <c r="A30" s="17" t="n">
        <v>26999</v>
      </c>
      <c r="B30" s="58">
        <f>VLOOKUP(Table16[[#This Row],[Date]],database!A:H,4,)</f>
        <v/>
      </c>
      <c r="C30" s="66">
        <f>B30/B29-1</f>
        <v/>
      </c>
      <c r="D30" s="66">
        <f>(Table16[[#This Row],[Index]]-B18)/B18</f>
        <v/>
      </c>
    </row>
    <row r="31">
      <c r="A31" s="17" t="n">
        <v>27030</v>
      </c>
      <c r="B31" s="58">
        <f>VLOOKUP(Table16[[#This Row],[Date]],database!A:H,4,)</f>
        <v/>
      </c>
      <c r="C31" s="66">
        <f>B31/B30-1</f>
        <v/>
      </c>
      <c r="D31" s="66">
        <f>(Table16[[#This Row],[Index]]-B19)/B19</f>
        <v/>
      </c>
    </row>
    <row r="32">
      <c r="A32" s="17" t="n">
        <v>27061</v>
      </c>
      <c r="B32" s="58">
        <f>VLOOKUP(Table16[[#This Row],[Date]],database!A:H,4,)</f>
        <v/>
      </c>
      <c r="C32" s="66">
        <f>B32/B31-1</f>
        <v/>
      </c>
      <c r="D32" s="66">
        <f>(Table16[[#This Row],[Index]]-B20)/B20</f>
        <v/>
      </c>
    </row>
    <row r="33">
      <c r="A33" s="17" t="n">
        <v>27089</v>
      </c>
      <c r="B33" s="58">
        <f>VLOOKUP(Table16[[#This Row],[Date]],database!A:H,4,)</f>
        <v/>
      </c>
      <c r="C33" s="66">
        <f>B33/B32-1</f>
        <v/>
      </c>
      <c r="D33" s="66">
        <f>(Table16[[#This Row],[Index]]-B21)/B21</f>
        <v/>
      </c>
    </row>
    <row r="34">
      <c r="A34" s="17" t="n">
        <v>27120</v>
      </c>
      <c r="B34" s="58">
        <f>VLOOKUP(Table16[[#This Row],[Date]],database!A:H,4,)</f>
        <v/>
      </c>
      <c r="C34" s="66">
        <f>B34/B33-1</f>
        <v/>
      </c>
      <c r="D34" s="66">
        <f>(Table16[[#This Row],[Index]]-B22)/B22</f>
        <v/>
      </c>
    </row>
    <row r="35">
      <c r="A35" s="17" t="n">
        <v>27150</v>
      </c>
      <c r="B35" s="58">
        <f>VLOOKUP(Table16[[#This Row],[Date]],database!A:H,4,)</f>
        <v/>
      </c>
      <c r="C35" s="66">
        <f>B35/B34-1</f>
        <v/>
      </c>
      <c r="D35" s="66">
        <f>(Table16[[#This Row],[Index]]-B23)/B23</f>
        <v/>
      </c>
    </row>
    <row r="36">
      <c r="A36" s="17" t="n">
        <v>27181</v>
      </c>
      <c r="B36" s="58">
        <f>VLOOKUP(Table16[[#This Row],[Date]],database!A:H,4,)</f>
        <v/>
      </c>
      <c r="C36" s="66">
        <f>B36/B35-1</f>
        <v/>
      </c>
      <c r="D36" s="66">
        <f>(Table16[[#This Row],[Index]]-B24)/B24</f>
        <v/>
      </c>
    </row>
    <row r="37">
      <c r="A37" s="17" t="n">
        <v>27211</v>
      </c>
      <c r="B37" s="58">
        <f>VLOOKUP(Table16[[#This Row],[Date]],database!A:H,4,)</f>
        <v/>
      </c>
      <c r="C37" s="66">
        <f>B37/B36-1</f>
        <v/>
      </c>
      <c r="D37" s="66">
        <f>(Table16[[#This Row],[Index]]-B25)/B25</f>
        <v/>
      </c>
    </row>
    <row r="38">
      <c r="A38" s="17" t="n">
        <v>27242</v>
      </c>
      <c r="B38" s="58">
        <f>VLOOKUP(Table16[[#This Row],[Date]],database!A:H,4,)</f>
        <v/>
      </c>
      <c r="C38" s="66">
        <f>B38/B37-1</f>
        <v/>
      </c>
      <c r="D38" s="66">
        <f>(Table16[[#This Row],[Index]]-B26)/B26</f>
        <v/>
      </c>
    </row>
    <row r="39">
      <c r="A39" s="17" t="n">
        <v>27273</v>
      </c>
      <c r="B39" s="58">
        <f>VLOOKUP(Table16[[#This Row],[Date]],database!A:H,4,)</f>
        <v/>
      </c>
      <c r="C39" s="66">
        <f>B39/B38-1</f>
        <v/>
      </c>
      <c r="D39" s="66">
        <f>(Table16[[#This Row],[Index]]-B27)/B27</f>
        <v/>
      </c>
    </row>
    <row r="40">
      <c r="A40" s="17" t="n">
        <v>27303</v>
      </c>
      <c r="B40" s="58">
        <f>VLOOKUP(Table16[[#This Row],[Date]],database!A:H,4,)</f>
        <v/>
      </c>
      <c r="C40" s="66">
        <f>B40/B39-1</f>
        <v/>
      </c>
      <c r="D40" s="66">
        <f>(Table16[[#This Row],[Index]]-B28)/B28</f>
        <v/>
      </c>
    </row>
    <row r="41">
      <c r="A41" s="17" t="n">
        <v>27334</v>
      </c>
      <c r="B41" s="58">
        <f>VLOOKUP(Table16[[#This Row],[Date]],database!A:H,4,)</f>
        <v/>
      </c>
      <c r="C41" s="66">
        <f>B41/B40-1</f>
        <v/>
      </c>
      <c r="D41" s="66">
        <f>(Table16[[#This Row],[Index]]-B29)/B29</f>
        <v/>
      </c>
    </row>
    <row r="42">
      <c r="A42" s="17" t="n">
        <v>27364</v>
      </c>
      <c r="B42" s="58">
        <f>VLOOKUP(Table16[[#This Row],[Date]],database!A:H,4,)</f>
        <v/>
      </c>
      <c r="C42" s="66">
        <f>B42/B41-1</f>
        <v/>
      </c>
      <c r="D42" s="66">
        <f>(Table16[[#This Row],[Index]]-B30)/B30</f>
        <v/>
      </c>
    </row>
    <row r="43">
      <c r="A43" s="17" t="n">
        <v>27395</v>
      </c>
      <c r="B43" s="58">
        <f>VLOOKUP(Table16[[#This Row],[Date]],database!A:H,4,)</f>
        <v/>
      </c>
      <c r="C43" s="66">
        <f>B43/B42-1</f>
        <v/>
      </c>
      <c r="D43" s="66">
        <f>(Table16[[#This Row],[Index]]-B31)/B31</f>
        <v/>
      </c>
    </row>
    <row r="44">
      <c r="A44" s="17" t="n">
        <v>27426</v>
      </c>
      <c r="B44" s="58">
        <f>VLOOKUP(Table16[[#This Row],[Date]],database!A:H,4,)</f>
        <v/>
      </c>
      <c r="C44" s="66">
        <f>B44/B43-1</f>
        <v/>
      </c>
      <c r="D44" s="66">
        <f>(Table16[[#This Row],[Index]]-B32)/B32</f>
        <v/>
      </c>
    </row>
    <row r="45">
      <c r="A45" s="17" t="n">
        <v>27454</v>
      </c>
      <c r="B45" s="58">
        <f>VLOOKUP(Table16[[#This Row],[Date]],database!A:H,4,)</f>
        <v/>
      </c>
      <c r="C45" s="66">
        <f>B45/B44-1</f>
        <v/>
      </c>
      <c r="D45" s="66">
        <f>(Table16[[#This Row],[Index]]-B33)/B33</f>
        <v/>
      </c>
    </row>
    <row r="46">
      <c r="A46" s="17" t="n">
        <v>27485</v>
      </c>
      <c r="B46" s="58">
        <f>VLOOKUP(Table16[[#This Row],[Date]],database!A:H,4,)</f>
        <v/>
      </c>
      <c r="C46" s="66">
        <f>B46/B45-1</f>
        <v/>
      </c>
      <c r="D46" s="66">
        <f>(Table16[[#This Row],[Index]]-B34)/B34</f>
        <v/>
      </c>
    </row>
    <row r="47">
      <c r="A47" s="17" t="n">
        <v>27515</v>
      </c>
      <c r="B47" s="58">
        <f>VLOOKUP(Table16[[#This Row],[Date]],database!A:H,4,)</f>
        <v/>
      </c>
      <c r="C47" s="66">
        <f>B47/B46-1</f>
        <v/>
      </c>
      <c r="D47" s="66">
        <f>(Table16[[#This Row],[Index]]-B35)/B35</f>
        <v/>
      </c>
    </row>
    <row r="48">
      <c r="A48" s="17" t="n">
        <v>27546</v>
      </c>
      <c r="B48" s="58">
        <f>VLOOKUP(Table16[[#This Row],[Date]],database!A:H,4,)</f>
        <v/>
      </c>
      <c r="C48" s="66">
        <f>B48/B47-1</f>
        <v/>
      </c>
      <c r="D48" s="66">
        <f>(Table16[[#This Row],[Index]]-B36)/B36</f>
        <v/>
      </c>
    </row>
    <row r="49">
      <c r="A49" s="17" t="n">
        <v>27576</v>
      </c>
      <c r="B49" s="58">
        <f>VLOOKUP(Table16[[#This Row],[Date]],database!A:H,4,)</f>
        <v/>
      </c>
      <c r="C49" s="66">
        <f>B49/B48-1</f>
        <v/>
      </c>
      <c r="D49" s="66">
        <f>(Table16[[#This Row],[Index]]-B37)/B37</f>
        <v/>
      </c>
    </row>
    <row r="50">
      <c r="A50" s="17" t="n">
        <v>27607</v>
      </c>
      <c r="B50" s="58">
        <f>VLOOKUP(Table16[[#This Row],[Date]],database!A:H,4,)</f>
        <v/>
      </c>
      <c r="C50" s="66">
        <f>B50/B49-1</f>
        <v/>
      </c>
      <c r="D50" s="66">
        <f>(Table16[[#This Row],[Index]]-B38)/B38</f>
        <v/>
      </c>
    </row>
    <row r="51">
      <c r="A51" s="17" t="n">
        <v>27638</v>
      </c>
      <c r="B51" s="58">
        <f>VLOOKUP(Table16[[#This Row],[Date]],database!A:H,4,)</f>
        <v/>
      </c>
      <c r="C51" s="66">
        <f>B51/B50-1</f>
        <v/>
      </c>
      <c r="D51" s="66">
        <f>(Table16[[#This Row],[Index]]-B39)/B39</f>
        <v/>
      </c>
    </row>
    <row r="52">
      <c r="A52" s="17" t="n">
        <v>27668</v>
      </c>
      <c r="B52" s="58">
        <f>VLOOKUP(Table16[[#This Row],[Date]],database!A:H,4,)</f>
        <v/>
      </c>
      <c r="C52" s="66">
        <f>B52/B51-1</f>
        <v/>
      </c>
      <c r="D52" s="66">
        <f>(Table16[[#This Row],[Index]]-B40)/B40</f>
        <v/>
      </c>
    </row>
    <row r="53">
      <c r="A53" s="17" t="n">
        <v>27699</v>
      </c>
      <c r="B53" s="58">
        <f>VLOOKUP(Table16[[#This Row],[Date]],database!A:H,4,)</f>
        <v/>
      </c>
      <c r="C53" s="66">
        <f>B53/B52-1</f>
        <v/>
      </c>
      <c r="D53" s="66">
        <f>(Table16[[#This Row],[Index]]-B41)/B41</f>
        <v/>
      </c>
    </row>
    <row r="54">
      <c r="A54" s="17" t="n">
        <v>27729</v>
      </c>
      <c r="B54" s="58">
        <f>VLOOKUP(Table16[[#This Row],[Date]],database!A:H,4,)</f>
        <v/>
      </c>
      <c r="C54" s="66">
        <f>B54/B53-1</f>
        <v/>
      </c>
      <c r="D54" s="66">
        <f>(Table16[[#This Row],[Index]]-B42)/B42</f>
        <v/>
      </c>
    </row>
    <row r="55">
      <c r="A55" s="17" t="n">
        <v>27760</v>
      </c>
      <c r="B55" s="58">
        <f>VLOOKUP(Table16[[#This Row],[Date]],database!A:H,4,)</f>
        <v/>
      </c>
      <c r="C55" s="66">
        <f>B55/B54-1</f>
        <v/>
      </c>
      <c r="D55" s="66">
        <f>(Table16[[#This Row],[Index]]-B43)/B43</f>
        <v/>
      </c>
    </row>
    <row r="56">
      <c r="A56" s="17" t="n">
        <v>27791</v>
      </c>
      <c r="B56" s="58">
        <f>VLOOKUP(Table16[[#This Row],[Date]],database!A:H,4,)</f>
        <v/>
      </c>
      <c r="C56" s="66">
        <f>B56/B55-1</f>
        <v/>
      </c>
      <c r="D56" s="66">
        <f>(Table16[[#This Row],[Index]]-B44)/B44</f>
        <v/>
      </c>
    </row>
    <row r="57">
      <c r="A57" s="17" t="n">
        <v>27820</v>
      </c>
      <c r="B57" s="58">
        <f>VLOOKUP(Table16[[#This Row],[Date]],database!A:H,4,)</f>
        <v/>
      </c>
      <c r="C57" s="66">
        <f>B57/B56-1</f>
        <v/>
      </c>
      <c r="D57" s="66">
        <f>(Table16[[#This Row],[Index]]-B45)/B45</f>
        <v/>
      </c>
    </row>
    <row r="58">
      <c r="A58" s="17" t="n">
        <v>27851</v>
      </c>
      <c r="B58" s="58">
        <f>VLOOKUP(Table16[[#This Row],[Date]],database!A:H,4,)</f>
        <v/>
      </c>
      <c r="C58" s="66">
        <f>B58/B57-1</f>
        <v/>
      </c>
      <c r="D58" s="66">
        <f>(Table16[[#This Row],[Index]]-B46)/B46</f>
        <v/>
      </c>
    </row>
    <row r="59">
      <c r="A59" s="17" t="n">
        <v>27881</v>
      </c>
      <c r="B59" s="58">
        <f>VLOOKUP(Table16[[#This Row],[Date]],database!A:H,4,)</f>
        <v/>
      </c>
      <c r="C59" s="66">
        <f>B59/B58-1</f>
        <v/>
      </c>
      <c r="D59" s="66">
        <f>(Table16[[#This Row],[Index]]-B47)/B47</f>
        <v/>
      </c>
    </row>
    <row r="60">
      <c r="A60" s="17" t="n">
        <v>27912</v>
      </c>
      <c r="B60" s="58">
        <f>VLOOKUP(Table16[[#This Row],[Date]],database!A:H,4,)</f>
        <v/>
      </c>
      <c r="C60" s="66">
        <f>B60/B59-1</f>
        <v/>
      </c>
      <c r="D60" s="66">
        <f>(Table16[[#This Row],[Index]]-B48)/B48</f>
        <v/>
      </c>
    </row>
    <row r="61">
      <c r="A61" s="17" t="n">
        <v>27942</v>
      </c>
      <c r="B61" s="58">
        <f>VLOOKUP(Table16[[#This Row],[Date]],database!A:H,4,)</f>
        <v/>
      </c>
      <c r="C61" s="66">
        <f>B61/B60-1</f>
        <v/>
      </c>
      <c r="D61" s="66">
        <f>(Table16[[#This Row],[Index]]-B49)/B49</f>
        <v/>
      </c>
    </row>
    <row r="62">
      <c r="A62" s="17" t="n">
        <v>27973</v>
      </c>
      <c r="B62" s="58">
        <f>VLOOKUP(Table16[[#This Row],[Date]],database!A:H,4,)</f>
        <v/>
      </c>
      <c r="C62" s="66">
        <f>B62/B61-1</f>
        <v/>
      </c>
      <c r="D62" s="66">
        <f>(Table16[[#This Row],[Index]]-B50)/B50</f>
        <v/>
      </c>
    </row>
    <row r="63">
      <c r="A63" s="17" t="n">
        <v>28004</v>
      </c>
      <c r="B63" s="58">
        <f>VLOOKUP(Table16[[#This Row],[Date]],database!A:H,4,)</f>
        <v/>
      </c>
      <c r="C63" s="66">
        <f>B63/B62-1</f>
        <v/>
      </c>
      <c r="D63" s="66">
        <f>(Table16[[#This Row],[Index]]-B51)/B51</f>
        <v/>
      </c>
    </row>
    <row r="64">
      <c r="A64" s="17" t="n">
        <v>28034</v>
      </c>
      <c r="B64" s="58">
        <f>VLOOKUP(Table16[[#This Row],[Date]],database!A:H,4,)</f>
        <v/>
      </c>
      <c r="C64" s="66">
        <f>B64/B63-1</f>
        <v/>
      </c>
      <c r="D64" s="66">
        <f>(Table16[[#This Row],[Index]]-B52)/B52</f>
        <v/>
      </c>
    </row>
    <row r="65">
      <c r="A65" s="17" t="n">
        <v>28065</v>
      </c>
      <c r="B65" s="58">
        <f>VLOOKUP(Table16[[#This Row],[Date]],database!A:H,4,)</f>
        <v/>
      </c>
      <c r="C65" s="66">
        <f>B65/B64-1</f>
        <v/>
      </c>
      <c r="D65" s="66">
        <f>(Table16[[#This Row],[Index]]-B53)/B53</f>
        <v/>
      </c>
    </row>
    <row r="66">
      <c r="A66" s="17" t="n">
        <v>28095</v>
      </c>
      <c r="B66" s="58">
        <f>VLOOKUP(Table16[[#This Row],[Date]],database!A:H,4,)</f>
        <v/>
      </c>
      <c r="C66" s="66">
        <f>B66/B65-1</f>
        <v/>
      </c>
      <c r="D66" s="66">
        <f>(Table16[[#This Row],[Index]]-B54)/B54</f>
        <v/>
      </c>
    </row>
    <row r="67">
      <c r="A67" s="17" t="n">
        <v>28126</v>
      </c>
      <c r="B67" s="58">
        <f>VLOOKUP(Table16[[#This Row],[Date]],database!A:H,4,)</f>
        <v/>
      </c>
      <c r="C67" s="66">
        <f>B67/B66-1</f>
        <v/>
      </c>
      <c r="D67" s="66">
        <f>(Table16[[#This Row],[Index]]-B55)/B55</f>
        <v/>
      </c>
    </row>
    <row r="68">
      <c r="A68" s="17" t="n">
        <v>28157</v>
      </c>
      <c r="B68" s="58">
        <f>VLOOKUP(Table16[[#This Row],[Date]],database!A:H,4,)</f>
        <v/>
      </c>
      <c r="C68" s="66">
        <f>B68/B67-1</f>
        <v/>
      </c>
      <c r="D68" s="66">
        <f>(Table16[[#This Row],[Index]]-B56)/B56</f>
        <v/>
      </c>
    </row>
    <row r="69">
      <c r="A69" s="17" t="n">
        <v>28185</v>
      </c>
      <c r="B69" s="58">
        <f>VLOOKUP(Table16[[#This Row],[Date]],database!A:H,4,)</f>
        <v/>
      </c>
      <c r="C69" s="66">
        <f>B69/B68-1</f>
        <v/>
      </c>
      <c r="D69" s="66">
        <f>(Table16[[#This Row],[Index]]-B57)/B57</f>
        <v/>
      </c>
    </row>
    <row r="70">
      <c r="A70" s="17" t="n">
        <v>28216</v>
      </c>
      <c r="B70" s="58">
        <f>VLOOKUP(Table16[[#This Row],[Date]],database!A:H,4,)</f>
        <v/>
      </c>
      <c r="C70" s="66">
        <f>B70/B69-1</f>
        <v/>
      </c>
      <c r="D70" s="66">
        <f>(Table16[[#This Row],[Index]]-B58)/B58</f>
        <v/>
      </c>
    </row>
    <row r="71">
      <c r="A71" s="17" t="n">
        <v>28246</v>
      </c>
      <c r="B71" s="58">
        <f>VLOOKUP(Table16[[#This Row],[Date]],database!A:H,4,)</f>
        <v/>
      </c>
      <c r="C71" s="66">
        <f>B71/B70-1</f>
        <v/>
      </c>
      <c r="D71" s="66">
        <f>(Table16[[#This Row],[Index]]-B59)/B59</f>
        <v/>
      </c>
    </row>
    <row r="72">
      <c r="A72" s="17" t="n">
        <v>28277</v>
      </c>
      <c r="B72" s="58">
        <f>VLOOKUP(Table16[[#This Row],[Date]],database!A:H,4,)</f>
        <v/>
      </c>
      <c r="C72" s="66">
        <f>B72/B71-1</f>
        <v/>
      </c>
      <c r="D72" s="66">
        <f>(Table16[[#This Row],[Index]]-B60)/B60</f>
        <v/>
      </c>
    </row>
    <row r="73">
      <c r="A73" s="17" t="n">
        <v>28307</v>
      </c>
      <c r="B73" s="58">
        <f>VLOOKUP(Table16[[#This Row],[Date]],database!A:H,4,)</f>
        <v/>
      </c>
      <c r="C73" s="66">
        <f>B73/B72-1</f>
        <v/>
      </c>
      <c r="D73" s="66">
        <f>(Table16[[#This Row],[Index]]-B61)/B61</f>
        <v/>
      </c>
    </row>
    <row r="74">
      <c r="A74" s="17" t="n">
        <v>28338</v>
      </c>
      <c r="B74" s="58">
        <f>VLOOKUP(Table16[[#This Row],[Date]],database!A:H,4,)</f>
        <v/>
      </c>
      <c r="C74" s="66">
        <f>B74/B73-1</f>
        <v/>
      </c>
      <c r="D74" s="66">
        <f>(Table16[[#This Row],[Index]]-B62)/B62</f>
        <v/>
      </c>
    </row>
    <row r="75">
      <c r="A75" s="17" t="n">
        <v>28369</v>
      </c>
      <c r="B75" s="58">
        <f>VLOOKUP(Table16[[#This Row],[Date]],database!A:H,4,)</f>
        <v/>
      </c>
      <c r="C75" s="66">
        <f>B75/B74-1</f>
        <v/>
      </c>
      <c r="D75" s="66">
        <f>(Table16[[#This Row],[Index]]-B63)/B63</f>
        <v/>
      </c>
    </row>
    <row r="76">
      <c r="A76" s="17" t="n">
        <v>28399</v>
      </c>
      <c r="B76" s="58">
        <f>VLOOKUP(Table16[[#This Row],[Date]],database!A:H,4,)</f>
        <v/>
      </c>
      <c r="C76" s="66">
        <f>B76/B75-1</f>
        <v/>
      </c>
      <c r="D76" s="66">
        <f>(Table16[[#This Row],[Index]]-B64)/B64</f>
        <v/>
      </c>
    </row>
    <row r="77">
      <c r="A77" s="17" t="n">
        <v>28430</v>
      </c>
      <c r="B77" s="58">
        <f>VLOOKUP(Table16[[#This Row],[Date]],database!A:H,4,)</f>
        <v/>
      </c>
      <c r="C77" s="66">
        <f>B77/B76-1</f>
        <v/>
      </c>
      <c r="D77" s="66">
        <f>(Table16[[#This Row],[Index]]-B65)/B65</f>
        <v/>
      </c>
    </row>
    <row r="78">
      <c r="A78" s="17" t="n">
        <v>28460</v>
      </c>
      <c r="B78" s="58">
        <f>VLOOKUP(Table16[[#This Row],[Date]],database!A:H,4,)</f>
        <v/>
      </c>
      <c r="C78" s="66">
        <f>B78/B77-1</f>
        <v/>
      </c>
      <c r="D78" s="66">
        <f>(Table16[[#This Row],[Index]]-B66)/B66</f>
        <v/>
      </c>
    </row>
    <row r="79">
      <c r="A79" s="17" t="n">
        <v>28491</v>
      </c>
      <c r="B79" s="58">
        <f>VLOOKUP(Table16[[#This Row],[Date]],database!A:H,4,)</f>
        <v/>
      </c>
      <c r="C79" s="66">
        <f>B79/B78-1</f>
        <v/>
      </c>
      <c r="D79" s="66">
        <f>(Table16[[#This Row],[Index]]-B67)/B67</f>
        <v/>
      </c>
    </row>
    <row r="80">
      <c r="A80" s="17" t="n">
        <v>28522</v>
      </c>
      <c r="B80" s="58">
        <f>VLOOKUP(Table16[[#This Row],[Date]],database!A:H,4,)</f>
        <v/>
      </c>
      <c r="C80" s="66">
        <f>B80/B79-1</f>
        <v/>
      </c>
      <c r="D80" s="66">
        <f>(Table16[[#This Row],[Index]]-B68)/B68</f>
        <v/>
      </c>
    </row>
    <row r="81">
      <c r="A81" s="17" t="n">
        <v>28550</v>
      </c>
      <c r="B81" s="58">
        <f>VLOOKUP(Table16[[#This Row],[Date]],database!A:H,4,)</f>
        <v/>
      </c>
      <c r="C81" s="66">
        <f>B81/B80-1</f>
        <v/>
      </c>
      <c r="D81" s="66">
        <f>(Table16[[#This Row],[Index]]-B69)/B69</f>
        <v/>
      </c>
    </row>
    <row r="82">
      <c r="A82" s="17" t="n">
        <v>28581</v>
      </c>
      <c r="B82" s="58">
        <f>VLOOKUP(Table16[[#This Row],[Date]],database!A:H,4,)</f>
        <v/>
      </c>
      <c r="C82" s="66">
        <f>B82/B81-1</f>
        <v/>
      </c>
      <c r="D82" s="66">
        <f>(Table16[[#This Row],[Index]]-B70)/B70</f>
        <v/>
      </c>
    </row>
    <row r="83">
      <c r="A83" s="17" t="n">
        <v>28611</v>
      </c>
      <c r="B83" s="58">
        <f>VLOOKUP(Table16[[#This Row],[Date]],database!A:H,4,)</f>
        <v/>
      </c>
      <c r="C83" s="66">
        <f>B83/B82-1</f>
        <v/>
      </c>
      <c r="D83" s="66">
        <f>(Table16[[#This Row],[Index]]-B71)/B71</f>
        <v/>
      </c>
    </row>
    <row r="84">
      <c r="A84" s="17" t="n">
        <v>28642</v>
      </c>
      <c r="B84" s="58">
        <f>VLOOKUP(Table16[[#This Row],[Date]],database!A:H,4,)</f>
        <v/>
      </c>
      <c r="C84" s="66">
        <f>B84/B83-1</f>
        <v/>
      </c>
      <c r="D84" s="66">
        <f>(Table16[[#This Row],[Index]]-B72)/B72</f>
        <v/>
      </c>
    </row>
    <row r="85">
      <c r="A85" s="17" t="n">
        <v>28672</v>
      </c>
      <c r="B85" s="58">
        <f>VLOOKUP(Table16[[#This Row],[Date]],database!A:H,4,)</f>
        <v/>
      </c>
      <c r="C85" s="66">
        <f>B85/B84-1</f>
        <v/>
      </c>
      <c r="D85" s="66">
        <f>(Table16[[#This Row],[Index]]-B73)/B73</f>
        <v/>
      </c>
    </row>
    <row r="86">
      <c r="A86" s="17" t="n">
        <v>28703</v>
      </c>
      <c r="B86" s="58">
        <f>VLOOKUP(Table16[[#This Row],[Date]],database!A:H,4,)</f>
        <v/>
      </c>
      <c r="C86" s="66">
        <f>B86/B85-1</f>
        <v/>
      </c>
      <c r="D86" s="66">
        <f>(Table16[[#This Row],[Index]]-B74)/B74</f>
        <v/>
      </c>
    </row>
    <row r="87">
      <c r="A87" s="17" t="n">
        <v>28734</v>
      </c>
      <c r="B87" s="58">
        <f>VLOOKUP(Table16[[#This Row],[Date]],database!A:H,4,)</f>
        <v/>
      </c>
      <c r="C87" s="66">
        <f>B87/B86-1</f>
        <v/>
      </c>
      <c r="D87" s="66">
        <f>(Table16[[#This Row],[Index]]-B75)/B75</f>
        <v/>
      </c>
    </row>
    <row r="88">
      <c r="A88" s="17" t="n">
        <v>28764</v>
      </c>
      <c r="B88" s="58">
        <f>VLOOKUP(Table16[[#This Row],[Date]],database!A:H,4,)</f>
        <v/>
      </c>
      <c r="C88" s="66">
        <f>B88/B87-1</f>
        <v/>
      </c>
      <c r="D88" s="66">
        <f>(Table16[[#This Row],[Index]]-B76)/B76</f>
        <v/>
      </c>
    </row>
    <row r="89">
      <c r="A89" s="17" t="n">
        <v>28795</v>
      </c>
      <c r="B89" s="58">
        <f>VLOOKUP(Table16[[#This Row],[Date]],database!A:H,4,)</f>
        <v/>
      </c>
      <c r="C89" s="66">
        <f>B89/B88-1</f>
        <v/>
      </c>
      <c r="D89" s="66">
        <f>(Table16[[#This Row],[Index]]-B77)/B77</f>
        <v/>
      </c>
    </row>
    <row r="90">
      <c r="A90" s="17" t="n">
        <v>28825</v>
      </c>
      <c r="B90" s="58">
        <f>VLOOKUP(Table16[[#This Row],[Date]],database!A:H,4,)</f>
        <v/>
      </c>
      <c r="C90" s="66">
        <f>B90/B89-1</f>
        <v/>
      </c>
      <c r="D90" s="66">
        <f>(Table16[[#This Row],[Index]]-B78)/B78</f>
        <v/>
      </c>
    </row>
    <row r="91">
      <c r="A91" s="17" t="n">
        <v>28856</v>
      </c>
      <c r="B91" s="58">
        <f>VLOOKUP(Table16[[#This Row],[Date]],database!A:H,4,)</f>
        <v/>
      </c>
      <c r="C91" s="66">
        <f>B91/B90-1</f>
        <v/>
      </c>
      <c r="D91" s="66">
        <f>(Table16[[#This Row],[Index]]-B79)/B79</f>
        <v/>
      </c>
    </row>
    <row r="92">
      <c r="A92" s="17" t="n">
        <v>28887</v>
      </c>
      <c r="B92" s="58">
        <f>VLOOKUP(Table16[[#This Row],[Date]],database!A:H,4,)</f>
        <v/>
      </c>
      <c r="C92" s="66">
        <f>B92/B91-1</f>
        <v/>
      </c>
      <c r="D92" s="66">
        <f>(Table16[[#This Row],[Index]]-B80)/B80</f>
        <v/>
      </c>
    </row>
    <row r="93">
      <c r="A93" s="17" t="n">
        <v>28915</v>
      </c>
      <c r="B93" s="58">
        <f>VLOOKUP(Table16[[#This Row],[Date]],database!A:H,4,)</f>
        <v/>
      </c>
      <c r="C93" s="66">
        <f>B93/B92-1</f>
        <v/>
      </c>
      <c r="D93" s="66">
        <f>(Table16[[#This Row],[Index]]-B81)/B81</f>
        <v/>
      </c>
    </row>
    <row r="94">
      <c r="A94" s="17" t="n">
        <v>28946</v>
      </c>
      <c r="B94" s="58">
        <f>VLOOKUP(Table16[[#This Row],[Date]],database!A:H,4,)</f>
        <v/>
      </c>
      <c r="C94" s="66">
        <f>B94/B93-1</f>
        <v/>
      </c>
      <c r="D94" s="66">
        <f>(Table16[[#This Row],[Index]]-B82)/B82</f>
        <v/>
      </c>
    </row>
    <row r="95">
      <c r="A95" s="17" t="n">
        <v>28976</v>
      </c>
      <c r="B95" s="58">
        <f>VLOOKUP(Table16[[#This Row],[Date]],database!A:H,4,)</f>
        <v/>
      </c>
      <c r="C95" s="66">
        <f>B95/B94-1</f>
        <v/>
      </c>
      <c r="D95" s="66">
        <f>(Table16[[#This Row],[Index]]-B83)/B83</f>
        <v/>
      </c>
    </row>
    <row r="96">
      <c r="A96" s="17" t="n">
        <v>29007</v>
      </c>
      <c r="B96" s="58">
        <f>VLOOKUP(Table16[[#This Row],[Date]],database!A:H,4,)</f>
        <v/>
      </c>
      <c r="C96" s="66">
        <f>B96/B95-1</f>
        <v/>
      </c>
      <c r="D96" s="66">
        <f>(Table16[[#This Row],[Index]]-B84)/B84</f>
        <v/>
      </c>
    </row>
    <row r="97">
      <c r="A97" s="17" t="n">
        <v>29037</v>
      </c>
      <c r="B97" s="58">
        <f>VLOOKUP(Table16[[#This Row],[Date]],database!A:H,4,)</f>
        <v/>
      </c>
      <c r="C97" s="66">
        <f>B97/B96-1</f>
        <v/>
      </c>
      <c r="D97" s="66">
        <f>(Table16[[#This Row],[Index]]-B85)/B85</f>
        <v/>
      </c>
    </row>
    <row r="98">
      <c r="A98" s="17" t="n">
        <v>29068</v>
      </c>
      <c r="B98" s="58">
        <f>VLOOKUP(Table16[[#This Row],[Date]],database!A:H,4,)</f>
        <v/>
      </c>
      <c r="C98" s="66">
        <f>B98/B97-1</f>
        <v/>
      </c>
      <c r="D98" s="66">
        <f>(Table16[[#This Row],[Index]]-B86)/B86</f>
        <v/>
      </c>
    </row>
    <row r="99">
      <c r="A99" s="17" t="n">
        <v>29099</v>
      </c>
      <c r="B99" s="58">
        <f>VLOOKUP(Table16[[#This Row],[Date]],database!A:H,4,)</f>
        <v/>
      </c>
      <c r="C99" s="66">
        <f>B99/B98-1</f>
        <v/>
      </c>
      <c r="D99" s="66">
        <f>(Table16[[#This Row],[Index]]-B87)/B87</f>
        <v/>
      </c>
    </row>
    <row r="100">
      <c r="A100" s="17" t="n">
        <v>29129</v>
      </c>
      <c r="B100" s="58">
        <f>VLOOKUP(Table16[[#This Row],[Date]],database!A:H,4,)</f>
        <v/>
      </c>
      <c r="C100" s="66">
        <f>B100/B99-1</f>
        <v/>
      </c>
      <c r="D100" s="66">
        <f>(Table16[[#This Row],[Index]]-B88)/B88</f>
        <v/>
      </c>
    </row>
    <row r="101">
      <c r="A101" s="17" t="n">
        <v>29160</v>
      </c>
      <c r="B101" s="58">
        <f>VLOOKUP(Table16[[#This Row],[Date]],database!A:H,4,)</f>
        <v/>
      </c>
      <c r="C101" s="66">
        <f>B101/B100-1</f>
        <v/>
      </c>
      <c r="D101" s="66">
        <f>(Table16[[#This Row],[Index]]-B89)/B89</f>
        <v/>
      </c>
    </row>
    <row r="102">
      <c r="A102" s="17" t="n">
        <v>29190</v>
      </c>
      <c r="B102" s="58">
        <f>VLOOKUP(Table16[[#This Row],[Date]],database!A:H,4,)</f>
        <v/>
      </c>
      <c r="C102" s="66">
        <f>B102/B101-1</f>
        <v/>
      </c>
      <c r="D102" s="66">
        <f>(Table16[[#This Row],[Index]]-B90)/B90</f>
        <v/>
      </c>
    </row>
    <row r="103">
      <c r="A103" s="17" t="n">
        <v>29221</v>
      </c>
      <c r="B103" s="58">
        <f>VLOOKUP(Table16[[#This Row],[Date]],database!A:H,4,)</f>
        <v/>
      </c>
      <c r="C103" s="66">
        <f>B103/B102-1</f>
        <v/>
      </c>
      <c r="D103" s="66">
        <f>(Table16[[#This Row],[Index]]-B91)/B91</f>
        <v/>
      </c>
    </row>
    <row r="104">
      <c r="A104" s="17" t="n">
        <v>29252</v>
      </c>
      <c r="B104" s="58">
        <f>VLOOKUP(Table16[[#This Row],[Date]],database!A:H,4,)</f>
        <v/>
      </c>
      <c r="C104" s="66">
        <f>B104/B103-1</f>
        <v/>
      </c>
      <c r="D104" s="66">
        <f>(Table16[[#This Row],[Index]]-B92)/B92</f>
        <v/>
      </c>
    </row>
    <row r="105">
      <c r="A105" s="17" t="n">
        <v>29281</v>
      </c>
      <c r="B105" s="58">
        <f>VLOOKUP(Table16[[#This Row],[Date]],database!A:H,4,)</f>
        <v/>
      </c>
      <c r="C105" s="66">
        <f>B105/B104-1</f>
        <v/>
      </c>
      <c r="D105" s="66">
        <f>(Table16[[#This Row],[Index]]-B93)/B93</f>
        <v/>
      </c>
    </row>
    <row r="106">
      <c r="A106" s="17" t="n">
        <v>29312</v>
      </c>
      <c r="B106" s="58">
        <f>VLOOKUP(Table16[[#This Row],[Date]],database!A:H,4,)</f>
        <v/>
      </c>
      <c r="C106" s="66">
        <f>B106/B105-1</f>
        <v/>
      </c>
      <c r="D106" s="66">
        <f>(Table16[[#This Row],[Index]]-B94)/B94</f>
        <v/>
      </c>
    </row>
    <row r="107">
      <c r="A107" s="17" t="n">
        <v>29342</v>
      </c>
      <c r="B107" s="58">
        <f>VLOOKUP(Table16[[#This Row],[Date]],database!A:H,4,)</f>
        <v/>
      </c>
      <c r="C107" s="66">
        <f>B107/B106-1</f>
        <v/>
      </c>
      <c r="D107" s="66">
        <f>(Table16[[#This Row],[Index]]-B95)/B95</f>
        <v/>
      </c>
    </row>
    <row r="108">
      <c r="A108" s="17" t="n">
        <v>29373</v>
      </c>
      <c r="B108" s="58">
        <f>VLOOKUP(Table16[[#This Row],[Date]],database!A:H,4,)</f>
        <v/>
      </c>
      <c r="C108" s="66">
        <f>B108/B107-1</f>
        <v/>
      </c>
      <c r="D108" s="66">
        <f>(Table16[[#This Row],[Index]]-B96)/B96</f>
        <v/>
      </c>
    </row>
    <row r="109">
      <c r="A109" s="17" t="n">
        <v>29403</v>
      </c>
      <c r="B109" s="58">
        <f>VLOOKUP(Table16[[#This Row],[Date]],database!A:H,4,)</f>
        <v/>
      </c>
      <c r="C109" s="66">
        <f>B109/B108-1</f>
        <v/>
      </c>
      <c r="D109" s="66">
        <f>(Table16[[#This Row],[Index]]-B97)/B97</f>
        <v/>
      </c>
    </row>
    <row r="110">
      <c r="A110" s="17" t="n">
        <v>29434</v>
      </c>
      <c r="B110" s="58">
        <f>VLOOKUP(Table16[[#This Row],[Date]],database!A:H,4,)</f>
        <v/>
      </c>
      <c r="C110" s="66">
        <f>B110/B109-1</f>
        <v/>
      </c>
      <c r="D110" s="66">
        <f>(Table16[[#This Row],[Index]]-B98)/B98</f>
        <v/>
      </c>
    </row>
    <row r="111">
      <c r="A111" s="17" t="n">
        <v>29465</v>
      </c>
      <c r="B111" s="58">
        <f>VLOOKUP(Table16[[#This Row],[Date]],database!A:H,4,)</f>
        <v/>
      </c>
      <c r="C111" s="66">
        <f>B111/B110-1</f>
        <v/>
      </c>
      <c r="D111" s="66">
        <f>(Table16[[#This Row],[Index]]-B99)/B99</f>
        <v/>
      </c>
    </row>
    <row r="112">
      <c r="A112" s="17" t="n">
        <v>29495</v>
      </c>
      <c r="B112" s="58">
        <f>VLOOKUP(Table16[[#This Row],[Date]],database!A:H,4,)</f>
        <v/>
      </c>
      <c r="C112" s="66">
        <f>B112/B111-1</f>
        <v/>
      </c>
      <c r="D112" s="66">
        <f>(Table16[[#This Row],[Index]]-B100)/B100</f>
        <v/>
      </c>
    </row>
    <row r="113">
      <c r="A113" s="17" t="n">
        <v>29526</v>
      </c>
      <c r="B113" s="58">
        <f>VLOOKUP(Table16[[#This Row],[Date]],database!A:H,4,)</f>
        <v/>
      </c>
      <c r="C113" s="66">
        <f>B113/B112-1</f>
        <v/>
      </c>
      <c r="D113" s="66">
        <f>(Table16[[#This Row],[Index]]-B101)/B101</f>
        <v/>
      </c>
    </row>
    <row r="114">
      <c r="A114" s="17" t="n">
        <v>29556</v>
      </c>
      <c r="B114" s="58">
        <f>VLOOKUP(Table16[[#This Row],[Date]],database!A:H,4,)</f>
        <v/>
      </c>
      <c r="C114" s="66">
        <f>B114/B113-1</f>
        <v/>
      </c>
      <c r="D114" s="66">
        <f>(Table16[[#This Row],[Index]]-B102)/B102</f>
        <v/>
      </c>
    </row>
    <row r="115">
      <c r="A115" s="17" t="n">
        <v>29587</v>
      </c>
      <c r="B115" s="58">
        <f>VLOOKUP(Table16[[#This Row],[Date]],database!A:H,4,)</f>
        <v/>
      </c>
      <c r="C115" s="66">
        <f>B115/B114-1</f>
        <v/>
      </c>
      <c r="D115" s="66">
        <f>(Table16[[#This Row],[Index]]-B103)/B103</f>
        <v/>
      </c>
    </row>
    <row r="116">
      <c r="A116" s="17" t="n">
        <v>29618</v>
      </c>
      <c r="B116" s="58">
        <f>VLOOKUP(Table16[[#This Row],[Date]],database!A:H,4,)</f>
        <v/>
      </c>
      <c r="C116" s="66">
        <f>B116/B115-1</f>
        <v/>
      </c>
      <c r="D116" s="66">
        <f>(Table16[[#This Row],[Index]]-B104)/B104</f>
        <v/>
      </c>
    </row>
    <row r="117">
      <c r="A117" s="17" t="n">
        <v>29646</v>
      </c>
      <c r="B117" s="58">
        <f>VLOOKUP(Table16[[#This Row],[Date]],database!A:H,4,)</f>
        <v/>
      </c>
      <c r="C117" s="66">
        <f>B117/B116-1</f>
        <v/>
      </c>
      <c r="D117" s="66">
        <f>(Table16[[#This Row],[Index]]-B105)/B105</f>
        <v/>
      </c>
    </row>
    <row r="118">
      <c r="A118" s="17" t="n">
        <v>29677</v>
      </c>
      <c r="B118" s="58">
        <f>VLOOKUP(Table16[[#This Row],[Date]],database!A:H,4,)</f>
        <v/>
      </c>
      <c r="C118" s="66">
        <f>B118/B117-1</f>
        <v/>
      </c>
      <c r="D118" s="66">
        <f>(Table16[[#This Row],[Index]]-B106)/B106</f>
        <v/>
      </c>
    </row>
    <row r="119">
      <c r="A119" s="17" t="n">
        <v>29707</v>
      </c>
      <c r="B119" s="58">
        <f>VLOOKUP(Table16[[#This Row],[Date]],database!A:H,4,)</f>
        <v/>
      </c>
      <c r="C119" s="66">
        <f>B119/B118-1</f>
        <v/>
      </c>
      <c r="D119" s="66">
        <f>(Table16[[#This Row],[Index]]-B107)/B107</f>
        <v/>
      </c>
    </row>
    <row r="120">
      <c r="A120" s="17" t="n">
        <v>29738</v>
      </c>
      <c r="B120" s="58">
        <f>VLOOKUP(Table16[[#This Row],[Date]],database!A:H,4,)</f>
        <v/>
      </c>
      <c r="C120" s="66">
        <f>B120/B119-1</f>
        <v/>
      </c>
      <c r="D120" s="66">
        <f>(Table16[[#This Row],[Index]]-B108)/B108</f>
        <v/>
      </c>
    </row>
    <row r="121">
      <c r="A121" s="17" t="n">
        <v>29768</v>
      </c>
      <c r="B121" s="58">
        <f>VLOOKUP(Table16[[#This Row],[Date]],database!A:H,4,)</f>
        <v/>
      </c>
      <c r="C121" s="66">
        <f>B121/B120-1</f>
        <v/>
      </c>
      <c r="D121" s="66">
        <f>(Table16[[#This Row],[Index]]-B109)/B109</f>
        <v/>
      </c>
    </row>
    <row r="122">
      <c r="A122" s="17" t="n">
        <v>29799</v>
      </c>
      <c r="B122" s="58">
        <f>VLOOKUP(Table16[[#This Row],[Date]],database!A:H,4,)</f>
        <v/>
      </c>
      <c r="C122" s="66">
        <f>B122/B121-1</f>
        <v/>
      </c>
      <c r="D122" s="66">
        <f>(Table16[[#This Row],[Index]]-B110)/B110</f>
        <v/>
      </c>
    </row>
    <row r="123">
      <c r="A123" s="17" t="n">
        <v>29830</v>
      </c>
      <c r="B123" s="58">
        <f>VLOOKUP(Table16[[#This Row],[Date]],database!A:H,4,)</f>
        <v/>
      </c>
      <c r="C123" s="66">
        <f>B123/B122-1</f>
        <v/>
      </c>
      <c r="D123" s="66">
        <f>(Table16[[#This Row],[Index]]-B111)/B111</f>
        <v/>
      </c>
    </row>
    <row r="124">
      <c r="A124" s="17" t="n">
        <v>29860</v>
      </c>
      <c r="B124" s="58">
        <f>VLOOKUP(Table16[[#This Row],[Date]],database!A:H,4,)</f>
        <v/>
      </c>
      <c r="C124" s="66">
        <f>B124/B123-1</f>
        <v/>
      </c>
      <c r="D124" s="66">
        <f>(Table16[[#This Row],[Index]]-B112)/B112</f>
        <v/>
      </c>
    </row>
    <row r="125">
      <c r="A125" s="17" t="n">
        <v>29891</v>
      </c>
      <c r="B125" s="58">
        <f>VLOOKUP(Table16[[#This Row],[Date]],database!A:H,4,)</f>
        <v/>
      </c>
      <c r="C125" s="66">
        <f>B125/B124-1</f>
        <v/>
      </c>
      <c r="D125" s="66">
        <f>(Table16[[#This Row],[Index]]-B113)/B113</f>
        <v/>
      </c>
    </row>
    <row r="126">
      <c r="A126" s="17" t="n">
        <v>29921</v>
      </c>
      <c r="B126" s="58">
        <f>VLOOKUP(Table16[[#This Row],[Date]],database!A:H,4,)</f>
        <v/>
      </c>
      <c r="C126" s="66">
        <f>B126/B125-1</f>
        <v/>
      </c>
      <c r="D126" s="66">
        <f>(Table16[[#This Row],[Index]]-B114)/B114</f>
        <v/>
      </c>
    </row>
    <row r="127">
      <c r="A127" s="17" t="n">
        <v>29952</v>
      </c>
      <c r="B127" s="58">
        <f>VLOOKUP(Table16[[#This Row],[Date]],database!A:H,4,)</f>
        <v/>
      </c>
      <c r="C127" s="66">
        <f>B127/B126-1</f>
        <v/>
      </c>
      <c r="D127" s="66">
        <f>(Table16[[#This Row],[Index]]-B115)/B115</f>
        <v/>
      </c>
    </row>
    <row r="128">
      <c r="A128" s="17" t="n">
        <v>29983</v>
      </c>
      <c r="B128" s="58">
        <f>VLOOKUP(Table16[[#This Row],[Date]],database!A:H,4,)</f>
        <v/>
      </c>
      <c r="C128" s="66">
        <f>B128/B127-1</f>
        <v/>
      </c>
      <c r="D128" s="66">
        <f>(Table16[[#This Row],[Index]]-B116)/B116</f>
        <v/>
      </c>
    </row>
    <row r="129">
      <c r="A129" s="17" t="n">
        <v>30011</v>
      </c>
      <c r="B129" s="58">
        <f>VLOOKUP(Table16[[#This Row],[Date]],database!A:H,4,)</f>
        <v/>
      </c>
      <c r="C129" s="66">
        <f>B129/B128-1</f>
        <v/>
      </c>
      <c r="D129" s="66">
        <f>(Table16[[#This Row],[Index]]-B117)/B117</f>
        <v/>
      </c>
    </row>
    <row r="130">
      <c r="A130" s="17" t="n">
        <v>30042</v>
      </c>
      <c r="B130" s="58">
        <f>VLOOKUP(Table16[[#This Row],[Date]],database!A:H,4,)</f>
        <v/>
      </c>
      <c r="C130" s="66">
        <f>B130/B129-1</f>
        <v/>
      </c>
      <c r="D130" s="66">
        <f>(Table16[[#This Row],[Index]]-B118)/B118</f>
        <v/>
      </c>
    </row>
    <row r="131">
      <c r="A131" s="17" t="n">
        <v>30072</v>
      </c>
      <c r="B131" s="58">
        <f>VLOOKUP(Table16[[#This Row],[Date]],database!A:H,4,)</f>
        <v/>
      </c>
      <c r="C131" s="66">
        <f>B131/B130-1</f>
        <v/>
      </c>
      <c r="D131" s="66">
        <f>(Table16[[#This Row],[Index]]-B119)/B119</f>
        <v/>
      </c>
    </row>
    <row r="132">
      <c r="A132" s="17" t="n">
        <v>30103</v>
      </c>
      <c r="B132" s="58">
        <f>VLOOKUP(Table16[[#This Row],[Date]],database!A:H,4,)</f>
        <v/>
      </c>
      <c r="C132" s="66">
        <f>B132/B131-1</f>
        <v/>
      </c>
      <c r="D132" s="66">
        <f>(Table16[[#This Row],[Index]]-B120)/B120</f>
        <v/>
      </c>
    </row>
    <row r="133">
      <c r="A133" s="17" t="n">
        <v>30133</v>
      </c>
      <c r="B133" s="58">
        <f>VLOOKUP(Table16[[#This Row],[Date]],database!A:H,4,)</f>
        <v/>
      </c>
      <c r="C133" s="66">
        <f>B133/B132-1</f>
        <v/>
      </c>
      <c r="D133" s="66">
        <f>(Table16[[#This Row],[Index]]-B121)/B121</f>
        <v/>
      </c>
    </row>
    <row r="134">
      <c r="A134" s="17" t="n">
        <v>30164</v>
      </c>
      <c r="B134" s="58">
        <f>VLOOKUP(Table16[[#This Row],[Date]],database!A:H,4,)</f>
        <v/>
      </c>
      <c r="C134" s="66">
        <f>B134/B133-1</f>
        <v/>
      </c>
      <c r="D134" s="66">
        <f>(Table16[[#This Row],[Index]]-B122)/B122</f>
        <v/>
      </c>
    </row>
    <row r="135">
      <c r="A135" s="17" t="n">
        <v>30195</v>
      </c>
      <c r="B135" s="58">
        <f>VLOOKUP(Table16[[#This Row],[Date]],database!A:H,4,)</f>
        <v/>
      </c>
      <c r="C135" s="66">
        <f>B135/B134-1</f>
        <v/>
      </c>
      <c r="D135" s="66">
        <f>(Table16[[#This Row],[Index]]-B123)/B123</f>
        <v/>
      </c>
    </row>
    <row r="136">
      <c r="A136" s="17" t="n">
        <v>30225</v>
      </c>
      <c r="B136" s="58">
        <f>VLOOKUP(Table16[[#This Row],[Date]],database!A:H,4,)</f>
        <v/>
      </c>
      <c r="C136" s="66">
        <f>B136/B135-1</f>
        <v/>
      </c>
      <c r="D136" s="66">
        <f>(Table16[[#This Row],[Index]]-B124)/B124</f>
        <v/>
      </c>
    </row>
    <row r="137">
      <c r="A137" s="17" t="n">
        <v>30256</v>
      </c>
      <c r="B137" s="58">
        <f>VLOOKUP(Table16[[#This Row],[Date]],database!A:H,4,)</f>
        <v/>
      </c>
      <c r="C137" s="66">
        <f>B137/B136-1</f>
        <v/>
      </c>
      <c r="D137" s="66">
        <f>(Table16[[#This Row],[Index]]-B125)/B125</f>
        <v/>
      </c>
    </row>
    <row r="138">
      <c r="A138" s="17" t="n">
        <v>30286</v>
      </c>
      <c r="B138" s="58">
        <f>VLOOKUP(Table16[[#This Row],[Date]],database!A:H,4,)</f>
        <v/>
      </c>
      <c r="C138" s="66">
        <f>B138/B137-1</f>
        <v/>
      </c>
      <c r="D138" s="66">
        <f>(Table16[[#This Row],[Index]]-B126)/B126</f>
        <v/>
      </c>
    </row>
    <row r="139">
      <c r="A139" s="17" t="n">
        <v>30317</v>
      </c>
      <c r="B139" s="58">
        <f>VLOOKUP(Table16[[#This Row],[Date]],database!A:H,4,)</f>
        <v/>
      </c>
      <c r="C139" s="66">
        <f>B139/B138-1</f>
        <v/>
      </c>
      <c r="D139" s="66">
        <f>(Table16[[#This Row],[Index]]-B127)/B127</f>
        <v/>
      </c>
    </row>
    <row r="140">
      <c r="A140" s="17" t="n">
        <v>30348</v>
      </c>
      <c r="B140" s="58">
        <f>VLOOKUP(Table16[[#This Row],[Date]],database!A:H,4,)</f>
        <v/>
      </c>
      <c r="C140" s="66">
        <f>B140/B139-1</f>
        <v/>
      </c>
      <c r="D140" s="66">
        <f>(Table16[[#This Row],[Index]]-B128)/B128</f>
        <v/>
      </c>
    </row>
    <row r="141">
      <c r="A141" s="17" t="n">
        <v>30376</v>
      </c>
      <c r="B141" s="58">
        <f>VLOOKUP(Table16[[#This Row],[Date]],database!A:H,4,)</f>
        <v/>
      </c>
      <c r="C141" s="66">
        <f>B141/B140-1</f>
        <v/>
      </c>
      <c r="D141" s="66">
        <f>(Table16[[#This Row],[Index]]-B129)/B129</f>
        <v/>
      </c>
    </row>
    <row r="142">
      <c r="A142" s="17" t="n">
        <v>30407</v>
      </c>
      <c r="B142" s="58">
        <f>VLOOKUP(Table16[[#This Row],[Date]],database!A:H,4,)</f>
        <v/>
      </c>
      <c r="C142" s="66">
        <f>B142/B141-1</f>
        <v/>
      </c>
      <c r="D142" s="66">
        <f>(Table16[[#This Row],[Index]]-B130)/B130</f>
        <v/>
      </c>
    </row>
    <row r="143">
      <c r="A143" s="17" t="n">
        <v>30437</v>
      </c>
      <c r="B143" s="58">
        <f>VLOOKUP(Table16[[#This Row],[Date]],database!A:H,4,)</f>
        <v/>
      </c>
      <c r="C143" s="66">
        <f>B143/B142-1</f>
        <v/>
      </c>
      <c r="D143" s="66">
        <f>(Table16[[#This Row],[Index]]-B131)/B131</f>
        <v/>
      </c>
    </row>
    <row r="144">
      <c r="A144" s="17" t="n">
        <v>30468</v>
      </c>
      <c r="B144" s="58">
        <f>VLOOKUP(Table16[[#This Row],[Date]],database!A:H,4,)</f>
        <v/>
      </c>
      <c r="C144" s="66">
        <f>B144/B143-1</f>
        <v/>
      </c>
      <c r="D144" s="66">
        <f>(Table16[[#This Row],[Index]]-B132)/B132</f>
        <v/>
      </c>
    </row>
    <row r="145">
      <c r="A145" s="17" t="n">
        <v>30498</v>
      </c>
      <c r="B145" s="58">
        <f>VLOOKUP(Table16[[#This Row],[Date]],database!A:H,4,)</f>
        <v/>
      </c>
      <c r="C145" s="66">
        <f>B145/B144-1</f>
        <v/>
      </c>
      <c r="D145" s="66">
        <f>(Table16[[#This Row],[Index]]-B133)/B133</f>
        <v/>
      </c>
    </row>
    <row r="146">
      <c r="A146" s="17" t="n">
        <v>30529</v>
      </c>
      <c r="B146" s="58">
        <f>VLOOKUP(Table16[[#This Row],[Date]],database!A:H,4,)</f>
        <v/>
      </c>
      <c r="C146" s="66">
        <f>B146/B145-1</f>
        <v/>
      </c>
      <c r="D146" s="66">
        <f>(Table16[[#This Row],[Index]]-B134)/B134</f>
        <v/>
      </c>
    </row>
    <row r="147">
      <c r="A147" s="17" t="n">
        <v>30560</v>
      </c>
      <c r="B147" s="58">
        <f>VLOOKUP(Table16[[#This Row],[Date]],database!A:H,4,)</f>
        <v/>
      </c>
      <c r="C147" s="66">
        <f>B147/B146-1</f>
        <v/>
      </c>
      <c r="D147" s="66">
        <f>(Table16[[#This Row],[Index]]-B135)/B135</f>
        <v/>
      </c>
    </row>
    <row r="148">
      <c r="A148" s="17" t="n">
        <v>30590</v>
      </c>
      <c r="B148" s="58">
        <f>VLOOKUP(Table16[[#This Row],[Date]],database!A:H,4,)</f>
        <v/>
      </c>
      <c r="C148" s="66">
        <f>B148/B147-1</f>
        <v/>
      </c>
      <c r="D148" s="66">
        <f>(Table16[[#This Row],[Index]]-B136)/B136</f>
        <v/>
      </c>
    </row>
    <row r="149">
      <c r="A149" s="17" t="n">
        <v>30621</v>
      </c>
      <c r="B149" s="58">
        <f>VLOOKUP(Table16[[#This Row],[Date]],database!A:H,4,)</f>
        <v/>
      </c>
      <c r="C149" s="66">
        <f>B149/B148-1</f>
        <v/>
      </c>
      <c r="D149" s="66">
        <f>(Table16[[#This Row],[Index]]-B137)/B137</f>
        <v/>
      </c>
    </row>
    <row r="150">
      <c r="A150" s="17" t="n">
        <v>30651</v>
      </c>
      <c r="B150" s="58">
        <f>VLOOKUP(Table16[[#This Row],[Date]],database!A:H,4,)</f>
        <v/>
      </c>
      <c r="C150" s="66">
        <f>B150/B149-1</f>
        <v/>
      </c>
      <c r="D150" s="66">
        <f>(Table16[[#This Row],[Index]]-B138)/B138</f>
        <v/>
      </c>
    </row>
    <row r="151">
      <c r="A151" s="17" t="n">
        <v>30682</v>
      </c>
      <c r="B151" s="58">
        <f>VLOOKUP(Table16[[#This Row],[Date]],database!A:H,4,)</f>
        <v/>
      </c>
      <c r="C151" s="66">
        <f>B151/B150-1</f>
        <v/>
      </c>
      <c r="D151" s="66">
        <f>(Table16[[#This Row],[Index]]-B139)/B139</f>
        <v/>
      </c>
    </row>
    <row r="152">
      <c r="A152" s="17" t="n">
        <v>30713</v>
      </c>
      <c r="B152" s="58">
        <f>VLOOKUP(Table16[[#This Row],[Date]],database!A:H,4,)</f>
        <v/>
      </c>
      <c r="C152" s="66">
        <f>B152/B151-1</f>
        <v/>
      </c>
      <c r="D152" s="66">
        <f>(Table16[[#This Row],[Index]]-B140)/B140</f>
        <v/>
      </c>
    </row>
    <row r="153">
      <c r="A153" s="17" t="n">
        <v>30742</v>
      </c>
      <c r="B153" s="58">
        <f>VLOOKUP(Table16[[#This Row],[Date]],database!A:H,4,)</f>
        <v/>
      </c>
      <c r="C153" s="66">
        <f>B153/B152-1</f>
        <v/>
      </c>
      <c r="D153" s="66">
        <f>(Table16[[#This Row],[Index]]-B141)/B141</f>
        <v/>
      </c>
    </row>
    <row r="154">
      <c r="A154" s="17" t="n">
        <v>30773</v>
      </c>
      <c r="B154" s="58">
        <f>VLOOKUP(Table16[[#This Row],[Date]],database!A:H,4,)</f>
        <v/>
      </c>
      <c r="C154" s="66">
        <f>B154/B153-1</f>
        <v/>
      </c>
      <c r="D154" s="66">
        <f>(Table16[[#This Row],[Index]]-B142)/B142</f>
        <v/>
      </c>
    </row>
    <row r="155">
      <c r="A155" s="17" t="n">
        <v>30803</v>
      </c>
      <c r="B155" s="58">
        <f>VLOOKUP(Table16[[#This Row],[Date]],database!A:H,4,)</f>
        <v/>
      </c>
      <c r="C155" s="66">
        <f>B155/B154-1</f>
        <v/>
      </c>
      <c r="D155" s="66">
        <f>(Table16[[#This Row],[Index]]-B143)/B143</f>
        <v/>
      </c>
    </row>
    <row r="156">
      <c r="A156" s="17" t="n">
        <v>30834</v>
      </c>
      <c r="B156" s="58">
        <f>VLOOKUP(Table16[[#This Row],[Date]],database!A:H,4,)</f>
        <v/>
      </c>
      <c r="C156" s="66">
        <f>B156/B155-1</f>
        <v/>
      </c>
      <c r="D156" s="66">
        <f>(Table16[[#This Row],[Index]]-B144)/B144</f>
        <v/>
      </c>
    </row>
    <row r="157">
      <c r="A157" s="17" t="n">
        <v>30864</v>
      </c>
      <c r="B157" s="58">
        <f>VLOOKUP(Table16[[#This Row],[Date]],database!A:H,4,)</f>
        <v/>
      </c>
      <c r="C157" s="66">
        <f>B157/B156-1</f>
        <v/>
      </c>
      <c r="D157" s="66">
        <f>(Table16[[#This Row],[Index]]-B145)/B145</f>
        <v/>
      </c>
    </row>
    <row r="158">
      <c r="A158" s="17" t="n">
        <v>30895</v>
      </c>
      <c r="B158" s="58">
        <f>VLOOKUP(Table16[[#This Row],[Date]],database!A:H,4,)</f>
        <v/>
      </c>
      <c r="C158" s="66">
        <f>B158/B157-1</f>
        <v/>
      </c>
      <c r="D158" s="66">
        <f>(Table16[[#This Row],[Index]]-B146)/B146</f>
        <v/>
      </c>
    </row>
    <row r="159">
      <c r="A159" s="17" t="n">
        <v>30926</v>
      </c>
      <c r="B159" s="58">
        <f>VLOOKUP(Table16[[#This Row],[Date]],database!A:H,4,)</f>
        <v/>
      </c>
      <c r="C159" s="66">
        <f>B159/B158-1</f>
        <v/>
      </c>
      <c r="D159" s="66">
        <f>(Table16[[#This Row],[Index]]-B147)/B147</f>
        <v/>
      </c>
    </row>
    <row r="160">
      <c r="A160" s="17" t="n">
        <v>30956</v>
      </c>
      <c r="B160" s="58">
        <f>VLOOKUP(Table16[[#This Row],[Date]],database!A:H,4,)</f>
        <v/>
      </c>
      <c r="C160" s="66">
        <f>B160/B159-1</f>
        <v/>
      </c>
      <c r="D160" s="66">
        <f>(Table16[[#This Row],[Index]]-B148)/B148</f>
        <v/>
      </c>
    </row>
    <row r="161">
      <c r="A161" s="17" t="n">
        <v>30987</v>
      </c>
      <c r="B161" s="58">
        <f>VLOOKUP(Table16[[#This Row],[Date]],database!A:H,4,)</f>
        <v/>
      </c>
      <c r="C161" s="66">
        <f>B161/B160-1</f>
        <v/>
      </c>
      <c r="D161" s="66">
        <f>(Table16[[#This Row],[Index]]-B149)/B149</f>
        <v/>
      </c>
    </row>
    <row r="162">
      <c r="A162" s="17" t="n">
        <v>31017</v>
      </c>
      <c r="B162" s="58">
        <f>VLOOKUP(Table16[[#This Row],[Date]],database!A:H,4,)</f>
        <v/>
      </c>
      <c r="C162" s="66">
        <f>B162/B161-1</f>
        <v/>
      </c>
      <c r="D162" s="66">
        <f>(Table16[[#This Row],[Index]]-B150)/B150</f>
        <v/>
      </c>
    </row>
    <row r="163">
      <c r="A163" s="17" t="n">
        <v>31048</v>
      </c>
      <c r="B163" s="58">
        <f>VLOOKUP(Table16[[#This Row],[Date]],database!A:H,4,)</f>
        <v/>
      </c>
      <c r="C163" s="66">
        <f>B163/B162-1</f>
        <v/>
      </c>
      <c r="D163" s="66">
        <f>(Table16[[#This Row],[Index]]-B151)/B151</f>
        <v/>
      </c>
    </row>
    <row r="164">
      <c r="A164" s="17" t="n">
        <v>31079</v>
      </c>
      <c r="B164" s="58">
        <f>VLOOKUP(Table16[[#This Row],[Date]],database!A:H,4,)</f>
        <v/>
      </c>
      <c r="C164" s="66">
        <f>B164/B163-1</f>
        <v/>
      </c>
      <c r="D164" s="66">
        <f>(Table16[[#This Row],[Index]]-B152)/B152</f>
        <v/>
      </c>
    </row>
    <row r="165">
      <c r="A165" s="17" t="n">
        <v>31107</v>
      </c>
      <c r="B165" s="58">
        <f>VLOOKUP(Table16[[#This Row],[Date]],database!A:H,4,)</f>
        <v/>
      </c>
      <c r="C165" s="66">
        <f>B165/B164-1</f>
        <v/>
      </c>
      <c r="D165" s="66">
        <f>(Table16[[#This Row],[Index]]-B153)/B153</f>
        <v/>
      </c>
    </row>
    <row r="166">
      <c r="A166" s="17" t="n">
        <v>31138</v>
      </c>
      <c r="B166" s="58">
        <f>VLOOKUP(Table16[[#This Row],[Date]],database!A:H,4,)</f>
        <v/>
      </c>
      <c r="C166" s="66">
        <f>B166/B165-1</f>
        <v/>
      </c>
      <c r="D166" s="66">
        <f>(Table16[[#This Row],[Index]]-B154)/B154</f>
        <v/>
      </c>
    </row>
    <row r="167">
      <c r="A167" s="17" t="n">
        <v>31168</v>
      </c>
      <c r="B167" s="58">
        <f>VLOOKUP(Table16[[#This Row],[Date]],database!A:H,4,)</f>
        <v/>
      </c>
      <c r="C167" s="66">
        <f>B167/B166-1</f>
        <v/>
      </c>
      <c r="D167" s="66">
        <f>(Table16[[#This Row],[Index]]-B155)/B155</f>
        <v/>
      </c>
    </row>
    <row r="168">
      <c r="A168" s="17" t="n">
        <v>31199</v>
      </c>
      <c r="B168" s="58">
        <f>VLOOKUP(Table16[[#This Row],[Date]],database!A:H,4,)</f>
        <v/>
      </c>
      <c r="C168" s="66">
        <f>B168/B167-1</f>
        <v/>
      </c>
      <c r="D168" s="66">
        <f>(Table16[[#This Row],[Index]]-B156)/B156</f>
        <v/>
      </c>
    </row>
    <row r="169">
      <c r="A169" s="17" t="n">
        <v>31229</v>
      </c>
      <c r="B169" s="58">
        <f>VLOOKUP(Table16[[#This Row],[Date]],database!A:H,4,)</f>
        <v/>
      </c>
      <c r="C169" s="66">
        <f>B169/B168-1</f>
        <v/>
      </c>
      <c r="D169" s="66">
        <f>(Table16[[#This Row],[Index]]-B157)/B157</f>
        <v/>
      </c>
    </row>
    <row r="170">
      <c r="A170" s="17" t="n">
        <v>31260</v>
      </c>
      <c r="B170" s="58">
        <f>VLOOKUP(Table16[[#This Row],[Date]],database!A:H,4,)</f>
        <v/>
      </c>
      <c r="C170" s="66">
        <f>B170/B169-1</f>
        <v/>
      </c>
      <c r="D170" s="66">
        <f>(Table16[[#This Row],[Index]]-B158)/B158</f>
        <v/>
      </c>
    </row>
    <row r="171">
      <c r="A171" s="17" t="n">
        <v>31291</v>
      </c>
      <c r="B171" s="58">
        <f>VLOOKUP(Table16[[#This Row],[Date]],database!A:H,4,)</f>
        <v/>
      </c>
      <c r="C171" s="66">
        <f>B171/B170-1</f>
        <v/>
      </c>
      <c r="D171" s="66">
        <f>(Table16[[#This Row],[Index]]-B159)/B159</f>
        <v/>
      </c>
    </row>
    <row r="172">
      <c r="A172" s="17" t="n">
        <v>31321</v>
      </c>
      <c r="B172" s="58">
        <f>VLOOKUP(Table16[[#This Row],[Date]],database!A:H,4,)</f>
        <v/>
      </c>
      <c r="C172" s="66">
        <f>B172/B171-1</f>
        <v/>
      </c>
      <c r="D172" s="66">
        <f>(Table16[[#This Row],[Index]]-B160)/B160</f>
        <v/>
      </c>
    </row>
    <row r="173">
      <c r="A173" s="17" t="n">
        <v>31352</v>
      </c>
      <c r="B173" s="58">
        <f>VLOOKUP(Table16[[#This Row],[Date]],database!A:H,4,)</f>
        <v/>
      </c>
      <c r="C173" s="66">
        <f>B173/B172-1</f>
        <v/>
      </c>
      <c r="D173" s="66">
        <f>(Table16[[#This Row],[Index]]-B161)/B161</f>
        <v/>
      </c>
    </row>
    <row r="174">
      <c r="A174" s="17" t="n">
        <v>31382</v>
      </c>
      <c r="B174" s="58">
        <f>VLOOKUP(Table16[[#This Row],[Date]],database!A:H,4,)</f>
        <v/>
      </c>
      <c r="C174" s="66">
        <f>B174/B173-1</f>
        <v/>
      </c>
      <c r="D174" s="66">
        <f>(Table16[[#This Row],[Index]]-B162)/B162</f>
        <v/>
      </c>
    </row>
    <row r="175">
      <c r="A175" s="17" t="n">
        <v>31413</v>
      </c>
      <c r="B175" s="58">
        <f>VLOOKUP(Table16[[#This Row],[Date]],database!A:H,4,)</f>
        <v/>
      </c>
      <c r="C175" s="66">
        <f>B175/B174-1</f>
        <v/>
      </c>
      <c r="D175" s="66">
        <f>(Table16[[#This Row],[Index]]-B163)/B163</f>
        <v/>
      </c>
    </row>
    <row r="176">
      <c r="A176" s="17" t="n">
        <v>31444</v>
      </c>
      <c r="B176" s="58">
        <f>VLOOKUP(Table16[[#This Row],[Date]],database!A:H,4,)</f>
        <v/>
      </c>
      <c r="C176" s="66">
        <f>B176/B175-1</f>
        <v/>
      </c>
      <c r="D176" s="66">
        <f>(Table16[[#This Row],[Index]]-B164)/B164</f>
        <v/>
      </c>
    </row>
    <row r="177">
      <c r="A177" s="17" t="n">
        <v>31472</v>
      </c>
      <c r="B177" s="58">
        <f>VLOOKUP(Table16[[#This Row],[Date]],database!A:H,4,)</f>
        <v/>
      </c>
      <c r="C177" s="66">
        <f>B177/B176-1</f>
        <v/>
      </c>
      <c r="D177" s="66">
        <f>(Table16[[#This Row],[Index]]-B165)/B165</f>
        <v/>
      </c>
    </row>
    <row r="178">
      <c r="A178" s="17" t="n">
        <v>31503</v>
      </c>
      <c r="B178" s="58">
        <f>VLOOKUP(Table16[[#This Row],[Date]],database!A:H,4,)</f>
        <v/>
      </c>
      <c r="C178" s="66">
        <f>B178/B177-1</f>
        <v/>
      </c>
      <c r="D178" s="66">
        <f>(Table16[[#This Row],[Index]]-B166)/B166</f>
        <v/>
      </c>
    </row>
    <row r="179">
      <c r="A179" s="17" t="n">
        <v>31533</v>
      </c>
      <c r="B179" s="58">
        <f>VLOOKUP(Table16[[#This Row],[Date]],database!A:H,4,)</f>
        <v/>
      </c>
      <c r="C179" s="66">
        <f>B179/B178-1</f>
        <v/>
      </c>
      <c r="D179" s="66">
        <f>(Table16[[#This Row],[Index]]-B167)/B167</f>
        <v/>
      </c>
    </row>
    <row r="180">
      <c r="A180" s="17" t="n">
        <v>31564</v>
      </c>
      <c r="B180" s="58">
        <f>VLOOKUP(Table16[[#This Row],[Date]],database!A:H,4,)</f>
        <v/>
      </c>
      <c r="C180" s="66">
        <f>B180/B179-1</f>
        <v/>
      </c>
      <c r="D180" s="66">
        <f>(Table16[[#This Row],[Index]]-B168)/B168</f>
        <v/>
      </c>
    </row>
    <row r="181">
      <c r="A181" s="17" t="n">
        <v>31594</v>
      </c>
      <c r="B181" s="58">
        <f>VLOOKUP(Table16[[#This Row],[Date]],database!A:H,4,)</f>
        <v/>
      </c>
      <c r="C181" s="66">
        <f>B181/B180-1</f>
        <v/>
      </c>
      <c r="D181" s="66">
        <f>(Table16[[#This Row],[Index]]-B169)/B169</f>
        <v/>
      </c>
    </row>
    <row r="182">
      <c r="A182" s="17" t="n">
        <v>31625</v>
      </c>
      <c r="B182" s="58">
        <f>VLOOKUP(Table16[[#This Row],[Date]],database!A:H,4,)</f>
        <v/>
      </c>
      <c r="C182" s="66">
        <f>B182/B181-1</f>
        <v/>
      </c>
      <c r="D182" s="66">
        <f>(Table16[[#This Row],[Index]]-B170)/B170</f>
        <v/>
      </c>
    </row>
    <row r="183">
      <c r="A183" s="17" t="n">
        <v>31656</v>
      </c>
      <c r="B183" s="58">
        <f>VLOOKUP(Table16[[#This Row],[Date]],database!A:H,4,)</f>
        <v/>
      </c>
      <c r="C183" s="66">
        <f>B183/B182-1</f>
        <v/>
      </c>
      <c r="D183" s="66">
        <f>(Table16[[#This Row],[Index]]-B171)/B171</f>
        <v/>
      </c>
    </row>
    <row r="184">
      <c r="A184" s="17" t="n">
        <v>31686</v>
      </c>
      <c r="B184" s="58">
        <f>VLOOKUP(Table16[[#This Row],[Date]],database!A:H,4,)</f>
        <v/>
      </c>
      <c r="C184" s="66">
        <f>B184/B183-1</f>
        <v/>
      </c>
      <c r="D184" s="66">
        <f>(Table16[[#This Row],[Index]]-B172)/B172</f>
        <v/>
      </c>
    </row>
    <row r="185">
      <c r="A185" s="17" t="n">
        <v>31717</v>
      </c>
      <c r="B185" s="58">
        <f>VLOOKUP(Table16[[#This Row],[Date]],database!A:H,4,)</f>
        <v/>
      </c>
      <c r="C185" s="66">
        <f>B185/B184-1</f>
        <v/>
      </c>
      <c r="D185" s="66">
        <f>(Table16[[#This Row],[Index]]-B173)/B173</f>
        <v/>
      </c>
    </row>
    <row r="186">
      <c r="A186" s="17" t="n">
        <v>31747</v>
      </c>
      <c r="B186" s="58">
        <f>VLOOKUP(Table16[[#This Row],[Date]],database!A:H,4,)</f>
        <v/>
      </c>
      <c r="C186" s="66">
        <f>B186/B185-1</f>
        <v/>
      </c>
      <c r="D186" s="66">
        <f>(Table16[[#This Row],[Index]]-B174)/B174</f>
        <v/>
      </c>
    </row>
    <row r="187">
      <c r="A187" s="17" t="n">
        <v>31778</v>
      </c>
      <c r="B187" s="58">
        <f>VLOOKUP(Table16[[#This Row],[Date]],database!A:H,4,)</f>
        <v/>
      </c>
      <c r="C187" s="66">
        <f>B187/B186-1</f>
        <v/>
      </c>
      <c r="D187" s="66">
        <f>(Table16[[#This Row],[Index]]-B175)/B175</f>
        <v/>
      </c>
    </row>
    <row r="188">
      <c r="A188" s="17" t="n">
        <v>31809</v>
      </c>
      <c r="B188" s="58">
        <f>VLOOKUP(Table16[[#This Row],[Date]],database!A:H,4,)</f>
        <v/>
      </c>
      <c r="C188" s="66">
        <f>B188/B187-1</f>
        <v/>
      </c>
      <c r="D188" s="66">
        <f>(Table16[[#This Row],[Index]]-B176)/B176</f>
        <v/>
      </c>
    </row>
    <row r="189">
      <c r="A189" s="17" t="n">
        <v>31837</v>
      </c>
      <c r="B189" s="58">
        <f>VLOOKUP(Table16[[#This Row],[Date]],database!A:H,4,)</f>
        <v/>
      </c>
      <c r="C189" s="66">
        <f>B189/B188-1</f>
        <v/>
      </c>
      <c r="D189" s="66">
        <f>(Table16[[#This Row],[Index]]-B177)/B177</f>
        <v/>
      </c>
    </row>
    <row r="190">
      <c r="A190" s="17" t="n">
        <v>31868</v>
      </c>
      <c r="B190" s="58">
        <f>VLOOKUP(Table16[[#This Row],[Date]],database!A:H,4,)</f>
        <v/>
      </c>
      <c r="C190" s="66">
        <f>B190/B189-1</f>
        <v/>
      </c>
      <c r="D190" s="66">
        <f>(Table16[[#This Row],[Index]]-B178)/B178</f>
        <v/>
      </c>
    </row>
    <row r="191">
      <c r="A191" s="17" t="n">
        <v>31898</v>
      </c>
      <c r="B191" s="58">
        <f>VLOOKUP(Table16[[#This Row],[Date]],database!A:H,4,)</f>
        <v/>
      </c>
      <c r="C191" s="66">
        <f>B191/B190-1</f>
        <v/>
      </c>
      <c r="D191" s="66">
        <f>(Table16[[#This Row],[Index]]-B179)/B179</f>
        <v/>
      </c>
    </row>
    <row r="192">
      <c r="A192" s="17" t="n">
        <v>31929</v>
      </c>
      <c r="B192" s="58">
        <f>VLOOKUP(Table16[[#This Row],[Date]],database!A:H,4,)</f>
        <v/>
      </c>
      <c r="C192" s="66">
        <f>B192/B191-1</f>
        <v/>
      </c>
      <c r="D192" s="66">
        <f>(Table16[[#This Row],[Index]]-B180)/B180</f>
        <v/>
      </c>
    </row>
    <row r="193">
      <c r="A193" s="17" t="n">
        <v>31959</v>
      </c>
      <c r="B193" s="58">
        <f>VLOOKUP(Table16[[#This Row],[Date]],database!A:H,4,)</f>
        <v/>
      </c>
      <c r="C193" s="66">
        <f>B193/B192-1</f>
        <v/>
      </c>
      <c r="D193" s="66">
        <f>(Table16[[#This Row],[Index]]-B181)/B181</f>
        <v/>
      </c>
    </row>
    <row r="194">
      <c r="A194" s="17" t="n">
        <v>31990</v>
      </c>
      <c r="B194" s="58">
        <f>VLOOKUP(Table16[[#This Row],[Date]],database!A:H,4,)</f>
        <v/>
      </c>
      <c r="C194" s="66">
        <f>B194/B193-1</f>
        <v/>
      </c>
      <c r="D194" s="66">
        <f>(Table16[[#This Row],[Index]]-B182)/B182</f>
        <v/>
      </c>
    </row>
    <row r="195">
      <c r="A195" s="17" t="n">
        <v>32021</v>
      </c>
      <c r="B195" s="58">
        <f>VLOOKUP(Table16[[#This Row],[Date]],database!A:H,4,)</f>
        <v/>
      </c>
      <c r="C195" s="66">
        <f>B195/B194-1</f>
        <v/>
      </c>
      <c r="D195" s="66">
        <f>(Table16[[#This Row],[Index]]-B183)/B183</f>
        <v/>
      </c>
    </row>
    <row r="196">
      <c r="A196" s="17" t="n">
        <v>32051</v>
      </c>
      <c r="B196" s="58">
        <f>VLOOKUP(Table16[[#This Row],[Date]],database!A:H,4,)</f>
        <v/>
      </c>
      <c r="C196" s="66">
        <f>B196/B195-1</f>
        <v/>
      </c>
      <c r="D196" s="66">
        <f>(Table16[[#This Row],[Index]]-B184)/B184</f>
        <v/>
      </c>
    </row>
    <row r="197">
      <c r="A197" s="17" t="n">
        <v>32082</v>
      </c>
      <c r="B197" s="58">
        <f>VLOOKUP(Table16[[#This Row],[Date]],database!A:H,4,)</f>
        <v/>
      </c>
      <c r="C197" s="66">
        <f>B197/B196-1</f>
        <v/>
      </c>
      <c r="D197" s="66">
        <f>(Table16[[#This Row],[Index]]-B185)/B185</f>
        <v/>
      </c>
    </row>
    <row r="198">
      <c r="A198" s="17" t="n">
        <v>32112</v>
      </c>
      <c r="B198" s="58">
        <f>VLOOKUP(Table16[[#This Row],[Date]],database!A:H,4,)</f>
        <v/>
      </c>
      <c r="C198" s="66">
        <f>B198/B197-1</f>
        <v/>
      </c>
      <c r="D198" s="66">
        <f>(Table16[[#This Row],[Index]]-B186)/B186</f>
        <v/>
      </c>
    </row>
    <row r="199">
      <c r="A199" s="17" t="n">
        <v>32143</v>
      </c>
      <c r="B199" s="58">
        <f>VLOOKUP(Table16[[#This Row],[Date]],database!A:H,4,)</f>
        <v/>
      </c>
      <c r="C199" s="66">
        <f>B199/B198-1</f>
        <v/>
      </c>
      <c r="D199" s="66">
        <f>(Table16[[#This Row],[Index]]-B187)/B187</f>
        <v/>
      </c>
    </row>
    <row r="200">
      <c r="A200" s="17" t="n">
        <v>32174</v>
      </c>
      <c r="B200" s="58">
        <f>VLOOKUP(Table16[[#This Row],[Date]],database!A:H,4,)</f>
        <v/>
      </c>
      <c r="C200" s="66">
        <f>B200/B199-1</f>
        <v/>
      </c>
      <c r="D200" s="66">
        <f>(Table16[[#This Row],[Index]]-B188)/B188</f>
        <v/>
      </c>
    </row>
    <row r="201">
      <c r="A201" s="17" t="n">
        <v>32203</v>
      </c>
      <c r="B201" s="58">
        <f>VLOOKUP(Table16[[#This Row],[Date]],database!A:H,4,)</f>
        <v/>
      </c>
      <c r="C201" s="66">
        <f>B201/B200-1</f>
        <v/>
      </c>
      <c r="D201" s="66">
        <f>(Table16[[#This Row],[Index]]-B189)/B189</f>
        <v/>
      </c>
    </row>
    <row r="202">
      <c r="A202" s="17" t="n">
        <v>32234</v>
      </c>
      <c r="B202" s="58">
        <f>VLOOKUP(Table16[[#This Row],[Date]],database!A:H,4,)</f>
        <v/>
      </c>
      <c r="C202" s="66">
        <f>B202/B201-1</f>
        <v/>
      </c>
      <c r="D202" s="66">
        <f>(Table16[[#This Row],[Index]]-B190)/B190</f>
        <v/>
      </c>
    </row>
    <row r="203">
      <c r="A203" s="17" t="n">
        <v>32264</v>
      </c>
      <c r="B203" s="58">
        <f>VLOOKUP(Table16[[#This Row],[Date]],database!A:H,4,)</f>
        <v/>
      </c>
      <c r="C203" s="66">
        <f>B203/B202-1</f>
        <v/>
      </c>
      <c r="D203" s="66">
        <f>(Table16[[#This Row],[Index]]-B191)/B191</f>
        <v/>
      </c>
    </row>
    <row r="204">
      <c r="A204" s="17" t="n">
        <v>32295</v>
      </c>
      <c r="B204" s="58">
        <f>VLOOKUP(Table16[[#This Row],[Date]],database!A:H,4,)</f>
        <v/>
      </c>
      <c r="C204" s="66">
        <f>B204/B203-1</f>
        <v/>
      </c>
      <c r="D204" s="66">
        <f>(Table16[[#This Row],[Index]]-B192)/B192</f>
        <v/>
      </c>
    </row>
    <row r="205">
      <c r="A205" s="17" t="n">
        <v>32325</v>
      </c>
      <c r="B205" s="58">
        <f>VLOOKUP(Table16[[#This Row],[Date]],database!A:H,4,)</f>
        <v/>
      </c>
      <c r="C205" s="66">
        <f>B205/B204-1</f>
        <v/>
      </c>
      <c r="D205" s="66">
        <f>(Table16[[#This Row],[Index]]-B193)/B193</f>
        <v/>
      </c>
    </row>
    <row r="206">
      <c r="A206" s="17" t="n">
        <v>32356</v>
      </c>
      <c r="B206" s="58">
        <f>VLOOKUP(Table16[[#This Row],[Date]],database!A:H,4,)</f>
        <v/>
      </c>
      <c r="C206" s="66">
        <f>B206/B205-1</f>
        <v/>
      </c>
      <c r="D206" s="66">
        <f>(Table16[[#This Row],[Index]]-B194)/B194</f>
        <v/>
      </c>
    </row>
    <row r="207">
      <c r="A207" s="17" t="n">
        <v>32387</v>
      </c>
      <c r="B207" s="58">
        <f>VLOOKUP(Table16[[#This Row],[Date]],database!A:H,4,)</f>
        <v/>
      </c>
      <c r="C207" s="66">
        <f>B207/B206-1</f>
        <v/>
      </c>
      <c r="D207" s="66">
        <f>(Table16[[#This Row],[Index]]-B195)/B195</f>
        <v/>
      </c>
    </row>
    <row r="208">
      <c r="A208" s="17" t="n">
        <v>32417</v>
      </c>
      <c r="B208" s="58">
        <f>VLOOKUP(Table16[[#This Row],[Date]],database!A:H,4,)</f>
        <v/>
      </c>
      <c r="C208" s="66">
        <f>B208/B207-1</f>
        <v/>
      </c>
      <c r="D208" s="66">
        <f>(Table16[[#This Row],[Index]]-B196)/B196</f>
        <v/>
      </c>
    </row>
    <row r="209">
      <c r="A209" s="17" t="n">
        <v>32448</v>
      </c>
      <c r="B209" s="58">
        <f>VLOOKUP(Table16[[#This Row],[Date]],database!A:H,4,)</f>
        <v/>
      </c>
      <c r="C209" s="66">
        <f>B209/B208-1</f>
        <v/>
      </c>
      <c r="D209" s="66">
        <f>(Table16[[#This Row],[Index]]-B197)/B197</f>
        <v/>
      </c>
    </row>
    <row r="210">
      <c r="A210" s="17" t="n">
        <v>32478</v>
      </c>
      <c r="B210" s="58">
        <f>VLOOKUP(Table16[[#This Row],[Date]],database!A:H,4,)</f>
        <v/>
      </c>
      <c r="C210" s="66">
        <f>B210/B209-1</f>
        <v/>
      </c>
      <c r="D210" s="66">
        <f>(Table16[[#This Row],[Index]]-B198)/B198</f>
        <v/>
      </c>
    </row>
    <row r="211">
      <c r="A211" s="17" t="n">
        <v>32509</v>
      </c>
      <c r="B211" s="58">
        <f>VLOOKUP(Table16[[#This Row],[Date]],database!A:H,4,)</f>
        <v/>
      </c>
      <c r="C211" s="66">
        <f>B211/B210-1</f>
        <v/>
      </c>
      <c r="D211" s="66">
        <f>(Table16[[#This Row],[Index]]-B199)/B199</f>
        <v/>
      </c>
    </row>
    <row r="212">
      <c r="A212" s="17" t="n">
        <v>32540</v>
      </c>
      <c r="B212" s="58">
        <f>VLOOKUP(Table16[[#This Row],[Date]],database!A:H,4,)</f>
        <v/>
      </c>
      <c r="C212" s="66">
        <f>B212/B211-1</f>
        <v/>
      </c>
      <c r="D212" s="66">
        <f>(Table16[[#This Row],[Index]]-B200)/B200</f>
        <v/>
      </c>
    </row>
    <row r="213">
      <c r="A213" s="17" t="n">
        <v>32568</v>
      </c>
      <c r="B213" s="58">
        <f>VLOOKUP(Table16[[#This Row],[Date]],database!A:H,4,)</f>
        <v/>
      </c>
      <c r="C213" s="66">
        <f>B213/B212-1</f>
        <v/>
      </c>
      <c r="D213" s="66">
        <f>(Table16[[#This Row],[Index]]-B201)/B201</f>
        <v/>
      </c>
    </row>
    <row r="214">
      <c r="A214" s="17" t="n">
        <v>32599</v>
      </c>
      <c r="B214" s="58">
        <f>VLOOKUP(Table16[[#This Row],[Date]],database!A:H,4,)</f>
        <v/>
      </c>
      <c r="C214" s="66">
        <f>B214/B213-1</f>
        <v/>
      </c>
      <c r="D214" s="66">
        <f>(Table16[[#This Row],[Index]]-B202)/B202</f>
        <v/>
      </c>
    </row>
    <row r="215">
      <c r="A215" s="17" t="n">
        <v>32629</v>
      </c>
      <c r="B215" s="58">
        <f>VLOOKUP(Table16[[#This Row],[Date]],database!A:H,4,)</f>
        <v/>
      </c>
      <c r="C215" s="66">
        <f>B215/B214-1</f>
        <v/>
      </c>
      <c r="D215" s="66">
        <f>(Table16[[#This Row],[Index]]-B203)/B203</f>
        <v/>
      </c>
    </row>
    <row r="216">
      <c r="A216" s="17" t="n">
        <v>32660</v>
      </c>
      <c r="B216" s="58">
        <f>VLOOKUP(Table16[[#This Row],[Date]],database!A:H,4,)</f>
        <v/>
      </c>
      <c r="C216" s="66">
        <f>B216/B215-1</f>
        <v/>
      </c>
      <c r="D216" s="66">
        <f>(Table16[[#This Row],[Index]]-B204)/B204</f>
        <v/>
      </c>
    </row>
    <row r="217">
      <c r="A217" s="17" t="n">
        <v>32690</v>
      </c>
      <c r="B217" s="58">
        <f>VLOOKUP(Table16[[#This Row],[Date]],database!A:H,4,)</f>
        <v/>
      </c>
      <c r="C217" s="66">
        <f>B217/B216-1</f>
        <v/>
      </c>
      <c r="D217" s="66">
        <f>(Table16[[#This Row],[Index]]-B205)/B205</f>
        <v/>
      </c>
    </row>
    <row r="218">
      <c r="A218" s="17" t="n">
        <v>32721</v>
      </c>
      <c r="B218" s="58">
        <f>VLOOKUP(Table16[[#This Row],[Date]],database!A:H,4,)</f>
        <v/>
      </c>
      <c r="C218" s="66">
        <f>B218/B217-1</f>
        <v/>
      </c>
      <c r="D218" s="66">
        <f>(Table16[[#This Row],[Index]]-B206)/B206</f>
        <v/>
      </c>
    </row>
    <row r="219">
      <c r="A219" s="17" t="n">
        <v>32752</v>
      </c>
      <c r="B219" s="58">
        <f>VLOOKUP(Table16[[#This Row],[Date]],database!A:H,4,)</f>
        <v/>
      </c>
      <c r="C219" s="66">
        <f>B219/B218-1</f>
        <v/>
      </c>
      <c r="D219" s="66">
        <f>(Table16[[#This Row],[Index]]-B207)/B207</f>
        <v/>
      </c>
    </row>
    <row r="220">
      <c r="A220" s="17" t="n">
        <v>32782</v>
      </c>
      <c r="B220" s="58">
        <f>VLOOKUP(Table16[[#This Row],[Date]],database!A:H,4,)</f>
        <v/>
      </c>
      <c r="C220" s="66">
        <f>B220/B219-1</f>
        <v/>
      </c>
      <c r="D220" s="66">
        <f>(Table16[[#This Row],[Index]]-B208)/B208</f>
        <v/>
      </c>
    </row>
    <row r="221">
      <c r="A221" s="17" t="n">
        <v>32813</v>
      </c>
      <c r="B221" s="58">
        <f>VLOOKUP(Table16[[#This Row],[Date]],database!A:H,4,)</f>
        <v/>
      </c>
      <c r="C221" s="66">
        <f>B221/B220-1</f>
        <v/>
      </c>
      <c r="D221" s="66">
        <f>(Table16[[#This Row],[Index]]-B209)/B209</f>
        <v/>
      </c>
    </row>
    <row r="222">
      <c r="A222" s="17" t="n">
        <v>32843</v>
      </c>
      <c r="B222" s="58">
        <f>VLOOKUP(Table16[[#This Row],[Date]],database!A:H,4,)</f>
        <v/>
      </c>
      <c r="C222" s="66">
        <f>B222/B221-1</f>
        <v/>
      </c>
      <c r="D222" s="66">
        <f>(Table16[[#This Row],[Index]]-B210)/B210</f>
        <v/>
      </c>
    </row>
    <row r="223">
      <c r="A223" s="17" t="n">
        <v>32874</v>
      </c>
      <c r="B223" s="58">
        <f>VLOOKUP(Table16[[#This Row],[Date]],database!A:H,4,)</f>
        <v/>
      </c>
      <c r="C223" s="66">
        <f>B223/B222-1</f>
        <v/>
      </c>
      <c r="D223" s="66">
        <f>(Table16[[#This Row],[Index]]-B211)/B211</f>
        <v/>
      </c>
    </row>
    <row r="224">
      <c r="A224" s="17" t="n">
        <v>32905</v>
      </c>
      <c r="B224" s="58">
        <f>VLOOKUP(Table16[[#This Row],[Date]],database!A:H,4,)</f>
        <v/>
      </c>
      <c r="C224" s="66">
        <f>B224/B223-1</f>
        <v/>
      </c>
      <c r="D224" s="66">
        <f>(Table16[[#This Row],[Index]]-B212)/B212</f>
        <v/>
      </c>
    </row>
    <row r="225">
      <c r="A225" s="17" t="n">
        <v>32933</v>
      </c>
      <c r="B225" s="58">
        <f>VLOOKUP(Table16[[#This Row],[Date]],database!A:H,4,)</f>
        <v/>
      </c>
      <c r="C225" s="66">
        <f>B225/B224-1</f>
        <v/>
      </c>
      <c r="D225" s="66">
        <f>(Table16[[#This Row],[Index]]-B213)/B213</f>
        <v/>
      </c>
    </row>
    <row r="226">
      <c r="A226" s="17" t="n">
        <v>32964</v>
      </c>
      <c r="B226" s="58">
        <f>VLOOKUP(Table16[[#This Row],[Date]],database!A:H,4,)</f>
        <v/>
      </c>
      <c r="C226" s="66">
        <f>B226/B225-1</f>
        <v/>
      </c>
      <c r="D226" s="66">
        <f>(Table16[[#This Row],[Index]]-B214)/B214</f>
        <v/>
      </c>
    </row>
    <row r="227">
      <c r="A227" s="17" t="n">
        <v>32994</v>
      </c>
      <c r="B227" s="58">
        <f>VLOOKUP(Table16[[#This Row],[Date]],database!A:H,4,)</f>
        <v/>
      </c>
      <c r="C227" s="66">
        <f>B227/B226-1</f>
        <v/>
      </c>
      <c r="D227" s="66">
        <f>(Table16[[#This Row],[Index]]-B215)/B215</f>
        <v/>
      </c>
    </row>
    <row r="228">
      <c r="A228" s="17" t="n">
        <v>33025</v>
      </c>
      <c r="B228" s="58">
        <f>VLOOKUP(Table16[[#This Row],[Date]],database!A:H,4,)</f>
        <v/>
      </c>
      <c r="C228" s="66">
        <f>B228/B227-1</f>
        <v/>
      </c>
      <c r="D228" s="66">
        <f>(Table16[[#This Row],[Index]]-B216)/B216</f>
        <v/>
      </c>
    </row>
    <row r="229">
      <c r="A229" s="17" t="n">
        <v>33055</v>
      </c>
      <c r="B229" s="58">
        <f>VLOOKUP(Table16[[#This Row],[Date]],database!A:H,4,)</f>
        <v/>
      </c>
      <c r="C229" s="66">
        <f>B229/B228-1</f>
        <v/>
      </c>
      <c r="D229" s="66">
        <f>(Table16[[#This Row],[Index]]-B217)/B217</f>
        <v/>
      </c>
    </row>
    <row r="230">
      <c r="A230" s="17" t="n">
        <v>33086</v>
      </c>
      <c r="B230" s="58">
        <f>VLOOKUP(Table16[[#This Row],[Date]],database!A:H,4,)</f>
        <v/>
      </c>
      <c r="C230" s="66">
        <f>B230/B229-1</f>
        <v/>
      </c>
      <c r="D230" s="66">
        <f>(Table16[[#This Row],[Index]]-B218)/B218</f>
        <v/>
      </c>
    </row>
    <row r="231">
      <c r="A231" s="17" t="n">
        <v>33117</v>
      </c>
      <c r="B231" s="58">
        <f>VLOOKUP(Table16[[#This Row],[Date]],database!A:H,4,)</f>
        <v/>
      </c>
      <c r="C231" s="66">
        <f>B231/B230-1</f>
        <v/>
      </c>
      <c r="D231" s="66">
        <f>(Table16[[#This Row],[Index]]-B219)/B219</f>
        <v/>
      </c>
    </row>
    <row r="232">
      <c r="A232" s="17" t="n">
        <v>33147</v>
      </c>
      <c r="B232" s="58">
        <f>VLOOKUP(Table16[[#This Row],[Date]],database!A:H,4,)</f>
        <v/>
      </c>
      <c r="C232" s="66">
        <f>B232/B231-1</f>
        <v/>
      </c>
      <c r="D232" s="66">
        <f>(Table16[[#This Row],[Index]]-B220)/B220</f>
        <v/>
      </c>
    </row>
    <row r="233">
      <c r="A233" s="17" t="n">
        <v>33178</v>
      </c>
      <c r="B233" s="58">
        <f>VLOOKUP(Table16[[#This Row],[Date]],database!A:H,4,)</f>
        <v/>
      </c>
      <c r="C233" s="66">
        <f>B233/B232-1</f>
        <v/>
      </c>
      <c r="D233" s="66">
        <f>(Table16[[#This Row],[Index]]-B221)/B221</f>
        <v/>
      </c>
    </row>
    <row r="234">
      <c r="A234" s="17" t="n">
        <v>33208</v>
      </c>
      <c r="B234" s="58">
        <f>VLOOKUP(Table16[[#This Row],[Date]],database!A:H,4,)</f>
        <v/>
      </c>
      <c r="C234" s="66">
        <f>B234/B233-1</f>
        <v/>
      </c>
      <c r="D234" s="66">
        <f>(Table16[[#This Row],[Index]]-B222)/B222</f>
        <v/>
      </c>
    </row>
    <row r="235">
      <c r="A235" s="17" t="n">
        <v>33239</v>
      </c>
      <c r="B235" s="58">
        <f>VLOOKUP(Table16[[#This Row],[Date]],database!A:H,4,)</f>
        <v/>
      </c>
      <c r="C235" s="66">
        <f>B235/B234-1</f>
        <v/>
      </c>
      <c r="D235" s="66">
        <f>(Table16[[#This Row],[Index]]-B223)/B223</f>
        <v/>
      </c>
    </row>
    <row r="236">
      <c r="A236" s="17" t="n">
        <v>33270</v>
      </c>
      <c r="B236" s="58">
        <f>VLOOKUP(Table16[[#This Row],[Date]],database!A:H,4,)</f>
        <v/>
      </c>
      <c r="C236" s="66">
        <f>B236/B235-1</f>
        <v/>
      </c>
      <c r="D236" s="66">
        <f>(Table16[[#This Row],[Index]]-B224)/B224</f>
        <v/>
      </c>
    </row>
    <row r="237">
      <c r="A237" s="17" t="n">
        <v>33298</v>
      </c>
      <c r="B237" s="58">
        <f>VLOOKUP(Table16[[#This Row],[Date]],database!A:H,4,)</f>
        <v/>
      </c>
      <c r="C237" s="66">
        <f>B237/B236-1</f>
        <v/>
      </c>
      <c r="D237" s="66">
        <f>(Table16[[#This Row],[Index]]-B225)/B225</f>
        <v/>
      </c>
    </row>
    <row r="238">
      <c r="A238" s="17" t="n">
        <v>33329</v>
      </c>
      <c r="B238" s="58">
        <f>VLOOKUP(Table16[[#This Row],[Date]],database!A:H,4,)</f>
        <v/>
      </c>
      <c r="C238" s="66">
        <f>B238/B237-1</f>
        <v/>
      </c>
      <c r="D238" s="66">
        <f>(Table16[[#This Row],[Index]]-B226)/B226</f>
        <v/>
      </c>
    </row>
    <row r="239">
      <c r="A239" s="17" t="n">
        <v>33359</v>
      </c>
      <c r="B239" s="58">
        <f>VLOOKUP(Table16[[#This Row],[Date]],database!A:H,4,)</f>
        <v/>
      </c>
      <c r="C239" s="66">
        <f>B239/B238-1</f>
        <v/>
      </c>
      <c r="D239" s="66">
        <f>(Table16[[#This Row],[Index]]-B227)/B227</f>
        <v/>
      </c>
    </row>
    <row r="240">
      <c r="A240" s="17" t="n">
        <v>33390</v>
      </c>
      <c r="B240" s="58">
        <f>VLOOKUP(Table16[[#This Row],[Date]],database!A:H,4,)</f>
        <v/>
      </c>
      <c r="C240" s="66">
        <f>B240/B239-1</f>
        <v/>
      </c>
      <c r="D240" s="66">
        <f>(Table16[[#This Row],[Index]]-B228)/B228</f>
        <v/>
      </c>
    </row>
    <row r="241">
      <c r="A241" s="17" t="n">
        <v>33420</v>
      </c>
      <c r="B241" s="58">
        <f>VLOOKUP(Table16[[#This Row],[Date]],database!A:H,4,)</f>
        <v/>
      </c>
      <c r="C241" s="66">
        <f>B241/B240-1</f>
        <v/>
      </c>
      <c r="D241" s="66">
        <f>(Table16[[#This Row],[Index]]-B229)/B229</f>
        <v/>
      </c>
    </row>
    <row r="242">
      <c r="A242" s="17" t="n">
        <v>33451</v>
      </c>
      <c r="B242" s="58">
        <f>VLOOKUP(Table16[[#This Row],[Date]],database!A:H,4,)</f>
        <v/>
      </c>
      <c r="C242" s="66">
        <f>B242/B241-1</f>
        <v/>
      </c>
      <c r="D242" s="66">
        <f>(Table16[[#This Row],[Index]]-B230)/B230</f>
        <v/>
      </c>
    </row>
    <row r="243">
      <c r="A243" s="17" t="n">
        <v>33482</v>
      </c>
      <c r="B243" s="58">
        <f>VLOOKUP(Table16[[#This Row],[Date]],database!A:H,4,)</f>
        <v/>
      </c>
      <c r="C243" s="66">
        <f>B243/B242-1</f>
        <v/>
      </c>
      <c r="D243" s="66">
        <f>(Table16[[#This Row],[Index]]-B231)/B231</f>
        <v/>
      </c>
    </row>
    <row r="244">
      <c r="A244" s="17" t="n">
        <v>33512</v>
      </c>
      <c r="B244" s="58">
        <f>VLOOKUP(Table16[[#This Row],[Date]],database!A:H,4,)</f>
        <v/>
      </c>
      <c r="C244" s="66">
        <f>B244/B243-1</f>
        <v/>
      </c>
      <c r="D244" s="66">
        <f>(Table16[[#This Row],[Index]]-B232)/B232</f>
        <v/>
      </c>
    </row>
    <row r="245">
      <c r="A245" s="17" t="n">
        <v>33543</v>
      </c>
      <c r="B245" s="58">
        <f>VLOOKUP(Table16[[#This Row],[Date]],database!A:H,4,)</f>
        <v/>
      </c>
      <c r="C245" s="66">
        <f>B245/B244-1</f>
        <v/>
      </c>
      <c r="D245" s="66">
        <f>(Table16[[#This Row],[Index]]-B233)/B233</f>
        <v/>
      </c>
    </row>
    <row r="246">
      <c r="A246" s="17" t="n">
        <v>33573</v>
      </c>
      <c r="B246" s="58">
        <f>VLOOKUP(Table16[[#This Row],[Date]],database!A:H,4,)</f>
        <v/>
      </c>
      <c r="C246" s="66">
        <f>B246/B245-1</f>
        <v/>
      </c>
      <c r="D246" s="66">
        <f>(Table16[[#This Row],[Index]]-B234)/B234</f>
        <v/>
      </c>
    </row>
    <row r="247">
      <c r="A247" s="17" t="n">
        <v>33604</v>
      </c>
      <c r="B247" s="58">
        <f>VLOOKUP(Table16[[#This Row],[Date]],database!A:H,4,)</f>
        <v/>
      </c>
      <c r="C247" s="66">
        <f>B247/B246-1</f>
        <v/>
      </c>
      <c r="D247" s="66">
        <f>(Table16[[#This Row],[Index]]-B235)/B235</f>
        <v/>
      </c>
    </row>
    <row r="248">
      <c r="A248" s="17" t="n">
        <v>33635</v>
      </c>
      <c r="B248" s="58">
        <f>VLOOKUP(Table16[[#This Row],[Date]],database!A:H,4,)</f>
        <v/>
      </c>
      <c r="C248" s="66">
        <f>B248/B247-1</f>
        <v/>
      </c>
      <c r="D248" s="66">
        <f>(Table16[[#This Row],[Index]]-B236)/B236</f>
        <v/>
      </c>
    </row>
    <row r="249">
      <c r="A249" s="17" t="n">
        <v>33664</v>
      </c>
      <c r="B249" s="58">
        <f>VLOOKUP(Table16[[#This Row],[Date]],database!A:H,4,)</f>
        <v/>
      </c>
      <c r="C249" s="66">
        <f>B249/B248-1</f>
        <v/>
      </c>
      <c r="D249" s="66">
        <f>(Table16[[#This Row],[Index]]-B237)/B237</f>
        <v/>
      </c>
    </row>
    <row r="250">
      <c r="A250" s="17" t="n">
        <v>33695</v>
      </c>
      <c r="B250" s="58">
        <f>VLOOKUP(Table16[[#This Row],[Date]],database!A:H,4,)</f>
        <v/>
      </c>
      <c r="C250" s="66">
        <f>B250/B249-1</f>
        <v/>
      </c>
      <c r="D250" s="66">
        <f>(Table16[[#This Row],[Index]]-B238)/B238</f>
        <v/>
      </c>
    </row>
    <row r="251">
      <c r="A251" s="17" t="n">
        <v>33725</v>
      </c>
      <c r="B251" s="58">
        <f>VLOOKUP(Table16[[#This Row],[Date]],database!A:H,4,)</f>
        <v/>
      </c>
      <c r="C251" s="66">
        <f>B251/B250-1</f>
        <v/>
      </c>
      <c r="D251" s="66">
        <f>(Table16[[#This Row],[Index]]-B239)/B239</f>
        <v/>
      </c>
    </row>
    <row r="252">
      <c r="A252" s="17" t="n">
        <v>33756</v>
      </c>
      <c r="B252" s="58">
        <f>VLOOKUP(Table16[[#This Row],[Date]],database!A:H,4,)</f>
        <v/>
      </c>
      <c r="C252" s="66">
        <f>B252/B251-1</f>
        <v/>
      </c>
      <c r="D252" s="66">
        <f>(Table16[[#This Row],[Index]]-B240)/B240</f>
        <v/>
      </c>
    </row>
    <row r="253">
      <c r="A253" s="17" t="n">
        <v>33786</v>
      </c>
      <c r="B253" s="58">
        <f>VLOOKUP(Table16[[#This Row],[Date]],database!A:H,4,)</f>
        <v/>
      </c>
      <c r="C253" s="66">
        <f>B253/B252-1</f>
        <v/>
      </c>
      <c r="D253" s="66">
        <f>(Table16[[#This Row],[Index]]-B241)/B241</f>
        <v/>
      </c>
    </row>
    <row r="254">
      <c r="A254" s="17" t="n">
        <v>33817</v>
      </c>
      <c r="B254" s="58">
        <f>VLOOKUP(Table16[[#This Row],[Date]],database!A:H,4,)</f>
        <v/>
      </c>
      <c r="C254" s="66">
        <f>B254/B253-1</f>
        <v/>
      </c>
      <c r="D254" s="66">
        <f>(Table16[[#This Row],[Index]]-B242)/B242</f>
        <v/>
      </c>
    </row>
    <row r="255">
      <c r="A255" s="17" t="n">
        <v>33848</v>
      </c>
      <c r="B255" s="58">
        <f>VLOOKUP(Table16[[#This Row],[Date]],database!A:H,4,)</f>
        <v/>
      </c>
      <c r="C255" s="66">
        <f>B255/B254-1</f>
        <v/>
      </c>
      <c r="D255" s="66">
        <f>(Table16[[#This Row],[Index]]-B243)/B243</f>
        <v/>
      </c>
    </row>
    <row r="256">
      <c r="A256" s="17" t="n">
        <v>33878</v>
      </c>
      <c r="B256" s="58">
        <f>VLOOKUP(Table16[[#This Row],[Date]],database!A:H,4,)</f>
        <v/>
      </c>
      <c r="C256" s="66">
        <f>B256/B255-1</f>
        <v/>
      </c>
      <c r="D256" s="66">
        <f>(Table16[[#This Row],[Index]]-B244)/B244</f>
        <v/>
      </c>
    </row>
    <row r="257">
      <c r="A257" s="17" t="n">
        <v>33909</v>
      </c>
      <c r="B257" s="58">
        <f>VLOOKUP(Table16[[#This Row],[Date]],database!A:H,4,)</f>
        <v/>
      </c>
      <c r="C257" s="66">
        <f>B257/B256-1</f>
        <v/>
      </c>
      <c r="D257" s="66">
        <f>(Table16[[#This Row],[Index]]-B245)/B245</f>
        <v/>
      </c>
    </row>
    <row r="258">
      <c r="A258" s="17" t="n">
        <v>33939</v>
      </c>
      <c r="B258" s="58">
        <f>VLOOKUP(Table16[[#This Row],[Date]],database!A:H,4,)</f>
        <v/>
      </c>
      <c r="C258" s="66">
        <f>B258/B257-1</f>
        <v/>
      </c>
      <c r="D258" s="66">
        <f>(Table16[[#This Row],[Index]]-B246)/B246</f>
        <v/>
      </c>
    </row>
    <row r="259">
      <c r="A259" s="17" t="n">
        <v>33970</v>
      </c>
      <c r="B259" s="58">
        <f>VLOOKUP(Table16[[#This Row],[Date]],database!A:H,4,)</f>
        <v/>
      </c>
      <c r="C259" s="66">
        <f>B259/B258-1</f>
        <v/>
      </c>
      <c r="D259" s="66">
        <f>(Table16[[#This Row],[Index]]-B247)/B247</f>
        <v/>
      </c>
    </row>
    <row r="260">
      <c r="A260" s="17" t="n">
        <v>34001</v>
      </c>
      <c r="B260" s="58">
        <f>VLOOKUP(Table16[[#This Row],[Date]],database!A:H,4,)</f>
        <v/>
      </c>
      <c r="C260" s="66">
        <f>B260/B259-1</f>
        <v/>
      </c>
      <c r="D260" s="66">
        <f>(Table16[[#This Row],[Index]]-B248)/B248</f>
        <v/>
      </c>
    </row>
    <row r="261">
      <c r="A261" s="17" t="n">
        <v>34029</v>
      </c>
      <c r="B261" s="58">
        <f>VLOOKUP(Table16[[#This Row],[Date]],database!A:H,4,)</f>
        <v/>
      </c>
      <c r="C261" s="66">
        <f>B261/B260-1</f>
        <v/>
      </c>
      <c r="D261" s="66">
        <f>(Table16[[#This Row],[Index]]-B249)/B249</f>
        <v/>
      </c>
    </row>
    <row r="262">
      <c r="A262" s="17" t="n">
        <v>34060</v>
      </c>
      <c r="B262" s="58">
        <f>VLOOKUP(Table16[[#This Row],[Date]],database!A:H,4,)</f>
        <v/>
      </c>
      <c r="C262" s="66">
        <f>B262/B261-1</f>
        <v/>
      </c>
      <c r="D262" s="66">
        <f>(Table16[[#This Row],[Index]]-B250)/B250</f>
        <v/>
      </c>
    </row>
    <row r="263">
      <c r="A263" s="17" t="n">
        <v>34090</v>
      </c>
      <c r="B263" s="58">
        <f>VLOOKUP(Table16[[#This Row],[Date]],database!A:H,4,)</f>
        <v/>
      </c>
      <c r="C263" s="66">
        <f>B263/B262-1</f>
        <v/>
      </c>
      <c r="D263" s="66">
        <f>(Table16[[#This Row],[Index]]-B251)/B251</f>
        <v/>
      </c>
    </row>
    <row r="264">
      <c r="A264" s="17" t="n">
        <v>34121</v>
      </c>
      <c r="B264" s="58">
        <f>VLOOKUP(Table16[[#This Row],[Date]],database!A:H,4,)</f>
        <v/>
      </c>
      <c r="C264" s="66">
        <f>B264/B263-1</f>
        <v/>
      </c>
      <c r="D264" s="66">
        <f>(Table16[[#This Row],[Index]]-B252)/B252</f>
        <v/>
      </c>
    </row>
    <row r="265">
      <c r="A265" s="17" t="n">
        <v>34151</v>
      </c>
      <c r="B265" s="58">
        <f>VLOOKUP(Table16[[#This Row],[Date]],database!A:H,4,)</f>
        <v/>
      </c>
      <c r="C265" s="66">
        <f>B265/B264-1</f>
        <v/>
      </c>
      <c r="D265" s="66">
        <f>(Table16[[#This Row],[Index]]-B253)/B253</f>
        <v/>
      </c>
    </row>
    <row r="266">
      <c r="A266" s="17" t="n">
        <v>34182</v>
      </c>
      <c r="B266" s="58">
        <f>VLOOKUP(Table16[[#This Row],[Date]],database!A:H,4,)</f>
        <v/>
      </c>
      <c r="C266" s="66">
        <f>B266/B265-1</f>
        <v/>
      </c>
      <c r="D266" s="66">
        <f>(Table16[[#This Row],[Index]]-B254)/B254</f>
        <v/>
      </c>
    </row>
    <row r="267">
      <c r="A267" s="17" t="n">
        <v>34213</v>
      </c>
      <c r="B267" s="58">
        <f>VLOOKUP(Table16[[#This Row],[Date]],database!A:H,4,)</f>
        <v/>
      </c>
      <c r="C267" s="66">
        <f>B267/B266-1</f>
        <v/>
      </c>
      <c r="D267" s="66">
        <f>(Table16[[#This Row],[Index]]-B255)/B255</f>
        <v/>
      </c>
    </row>
    <row r="268">
      <c r="A268" s="17" t="n">
        <v>34243</v>
      </c>
      <c r="B268" s="58">
        <f>VLOOKUP(Table16[[#This Row],[Date]],database!A:H,4,)</f>
        <v/>
      </c>
      <c r="C268" s="66">
        <f>B268/B267-1</f>
        <v/>
      </c>
      <c r="D268" s="66">
        <f>(Table16[[#This Row],[Index]]-B256)/B256</f>
        <v/>
      </c>
    </row>
    <row r="269">
      <c r="A269" s="17" t="n">
        <v>34274</v>
      </c>
      <c r="B269" s="58">
        <f>VLOOKUP(Table16[[#This Row],[Date]],database!A:H,4,)</f>
        <v/>
      </c>
      <c r="C269" s="66">
        <f>B269/B268-1</f>
        <v/>
      </c>
      <c r="D269" s="66">
        <f>(Table16[[#This Row],[Index]]-B257)/B257</f>
        <v/>
      </c>
    </row>
    <row r="270">
      <c r="A270" s="17" t="n">
        <v>34304</v>
      </c>
      <c r="B270" s="58">
        <f>VLOOKUP(Table16[[#This Row],[Date]],database!A:H,4,)</f>
        <v/>
      </c>
      <c r="C270" s="66">
        <f>B270/B269-1</f>
        <v/>
      </c>
      <c r="D270" s="66">
        <f>(Table16[[#This Row],[Index]]-B258)/B258</f>
        <v/>
      </c>
    </row>
    <row r="271">
      <c r="A271" s="17" t="n">
        <v>34335</v>
      </c>
      <c r="B271" s="58">
        <f>VLOOKUP(Table16[[#This Row],[Date]],database!A:H,4,)</f>
        <v/>
      </c>
      <c r="C271" s="66">
        <f>B271/B270-1</f>
        <v/>
      </c>
      <c r="D271" s="66">
        <f>(Table16[[#This Row],[Index]]-B259)/B259</f>
        <v/>
      </c>
    </row>
    <row r="272">
      <c r="A272" s="17" t="n">
        <v>34366</v>
      </c>
      <c r="B272" s="58">
        <f>VLOOKUP(Table16[[#This Row],[Date]],database!A:H,4,)</f>
        <v/>
      </c>
      <c r="C272" s="66">
        <f>B272/B271-1</f>
        <v/>
      </c>
      <c r="D272" s="66">
        <f>(Table16[[#This Row],[Index]]-B260)/B260</f>
        <v/>
      </c>
    </row>
    <row r="273">
      <c r="A273" s="17" t="n">
        <v>34394</v>
      </c>
      <c r="B273" s="58">
        <f>VLOOKUP(Table16[[#This Row],[Date]],database!A:H,4,)</f>
        <v/>
      </c>
      <c r="C273" s="66">
        <f>B273/B272-1</f>
        <v/>
      </c>
      <c r="D273" s="66">
        <f>(Table16[[#This Row],[Index]]-B261)/B261</f>
        <v/>
      </c>
    </row>
    <row r="274">
      <c r="A274" s="17" t="n">
        <v>34425</v>
      </c>
      <c r="B274" s="58">
        <f>VLOOKUP(Table16[[#This Row],[Date]],database!A:H,4,)</f>
        <v/>
      </c>
      <c r="C274" s="66">
        <f>B274/B273-1</f>
        <v/>
      </c>
      <c r="D274" s="66">
        <f>(Table16[[#This Row],[Index]]-B262)/B262</f>
        <v/>
      </c>
    </row>
    <row r="275">
      <c r="A275" s="17" t="n">
        <v>34455</v>
      </c>
      <c r="B275" s="58">
        <f>VLOOKUP(Table16[[#This Row],[Date]],database!A:H,4,)</f>
        <v/>
      </c>
      <c r="C275" s="66">
        <f>B275/B274-1</f>
        <v/>
      </c>
      <c r="D275" s="66">
        <f>(Table16[[#This Row],[Index]]-B263)/B263</f>
        <v/>
      </c>
    </row>
    <row r="276">
      <c r="A276" s="17" t="n">
        <v>34486</v>
      </c>
      <c r="B276" s="58">
        <f>VLOOKUP(Table16[[#This Row],[Date]],database!A:H,4,)</f>
        <v/>
      </c>
      <c r="C276" s="66">
        <f>B276/B275-1</f>
        <v/>
      </c>
      <c r="D276" s="66">
        <f>(Table16[[#This Row],[Index]]-B264)/B264</f>
        <v/>
      </c>
    </row>
    <row r="277">
      <c r="A277" s="17" t="n">
        <v>34516</v>
      </c>
      <c r="B277" s="58">
        <f>VLOOKUP(Table16[[#This Row],[Date]],database!A:H,4,)</f>
        <v/>
      </c>
      <c r="C277" s="66">
        <f>B277/B276-1</f>
        <v/>
      </c>
      <c r="D277" s="66">
        <f>(Table16[[#This Row],[Index]]-B265)/B265</f>
        <v/>
      </c>
    </row>
    <row r="278">
      <c r="A278" s="17" t="n">
        <v>34547</v>
      </c>
      <c r="B278" s="58">
        <f>VLOOKUP(Table16[[#This Row],[Date]],database!A:H,4,)</f>
        <v/>
      </c>
      <c r="C278" s="66">
        <f>B278/B277-1</f>
        <v/>
      </c>
      <c r="D278" s="66">
        <f>(Table16[[#This Row],[Index]]-B266)/B266</f>
        <v/>
      </c>
    </row>
    <row r="279">
      <c r="A279" s="17" t="n">
        <v>34578</v>
      </c>
      <c r="B279" s="58">
        <f>VLOOKUP(Table16[[#This Row],[Date]],database!A:H,4,)</f>
        <v/>
      </c>
      <c r="C279" s="66">
        <f>B279/B278-1</f>
        <v/>
      </c>
      <c r="D279" s="66">
        <f>(Table16[[#This Row],[Index]]-B267)/B267</f>
        <v/>
      </c>
    </row>
    <row r="280">
      <c r="A280" s="17" t="n">
        <v>34608</v>
      </c>
      <c r="B280" s="58">
        <f>VLOOKUP(Table16[[#This Row],[Date]],database!A:H,4,)</f>
        <v/>
      </c>
      <c r="C280" s="66">
        <f>B280/B279-1</f>
        <v/>
      </c>
      <c r="D280" s="66">
        <f>(Table16[[#This Row],[Index]]-B268)/B268</f>
        <v/>
      </c>
    </row>
    <row r="281">
      <c r="A281" s="17" t="n">
        <v>34639</v>
      </c>
      <c r="B281" s="58">
        <f>VLOOKUP(Table16[[#This Row],[Date]],database!A:H,4,)</f>
        <v/>
      </c>
      <c r="C281" s="66">
        <f>B281/B280-1</f>
        <v/>
      </c>
      <c r="D281" s="66">
        <f>(Table16[[#This Row],[Index]]-B269)/B269</f>
        <v/>
      </c>
    </row>
    <row r="282">
      <c r="A282" s="17" t="n">
        <v>34669</v>
      </c>
      <c r="B282" s="58">
        <f>VLOOKUP(Table16[[#This Row],[Date]],database!A:H,4,)</f>
        <v/>
      </c>
      <c r="C282" s="66">
        <f>B282/B281-1</f>
        <v/>
      </c>
      <c r="D282" s="66">
        <f>(Table16[[#This Row],[Index]]-B270)/B270</f>
        <v/>
      </c>
    </row>
    <row r="283">
      <c r="A283" s="17" t="n">
        <v>34700</v>
      </c>
      <c r="B283" s="58">
        <f>VLOOKUP(Table16[[#This Row],[Date]],database!A:H,4,)</f>
        <v/>
      </c>
      <c r="C283" s="66">
        <f>B283/B282-1</f>
        <v/>
      </c>
      <c r="D283" s="66">
        <f>(Table16[[#This Row],[Index]]-B271)/B271</f>
        <v/>
      </c>
    </row>
    <row r="284">
      <c r="A284" s="17" t="n">
        <v>34731</v>
      </c>
      <c r="B284" s="58">
        <f>VLOOKUP(Table16[[#This Row],[Date]],database!A:H,4,)</f>
        <v/>
      </c>
      <c r="C284" s="66">
        <f>B284/B283-1</f>
        <v/>
      </c>
      <c r="D284" s="66">
        <f>(Table16[[#This Row],[Index]]-B272)/B272</f>
        <v/>
      </c>
    </row>
    <row r="285">
      <c r="A285" s="17" t="n">
        <v>34759</v>
      </c>
      <c r="B285" s="58">
        <f>VLOOKUP(Table16[[#This Row],[Date]],database!A:H,4,)</f>
        <v/>
      </c>
      <c r="C285" s="66">
        <f>B285/B284-1</f>
        <v/>
      </c>
      <c r="D285" s="66">
        <f>(Table16[[#This Row],[Index]]-B273)/B273</f>
        <v/>
      </c>
    </row>
    <row r="286">
      <c r="A286" s="17" t="n">
        <v>34790</v>
      </c>
      <c r="B286" s="58">
        <f>VLOOKUP(Table16[[#This Row],[Date]],database!A:H,4,)</f>
        <v/>
      </c>
      <c r="C286" s="66">
        <f>B286/B285-1</f>
        <v/>
      </c>
      <c r="D286" s="66">
        <f>(Table16[[#This Row],[Index]]-B274)/B274</f>
        <v/>
      </c>
    </row>
    <row r="287">
      <c r="A287" s="17" t="n">
        <v>34820</v>
      </c>
      <c r="B287" s="58">
        <f>VLOOKUP(Table16[[#This Row],[Date]],database!A:H,4,)</f>
        <v/>
      </c>
      <c r="C287" s="66">
        <f>B287/B286-1</f>
        <v/>
      </c>
      <c r="D287" s="66">
        <f>(Table16[[#This Row],[Index]]-B275)/B275</f>
        <v/>
      </c>
    </row>
    <row r="288">
      <c r="A288" s="17" t="n">
        <v>34851</v>
      </c>
      <c r="B288" s="58">
        <f>VLOOKUP(Table16[[#This Row],[Date]],database!A:H,4,)</f>
        <v/>
      </c>
      <c r="C288" s="66">
        <f>B288/B287-1</f>
        <v/>
      </c>
      <c r="D288" s="66">
        <f>(Table16[[#This Row],[Index]]-B276)/B276</f>
        <v/>
      </c>
    </row>
    <row r="289">
      <c r="A289" s="17" t="n">
        <v>34881</v>
      </c>
      <c r="B289" s="58">
        <f>VLOOKUP(Table16[[#This Row],[Date]],database!A:H,4,)</f>
        <v/>
      </c>
      <c r="C289" s="66">
        <f>B289/B288-1</f>
        <v/>
      </c>
      <c r="D289" s="66">
        <f>(Table16[[#This Row],[Index]]-B277)/B277</f>
        <v/>
      </c>
    </row>
    <row r="290">
      <c r="A290" s="17" t="n">
        <v>34912</v>
      </c>
      <c r="B290" s="58">
        <f>VLOOKUP(Table16[[#This Row],[Date]],database!A:H,4,)</f>
        <v/>
      </c>
      <c r="C290" s="66">
        <f>B290/B289-1</f>
        <v/>
      </c>
      <c r="D290" s="66">
        <f>(Table16[[#This Row],[Index]]-B278)/B278</f>
        <v/>
      </c>
    </row>
    <row r="291">
      <c r="A291" s="17" t="n">
        <v>34943</v>
      </c>
      <c r="B291" s="58">
        <f>VLOOKUP(Table16[[#This Row],[Date]],database!A:H,4,)</f>
        <v/>
      </c>
      <c r="C291" s="66">
        <f>B291/B290-1</f>
        <v/>
      </c>
      <c r="D291" s="66">
        <f>(Table16[[#This Row],[Index]]-B279)/B279</f>
        <v/>
      </c>
    </row>
    <row r="292">
      <c r="A292" s="17" t="n">
        <v>34973</v>
      </c>
      <c r="B292" s="58">
        <f>VLOOKUP(Table16[[#This Row],[Date]],database!A:H,4,)</f>
        <v/>
      </c>
      <c r="C292" s="66">
        <f>B292/B291-1</f>
        <v/>
      </c>
      <c r="D292" s="66">
        <f>(Table16[[#This Row],[Index]]-B280)/B280</f>
        <v/>
      </c>
    </row>
    <row r="293">
      <c r="A293" s="17" t="n">
        <v>35004</v>
      </c>
      <c r="B293" s="58">
        <f>VLOOKUP(Table16[[#This Row],[Date]],database!A:H,4,)</f>
        <v/>
      </c>
      <c r="C293" s="66">
        <f>B293/B292-1</f>
        <v/>
      </c>
      <c r="D293" s="66">
        <f>(Table16[[#This Row],[Index]]-B281)/B281</f>
        <v/>
      </c>
    </row>
    <row r="294">
      <c r="A294" s="17" t="n">
        <v>35034</v>
      </c>
      <c r="B294" s="58">
        <f>VLOOKUP(Table16[[#This Row],[Date]],database!A:H,4,)</f>
        <v/>
      </c>
      <c r="C294" s="66">
        <f>B294/B293-1</f>
        <v/>
      </c>
      <c r="D294" s="66">
        <f>(Table16[[#This Row],[Index]]-B282)/B282</f>
        <v/>
      </c>
    </row>
    <row r="295">
      <c r="A295" s="17" t="n">
        <v>35065</v>
      </c>
      <c r="B295" s="58">
        <f>VLOOKUP(Table16[[#This Row],[Date]],database!A:H,4,)</f>
        <v/>
      </c>
      <c r="C295" s="66">
        <f>B295/B294-1</f>
        <v/>
      </c>
      <c r="D295" s="66">
        <f>(Table16[[#This Row],[Index]]-B283)/B283</f>
        <v/>
      </c>
    </row>
    <row r="296">
      <c r="A296" s="17" t="n">
        <v>35096</v>
      </c>
      <c r="B296" s="58">
        <f>VLOOKUP(Table16[[#This Row],[Date]],database!A:H,4,)</f>
        <v/>
      </c>
      <c r="C296" s="66">
        <f>B296/B295-1</f>
        <v/>
      </c>
      <c r="D296" s="66">
        <f>(Table16[[#This Row],[Index]]-B284)/B284</f>
        <v/>
      </c>
    </row>
    <row r="297">
      <c r="A297" s="17" t="n">
        <v>35125</v>
      </c>
      <c r="B297" s="58">
        <f>VLOOKUP(Table16[[#This Row],[Date]],database!A:H,4,)</f>
        <v/>
      </c>
      <c r="C297" s="66">
        <f>B297/B296-1</f>
        <v/>
      </c>
      <c r="D297" s="66">
        <f>(Table16[[#This Row],[Index]]-B285)/B285</f>
        <v/>
      </c>
    </row>
    <row r="298">
      <c r="A298" s="17" t="n">
        <v>35156</v>
      </c>
      <c r="B298" s="58">
        <f>VLOOKUP(Table16[[#This Row],[Date]],database!A:H,4,)</f>
        <v/>
      </c>
      <c r="C298" s="66">
        <f>B298/B297-1</f>
        <v/>
      </c>
      <c r="D298" s="66">
        <f>(Table16[[#This Row],[Index]]-B286)/B286</f>
        <v/>
      </c>
    </row>
    <row r="299">
      <c r="A299" s="17" t="n">
        <v>35186</v>
      </c>
      <c r="B299" s="58">
        <f>VLOOKUP(Table16[[#This Row],[Date]],database!A:H,4,)</f>
        <v/>
      </c>
      <c r="C299" s="66">
        <f>B299/B298-1</f>
        <v/>
      </c>
      <c r="D299" s="66">
        <f>(Table16[[#This Row],[Index]]-B287)/B287</f>
        <v/>
      </c>
    </row>
    <row r="300">
      <c r="A300" s="17" t="n">
        <v>35217</v>
      </c>
      <c r="B300" s="58">
        <f>VLOOKUP(Table16[[#This Row],[Date]],database!A:H,4,)</f>
        <v/>
      </c>
      <c r="C300" s="66">
        <f>B300/B299-1</f>
        <v/>
      </c>
      <c r="D300" s="66">
        <f>(Table16[[#This Row],[Index]]-B288)/B288</f>
        <v/>
      </c>
    </row>
    <row r="301">
      <c r="A301" s="17" t="n">
        <v>35247</v>
      </c>
      <c r="B301" s="58">
        <f>VLOOKUP(Table16[[#This Row],[Date]],database!A:H,4,)</f>
        <v/>
      </c>
      <c r="C301" s="66">
        <f>B301/B300-1</f>
        <v/>
      </c>
      <c r="D301" s="66">
        <f>(Table16[[#This Row],[Index]]-B289)/B289</f>
        <v/>
      </c>
    </row>
    <row r="302">
      <c r="A302" s="17" t="n">
        <v>35278</v>
      </c>
      <c r="B302" s="58">
        <f>VLOOKUP(Table16[[#This Row],[Date]],database!A:H,4,)</f>
        <v/>
      </c>
      <c r="C302" s="66">
        <f>B302/B301-1</f>
        <v/>
      </c>
      <c r="D302" s="66">
        <f>(Table16[[#This Row],[Index]]-B290)/B290</f>
        <v/>
      </c>
    </row>
    <row r="303">
      <c r="A303" s="17" t="n">
        <v>35309</v>
      </c>
      <c r="B303" s="58">
        <f>VLOOKUP(Table16[[#This Row],[Date]],database!A:H,4,)</f>
        <v/>
      </c>
      <c r="C303" s="66">
        <f>B303/B302-1</f>
        <v/>
      </c>
      <c r="D303" s="66">
        <f>(Table16[[#This Row],[Index]]-B291)/B291</f>
        <v/>
      </c>
    </row>
    <row r="304">
      <c r="A304" s="17" t="n">
        <v>35339</v>
      </c>
      <c r="B304" s="58">
        <f>VLOOKUP(Table16[[#This Row],[Date]],database!A:H,4,)</f>
        <v/>
      </c>
      <c r="C304" s="66">
        <f>B304/B303-1</f>
        <v/>
      </c>
      <c r="D304" s="66">
        <f>(Table16[[#This Row],[Index]]-B292)/B292</f>
        <v/>
      </c>
    </row>
    <row r="305">
      <c r="A305" s="17" t="n">
        <v>35370</v>
      </c>
      <c r="B305" s="58">
        <f>VLOOKUP(Table16[[#This Row],[Date]],database!A:H,4,)</f>
        <v/>
      </c>
      <c r="C305" s="66">
        <f>B305/B304-1</f>
        <v/>
      </c>
      <c r="D305" s="66">
        <f>(Table16[[#This Row],[Index]]-B293)/B293</f>
        <v/>
      </c>
    </row>
    <row r="306">
      <c r="A306" s="17" t="n">
        <v>35400</v>
      </c>
      <c r="B306" s="58">
        <f>VLOOKUP(Table16[[#This Row],[Date]],database!A:H,4,)</f>
        <v/>
      </c>
      <c r="C306" s="66">
        <f>B306/B305-1</f>
        <v/>
      </c>
      <c r="D306" s="66">
        <f>(Table16[[#This Row],[Index]]-B294)/B294</f>
        <v/>
      </c>
    </row>
    <row r="307">
      <c r="A307" s="17" t="n">
        <v>35431</v>
      </c>
      <c r="B307" s="58">
        <f>VLOOKUP(Table16[[#This Row],[Date]],database!A:H,4,)</f>
        <v/>
      </c>
      <c r="C307" s="66">
        <f>B307/B306-1</f>
        <v/>
      </c>
      <c r="D307" s="66">
        <f>(Table16[[#This Row],[Index]]-B295)/B295</f>
        <v/>
      </c>
    </row>
    <row r="308">
      <c r="A308" s="17" t="n">
        <v>35462</v>
      </c>
      <c r="B308" s="58">
        <f>VLOOKUP(Table16[[#This Row],[Date]],database!A:H,4,)</f>
        <v/>
      </c>
      <c r="C308" s="66">
        <f>B308/B307-1</f>
        <v/>
      </c>
      <c r="D308" s="66">
        <f>(Table16[[#This Row],[Index]]-B296)/B296</f>
        <v/>
      </c>
    </row>
    <row r="309">
      <c r="A309" s="17" t="n">
        <v>35490</v>
      </c>
      <c r="B309" s="58">
        <f>VLOOKUP(Table16[[#This Row],[Date]],database!A:H,4,)</f>
        <v/>
      </c>
      <c r="C309" s="66">
        <f>B309/B308-1</f>
        <v/>
      </c>
      <c r="D309" s="66">
        <f>(Table16[[#This Row],[Index]]-B297)/B297</f>
        <v/>
      </c>
    </row>
    <row r="310">
      <c r="A310" s="17" t="n">
        <v>35521</v>
      </c>
      <c r="B310" s="58">
        <f>VLOOKUP(Table16[[#This Row],[Date]],database!A:H,4,)</f>
        <v/>
      </c>
      <c r="C310" s="66">
        <f>B310/B309-1</f>
        <v/>
      </c>
      <c r="D310" s="66">
        <f>(Table16[[#This Row],[Index]]-B298)/B298</f>
        <v/>
      </c>
    </row>
    <row r="311">
      <c r="A311" s="17" t="n">
        <v>35551</v>
      </c>
      <c r="B311" s="58">
        <f>VLOOKUP(Table16[[#This Row],[Date]],database!A:H,4,)</f>
        <v/>
      </c>
      <c r="C311" s="66">
        <f>B311/B310-1</f>
        <v/>
      </c>
      <c r="D311" s="66">
        <f>(Table16[[#This Row],[Index]]-B299)/B299</f>
        <v/>
      </c>
    </row>
    <row r="312">
      <c r="A312" s="17" t="n">
        <v>35582</v>
      </c>
      <c r="B312" s="58">
        <f>VLOOKUP(Table16[[#This Row],[Date]],database!A:H,4,)</f>
        <v/>
      </c>
      <c r="C312" s="66">
        <f>B312/B311-1</f>
        <v/>
      </c>
      <c r="D312" s="66">
        <f>(Table16[[#This Row],[Index]]-B300)/B300</f>
        <v/>
      </c>
    </row>
    <row r="313">
      <c r="A313" s="17" t="n">
        <v>35612</v>
      </c>
      <c r="B313" s="58">
        <f>VLOOKUP(Table16[[#This Row],[Date]],database!A:H,4,)</f>
        <v/>
      </c>
      <c r="C313" s="66">
        <f>B313/B312-1</f>
        <v/>
      </c>
      <c r="D313" s="66">
        <f>(Table16[[#This Row],[Index]]-B301)/B301</f>
        <v/>
      </c>
    </row>
    <row r="314">
      <c r="A314" s="17" t="n">
        <v>35643</v>
      </c>
      <c r="B314" s="58">
        <f>VLOOKUP(Table16[[#This Row],[Date]],database!A:H,4,)</f>
        <v/>
      </c>
      <c r="C314" s="66">
        <f>B314/B313-1</f>
        <v/>
      </c>
      <c r="D314" s="66">
        <f>(Table16[[#This Row],[Index]]-B302)/B302</f>
        <v/>
      </c>
    </row>
    <row r="315">
      <c r="A315" s="17" t="n">
        <v>35674</v>
      </c>
      <c r="B315" s="58">
        <f>VLOOKUP(Table16[[#This Row],[Date]],database!A:H,4,)</f>
        <v/>
      </c>
      <c r="C315" s="66">
        <f>B315/B314-1</f>
        <v/>
      </c>
      <c r="D315" s="66">
        <f>(Table16[[#This Row],[Index]]-B303)/B303</f>
        <v/>
      </c>
    </row>
    <row r="316">
      <c r="A316" s="17" t="n">
        <v>35704</v>
      </c>
      <c r="B316" s="58">
        <f>VLOOKUP(Table16[[#This Row],[Date]],database!A:H,4,)</f>
        <v/>
      </c>
      <c r="C316" s="66">
        <f>B316/B315-1</f>
        <v/>
      </c>
      <c r="D316" s="66">
        <f>(Table16[[#This Row],[Index]]-B304)/B304</f>
        <v/>
      </c>
    </row>
    <row r="317">
      <c r="A317" s="17" t="n">
        <v>35735</v>
      </c>
      <c r="B317" s="58">
        <f>VLOOKUP(Table16[[#This Row],[Date]],database!A:H,4,)</f>
        <v/>
      </c>
      <c r="C317" s="66">
        <f>B317/B316-1</f>
        <v/>
      </c>
      <c r="D317" s="66">
        <f>(Table16[[#This Row],[Index]]-B305)/B305</f>
        <v/>
      </c>
    </row>
    <row r="318">
      <c r="A318" s="17" t="n">
        <v>35765</v>
      </c>
      <c r="B318" s="58">
        <f>VLOOKUP(Table16[[#This Row],[Date]],database!A:H,4,)</f>
        <v/>
      </c>
      <c r="C318" s="66">
        <f>B318/B317-1</f>
        <v/>
      </c>
      <c r="D318" s="66">
        <f>(Table16[[#This Row],[Index]]-B306)/B306</f>
        <v/>
      </c>
    </row>
    <row r="319">
      <c r="A319" s="17" t="n">
        <v>35796</v>
      </c>
      <c r="B319" s="58">
        <f>VLOOKUP(Table16[[#This Row],[Date]],database!A:H,4,)</f>
        <v/>
      </c>
      <c r="C319" s="66">
        <f>B319/B318-1</f>
        <v/>
      </c>
      <c r="D319" s="66">
        <f>(Table16[[#This Row],[Index]]-B307)/B307</f>
        <v/>
      </c>
    </row>
    <row r="320">
      <c r="A320" s="17" t="n">
        <v>35827</v>
      </c>
      <c r="B320" s="58">
        <f>VLOOKUP(Table16[[#This Row],[Date]],database!A:H,4,)</f>
        <v/>
      </c>
      <c r="C320" s="66">
        <f>B320/B319-1</f>
        <v/>
      </c>
      <c r="D320" s="66">
        <f>(Table16[[#This Row],[Index]]-B308)/B308</f>
        <v/>
      </c>
    </row>
    <row r="321">
      <c r="A321" s="17" t="n">
        <v>35855</v>
      </c>
      <c r="B321" s="58">
        <f>VLOOKUP(Table16[[#This Row],[Date]],database!A:H,4,)</f>
        <v/>
      </c>
      <c r="C321" s="66">
        <f>B321/B320-1</f>
        <v/>
      </c>
      <c r="D321" s="66">
        <f>(Table16[[#This Row],[Index]]-B309)/B309</f>
        <v/>
      </c>
    </row>
    <row r="322">
      <c r="A322" s="17" t="n">
        <v>35886</v>
      </c>
      <c r="B322" s="58">
        <f>VLOOKUP(Table16[[#This Row],[Date]],database!A:H,4,)</f>
        <v/>
      </c>
      <c r="C322" s="66">
        <f>B322/B321-1</f>
        <v/>
      </c>
      <c r="D322" s="66">
        <f>(Table16[[#This Row],[Index]]-B310)/B310</f>
        <v/>
      </c>
    </row>
    <row r="323">
      <c r="A323" s="17" t="n">
        <v>35916</v>
      </c>
      <c r="B323" s="58">
        <f>VLOOKUP(Table16[[#This Row],[Date]],database!A:H,4,)</f>
        <v/>
      </c>
      <c r="C323" s="66">
        <f>B323/B322-1</f>
        <v/>
      </c>
      <c r="D323" s="66">
        <f>(Table16[[#This Row],[Index]]-B311)/B311</f>
        <v/>
      </c>
    </row>
    <row r="324">
      <c r="A324" s="17" t="n">
        <v>35947</v>
      </c>
      <c r="B324" s="58">
        <f>VLOOKUP(Table16[[#This Row],[Date]],database!A:H,4,)</f>
        <v/>
      </c>
      <c r="C324" s="66">
        <f>B324/B323-1</f>
        <v/>
      </c>
      <c r="D324" s="66">
        <f>(Table16[[#This Row],[Index]]-B312)/B312</f>
        <v/>
      </c>
    </row>
    <row r="325">
      <c r="A325" s="17" t="n">
        <v>35977</v>
      </c>
      <c r="B325" s="58">
        <f>VLOOKUP(Table16[[#This Row],[Date]],database!A:H,4,)</f>
        <v/>
      </c>
      <c r="C325" s="66">
        <f>B325/B324-1</f>
        <v/>
      </c>
      <c r="D325" s="66">
        <f>(Table16[[#This Row],[Index]]-B313)/B313</f>
        <v/>
      </c>
    </row>
    <row r="326">
      <c r="A326" s="17" t="n">
        <v>36008</v>
      </c>
      <c r="B326" s="58">
        <f>VLOOKUP(Table16[[#This Row],[Date]],database!A:H,4,)</f>
        <v/>
      </c>
      <c r="C326" s="66">
        <f>B326/B325-1</f>
        <v/>
      </c>
      <c r="D326" s="66">
        <f>(Table16[[#This Row],[Index]]-B314)/B314</f>
        <v/>
      </c>
    </row>
    <row r="327">
      <c r="A327" s="17" t="n">
        <v>36039</v>
      </c>
      <c r="B327" s="58">
        <f>VLOOKUP(Table16[[#This Row],[Date]],database!A:H,4,)</f>
        <v/>
      </c>
      <c r="C327" s="66">
        <f>B327/B326-1</f>
        <v/>
      </c>
      <c r="D327" s="66">
        <f>(Table16[[#This Row],[Index]]-B315)/B315</f>
        <v/>
      </c>
    </row>
    <row r="328">
      <c r="A328" s="17" t="n">
        <v>36069</v>
      </c>
      <c r="B328" s="58">
        <f>VLOOKUP(Table16[[#This Row],[Date]],database!A:H,4,)</f>
        <v/>
      </c>
      <c r="C328" s="66">
        <f>B328/B327-1</f>
        <v/>
      </c>
      <c r="D328" s="66">
        <f>(Table16[[#This Row],[Index]]-B316)/B316</f>
        <v/>
      </c>
    </row>
    <row r="329">
      <c r="A329" s="17" t="n">
        <v>36100</v>
      </c>
      <c r="B329" s="58">
        <f>VLOOKUP(Table16[[#This Row],[Date]],database!A:H,4,)</f>
        <v/>
      </c>
      <c r="C329" s="66">
        <f>B329/B328-1</f>
        <v/>
      </c>
      <c r="D329" s="66">
        <f>(Table16[[#This Row],[Index]]-B317)/B317</f>
        <v/>
      </c>
    </row>
    <row r="330">
      <c r="A330" s="17" t="n">
        <v>36130</v>
      </c>
      <c r="B330" s="58">
        <f>VLOOKUP(Table16[[#This Row],[Date]],database!A:H,4,)</f>
        <v/>
      </c>
      <c r="C330" s="66">
        <f>B330/B329-1</f>
        <v/>
      </c>
      <c r="D330" s="66">
        <f>(Table16[[#This Row],[Index]]-B318)/B318</f>
        <v/>
      </c>
    </row>
    <row r="331">
      <c r="A331" s="17" t="n">
        <v>36161</v>
      </c>
      <c r="B331" s="58">
        <f>VLOOKUP(Table16[[#This Row],[Date]],database!A:H,4,)</f>
        <v/>
      </c>
      <c r="C331" s="66">
        <f>B331/B330-1</f>
        <v/>
      </c>
      <c r="D331" s="66">
        <f>(Table16[[#This Row],[Index]]-B319)/B319</f>
        <v/>
      </c>
    </row>
    <row r="332">
      <c r="A332" s="17" t="n">
        <v>36192</v>
      </c>
      <c r="B332" s="58">
        <f>VLOOKUP(Table16[[#This Row],[Date]],database!A:H,4,)</f>
        <v/>
      </c>
      <c r="C332" s="66">
        <f>B332/B331-1</f>
        <v/>
      </c>
      <c r="D332" s="66">
        <f>(Table16[[#This Row],[Index]]-B320)/B320</f>
        <v/>
      </c>
    </row>
    <row r="333">
      <c r="A333" s="17" t="n">
        <v>36220</v>
      </c>
      <c r="B333" s="58">
        <f>VLOOKUP(Table16[[#This Row],[Date]],database!A:H,4,)</f>
        <v/>
      </c>
      <c r="C333" s="66">
        <f>B333/B332-1</f>
        <v/>
      </c>
      <c r="D333" s="66">
        <f>(Table16[[#This Row],[Index]]-B321)/B321</f>
        <v/>
      </c>
    </row>
    <row r="334">
      <c r="A334" s="17" t="n">
        <v>36251</v>
      </c>
      <c r="B334" s="58">
        <f>VLOOKUP(Table16[[#This Row],[Date]],database!A:H,4,)</f>
        <v/>
      </c>
      <c r="C334" s="66">
        <f>B334/B333-1</f>
        <v/>
      </c>
      <c r="D334" s="66">
        <f>(Table16[[#This Row],[Index]]-B322)/B322</f>
        <v/>
      </c>
    </row>
    <row r="335">
      <c r="A335" s="17" t="n">
        <v>36281</v>
      </c>
      <c r="B335" s="58">
        <f>VLOOKUP(Table16[[#This Row],[Date]],database!A:H,4,)</f>
        <v/>
      </c>
      <c r="C335" s="66">
        <f>B335/B334-1</f>
        <v/>
      </c>
      <c r="D335" s="66">
        <f>(Table16[[#This Row],[Index]]-B323)/B323</f>
        <v/>
      </c>
    </row>
    <row r="336">
      <c r="A336" s="17" t="n">
        <v>36312</v>
      </c>
      <c r="B336" s="58">
        <f>VLOOKUP(Table16[[#This Row],[Date]],database!A:H,4,)</f>
        <v/>
      </c>
      <c r="C336" s="66">
        <f>B336/B335-1</f>
        <v/>
      </c>
      <c r="D336" s="66">
        <f>(Table16[[#This Row],[Index]]-B324)/B324</f>
        <v/>
      </c>
    </row>
    <row r="337">
      <c r="A337" s="17" t="n">
        <v>36342</v>
      </c>
      <c r="B337" s="58">
        <f>VLOOKUP(Table16[[#This Row],[Date]],database!A:H,4,)</f>
        <v/>
      </c>
      <c r="C337" s="66">
        <f>B337/B336-1</f>
        <v/>
      </c>
      <c r="D337" s="66">
        <f>(Table16[[#This Row],[Index]]-B325)/B325</f>
        <v/>
      </c>
    </row>
    <row r="338">
      <c r="A338" s="17" t="n">
        <v>36373</v>
      </c>
      <c r="B338" s="58">
        <f>VLOOKUP(Table16[[#This Row],[Date]],database!A:H,4,)</f>
        <v/>
      </c>
      <c r="C338" s="66">
        <f>B338/B337-1</f>
        <v/>
      </c>
      <c r="D338" s="66">
        <f>(Table16[[#This Row],[Index]]-B326)/B326</f>
        <v/>
      </c>
    </row>
    <row r="339">
      <c r="A339" s="17" t="n">
        <v>36404</v>
      </c>
      <c r="B339" s="58">
        <f>VLOOKUP(Table16[[#This Row],[Date]],database!A:H,4,)</f>
        <v/>
      </c>
      <c r="C339" s="66">
        <f>B339/B338-1</f>
        <v/>
      </c>
      <c r="D339" s="66">
        <f>(Table16[[#This Row],[Index]]-B327)/B327</f>
        <v/>
      </c>
    </row>
    <row r="340">
      <c r="A340" s="17" t="n">
        <v>36434</v>
      </c>
      <c r="B340" s="58">
        <f>VLOOKUP(Table16[[#This Row],[Date]],database!A:H,4,)</f>
        <v/>
      </c>
      <c r="C340" s="66">
        <f>B340/B339-1</f>
        <v/>
      </c>
      <c r="D340" s="66">
        <f>(Table16[[#This Row],[Index]]-B328)/B328</f>
        <v/>
      </c>
    </row>
    <row r="341">
      <c r="A341" s="17" t="n">
        <v>36465</v>
      </c>
      <c r="B341" s="58">
        <f>VLOOKUP(Table16[[#This Row],[Date]],database!A:H,4,)</f>
        <v/>
      </c>
      <c r="C341" s="66">
        <f>B341/B340-1</f>
        <v/>
      </c>
      <c r="D341" s="66">
        <f>(Table16[[#This Row],[Index]]-B329)/B329</f>
        <v/>
      </c>
    </row>
    <row r="342">
      <c r="A342" s="17" t="n">
        <v>36495</v>
      </c>
      <c r="B342" s="58">
        <f>VLOOKUP(Table16[[#This Row],[Date]],database!A:H,4,)</f>
        <v/>
      </c>
      <c r="C342" s="66">
        <f>B342/B341-1</f>
        <v/>
      </c>
      <c r="D342" s="66">
        <f>(Table16[[#This Row],[Index]]-B330)/B330</f>
        <v/>
      </c>
    </row>
    <row r="343">
      <c r="A343" s="17" t="n">
        <v>36526</v>
      </c>
      <c r="B343" s="58">
        <f>VLOOKUP(Table16[[#This Row],[Date]],database!A:H,4,)</f>
        <v/>
      </c>
      <c r="C343" s="66">
        <f>B343/B342-1</f>
        <v/>
      </c>
      <c r="D343" s="66">
        <f>(Table16[[#This Row],[Index]]-B331)/B331</f>
        <v/>
      </c>
    </row>
    <row r="344">
      <c r="A344" s="17" t="n">
        <v>36557</v>
      </c>
      <c r="B344" s="58">
        <f>VLOOKUP(Table16[[#This Row],[Date]],database!A:H,4,)</f>
        <v/>
      </c>
      <c r="C344" s="66">
        <f>B344/B343-1</f>
        <v/>
      </c>
      <c r="D344" s="66">
        <f>(Table16[[#This Row],[Index]]-B332)/B332</f>
        <v/>
      </c>
    </row>
    <row r="345">
      <c r="A345" s="17" t="n">
        <v>36586</v>
      </c>
      <c r="B345" s="58">
        <f>VLOOKUP(Table16[[#This Row],[Date]],database!A:H,4,)</f>
        <v/>
      </c>
      <c r="C345" s="66">
        <f>B345/B344-1</f>
        <v/>
      </c>
      <c r="D345" s="66">
        <f>(Table16[[#This Row],[Index]]-B333)/B333</f>
        <v/>
      </c>
    </row>
    <row r="346">
      <c r="A346" s="17" t="n">
        <v>36617</v>
      </c>
      <c r="B346" s="58">
        <f>VLOOKUP(Table16[[#This Row],[Date]],database!A:H,4,)</f>
        <v/>
      </c>
      <c r="C346" s="66">
        <f>B346/B345-1</f>
        <v/>
      </c>
      <c r="D346" s="66">
        <f>(Table16[[#This Row],[Index]]-B334)/B334</f>
        <v/>
      </c>
    </row>
    <row r="347">
      <c r="A347" s="17" t="n">
        <v>36647</v>
      </c>
      <c r="B347" s="58">
        <f>VLOOKUP(Table16[[#This Row],[Date]],database!A:H,4,)</f>
        <v/>
      </c>
      <c r="C347" s="66">
        <f>B347/B346-1</f>
        <v/>
      </c>
      <c r="D347" s="66">
        <f>(Table16[[#This Row],[Index]]-B335)/B335</f>
        <v/>
      </c>
    </row>
    <row r="348">
      <c r="A348" s="17" t="n">
        <v>36678</v>
      </c>
      <c r="B348" s="58">
        <f>VLOOKUP(Table16[[#This Row],[Date]],database!A:H,4,)</f>
        <v/>
      </c>
      <c r="C348" s="66">
        <f>B348/B347-1</f>
        <v/>
      </c>
      <c r="D348" s="66">
        <f>(Table16[[#This Row],[Index]]-B336)/B336</f>
        <v/>
      </c>
    </row>
    <row r="349">
      <c r="A349" s="17" t="n">
        <v>36708</v>
      </c>
      <c r="B349" s="58">
        <f>VLOOKUP(Table16[[#This Row],[Date]],database!A:H,4,)</f>
        <v/>
      </c>
      <c r="C349" s="66">
        <f>B349/B348-1</f>
        <v/>
      </c>
      <c r="D349" s="66">
        <f>(Table16[[#This Row],[Index]]-B337)/B337</f>
        <v/>
      </c>
    </row>
    <row r="350">
      <c r="A350" s="17" t="n">
        <v>36739</v>
      </c>
      <c r="B350" s="58">
        <f>VLOOKUP(Table16[[#This Row],[Date]],database!A:H,4,)</f>
        <v/>
      </c>
      <c r="C350" s="66">
        <f>B350/B349-1</f>
        <v/>
      </c>
      <c r="D350" s="66">
        <f>(Table16[[#This Row],[Index]]-B338)/B338</f>
        <v/>
      </c>
    </row>
    <row r="351">
      <c r="A351" s="17" t="n">
        <v>36770</v>
      </c>
      <c r="B351" s="58">
        <f>VLOOKUP(Table16[[#This Row],[Date]],database!A:H,4,)</f>
        <v/>
      </c>
      <c r="C351" s="66">
        <f>B351/B350-1</f>
        <v/>
      </c>
      <c r="D351" s="66">
        <f>(Table16[[#This Row],[Index]]-B339)/B339</f>
        <v/>
      </c>
    </row>
    <row r="352">
      <c r="A352" s="17" t="n">
        <v>36800</v>
      </c>
      <c r="B352" s="58">
        <f>VLOOKUP(Table16[[#This Row],[Date]],database!A:H,4,)</f>
        <v/>
      </c>
      <c r="C352" s="66">
        <f>B352/B351-1</f>
        <v/>
      </c>
      <c r="D352" s="66">
        <f>(Table16[[#This Row],[Index]]-B340)/B340</f>
        <v/>
      </c>
    </row>
    <row r="353">
      <c r="A353" s="17" t="n">
        <v>36831</v>
      </c>
      <c r="B353" s="58">
        <f>VLOOKUP(Table16[[#This Row],[Date]],database!A:H,4,)</f>
        <v/>
      </c>
      <c r="C353" s="66">
        <f>B353/B352-1</f>
        <v/>
      </c>
      <c r="D353" s="66">
        <f>(Table16[[#This Row],[Index]]-B341)/B341</f>
        <v/>
      </c>
    </row>
    <row r="354">
      <c r="A354" s="17" t="n">
        <v>36861</v>
      </c>
      <c r="B354" s="58">
        <f>VLOOKUP(Table16[[#This Row],[Date]],database!A:H,4,)</f>
        <v/>
      </c>
      <c r="C354" s="66">
        <f>B354/B353-1</f>
        <v/>
      </c>
      <c r="D354" s="66">
        <f>(Table16[[#This Row],[Index]]-B342)/B342</f>
        <v/>
      </c>
    </row>
    <row r="355">
      <c r="A355" s="17" t="n">
        <v>36892</v>
      </c>
      <c r="B355" s="58">
        <f>VLOOKUP(Table16[[#This Row],[Date]],database!A:H,4,)</f>
        <v/>
      </c>
      <c r="C355" s="66">
        <f>B355/B354-1</f>
        <v/>
      </c>
      <c r="D355" s="66">
        <f>(Table16[[#This Row],[Index]]-B343)/B343</f>
        <v/>
      </c>
    </row>
    <row r="356">
      <c r="A356" s="17" t="n">
        <v>36923</v>
      </c>
      <c r="B356" s="58">
        <f>VLOOKUP(Table16[[#This Row],[Date]],database!A:H,4,)</f>
        <v/>
      </c>
      <c r="C356" s="66">
        <f>B356/B355-1</f>
        <v/>
      </c>
      <c r="D356" s="66">
        <f>(Table16[[#This Row],[Index]]-B344)/B344</f>
        <v/>
      </c>
    </row>
    <row r="357">
      <c r="A357" s="17" t="n">
        <v>36951</v>
      </c>
      <c r="B357" s="58">
        <f>VLOOKUP(Table16[[#This Row],[Date]],database!A:H,4,)</f>
        <v/>
      </c>
      <c r="C357" s="66">
        <f>B357/B356-1</f>
        <v/>
      </c>
      <c r="D357" s="66">
        <f>(Table16[[#This Row],[Index]]-B345)/B345</f>
        <v/>
      </c>
    </row>
    <row r="358">
      <c r="A358" s="17" t="n">
        <v>36982</v>
      </c>
      <c r="B358" s="58">
        <f>VLOOKUP(Table16[[#This Row],[Date]],database!A:H,4,)</f>
        <v/>
      </c>
      <c r="C358" s="66">
        <f>B358/B357-1</f>
        <v/>
      </c>
      <c r="D358" s="66">
        <f>(Table16[[#This Row],[Index]]-B346)/B346</f>
        <v/>
      </c>
    </row>
    <row r="359">
      <c r="A359" s="17" t="n">
        <v>37012</v>
      </c>
      <c r="B359" s="58">
        <f>VLOOKUP(Table16[[#This Row],[Date]],database!A:H,4,)</f>
        <v/>
      </c>
      <c r="C359" s="66">
        <f>B359/B358-1</f>
        <v/>
      </c>
      <c r="D359" s="66">
        <f>(Table16[[#This Row],[Index]]-B347)/B347</f>
        <v/>
      </c>
    </row>
    <row r="360">
      <c r="A360" s="17" t="n">
        <v>37043</v>
      </c>
      <c r="B360" s="58">
        <f>VLOOKUP(Table16[[#This Row],[Date]],database!A:H,4,)</f>
        <v/>
      </c>
      <c r="C360" s="66">
        <f>B360/B359-1</f>
        <v/>
      </c>
      <c r="D360" s="66">
        <f>(Table16[[#This Row],[Index]]-B348)/B348</f>
        <v/>
      </c>
    </row>
    <row r="361">
      <c r="A361" s="17" t="n">
        <v>37073</v>
      </c>
      <c r="B361" s="58">
        <f>VLOOKUP(Table16[[#This Row],[Date]],database!A:H,4,)</f>
        <v/>
      </c>
      <c r="C361" s="66">
        <f>B361/B360-1</f>
        <v/>
      </c>
      <c r="D361" s="66">
        <f>(Table16[[#This Row],[Index]]-B349)/B349</f>
        <v/>
      </c>
    </row>
    <row r="362">
      <c r="A362" s="17" t="n">
        <v>37104</v>
      </c>
      <c r="B362" s="58">
        <f>VLOOKUP(Table16[[#This Row],[Date]],database!A:H,4,)</f>
        <v/>
      </c>
      <c r="C362" s="66">
        <f>B362/B361-1</f>
        <v/>
      </c>
      <c r="D362" s="66">
        <f>(Table16[[#This Row],[Index]]-B350)/B350</f>
        <v/>
      </c>
    </row>
    <row r="363">
      <c r="A363" s="17" t="n">
        <v>37135</v>
      </c>
      <c r="B363" s="58">
        <f>VLOOKUP(Table16[[#This Row],[Date]],database!A:H,4,)</f>
        <v/>
      </c>
      <c r="C363" s="66">
        <f>B363/B362-1</f>
        <v/>
      </c>
      <c r="D363" s="66">
        <f>(Table16[[#This Row],[Index]]-B351)/B351</f>
        <v/>
      </c>
    </row>
    <row r="364">
      <c r="A364" s="17" t="n">
        <v>37165</v>
      </c>
      <c r="B364" s="58">
        <f>VLOOKUP(Table16[[#This Row],[Date]],database!A:H,4,)</f>
        <v/>
      </c>
      <c r="C364" s="66">
        <f>B364/B363-1</f>
        <v/>
      </c>
      <c r="D364" s="66">
        <f>(Table16[[#This Row],[Index]]-B352)/B352</f>
        <v/>
      </c>
    </row>
    <row r="365">
      <c r="A365" s="17" t="n">
        <v>37196</v>
      </c>
      <c r="B365" s="58">
        <f>VLOOKUP(Table16[[#This Row],[Date]],database!A:H,4,)</f>
        <v/>
      </c>
      <c r="C365" s="66">
        <f>B365/B364-1</f>
        <v/>
      </c>
      <c r="D365" s="66">
        <f>(Table16[[#This Row],[Index]]-B353)/B353</f>
        <v/>
      </c>
    </row>
    <row r="366">
      <c r="A366" s="17" t="n">
        <v>37226</v>
      </c>
      <c r="B366" s="58">
        <f>VLOOKUP(Table16[[#This Row],[Date]],database!A:H,4,)</f>
        <v/>
      </c>
      <c r="C366" s="66">
        <f>B366/B365-1</f>
        <v/>
      </c>
      <c r="D366" s="66">
        <f>(Table16[[#This Row],[Index]]-B354)/B354</f>
        <v/>
      </c>
    </row>
    <row r="367">
      <c r="A367" s="17" t="n">
        <v>37257</v>
      </c>
      <c r="B367" s="58">
        <f>VLOOKUP(Table16[[#This Row],[Date]],database!A:H,4,)</f>
        <v/>
      </c>
      <c r="C367" s="66">
        <f>B367/B366-1</f>
        <v/>
      </c>
      <c r="D367" s="66">
        <f>(Table16[[#This Row],[Index]]-B355)/B355</f>
        <v/>
      </c>
    </row>
    <row r="368">
      <c r="A368" s="17" t="n">
        <v>37288</v>
      </c>
      <c r="B368" s="58">
        <f>VLOOKUP(Table16[[#This Row],[Date]],database!A:H,4,)</f>
        <v/>
      </c>
      <c r="C368" s="66">
        <f>B368/B367-1</f>
        <v/>
      </c>
      <c r="D368" s="66">
        <f>(Table16[[#This Row],[Index]]-B356)/B356</f>
        <v/>
      </c>
    </row>
    <row r="369">
      <c r="A369" s="17" t="n">
        <v>37316</v>
      </c>
      <c r="B369" s="58">
        <f>VLOOKUP(Table16[[#This Row],[Date]],database!A:H,4,)</f>
        <v/>
      </c>
      <c r="C369" s="66">
        <f>B369/B368-1</f>
        <v/>
      </c>
      <c r="D369" s="66">
        <f>(Table16[[#This Row],[Index]]-B357)/B357</f>
        <v/>
      </c>
    </row>
    <row r="370">
      <c r="A370" s="17" t="n">
        <v>37347</v>
      </c>
      <c r="B370" s="58">
        <f>VLOOKUP(Table16[[#This Row],[Date]],database!A:H,4,)</f>
        <v/>
      </c>
      <c r="C370" s="66">
        <f>B370/B369-1</f>
        <v/>
      </c>
      <c r="D370" s="66">
        <f>(Table16[[#This Row],[Index]]-B358)/B358</f>
        <v/>
      </c>
    </row>
    <row r="371">
      <c r="A371" s="17" t="n">
        <v>37377</v>
      </c>
      <c r="B371" s="58">
        <f>VLOOKUP(Table16[[#This Row],[Date]],database!A:H,4,)</f>
        <v/>
      </c>
      <c r="C371" s="66">
        <f>B371/B370-1</f>
        <v/>
      </c>
      <c r="D371" s="66">
        <f>(Table16[[#This Row],[Index]]-B359)/B359</f>
        <v/>
      </c>
    </row>
    <row r="372">
      <c r="A372" s="17" t="n">
        <v>37408</v>
      </c>
      <c r="B372" s="58">
        <f>VLOOKUP(Table16[[#This Row],[Date]],database!A:H,4,)</f>
        <v/>
      </c>
      <c r="C372" s="66">
        <f>B372/B371-1</f>
        <v/>
      </c>
      <c r="D372" s="66">
        <f>(Table16[[#This Row],[Index]]-B360)/B360</f>
        <v/>
      </c>
    </row>
    <row r="373">
      <c r="A373" s="17" t="n">
        <v>37438</v>
      </c>
      <c r="B373" s="58">
        <f>VLOOKUP(Table16[[#This Row],[Date]],database!A:H,4,)</f>
        <v/>
      </c>
      <c r="C373" s="66">
        <f>B373/B372-1</f>
        <v/>
      </c>
      <c r="D373" s="66">
        <f>(Table16[[#This Row],[Index]]-B361)/B361</f>
        <v/>
      </c>
    </row>
    <row r="374">
      <c r="A374" s="17" t="n">
        <v>37469</v>
      </c>
      <c r="B374" s="58">
        <f>VLOOKUP(Table16[[#This Row],[Date]],database!A:H,4,)</f>
        <v/>
      </c>
      <c r="C374" s="66">
        <f>B374/B373-1</f>
        <v/>
      </c>
      <c r="D374" s="66">
        <f>(Table16[[#This Row],[Index]]-B362)/B362</f>
        <v/>
      </c>
    </row>
    <row r="375">
      <c r="A375" s="17" t="n">
        <v>37500</v>
      </c>
      <c r="B375" s="58">
        <f>VLOOKUP(Table16[[#This Row],[Date]],database!A:H,4,)</f>
        <v/>
      </c>
      <c r="C375" s="66">
        <f>B375/B374-1</f>
        <v/>
      </c>
      <c r="D375" s="66">
        <f>(Table16[[#This Row],[Index]]-B363)/B363</f>
        <v/>
      </c>
    </row>
    <row r="376">
      <c r="A376" s="17" t="n">
        <v>37530</v>
      </c>
      <c r="B376" s="58">
        <f>VLOOKUP(Table16[[#This Row],[Date]],database!A:H,4,)</f>
        <v/>
      </c>
      <c r="C376" s="66">
        <f>B376/B375-1</f>
        <v/>
      </c>
      <c r="D376" s="66">
        <f>(Table16[[#This Row],[Index]]-B364)/B364</f>
        <v/>
      </c>
    </row>
    <row r="377">
      <c r="A377" s="17" t="n">
        <v>37561</v>
      </c>
      <c r="B377" s="58">
        <f>VLOOKUP(Table16[[#This Row],[Date]],database!A:H,4,)</f>
        <v/>
      </c>
      <c r="C377" s="66">
        <f>B377/B376-1</f>
        <v/>
      </c>
      <c r="D377" s="66">
        <f>(Table16[[#This Row],[Index]]-B365)/B365</f>
        <v/>
      </c>
    </row>
    <row r="378">
      <c r="A378" s="17" t="n">
        <v>37591</v>
      </c>
      <c r="B378" s="58">
        <f>VLOOKUP(Table16[[#This Row],[Date]],database!A:H,4,)</f>
        <v/>
      </c>
      <c r="C378" s="66">
        <f>B378/B377-1</f>
        <v/>
      </c>
      <c r="D378" s="66">
        <f>(Table16[[#This Row],[Index]]-B366)/B366</f>
        <v/>
      </c>
    </row>
    <row r="379">
      <c r="A379" s="17" t="n">
        <v>37622</v>
      </c>
      <c r="B379" s="58">
        <f>VLOOKUP(Table16[[#This Row],[Date]],database!A:H,4,)</f>
        <v/>
      </c>
      <c r="C379" s="66">
        <f>B379/B378-1</f>
        <v/>
      </c>
      <c r="D379" s="66">
        <f>(Table16[[#This Row],[Index]]-B367)/B367</f>
        <v/>
      </c>
    </row>
    <row r="380">
      <c r="A380" s="17" t="n">
        <v>37653</v>
      </c>
      <c r="B380" s="58">
        <f>VLOOKUP(Table16[[#This Row],[Date]],database!A:H,4,)</f>
        <v/>
      </c>
      <c r="C380" s="66">
        <f>B380/B379-1</f>
        <v/>
      </c>
      <c r="D380" s="66">
        <f>(Table16[[#This Row],[Index]]-B368)/B368</f>
        <v/>
      </c>
    </row>
    <row r="381">
      <c r="A381" s="17" t="n">
        <v>37681</v>
      </c>
      <c r="B381" s="58">
        <f>VLOOKUP(Table16[[#This Row],[Date]],database!A:H,4,)</f>
        <v/>
      </c>
      <c r="C381" s="66">
        <f>B381/B380-1</f>
        <v/>
      </c>
      <c r="D381" s="66">
        <f>(Table16[[#This Row],[Index]]-B369)/B369</f>
        <v/>
      </c>
    </row>
    <row r="382">
      <c r="A382" s="17" t="n">
        <v>37712</v>
      </c>
      <c r="B382" s="58">
        <f>VLOOKUP(Table16[[#This Row],[Date]],database!A:H,4,)</f>
        <v/>
      </c>
      <c r="C382" s="66">
        <f>B382/B381-1</f>
        <v/>
      </c>
      <c r="D382" s="66">
        <f>(Table16[[#This Row],[Index]]-B370)/B370</f>
        <v/>
      </c>
    </row>
    <row r="383">
      <c r="A383" s="17" t="n">
        <v>37742</v>
      </c>
      <c r="B383" s="58">
        <f>VLOOKUP(Table16[[#This Row],[Date]],database!A:H,4,)</f>
        <v/>
      </c>
      <c r="C383" s="66">
        <f>B383/B382-1</f>
        <v/>
      </c>
      <c r="D383" s="66">
        <f>(Table16[[#This Row],[Index]]-B371)/B371</f>
        <v/>
      </c>
    </row>
    <row r="384">
      <c r="A384" s="17" t="n">
        <v>37773</v>
      </c>
      <c r="B384" s="58">
        <f>VLOOKUP(Table16[[#This Row],[Date]],database!A:H,4,)</f>
        <v/>
      </c>
      <c r="C384" s="66">
        <f>B384/B383-1</f>
        <v/>
      </c>
      <c r="D384" s="66">
        <f>(Table16[[#This Row],[Index]]-B372)/B372</f>
        <v/>
      </c>
    </row>
    <row r="385">
      <c r="A385" s="17" t="n">
        <v>37803</v>
      </c>
      <c r="B385" s="58">
        <f>VLOOKUP(Table16[[#This Row],[Date]],database!A:H,4,)</f>
        <v/>
      </c>
      <c r="C385" s="66">
        <f>B385/B384-1</f>
        <v/>
      </c>
      <c r="D385" s="66">
        <f>(Table16[[#This Row],[Index]]-B373)/B373</f>
        <v/>
      </c>
    </row>
    <row r="386">
      <c r="A386" s="17" t="n">
        <v>37834</v>
      </c>
      <c r="B386" s="58">
        <f>VLOOKUP(Table16[[#This Row],[Date]],database!A:H,4,)</f>
        <v/>
      </c>
      <c r="C386" s="66">
        <f>B386/B385-1</f>
        <v/>
      </c>
      <c r="D386" s="66">
        <f>(Table16[[#This Row],[Index]]-B374)/B374</f>
        <v/>
      </c>
    </row>
    <row r="387">
      <c r="A387" s="17" t="n">
        <v>37865</v>
      </c>
      <c r="B387" s="58">
        <f>VLOOKUP(Table16[[#This Row],[Date]],database!A:H,4,)</f>
        <v/>
      </c>
      <c r="C387" s="66">
        <f>B387/B386-1</f>
        <v/>
      </c>
      <c r="D387" s="66">
        <f>(Table16[[#This Row],[Index]]-B375)/B375</f>
        <v/>
      </c>
    </row>
    <row r="388">
      <c r="A388" s="17" t="n">
        <v>37895</v>
      </c>
      <c r="B388" s="58">
        <f>VLOOKUP(Table16[[#This Row],[Date]],database!A:H,4,)</f>
        <v/>
      </c>
      <c r="C388" s="66">
        <f>B388/B387-1</f>
        <v/>
      </c>
      <c r="D388" s="66">
        <f>(Table16[[#This Row],[Index]]-B376)/B376</f>
        <v/>
      </c>
    </row>
    <row r="389">
      <c r="A389" s="17" t="n">
        <v>37926</v>
      </c>
      <c r="B389" s="58">
        <f>VLOOKUP(Table16[[#This Row],[Date]],database!A:H,4,)</f>
        <v/>
      </c>
      <c r="C389" s="66">
        <f>B389/B388-1</f>
        <v/>
      </c>
      <c r="D389" s="66">
        <f>(Table16[[#This Row],[Index]]-B377)/B377</f>
        <v/>
      </c>
    </row>
    <row r="390">
      <c r="A390" s="17" t="n">
        <v>37956</v>
      </c>
      <c r="B390" s="58">
        <f>VLOOKUP(Table16[[#This Row],[Date]],database!A:H,4,)</f>
        <v/>
      </c>
      <c r="C390" s="66">
        <f>B390/B389-1</f>
        <v/>
      </c>
      <c r="D390" s="66">
        <f>(Table16[[#This Row],[Index]]-B378)/B378</f>
        <v/>
      </c>
    </row>
    <row r="391">
      <c r="A391" s="17" t="n">
        <v>37987</v>
      </c>
      <c r="B391" s="58">
        <f>VLOOKUP(Table16[[#This Row],[Date]],database!A:H,4,)</f>
        <v/>
      </c>
      <c r="C391" s="66">
        <f>B391/B390-1</f>
        <v/>
      </c>
      <c r="D391" s="66">
        <f>(Table16[[#This Row],[Index]]-B379)/B379</f>
        <v/>
      </c>
    </row>
    <row r="392">
      <c r="A392" s="17" t="n">
        <v>38018</v>
      </c>
      <c r="B392" s="58">
        <f>VLOOKUP(Table16[[#This Row],[Date]],database!A:H,4,)</f>
        <v/>
      </c>
      <c r="C392" s="66">
        <f>B392/B391-1</f>
        <v/>
      </c>
      <c r="D392" s="66">
        <f>(Table16[[#This Row],[Index]]-B380)/B380</f>
        <v/>
      </c>
    </row>
    <row r="393">
      <c r="A393" s="17" t="n">
        <v>38047</v>
      </c>
      <c r="B393" s="58">
        <f>VLOOKUP(Table16[[#This Row],[Date]],database!A:H,4,)</f>
        <v/>
      </c>
      <c r="C393" s="66">
        <f>B393/B392-1</f>
        <v/>
      </c>
      <c r="D393" s="66">
        <f>(Table16[[#This Row],[Index]]-B381)/B381</f>
        <v/>
      </c>
    </row>
    <row r="394">
      <c r="A394" s="17" t="n">
        <v>38078</v>
      </c>
      <c r="B394" s="58">
        <f>VLOOKUP(Table16[[#This Row],[Date]],database!A:H,4,)</f>
        <v/>
      </c>
      <c r="C394" s="66">
        <f>B394/B393-1</f>
        <v/>
      </c>
      <c r="D394" s="66">
        <f>(Table16[[#This Row],[Index]]-B382)/B382</f>
        <v/>
      </c>
    </row>
    <row r="395">
      <c r="A395" s="17" t="n">
        <v>38108</v>
      </c>
      <c r="B395" s="58">
        <f>VLOOKUP(Table16[[#This Row],[Date]],database!A:H,4,)</f>
        <v/>
      </c>
      <c r="C395" s="66">
        <f>B395/B394-1</f>
        <v/>
      </c>
      <c r="D395" s="66">
        <f>(Table16[[#This Row],[Index]]-B383)/B383</f>
        <v/>
      </c>
    </row>
    <row r="396">
      <c r="A396" s="17" t="n">
        <v>38139</v>
      </c>
      <c r="B396" s="58">
        <f>VLOOKUP(Table16[[#This Row],[Date]],database!A:H,4,)</f>
        <v/>
      </c>
      <c r="C396" s="66">
        <f>B396/B395-1</f>
        <v/>
      </c>
      <c r="D396" s="66">
        <f>(Table16[[#This Row],[Index]]-B384)/B384</f>
        <v/>
      </c>
    </row>
    <row r="397">
      <c r="A397" s="17" t="n">
        <v>38169</v>
      </c>
      <c r="B397" s="58">
        <f>VLOOKUP(Table16[[#This Row],[Date]],database!A:H,4,)</f>
        <v/>
      </c>
      <c r="C397" s="66">
        <f>B397/B396-1</f>
        <v/>
      </c>
      <c r="D397" s="66">
        <f>(Table16[[#This Row],[Index]]-B385)/B385</f>
        <v/>
      </c>
    </row>
    <row r="398">
      <c r="A398" s="17" t="n">
        <v>38200</v>
      </c>
      <c r="B398" s="58">
        <f>VLOOKUP(Table16[[#This Row],[Date]],database!A:H,4,)</f>
        <v/>
      </c>
      <c r="C398" s="66">
        <f>B398/B397-1</f>
        <v/>
      </c>
      <c r="D398" s="66">
        <f>(Table16[[#This Row],[Index]]-B386)/B386</f>
        <v/>
      </c>
    </row>
    <row r="399">
      <c r="A399" s="17" t="n">
        <v>38231</v>
      </c>
      <c r="B399" s="58">
        <f>VLOOKUP(Table16[[#This Row],[Date]],database!A:H,4,)</f>
        <v/>
      </c>
      <c r="C399" s="66">
        <f>B399/B398-1</f>
        <v/>
      </c>
      <c r="D399" s="66">
        <f>(Table16[[#This Row],[Index]]-B387)/B387</f>
        <v/>
      </c>
    </row>
    <row r="400">
      <c r="A400" s="17" t="n">
        <v>38261</v>
      </c>
      <c r="B400" s="58">
        <f>VLOOKUP(Table16[[#This Row],[Date]],database!A:H,4,)</f>
        <v/>
      </c>
      <c r="C400" s="66">
        <f>B400/B399-1</f>
        <v/>
      </c>
      <c r="D400" s="66">
        <f>(Table16[[#This Row],[Index]]-B388)/B388</f>
        <v/>
      </c>
    </row>
    <row r="401">
      <c r="A401" s="17" t="n">
        <v>38292</v>
      </c>
      <c r="B401" s="58">
        <f>VLOOKUP(Table16[[#This Row],[Date]],database!A:H,4,)</f>
        <v/>
      </c>
      <c r="C401" s="66">
        <f>B401/B400-1</f>
        <v/>
      </c>
      <c r="D401" s="66">
        <f>(Table16[[#This Row],[Index]]-B389)/B389</f>
        <v/>
      </c>
    </row>
    <row r="402">
      <c r="A402" s="17" t="n">
        <v>38322</v>
      </c>
      <c r="B402" s="58">
        <f>VLOOKUP(Table16[[#This Row],[Date]],database!A:H,4,)</f>
        <v/>
      </c>
      <c r="C402" s="66">
        <f>B402/B401-1</f>
        <v/>
      </c>
      <c r="D402" s="66">
        <f>(Table16[[#This Row],[Index]]-B390)/B390</f>
        <v/>
      </c>
    </row>
    <row r="403">
      <c r="A403" s="17" t="n">
        <v>38353</v>
      </c>
      <c r="B403" s="58">
        <f>VLOOKUP(Table16[[#This Row],[Date]],database!A:H,4,)</f>
        <v/>
      </c>
      <c r="C403" s="66">
        <f>B403/B402-1</f>
        <v/>
      </c>
      <c r="D403" s="66">
        <f>(Table16[[#This Row],[Index]]-B391)/B391</f>
        <v/>
      </c>
    </row>
    <row r="404">
      <c r="A404" s="17" t="n">
        <v>38384</v>
      </c>
      <c r="B404" s="58">
        <f>VLOOKUP(Table16[[#This Row],[Date]],database!A:H,4,)</f>
        <v/>
      </c>
      <c r="C404" s="66">
        <f>B404/B403-1</f>
        <v/>
      </c>
      <c r="D404" s="66">
        <f>(Table16[[#This Row],[Index]]-B392)/B392</f>
        <v/>
      </c>
    </row>
    <row r="405">
      <c r="A405" s="17" t="n">
        <v>38412</v>
      </c>
      <c r="B405" s="58">
        <f>VLOOKUP(Table16[[#This Row],[Date]],database!A:H,4,)</f>
        <v/>
      </c>
      <c r="C405" s="66">
        <f>B405/B404-1</f>
        <v/>
      </c>
      <c r="D405" s="66">
        <f>(Table16[[#This Row],[Index]]-B393)/B393</f>
        <v/>
      </c>
    </row>
    <row r="406">
      <c r="A406" s="17" t="n">
        <v>38443</v>
      </c>
      <c r="B406" s="58">
        <f>VLOOKUP(Table16[[#This Row],[Date]],database!A:H,4,)</f>
        <v/>
      </c>
      <c r="C406" s="66">
        <f>B406/B405-1</f>
        <v/>
      </c>
      <c r="D406" s="66">
        <f>(Table16[[#This Row],[Index]]-B394)/B394</f>
        <v/>
      </c>
    </row>
    <row r="407">
      <c r="A407" s="17" t="n">
        <v>38473</v>
      </c>
      <c r="B407" s="58">
        <f>VLOOKUP(Table16[[#This Row],[Date]],database!A:H,4,)</f>
        <v/>
      </c>
      <c r="C407" s="66">
        <f>B407/B406-1</f>
        <v/>
      </c>
      <c r="D407" s="66">
        <f>(Table16[[#This Row],[Index]]-B395)/B395</f>
        <v/>
      </c>
    </row>
    <row r="408">
      <c r="A408" s="17" t="n">
        <v>38504</v>
      </c>
      <c r="B408" s="58">
        <f>VLOOKUP(Table16[[#This Row],[Date]],database!A:H,4,)</f>
        <v/>
      </c>
      <c r="C408" s="66">
        <f>B408/B407-1</f>
        <v/>
      </c>
      <c r="D408" s="66">
        <f>(Table16[[#This Row],[Index]]-B396)/B396</f>
        <v/>
      </c>
    </row>
    <row r="409">
      <c r="A409" s="17" t="n">
        <v>38534</v>
      </c>
      <c r="B409" s="58">
        <f>VLOOKUP(Table16[[#This Row],[Date]],database!A:H,4,)</f>
        <v/>
      </c>
      <c r="C409" s="66">
        <f>B409/B408-1</f>
        <v/>
      </c>
      <c r="D409" s="66">
        <f>(Table16[[#This Row],[Index]]-B397)/B397</f>
        <v/>
      </c>
    </row>
    <row r="410">
      <c r="A410" s="17" t="n">
        <v>38565</v>
      </c>
      <c r="B410" s="58">
        <f>VLOOKUP(Table16[[#This Row],[Date]],database!A:H,4,)</f>
        <v/>
      </c>
      <c r="C410" s="66">
        <f>B410/B409-1</f>
        <v/>
      </c>
      <c r="D410" s="66">
        <f>(Table16[[#This Row],[Index]]-B398)/B398</f>
        <v/>
      </c>
    </row>
    <row r="411">
      <c r="A411" s="17" t="n">
        <v>38596</v>
      </c>
      <c r="B411" s="58">
        <f>VLOOKUP(Table16[[#This Row],[Date]],database!A:H,4,)</f>
        <v/>
      </c>
      <c r="C411" s="66">
        <f>B411/B410-1</f>
        <v/>
      </c>
      <c r="D411" s="66">
        <f>(Table16[[#This Row],[Index]]-B399)/B399</f>
        <v/>
      </c>
    </row>
    <row r="412">
      <c r="A412" s="17" t="n">
        <v>38626</v>
      </c>
      <c r="B412" s="58">
        <f>VLOOKUP(Table16[[#This Row],[Date]],database!A:H,4,)</f>
        <v/>
      </c>
      <c r="C412" s="66">
        <f>B412/B411-1</f>
        <v/>
      </c>
      <c r="D412" s="66">
        <f>(Table16[[#This Row],[Index]]-B400)/B400</f>
        <v/>
      </c>
    </row>
    <row r="413">
      <c r="A413" s="17" t="n">
        <v>38657</v>
      </c>
      <c r="B413" s="58">
        <f>VLOOKUP(Table16[[#This Row],[Date]],database!A:H,4,)</f>
        <v/>
      </c>
      <c r="C413" s="66">
        <f>B413/B412-1</f>
        <v/>
      </c>
      <c r="D413" s="66">
        <f>(Table16[[#This Row],[Index]]-B401)/B401</f>
        <v/>
      </c>
    </row>
    <row r="414">
      <c r="A414" s="17" t="n">
        <v>38687</v>
      </c>
      <c r="B414" s="58">
        <f>VLOOKUP(Table16[[#This Row],[Date]],database!A:H,4,)</f>
        <v/>
      </c>
      <c r="C414" s="66">
        <f>B414/B413-1</f>
        <v/>
      </c>
      <c r="D414" s="66">
        <f>(Table16[[#This Row],[Index]]-B402)/B402</f>
        <v/>
      </c>
    </row>
    <row r="415">
      <c r="A415" s="17" t="n">
        <v>38718</v>
      </c>
      <c r="B415" s="58">
        <f>VLOOKUP(Table16[[#This Row],[Date]],database!A:H,4,)</f>
        <v/>
      </c>
      <c r="C415" s="66">
        <f>B415/B414-1</f>
        <v/>
      </c>
      <c r="D415" s="66">
        <f>(Table16[[#This Row],[Index]]-B403)/B403</f>
        <v/>
      </c>
    </row>
    <row r="416">
      <c r="A416" s="17" t="n">
        <v>38749</v>
      </c>
      <c r="B416" s="58">
        <f>VLOOKUP(Table16[[#This Row],[Date]],database!A:H,4,)</f>
        <v/>
      </c>
      <c r="C416" s="66">
        <f>B416/B415-1</f>
        <v/>
      </c>
      <c r="D416" s="66">
        <f>(Table16[[#This Row],[Index]]-B404)/B404</f>
        <v/>
      </c>
    </row>
    <row r="417">
      <c r="A417" s="17" t="n">
        <v>38777</v>
      </c>
      <c r="B417" s="58">
        <f>VLOOKUP(Table16[[#This Row],[Date]],database!A:H,4,)</f>
        <v/>
      </c>
      <c r="C417" s="66">
        <f>B417/B416-1</f>
        <v/>
      </c>
      <c r="D417" s="66">
        <f>(Table16[[#This Row],[Index]]-B405)/B405</f>
        <v/>
      </c>
    </row>
    <row r="418">
      <c r="A418" s="17" t="n">
        <v>38808</v>
      </c>
      <c r="B418" s="58">
        <f>VLOOKUP(Table16[[#This Row],[Date]],database!A:H,4,)</f>
        <v/>
      </c>
      <c r="C418" s="66">
        <f>B418/B417-1</f>
        <v/>
      </c>
      <c r="D418" s="66">
        <f>(Table16[[#This Row],[Index]]-B406)/B406</f>
        <v/>
      </c>
    </row>
    <row r="419">
      <c r="A419" s="17" t="n">
        <v>38838</v>
      </c>
      <c r="B419" s="58">
        <f>VLOOKUP(Table16[[#This Row],[Date]],database!A:H,4,)</f>
        <v/>
      </c>
      <c r="C419" s="66">
        <f>B419/B418-1</f>
        <v/>
      </c>
      <c r="D419" s="66">
        <f>(Table16[[#This Row],[Index]]-B407)/B407</f>
        <v/>
      </c>
    </row>
    <row r="420">
      <c r="A420" s="17" t="n">
        <v>38869</v>
      </c>
      <c r="B420" s="58">
        <f>VLOOKUP(Table16[[#This Row],[Date]],database!A:H,4,)</f>
        <v/>
      </c>
      <c r="C420" s="66">
        <f>B420/B419-1</f>
        <v/>
      </c>
      <c r="D420" s="66">
        <f>(Table16[[#This Row],[Index]]-B408)/B408</f>
        <v/>
      </c>
    </row>
    <row r="421">
      <c r="A421" s="17" t="n">
        <v>38899</v>
      </c>
      <c r="B421" s="58">
        <f>VLOOKUP(Table16[[#This Row],[Date]],database!A:H,4,)</f>
        <v/>
      </c>
      <c r="C421" s="66">
        <f>B421/B420-1</f>
        <v/>
      </c>
      <c r="D421" s="66">
        <f>(Table16[[#This Row],[Index]]-B409)/B409</f>
        <v/>
      </c>
    </row>
    <row r="422">
      <c r="A422" s="17" t="n">
        <v>38930</v>
      </c>
      <c r="B422" s="58">
        <f>VLOOKUP(Table16[[#This Row],[Date]],database!A:H,4,)</f>
        <v/>
      </c>
      <c r="C422" s="66">
        <f>B422/B421-1</f>
        <v/>
      </c>
      <c r="D422" s="66">
        <f>(Table16[[#This Row],[Index]]-B410)/B410</f>
        <v/>
      </c>
    </row>
    <row r="423">
      <c r="A423" s="17" t="n">
        <v>38961</v>
      </c>
      <c r="B423" s="58">
        <f>VLOOKUP(Table16[[#This Row],[Date]],database!A:H,4,)</f>
        <v/>
      </c>
      <c r="C423" s="66">
        <f>B423/B422-1</f>
        <v/>
      </c>
      <c r="D423" s="66">
        <f>(Table16[[#This Row],[Index]]-B411)/B411</f>
        <v/>
      </c>
    </row>
    <row r="424">
      <c r="A424" s="17" t="n">
        <v>38991</v>
      </c>
      <c r="B424" s="58">
        <f>VLOOKUP(Table16[[#This Row],[Date]],database!A:H,4,)</f>
        <v/>
      </c>
      <c r="C424" s="66">
        <f>B424/B423-1</f>
        <v/>
      </c>
      <c r="D424" s="66">
        <f>(Table16[[#This Row],[Index]]-B412)/B412</f>
        <v/>
      </c>
    </row>
    <row r="425">
      <c r="A425" s="17" t="n">
        <v>39022</v>
      </c>
      <c r="B425" s="58">
        <f>VLOOKUP(Table16[[#This Row],[Date]],database!A:H,4,)</f>
        <v/>
      </c>
      <c r="C425" s="66">
        <f>B425/B424-1</f>
        <v/>
      </c>
      <c r="D425" s="66">
        <f>(Table16[[#This Row],[Index]]-B413)/B413</f>
        <v/>
      </c>
    </row>
    <row r="426">
      <c r="A426" s="17" t="n">
        <v>39052</v>
      </c>
      <c r="B426" s="58">
        <f>VLOOKUP(Table16[[#This Row],[Date]],database!A:H,4,)</f>
        <v/>
      </c>
      <c r="C426" s="66">
        <f>B426/B425-1</f>
        <v/>
      </c>
      <c r="D426" s="66">
        <f>(Table16[[#This Row],[Index]]-B414)/B414</f>
        <v/>
      </c>
    </row>
    <row r="427">
      <c r="A427" s="17" t="n">
        <v>39083</v>
      </c>
      <c r="B427" s="58">
        <f>VLOOKUP(Table16[[#This Row],[Date]],database!A:H,4,)</f>
        <v/>
      </c>
      <c r="C427" s="66">
        <f>B427/B426-1</f>
        <v/>
      </c>
      <c r="D427" s="66">
        <f>(Table16[[#This Row],[Index]]-B415)/B415</f>
        <v/>
      </c>
    </row>
    <row r="428">
      <c r="A428" s="17" t="n">
        <v>39114</v>
      </c>
      <c r="B428" s="58">
        <f>VLOOKUP(Table16[[#This Row],[Date]],database!A:H,4,)</f>
        <v/>
      </c>
      <c r="C428" s="66">
        <f>B428/B427-1</f>
        <v/>
      </c>
      <c r="D428" s="66">
        <f>(Table16[[#This Row],[Index]]-B416)/B416</f>
        <v/>
      </c>
    </row>
    <row r="429">
      <c r="A429" s="17" t="n">
        <v>39142</v>
      </c>
      <c r="B429" s="58">
        <f>VLOOKUP(Table16[[#This Row],[Date]],database!A:H,4,)</f>
        <v/>
      </c>
      <c r="C429" s="66">
        <f>B429/B428-1</f>
        <v/>
      </c>
      <c r="D429" s="66">
        <f>(Table16[[#This Row],[Index]]-B417)/B417</f>
        <v/>
      </c>
    </row>
    <row r="430">
      <c r="A430" s="17" t="n">
        <v>39173</v>
      </c>
      <c r="B430" s="58">
        <f>VLOOKUP(Table16[[#This Row],[Date]],database!A:H,4,)</f>
        <v/>
      </c>
      <c r="C430" s="66">
        <f>B430/B429-1</f>
        <v/>
      </c>
      <c r="D430" s="66">
        <f>(Table16[[#This Row],[Index]]-B418)/B418</f>
        <v/>
      </c>
    </row>
    <row r="431">
      <c r="A431" s="17" t="n">
        <v>39203</v>
      </c>
      <c r="B431" s="58">
        <f>VLOOKUP(Table16[[#This Row],[Date]],database!A:H,4,)</f>
        <v/>
      </c>
      <c r="C431" s="66">
        <f>B431/B430-1</f>
        <v/>
      </c>
      <c r="D431" s="66">
        <f>(Table16[[#This Row],[Index]]-B419)/B419</f>
        <v/>
      </c>
    </row>
    <row r="432">
      <c r="A432" s="17" t="n">
        <v>39234</v>
      </c>
      <c r="B432" s="58">
        <f>VLOOKUP(Table16[[#This Row],[Date]],database!A:H,4,)</f>
        <v/>
      </c>
      <c r="C432" s="66">
        <f>B432/B431-1</f>
        <v/>
      </c>
      <c r="D432" s="66">
        <f>(Table16[[#This Row],[Index]]-B420)/B420</f>
        <v/>
      </c>
    </row>
    <row r="433">
      <c r="A433" s="17" t="n">
        <v>39264</v>
      </c>
      <c r="B433" s="58">
        <f>VLOOKUP(Table16[[#This Row],[Date]],database!A:H,4,)</f>
        <v/>
      </c>
      <c r="C433" s="66">
        <f>B433/B432-1</f>
        <v/>
      </c>
      <c r="D433" s="66">
        <f>(Table16[[#This Row],[Index]]-B421)/B421</f>
        <v/>
      </c>
    </row>
    <row r="434">
      <c r="A434" s="17" t="n">
        <v>39295</v>
      </c>
      <c r="B434" s="58">
        <f>VLOOKUP(Table16[[#This Row],[Date]],database!A:H,4,)</f>
        <v/>
      </c>
      <c r="C434" s="66">
        <f>B434/B433-1</f>
        <v/>
      </c>
      <c r="D434" s="66">
        <f>(Table16[[#This Row],[Index]]-B422)/B422</f>
        <v/>
      </c>
    </row>
    <row r="435">
      <c r="A435" s="17" t="n">
        <v>39326</v>
      </c>
      <c r="B435" s="58">
        <f>VLOOKUP(Table16[[#This Row],[Date]],database!A:H,4,)</f>
        <v/>
      </c>
      <c r="C435" s="66">
        <f>B435/B434-1</f>
        <v/>
      </c>
      <c r="D435" s="66">
        <f>(Table16[[#This Row],[Index]]-B423)/B423</f>
        <v/>
      </c>
    </row>
    <row r="436">
      <c r="A436" s="17" t="n">
        <v>39356</v>
      </c>
      <c r="B436" s="58">
        <f>VLOOKUP(Table16[[#This Row],[Date]],database!A:H,4,)</f>
        <v/>
      </c>
      <c r="C436" s="66">
        <f>B436/B435-1</f>
        <v/>
      </c>
      <c r="D436" s="66">
        <f>(Table16[[#This Row],[Index]]-B424)/B424</f>
        <v/>
      </c>
    </row>
    <row r="437">
      <c r="A437" s="17" t="n">
        <v>39387</v>
      </c>
      <c r="B437" s="58">
        <f>VLOOKUP(Table16[[#This Row],[Date]],database!A:H,4,)</f>
        <v/>
      </c>
      <c r="C437" s="66">
        <f>B437/B436-1</f>
        <v/>
      </c>
      <c r="D437" s="66">
        <f>(Table16[[#This Row],[Index]]-B425)/B425</f>
        <v/>
      </c>
    </row>
    <row r="438">
      <c r="A438" s="17" t="n">
        <v>39417</v>
      </c>
      <c r="B438" s="58">
        <f>VLOOKUP(Table16[[#This Row],[Date]],database!A:H,4,)</f>
        <v/>
      </c>
      <c r="C438" s="66">
        <f>B438/B437-1</f>
        <v/>
      </c>
      <c r="D438" s="66">
        <f>(Table16[[#This Row],[Index]]-B426)/B426</f>
        <v/>
      </c>
    </row>
    <row r="439">
      <c r="A439" s="17" t="n">
        <v>39448</v>
      </c>
      <c r="B439" s="58">
        <f>VLOOKUP(Table16[[#This Row],[Date]],database!A:H,4,)</f>
        <v/>
      </c>
      <c r="C439" s="66">
        <f>B439/B438-1</f>
        <v/>
      </c>
      <c r="D439" s="66">
        <f>(Table16[[#This Row],[Index]]-B427)/B427</f>
        <v/>
      </c>
    </row>
    <row r="440">
      <c r="A440" s="17" t="n">
        <v>39479</v>
      </c>
      <c r="B440" s="58">
        <f>VLOOKUP(Table16[[#This Row],[Date]],database!A:H,4,)</f>
        <v/>
      </c>
      <c r="C440" s="66">
        <f>B440/B439-1</f>
        <v/>
      </c>
      <c r="D440" s="66">
        <f>(Table16[[#This Row],[Index]]-B428)/B428</f>
        <v/>
      </c>
    </row>
    <row r="441">
      <c r="A441" s="17" t="n">
        <v>39508</v>
      </c>
      <c r="B441" s="58">
        <f>VLOOKUP(Table16[[#This Row],[Date]],database!A:H,4,)</f>
        <v/>
      </c>
      <c r="C441" s="66">
        <f>B441/B440-1</f>
        <v/>
      </c>
      <c r="D441" s="66">
        <f>(Table16[[#This Row],[Index]]-B429)/B429</f>
        <v/>
      </c>
    </row>
    <row r="442">
      <c r="A442" s="17" t="n">
        <v>39539</v>
      </c>
      <c r="B442" s="58">
        <f>VLOOKUP(Table16[[#This Row],[Date]],database!A:H,4,)</f>
        <v/>
      </c>
      <c r="C442" s="66">
        <f>B442/B441-1</f>
        <v/>
      </c>
      <c r="D442" s="66">
        <f>(Table16[[#This Row],[Index]]-B430)/B430</f>
        <v/>
      </c>
    </row>
    <row r="443">
      <c r="A443" s="17" t="n">
        <v>39569</v>
      </c>
      <c r="B443" s="58">
        <f>VLOOKUP(Table16[[#This Row],[Date]],database!A:H,4,)</f>
        <v/>
      </c>
      <c r="C443" s="66">
        <f>B443/B442-1</f>
        <v/>
      </c>
      <c r="D443" s="66">
        <f>(Table16[[#This Row],[Index]]-B431)/B431</f>
        <v/>
      </c>
    </row>
    <row r="444">
      <c r="A444" s="17" t="n">
        <v>39600</v>
      </c>
      <c r="B444" s="58">
        <f>VLOOKUP(Table16[[#This Row],[Date]],database!A:H,4,)</f>
        <v/>
      </c>
      <c r="C444" s="66">
        <f>B444/B443-1</f>
        <v/>
      </c>
      <c r="D444" s="66">
        <f>(Table16[[#This Row],[Index]]-B432)/B432</f>
        <v/>
      </c>
    </row>
    <row r="445">
      <c r="A445" s="17" t="n">
        <v>39630</v>
      </c>
      <c r="B445" s="58">
        <f>VLOOKUP(Table16[[#This Row],[Date]],database!A:H,4,)</f>
        <v/>
      </c>
      <c r="C445" s="66">
        <f>B445/B444-1</f>
        <v/>
      </c>
      <c r="D445" s="66">
        <f>(Table16[[#This Row],[Index]]-B433)/B433</f>
        <v/>
      </c>
    </row>
    <row r="446">
      <c r="A446" s="17" t="n">
        <v>39661</v>
      </c>
      <c r="B446" s="58">
        <f>VLOOKUP(Table16[[#This Row],[Date]],database!A:H,4,)</f>
        <v/>
      </c>
      <c r="C446" s="66">
        <f>B446/B445-1</f>
        <v/>
      </c>
      <c r="D446" s="66">
        <f>(Table16[[#This Row],[Index]]-B434)/B434</f>
        <v/>
      </c>
    </row>
    <row r="447">
      <c r="A447" s="17" t="n">
        <v>39692</v>
      </c>
      <c r="B447" s="58">
        <f>VLOOKUP(Table16[[#This Row],[Date]],database!A:H,4,)</f>
        <v/>
      </c>
      <c r="C447" s="66">
        <f>B447/B446-1</f>
        <v/>
      </c>
      <c r="D447" s="66">
        <f>(Table16[[#This Row],[Index]]-B435)/B435</f>
        <v/>
      </c>
    </row>
    <row r="448">
      <c r="A448" s="17" t="n">
        <v>39722</v>
      </c>
      <c r="B448" s="58">
        <f>VLOOKUP(Table16[[#This Row],[Date]],database!A:H,4,)</f>
        <v/>
      </c>
      <c r="C448" s="66">
        <f>B448/B447-1</f>
        <v/>
      </c>
      <c r="D448" s="66">
        <f>(Table16[[#This Row],[Index]]-B436)/B436</f>
        <v/>
      </c>
    </row>
    <row r="449">
      <c r="A449" s="17" t="n">
        <v>39753</v>
      </c>
      <c r="B449" s="58">
        <f>VLOOKUP(Table16[[#This Row],[Date]],database!A:H,4,)</f>
        <v/>
      </c>
      <c r="C449" s="66">
        <f>B449/B448-1</f>
        <v/>
      </c>
      <c r="D449" s="66">
        <f>(Table16[[#This Row],[Index]]-B437)/B437</f>
        <v/>
      </c>
    </row>
    <row r="450">
      <c r="A450" s="17" t="n">
        <v>39783</v>
      </c>
      <c r="B450" s="58">
        <f>VLOOKUP(Table16[[#This Row],[Date]],database!A:H,4,)</f>
        <v/>
      </c>
      <c r="C450" s="66">
        <f>B450/B449-1</f>
        <v/>
      </c>
      <c r="D450" s="66">
        <f>(Table16[[#This Row],[Index]]-B438)/B438</f>
        <v/>
      </c>
    </row>
    <row r="451">
      <c r="A451" s="17" t="n">
        <v>39814</v>
      </c>
      <c r="B451" s="58">
        <f>VLOOKUP(Table16[[#This Row],[Date]],database!A:H,4,)</f>
        <v/>
      </c>
      <c r="C451" s="66">
        <f>B451/B450-1</f>
        <v/>
      </c>
      <c r="D451" s="66">
        <f>(Table16[[#This Row],[Index]]-B439)/B439</f>
        <v/>
      </c>
    </row>
    <row r="452">
      <c r="A452" s="17" t="n">
        <v>39845</v>
      </c>
      <c r="B452" s="58">
        <f>VLOOKUP(Table16[[#This Row],[Date]],database!A:H,4,)</f>
        <v/>
      </c>
      <c r="C452" s="66">
        <f>B452/B451-1</f>
        <v/>
      </c>
      <c r="D452" s="66">
        <f>(Table16[[#This Row],[Index]]-B440)/B440</f>
        <v/>
      </c>
    </row>
    <row r="453">
      <c r="A453" s="17" t="n">
        <v>39873</v>
      </c>
      <c r="B453" s="58">
        <f>VLOOKUP(Table16[[#This Row],[Date]],database!A:H,4,)</f>
        <v/>
      </c>
      <c r="C453" s="66">
        <f>B453/B452-1</f>
        <v/>
      </c>
      <c r="D453" s="66">
        <f>(Table16[[#This Row],[Index]]-B441)/B441</f>
        <v/>
      </c>
    </row>
    <row r="454">
      <c r="A454" s="17" t="n">
        <v>39904</v>
      </c>
      <c r="B454" s="58">
        <f>VLOOKUP(Table16[[#This Row],[Date]],database!A:H,4,)</f>
        <v/>
      </c>
      <c r="C454" s="66">
        <f>B454/B453-1</f>
        <v/>
      </c>
      <c r="D454" s="66">
        <f>(Table16[[#This Row],[Index]]-B442)/B442</f>
        <v/>
      </c>
    </row>
    <row r="455">
      <c r="A455" s="17" t="n">
        <v>39934</v>
      </c>
      <c r="B455" s="58">
        <f>VLOOKUP(Table16[[#This Row],[Date]],database!A:H,4,)</f>
        <v/>
      </c>
      <c r="C455" s="66">
        <f>B455/B454-1</f>
        <v/>
      </c>
      <c r="D455" s="66">
        <f>(Table16[[#This Row],[Index]]-B443)/B443</f>
        <v/>
      </c>
    </row>
    <row r="456">
      <c r="A456" s="17" t="n">
        <v>39965</v>
      </c>
      <c r="B456" s="58">
        <f>VLOOKUP(Table16[[#This Row],[Date]],database!A:H,4,)</f>
        <v/>
      </c>
      <c r="C456" s="66">
        <f>B456/B455-1</f>
        <v/>
      </c>
      <c r="D456" s="66">
        <f>(Table16[[#This Row],[Index]]-B444)/B444</f>
        <v/>
      </c>
    </row>
    <row r="457">
      <c r="A457" s="17" t="n">
        <v>39995</v>
      </c>
      <c r="B457" s="58">
        <f>VLOOKUP(Table16[[#This Row],[Date]],database!A:H,4,)</f>
        <v/>
      </c>
      <c r="C457" s="66">
        <f>B457/B456-1</f>
        <v/>
      </c>
      <c r="D457" s="66">
        <f>(Table16[[#This Row],[Index]]-B445)/B445</f>
        <v/>
      </c>
    </row>
    <row r="458">
      <c r="A458" s="17" t="n">
        <v>40026</v>
      </c>
      <c r="B458" s="58">
        <f>VLOOKUP(Table16[[#This Row],[Date]],database!A:H,4,)</f>
        <v/>
      </c>
      <c r="C458" s="66">
        <f>B458/B457-1</f>
        <v/>
      </c>
      <c r="D458" s="66">
        <f>(Table16[[#This Row],[Index]]-B446)/B446</f>
        <v/>
      </c>
    </row>
    <row r="459">
      <c r="A459" s="17" t="n">
        <v>40057</v>
      </c>
      <c r="B459" s="58">
        <f>VLOOKUP(Table16[[#This Row],[Date]],database!A:H,4,)</f>
        <v/>
      </c>
      <c r="C459" s="66">
        <f>B459/B458-1</f>
        <v/>
      </c>
      <c r="D459" s="66">
        <f>(Table16[[#This Row],[Index]]-B447)/B447</f>
        <v/>
      </c>
    </row>
    <row r="460">
      <c r="A460" s="17" t="n">
        <v>40087</v>
      </c>
      <c r="B460" s="58">
        <f>VLOOKUP(Table16[[#This Row],[Date]],database!A:H,4,)</f>
        <v/>
      </c>
      <c r="C460" s="66">
        <f>B460/B459-1</f>
        <v/>
      </c>
      <c r="D460" s="66">
        <f>(Table16[[#This Row],[Index]]-B448)/B448</f>
        <v/>
      </c>
    </row>
    <row r="461">
      <c r="A461" s="17" t="n">
        <v>40118</v>
      </c>
      <c r="B461" s="58">
        <f>VLOOKUP(Table16[[#This Row],[Date]],database!A:H,4,)</f>
        <v/>
      </c>
      <c r="C461" s="66">
        <f>B461/B460-1</f>
        <v/>
      </c>
      <c r="D461" s="66">
        <f>(Table16[[#This Row],[Index]]-B449)/B449</f>
        <v/>
      </c>
    </row>
    <row r="462">
      <c r="A462" s="17" t="n">
        <v>40148</v>
      </c>
      <c r="B462" s="58">
        <f>VLOOKUP(Table16[[#This Row],[Date]],database!A:H,4,)</f>
        <v/>
      </c>
      <c r="C462" s="66">
        <f>B462/B461-1</f>
        <v/>
      </c>
      <c r="D462" s="66">
        <f>(Table16[[#This Row],[Index]]-B450)/B450</f>
        <v/>
      </c>
    </row>
    <row r="463">
      <c r="A463" s="17" t="n">
        <v>40179</v>
      </c>
      <c r="B463" s="58">
        <f>VLOOKUP(Table16[[#This Row],[Date]],database!A:H,4,)</f>
        <v/>
      </c>
      <c r="C463" s="66">
        <f>B463/B462-1</f>
        <v/>
      </c>
      <c r="D463" s="66">
        <f>(Table16[[#This Row],[Index]]-B451)/B451</f>
        <v/>
      </c>
    </row>
    <row r="464">
      <c r="A464" s="17" t="n">
        <v>40210</v>
      </c>
      <c r="B464" s="58">
        <f>VLOOKUP(Table16[[#This Row],[Date]],database!A:H,4,)</f>
        <v/>
      </c>
      <c r="C464" s="66">
        <f>B464/B463-1</f>
        <v/>
      </c>
      <c r="D464" s="66">
        <f>(Table16[[#This Row],[Index]]-B452)/B452</f>
        <v/>
      </c>
    </row>
    <row r="465">
      <c r="A465" s="17" t="n">
        <v>40238</v>
      </c>
      <c r="B465" s="58">
        <f>VLOOKUP(Table16[[#This Row],[Date]],database!A:H,4,)</f>
        <v/>
      </c>
      <c r="C465" s="66">
        <f>B465/B464-1</f>
        <v/>
      </c>
      <c r="D465" s="66">
        <f>(Table16[[#This Row],[Index]]-B453)/B453</f>
        <v/>
      </c>
    </row>
    <row r="466">
      <c r="A466" s="17" t="n">
        <v>40269</v>
      </c>
      <c r="B466" s="58">
        <f>VLOOKUP(Table16[[#This Row],[Date]],database!A:H,4,)</f>
        <v/>
      </c>
      <c r="C466" s="66">
        <f>B466/B465-1</f>
        <v/>
      </c>
      <c r="D466" s="66">
        <f>(Table16[[#This Row],[Index]]-B454)/B454</f>
        <v/>
      </c>
    </row>
    <row r="467">
      <c r="A467" s="17" t="n">
        <v>40299</v>
      </c>
      <c r="B467" s="58">
        <f>VLOOKUP(Table16[[#This Row],[Date]],database!A:H,4,)</f>
        <v/>
      </c>
      <c r="C467" s="66">
        <f>B467/B466-1</f>
        <v/>
      </c>
      <c r="D467" s="66">
        <f>(Table16[[#This Row],[Index]]-B455)/B455</f>
        <v/>
      </c>
    </row>
    <row r="468">
      <c r="A468" s="17" t="n">
        <v>40330</v>
      </c>
      <c r="B468" s="58">
        <f>VLOOKUP(Table16[[#This Row],[Date]],database!A:H,4,)</f>
        <v/>
      </c>
      <c r="C468" s="66">
        <f>B468/B467-1</f>
        <v/>
      </c>
      <c r="D468" s="66">
        <f>(Table16[[#This Row],[Index]]-B456)/B456</f>
        <v/>
      </c>
    </row>
    <row r="469">
      <c r="A469" s="17" t="n">
        <v>40360</v>
      </c>
      <c r="B469" s="58">
        <f>VLOOKUP(Table16[[#This Row],[Date]],database!A:H,4,)</f>
        <v/>
      </c>
      <c r="C469" s="66">
        <f>B469/B468-1</f>
        <v/>
      </c>
      <c r="D469" s="66">
        <f>(Table16[[#This Row],[Index]]-B457)/B457</f>
        <v/>
      </c>
    </row>
    <row r="470">
      <c r="A470" s="17" t="n">
        <v>40391</v>
      </c>
      <c r="B470" s="58">
        <f>VLOOKUP(Table16[[#This Row],[Date]],database!A:H,4,)</f>
        <v/>
      </c>
      <c r="C470" s="66">
        <f>B470/B469-1</f>
        <v/>
      </c>
      <c r="D470" s="66">
        <f>(Table16[[#This Row],[Index]]-B458)/B458</f>
        <v/>
      </c>
    </row>
    <row r="471">
      <c r="A471" s="17" t="n">
        <v>40422</v>
      </c>
      <c r="B471" s="58">
        <f>VLOOKUP(Table16[[#This Row],[Date]],database!A:H,4,)</f>
        <v/>
      </c>
      <c r="C471" s="66">
        <f>B471/B470-1</f>
        <v/>
      </c>
      <c r="D471" s="66">
        <f>(Table16[[#This Row],[Index]]-B459)/B459</f>
        <v/>
      </c>
    </row>
    <row r="472">
      <c r="A472" s="17" t="n">
        <v>40452</v>
      </c>
      <c r="B472" s="58">
        <f>VLOOKUP(Table16[[#This Row],[Date]],database!A:H,4,)</f>
        <v/>
      </c>
      <c r="C472" s="66">
        <f>B472/B471-1</f>
        <v/>
      </c>
      <c r="D472" s="66">
        <f>(Table16[[#This Row],[Index]]-B460)/B460</f>
        <v/>
      </c>
    </row>
    <row r="473">
      <c r="A473" s="17" t="n">
        <v>40483</v>
      </c>
      <c r="B473" s="58">
        <f>VLOOKUP(Table16[[#This Row],[Date]],database!A:H,4,)</f>
        <v/>
      </c>
      <c r="C473" s="66">
        <f>B473/B472-1</f>
        <v/>
      </c>
      <c r="D473" s="66">
        <f>(Table16[[#This Row],[Index]]-B461)/B461</f>
        <v/>
      </c>
    </row>
    <row r="474">
      <c r="A474" s="17" t="n">
        <v>40513</v>
      </c>
      <c r="B474" s="58">
        <f>VLOOKUP(Table16[[#This Row],[Date]],database!A:H,4,)</f>
        <v/>
      </c>
      <c r="C474" s="66">
        <f>B474/B473-1</f>
        <v/>
      </c>
      <c r="D474" s="66">
        <f>(Table16[[#This Row],[Index]]-B462)/B462</f>
        <v/>
      </c>
    </row>
    <row r="475">
      <c r="A475" s="17" t="n">
        <v>40544</v>
      </c>
      <c r="B475" s="58">
        <f>VLOOKUP(Table16[[#This Row],[Date]],database!A:H,4,)</f>
        <v/>
      </c>
      <c r="C475" s="66">
        <f>B475/B474-1</f>
        <v/>
      </c>
      <c r="D475" s="66">
        <f>(Table16[[#This Row],[Index]]-B463)/B463</f>
        <v/>
      </c>
    </row>
    <row r="476">
      <c r="A476" s="17" t="n">
        <v>40575</v>
      </c>
      <c r="B476" s="58">
        <f>VLOOKUP(Table16[[#This Row],[Date]],database!A:H,4,)</f>
        <v/>
      </c>
      <c r="C476" s="66">
        <f>B476/B475-1</f>
        <v/>
      </c>
      <c r="D476" s="66">
        <f>(Table16[[#This Row],[Index]]-B464)/B464</f>
        <v/>
      </c>
    </row>
    <row r="477">
      <c r="A477" s="17" t="n">
        <v>40603</v>
      </c>
      <c r="B477" s="58">
        <f>VLOOKUP(Table16[[#This Row],[Date]],database!A:H,4,)</f>
        <v/>
      </c>
      <c r="C477" s="66">
        <f>B477/B476-1</f>
        <v/>
      </c>
      <c r="D477" s="66">
        <f>(Table16[[#This Row],[Index]]-B465)/B465</f>
        <v/>
      </c>
    </row>
    <row r="478">
      <c r="A478" s="17" t="n">
        <v>40634</v>
      </c>
      <c r="B478" s="58">
        <f>VLOOKUP(Table16[[#This Row],[Date]],database!A:H,4,)</f>
        <v/>
      </c>
      <c r="C478" s="67">
        <f>B478/B477-1</f>
        <v/>
      </c>
      <c r="D478" s="66">
        <f>(Table16[[#This Row],[Index]]-B466)/B466</f>
        <v/>
      </c>
    </row>
    <row r="479">
      <c r="A479" s="17" t="n">
        <v>40664</v>
      </c>
      <c r="B479" s="58">
        <f>VLOOKUP(Table16[[#This Row],[Date]],database!A:H,4,)</f>
        <v/>
      </c>
      <c r="C479" s="66">
        <f>B479/B478-1</f>
        <v/>
      </c>
      <c r="D479" s="66">
        <f>(Table16[[#This Row],[Index]]-B467)/B467</f>
        <v/>
      </c>
    </row>
    <row r="480">
      <c r="A480" s="17" t="n">
        <v>40695</v>
      </c>
      <c r="B480" s="58">
        <f>VLOOKUP(Table16[[#This Row],[Date]],database!A:H,4,)</f>
        <v/>
      </c>
      <c r="C480" s="66">
        <f>B480/B479-1</f>
        <v/>
      </c>
      <c r="D480" s="66">
        <f>(Table16[[#This Row],[Index]]-B468)/B468</f>
        <v/>
      </c>
    </row>
    <row r="481">
      <c r="A481" s="17" t="n">
        <v>40725</v>
      </c>
      <c r="B481" s="58">
        <f>VLOOKUP(Table16[[#This Row],[Date]],database!A:H,4,)</f>
        <v/>
      </c>
      <c r="C481" s="66">
        <f>B481/B480-1</f>
        <v/>
      </c>
      <c r="D481" s="66">
        <f>(Table16[[#This Row],[Index]]-B469)/B469</f>
        <v/>
      </c>
    </row>
    <row r="482">
      <c r="A482" s="17" t="n">
        <v>40756</v>
      </c>
      <c r="B482" s="58">
        <f>VLOOKUP(Table16[[#This Row],[Date]],database!A:H,4,)</f>
        <v/>
      </c>
      <c r="C482" s="66">
        <f>B482/B481-1</f>
        <v/>
      </c>
      <c r="D482" s="66">
        <f>(Table16[[#This Row],[Index]]-B470)/B470</f>
        <v/>
      </c>
    </row>
    <row r="483">
      <c r="A483" s="17" t="n">
        <v>40787</v>
      </c>
      <c r="B483" s="58">
        <f>VLOOKUP(Table16[[#This Row],[Date]],database!A:H,4,)</f>
        <v/>
      </c>
      <c r="C483" s="66">
        <f>B483/B482-1</f>
        <v/>
      </c>
      <c r="D483" s="66">
        <f>(Table16[[#This Row],[Index]]-B471)/B471</f>
        <v/>
      </c>
    </row>
    <row r="484">
      <c r="A484" s="17" t="n">
        <v>40817</v>
      </c>
      <c r="B484" s="58">
        <f>VLOOKUP(Table16[[#This Row],[Date]],database!A:H,4,)</f>
        <v/>
      </c>
      <c r="C484" s="66">
        <f>B484/B483-1</f>
        <v/>
      </c>
      <c r="D484" s="66">
        <f>(Table16[[#This Row],[Index]]-B472)/B472</f>
        <v/>
      </c>
    </row>
    <row r="485">
      <c r="A485" s="17" t="n">
        <v>40848</v>
      </c>
      <c r="B485" s="58">
        <f>VLOOKUP(Table16[[#This Row],[Date]],database!A:H,4,)</f>
        <v/>
      </c>
      <c r="C485" s="66">
        <f>B485/B484-1</f>
        <v/>
      </c>
      <c r="D485" s="66">
        <f>(Table16[[#This Row],[Index]]-B473)/B473</f>
        <v/>
      </c>
    </row>
    <row r="486">
      <c r="A486" s="17" t="n">
        <v>40878</v>
      </c>
      <c r="B486" s="58">
        <f>VLOOKUP(Table16[[#This Row],[Date]],database!A:H,4,)</f>
        <v/>
      </c>
      <c r="C486" s="66">
        <f>B486/B485-1</f>
        <v/>
      </c>
      <c r="D486" s="66">
        <f>(Table16[[#This Row],[Index]]-B474)/B474</f>
        <v/>
      </c>
    </row>
    <row r="487">
      <c r="A487" s="17" t="n">
        <v>40909</v>
      </c>
      <c r="B487" s="58">
        <f>VLOOKUP(Table16[[#This Row],[Date]],database!A:H,4,)</f>
        <v/>
      </c>
      <c r="C487" s="66">
        <f>B487/B486-1</f>
        <v/>
      </c>
      <c r="D487" s="66">
        <f>(Table16[[#This Row],[Index]]-B475)/B475</f>
        <v/>
      </c>
    </row>
    <row r="488">
      <c r="A488" s="17" t="n">
        <v>40940</v>
      </c>
      <c r="B488" s="58">
        <f>VLOOKUP(Table16[[#This Row],[Date]],database!A:H,4,)</f>
        <v/>
      </c>
      <c r="C488" s="66">
        <f>B488/B487-1</f>
        <v/>
      </c>
      <c r="D488" s="66">
        <f>(Table16[[#This Row],[Index]]-B476)/B476</f>
        <v/>
      </c>
    </row>
    <row r="489">
      <c r="A489" s="17" t="n">
        <v>40969</v>
      </c>
      <c r="B489" s="58">
        <f>VLOOKUP(Table16[[#This Row],[Date]],database!A:H,4,)</f>
        <v/>
      </c>
      <c r="C489" s="66">
        <f>B489/B488-1</f>
        <v/>
      </c>
      <c r="D489" s="66">
        <f>(Table16[[#This Row],[Index]]-B477)/B477</f>
        <v/>
      </c>
    </row>
    <row r="490">
      <c r="A490" s="17" t="n">
        <v>41000</v>
      </c>
      <c r="B490" s="58">
        <f>VLOOKUP(Table16[[#This Row],[Date]],database!A:H,4,)</f>
        <v/>
      </c>
      <c r="C490" s="66">
        <f>B490/B489-1</f>
        <v/>
      </c>
      <c r="D490" s="66">
        <f>(Table16[[#This Row],[Index]]-B478)/B478</f>
        <v/>
      </c>
    </row>
    <row r="491">
      <c r="A491" s="17" t="n">
        <v>41030</v>
      </c>
      <c r="B491" s="58">
        <f>VLOOKUP(Table16[[#This Row],[Date]],database!A:H,4,)</f>
        <v/>
      </c>
      <c r="C491" s="66">
        <f>B491/B490-1</f>
        <v/>
      </c>
      <c r="D491" s="66">
        <f>(Table16[[#This Row],[Index]]-B479)/B479</f>
        <v/>
      </c>
    </row>
    <row r="492">
      <c r="A492" s="17" t="n">
        <v>41061</v>
      </c>
      <c r="B492" s="58">
        <f>VLOOKUP(Table16[[#This Row],[Date]],database!A:H,4,)</f>
        <v/>
      </c>
      <c r="C492" s="66">
        <f>B492/B491-1</f>
        <v/>
      </c>
      <c r="D492" s="66">
        <f>(Table16[[#This Row],[Index]]-B480)/B480</f>
        <v/>
      </c>
    </row>
    <row r="493">
      <c r="A493" s="17" t="n">
        <v>41091</v>
      </c>
      <c r="B493" s="58">
        <f>VLOOKUP(Table16[[#This Row],[Date]],database!A:H,4,)</f>
        <v/>
      </c>
      <c r="C493" s="66">
        <f>B493/B492-1</f>
        <v/>
      </c>
      <c r="D493" s="66">
        <f>(Table16[[#This Row],[Index]]-B481)/B481</f>
        <v/>
      </c>
    </row>
    <row r="494">
      <c r="A494" s="17" t="n">
        <v>41122</v>
      </c>
      <c r="B494" s="58">
        <f>VLOOKUP(Table16[[#This Row],[Date]],database!A:H,4,)</f>
        <v/>
      </c>
      <c r="C494" s="66">
        <f>B494/B493-1</f>
        <v/>
      </c>
      <c r="D494" s="66">
        <f>(Table16[[#This Row],[Index]]-B482)/B482</f>
        <v/>
      </c>
    </row>
    <row r="495">
      <c r="A495" s="17" t="n">
        <v>41153</v>
      </c>
      <c r="B495" s="58">
        <f>VLOOKUP(Table16[[#This Row],[Date]],database!A:H,4,)</f>
        <v/>
      </c>
      <c r="C495" s="66">
        <f>B495/B494-1</f>
        <v/>
      </c>
      <c r="D495" s="66">
        <f>(Table16[[#This Row],[Index]]-B483)/B483</f>
        <v/>
      </c>
    </row>
    <row r="496">
      <c r="A496" s="17" t="n">
        <v>41183</v>
      </c>
      <c r="B496" s="58">
        <f>VLOOKUP(Table16[[#This Row],[Date]],database!A:H,4,)</f>
        <v/>
      </c>
      <c r="C496" s="66">
        <f>B496/B495-1</f>
        <v/>
      </c>
      <c r="D496" s="66">
        <f>(Table16[[#This Row],[Index]]-B484)/B484</f>
        <v/>
      </c>
    </row>
    <row r="497">
      <c r="A497" s="17" t="n">
        <v>41214</v>
      </c>
      <c r="B497" s="58">
        <f>VLOOKUP(Table16[[#This Row],[Date]],database!A:H,4,)</f>
        <v/>
      </c>
      <c r="C497" s="66">
        <f>B497/B496-1</f>
        <v/>
      </c>
      <c r="D497" s="66">
        <f>(Table16[[#This Row],[Index]]-B485)/B485</f>
        <v/>
      </c>
    </row>
    <row r="498">
      <c r="A498" s="17" t="n">
        <v>41244</v>
      </c>
      <c r="B498" s="58">
        <f>VLOOKUP(Table16[[#This Row],[Date]],database!A:H,4,)</f>
        <v/>
      </c>
      <c r="C498" s="66">
        <f>B498/B497-1</f>
        <v/>
      </c>
      <c r="D498" s="66">
        <f>(Table16[[#This Row],[Index]]-B486)/B486</f>
        <v/>
      </c>
    </row>
    <row r="499">
      <c r="A499" s="17" t="n">
        <v>41275</v>
      </c>
      <c r="B499" s="58">
        <f>VLOOKUP(Table16[[#This Row],[Date]],database!A:H,4,)</f>
        <v/>
      </c>
      <c r="C499" s="66">
        <f>B499/B498-1</f>
        <v/>
      </c>
      <c r="D499" s="66">
        <f>(Table16[[#This Row],[Index]]-B487)/B487</f>
        <v/>
      </c>
    </row>
    <row r="500">
      <c r="A500" s="17" t="n">
        <v>41306</v>
      </c>
      <c r="B500" s="58">
        <f>VLOOKUP(Table16[[#This Row],[Date]],database!A:H,4,)</f>
        <v/>
      </c>
      <c r="C500" s="66">
        <f>B500/B499-1</f>
        <v/>
      </c>
      <c r="D500" s="66">
        <f>(Table16[[#This Row],[Index]]-B488)/B488</f>
        <v/>
      </c>
    </row>
    <row r="501">
      <c r="A501" s="17" t="n">
        <v>41334</v>
      </c>
      <c r="B501" s="58">
        <f>VLOOKUP(Table16[[#This Row],[Date]],database!A:H,4,)</f>
        <v/>
      </c>
      <c r="C501" s="66">
        <f>B501/B500-1</f>
        <v/>
      </c>
      <c r="D501" s="66">
        <f>(Table16[[#This Row],[Index]]-B489)/B489</f>
        <v/>
      </c>
    </row>
    <row r="502">
      <c r="A502" s="17" t="n">
        <v>41365</v>
      </c>
      <c r="B502" s="58">
        <f>VLOOKUP(Table16[[#This Row],[Date]],database!A:H,4,)</f>
        <v/>
      </c>
      <c r="C502" s="66">
        <f>B502/B501-1</f>
        <v/>
      </c>
      <c r="D502" s="66">
        <f>(Table16[[#This Row],[Index]]-B490)/B490</f>
        <v/>
      </c>
    </row>
    <row r="503">
      <c r="A503" s="17" t="n">
        <v>41395</v>
      </c>
      <c r="B503" s="58">
        <f>VLOOKUP(Table16[[#This Row],[Date]],database!A:H,4,)</f>
        <v/>
      </c>
      <c r="C503" s="66">
        <f>B503/B502-1</f>
        <v/>
      </c>
      <c r="D503" s="66">
        <f>(Table16[[#This Row],[Index]]-B491)/B491</f>
        <v/>
      </c>
    </row>
    <row r="504">
      <c r="A504" s="17" t="n">
        <v>41426</v>
      </c>
      <c r="B504" s="58">
        <f>VLOOKUP(Table16[[#This Row],[Date]],database!A:H,4,)</f>
        <v/>
      </c>
      <c r="C504" s="66">
        <f>B504/B503-1</f>
        <v/>
      </c>
      <c r="D504" s="66">
        <f>(Table16[[#This Row],[Index]]-B492)/B492</f>
        <v/>
      </c>
    </row>
    <row r="505">
      <c r="A505" s="17" t="n">
        <v>41456</v>
      </c>
      <c r="B505" s="58">
        <f>VLOOKUP(Table16[[#This Row],[Date]],database!A:H,4,)</f>
        <v/>
      </c>
      <c r="C505" s="66">
        <f>B505/B504-1</f>
        <v/>
      </c>
      <c r="D505" s="66">
        <f>(Table16[[#This Row],[Index]]-B493)/B493</f>
        <v/>
      </c>
    </row>
    <row r="506">
      <c r="A506" s="17" t="n">
        <v>41487</v>
      </c>
      <c r="B506" s="58">
        <f>VLOOKUP(Table16[[#This Row],[Date]],database!A:H,4,)</f>
        <v/>
      </c>
      <c r="C506" s="66">
        <f>B506/B505-1</f>
        <v/>
      </c>
      <c r="D506" s="66">
        <f>(Table16[[#This Row],[Index]]-B494)/B494</f>
        <v/>
      </c>
    </row>
    <row r="507">
      <c r="A507" s="17" t="n">
        <v>41518</v>
      </c>
      <c r="B507" s="58">
        <f>VLOOKUP(Table16[[#This Row],[Date]],database!A:H,4,)</f>
        <v/>
      </c>
      <c r="C507" s="66">
        <f>B507/B506-1</f>
        <v/>
      </c>
      <c r="D507" s="66">
        <f>(Table16[[#This Row],[Index]]-B495)/B495</f>
        <v/>
      </c>
    </row>
    <row r="508">
      <c r="A508" s="17" t="n">
        <v>41548</v>
      </c>
      <c r="B508" s="58">
        <f>VLOOKUP(Table16[[#This Row],[Date]],database!A:H,4,)</f>
        <v/>
      </c>
      <c r="C508" s="66">
        <f>B508/B507-1</f>
        <v/>
      </c>
      <c r="D508" s="66">
        <f>(Table16[[#This Row],[Index]]-B496)/B496</f>
        <v/>
      </c>
    </row>
    <row r="509">
      <c r="A509" s="17" t="n">
        <v>41579</v>
      </c>
      <c r="B509" s="58">
        <f>VLOOKUP(Table16[[#This Row],[Date]],database!A:H,4,)</f>
        <v/>
      </c>
      <c r="C509" s="66">
        <f>B509/B508-1</f>
        <v/>
      </c>
      <c r="D509" s="66">
        <f>(Table16[[#This Row],[Index]]-B497)/B497</f>
        <v/>
      </c>
    </row>
    <row r="510">
      <c r="A510" s="17" t="n">
        <v>41609</v>
      </c>
      <c r="B510" s="58">
        <f>VLOOKUP(Table16[[#This Row],[Date]],database!A:H,4,)</f>
        <v/>
      </c>
      <c r="C510" s="66">
        <f>B510/B509-1</f>
        <v/>
      </c>
      <c r="D510" s="66">
        <f>(Table16[[#This Row],[Index]]-B498)/B498</f>
        <v/>
      </c>
    </row>
    <row r="511">
      <c r="A511" s="17" t="n">
        <v>41640</v>
      </c>
      <c r="B511" s="58">
        <f>VLOOKUP(Table16[[#This Row],[Date]],database!A:H,4,)</f>
        <v/>
      </c>
      <c r="C511" s="66">
        <f>B511/B510-1</f>
        <v/>
      </c>
      <c r="D511" s="66">
        <f>(Table16[[#This Row],[Index]]-B499)/B499</f>
        <v/>
      </c>
    </row>
    <row r="512">
      <c r="A512" s="17" t="n">
        <v>41671</v>
      </c>
      <c r="B512" s="58">
        <f>VLOOKUP(Table16[[#This Row],[Date]],database!A:H,4,)</f>
        <v/>
      </c>
      <c r="C512" s="66">
        <f>B512/B511-1</f>
        <v/>
      </c>
      <c r="D512" s="66">
        <f>(Table16[[#This Row],[Index]]-B500)/B500</f>
        <v/>
      </c>
    </row>
    <row r="513">
      <c r="A513" s="17" t="n">
        <v>41699</v>
      </c>
      <c r="B513" s="58">
        <f>VLOOKUP(Table16[[#This Row],[Date]],database!A:H,4,)</f>
        <v/>
      </c>
      <c r="C513" s="66">
        <f>B513/B512-1</f>
        <v/>
      </c>
      <c r="D513" s="66">
        <f>(Table16[[#This Row],[Index]]-B501)/B501</f>
        <v/>
      </c>
    </row>
    <row r="514">
      <c r="A514" s="17" t="n">
        <v>41730</v>
      </c>
      <c r="B514" s="58">
        <f>VLOOKUP(Table16[[#This Row],[Date]],database!A:H,4,)</f>
        <v/>
      </c>
      <c r="C514" s="66">
        <f>B514/B513-1</f>
        <v/>
      </c>
      <c r="D514" s="66">
        <f>(Table16[[#This Row],[Index]]-B502)/B502</f>
        <v/>
      </c>
    </row>
    <row r="515">
      <c r="A515" s="17" t="n">
        <v>41760</v>
      </c>
      <c r="B515" s="58">
        <f>VLOOKUP(Table16[[#This Row],[Date]],database!A:H,4,)</f>
        <v/>
      </c>
      <c r="C515" s="66">
        <f>B515/B514-1</f>
        <v/>
      </c>
      <c r="D515" s="66">
        <f>(Table16[[#This Row],[Index]]-B503)/B503</f>
        <v/>
      </c>
    </row>
    <row r="516">
      <c r="A516" s="17" t="n">
        <v>41791</v>
      </c>
      <c r="B516" s="58">
        <f>VLOOKUP(Table16[[#This Row],[Date]],database!A:H,4,)</f>
        <v/>
      </c>
      <c r="C516" s="66">
        <f>B516/B515-1</f>
        <v/>
      </c>
      <c r="D516" s="66">
        <f>(Table16[[#This Row],[Index]]-B504)/B504</f>
        <v/>
      </c>
    </row>
    <row r="517">
      <c r="A517" s="17" t="n">
        <v>41821</v>
      </c>
      <c r="B517" s="58">
        <f>VLOOKUP(Table16[[#This Row],[Date]],database!A:H,4,)</f>
        <v/>
      </c>
      <c r="C517" s="66">
        <f>B517/B516-1</f>
        <v/>
      </c>
      <c r="D517" s="66">
        <f>(Table16[[#This Row],[Index]]-B505)/B505</f>
        <v/>
      </c>
    </row>
    <row r="518">
      <c r="A518" s="17" t="n">
        <v>41852</v>
      </c>
      <c r="B518" s="58">
        <f>VLOOKUP(Table16[[#This Row],[Date]],database!A:H,4,)</f>
        <v/>
      </c>
      <c r="C518" s="66">
        <f>B518/B517-1</f>
        <v/>
      </c>
      <c r="D518" s="66">
        <f>(Table16[[#This Row],[Index]]-B506)/B506</f>
        <v/>
      </c>
    </row>
    <row r="519">
      <c r="A519" s="17" t="n">
        <v>41883</v>
      </c>
      <c r="B519" s="58">
        <f>VLOOKUP(Table16[[#This Row],[Date]],database!A:H,4,)</f>
        <v/>
      </c>
      <c r="C519" s="66">
        <f>B519/B518-1</f>
        <v/>
      </c>
      <c r="D519" s="66">
        <f>(Table16[[#This Row],[Index]]-B507)/B507</f>
        <v/>
      </c>
    </row>
    <row r="520">
      <c r="A520" s="17" t="n">
        <v>41913</v>
      </c>
      <c r="B520" s="58">
        <f>VLOOKUP(Table16[[#This Row],[Date]],database!A:H,4,)</f>
        <v/>
      </c>
      <c r="C520" s="66">
        <f>B520/B519-1</f>
        <v/>
      </c>
      <c r="D520" s="66">
        <f>(Table16[[#This Row],[Index]]-B508)/B508</f>
        <v/>
      </c>
    </row>
    <row r="521">
      <c r="A521" s="17" t="n">
        <v>41944</v>
      </c>
      <c r="B521" s="58">
        <f>VLOOKUP(Table16[[#This Row],[Date]],database!A:H,4,)</f>
        <v/>
      </c>
      <c r="C521" s="67">
        <f>B521/B520-1</f>
        <v/>
      </c>
      <c r="D521" s="66">
        <f>(Table16[[#This Row],[Index]]-B509)/B509</f>
        <v/>
      </c>
    </row>
    <row r="522">
      <c r="A522" s="17" t="n">
        <v>41974</v>
      </c>
      <c r="B522" s="58">
        <f>VLOOKUP(Table16[[#This Row],[Date]],database!A:H,4,)</f>
        <v/>
      </c>
      <c r="C522" s="66">
        <f>B522/B521-1</f>
        <v/>
      </c>
      <c r="D522" s="66">
        <f>(Table16[[#This Row],[Index]]-B510)/B510</f>
        <v/>
      </c>
    </row>
    <row r="523">
      <c r="A523" s="17" t="n">
        <v>42005</v>
      </c>
      <c r="B523" s="58">
        <f>VLOOKUP(Table16[[#This Row],[Date]],database!A:H,4,)</f>
        <v/>
      </c>
      <c r="C523" s="67">
        <f>B523/B522-1</f>
        <v/>
      </c>
      <c r="D523" s="66">
        <f>(Table16[[#This Row],[Index]]-B511)/B511</f>
        <v/>
      </c>
    </row>
    <row r="524">
      <c r="A524" s="17" t="n">
        <v>42036</v>
      </c>
      <c r="B524" s="58">
        <f>VLOOKUP(Table16[[#This Row],[Date]],database!A:H,4,)</f>
        <v/>
      </c>
      <c r="C524" s="66">
        <f>B524/B523-1</f>
        <v/>
      </c>
      <c r="D524" s="66">
        <f>(Table16[[#This Row],[Index]]-B512)/B512</f>
        <v/>
      </c>
    </row>
    <row r="525">
      <c r="A525" s="17" t="n">
        <v>42064</v>
      </c>
      <c r="B525" s="58">
        <f>VLOOKUP(Table16[[#This Row],[Date]],database!A:H,4,)</f>
        <v/>
      </c>
      <c r="C525" s="67">
        <f>B525/B524-1</f>
        <v/>
      </c>
      <c r="D525" s="66">
        <f>(Table16[[#This Row],[Index]]-B513)/B513</f>
        <v/>
      </c>
    </row>
    <row r="526">
      <c r="A526" s="17" t="n">
        <v>42095</v>
      </c>
      <c r="B526" s="58">
        <f>VLOOKUP(Table16[[#This Row],[Date]],database!A:H,4,)</f>
        <v/>
      </c>
      <c r="C526" s="66">
        <f>B526/B525-1</f>
        <v/>
      </c>
      <c r="D526" s="66">
        <f>(Table16[[#This Row],[Index]]-B514)/B514</f>
        <v/>
      </c>
    </row>
    <row r="527">
      <c r="A527" s="17" t="n">
        <v>42125</v>
      </c>
      <c r="B527" s="58">
        <f>VLOOKUP(Table16[[#This Row],[Date]],database!A:H,4,)</f>
        <v/>
      </c>
      <c r="C527" s="66">
        <f>B527/B526-1</f>
        <v/>
      </c>
      <c r="D527" s="66">
        <f>(Table16[[#This Row],[Index]]-B515)/B515</f>
        <v/>
      </c>
    </row>
    <row r="528">
      <c r="A528" s="17" t="n">
        <v>42156</v>
      </c>
      <c r="B528" s="58">
        <f>VLOOKUP(Table16[[#This Row],[Date]],database!A:H,4,)</f>
        <v/>
      </c>
      <c r="C528" s="66">
        <f>B528/B527-1</f>
        <v/>
      </c>
      <c r="D528" s="66">
        <f>(Table16[[#This Row],[Index]]-B516)/B516</f>
        <v/>
      </c>
    </row>
    <row r="529">
      <c r="A529" s="17" t="n">
        <v>42186</v>
      </c>
      <c r="B529" s="58">
        <f>VLOOKUP(Table16[[#This Row],[Date]],database!A:H,4,)</f>
        <v/>
      </c>
      <c r="C529" s="66">
        <f>B529/B528-1</f>
        <v/>
      </c>
      <c r="D529" s="66">
        <f>(Table16[[#This Row],[Index]]-B517)/B517</f>
        <v/>
      </c>
    </row>
    <row r="530">
      <c r="A530" s="17" t="n">
        <v>42217</v>
      </c>
      <c r="B530" s="58">
        <f>VLOOKUP(Table16[[#This Row],[Date]],database!A:H,4,)</f>
        <v/>
      </c>
      <c r="C530" s="66">
        <f>B530/B529-1</f>
        <v/>
      </c>
      <c r="D530" s="66">
        <f>(Table16[[#This Row],[Index]]-B518)/B518</f>
        <v/>
      </c>
    </row>
    <row r="531">
      <c r="A531" s="17" t="n">
        <v>42248</v>
      </c>
      <c r="B531" s="58">
        <f>VLOOKUP(Table16[[#This Row],[Date]],database!A:H,4,)</f>
        <v/>
      </c>
      <c r="C531" s="66">
        <f>B531/B530-1</f>
        <v/>
      </c>
      <c r="D531" s="66">
        <f>(Table16[[#This Row],[Index]]-B519)/B519</f>
        <v/>
      </c>
    </row>
    <row r="532">
      <c r="A532" s="17" t="n">
        <v>42278</v>
      </c>
      <c r="B532" s="58">
        <f>VLOOKUP(Table16[[#This Row],[Date]],database!A:H,4,)</f>
        <v/>
      </c>
      <c r="C532" s="66">
        <f>B532/B531-1</f>
        <v/>
      </c>
      <c r="D532" s="66">
        <f>(Table16[[#This Row],[Index]]-B520)/B520</f>
        <v/>
      </c>
    </row>
    <row r="533">
      <c r="A533" s="17" t="n">
        <v>42309</v>
      </c>
      <c r="B533" s="58">
        <f>VLOOKUP(Table16[[#This Row],[Date]],database!A:H,4,)</f>
        <v/>
      </c>
      <c r="C533" s="66">
        <f>B533/B532-1</f>
        <v/>
      </c>
      <c r="D533" s="66">
        <f>(Table16[[#This Row],[Index]]-B521)/B521</f>
        <v/>
      </c>
    </row>
    <row r="534">
      <c r="A534" s="17" t="n">
        <v>42339</v>
      </c>
      <c r="B534" s="58">
        <f>VLOOKUP(Table16[[#This Row],[Date]],database!A:H,4,)</f>
        <v/>
      </c>
      <c r="C534" s="66">
        <f>B534/B533-1</f>
        <v/>
      </c>
      <c r="D534" s="66">
        <f>(Table16[[#This Row],[Index]]-B522)/B522</f>
        <v/>
      </c>
    </row>
    <row r="535">
      <c r="A535" s="17" t="n">
        <v>42370</v>
      </c>
      <c r="B535" s="58">
        <f>VLOOKUP(Table16[[#This Row],[Date]],database!A:H,4,)</f>
        <v/>
      </c>
      <c r="C535" s="66">
        <f>B535/B534-1</f>
        <v/>
      </c>
      <c r="D535" s="66">
        <f>(Table16[[#This Row],[Index]]-B523)/B523</f>
        <v/>
      </c>
    </row>
    <row r="536">
      <c r="A536" s="17" t="n">
        <v>42401</v>
      </c>
      <c r="B536" s="58">
        <f>VLOOKUP(Table16[[#This Row],[Date]],database!A:H,4,)</f>
        <v/>
      </c>
      <c r="C536" s="66">
        <f>B536/B535-1</f>
        <v/>
      </c>
      <c r="D536" s="66">
        <f>(Table16[[#This Row],[Index]]-B524)/B524</f>
        <v/>
      </c>
    </row>
    <row r="537">
      <c r="A537" s="17" t="n">
        <v>42430</v>
      </c>
      <c r="B537" s="58">
        <f>VLOOKUP(Table16[[#This Row],[Date]],database!A:H,4,)</f>
        <v/>
      </c>
      <c r="C537" s="66">
        <f>B537/B536-1</f>
        <v/>
      </c>
      <c r="D537" s="66">
        <f>(Table16[[#This Row],[Index]]-B525)/B525</f>
        <v/>
      </c>
    </row>
    <row r="538">
      <c r="A538" s="17" t="n">
        <v>42461</v>
      </c>
      <c r="B538" s="58">
        <f>VLOOKUP(Table16[[#This Row],[Date]],database!A:H,4,)</f>
        <v/>
      </c>
      <c r="C538" s="66">
        <f>B538/B537-1</f>
        <v/>
      </c>
      <c r="D538" s="66">
        <f>(Table16[[#This Row],[Index]]-B526)/B526</f>
        <v/>
      </c>
    </row>
    <row r="539">
      <c r="A539" s="17" t="n">
        <v>42491</v>
      </c>
      <c r="B539" s="58">
        <f>VLOOKUP(Table16[[#This Row],[Date]],database!A:H,4,)</f>
        <v/>
      </c>
      <c r="C539" s="66">
        <f>B539/B538-1</f>
        <v/>
      </c>
      <c r="D539" s="66">
        <f>(Table16[[#This Row],[Index]]-B527)/B527</f>
        <v/>
      </c>
    </row>
    <row r="540">
      <c r="A540" s="17" t="n">
        <v>42522</v>
      </c>
      <c r="B540" s="58">
        <f>VLOOKUP(Table16[[#This Row],[Date]],database!A:H,4,)</f>
        <v/>
      </c>
      <c r="C540" s="66">
        <f>B540/B539-1</f>
        <v/>
      </c>
      <c r="D540" s="66">
        <f>(Table16[[#This Row],[Index]]-B528)/B528</f>
        <v/>
      </c>
    </row>
    <row r="541">
      <c r="A541" s="17" t="n">
        <v>42552</v>
      </c>
      <c r="B541" s="58">
        <f>VLOOKUP(Table16[[#This Row],[Date]],database!A:H,4,)</f>
        <v/>
      </c>
      <c r="C541" s="66">
        <f>B541/B540-1</f>
        <v/>
      </c>
      <c r="D541" s="66">
        <f>(Table16[[#This Row],[Index]]-B529)/B529</f>
        <v/>
      </c>
    </row>
    <row r="542">
      <c r="A542" s="17" t="n">
        <v>42583</v>
      </c>
      <c r="B542" s="58">
        <f>VLOOKUP(Table16[[#This Row],[Date]],database!A:H,4,)</f>
        <v/>
      </c>
      <c r="C542" s="66">
        <f>B542/B541-1</f>
        <v/>
      </c>
      <c r="D542" s="66">
        <f>(Table16[[#This Row],[Index]]-B530)/B530</f>
        <v/>
      </c>
    </row>
    <row r="543">
      <c r="A543" s="17" t="n">
        <v>42614</v>
      </c>
      <c r="B543" s="58">
        <f>VLOOKUP(Table16[[#This Row],[Date]],database!A:H,4,)</f>
        <v/>
      </c>
      <c r="C543" s="66">
        <f>B543/B542-1</f>
        <v/>
      </c>
      <c r="D543" s="66">
        <f>(Table16[[#This Row],[Index]]-B531)/B531</f>
        <v/>
      </c>
    </row>
    <row r="544">
      <c r="A544" s="17" t="n">
        <v>42644</v>
      </c>
      <c r="B544" s="58">
        <f>VLOOKUP(Table16[[#This Row],[Date]],database!A:H,4,)</f>
        <v/>
      </c>
      <c r="C544" s="66">
        <f>B544/B543-1</f>
        <v/>
      </c>
      <c r="D544" s="66">
        <f>(Table16[[#This Row],[Index]]-B532)/B532</f>
        <v/>
      </c>
    </row>
    <row r="545">
      <c r="A545" s="17" t="n">
        <v>42675</v>
      </c>
      <c r="B545" s="58">
        <f>VLOOKUP(Table16[[#This Row],[Date]],database!A:H,4,)</f>
        <v/>
      </c>
      <c r="C545" s="66">
        <f>B545/B544-1</f>
        <v/>
      </c>
      <c r="D545" s="66">
        <f>(Table16[[#This Row],[Index]]-B533)/B533</f>
        <v/>
      </c>
    </row>
    <row r="546">
      <c r="A546" s="17" t="n">
        <v>42705</v>
      </c>
      <c r="B546" s="58">
        <f>VLOOKUP(Table16[[#This Row],[Date]],database!A:H,4,)</f>
        <v/>
      </c>
      <c r="C546" s="66">
        <f>B546/B545-1</f>
        <v/>
      </c>
      <c r="D546" s="66">
        <f>(Table16[[#This Row],[Index]]-B534)/B534</f>
        <v/>
      </c>
    </row>
    <row r="547">
      <c r="A547" s="17" t="n">
        <v>42736</v>
      </c>
      <c r="B547" s="58">
        <f>VLOOKUP(Table16[[#This Row],[Date]],database!A:H,4,)</f>
        <v/>
      </c>
      <c r="C547" s="66">
        <f>B547/B546-1</f>
        <v/>
      </c>
      <c r="D547" s="66">
        <f>(Table16[[#This Row],[Index]]-B535)/B535</f>
        <v/>
      </c>
    </row>
    <row r="548">
      <c r="A548" s="17" t="n">
        <v>42767</v>
      </c>
      <c r="B548" s="58">
        <f>VLOOKUP(Table16[[#This Row],[Date]],database!A:H,4,)</f>
        <v/>
      </c>
      <c r="C548" s="66">
        <f>B548/B547-1</f>
        <v/>
      </c>
      <c r="D548" s="66">
        <f>(Table16[[#This Row],[Index]]-B536)/B536</f>
        <v/>
      </c>
    </row>
    <row r="549">
      <c r="A549" s="17" t="n">
        <v>42795</v>
      </c>
      <c r="B549" s="58">
        <f>VLOOKUP(Table16[[#This Row],[Date]],database!A:H,4,)</f>
        <v/>
      </c>
      <c r="C549" s="66">
        <f>B549/B548-1</f>
        <v/>
      </c>
      <c r="D549" s="66">
        <f>(Table16[[#This Row],[Index]]-B537)/B537</f>
        <v/>
      </c>
    </row>
    <row r="550">
      <c r="A550" s="17" t="n">
        <v>42826</v>
      </c>
      <c r="B550" s="58">
        <f>VLOOKUP(Table16[[#This Row],[Date]],database!A:H,4,)</f>
        <v/>
      </c>
      <c r="C550" s="66">
        <f>B550/B549-1</f>
        <v/>
      </c>
      <c r="D550" s="66">
        <f>(Table16[[#This Row],[Index]]-B538)/B538</f>
        <v/>
      </c>
    </row>
    <row r="551">
      <c r="A551" s="17" t="n">
        <v>42856</v>
      </c>
      <c r="B551" s="58">
        <f>VLOOKUP(Table16[[#This Row],[Date]],database!A:H,4,)</f>
        <v/>
      </c>
      <c r="C551" s="66">
        <f>B551/B550-1</f>
        <v/>
      </c>
      <c r="D551" s="66">
        <f>(Table16[[#This Row],[Index]]-B539)/B539</f>
        <v/>
      </c>
    </row>
    <row r="552">
      <c r="A552" s="17" t="n">
        <v>42887</v>
      </c>
      <c r="B552" s="58">
        <f>VLOOKUP(Table16[[#This Row],[Date]],database!A:H,4,)</f>
        <v/>
      </c>
      <c r="C552" s="66">
        <f>B552/B551-1</f>
        <v/>
      </c>
      <c r="D552" s="66">
        <f>(Table16[[#This Row],[Index]]-B540)/B540</f>
        <v/>
      </c>
    </row>
    <row r="553">
      <c r="A553" s="17" t="n">
        <v>42917</v>
      </c>
      <c r="B553" s="58">
        <f>VLOOKUP(Table16[[#This Row],[Date]],database!A:H,4,)</f>
        <v/>
      </c>
      <c r="C553" s="66">
        <f>B553/B552-1</f>
        <v/>
      </c>
      <c r="D553" s="66">
        <f>(Table16[[#This Row],[Index]]-B541)/B541</f>
        <v/>
      </c>
    </row>
    <row r="554">
      <c r="A554" s="17" t="n">
        <v>42948</v>
      </c>
      <c r="B554" s="58">
        <f>VLOOKUP(Table16[[#This Row],[Date]],database!A:H,4,)</f>
        <v/>
      </c>
      <c r="C554" s="66">
        <f>B554/B553-1</f>
        <v/>
      </c>
      <c r="D554" s="66">
        <f>(Table16[[#This Row],[Index]]-B542)/B542</f>
        <v/>
      </c>
    </row>
    <row r="555">
      <c r="A555" s="17" t="n">
        <v>42979</v>
      </c>
      <c r="B555" s="58">
        <f>VLOOKUP(Table16[[#This Row],[Date]],database!A:H,4,)</f>
        <v/>
      </c>
      <c r="C555" s="66">
        <f>B555/B554-1</f>
        <v/>
      </c>
      <c r="D555" s="66">
        <f>(Table16[[#This Row],[Index]]-B543)/B543</f>
        <v/>
      </c>
    </row>
    <row r="556">
      <c r="A556" s="17" t="n">
        <v>43009</v>
      </c>
      <c r="B556" s="58">
        <f>VLOOKUP(Table16[[#This Row],[Date]],database!A:H,4,)</f>
        <v/>
      </c>
      <c r="C556" s="66">
        <f>B556/B555-1</f>
        <v/>
      </c>
      <c r="D556" s="66">
        <f>(Table16[[#This Row],[Index]]-B544)/B544</f>
        <v/>
      </c>
    </row>
    <row r="557">
      <c r="A557" s="17" t="n">
        <v>43040</v>
      </c>
      <c r="B557" s="58">
        <f>VLOOKUP(Table16[[#This Row],[Date]],database!A:H,4,)</f>
        <v/>
      </c>
      <c r="C557" s="66">
        <f>B557/B556-1</f>
        <v/>
      </c>
      <c r="D557" s="66">
        <f>(Table16[[#This Row],[Index]]-B545)/B545</f>
        <v/>
      </c>
    </row>
    <row r="558">
      <c r="A558" s="17" t="n">
        <v>43070</v>
      </c>
      <c r="B558" s="58">
        <f>VLOOKUP(Table16[[#This Row],[Date]],database!A:H,4,)</f>
        <v/>
      </c>
      <c r="C558" s="66">
        <f>B558/B557-1</f>
        <v/>
      </c>
      <c r="D558" s="66">
        <f>(Table16[[#This Row],[Index]]-B546)/B546</f>
        <v/>
      </c>
    </row>
    <row r="559">
      <c r="A559" s="17" t="n">
        <v>43101</v>
      </c>
      <c r="B559" s="58">
        <f>VLOOKUP(Table16[[#This Row],[Date]],database!A:H,4,)</f>
        <v/>
      </c>
      <c r="C559" s="66">
        <f>B559/B558-1</f>
        <v/>
      </c>
      <c r="D559" s="66">
        <f>(Table16[[#This Row],[Index]]-B547)/B547</f>
        <v/>
      </c>
    </row>
    <row r="560">
      <c r="A560" s="17" t="n">
        <v>43132</v>
      </c>
      <c r="B560" s="58">
        <f>VLOOKUP(Table16[[#This Row],[Date]],database!A:H,4,)</f>
        <v/>
      </c>
      <c r="C560" s="66">
        <f>B560/B559-1</f>
        <v/>
      </c>
      <c r="D560" s="66">
        <f>(Table16[[#This Row],[Index]]-B548)/B548</f>
        <v/>
      </c>
    </row>
    <row r="561">
      <c r="A561" s="17" t="n">
        <v>43160</v>
      </c>
      <c r="B561" s="58">
        <f>VLOOKUP(Table16[[#This Row],[Date]],database!A:H,4,)</f>
        <v/>
      </c>
      <c r="C561" s="66">
        <f>B561/B560-1</f>
        <v/>
      </c>
      <c r="D561" s="66">
        <f>(Table16[[#This Row],[Index]]-B549)/B549</f>
        <v/>
      </c>
    </row>
    <row r="562">
      <c r="A562" s="17" t="n">
        <v>43191</v>
      </c>
      <c r="B562" s="58">
        <f>VLOOKUP(Table16[[#This Row],[Date]],database!A:H,4,)</f>
        <v/>
      </c>
      <c r="C562" s="66">
        <f>B562/B561-1</f>
        <v/>
      </c>
      <c r="D562" s="66">
        <f>(Table16[[#This Row],[Index]]-B550)/B550</f>
        <v/>
      </c>
    </row>
    <row r="563">
      <c r="A563" s="17" t="n">
        <v>43221</v>
      </c>
      <c r="B563" s="58">
        <f>VLOOKUP(Table16[[#This Row],[Date]],database!A:H,4,)</f>
        <v/>
      </c>
      <c r="C563" s="66">
        <f>B563/B562-1</f>
        <v/>
      </c>
      <c r="D563" s="66">
        <f>(Table16[[#This Row],[Index]]-B551)/B551</f>
        <v/>
      </c>
    </row>
    <row r="564">
      <c r="A564" s="17" t="n">
        <v>43252</v>
      </c>
      <c r="B564" s="58">
        <f>VLOOKUP(Table16[[#This Row],[Date]],database!A:H,4,)</f>
        <v/>
      </c>
      <c r="C564" s="66">
        <f>B564/B563-1</f>
        <v/>
      </c>
      <c r="D564" s="66">
        <f>(Table16[[#This Row],[Index]]-B552)/B552</f>
        <v/>
      </c>
    </row>
    <row r="565">
      <c r="A565" s="17" t="n">
        <v>43282</v>
      </c>
      <c r="B565" s="58">
        <f>VLOOKUP(Table16[[#This Row],[Date]],database!A:H,4,)</f>
        <v/>
      </c>
      <c r="C565" s="66">
        <f>B565/B564-1</f>
        <v/>
      </c>
      <c r="D565" s="66">
        <f>(Table16[[#This Row],[Index]]-B553)/B553</f>
        <v/>
      </c>
    </row>
    <row r="566">
      <c r="A566" s="17" t="n">
        <v>43313</v>
      </c>
      <c r="B566" s="58">
        <f>VLOOKUP(Table16[[#This Row],[Date]],database!A:H,4,)</f>
        <v/>
      </c>
      <c r="C566" s="66">
        <f>B566/B565-1</f>
        <v/>
      </c>
      <c r="D566" s="66">
        <f>(Table16[[#This Row],[Index]]-B554)/B554</f>
        <v/>
      </c>
    </row>
    <row r="567">
      <c r="A567" s="17" t="n">
        <v>43344</v>
      </c>
      <c r="B567" s="58">
        <f>VLOOKUP(Table16[[#This Row],[Date]],database!A:H,4,)</f>
        <v/>
      </c>
      <c r="C567" s="66">
        <f>B567/B566-1</f>
        <v/>
      </c>
      <c r="D567" s="66">
        <f>(Table16[[#This Row],[Index]]-B555)/B555</f>
        <v/>
      </c>
    </row>
    <row r="568">
      <c r="A568" s="17" t="n">
        <v>43374</v>
      </c>
      <c r="B568" s="58">
        <f>VLOOKUP(Table16[[#This Row],[Date]],database!A:H,4,)</f>
        <v/>
      </c>
      <c r="C568" s="66">
        <f>B568/B567-1</f>
        <v/>
      </c>
      <c r="D568" s="66">
        <f>(Table16[[#This Row],[Index]]-B556)/B556</f>
        <v/>
      </c>
    </row>
    <row r="569">
      <c r="A569" s="17" t="n">
        <v>43405</v>
      </c>
      <c r="B569" s="58">
        <f>VLOOKUP(Table16[[#This Row],[Date]],database!A:H,4,)</f>
        <v/>
      </c>
      <c r="C569" s="66">
        <f>B569/B568-1</f>
        <v/>
      </c>
      <c r="D569" s="66">
        <f>(Table16[[#This Row],[Index]]-B557)/B557</f>
        <v/>
      </c>
    </row>
    <row r="570">
      <c r="A570" s="17" t="n">
        <v>43435</v>
      </c>
      <c r="B570" s="58">
        <f>VLOOKUP(Table16[[#This Row],[Date]],database!A:H,4,)</f>
        <v/>
      </c>
      <c r="C570" s="66">
        <f>B570/B569-1</f>
        <v/>
      </c>
      <c r="D570" s="66">
        <f>(Table16[[#This Row],[Index]]-B558)/B558</f>
        <v/>
      </c>
    </row>
    <row r="571">
      <c r="A571" s="17" t="n">
        <v>43466</v>
      </c>
      <c r="B571" s="58">
        <f>VLOOKUP(Table16[[#This Row],[Date]],database!A:H,4,)</f>
        <v/>
      </c>
      <c r="C571" s="66">
        <f>B571/B570-1</f>
        <v/>
      </c>
      <c r="D571" s="66">
        <f>(Table16[[#This Row],[Index]]-B559)/B559</f>
        <v/>
      </c>
    </row>
    <row r="572">
      <c r="A572" s="17" t="n">
        <v>43497</v>
      </c>
      <c r="B572" s="58">
        <f>VLOOKUP(Table16[[#This Row],[Date]],database!A:H,4,)</f>
        <v/>
      </c>
      <c r="C572" s="66">
        <f>B572/B571-1</f>
        <v/>
      </c>
      <c r="D572" s="66">
        <f>(Table16[[#This Row],[Index]]-B560)/B560</f>
        <v/>
      </c>
    </row>
    <row r="573">
      <c r="A573" s="17" t="n">
        <v>43525</v>
      </c>
      <c r="B573" s="58">
        <f>VLOOKUP(Table16[[#This Row],[Date]],database!A:H,4,)</f>
        <v/>
      </c>
      <c r="C573" s="66">
        <f>B573/B572-1</f>
        <v/>
      </c>
      <c r="D573" s="66">
        <f>(Table16[[#This Row],[Index]]-B561)/B561</f>
        <v/>
      </c>
    </row>
    <row r="574">
      <c r="A574" s="17" t="n">
        <v>43556</v>
      </c>
      <c r="B574" s="58">
        <f>VLOOKUP(Table16[[#This Row],[Date]],database!A:H,4,)</f>
        <v/>
      </c>
      <c r="C574" s="66">
        <f>B574/B573-1</f>
        <v/>
      </c>
      <c r="D574" s="66">
        <f>(Table16[[#This Row],[Index]]-B562)/B562</f>
        <v/>
      </c>
    </row>
    <row r="575">
      <c r="A575" s="17" t="n">
        <v>43586</v>
      </c>
      <c r="B575" s="58">
        <f>VLOOKUP(Table16[[#This Row],[Date]],database!A:H,4,)</f>
        <v/>
      </c>
      <c r="C575" s="66">
        <f>B575/B574-1</f>
        <v/>
      </c>
      <c r="D575" s="66">
        <f>(Table16[[#This Row],[Index]]-B563)/B563</f>
        <v/>
      </c>
    </row>
    <row r="576">
      <c r="A576" s="17" t="n">
        <v>43617</v>
      </c>
      <c r="B576" s="58">
        <f>VLOOKUP(Table16[[#This Row],[Date]],database!A:H,4,)</f>
        <v/>
      </c>
      <c r="C576" s="66">
        <f>B576/B575-1</f>
        <v/>
      </c>
      <c r="D576" s="66">
        <f>(Table16[[#This Row],[Index]]-B564)/B564</f>
        <v/>
      </c>
    </row>
    <row r="577">
      <c r="A577" s="17" t="n">
        <v>43647</v>
      </c>
      <c r="B577" s="58">
        <f>VLOOKUP(Table16[[#This Row],[Date]],database!A:H,4,)</f>
        <v/>
      </c>
      <c r="C577" s="66">
        <f>B577/B576-1</f>
        <v/>
      </c>
      <c r="D577" s="66">
        <f>(Table16[[#This Row],[Index]]-B565)/B565</f>
        <v/>
      </c>
    </row>
    <row r="578">
      <c r="A578" s="17" t="n">
        <v>43678</v>
      </c>
      <c r="B578" s="58">
        <f>VLOOKUP(Table16[[#This Row],[Date]],database!A:H,4,)</f>
        <v/>
      </c>
      <c r="C578" s="66">
        <f>B578/B577-1</f>
        <v/>
      </c>
      <c r="D578" s="66">
        <f>(Table16[[#This Row],[Index]]-B566)/B566</f>
        <v/>
      </c>
    </row>
    <row r="579">
      <c r="A579" s="17" t="n">
        <v>43709</v>
      </c>
      <c r="B579" s="58">
        <f>VLOOKUP(Table16[[#This Row],[Date]],database!A:H,4,)</f>
        <v/>
      </c>
      <c r="C579" s="66">
        <f>B579/B578-1</f>
        <v/>
      </c>
      <c r="D579" s="66">
        <f>(Table16[[#This Row],[Index]]-B567)/B567</f>
        <v/>
      </c>
    </row>
    <row r="580">
      <c r="A580" s="17" t="n">
        <v>43739</v>
      </c>
      <c r="B580" s="58">
        <f>VLOOKUP(Table16[[#This Row],[Date]],database!A:H,4,)</f>
        <v/>
      </c>
      <c r="C580" s="66">
        <f>B580/B579-1</f>
        <v/>
      </c>
      <c r="D580" s="66">
        <f>(Table16[[#This Row],[Index]]-B568)/B568</f>
        <v/>
      </c>
    </row>
    <row r="581">
      <c r="A581" s="17" t="n">
        <v>43770</v>
      </c>
      <c r="B581" s="58">
        <f>VLOOKUP(Table16[[#This Row],[Date]],database!A:H,4,)</f>
        <v/>
      </c>
      <c r="C581" s="66">
        <f>B581/B580-1</f>
        <v/>
      </c>
      <c r="D581" s="66">
        <f>(Table16[[#This Row],[Index]]-B569)/B569</f>
        <v/>
      </c>
    </row>
    <row r="582">
      <c r="A582" s="17" t="n">
        <v>43800</v>
      </c>
      <c r="B582" s="58">
        <f>VLOOKUP(Table16[[#This Row],[Date]],database!A:H,4,)</f>
        <v/>
      </c>
      <c r="C582" s="66">
        <f>B582/B581-1</f>
        <v/>
      </c>
      <c r="D582" s="66">
        <f>(Table16[[#This Row],[Index]]-B570)/B570</f>
        <v/>
      </c>
    </row>
    <row r="583">
      <c r="A583" s="17" t="n">
        <v>43831</v>
      </c>
      <c r="B583" s="58">
        <f>VLOOKUP(Table16[[#This Row],[Date]],database!A:H,4,)</f>
        <v/>
      </c>
      <c r="C583" s="66">
        <f>B583/B582-1</f>
        <v/>
      </c>
      <c r="D583" s="66">
        <f>(Table16[[#This Row],[Index]]-B571)/B571</f>
        <v/>
      </c>
    </row>
    <row r="584">
      <c r="A584" s="17" t="n">
        <v>43862</v>
      </c>
      <c r="B584" s="58">
        <f>VLOOKUP(Table16[[#This Row],[Date]],database!A:H,4,)</f>
        <v/>
      </c>
      <c r="C584" s="66">
        <f>B584/B583-1</f>
        <v/>
      </c>
      <c r="D584" s="66">
        <f>(Table16[[#This Row],[Index]]-B572)/B572</f>
        <v/>
      </c>
    </row>
    <row r="585">
      <c r="A585" s="17" t="n">
        <v>43891</v>
      </c>
      <c r="B585" s="58">
        <f>VLOOKUP(Table16[[#This Row],[Date]],database!A:H,4,)</f>
        <v/>
      </c>
      <c r="C585" s="66">
        <f>B585/B584-1</f>
        <v/>
      </c>
      <c r="D585" s="66">
        <f>(Table16[[#This Row],[Index]]-B573)/B573</f>
        <v/>
      </c>
    </row>
    <row r="586">
      <c r="A586" s="17" t="n">
        <v>43922</v>
      </c>
      <c r="B586" s="58">
        <f>VLOOKUP(Table16[[#This Row],[Date]],database!A:H,4,)</f>
        <v/>
      </c>
      <c r="C586" s="66">
        <f>B586/B585-1</f>
        <v/>
      </c>
      <c r="D586" s="66">
        <f>(Table16[[#This Row],[Index]]-B574)/B574</f>
        <v/>
      </c>
    </row>
    <row r="587">
      <c r="A587" s="17" t="n">
        <v>43952</v>
      </c>
      <c r="B587" s="58">
        <f>VLOOKUP(Table16[[#This Row],[Date]],database!A:H,4,)</f>
        <v/>
      </c>
      <c r="C587" s="66">
        <f>B587/B586-1</f>
        <v/>
      </c>
      <c r="D587" s="66">
        <f>(Table16[[#This Row],[Index]]-B575)/B575</f>
        <v/>
      </c>
    </row>
    <row r="588">
      <c r="A588" s="17" t="n">
        <v>43983</v>
      </c>
      <c r="B588" s="58">
        <f>VLOOKUP(Table16[[#This Row],[Date]],database!A:H,4,)</f>
        <v/>
      </c>
      <c r="C588" s="66">
        <f>B588/B587-1</f>
        <v/>
      </c>
      <c r="D588" s="66">
        <f>(Table16[[#This Row],[Index]]-B576)/B576</f>
        <v/>
      </c>
    </row>
    <row r="589">
      <c r="A589" s="17" t="n">
        <v>44013</v>
      </c>
      <c r="B589" s="58">
        <f>VLOOKUP(Table16[[#This Row],[Date]],database!A:H,4,)</f>
        <v/>
      </c>
      <c r="C589" s="66">
        <f>B589/B588-1</f>
        <v/>
      </c>
      <c r="D589" s="66">
        <f>(Table16[[#This Row],[Index]]-B577)/B577</f>
        <v/>
      </c>
    </row>
    <row r="590">
      <c r="A590" s="17" t="n">
        <v>44044</v>
      </c>
      <c r="B590" s="58">
        <f>VLOOKUP(Table16[[#This Row],[Date]],database!A:H,4,)</f>
        <v/>
      </c>
      <c r="C590" s="66">
        <f>B590/B589-1</f>
        <v/>
      </c>
      <c r="D590" s="66">
        <f>(Table16[[#This Row],[Index]]-B578)/B578</f>
        <v/>
      </c>
    </row>
    <row r="591">
      <c r="A591" s="17" t="n">
        <v>44075</v>
      </c>
      <c r="B591" s="58">
        <f>VLOOKUP(Table16[[#This Row],[Date]],database!A:H,4,)</f>
        <v/>
      </c>
      <c r="C591" s="66">
        <f>B591/B590-1</f>
        <v/>
      </c>
      <c r="D591" s="66">
        <f>(Table16[[#This Row],[Index]]-B579)/B579</f>
        <v/>
      </c>
    </row>
    <row r="592">
      <c r="A592" s="17" t="n">
        <v>44105</v>
      </c>
      <c r="B592" s="58">
        <f>VLOOKUP(Table16[[#This Row],[Date]],database!A:H,4,)</f>
        <v/>
      </c>
      <c r="C592" s="66">
        <f>B592/B591-1</f>
        <v/>
      </c>
      <c r="D592" s="66">
        <f>(Table16[[#This Row],[Index]]-B580)/B580</f>
        <v/>
      </c>
    </row>
    <row r="593">
      <c r="A593" s="17" t="n">
        <v>44136</v>
      </c>
      <c r="B593" s="58">
        <f>VLOOKUP(Table16[[#This Row],[Date]],database!A:H,4,)</f>
        <v/>
      </c>
      <c r="C593" s="66">
        <f>B593/B592-1</f>
        <v/>
      </c>
      <c r="D593" s="66">
        <f>(Table16[[#This Row],[Index]]-B581)/B581</f>
        <v/>
      </c>
    </row>
    <row r="594">
      <c r="A594" s="17" t="n">
        <v>44166</v>
      </c>
      <c r="B594" s="58">
        <f>VLOOKUP(Table16[[#This Row],[Date]],database!A:H,4,)</f>
        <v/>
      </c>
      <c r="C594" s="66">
        <f>B594/B593-1</f>
        <v/>
      </c>
      <c r="D594" s="66">
        <f>(Table16[[#This Row],[Index]]-B582)/B582</f>
        <v/>
      </c>
    </row>
    <row r="595">
      <c r="A595" s="17" t="n">
        <v>44197</v>
      </c>
      <c r="B595" s="58">
        <f>VLOOKUP(Table16[[#This Row],[Date]],database!A:H,4,)</f>
        <v/>
      </c>
      <c r="C595" s="66">
        <f>B595/B594-1</f>
        <v/>
      </c>
      <c r="D595" s="66">
        <f>(Table16[[#This Row],[Index]]-B583)/B583</f>
        <v/>
      </c>
    </row>
    <row r="596">
      <c r="A596" s="17" t="n">
        <v>44228</v>
      </c>
      <c r="B596" s="58">
        <f>VLOOKUP(Table16[[#This Row],[Date]],database!A:H,4,)</f>
        <v/>
      </c>
      <c r="C596" s="66">
        <f>B596/B595-1</f>
        <v/>
      </c>
      <c r="D596" s="66">
        <f>(Table16[[#This Row],[Index]]-B584)/B584</f>
        <v/>
      </c>
    </row>
    <row r="597">
      <c r="A597" s="17" t="n">
        <v>44256</v>
      </c>
      <c r="B597" s="58">
        <f>VLOOKUP(Table16[[#This Row],[Date]],database!A:H,4,)</f>
        <v/>
      </c>
      <c r="C597" s="66">
        <f>B597/B596-1</f>
        <v/>
      </c>
      <c r="D597" s="66">
        <f>(Table16[[#This Row],[Index]]-B585)/B585</f>
        <v/>
      </c>
    </row>
    <row r="598">
      <c r="A598" s="17" t="n">
        <v>44287</v>
      </c>
      <c r="B598" s="58">
        <f>VLOOKUP(Table16[[#This Row],[Date]],database!A:H,4,)</f>
        <v/>
      </c>
      <c r="C598" s="66">
        <f>B598/B597-1</f>
        <v/>
      </c>
      <c r="D598" s="66">
        <f>(Table16[[#This Row],[Index]]-B586)/B586</f>
        <v/>
      </c>
    </row>
    <row r="599">
      <c r="A599" s="17" t="n">
        <v>44317</v>
      </c>
      <c r="B599" s="58">
        <f>VLOOKUP(Table16[[#This Row],[Date]],database!A:H,4,)</f>
        <v/>
      </c>
      <c r="C599" s="66">
        <f>B599/B598-1</f>
        <v/>
      </c>
      <c r="D599" s="66">
        <f>(Table16[[#This Row],[Index]]-B587)/B587</f>
        <v/>
      </c>
    </row>
    <row r="600">
      <c r="A600" s="17" t="n">
        <v>44348</v>
      </c>
      <c r="B600" s="58">
        <f>VLOOKUP(Table16[[#This Row],[Date]],database!A:H,4,)</f>
        <v/>
      </c>
      <c r="C600" s="66">
        <f>B600/B599-1</f>
        <v/>
      </c>
      <c r="D600" s="66">
        <f>(Table16[[#This Row],[Index]]-B588)/B588</f>
        <v/>
      </c>
    </row>
    <row r="601">
      <c r="A601" s="17" t="n">
        <v>44378</v>
      </c>
      <c r="B601" s="58">
        <f>VLOOKUP(Table16[[#This Row],[Date]],database!A:H,4,)</f>
        <v/>
      </c>
      <c r="C601" s="66">
        <f>B601/B600-1</f>
        <v/>
      </c>
      <c r="D601" s="66">
        <f>(Table16[[#This Row],[Index]]-B589)/B589</f>
        <v/>
      </c>
    </row>
    <row r="602">
      <c r="A602" s="17" t="n">
        <v>44409</v>
      </c>
      <c r="B602" s="58">
        <f>VLOOKUP(Table16[[#This Row],[Date]],database!A:H,4,)</f>
        <v/>
      </c>
      <c r="C602" s="66">
        <f>B602/B601-1</f>
        <v/>
      </c>
      <c r="D602" s="66">
        <f>(Table16[[#This Row],[Index]]-B590)/B590</f>
        <v/>
      </c>
    </row>
    <row r="603">
      <c r="A603" s="17" t="n">
        <v>44440</v>
      </c>
      <c r="B603" s="58">
        <f>VLOOKUP(Table16[[#This Row],[Date]],database!A:H,4,)</f>
        <v/>
      </c>
      <c r="C603" s="66">
        <f>B603/B602-1</f>
        <v/>
      </c>
      <c r="D603" s="66">
        <f>(Table16[[#This Row],[Index]]-B591)/B591</f>
        <v/>
      </c>
    </row>
    <row r="604">
      <c r="A604" s="17" t="n">
        <v>44470</v>
      </c>
      <c r="B604" s="58">
        <f>VLOOKUP(Table16[[#This Row],[Date]],database!A:H,4,)</f>
        <v/>
      </c>
      <c r="C604" s="66">
        <f>B604/B603-1</f>
        <v/>
      </c>
      <c r="D604" s="66">
        <f>(Table16[[#This Row],[Index]]-B592)/B592</f>
        <v/>
      </c>
    </row>
    <row r="605">
      <c r="A605" s="17" t="n">
        <v>44501</v>
      </c>
      <c r="B605" s="58">
        <f>VLOOKUP(Table16[[#This Row],[Date]],database!A:H,4,)</f>
        <v/>
      </c>
      <c r="C605" s="66">
        <f>B605/B604-1</f>
        <v/>
      </c>
      <c r="D605" s="66">
        <f>(Table16[[#This Row],[Index]]-B593)/B593</f>
        <v/>
      </c>
    </row>
    <row r="606">
      <c r="A606" s="17" t="n">
        <v>44531</v>
      </c>
      <c r="B606" s="58">
        <f>VLOOKUP(Table16[[#This Row],[Date]],database!A:H,4,)</f>
        <v/>
      </c>
      <c r="C606" s="66">
        <f>B606/B605-1</f>
        <v/>
      </c>
      <c r="D606" s="66">
        <f>(Table16[[#This Row],[Index]]-B594)/B594</f>
        <v/>
      </c>
    </row>
    <row r="607">
      <c r="A607" s="17" t="n">
        <v>44562</v>
      </c>
      <c r="B607" s="58">
        <f>VLOOKUP(Table16[[#This Row],[Date]],database!A:H,4,)</f>
        <v/>
      </c>
      <c r="C607" s="66">
        <f>B607/B606-1</f>
        <v/>
      </c>
      <c r="D607" s="66">
        <f>(Table16[[#This Row],[Index]]-B595)/B595</f>
        <v/>
      </c>
    </row>
    <row r="608">
      <c r="A608" s="17" t="n">
        <v>44593</v>
      </c>
      <c r="B608" s="58">
        <f>VLOOKUP(Table16[[#This Row],[Date]],database!A:H,4,)</f>
        <v/>
      </c>
      <c r="C608" s="66">
        <f>B608/B607-1</f>
        <v/>
      </c>
      <c r="D608" s="66">
        <f>(Table16[[#This Row],[Index]]-B596)/B596</f>
        <v/>
      </c>
    </row>
    <row r="609">
      <c r="A609" s="17" t="n">
        <v>44621</v>
      </c>
      <c r="B609" s="58">
        <f>VLOOKUP(Table16[[#This Row],[Date]],database!A:H,4,)</f>
        <v/>
      </c>
      <c r="C609" s="66">
        <f>B609/B608-1</f>
        <v/>
      </c>
      <c r="D609" s="66">
        <f>(Table16[[#This Row],[Index]]-B597)/B597</f>
        <v/>
      </c>
    </row>
    <row r="610">
      <c r="A610" s="17" t="n">
        <v>44652</v>
      </c>
      <c r="B610" s="58">
        <f>VLOOKUP(Table16[[#This Row],[Date]],database!A:H,4,)</f>
        <v/>
      </c>
      <c r="C610" s="66">
        <f>B610/B609-1</f>
        <v/>
      </c>
      <c r="D610" s="66">
        <f>(Table16[[#This Row],[Index]]-B598)/B598</f>
        <v/>
      </c>
    </row>
    <row r="611">
      <c r="A611" s="17" t="n">
        <v>44682</v>
      </c>
      <c r="B611" s="58">
        <f>VLOOKUP(Table16[[#This Row],[Date]],database!A:H,4,)</f>
        <v/>
      </c>
      <c r="C611" s="66">
        <f>B611/B610-1</f>
        <v/>
      </c>
      <c r="D611" s="66">
        <f>(Table16[[#This Row],[Index]]-B599)/B599</f>
        <v/>
      </c>
    </row>
    <row r="612">
      <c r="A612" s="17" t="n">
        <v>44713</v>
      </c>
      <c r="B612" s="58">
        <f>VLOOKUP(Table16[[#This Row],[Date]],database!A:H,4,)</f>
        <v/>
      </c>
      <c r="C612" s="66">
        <f>B612/B611-1</f>
        <v/>
      </c>
      <c r="D612" s="66">
        <f>(Table16[[#This Row],[Index]]-B600)/B600</f>
        <v/>
      </c>
    </row>
    <row r="613">
      <c r="A613" s="17" t="n">
        <v>44743</v>
      </c>
      <c r="B613" s="58">
        <f>VLOOKUP(Table16[[#This Row],[Date]],database!A:H,4,)</f>
        <v/>
      </c>
      <c r="C613" s="66">
        <f>B613/B612-1</f>
        <v/>
      </c>
      <c r="D613" s="66">
        <f>(Table16[[#This Row],[Index]]-B601)/B601</f>
        <v/>
      </c>
    </row>
    <row r="614">
      <c r="A614" s="17" t="n">
        <v>44774</v>
      </c>
      <c r="B614" s="58">
        <f>VLOOKUP(Table16[[#This Row],[Date]],database!A:H,4,)</f>
        <v/>
      </c>
      <c r="C614" s="66">
        <f>B614/B613-1</f>
        <v/>
      </c>
      <c r="D614" s="66">
        <f>(Table16[[#This Row],[Index]]-B602)/B602</f>
        <v/>
      </c>
    </row>
    <row r="615">
      <c r="A615" s="17" t="n">
        <v>44805</v>
      </c>
      <c r="B615" s="58">
        <f>VLOOKUP(Table16[[#This Row],[Date]],database!A:H,4,)</f>
        <v/>
      </c>
      <c r="C615" s="66">
        <f>B615/B614-1</f>
        <v/>
      </c>
      <c r="D615" s="66">
        <f>(Table16[[#This Row],[Index]]-B603)/B603</f>
        <v/>
      </c>
    </row>
    <row r="616">
      <c r="A616" s="17" t="n">
        <v>44835</v>
      </c>
      <c r="B616" s="58">
        <f>VLOOKUP(Table16[[#This Row],[Date]],database!A:H,4,)</f>
        <v/>
      </c>
      <c r="C616" s="66">
        <f>B616/B615-1</f>
        <v/>
      </c>
      <c r="D616" s="66">
        <f>(Table16[[#This Row],[Index]]-B604)/B604</f>
        <v/>
      </c>
    </row>
    <row r="617">
      <c r="A617" s="17" t="n">
        <v>44866</v>
      </c>
      <c r="B617" s="58">
        <f>VLOOKUP(Table16[[#This Row],[Date]],database!A:H,4,)</f>
        <v/>
      </c>
      <c r="C617" s="66">
        <f>B617/B616-1</f>
        <v/>
      </c>
      <c r="D617" s="66">
        <f>(Table16[[#This Row],[Index]]-B605)/B605</f>
        <v/>
      </c>
    </row>
    <row r="618">
      <c r="A618" s="17" t="n">
        <v>44896</v>
      </c>
      <c r="B618" s="58">
        <f>VLOOKUP(Table16[[#This Row],[Date]],database!A:H,4,)</f>
        <v/>
      </c>
      <c r="C618" s="66">
        <f>B618/B617-1</f>
        <v/>
      </c>
      <c r="D618" s="66">
        <f>(Table16[[#This Row],[Index]]-B606)/B606</f>
        <v/>
      </c>
    </row>
    <row r="619">
      <c r="A619" s="17" t="n">
        <v>44927</v>
      </c>
      <c r="B619" s="58">
        <f>VLOOKUP(Table16[[#This Row],[Date]],database!A:H,4,)</f>
        <v/>
      </c>
      <c r="C619" s="66">
        <f>B619/B618-1</f>
        <v/>
      </c>
      <c r="D619" s="66">
        <f>(Table16[[#This Row],[Index]]-B607)/B607</f>
        <v/>
      </c>
    </row>
    <row r="620">
      <c r="A620" s="17" t="n">
        <v>44958</v>
      </c>
      <c r="B620" s="58">
        <f>VLOOKUP(Table16[[#This Row],[Date]],database!A:H,4,)</f>
        <v/>
      </c>
      <c r="C620" s="66">
        <f>B620/B619-1</f>
        <v/>
      </c>
      <c r="D620" s="66">
        <f>(Table16[[#This Row],[Index]]-B608)/B608</f>
        <v/>
      </c>
    </row>
    <row r="621">
      <c r="A621" s="17" t="n">
        <v>44986</v>
      </c>
      <c r="B621" s="58">
        <f>VLOOKUP(Table16[[#This Row],[Date]],database!A:H,4,)</f>
        <v/>
      </c>
      <c r="C621" s="66">
        <f>B621/B620-1</f>
        <v/>
      </c>
      <c r="D621" s="66">
        <f>(Table16[[#This Row],[Index]]-B609)/B609</f>
        <v/>
      </c>
    </row>
  </sheetData>
  <conditionalFormatting sqref="D463:D62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21"/>
  <sheetViews>
    <sheetView zoomScale="80" zoomScaleNormal="80" workbookViewId="0">
      <pane ySplit="6" topLeftCell="A584" activePane="bottomLeft" state="frozen"/>
      <selection pane="bottomLeft" activeCell="AB624" sqref="AB624"/>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INDPRO</t>
        </is>
      </c>
      <c r="B1" s="88" t="n"/>
      <c r="C1" s="88" t="n"/>
      <c r="U1" s="88" t="inlineStr">
        <is>
          <t>Industrial Production: Construction supplies</t>
        </is>
      </c>
      <c r="V1" s="88" t="inlineStr">
        <is>
          <t xml:space="preserve"> since 2010 </t>
        </is>
      </c>
      <c r="W1" s="88">
        <f>U1&amp;V1</f>
        <v/>
      </c>
      <c r="AA1" s="88">
        <f>W2&amp; V1</f>
        <v/>
      </c>
    </row>
    <row r="2">
      <c r="A2" s="16" t="n"/>
      <c r="B2" s="88" t="n"/>
      <c r="C2" s="88" t="n"/>
      <c r="W2" s="88">
        <f>U1&amp;Table110[[#Headers],[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VLOOKUP(Table110[[#This Row],[Date]],database!A:H,3,)</f>
        <v/>
      </c>
      <c r="C7" s="66" t="n"/>
      <c r="D7" s="66" t="n"/>
    </row>
    <row r="8">
      <c r="A8" s="17" t="n">
        <v>26330</v>
      </c>
      <c r="B8" s="58">
        <f>VLOOKUP(Table110[[#This Row],[Date]],database!A:H,3,)</f>
        <v/>
      </c>
      <c r="C8" s="66">
        <f>B8/B7-1</f>
        <v/>
      </c>
      <c r="D8" s="66" t="n"/>
    </row>
    <row r="9">
      <c r="A9" s="17" t="n">
        <v>26359</v>
      </c>
      <c r="B9" s="58">
        <f>VLOOKUP(Table110[[#This Row],[Date]],database!A:H,3,)</f>
        <v/>
      </c>
      <c r="C9" s="66">
        <f>B9/B8-1</f>
        <v/>
      </c>
      <c r="D9" s="66" t="n"/>
    </row>
    <row r="10">
      <c r="A10" s="17" t="n">
        <v>26390</v>
      </c>
      <c r="B10" s="58">
        <f>VLOOKUP(Table110[[#This Row],[Date]],database!A:H,3,)</f>
        <v/>
      </c>
      <c r="C10" s="66">
        <f>B10/B9-1</f>
        <v/>
      </c>
      <c r="D10" s="66" t="n"/>
    </row>
    <row r="11">
      <c r="A11" s="17" t="n">
        <v>26420</v>
      </c>
      <c r="B11" s="58">
        <f>VLOOKUP(Table110[[#This Row],[Date]],database!A:H,3,)</f>
        <v/>
      </c>
      <c r="C11" s="66">
        <f>B11/B10-1</f>
        <v/>
      </c>
      <c r="D11" s="66" t="n"/>
    </row>
    <row r="12">
      <c r="A12" s="17" t="n">
        <v>26451</v>
      </c>
      <c r="B12" s="58">
        <f>VLOOKUP(Table110[[#This Row],[Date]],database!A:H,3,)</f>
        <v/>
      </c>
      <c r="C12" s="66">
        <f>B12/B11-1</f>
        <v/>
      </c>
      <c r="D12" s="66" t="n"/>
    </row>
    <row r="13">
      <c r="A13" s="17" t="n">
        <v>26481</v>
      </c>
      <c r="B13" s="58">
        <f>VLOOKUP(Table110[[#This Row],[Date]],database!A:H,3,)</f>
        <v/>
      </c>
      <c r="C13" s="66">
        <f>B13/B12-1</f>
        <v/>
      </c>
      <c r="D13" s="66" t="n"/>
    </row>
    <row r="14">
      <c r="A14" s="17" t="n">
        <v>26512</v>
      </c>
      <c r="B14" s="58">
        <f>VLOOKUP(Table110[[#This Row],[Date]],database!A:H,3,)</f>
        <v/>
      </c>
      <c r="C14" s="66">
        <f>B14/B13-1</f>
        <v/>
      </c>
      <c r="D14" s="66" t="n"/>
    </row>
    <row r="15">
      <c r="A15" s="17" t="n">
        <v>26543</v>
      </c>
      <c r="B15" s="58">
        <f>VLOOKUP(Table110[[#This Row],[Date]],database!A:H,3,)</f>
        <v/>
      </c>
      <c r="C15" s="66">
        <f>B15/B14-1</f>
        <v/>
      </c>
      <c r="D15" s="66" t="n"/>
    </row>
    <row r="16">
      <c r="A16" s="17" t="n">
        <v>26573</v>
      </c>
      <c r="B16" s="58">
        <f>VLOOKUP(Table110[[#This Row],[Date]],database!A:H,3,)</f>
        <v/>
      </c>
      <c r="C16" s="66">
        <f>B16/B15-1</f>
        <v/>
      </c>
      <c r="D16" s="66" t="n"/>
    </row>
    <row r="17">
      <c r="A17" s="17" t="n">
        <v>26604</v>
      </c>
      <c r="B17" s="58">
        <f>VLOOKUP(Table110[[#This Row],[Date]],database!A:H,3,)</f>
        <v/>
      </c>
      <c r="C17" s="66">
        <f>B17/B16-1</f>
        <v/>
      </c>
      <c r="D17" s="66" t="n"/>
    </row>
    <row r="18">
      <c r="A18" s="17" t="n">
        <v>26634</v>
      </c>
      <c r="B18" s="58">
        <f>VLOOKUP(Table110[[#This Row],[Date]],database!A:H,3,)</f>
        <v/>
      </c>
      <c r="C18" s="66">
        <f>B18/B17-1</f>
        <v/>
      </c>
      <c r="D18" s="66" t="n"/>
    </row>
    <row r="19">
      <c r="A19" s="17" t="n">
        <v>26665</v>
      </c>
      <c r="B19" s="58">
        <f>VLOOKUP(Table110[[#This Row],[Date]],database!A:H,3,)</f>
        <v/>
      </c>
      <c r="C19" s="66">
        <f>B19/B18-1</f>
        <v/>
      </c>
      <c r="D19" s="66" t="n"/>
    </row>
    <row r="20">
      <c r="A20" s="17" t="n">
        <v>26696</v>
      </c>
      <c r="B20" s="58">
        <f>VLOOKUP(Table110[[#This Row],[Date]],database!A:H,3,)</f>
        <v/>
      </c>
      <c r="C20" s="66">
        <f>B20/B19-1</f>
        <v/>
      </c>
      <c r="D20" s="66">
        <f>(Table110[[#This Row],[Index]]-B8)/B8</f>
        <v/>
      </c>
    </row>
    <row r="21">
      <c r="A21" s="17" t="n">
        <v>26724</v>
      </c>
      <c r="B21" s="58">
        <f>VLOOKUP(Table110[[#This Row],[Date]],database!A:H,3,)</f>
        <v/>
      </c>
      <c r="C21" s="66">
        <f>B21/B20-1</f>
        <v/>
      </c>
      <c r="D21" s="66">
        <f>(Table110[[#This Row],[Index]]-B9)/B9</f>
        <v/>
      </c>
    </row>
    <row r="22">
      <c r="A22" s="17" t="n">
        <v>26755</v>
      </c>
      <c r="B22" s="58">
        <f>VLOOKUP(Table110[[#This Row],[Date]],database!A:H,3,)</f>
        <v/>
      </c>
      <c r="C22" s="66">
        <f>B22/B21-1</f>
        <v/>
      </c>
      <c r="D22" s="66">
        <f>(Table110[[#This Row],[Index]]-B10)/B10</f>
        <v/>
      </c>
    </row>
    <row r="23">
      <c r="A23" s="17" t="n">
        <v>26785</v>
      </c>
      <c r="B23" s="58">
        <f>VLOOKUP(Table110[[#This Row],[Date]],database!A:H,3,)</f>
        <v/>
      </c>
      <c r="C23" s="66">
        <f>B23/B22-1</f>
        <v/>
      </c>
      <c r="D23" s="66">
        <f>(Table110[[#This Row],[Index]]-B11)/B11</f>
        <v/>
      </c>
    </row>
    <row r="24">
      <c r="A24" s="17" t="n">
        <v>26816</v>
      </c>
      <c r="B24" s="58">
        <f>VLOOKUP(Table110[[#This Row],[Date]],database!A:H,3,)</f>
        <v/>
      </c>
      <c r="C24" s="66">
        <f>B24/B23-1</f>
        <v/>
      </c>
      <c r="D24" s="66">
        <f>(Table110[[#This Row],[Index]]-B12)/B12</f>
        <v/>
      </c>
    </row>
    <row r="25">
      <c r="A25" s="17" t="n">
        <v>26846</v>
      </c>
      <c r="B25" s="58">
        <f>VLOOKUP(Table110[[#This Row],[Date]],database!A:H,3,)</f>
        <v/>
      </c>
      <c r="C25" s="66">
        <f>B25/B24-1</f>
        <v/>
      </c>
      <c r="D25" s="66">
        <f>(Table110[[#This Row],[Index]]-B13)/B13</f>
        <v/>
      </c>
    </row>
    <row r="26">
      <c r="A26" s="17" t="n">
        <v>26877</v>
      </c>
      <c r="B26" s="58">
        <f>VLOOKUP(Table110[[#This Row],[Date]],database!A:H,3,)</f>
        <v/>
      </c>
      <c r="C26" s="66">
        <f>B26/B25-1</f>
        <v/>
      </c>
      <c r="D26" s="66">
        <f>(Table110[[#This Row],[Index]]-B14)/B14</f>
        <v/>
      </c>
    </row>
    <row r="27">
      <c r="A27" s="17" t="n">
        <v>26908</v>
      </c>
      <c r="B27" s="58">
        <f>VLOOKUP(Table110[[#This Row],[Date]],database!A:H,3,)</f>
        <v/>
      </c>
      <c r="C27" s="66">
        <f>B27/B26-1</f>
        <v/>
      </c>
      <c r="D27" s="66">
        <f>(Table110[[#This Row],[Index]]-B15)/B15</f>
        <v/>
      </c>
    </row>
    <row r="28">
      <c r="A28" s="17" t="n">
        <v>26938</v>
      </c>
      <c r="B28" s="58">
        <f>VLOOKUP(Table110[[#This Row],[Date]],database!A:H,3,)</f>
        <v/>
      </c>
      <c r="C28" s="66">
        <f>B28/B27-1</f>
        <v/>
      </c>
      <c r="D28" s="66">
        <f>(Table110[[#This Row],[Index]]-B16)/B16</f>
        <v/>
      </c>
    </row>
    <row r="29">
      <c r="A29" s="17" t="n">
        <v>26969</v>
      </c>
      <c r="B29" s="58">
        <f>VLOOKUP(Table110[[#This Row],[Date]],database!A:H,3,)</f>
        <v/>
      </c>
      <c r="C29" s="66">
        <f>B29/B28-1</f>
        <v/>
      </c>
      <c r="D29" s="66">
        <f>(Table110[[#This Row],[Index]]-B17)/B17</f>
        <v/>
      </c>
    </row>
    <row r="30">
      <c r="A30" s="17" t="n">
        <v>26999</v>
      </c>
      <c r="B30" s="58">
        <f>VLOOKUP(Table110[[#This Row],[Date]],database!A:H,3,)</f>
        <v/>
      </c>
      <c r="C30" s="66">
        <f>B30/B29-1</f>
        <v/>
      </c>
      <c r="D30" s="66">
        <f>(Table110[[#This Row],[Index]]-B18)/B18</f>
        <v/>
      </c>
    </row>
    <row r="31">
      <c r="A31" s="17" t="n">
        <v>27030</v>
      </c>
      <c r="B31" s="58">
        <f>VLOOKUP(Table110[[#This Row],[Date]],database!A:H,3,)</f>
        <v/>
      </c>
      <c r="C31" s="66">
        <f>B31/B30-1</f>
        <v/>
      </c>
      <c r="D31" s="66">
        <f>(Table110[[#This Row],[Index]]-B19)/B19</f>
        <v/>
      </c>
    </row>
    <row r="32">
      <c r="A32" s="17" t="n">
        <v>27061</v>
      </c>
      <c r="B32" s="58">
        <f>VLOOKUP(Table110[[#This Row],[Date]],database!A:H,3,)</f>
        <v/>
      </c>
      <c r="C32" s="66">
        <f>B32/B31-1</f>
        <v/>
      </c>
      <c r="D32" s="66">
        <f>(Table110[[#This Row],[Index]]-B20)/B20</f>
        <v/>
      </c>
    </row>
    <row r="33">
      <c r="A33" s="17" t="n">
        <v>27089</v>
      </c>
      <c r="B33" s="58">
        <f>VLOOKUP(Table110[[#This Row],[Date]],database!A:H,3,)</f>
        <v/>
      </c>
      <c r="C33" s="66">
        <f>B33/B32-1</f>
        <v/>
      </c>
      <c r="D33" s="66">
        <f>(Table110[[#This Row],[Index]]-B21)/B21</f>
        <v/>
      </c>
    </row>
    <row r="34">
      <c r="A34" s="17" t="n">
        <v>27120</v>
      </c>
      <c r="B34" s="58">
        <f>VLOOKUP(Table110[[#This Row],[Date]],database!A:H,3,)</f>
        <v/>
      </c>
      <c r="C34" s="66">
        <f>B34/B33-1</f>
        <v/>
      </c>
      <c r="D34" s="66">
        <f>(Table110[[#This Row],[Index]]-B22)/B22</f>
        <v/>
      </c>
    </row>
    <row r="35">
      <c r="A35" s="17" t="n">
        <v>27150</v>
      </c>
      <c r="B35" s="58">
        <f>VLOOKUP(Table110[[#This Row],[Date]],database!A:H,3,)</f>
        <v/>
      </c>
      <c r="C35" s="66">
        <f>B35/B34-1</f>
        <v/>
      </c>
      <c r="D35" s="66">
        <f>(Table110[[#This Row],[Index]]-B23)/B23</f>
        <v/>
      </c>
    </row>
    <row r="36">
      <c r="A36" s="17" t="n">
        <v>27181</v>
      </c>
      <c r="B36" s="58">
        <f>VLOOKUP(Table110[[#This Row],[Date]],database!A:H,3,)</f>
        <v/>
      </c>
      <c r="C36" s="66">
        <f>B36/B35-1</f>
        <v/>
      </c>
      <c r="D36" s="66">
        <f>(Table110[[#This Row],[Index]]-B24)/B24</f>
        <v/>
      </c>
    </row>
    <row r="37">
      <c r="A37" s="17" t="n">
        <v>27211</v>
      </c>
      <c r="B37" s="58">
        <f>VLOOKUP(Table110[[#This Row],[Date]],database!A:H,3,)</f>
        <v/>
      </c>
      <c r="C37" s="66">
        <f>B37/B36-1</f>
        <v/>
      </c>
      <c r="D37" s="66">
        <f>(Table110[[#This Row],[Index]]-B25)/B25</f>
        <v/>
      </c>
    </row>
    <row r="38">
      <c r="A38" s="17" t="n">
        <v>27242</v>
      </c>
      <c r="B38" s="58">
        <f>VLOOKUP(Table110[[#This Row],[Date]],database!A:H,3,)</f>
        <v/>
      </c>
      <c r="C38" s="66">
        <f>B38/B37-1</f>
        <v/>
      </c>
      <c r="D38" s="66">
        <f>(Table110[[#This Row],[Index]]-B26)/B26</f>
        <v/>
      </c>
    </row>
    <row r="39">
      <c r="A39" s="17" t="n">
        <v>27273</v>
      </c>
      <c r="B39" s="58">
        <f>VLOOKUP(Table110[[#This Row],[Date]],database!A:H,3,)</f>
        <v/>
      </c>
      <c r="C39" s="66">
        <f>B39/B38-1</f>
        <v/>
      </c>
      <c r="D39" s="66">
        <f>(Table110[[#This Row],[Index]]-B27)/B27</f>
        <v/>
      </c>
    </row>
    <row r="40">
      <c r="A40" s="17" t="n">
        <v>27303</v>
      </c>
      <c r="B40" s="58">
        <f>VLOOKUP(Table110[[#This Row],[Date]],database!A:H,3,)</f>
        <v/>
      </c>
      <c r="C40" s="66">
        <f>B40/B39-1</f>
        <v/>
      </c>
      <c r="D40" s="66">
        <f>(Table110[[#This Row],[Index]]-B28)/B28</f>
        <v/>
      </c>
    </row>
    <row r="41">
      <c r="A41" s="17" t="n">
        <v>27334</v>
      </c>
      <c r="B41" s="58">
        <f>VLOOKUP(Table110[[#This Row],[Date]],database!A:H,3,)</f>
        <v/>
      </c>
      <c r="C41" s="66">
        <f>B41/B40-1</f>
        <v/>
      </c>
      <c r="D41" s="66">
        <f>(Table110[[#This Row],[Index]]-B29)/B29</f>
        <v/>
      </c>
    </row>
    <row r="42">
      <c r="A42" s="17" t="n">
        <v>27364</v>
      </c>
      <c r="B42" s="58">
        <f>VLOOKUP(Table110[[#This Row],[Date]],database!A:H,3,)</f>
        <v/>
      </c>
      <c r="C42" s="66">
        <f>B42/B41-1</f>
        <v/>
      </c>
      <c r="D42" s="66">
        <f>(Table110[[#This Row],[Index]]-B30)/B30</f>
        <v/>
      </c>
    </row>
    <row r="43">
      <c r="A43" s="17" t="n">
        <v>27395</v>
      </c>
      <c r="B43" s="58">
        <f>VLOOKUP(Table110[[#This Row],[Date]],database!A:H,3,)</f>
        <v/>
      </c>
      <c r="C43" s="66">
        <f>B43/B42-1</f>
        <v/>
      </c>
      <c r="D43" s="66">
        <f>(Table110[[#This Row],[Index]]-B31)/B31</f>
        <v/>
      </c>
    </row>
    <row r="44">
      <c r="A44" s="17" t="n">
        <v>27426</v>
      </c>
      <c r="B44" s="58">
        <f>VLOOKUP(Table110[[#This Row],[Date]],database!A:H,3,)</f>
        <v/>
      </c>
      <c r="C44" s="66">
        <f>B44/B43-1</f>
        <v/>
      </c>
      <c r="D44" s="66">
        <f>(Table110[[#This Row],[Index]]-B32)/B32</f>
        <v/>
      </c>
    </row>
    <row r="45">
      <c r="A45" s="17" t="n">
        <v>27454</v>
      </c>
      <c r="B45" s="58">
        <f>VLOOKUP(Table110[[#This Row],[Date]],database!A:H,3,)</f>
        <v/>
      </c>
      <c r="C45" s="66">
        <f>B45/B44-1</f>
        <v/>
      </c>
      <c r="D45" s="66">
        <f>(Table110[[#This Row],[Index]]-B33)/B33</f>
        <v/>
      </c>
    </row>
    <row r="46">
      <c r="A46" s="17" t="n">
        <v>27485</v>
      </c>
      <c r="B46" s="58">
        <f>VLOOKUP(Table110[[#This Row],[Date]],database!A:H,3,)</f>
        <v/>
      </c>
      <c r="C46" s="66">
        <f>B46/B45-1</f>
        <v/>
      </c>
      <c r="D46" s="66">
        <f>(Table110[[#This Row],[Index]]-B34)/B34</f>
        <v/>
      </c>
    </row>
    <row r="47">
      <c r="A47" s="17" t="n">
        <v>27515</v>
      </c>
      <c r="B47" s="58">
        <f>VLOOKUP(Table110[[#This Row],[Date]],database!A:H,3,)</f>
        <v/>
      </c>
      <c r="C47" s="66">
        <f>B47/B46-1</f>
        <v/>
      </c>
      <c r="D47" s="66">
        <f>(Table110[[#This Row],[Index]]-B35)/B35</f>
        <v/>
      </c>
    </row>
    <row r="48">
      <c r="A48" s="17" t="n">
        <v>27546</v>
      </c>
      <c r="B48" s="58">
        <f>VLOOKUP(Table110[[#This Row],[Date]],database!A:H,3,)</f>
        <v/>
      </c>
      <c r="C48" s="66">
        <f>B48/B47-1</f>
        <v/>
      </c>
      <c r="D48" s="66">
        <f>(Table110[[#This Row],[Index]]-B36)/B36</f>
        <v/>
      </c>
    </row>
    <row r="49">
      <c r="A49" s="17" t="n">
        <v>27576</v>
      </c>
      <c r="B49" s="58">
        <f>VLOOKUP(Table110[[#This Row],[Date]],database!A:H,3,)</f>
        <v/>
      </c>
      <c r="C49" s="66">
        <f>B49/B48-1</f>
        <v/>
      </c>
      <c r="D49" s="66">
        <f>(Table110[[#This Row],[Index]]-B37)/B37</f>
        <v/>
      </c>
    </row>
    <row r="50">
      <c r="A50" s="17" t="n">
        <v>27607</v>
      </c>
      <c r="B50" s="58">
        <f>VLOOKUP(Table110[[#This Row],[Date]],database!A:H,3,)</f>
        <v/>
      </c>
      <c r="C50" s="66">
        <f>B50/B49-1</f>
        <v/>
      </c>
      <c r="D50" s="66">
        <f>(Table110[[#This Row],[Index]]-B38)/B38</f>
        <v/>
      </c>
    </row>
    <row r="51">
      <c r="A51" s="17" t="n">
        <v>27638</v>
      </c>
      <c r="B51" s="58">
        <f>VLOOKUP(Table110[[#This Row],[Date]],database!A:H,3,)</f>
        <v/>
      </c>
      <c r="C51" s="66">
        <f>B51/B50-1</f>
        <v/>
      </c>
      <c r="D51" s="66">
        <f>(Table110[[#This Row],[Index]]-B39)/B39</f>
        <v/>
      </c>
    </row>
    <row r="52">
      <c r="A52" s="17" t="n">
        <v>27668</v>
      </c>
      <c r="B52" s="58">
        <f>VLOOKUP(Table110[[#This Row],[Date]],database!A:H,3,)</f>
        <v/>
      </c>
      <c r="C52" s="66">
        <f>B52/B51-1</f>
        <v/>
      </c>
      <c r="D52" s="66">
        <f>(Table110[[#This Row],[Index]]-B40)/B40</f>
        <v/>
      </c>
    </row>
    <row r="53">
      <c r="A53" s="17" t="n">
        <v>27699</v>
      </c>
      <c r="B53" s="58">
        <f>VLOOKUP(Table110[[#This Row],[Date]],database!A:H,3,)</f>
        <v/>
      </c>
      <c r="C53" s="66">
        <f>B53/B52-1</f>
        <v/>
      </c>
      <c r="D53" s="66">
        <f>(Table110[[#This Row],[Index]]-B41)/B41</f>
        <v/>
      </c>
    </row>
    <row r="54">
      <c r="A54" s="17" t="n">
        <v>27729</v>
      </c>
      <c r="B54" s="58">
        <f>VLOOKUP(Table110[[#This Row],[Date]],database!A:H,3,)</f>
        <v/>
      </c>
      <c r="C54" s="66">
        <f>B54/B53-1</f>
        <v/>
      </c>
      <c r="D54" s="66">
        <f>(Table110[[#This Row],[Index]]-B42)/B42</f>
        <v/>
      </c>
    </row>
    <row r="55">
      <c r="A55" s="17" t="n">
        <v>27760</v>
      </c>
      <c r="B55" s="58">
        <f>VLOOKUP(Table110[[#This Row],[Date]],database!A:H,3,)</f>
        <v/>
      </c>
      <c r="C55" s="66">
        <f>B55/B54-1</f>
        <v/>
      </c>
      <c r="D55" s="66">
        <f>(Table110[[#This Row],[Index]]-B43)/B43</f>
        <v/>
      </c>
    </row>
    <row r="56">
      <c r="A56" s="17" t="n">
        <v>27791</v>
      </c>
      <c r="B56" s="58">
        <f>VLOOKUP(Table110[[#This Row],[Date]],database!A:H,3,)</f>
        <v/>
      </c>
      <c r="C56" s="66">
        <f>B56/B55-1</f>
        <v/>
      </c>
      <c r="D56" s="66">
        <f>(Table110[[#This Row],[Index]]-B44)/B44</f>
        <v/>
      </c>
    </row>
    <row r="57">
      <c r="A57" s="17" t="n">
        <v>27820</v>
      </c>
      <c r="B57" s="58">
        <f>VLOOKUP(Table110[[#This Row],[Date]],database!A:H,3,)</f>
        <v/>
      </c>
      <c r="C57" s="66">
        <f>B57/B56-1</f>
        <v/>
      </c>
      <c r="D57" s="66">
        <f>(Table110[[#This Row],[Index]]-B45)/B45</f>
        <v/>
      </c>
    </row>
    <row r="58">
      <c r="A58" s="17" t="n">
        <v>27851</v>
      </c>
      <c r="B58" s="58">
        <f>VLOOKUP(Table110[[#This Row],[Date]],database!A:H,3,)</f>
        <v/>
      </c>
      <c r="C58" s="66">
        <f>B58/B57-1</f>
        <v/>
      </c>
      <c r="D58" s="66">
        <f>(Table110[[#This Row],[Index]]-B46)/B46</f>
        <v/>
      </c>
    </row>
    <row r="59">
      <c r="A59" s="17" t="n">
        <v>27881</v>
      </c>
      <c r="B59" s="58">
        <f>VLOOKUP(Table110[[#This Row],[Date]],database!A:H,3,)</f>
        <v/>
      </c>
      <c r="C59" s="66">
        <f>B59/B58-1</f>
        <v/>
      </c>
      <c r="D59" s="66">
        <f>(Table110[[#This Row],[Index]]-B47)/B47</f>
        <v/>
      </c>
    </row>
    <row r="60">
      <c r="A60" s="17" t="n">
        <v>27912</v>
      </c>
      <c r="B60" s="58">
        <f>VLOOKUP(Table110[[#This Row],[Date]],database!A:H,3,)</f>
        <v/>
      </c>
      <c r="C60" s="66">
        <f>B60/B59-1</f>
        <v/>
      </c>
      <c r="D60" s="66">
        <f>(Table110[[#This Row],[Index]]-B48)/B48</f>
        <v/>
      </c>
    </row>
    <row r="61">
      <c r="A61" s="17" t="n">
        <v>27942</v>
      </c>
      <c r="B61" s="58">
        <f>VLOOKUP(Table110[[#This Row],[Date]],database!A:H,3,)</f>
        <v/>
      </c>
      <c r="C61" s="66">
        <f>B61/B60-1</f>
        <v/>
      </c>
      <c r="D61" s="66">
        <f>(Table110[[#This Row],[Index]]-B49)/B49</f>
        <v/>
      </c>
    </row>
    <row r="62">
      <c r="A62" s="17" t="n">
        <v>27973</v>
      </c>
      <c r="B62" s="58">
        <f>VLOOKUP(Table110[[#This Row],[Date]],database!A:H,3,)</f>
        <v/>
      </c>
      <c r="C62" s="66">
        <f>B62/B61-1</f>
        <v/>
      </c>
      <c r="D62" s="66">
        <f>(Table110[[#This Row],[Index]]-B50)/B50</f>
        <v/>
      </c>
    </row>
    <row r="63">
      <c r="A63" s="17" t="n">
        <v>28004</v>
      </c>
      <c r="B63" s="58">
        <f>VLOOKUP(Table110[[#This Row],[Date]],database!A:H,3,)</f>
        <v/>
      </c>
      <c r="C63" s="66">
        <f>B63/B62-1</f>
        <v/>
      </c>
      <c r="D63" s="66">
        <f>(Table110[[#This Row],[Index]]-B51)/B51</f>
        <v/>
      </c>
    </row>
    <row r="64">
      <c r="A64" s="17" t="n">
        <v>28034</v>
      </c>
      <c r="B64" s="58">
        <f>VLOOKUP(Table110[[#This Row],[Date]],database!A:H,3,)</f>
        <v/>
      </c>
      <c r="C64" s="66">
        <f>B64/B63-1</f>
        <v/>
      </c>
      <c r="D64" s="66">
        <f>(Table110[[#This Row],[Index]]-B52)/B52</f>
        <v/>
      </c>
    </row>
    <row r="65">
      <c r="A65" s="17" t="n">
        <v>28065</v>
      </c>
      <c r="B65" s="58">
        <f>VLOOKUP(Table110[[#This Row],[Date]],database!A:H,3,)</f>
        <v/>
      </c>
      <c r="C65" s="66">
        <f>B65/B64-1</f>
        <v/>
      </c>
      <c r="D65" s="66">
        <f>(Table110[[#This Row],[Index]]-B53)/B53</f>
        <v/>
      </c>
    </row>
    <row r="66">
      <c r="A66" s="17" t="n">
        <v>28095</v>
      </c>
      <c r="B66" s="58">
        <f>VLOOKUP(Table110[[#This Row],[Date]],database!A:H,3,)</f>
        <v/>
      </c>
      <c r="C66" s="66">
        <f>B66/B65-1</f>
        <v/>
      </c>
      <c r="D66" s="66">
        <f>(Table110[[#This Row],[Index]]-B54)/B54</f>
        <v/>
      </c>
    </row>
    <row r="67">
      <c r="A67" s="17" t="n">
        <v>28126</v>
      </c>
      <c r="B67" s="58">
        <f>VLOOKUP(Table110[[#This Row],[Date]],database!A:H,3,)</f>
        <v/>
      </c>
      <c r="C67" s="66">
        <f>B67/B66-1</f>
        <v/>
      </c>
      <c r="D67" s="66">
        <f>(Table110[[#This Row],[Index]]-B55)/B55</f>
        <v/>
      </c>
    </row>
    <row r="68">
      <c r="A68" s="17" t="n">
        <v>28157</v>
      </c>
      <c r="B68" s="58">
        <f>VLOOKUP(Table110[[#This Row],[Date]],database!A:H,3,)</f>
        <v/>
      </c>
      <c r="C68" s="66">
        <f>B68/B67-1</f>
        <v/>
      </c>
      <c r="D68" s="66">
        <f>(Table110[[#This Row],[Index]]-B56)/B56</f>
        <v/>
      </c>
    </row>
    <row r="69">
      <c r="A69" s="17" t="n">
        <v>28185</v>
      </c>
      <c r="B69" s="58">
        <f>VLOOKUP(Table110[[#This Row],[Date]],database!A:H,3,)</f>
        <v/>
      </c>
      <c r="C69" s="66">
        <f>B69/B68-1</f>
        <v/>
      </c>
      <c r="D69" s="66">
        <f>(Table110[[#This Row],[Index]]-B57)/B57</f>
        <v/>
      </c>
    </row>
    <row r="70">
      <c r="A70" s="17" t="n">
        <v>28216</v>
      </c>
      <c r="B70" s="58">
        <f>VLOOKUP(Table110[[#This Row],[Date]],database!A:H,3,)</f>
        <v/>
      </c>
      <c r="C70" s="66">
        <f>B70/B69-1</f>
        <v/>
      </c>
      <c r="D70" s="66">
        <f>(Table110[[#This Row],[Index]]-B58)/B58</f>
        <v/>
      </c>
    </row>
    <row r="71">
      <c r="A71" s="17" t="n">
        <v>28246</v>
      </c>
      <c r="B71" s="58">
        <f>VLOOKUP(Table110[[#This Row],[Date]],database!A:H,3,)</f>
        <v/>
      </c>
      <c r="C71" s="66">
        <f>B71/B70-1</f>
        <v/>
      </c>
      <c r="D71" s="66">
        <f>(Table110[[#This Row],[Index]]-B59)/B59</f>
        <v/>
      </c>
    </row>
    <row r="72">
      <c r="A72" s="17" t="n">
        <v>28277</v>
      </c>
      <c r="B72" s="58">
        <f>VLOOKUP(Table110[[#This Row],[Date]],database!A:H,3,)</f>
        <v/>
      </c>
      <c r="C72" s="66">
        <f>B72/B71-1</f>
        <v/>
      </c>
      <c r="D72" s="66">
        <f>(Table110[[#This Row],[Index]]-B60)/B60</f>
        <v/>
      </c>
    </row>
    <row r="73">
      <c r="A73" s="17" t="n">
        <v>28307</v>
      </c>
      <c r="B73" s="58">
        <f>VLOOKUP(Table110[[#This Row],[Date]],database!A:H,3,)</f>
        <v/>
      </c>
      <c r="C73" s="66">
        <f>B73/B72-1</f>
        <v/>
      </c>
      <c r="D73" s="66">
        <f>(Table110[[#This Row],[Index]]-B61)/B61</f>
        <v/>
      </c>
    </row>
    <row r="74">
      <c r="A74" s="17" t="n">
        <v>28338</v>
      </c>
      <c r="B74" s="58">
        <f>VLOOKUP(Table110[[#This Row],[Date]],database!A:H,3,)</f>
        <v/>
      </c>
      <c r="C74" s="66">
        <f>B74/B73-1</f>
        <v/>
      </c>
      <c r="D74" s="66">
        <f>(Table110[[#This Row],[Index]]-B62)/B62</f>
        <v/>
      </c>
    </row>
    <row r="75">
      <c r="A75" s="17" t="n">
        <v>28369</v>
      </c>
      <c r="B75" s="58">
        <f>VLOOKUP(Table110[[#This Row],[Date]],database!A:H,3,)</f>
        <v/>
      </c>
      <c r="C75" s="66">
        <f>B75/B74-1</f>
        <v/>
      </c>
      <c r="D75" s="66">
        <f>(Table110[[#This Row],[Index]]-B63)/B63</f>
        <v/>
      </c>
    </row>
    <row r="76">
      <c r="A76" s="17" t="n">
        <v>28399</v>
      </c>
      <c r="B76" s="58">
        <f>VLOOKUP(Table110[[#This Row],[Date]],database!A:H,3,)</f>
        <v/>
      </c>
      <c r="C76" s="66">
        <f>B76/B75-1</f>
        <v/>
      </c>
      <c r="D76" s="66">
        <f>(Table110[[#This Row],[Index]]-B64)/B64</f>
        <v/>
      </c>
    </row>
    <row r="77">
      <c r="A77" s="17" t="n">
        <v>28430</v>
      </c>
      <c r="B77" s="58">
        <f>VLOOKUP(Table110[[#This Row],[Date]],database!A:H,3,)</f>
        <v/>
      </c>
      <c r="C77" s="66">
        <f>B77/B76-1</f>
        <v/>
      </c>
      <c r="D77" s="66">
        <f>(Table110[[#This Row],[Index]]-B65)/B65</f>
        <v/>
      </c>
    </row>
    <row r="78">
      <c r="A78" s="17" t="n">
        <v>28460</v>
      </c>
      <c r="B78" s="58">
        <f>VLOOKUP(Table110[[#This Row],[Date]],database!A:H,3,)</f>
        <v/>
      </c>
      <c r="C78" s="66">
        <f>B78/B77-1</f>
        <v/>
      </c>
      <c r="D78" s="66">
        <f>(Table110[[#This Row],[Index]]-B66)/B66</f>
        <v/>
      </c>
    </row>
    <row r="79">
      <c r="A79" s="17" t="n">
        <v>28491</v>
      </c>
      <c r="B79" s="58">
        <f>VLOOKUP(Table110[[#This Row],[Date]],database!A:H,3,)</f>
        <v/>
      </c>
      <c r="C79" s="66">
        <f>B79/B78-1</f>
        <v/>
      </c>
      <c r="D79" s="66">
        <f>(Table110[[#This Row],[Index]]-B67)/B67</f>
        <v/>
      </c>
    </row>
    <row r="80">
      <c r="A80" s="17" t="n">
        <v>28522</v>
      </c>
      <c r="B80" s="58">
        <f>VLOOKUP(Table110[[#This Row],[Date]],database!A:H,3,)</f>
        <v/>
      </c>
      <c r="C80" s="66">
        <f>B80/B79-1</f>
        <v/>
      </c>
      <c r="D80" s="66">
        <f>(Table110[[#This Row],[Index]]-B68)/B68</f>
        <v/>
      </c>
    </row>
    <row r="81">
      <c r="A81" s="17" t="n">
        <v>28550</v>
      </c>
      <c r="B81" s="58">
        <f>VLOOKUP(Table110[[#This Row],[Date]],database!A:H,3,)</f>
        <v/>
      </c>
      <c r="C81" s="66">
        <f>B81/B80-1</f>
        <v/>
      </c>
      <c r="D81" s="66">
        <f>(Table110[[#This Row],[Index]]-B69)/B69</f>
        <v/>
      </c>
    </row>
    <row r="82">
      <c r="A82" s="17" t="n">
        <v>28581</v>
      </c>
      <c r="B82" s="58">
        <f>VLOOKUP(Table110[[#This Row],[Date]],database!A:H,3,)</f>
        <v/>
      </c>
      <c r="C82" s="66">
        <f>B82/B81-1</f>
        <v/>
      </c>
      <c r="D82" s="66">
        <f>(Table110[[#This Row],[Index]]-B70)/B70</f>
        <v/>
      </c>
    </row>
    <row r="83">
      <c r="A83" s="17" t="n">
        <v>28611</v>
      </c>
      <c r="B83" s="58">
        <f>VLOOKUP(Table110[[#This Row],[Date]],database!A:H,3,)</f>
        <v/>
      </c>
      <c r="C83" s="66">
        <f>B83/B82-1</f>
        <v/>
      </c>
      <c r="D83" s="66">
        <f>(Table110[[#This Row],[Index]]-B71)/B71</f>
        <v/>
      </c>
    </row>
    <row r="84">
      <c r="A84" s="17" t="n">
        <v>28642</v>
      </c>
      <c r="B84" s="58">
        <f>VLOOKUP(Table110[[#This Row],[Date]],database!A:H,3,)</f>
        <v/>
      </c>
      <c r="C84" s="66">
        <f>B84/B83-1</f>
        <v/>
      </c>
      <c r="D84" s="66">
        <f>(Table110[[#This Row],[Index]]-B72)/B72</f>
        <v/>
      </c>
    </row>
    <row r="85">
      <c r="A85" s="17" t="n">
        <v>28672</v>
      </c>
      <c r="B85" s="58">
        <f>VLOOKUP(Table110[[#This Row],[Date]],database!A:H,3,)</f>
        <v/>
      </c>
      <c r="C85" s="66">
        <f>B85/B84-1</f>
        <v/>
      </c>
      <c r="D85" s="66">
        <f>(Table110[[#This Row],[Index]]-B73)/B73</f>
        <v/>
      </c>
    </row>
    <row r="86">
      <c r="A86" s="17" t="n">
        <v>28703</v>
      </c>
      <c r="B86" s="58">
        <f>VLOOKUP(Table110[[#This Row],[Date]],database!A:H,3,)</f>
        <v/>
      </c>
      <c r="C86" s="66">
        <f>B86/B85-1</f>
        <v/>
      </c>
      <c r="D86" s="66">
        <f>(Table110[[#This Row],[Index]]-B74)/B74</f>
        <v/>
      </c>
    </row>
    <row r="87">
      <c r="A87" s="17" t="n">
        <v>28734</v>
      </c>
      <c r="B87" s="58">
        <f>VLOOKUP(Table110[[#This Row],[Date]],database!A:H,3,)</f>
        <v/>
      </c>
      <c r="C87" s="66">
        <f>B87/B86-1</f>
        <v/>
      </c>
      <c r="D87" s="66">
        <f>(Table110[[#This Row],[Index]]-B75)/B75</f>
        <v/>
      </c>
    </row>
    <row r="88">
      <c r="A88" s="17" t="n">
        <v>28764</v>
      </c>
      <c r="B88" s="58">
        <f>VLOOKUP(Table110[[#This Row],[Date]],database!A:H,3,)</f>
        <v/>
      </c>
      <c r="C88" s="66">
        <f>B88/B87-1</f>
        <v/>
      </c>
      <c r="D88" s="66">
        <f>(Table110[[#This Row],[Index]]-B76)/B76</f>
        <v/>
      </c>
    </row>
    <row r="89">
      <c r="A89" s="17" t="n">
        <v>28795</v>
      </c>
      <c r="B89" s="58">
        <f>VLOOKUP(Table110[[#This Row],[Date]],database!A:H,3,)</f>
        <v/>
      </c>
      <c r="C89" s="66">
        <f>B89/B88-1</f>
        <v/>
      </c>
      <c r="D89" s="66">
        <f>(Table110[[#This Row],[Index]]-B77)/B77</f>
        <v/>
      </c>
    </row>
    <row r="90">
      <c r="A90" s="17" t="n">
        <v>28825</v>
      </c>
      <c r="B90" s="58">
        <f>VLOOKUP(Table110[[#This Row],[Date]],database!A:H,3,)</f>
        <v/>
      </c>
      <c r="C90" s="66">
        <f>B90/B89-1</f>
        <v/>
      </c>
      <c r="D90" s="66">
        <f>(Table110[[#This Row],[Index]]-B78)/B78</f>
        <v/>
      </c>
    </row>
    <row r="91">
      <c r="A91" s="17" t="n">
        <v>28856</v>
      </c>
      <c r="B91" s="58">
        <f>VLOOKUP(Table110[[#This Row],[Date]],database!A:H,3,)</f>
        <v/>
      </c>
      <c r="C91" s="66">
        <f>B91/B90-1</f>
        <v/>
      </c>
      <c r="D91" s="66">
        <f>(Table110[[#This Row],[Index]]-B79)/B79</f>
        <v/>
      </c>
    </row>
    <row r="92">
      <c r="A92" s="17" t="n">
        <v>28887</v>
      </c>
      <c r="B92" s="58">
        <f>VLOOKUP(Table110[[#This Row],[Date]],database!A:H,3,)</f>
        <v/>
      </c>
      <c r="C92" s="66">
        <f>B92/B91-1</f>
        <v/>
      </c>
      <c r="D92" s="66">
        <f>(Table110[[#This Row],[Index]]-B80)/B80</f>
        <v/>
      </c>
    </row>
    <row r="93">
      <c r="A93" s="17" t="n">
        <v>28915</v>
      </c>
      <c r="B93" s="58">
        <f>VLOOKUP(Table110[[#This Row],[Date]],database!A:H,3,)</f>
        <v/>
      </c>
      <c r="C93" s="66">
        <f>B93/B92-1</f>
        <v/>
      </c>
      <c r="D93" s="66">
        <f>(Table110[[#This Row],[Index]]-B81)/B81</f>
        <v/>
      </c>
    </row>
    <row r="94">
      <c r="A94" s="17" t="n">
        <v>28946</v>
      </c>
      <c r="B94" s="58">
        <f>VLOOKUP(Table110[[#This Row],[Date]],database!A:H,3,)</f>
        <v/>
      </c>
      <c r="C94" s="66">
        <f>B94/B93-1</f>
        <v/>
      </c>
      <c r="D94" s="66">
        <f>(Table110[[#This Row],[Index]]-B82)/B82</f>
        <v/>
      </c>
    </row>
    <row r="95">
      <c r="A95" s="17" t="n">
        <v>28976</v>
      </c>
      <c r="B95" s="58">
        <f>VLOOKUP(Table110[[#This Row],[Date]],database!A:H,3,)</f>
        <v/>
      </c>
      <c r="C95" s="66">
        <f>B95/B94-1</f>
        <v/>
      </c>
      <c r="D95" s="66">
        <f>(Table110[[#This Row],[Index]]-B83)/B83</f>
        <v/>
      </c>
    </row>
    <row r="96">
      <c r="A96" s="17" t="n">
        <v>29007</v>
      </c>
      <c r="B96" s="58">
        <f>VLOOKUP(Table110[[#This Row],[Date]],database!A:H,3,)</f>
        <v/>
      </c>
      <c r="C96" s="66">
        <f>B96/B95-1</f>
        <v/>
      </c>
      <c r="D96" s="66">
        <f>(Table110[[#This Row],[Index]]-B84)/B84</f>
        <v/>
      </c>
    </row>
    <row r="97">
      <c r="A97" s="17" t="n">
        <v>29037</v>
      </c>
      <c r="B97" s="58">
        <f>VLOOKUP(Table110[[#This Row],[Date]],database!A:H,3,)</f>
        <v/>
      </c>
      <c r="C97" s="66">
        <f>B97/B96-1</f>
        <v/>
      </c>
      <c r="D97" s="66">
        <f>(Table110[[#This Row],[Index]]-B85)/B85</f>
        <v/>
      </c>
    </row>
    <row r="98">
      <c r="A98" s="17" t="n">
        <v>29068</v>
      </c>
      <c r="B98" s="58">
        <f>VLOOKUP(Table110[[#This Row],[Date]],database!A:H,3,)</f>
        <v/>
      </c>
      <c r="C98" s="66">
        <f>B98/B97-1</f>
        <v/>
      </c>
      <c r="D98" s="66">
        <f>(Table110[[#This Row],[Index]]-B86)/B86</f>
        <v/>
      </c>
    </row>
    <row r="99">
      <c r="A99" s="17" t="n">
        <v>29099</v>
      </c>
      <c r="B99" s="58">
        <f>VLOOKUP(Table110[[#This Row],[Date]],database!A:H,3,)</f>
        <v/>
      </c>
      <c r="C99" s="66">
        <f>B99/B98-1</f>
        <v/>
      </c>
      <c r="D99" s="66">
        <f>(Table110[[#This Row],[Index]]-B87)/B87</f>
        <v/>
      </c>
    </row>
    <row r="100">
      <c r="A100" s="17" t="n">
        <v>29129</v>
      </c>
      <c r="B100" s="58">
        <f>VLOOKUP(Table110[[#This Row],[Date]],database!A:H,3,)</f>
        <v/>
      </c>
      <c r="C100" s="66">
        <f>B100/B99-1</f>
        <v/>
      </c>
      <c r="D100" s="66">
        <f>(Table110[[#This Row],[Index]]-B88)/B88</f>
        <v/>
      </c>
    </row>
    <row r="101">
      <c r="A101" s="17" t="n">
        <v>29160</v>
      </c>
      <c r="B101" s="58">
        <f>VLOOKUP(Table110[[#This Row],[Date]],database!A:H,3,)</f>
        <v/>
      </c>
      <c r="C101" s="66">
        <f>B101/B100-1</f>
        <v/>
      </c>
      <c r="D101" s="66">
        <f>(Table110[[#This Row],[Index]]-B89)/B89</f>
        <v/>
      </c>
    </row>
    <row r="102">
      <c r="A102" s="17" t="n">
        <v>29190</v>
      </c>
      <c r="B102" s="58">
        <f>VLOOKUP(Table110[[#This Row],[Date]],database!A:H,3,)</f>
        <v/>
      </c>
      <c r="C102" s="66">
        <f>B102/B101-1</f>
        <v/>
      </c>
      <c r="D102" s="66">
        <f>(Table110[[#This Row],[Index]]-B90)/B90</f>
        <v/>
      </c>
    </row>
    <row r="103">
      <c r="A103" s="17" t="n">
        <v>29221</v>
      </c>
      <c r="B103" s="58">
        <f>VLOOKUP(Table110[[#This Row],[Date]],database!A:H,3,)</f>
        <v/>
      </c>
      <c r="C103" s="66">
        <f>B103/B102-1</f>
        <v/>
      </c>
      <c r="D103" s="66">
        <f>(Table110[[#This Row],[Index]]-B91)/B91</f>
        <v/>
      </c>
    </row>
    <row r="104">
      <c r="A104" s="17" t="n">
        <v>29252</v>
      </c>
      <c r="B104" s="58">
        <f>VLOOKUP(Table110[[#This Row],[Date]],database!A:H,3,)</f>
        <v/>
      </c>
      <c r="C104" s="66">
        <f>B104/B103-1</f>
        <v/>
      </c>
      <c r="D104" s="66">
        <f>(Table110[[#This Row],[Index]]-B92)/B92</f>
        <v/>
      </c>
    </row>
    <row r="105">
      <c r="A105" s="17" t="n">
        <v>29281</v>
      </c>
      <c r="B105" s="58">
        <f>VLOOKUP(Table110[[#This Row],[Date]],database!A:H,3,)</f>
        <v/>
      </c>
      <c r="C105" s="66">
        <f>B105/B104-1</f>
        <v/>
      </c>
      <c r="D105" s="66">
        <f>(Table110[[#This Row],[Index]]-B93)/B93</f>
        <v/>
      </c>
    </row>
    <row r="106">
      <c r="A106" s="17" t="n">
        <v>29312</v>
      </c>
      <c r="B106" s="58">
        <f>VLOOKUP(Table110[[#This Row],[Date]],database!A:H,3,)</f>
        <v/>
      </c>
      <c r="C106" s="66">
        <f>B106/B105-1</f>
        <v/>
      </c>
      <c r="D106" s="66">
        <f>(Table110[[#This Row],[Index]]-B94)/B94</f>
        <v/>
      </c>
    </row>
    <row r="107">
      <c r="A107" s="17" t="n">
        <v>29342</v>
      </c>
      <c r="B107" s="58">
        <f>VLOOKUP(Table110[[#This Row],[Date]],database!A:H,3,)</f>
        <v/>
      </c>
      <c r="C107" s="66">
        <f>B107/B106-1</f>
        <v/>
      </c>
      <c r="D107" s="66">
        <f>(Table110[[#This Row],[Index]]-B95)/B95</f>
        <v/>
      </c>
    </row>
    <row r="108">
      <c r="A108" s="17" t="n">
        <v>29373</v>
      </c>
      <c r="B108" s="58">
        <f>VLOOKUP(Table110[[#This Row],[Date]],database!A:H,3,)</f>
        <v/>
      </c>
      <c r="C108" s="66">
        <f>B108/B107-1</f>
        <v/>
      </c>
      <c r="D108" s="66">
        <f>(Table110[[#This Row],[Index]]-B96)/B96</f>
        <v/>
      </c>
    </row>
    <row r="109">
      <c r="A109" s="17" t="n">
        <v>29403</v>
      </c>
      <c r="B109" s="58">
        <f>VLOOKUP(Table110[[#This Row],[Date]],database!A:H,3,)</f>
        <v/>
      </c>
      <c r="C109" s="66">
        <f>B109/B108-1</f>
        <v/>
      </c>
      <c r="D109" s="66">
        <f>(Table110[[#This Row],[Index]]-B97)/B97</f>
        <v/>
      </c>
    </row>
    <row r="110">
      <c r="A110" s="17" t="n">
        <v>29434</v>
      </c>
      <c r="B110" s="58">
        <f>VLOOKUP(Table110[[#This Row],[Date]],database!A:H,3,)</f>
        <v/>
      </c>
      <c r="C110" s="66">
        <f>B110/B109-1</f>
        <v/>
      </c>
      <c r="D110" s="66">
        <f>(Table110[[#This Row],[Index]]-B98)/B98</f>
        <v/>
      </c>
    </row>
    <row r="111">
      <c r="A111" s="17" t="n">
        <v>29465</v>
      </c>
      <c r="B111" s="58">
        <f>VLOOKUP(Table110[[#This Row],[Date]],database!A:H,3,)</f>
        <v/>
      </c>
      <c r="C111" s="66">
        <f>B111/B110-1</f>
        <v/>
      </c>
      <c r="D111" s="66">
        <f>(Table110[[#This Row],[Index]]-B99)/B99</f>
        <v/>
      </c>
    </row>
    <row r="112">
      <c r="A112" s="17" t="n">
        <v>29495</v>
      </c>
      <c r="B112" s="58">
        <f>VLOOKUP(Table110[[#This Row],[Date]],database!A:H,3,)</f>
        <v/>
      </c>
      <c r="C112" s="66">
        <f>B112/B111-1</f>
        <v/>
      </c>
      <c r="D112" s="66">
        <f>(Table110[[#This Row],[Index]]-B100)/B100</f>
        <v/>
      </c>
    </row>
    <row r="113">
      <c r="A113" s="17" t="n">
        <v>29526</v>
      </c>
      <c r="B113" s="58">
        <f>VLOOKUP(Table110[[#This Row],[Date]],database!A:H,3,)</f>
        <v/>
      </c>
      <c r="C113" s="66">
        <f>B113/B112-1</f>
        <v/>
      </c>
      <c r="D113" s="66">
        <f>(Table110[[#This Row],[Index]]-B101)/B101</f>
        <v/>
      </c>
    </row>
    <row r="114">
      <c r="A114" s="17" t="n">
        <v>29556</v>
      </c>
      <c r="B114" s="58">
        <f>VLOOKUP(Table110[[#This Row],[Date]],database!A:H,3,)</f>
        <v/>
      </c>
      <c r="C114" s="66">
        <f>B114/B113-1</f>
        <v/>
      </c>
      <c r="D114" s="66">
        <f>(Table110[[#This Row],[Index]]-B102)/B102</f>
        <v/>
      </c>
    </row>
    <row r="115">
      <c r="A115" s="17" t="n">
        <v>29587</v>
      </c>
      <c r="B115" s="58">
        <f>VLOOKUP(Table110[[#This Row],[Date]],database!A:H,3,)</f>
        <v/>
      </c>
      <c r="C115" s="66">
        <f>B115/B114-1</f>
        <v/>
      </c>
      <c r="D115" s="66">
        <f>(Table110[[#This Row],[Index]]-B103)/B103</f>
        <v/>
      </c>
    </row>
    <row r="116">
      <c r="A116" s="17" t="n">
        <v>29618</v>
      </c>
      <c r="B116" s="58">
        <f>VLOOKUP(Table110[[#This Row],[Date]],database!A:H,3,)</f>
        <v/>
      </c>
      <c r="C116" s="66">
        <f>B116/B115-1</f>
        <v/>
      </c>
      <c r="D116" s="66">
        <f>(Table110[[#This Row],[Index]]-B104)/B104</f>
        <v/>
      </c>
    </row>
    <row r="117">
      <c r="A117" s="17" t="n">
        <v>29646</v>
      </c>
      <c r="B117" s="58">
        <f>VLOOKUP(Table110[[#This Row],[Date]],database!A:H,3,)</f>
        <v/>
      </c>
      <c r="C117" s="66">
        <f>B117/B116-1</f>
        <v/>
      </c>
      <c r="D117" s="66">
        <f>(Table110[[#This Row],[Index]]-B105)/B105</f>
        <v/>
      </c>
    </row>
    <row r="118">
      <c r="A118" s="17" t="n">
        <v>29677</v>
      </c>
      <c r="B118" s="58">
        <f>VLOOKUP(Table110[[#This Row],[Date]],database!A:H,3,)</f>
        <v/>
      </c>
      <c r="C118" s="66">
        <f>B118/B117-1</f>
        <v/>
      </c>
      <c r="D118" s="66">
        <f>(Table110[[#This Row],[Index]]-B106)/B106</f>
        <v/>
      </c>
    </row>
    <row r="119">
      <c r="A119" s="17" t="n">
        <v>29707</v>
      </c>
      <c r="B119" s="58">
        <f>VLOOKUP(Table110[[#This Row],[Date]],database!A:H,3,)</f>
        <v/>
      </c>
      <c r="C119" s="66">
        <f>B119/B118-1</f>
        <v/>
      </c>
      <c r="D119" s="66">
        <f>(Table110[[#This Row],[Index]]-B107)/B107</f>
        <v/>
      </c>
    </row>
    <row r="120">
      <c r="A120" s="17" t="n">
        <v>29738</v>
      </c>
      <c r="B120" s="58">
        <f>VLOOKUP(Table110[[#This Row],[Date]],database!A:H,3,)</f>
        <v/>
      </c>
      <c r="C120" s="66">
        <f>B120/B119-1</f>
        <v/>
      </c>
      <c r="D120" s="66">
        <f>(Table110[[#This Row],[Index]]-B108)/B108</f>
        <v/>
      </c>
    </row>
    <row r="121">
      <c r="A121" s="17" t="n">
        <v>29768</v>
      </c>
      <c r="B121" s="58">
        <f>VLOOKUP(Table110[[#This Row],[Date]],database!A:H,3,)</f>
        <v/>
      </c>
      <c r="C121" s="66">
        <f>B121/B120-1</f>
        <v/>
      </c>
      <c r="D121" s="66">
        <f>(Table110[[#This Row],[Index]]-B109)/B109</f>
        <v/>
      </c>
    </row>
    <row r="122">
      <c r="A122" s="17" t="n">
        <v>29799</v>
      </c>
      <c r="B122" s="58">
        <f>VLOOKUP(Table110[[#This Row],[Date]],database!A:H,3,)</f>
        <v/>
      </c>
      <c r="C122" s="66">
        <f>B122/B121-1</f>
        <v/>
      </c>
      <c r="D122" s="66">
        <f>(Table110[[#This Row],[Index]]-B110)/B110</f>
        <v/>
      </c>
    </row>
    <row r="123">
      <c r="A123" s="17" t="n">
        <v>29830</v>
      </c>
      <c r="B123" s="58">
        <f>VLOOKUP(Table110[[#This Row],[Date]],database!A:H,3,)</f>
        <v/>
      </c>
      <c r="C123" s="66">
        <f>B123/B122-1</f>
        <v/>
      </c>
      <c r="D123" s="66">
        <f>(Table110[[#This Row],[Index]]-B111)/B111</f>
        <v/>
      </c>
    </row>
    <row r="124">
      <c r="A124" s="17" t="n">
        <v>29860</v>
      </c>
      <c r="B124" s="58">
        <f>VLOOKUP(Table110[[#This Row],[Date]],database!A:H,3,)</f>
        <v/>
      </c>
      <c r="C124" s="66">
        <f>B124/B123-1</f>
        <v/>
      </c>
      <c r="D124" s="66">
        <f>(Table110[[#This Row],[Index]]-B112)/B112</f>
        <v/>
      </c>
    </row>
    <row r="125">
      <c r="A125" s="17" t="n">
        <v>29891</v>
      </c>
      <c r="B125" s="58">
        <f>VLOOKUP(Table110[[#This Row],[Date]],database!A:H,3,)</f>
        <v/>
      </c>
      <c r="C125" s="66">
        <f>B125/B124-1</f>
        <v/>
      </c>
      <c r="D125" s="66">
        <f>(Table110[[#This Row],[Index]]-B113)/B113</f>
        <v/>
      </c>
    </row>
    <row r="126">
      <c r="A126" s="17" t="n">
        <v>29921</v>
      </c>
      <c r="B126" s="58">
        <f>VLOOKUP(Table110[[#This Row],[Date]],database!A:H,3,)</f>
        <v/>
      </c>
      <c r="C126" s="66">
        <f>B126/B125-1</f>
        <v/>
      </c>
      <c r="D126" s="66">
        <f>(Table110[[#This Row],[Index]]-B114)/B114</f>
        <v/>
      </c>
    </row>
    <row r="127">
      <c r="A127" s="17" t="n">
        <v>29952</v>
      </c>
      <c r="B127" s="58">
        <f>VLOOKUP(Table110[[#This Row],[Date]],database!A:H,3,)</f>
        <v/>
      </c>
      <c r="C127" s="66">
        <f>B127/B126-1</f>
        <v/>
      </c>
      <c r="D127" s="66">
        <f>(Table110[[#This Row],[Index]]-B115)/B115</f>
        <v/>
      </c>
    </row>
    <row r="128">
      <c r="A128" s="17" t="n">
        <v>29983</v>
      </c>
      <c r="B128" s="58">
        <f>VLOOKUP(Table110[[#This Row],[Date]],database!A:H,3,)</f>
        <v/>
      </c>
      <c r="C128" s="66">
        <f>B128/B127-1</f>
        <v/>
      </c>
      <c r="D128" s="66">
        <f>(Table110[[#This Row],[Index]]-B116)/B116</f>
        <v/>
      </c>
    </row>
    <row r="129">
      <c r="A129" s="17" t="n">
        <v>30011</v>
      </c>
      <c r="B129" s="58">
        <f>VLOOKUP(Table110[[#This Row],[Date]],database!A:H,3,)</f>
        <v/>
      </c>
      <c r="C129" s="66">
        <f>B129/B128-1</f>
        <v/>
      </c>
      <c r="D129" s="66">
        <f>(Table110[[#This Row],[Index]]-B117)/B117</f>
        <v/>
      </c>
    </row>
    <row r="130">
      <c r="A130" s="17" t="n">
        <v>30042</v>
      </c>
      <c r="B130" s="58">
        <f>VLOOKUP(Table110[[#This Row],[Date]],database!A:H,3,)</f>
        <v/>
      </c>
      <c r="C130" s="66">
        <f>B130/B129-1</f>
        <v/>
      </c>
      <c r="D130" s="66">
        <f>(Table110[[#This Row],[Index]]-B118)/B118</f>
        <v/>
      </c>
    </row>
    <row r="131">
      <c r="A131" s="17" t="n">
        <v>30072</v>
      </c>
      <c r="B131" s="58">
        <f>VLOOKUP(Table110[[#This Row],[Date]],database!A:H,3,)</f>
        <v/>
      </c>
      <c r="C131" s="66">
        <f>B131/B130-1</f>
        <v/>
      </c>
      <c r="D131" s="66">
        <f>(Table110[[#This Row],[Index]]-B119)/B119</f>
        <v/>
      </c>
    </row>
    <row r="132">
      <c r="A132" s="17" t="n">
        <v>30103</v>
      </c>
      <c r="B132" s="58">
        <f>VLOOKUP(Table110[[#This Row],[Date]],database!A:H,3,)</f>
        <v/>
      </c>
      <c r="C132" s="66">
        <f>B132/B131-1</f>
        <v/>
      </c>
      <c r="D132" s="66">
        <f>(Table110[[#This Row],[Index]]-B120)/B120</f>
        <v/>
      </c>
    </row>
    <row r="133">
      <c r="A133" s="17" t="n">
        <v>30133</v>
      </c>
      <c r="B133" s="58">
        <f>VLOOKUP(Table110[[#This Row],[Date]],database!A:H,3,)</f>
        <v/>
      </c>
      <c r="C133" s="66">
        <f>B133/B132-1</f>
        <v/>
      </c>
      <c r="D133" s="66">
        <f>(Table110[[#This Row],[Index]]-B121)/B121</f>
        <v/>
      </c>
    </row>
    <row r="134">
      <c r="A134" s="17" t="n">
        <v>30164</v>
      </c>
      <c r="B134" s="58">
        <f>VLOOKUP(Table110[[#This Row],[Date]],database!A:H,3,)</f>
        <v/>
      </c>
      <c r="C134" s="66">
        <f>B134/B133-1</f>
        <v/>
      </c>
      <c r="D134" s="66">
        <f>(Table110[[#This Row],[Index]]-B122)/B122</f>
        <v/>
      </c>
    </row>
    <row r="135">
      <c r="A135" s="17" t="n">
        <v>30195</v>
      </c>
      <c r="B135" s="58">
        <f>VLOOKUP(Table110[[#This Row],[Date]],database!A:H,3,)</f>
        <v/>
      </c>
      <c r="C135" s="66">
        <f>B135/B134-1</f>
        <v/>
      </c>
      <c r="D135" s="66">
        <f>(Table110[[#This Row],[Index]]-B123)/B123</f>
        <v/>
      </c>
    </row>
    <row r="136">
      <c r="A136" s="17" t="n">
        <v>30225</v>
      </c>
      <c r="B136" s="58">
        <f>VLOOKUP(Table110[[#This Row],[Date]],database!A:H,3,)</f>
        <v/>
      </c>
      <c r="C136" s="66">
        <f>B136/B135-1</f>
        <v/>
      </c>
      <c r="D136" s="66">
        <f>(Table110[[#This Row],[Index]]-B124)/B124</f>
        <v/>
      </c>
    </row>
    <row r="137">
      <c r="A137" s="17" t="n">
        <v>30256</v>
      </c>
      <c r="B137" s="58">
        <f>VLOOKUP(Table110[[#This Row],[Date]],database!A:H,3,)</f>
        <v/>
      </c>
      <c r="C137" s="66">
        <f>B137/B136-1</f>
        <v/>
      </c>
      <c r="D137" s="66">
        <f>(Table110[[#This Row],[Index]]-B125)/B125</f>
        <v/>
      </c>
    </row>
    <row r="138">
      <c r="A138" s="17" t="n">
        <v>30286</v>
      </c>
      <c r="B138" s="58">
        <f>VLOOKUP(Table110[[#This Row],[Date]],database!A:H,3,)</f>
        <v/>
      </c>
      <c r="C138" s="66">
        <f>B138/B137-1</f>
        <v/>
      </c>
      <c r="D138" s="66">
        <f>(Table110[[#This Row],[Index]]-B126)/B126</f>
        <v/>
      </c>
    </row>
    <row r="139">
      <c r="A139" s="17" t="n">
        <v>30317</v>
      </c>
      <c r="B139" s="58">
        <f>VLOOKUP(Table110[[#This Row],[Date]],database!A:H,3,)</f>
        <v/>
      </c>
      <c r="C139" s="66">
        <f>B139/B138-1</f>
        <v/>
      </c>
      <c r="D139" s="66">
        <f>(Table110[[#This Row],[Index]]-B127)/B127</f>
        <v/>
      </c>
    </row>
    <row r="140">
      <c r="A140" s="17" t="n">
        <v>30348</v>
      </c>
      <c r="B140" s="58">
        <f>VLOOKUP(Table110[[#This Row],[Date]],database!A:H,3,)</f>
        <v/>
      </c>
      <c r="C140" s="66">
        <f>B140/B139-1</f>
        <v/>
      </c>
      <c r="D140" s="66">
        <f>(Table110[[#This Row],[Index]]-B128)/B128</f>
        <v/>
      </c>
    </row>
    <row r="141">
      <c r="A141" s="17" t="n">
        <v>30376</v>
      </c>
      <c r="B141" s="58">
        <f>VLOOKUP(Table110[[#This Row],[Date]],database!A:H,3,)</f>
        <v/>
      </c>
      <c r="C141" s="66">
        <f>B141/B140-1</f>
        <v/>
      </c>
      <c r="D141" s="66">
        <f>(Table110[[#This Row],[Index]]-B129)/B129</f>
        <v/>
      </c>
    </row>
    <row r="142">
      <c r="A142" s="17" t="n">
        <v>30407</v>
      </c>
      <c r="B142" s="58">
        <f>VLOOKUP(Table110[[#This Row],[Date]],database!A:H,3,)</f>
        <v/>
      </c>
      <c r="C142" s="66">
        <f>B142/B141-1</f>
        <v/>
      </c>
      <c r="D142" s="66">
        <f>(Table110[[#This Row],[Index]]-B130)/B130</f>
        <v/>
      </c>
    </row>
    <row r="143">
      <c r="A143" s="17" t="n">
        <v>30437</v>
      </c>
      <c r="B143" s="58">
        <f>VLOOKUP(Table110[[#This Row],[Date]],database!A:H,3,)</f>
        <v/>
      </c>
      <c r="C143" s="66">
        <f>B143/B142-1</f>
        <v/>
      </c>
      <c r="D143" s="66">
        <f>(Table110[[#This Row],[Index]]-B131)/B131</f>
        <v/>
      </c>
    </row>
    <row r="144">
      <c r="A144" s="17" t="n">
        <v>30468</v>
      </c>
      <c r="B144" s="58">
        <f>VLOOKUP(Table110[[#This Row],[Date]],database!A:H,3,)</f>
        <v/>
      </c>
      <c r="C144" s="66">
        <f>B144/B143-1</f>
        <v/>
      </c>
      <c r="D144" s="66">
        <f>(Table110[[#This Row],[Index]]-B132)/B132</f>
        <v/>
      </c>
    </row>
    <row r="145">
      <c r="A145" s="17" t="n">
        <v>30498</v>
      </c>
      <c r="B145" s="58">
        <f>VLOOKUP(Table110[[#This Row],[Date]],database!A:H,3,)</f>
        <v/>
      </c>
      <c r="C145" s="66">
        <f>B145/B144-1</f>
        <v/>
      </c>
      <c r="D145" s="66">
        <f>(Table110[[#This Row],[Index]]-B133)/B133</f>
        <v/>
      </c>
    </row>
    <row r="146">
      <c r="A146" s="17" t="n">
        <v>30529</v>
      </c>
      <c r="B146" s="58">
        <f>VLOOKUP(Table110[[#This Row],[Date]],database!A:H,3,)</f>
        <v/>
      </c>
      <c r="C146" s="66">
        <f>B146/B145-1</f>
        <v/>
      </c>
      <c r="D146" s="66">
        <f>(Table110[[#This Row],[Index]]-B134)/B134</f>
        <v/>
      </c>
    </row>
    <row r="147">
      <c r="A147" s="17" t="n">
        <v>30560</v>
      </c>
      <c r="B147" s="58">
        <f>VLOOKUP(Table110[[#This Row],[Date]],database!A:H,3,)</f>
        <v/>
      </c>
      <c r="C147" s="66">
        <f>B147/B146-1</f>
        <v/>
      </c>
      <c r="D147" s="66">
        <f>(Table110[[#This Row],[Index]]-B135)/B135</f>
        <v/>
      </c>
    </row>
    <row r="148">
      <c r="A148" s="17" t="n">
        <v>30590</v>
      </c>
      <c r="B148" s="58">
        <f>VLOOKUP(Table110[[#This Row],[Date]],database!A:H,3,)</f>
        <v/>
      </c>
      <c r="C148" s="66">
        <f>B148/B147-1</f>
        <v/>
      </c>
      <c r="D148" s="66">
        <f>(Table110[[#This Row],[Index]]-B136)/B136</f>
        <v/>
      </c>
    </row>
    <row r="149">
      <c r="A149" s="17" t="n">
        <v>30621</v>
      </c>
      <c r="B149" s="58">
        <f>VLOOKUP(Table110[[#This Row],[Date]],database!A:H,3,)</f>
        <v/>
      </c>
      <c r="C149" s="66">
        <f>B149/B148-1</f>
        <v/>
      </c>
      <c r="D149" s="66">
        <f>(Table110[[#This Row],[Index]]-B137)/B137</f>
        <v/>
      </c>
    </row>
    <row r="150">
      <c r="A150" s="17" t="n">
        <v>30651</v>
      </c>
      <c r="B150" s="58">
        <f>VLOOKUP(Table110[[#This Row],[Date]],database!A:H,3,)</f>
        <v/>
      </c>
      <c r="C150" s="66">
        <f>B150/B149-1</f>
        <v/>
      </c>
      <c r="D150" s="66">
        <f>(Table110[[#This Row],[Index]]-B138)/B138</f>
        <v/>
      </c>
    </row>
    <row r="151">
      <c r="A151" s="17" t="n">
        <v>30682</v>
      </c>
      <c r="B151" s="58">
        <f>VLOOKUP(Table110[[#This Row],[Date]],database!A:H,3,)</f>
        <v/>
      </c>
      <c r="C151" s="66">
        <f>B151/B150-1</f>
        <v/>
      </c>
      <c r="D151" s="66">
        <f>(Table110[[#This Row],[Index]]-B139)/B139</f>
        <v/>
      </c>
    </row>
    <row r="152">
      <c r="A152" s="17" t="n">
        <v>30713</v>
      </c>
      <c r="B152" s="58">
        <f>VLOOKUP(Table110[[#This Row],[Date]],database!A:H,3,)</f>
        <v/>
      </c>
      <c r="C152" s="66">
        <f>B152/B151-1</f>
        <v/>
      </c>
      <c r="D152" s="66">
        <f>(Table110[[#This Row],[Index]]-B140)/B140</f>
        <v/>
      </c>
    </row>
    <row r="153">
      <c r="A153" s="17" t="n">
        <v>30742</v>
      </c>
      <c r="B153" s="58">
        <f>VLOOKUP(Table110[[#This Row],[Date]],database!A:H,3,)</f>
        <v/>
      </c>
      <c r="C153" s="66">
        <f>B153/B152-1</f>
        <v/>
      </c>
      <c r="D153" s="66">
        <f>(Table110[[#This Row],[Index]]-B141)/B141</f>
        <v/>
      </c>
    </row>
    <row r="154">
      <c r="A154" s="17" t="n">
        <v>30773</v>
      </c>
      <c r="B154" s="58">
        <f>VLOOKUP(Table110[[#This Row],[Date]],database!A:H,3,)</f>
        <v/>
      </c>
      <c r="C154" s="66">
        <f>B154/B153-1</f>
        <v/>
      </c>
      <c r="D154" s="66">
        <f>(Table110[[#This Row],[Index]]-B142)/B142</f>
        <v/>
      </c>
    </row>
    <row r="155">
      <c r="A155" s="17" t="n">
        <v>30803</v>
      </c>
      <c r="B155" s="58">
        <f>VLOOKUP(Table110[[#This Row],[Date]],database!A:H,3,)</f>
        <v/>
      </c>
      <c r="C155" s="66">
        <f>B155/B154-1</f>
        <v/>
      </c>
      <c r="D155" s="66">
        <f>(Table110[[#This Row],[Index]]-B143)/B143</f>
        <v/>
      </c>
    </row>
    <row r="156">
      <c r="A156" s="17" t="n">
        <v>30834</v>
      </c>
      <c r="B156" s="58">
        <f>VLOOKUP(Table110[[#This Row],[Date]],database!A:H,3,)</f>
        <v/>
      </c>
      <c r="C156" s="66">
        <f>B156/B155-1</f>
        <v/>
      </c>
      <c r="D156" s="66">
        <f>(Table110[[#This Row],[Index]]-B144)/B144</f>
        <v/>
      </c>
    </row>
    <row r="157">
      <c r="A157" s="17" t="n">
        <v>30864</v>
      </c>
      <c r="B157" s="58">
        <f>VLOOKUP(Table110[[#This Row],[Date]],database!A:H,3,)</f>
        <v/>
      </c>
      <c r="C157" s="66">
        <f>B157/B156-1</f>
        <v/>
      </c>
      <c r="D157" s="66">
        <f>(Table110[[#This Row],[Index]]-B145)/B145</f>
        <v/>
      </c>
    </row>
    <row r="158">
      <c r="A158" s="17" t="n">
        <v>30895</v>
      </c>
      <c r="B158" s="58">
        <f>VLOOKUP(Table110[[#This Row],[Date]],database!A:H,3,)</f>
        <v/>
      </c>
      <c r="C158" s="66">
        <f>B158/B157-1</f>
        <v/>
      </c>
      <c r="D158" s="66">
        <f>(Table110[[#This Row],[Index]]-B146)/B146</f>
        <v/>
      </c>
    </row>
    <row r="159">
      <c r="A159" s="17" t="n">
        <v>30926</v>
      </c>
      <c r="B159" s="58">
        <f>VLOOKUP(Table110[[#This Row],[Date]],database!A:H,3,)</f>
        <v/>
      </c>
      <c r="C159" s="66">
        <f>B159/B158-1</f>
        <v/>
      </c>
      <c r="D159" s="66">
        <f>(Table110[[#This Row],[Index]]-B147)/B147</f>
        <v/>
      </c>
    </row>
    <row r="160">
      <c r="A160" s="17" t="n">
        <v>30956</v>
      </c>
      <c r="B160" s="58">
        <f>VLOOKUP(Table110[[#This Row],[Date]],database!A:H,3,)</f>
        <v/>
      </c>
      <c r="C160" s="66">
        <f>B160/B159-1</f>
        <v/>
      </c>
      <c r="D160" s="66">
        <f>(Table110[[#This Row],[Index]]-B148)/B148</f>
        <v/>
      </c>
    </row>
    <row r="161">
      <c r="A161" s="17" t="n">
        <v>30987</v>
      </c>
      <c r="B161" s="58">
        <f>VLOOKUP(Table110[[#This Row],[Date]],database!A:H,3,)</f>
        <v/>
      </c>
      <c r="C161" s="66">
        <f>B161/B160-1</f>
        <v/>
      </c>
      <c r="D161" s="66">
        <f>(Table110[[#This Row],[Index]]-B149)/B149</f>
        <v/>
      </c>
    </row>
    <row r="162">
      <c r="A162" s="17" t="n">
        <v>31017</v>
      </c>
      <c r="B162" s="58">
        <f>VLOOKUP(Table110[[#This Row],[Date]],database!A:H,3,)</f>
        <v/>
      </c>
      <c r="C162" s="66">
        <f>B162/B161-1</f>
        <v/>
      </c>
      <c r="D162" s="66">
        <f>(Table110[[#This Row],[Index]]-B150)/B150</f>
        <v/>
      </c>
    </row>
    <row r="163">
      <c r="A163" s="17" t="n">
        <v>31048</v>
      </c>
      <c r="B163" s="58">
        <f>VLOOKUP(Table110[[#This Row],[Date]],database!A:H,3,)</f>
        <v/>
      </c>
      <c r="C163" s="66">
        <f>B163/B162-1</f>
        <v/>
      </c>
      <c r="D163" s="66">
        <f>(Table110[[#This Row],[Index]]-B151)/B151</f>
        <v/>
      </c>
    </row>
    <row r="164">
      <c r="A164" s="17" t="n">
        <v>31079</v>
      </c>
      <c r="B164" s="58">
        <f>VLOOKUP(Table110[[#This Row],[Date]],database!A:H,3,)</f>
        <v/>
      </c>
      <c r="C164" s="66">
        <f>B164/B163-1</f>
        <v/>
      </c>
      <c r="D164" s="66">
        <f>(Table110[[#This Row],[Index]]-B152)/B152</f>
        <v/>
      </c>
    </row>
    <row r="165">
      <c r="A165" s="17" t="n">
        <v>31107</v>
      </c>
      <c r="B165" s="58">
        <f>VLOOKUP(Table110[[#This Row],[Date]],database!A:H,3,)</f>
        <v/>
      </c>
      <c r="C165" s="66">
        <f>B165/B164-1</f>
        <v/>
      </c>
      <c r="D165" s="66">
        <f>(Table110[[#This Row],[Index]]-B153)/B153</f>
        <v/>
      </c>
    </row>
    <row r="166">
      <c r="A166" s="17" t="n">
        <v>31138</v>
      </c>
      <c r="B166" s="58">
        <f>VLOOKUP(Table110[[#This Row],[Date]],database!A:H,3,)</f>
        <v/>
      </c>
      <c r="C166" s="66">
        <f>B166/B165-1</f>
        <v/>
      </c>
      <c r="D166" s="66">
        <f>(Table110[[#This Row],[Index]]-B154)/B154</f>
        <v/>
      </c>
    </row>
    <row r="167">
      <c r="A167" s="17" t="n">
        <v>31168</v>
      </c>
      <c r="B167" s="58">
        <f>VLOOKUP(Table110[[#This Row],[Date]],database!A:H,3,)</f>
        <v/>
      </c>
      <c r="C167" s="66">
        <f>B167/B166-1</f>
        <v/>
      </c>
      <c r="D167" s="66">
        <f>(Table110[[#This Row],[Index]]-B155)/B155</f>
        <v/>
      </c>
    </row>
    <row r="168">
      <c r="A168" s="17" t="n">
        <v>31199</v>
      </c>
      <c r="B168" s="58">
        <f>VLOOKUP(Table110[[#This Row],[Date]],database!A:H,3,)</f>
        <v/>
      </c>
      <c r="C168" s="66">
        <f>B168/B167-1</f>
        <v/>
      </c>
      <c r="D168" s="66">
        <f>(Table110[[#This Row],[Index]]-B156)/B156</f>
        <v/>
      </c>
    </row>
    <row r="169">
      <c r="A169" s="17" t="n">
        <v>31229</v>
      </c>
      <c r="B169" s="58">
        <f>VLOOKUP(Table110[[#This Row],[Date]],database!A:H,3,)</f>
        <v/>
      </c>
      <c r="C169" s="66">
        <f>B169/B168-1</f>
        <v/>
      </c>
      <c r="D169" s="66">
        <f>(Table110[[#This Row],[Index]]-B157)/B157</f>
        <v/>
      </c>
    </row>
    <row r="170">
      <c r="A170" s="17" t="n">
        <v>31260</v>
      </c>
      <c r="B170" s="58">
        <f>VLOOKUP(Table110[[#This Row],[Date]],database!A:H,3,)</f>
        <v/>
      </c>
      <c r="C170" s="66">
        <f>B170/B169-1</f>
        <v/>
      </c>
      <c r="D170" s="66">
        <f>(Table110[[#This Row],[Index]]-B158)/B158</f>
        <v/>
      </c>
    </row>
    <row r="171">
      <c r="A171" s="17" t="n">
        <v>31291</v>
      </c>
      <c r="B171" s="58">
        <f>VLOOKUP(Table110[[#This Row],[Date]],database!A:H,3,)</f>
        <v/>
      </c>
      <c r="C171" s="66">
        <f>B171/B170-1</f>
        <v/>
      </c>
      <c r="D171" s="66">
        <f>(Table110[[#This Row],[Index]]-B159)/B159</f>
        <v/>
      </c>
    </row>
    <row r="172">
      <c r="A172" s="17" t="n">
        <v>31321</v>
      </c>
      <c r="B172" s="58">
        <f>VLOOKUP(Table110[[#This Row],[Date]],database!A:H,3,)</f>
        <v/>
      </c>
      <c r="C172" s="66">
        <f>B172/B171-1</f>
        <v/>
      </c>
      <c r="D172" s="66">
        <f>(Table110[[#This Row],[Index]]-B160)/B160</f>
        <v/>
      </c>
    </row>
    <row r="173">
      <c r="A173" s="17" t="n">
        <v>31352</v>
      </c>
      <c r="B173" s="58">
        <f>VLOOKUP(Table110[[#This Row],[Date]],database!A:H,3,)</f>
        <v/>
      </c>
      <c r="C173" s="66">
        <f>B173/B172-1</f>
        <v/>
      </c>
      <c r="D173" s="66">
        <f>(Table110[[#This Row],[Index]]-B161)/B161</f>
        <v/>
      </c>
    </row>
    <row r="174">
      <c r="A174" s="17" t="n">
        <v>31382</v>
      </c>
      <c r="B174" s="58">
        <f>VLOOKUP(Table110[[#This Row],[Date]],database!A:H,3,)</f>
        <v/>
      </c>
      <c r="C174" s="66">
        <f>B174/B173-1</f>
        <v/>
      </c>
      <c r="D174" s="66">
        <f>(Table110[[#This Row],[Index]]-B162)/B162</f>
        <v/>
      </c>
    </row>
    <row r="175">
      <c r="A175" s="17" t="n">
        <v>31413</v>
      </c>
      <c r="B175" s="58">
        <f>VLOOKUP(Table110[[#This Row],[Date]],database!A:H,3,)</f>
        <v/>
      </c>
      <c r="C175" s="66">
        <f>B175/B174-1</f>
        <v/>
      </c>
      <c r="D175" s="66">
        <f>(Table110[[#This Row],[Index]]-B163)/B163</f>
        <v/>
      </c>
    </row>
    <row r="176">
      <c r="A176" s="17" t="n">
        <v>31444</v>
      </c>
      <c r="B176" s="58">
        <f>VLOOKUP(Table110[[#This Row],[Date]],database!A:H,3,)</f>
        <v/>
      </c>
      <c r="C176" s="66">
        <f>B176/B175-1</f>
        <v/>
      </c>
      <c r="D176" s="66">
        <f>(Table110[[#This Row],[Index]]-B164)/B164</f>
        <v/>
      </c>
    </row>
    <row r="177">
      <c r="A177" s="17" t="n">
        <v>31472</v>
      </c>
      <c r="B177" s="58">
        <f>VLOOKUP(Table110[[#This Row],[Date]],database!A:H,3,)</f>
        <v/>
      </c>
      <c r="C177" s="66">
        <f>B177/B176-1</f>
        <v/>
      </c>
      <c r="D177" s="66">
        <f>(Table110[[#This Row],[Index]]-B165)/B165</f>
        <v/>
      </c>
    </row>
    <row r="178">
      <c r="A178" s="17" t="n">
        <v>31503</v>
      </c>
      <c r="B178" s="58">
        <f>VLOOKUP(Table110[[#This Row],[Date]],database!A:H,3,)</f>
        <v/>
      </c>
      <c r="C178" s="66">
        <f>B178/B177-1</f>
        <v/>
      </c>
      <c r="D178" s="66">
        <f>(Table110[[#This Row],[Index]]-B166)/B166</f>
        <v/>
      </c>
    </row>
    <row r="179">
      <c r="A179" s="17" t="n">
        <v>31533</v>
      </c>
      <c r="B179" s="58">
        <f>VLOOKUP(Table110[[#This Row],[Date]],database!A:H,3,)</f>
        <v/>
      </c>
      <c r="C179" s="66">
        <f>B179/B178-1</f>
        <v/>
      </c>
      <c r="D179" s="66">
        <f>(Table110[[#This Row],[Index]]-B167)/B167</f>
        <v/>
      </c>
    </row>
    <row r="180">
      <c r="A180" s="17" t="n">
        <v>31564</v>
      </c>
      <c r="B180" s="58">
        <f>VLOOKUP(Table110[[#This Row],[Date]],database!A:H,3,)</f>
        <v/>
      </c>
      <c r="C180" s="66">
        <f>B180/B179-1</f>
        <v/>
      </c>
      <c r="D180" s="66">
        <f>(Table110[[#This Row],[Index]]-B168)/B168</f>
        <v/>
      </c>
    </row>
    <row r="181">
      <c r="A181" s="17" t="n">
        <v>31594</v>
      </c>
      <c r="B181" s="58">
        <f>VLOOKUP(Table110[[#This Row],[Date]],database!A:H,3,)</f>
        <v/>
      </c>
      <c r="C181" s="66">
        <f>B181/B180-1</f>
        <v/>
      </c>
      <c r="D181" s="66">
        <f>(Table110[[#This Row],[Index]]-B169)/B169</f>
        <v/>
      </c>
    </row>
    <row r="182">
      <c r="A182" s="17" t="n">
        <v>31625</v>
      </c>
      <c r="B182" s="58">
        <f>VLOOKUP(Table110[[#This Row],[Date]],database!A:H,3,)</f>
        <v/>
      </c>
      <c r="C182" s="66">
        <f>B182/B181-1</f>
        <v/>
      </c>
      <c r="D182" s="66">
        <f>(Table110[[#This Row],[Index]]-B170)/B170</f>
        <v/>
      </c>
    </row>
    <row r="183">
      <c r="A183" s="17" t="n">
        <v>31656</v>
      </c>
      <c r="B183" s="58">
        <f>VLOOKUP(Table110[[#This Row],[Date]],database!A:H,3,)</f>
        <v/>
      </c>
      <c r="C183" s="66">
        <f>B183/B182-1</f>
        <v/>
      </c>
      <c r="D183" s="66">
        <f>(Table110[[#This Row],[Index]]-B171)/B171</f>
        <v/>
      </c>
    </row>
    <row r="184">
      <c r="A184" s="17" t="n">
        <v>31686</v>
      </c>
      <c r="B184" s="58">
        <f>VLOOKUP(Table110[[#This Row],[Date]],database!A:H,3,)</f>
        <v/>
      </c>
      <c r="C184" s="66">
        <f>B184/B183-1</f>
        <v/>
      </c>
      <c r="D184" s="66">
        <f>(Table110[[#This Row],[Index]]-B172)/B172</f>
        <v/>
      </c>
    </row>
    <row r="185">
      <c r="A185" s="17" t="n">
        <v>31717</v>
      </c>
      <c r="B185" s="58">
        <f>VLOOKUP(Table110[[#This Row],[Date]],database!A:H,3,)</f>
        <v/>
      </c>
      <c r="C185" s="66">
        <f>B185/B184-1</f>
        <v/>
      </c>
      <c r="D185" s="66">
        <f>(Table110[[#This Row],[Index]]-B173)/B173</f>
        <v/>
      </c>
    </row>
    <row r="186">
      <c r="A186" s="17" t="n">
        <v>31747</v>
      </c>
      <c r="B186" s="58">
        <f>VLOOKUP(Table110[[#This Row],[Date]],database!A:H,3,)</f>
        <v/>
      </c>
      <c r="C186" s="66">
        <f>B186/B185-1</f>
        <v/>
      </c>
      <c r="D186" s="66">
        <f>(Table110[[#This Row],[Index]]-B174)/B174</f>
        <v/>
      </c>
    </row>
    <row r="187">
      <c r="A187" s="17" t="n">
        <v>31778</v>
      </c>
      <c r="B187" s="58">
        <f>VLOOKUP(Table110[[#This Row],[Date]],database!A:H,3,)</f>
        <v/>
      </c>
      <c r="C187" s="66">
        <f>B187/B186-1</f>
        <v/>
      </c>
      <c r="D187" s="66">
        <f>(Table110[[#This Row],[Index]]-B175)/B175</f>
        <v/>
      </c>
    </row>
    <row r="188">
      <c r="A188" s="17" t="n">
        <v>31809</v>
      </c>
      <c r="B188" s="58">
        <f>VLOOKUP(Table110[[#This Row],[Date]],database!A:H,3,)</f>
        <v/>
      </c>
      <c r="C188" s="66">
        <f>B188/B187-1</f>
        <v/>
      </c>
      <c r="D188" s="66">
        <f>(Table110[[#This Row],[Index]]-B176)/B176</f>
        <v/>
      </c>
    </row>
    <row r="189">
      <c r="A189" s="17" t="n">
        <v>31837</v>
      </c>
      <c r="B189" s="58">
        <f>VLOOKUP(Table110[[#This Row],[Date]],database!A:H,3,)</f>
        <v/>
      </c>
      <c r="C189" s="66">
        <f>B189/B188-1</f>
        <v/>
      </c>
      <c r="D189" s="66">
        <f>(Table110[[#This Row],[Index]]-B177)/B177</f>
        <v/>
      </c>
    </row>
    <row r="190">
      <c r="A190" s="17" t="n">
        <v>31868</v>
      </c>
      <c r="B190" s="58">
        <f>VLOOKUP(Table110[[#This Row],[Date]],database!A:H,3,)</f>
        <v/>
      </c>
      <c r="C190" s="66">
        <f>B190/B189-1</f>
        <v/>
      </c>
      <c r="D190" s="66">
        <f>(Table110[[#This Row],[Index]]-B178)/B178</f>
        <v/>
      </c>
    </row>
    <row r="191">
      <c r="A191" s="17" t="n">
        <v>31898</v>
      </c>
      <c r="B191" s="58">
        <f>VLOOKUP(Table110[[#This Row],[Date]],database!A:H,3,)</f>
        <v/>
      </c>
      <c r="C191" s="66">
        <f>B191/B190-1</f>
        <v/>
      </c>
      <c r="D191" s="66">
        <f>(Table110[[#This Row],[Index]]-B179)/B179</f>
        <v/>
      </c>
    </row>
    <row r="192">
      <c r="A192" s="17" t="n">
        <v>31929</v>
      </c>
      <c r="B192" s="58">
        <f>VLOOKUP(Table110[[#This Row],[Date]],database!A:H,3,)</f>
        <v/>
      </c>
      <c r="C192" s="66">
        <f>B192/B191-1</f>
        <v/>
      </c>
      <c r="D192" s="66">
        <f>(Table110[[#This Row],[Index]]-B180)/B180</f>
        <v/>
      </c>
    </row>
    <row r="193">
      <c r="A193" s="17" t="n">
        <v>31959</v>
      </c>
      <c r="B193" s="58">
        <f>VLOOKUP(Table110[[#This Row],[Date]],database!A:H,3,)</f>
        <v/>
      </c>
      <c r="C193" s="66">
        <f>B193/B192-1</f>
        <v/>
      </c>
      <c r="D193" s="66">
        <f>(Table110[[#This Row],[Index]]-B181)/B181</f>
        <v/>
      </c>
    </row>
    <row r="194">
      <c r="A194" s="17" t="n">
        <v>31990</v>
      </c>
      <c r="B194" s="58">
        <f>VLOOKUP(Table110[[#This Row],[Date]],database!A:H,3,)</f>
        <v/>
      </c>
      <c r="C194" s="66">
        <f>B194/B193-1</f>
        <v/>
      </c>
      <c r="D194" s="66">
        <f>(Table110[[#This Row],[Index]]-B182)/B182</f>
        <v/>
      </c>
    </row>
    <row r="195">
      <c r="A195" s="17" t="n">
        <v>32021</v>
      </c>
      <c r="B195" s="58">
        <f>VLOOKUP(Table110[[#This Row],[Date]],database!A:H,3,)</f>
        <v/>
      </c>
      <c r="C195" s="66">
        <f>B195/B194-1</f>
        <v/>
      </c>
      <c r="D195" s="66">
        <f>(Table110[[#This Row],[Index]]-B183)/B183</f>
        <v/>
      </c>
    </row>
    <row r="196">
      <c r="A196" s="17" t="n">
        <v>32051</v>
      </c>
      <c r="B196" s="58">
        <f>VLOOKUP(Table110[[#This Row],[Date]],database!A:H,3,)</f>
        <v/>
      </c>
      <c r="C196" s="66">
        <f>B196/B195-1</f>
        <v/>
      </c>
      <c r="D196" s="66">
        <f>(Table110[[#This Row],[Index]]-B184)/B184</f>
        <v/>
      </c>
    </row>
    <row r="197">
      <c r="A197" s="17" t="n">
        <v>32082</v>
      </c>
      <c r="B197" s="58">
        <f>VLOOKUP(Table110[[#This Row],[Date]],database!A:H,3,)</f>
        <v/>
      </c>
      <c r="C197" s="66">
        <f>B197/B196-1</f>
        <v/>
      </c>
      <c r="D197" s="66">
        <f>(Table110[[#This Row],[Index]]-B185)/B185</f>
        <v/>
      </c>
    </row>
    <row r="198">
      <c r="A198" s="17" t="n">
        <v>32112</v>
      </c>
      <c r="B198" s="58">
        <f>VLOOKUP(Table110[[#This Row],[Date]],database!A:H,3,)</f>
        <v/>
      </c>
      <c r="C198" s="66">
        <f>B198/B197-1</f>
        <v/>
      </c>
      <c r="D198" s="66">
        <f>(Table110[[#This Row],[Index]]-B186)/B186</f>
        <v/>
      </c>
    </row>
    <row r="199">
      <c r="A199" s="17" t="n">
        <v>32143</v>
      </c>
      <c r="B199" s="58">
        <f>VLOOKUP(Table110[[#This Row],[Date]],database!A:H,3,)</f>
        <v/>
      </c>
      <c r="C199" s="66">
        <f>B199/B198-1</f>
        <v/>
      </c>
      <c r="D199" s="66">
        <f>(Table110[[#This Row],[Index]]-B187)/B187</f>
        <v/>
      </c>
    </row>
    <row r="200">
      <c r="A200" s="17" t="n">
        <v>32174</v>
      </c>
      <c r="B200" s="58">
        <f>VLOOKUP(Table110[[#This Row],[Date]],database!A:H,3,)</f>
        <v/>
      </c>
      <c r="C200" s="66">
        <f>B200/B199-1</f>
        <v/>
      </c>
      <c r="D200" s="66">
        <f>(Table110[[#This Row],[Index]]-B188)/B188</f>
        <v/>
      </c>
    </row>
    <row r="201">
      <c r="A201" s="17" t="n">
        <v>32203</v>
      </c>
      <c r="B201" s="58">
        <f>VLOOKUP(Table110[[#This Row],[Date]],database!A:H,3,)</f>
        <v/>
      </c>
      <c r="C201" s="66">
        <f>B201/B200-1</f>
        <v/>
      </c>
      <c r="D201" s="66">
        <f>(Table110[[#This Row],[Index]]-B189)/B189</f>
        <v/>
      </c>
    </row>
    <row r="202">
      <c r="A202" s="17" t="n">
        <v>32234</v>
      </c>
      <c r="B202" s="58">
        <f>VLOOKUP(Table110[[#This Row],[Date]],database!A:H,3,)</f>
        <v/>
      </c>
      <c r="C202" s="66">
        <f>B202/B201-1</f>
        <v/>
      </c>
      <c r="D202" s="66">
        <f>(Table110[[#This Row],[Index]]-B190)/B190</f>
        <v/>
      </c>
    </row>
    <row r="203">
      <c r="A203" s="17" t="n">
        <v>32264</v>
      </c>
      <c r="B203" s="58">
        <f>VLOOKUP(Table110[[#This Row],[Date]],database!A:H,3,)</f>
        <v/>
      </c>
      <c r="C203" s="66">
        <f>B203/B202-1</f>
        <v/>
      </c>
      <c r="D203" s="66">
        <f>(Table110[[#This Row],[Index]]-B191)/B191</f>
        <v/>
      </c>
    </row>
    <row r="204">
      <c r="A204" s="17" t="n">
        <v>32295</v>
      </c>
      <c r="B204" s="58">
        <f>VLOOKUP(Table110[[#This Row],[Date]],database!A:H,3,)</f>
        <v/>
      </c>
      <c r="C204" s="66">
        <f>B204/B203-1</f>
        <v/>
      </c>
      <c r="D204" s="66">
        <f>(Table110[[#This Row],[Index]]-B192)/B192</f>
        <v/>
      </c>
    </row>
    <row r="205">
      <c r="A205" s="17" t="n">
        <v>32325</v>
      </c>
      <c r="B205" s="58">
        <f>VLOOKUP(Table110[[#This Row],[Date]],database!A:H,3,)</f>
        <v/>
      </c>
      <c r="C205" s="66">
        <f>B205/B204-1</f>
        <v/>
      </c>
      <c r="D205" s="66">
        <f>(Table110[[#This Row],[Index]]-B193)/B193</f>
        <v/>
      </c>
    </row>
    <row r="206">
      <c r="A206" s="17" t="n">
        <v>32356</v>
      </c>
      <c r="B206" s="58">
        <f>VLOOKUP(Table110[[#This Row],[Date]],database!A:H,3,)</f>
        <v/>
      </c>
      <c r="C206" s="66">
        <f>B206/B205-1</f>
        <v/>
      </c>
      <c r="D206" s="66">
        <f>(Table110[[#This Row],[Index]]-B194)/B194</f>
        <v/>
      </c>
    </row>
    <row r="207">
      <c r="A207" s="17" t="n">
        <v>32387</v>
      </c>
      <c r="B207" s="58">
        <f>VLOOKUP(Table110[[#This Row],[Date]],database!A:H,3,)</f>
        <v/>
      </c>
      <c r="C207" s="66">
        <f>B207/B206-1</f>
        <v/>
      </c>
      <c r="D207" s="66">
        <f>(Table110[[#This Row],[Index]]-B195)/B195</f>
        <v/>
      </c>
    </row>
    <row r="208">
      <c r="A208" s="17" t="n">
        <v>32417</v>
      </c>
      <c r="B208" s="58">
        <f>VLOOKUP(Table110[[#This Row],[Date]],database!A:H,3,)</f>
        <v/>
      </c>
      <c r="C208" s="66">
        <f>B208/B207-1</f>
        <v/>
      </c>
      <c r="D208" s="66">
        <f>(Table110[[#This Row],[Index]]-B196)/B196</f>
        <v/>
      </c>
    </row>
    <row r="209">
      <c r="A209" s="17" t="n">
        <v>32448</v>
      </c>
      <c r="B209" s="58">
        <f>VLOOKUP(Table110[[#This Row],[Date]],database!A:H,3,)</f>
        <v/>
      </c>
      <c r="C209" s="66">
        <f>B209/B208-1</f>
        <v/>
      </c>
      <c r="D209" s="66">
        <f>(Table110[[#This Row],[Index]]-B197)/B197</f>
        <v/>
      </c>
    </row>
    <row r="210">
      <c r="A210" s="17" t="n">
        <v>32478</v>
      </c>
      <c r="B210" s="58">
        <f>VLOOKUP(Table110[[#This Row],[Date]],database!A:H,3,)</f>
        <v/>
      </c>
      <c r="C210" s="66">
        <f>B210/B209-1</f>
        <v/>
      </c>
      <c r="D210" s="66">
        <f>(Table110[[#This Row],[Index]]-B198)/B198</f>
        <v/>
      </c>
    </row>
    <row r="211">
      <c r="A211" s="17" t="n">
        <v>32509</v>
      </c>
      <c r="B211" s="58">
        <f>VLOOKUP(Table110[[#This Row],[Date]],database!A:H,3,)</f>
        <v/>
      </c>
      <c r="C211" s="66">
        <f>B211/B210-1</f>
        <v/>
      </c>
      <c r="D211" s="66">
        <f>(Table110[[#This Row],[Index]]-B199)/B199</f>
        <v/>
      </c>
    </row>
    <row r="212">
      <c r="A212" s="17" t="n">
        <v>32540</v>
      </c>
      <c r="B212" s="58">
        <f>VLOOKUP(Table110[[#This Row],[Date]],database!A:H,3,)</f>
        <v/>
      </c>
      <c r="C212" s="66">
        <f>B212/B211-1</f>
        <v/>
      </c>
      <c r="D212" s="66">
        <f>(Table110[[#This Row],[Index]]-B200)/B200</f>
        <v/>
      </c>
    </row>
    <row r="213">
      <c r="A213" s="17" t="n">
        <v>32568</v>
      </c>
      <c r="B213" s="58">
        <f>VLOOKUP(Table110[[#This Row],[Date]],database!A:H,3,)</f>
        <v/>
      </c>
      <c r="C213" s="66">
        <f>B213/B212-1</f>
        <v/>
      </c>
      <c r="D213" s="66">
        <f>(Table110[[#This Row],[Index]]-B201)/B201</f>
        <v/>
      </c>
    </row>
    <row r="214">
      <c r="A214" s="17" t="n">
        <v>32599</v>
      </c>
      <c r="B214" s="58">
        <f>VLOOKUP(Table110[[#This Row],[Date]],database!A:H,3,)</f>
        <v/>
      </c>
      <c r="C214" s="66">
        <f>B214/B213-1</f>
        <v/>
      </c>
      <c r="D214" s="66">
        <f>(Table110[[#This Row],[Index]]-B202)/B202</f>
        <v/>
      </c>
    </row>
    <row r="215">
      <c r="A215" s="17" t="n">
        <v>32629</v>
      </c>
      <c r="B215" s="58">
        <f>VLOOKUP(Table110[[#This Row],[Date]],database!A:H,3,)</f>
        <v/>
      </c>
      <c r="C215" s="66">
        <f>B215/B214-1</f>
        <v/>
      </c>
      <c r="D215" s="66">
        <f>(Table110[[#This Row],[Index]]-B203)/B203</f>
        <v/>
      </c>
    </row>
    <row r="216">
      <c r="A216" s="17" t="n">
        <v>32660</v>
      </c>
      <c r="B216" s="58">
        <f>VLOOKUP(Table110[[#This Row],[Date]],database!A:H,3,)</f>
        <v/>
      </c>
      <c r="C216" s="66">
        <f>B216/B215-1</f>
        <v/>
      </c>
      <c r="D216" s="66">
        <f>(Table110[[#This Row],[Index]]-B204)/B204</f>
        <v/>
      </c>
    </row>
    <row r="217">
      <c r="A217" s="17" t="n">
        <v>32690</v>
      </c>
      <c r="B217" s="58">
        <f>VLOOKUP(Table110[[#This Row],[Date]],database!A:H,3,)</f>
        <v/>
      </c>
      <c r="C217" s="66">
        <f>B217/B216-1</f>
        <v/>
      </c>
      <c r="D217" s="66">
        <f>(Table110[[#This Row],[Index]]-B205)/B205</f>
        <v/>
      </c>
    </row>
    <row r="218">
      <c r="A218" s="17" t="n">
        <v>32721</v>
      </c>
      <c r="B218" s="58">
        <f>VLOOKUP(Table110[[#This Row],[Date]],database!A:H,3,)</f>
        <v/>
      </c>
      <c r="C218" s="66">
        <f>B218/B217-1</f>
        <v/>
      </c>
      <c r="D218" s="66">
        <f>(Table110[[#This Row],[Index]]-B206)/B206</f>
        <v/>
      </c>
    </row>
    <row r="219">
      <c r="A219" s="17" t="n">
        <v>32752</v>
      </c>
      <c r="B219" s="58">
        <f>VLOOKUP(Table110[[#This Row],[Date]],database!A:H,3,)</f>
        <v/>
      </c>
      <c r="C219" s="66">
        <f>B219/B218-1</f>
        <v/>
      </c>
      <c r="D219" s="66">
        <f>(Table110[[#This Row],[Index]]-B207)/B207</f>
        <v/>
      </c>
    </row>
    <row r="220">
      <c r="A220" s="17" t="n">
        <v>32782</v>
      </c>
      <c r="B220" s="58">
        <f>VLOOKUP(Table110[[#This Row],[Date]],database!A:H,3,)</f>
        <v/>
      </c>
      <c r="C220" s="66">
        <f>B220/B219-1</f>
        <v/>
      </c>
      <c r="D220" s="66">
        <f>(Table110[[#This Row],[Index]]-B208)/B208</f>
        <v/>
      </c>
    </row>
    <row r="221">
      <c r="A221" s="17" t="n">
        <v>32813</v>
      </c>
      <c r="B221" s="58">
        <f>VLOOKUP(Table110[[#This Row],[Date]],database!A:H,3,)</f>
        <v/>
      </c>
      <c r="C221" s="66">
        <f>B221/B220-1</f>
        <v/>
      </c>
      <c r="D221" s="66">
        <f>(Table110[[#This Row],[Index]]-B209)/B209</f>
        <v/>
      </c>
    </row>
    <row r="222">
      <c r="A222" s="17" t="n">
        <v>32843</v>
      </c>
      <c r="B222" s="58">
        <f>VLOOKUP(Table110[[#This Row],[Date]],database!A:H,3,)</f>
        <v/>
      </c>
      <c r="C222" s="66">
        <f>B222/B221-1</f>
        <v/>
      </c>
      <c r="D222" s="66">
        <f>(Table110[[#This Row],[Index]]-B210)/B210</f>
        <v/>
      </c>
    </row>
    <row r="223">
      <c r="A223" s="17" t="n">
        <v>32874</v>
      </c>
      <c r="B223" s="58">
        <f>VLOOKUP(Table110[[#This Row],[Date]],database!A:H,3,)</f>
        <v/>
      </c>
      <c r="C223" s="66">
        <f>B223/B222-1</f>
        <v/>
      </c>
      <c r="D223" s="66">
        <f>(Table110[[#This Row],[Index]]-B211)/B211</f>
        <v/>
      </c>
    </row>
    <row r="224">
      <c r="A224" s="17" t="n">
        <v>32905</v>
      </c>
      <c r="B224" s="58">
        <f>VLOOKUP(Table110[[#This Row],[Date]],database!A:H,3,)</f>
        <v/>
      </c>
      <c r="C224" s="66">
        <f>B224/B223-1</f>
        <v/>
      </c>
      <c r="D224" s="66">
        <f>(Table110[[#This Row],[Index]]-B212)/B212</f>
        <v/>
      </c>
    </row>
    <row r="225">
      <c r="A225" s="17" t="n">
        <v>32933</v>
      </c>
      <c r="B225" s="58">
        <f>VLOOKUP(Table110[[#This Row],[Date]],database!A:H,3,)</f>
        <v/>
      </c>
      <c r="C225" s="66">
        <f>B225/B224-1</f>
        <v/>
      </c>
      <c r="D225" s="66">
        <f>(Table110[[#This Row],[Index]]-B213)/B213</f>
        <v/>
      </c>
    </row>
    <row r="226">
      <c r="A226" s="17" t="n">
        <v>32964</v>
      </c>
      <c r="B226" s="58">
        <f>VLOOKUP(Table110[[#This Row],[Date]],database!A:H,3,)</f>
        <v/>
      </c>
      <c r="C226" s="66">
        <f>B226/B225-1</f>
        <v/>
      </c>
      <c r="D226" s="66">
        <f>(Table110[[#This Row],[Index]]-B214)/B214</f>
        <v/>
      </c>
    </row>
    <row r="227">
      <c r="A227" s="17" t="n">
        <v>32994</v>
      </c>
      <c r="B227" s="58">
        <f>VLOOKUP(Table110[[#This Row],[Date]],database!A:H,3,)</f>
        <v/>
      </c>
      <c r="C227" s="66">
        <f>B227/B226-1</f>
        <v/>
      </c>
      <c r="D227" s="66">
        <f>(Table110[[#This Row],[Index]]-B215)/B215</f>
        <v/>
      </c>
    </row>
    <row r="228">
      <c r="A228" s="17" t="n">
        <v>33025</v>
      </c>
      <c r="B228" s="58">
        <f>VLOOKUP(Table110[[#This Row],[Date]],database!A:H,3,)</f>
        <v/>
      </c>
      <c r="C228" s="66">
        <f>B228/B227-1</f>
        <v/>
      </c>
      <c r="D228" s="66">
        <f>(Table110[[#This Row],[Index]]-B216)/B216</f>
        <v/>
      </c>
    </row>
    <row r="229">
      <c r="A229" s="17" t="n">
        <v>33055</v>
      </c>
      <c r="B229" s="58">
        <f>VLOOKUP(Table110[[#This Row],[Date]],database!A:H,3,)</f>
        <v/>
      </c>
      <c r="C229" s="66">
        <f>B229/B228-1</f>
        <v/>
      </c>
      <c r="D229" s="66">
        <f>(Table110[[#This Row],[Index]]-B217)/B217</f>
        <v/>
      </c>
    </row>
    <row r="230">
      <c r="A230" s="17" t="n">
        <v>33086</v>
      </c>
      <c r="B230" s="58">
        <f>VLOOKUP(Table110[[#This Row],[Date]],database!A:H,3,)</f>
        <v/>
      </c>
      <c r="C230" s="66">
        <f>B230/B229-1</f>
        <v/>
      </c>
      <c r="D230" s="66">
        <f>(Table110[[#This Row],[Index]]-B218)/B218</f>
        <v/>
      </c>
    </row>
    <row r="231">
      <c r="A231" s="17" t="n">
        <v>33117</v>
      </c>
      <c r="B231" s="58">
        <f>VLOOKUP(Table110[[#This Row],[Date]],database!A:H,3,)</f>
        <v/>
      </c>
      <c r="C231" s="66">
        <f>B231/B230-1</f>
        <v/>
      </c>
      <c r="D231" s="66">
        <f>(Table110[[#This Row],[Index]]-B219)/B219</f>
        <v/>
      </c>
    </row>
    <row r="232">
      <c r="A232" s="17" t="n">
        <v>33147</v>
      </c>
      <c r="B232" s="58">
        <f>VLOOKUP(Table110[[#This Row],[Date]],database!A:H,3,)</f>
        <v/>
      </c>
      <c r="C232" s="66">
        <f>B232/B231-1</f>
        <v/>
      </c>
      <c r="D232" s="66">
        <f>(Table110[[#This Row],[Index]]-B220)/B220</f>
        <v/>
      </c>
    </row>
    <row r="233">
      <c r="A233" s="17" t="n">
        <v>33178</v>
      </c>
      <c r="B233" s="58">
        <f>VLOOKUP(Table110[[#This Row],[Date]],database!A:H,3,)</f>
        <v/>
      </c>
      <c r="C233" s="66">
        <f>B233/B232-1</f>
        <v/>
      </c>
      <c r="D233" s="66">
        <f>(Table110[[#This Row],[Index]]-B221)/B221</f>
        <v/>
      </c>
    </row>
    <row r="234">
      <c r="A234" s="17" t="n">
        <v>33208</v>
      </c>
      <c r="B234" s="58">
        <f>VLOOKUP(Table110[[#This Row],[Date]],database!A:H,3,)</f>
        <v/>
      </c>
      <c r="C234" s="66">
        <f>B234/B233-1</f>
        <v/>
      </c>
      <c r="D234" s="66">
        <f>(Table110[[#This Row],[Index]]-B222)/B222</f>
        <v/>
      </c>
    </row>
    <row r="235">
      <c r="A235" s="17" t="n">
        <v>33239</v>
      </c>
      <c r="B235" s="58">
        <f>VLOOKUP(Table110[[#This Row],[Date]],database!A:H,3,)</f>
        <v/>
      </c>
      <c r="C235" s="66">
        <f>B235/B234-1</f>
        <v/>
      </c>
      <c r="D235" s="66">
        <f>(Table110[[#This Row],[Index]]-B223)/B223</f>
        <v/>
      </c>
    </row>
    <row r="236">
      <c r="A236" s="17" t="n">
        <v>33270</v>
      </c>
      <c r="B236" s="58">
        <f>VLOOKUP(Table110[[#This Row],[Date]],database!A:H,3,)</f>
        <v/>
      </c>
      <c r="C236" s="66">
        <f>B236/B235-1</f>
        <v/>
      </c>
      <c r="D236" s="66">
        <f>(Table110[[#This Row],[Index]]-B224)/B224</f>
        <v/>
      </c>
    </row>
    <row r="237">
      <c r="A237" s="17" t="n">
        <v>33298</v>
      </c>
      <c r="B237" s="58">
        <f>VLOOKUP(Table110[[#This Row],[Date]],database!A:H,3,)</f>
        <v/>
      </c>
      <c r="C237" s="66">
        <f>B237/B236-1</f>
        <v/>
      </c>
      <c r="D237" s="66">
        <f>(Table110[[#This Row],[Index]]-B225)/B225</f>
        <v/>
      </c>
    </row>
    <row r="238">
      <c r="A238" s="17" t="n">
        <v>33329</v>
      </c>
      <c r="B238" s="58">
        <f>VLOOKUP(Table110[[#This Row],[Date]],database!A:H,3,)</f>
        <v/>
      </c>
      <c r="C238" s="66">
        <f>B238/B237-1</f>
        <v/>
      </c>
      <c r="D238" s="66">
        <f>(Table110[[#This Row],[Index]]-B226)/B226</f>
        <v/>
      </c>
    </row>
    <row r="239">
      <c r="A239" s="17" t="n">
        <v>33359</v>
      </c>
      <c r="B239" s="58">
        <f>VLOOKUP(Table110[[#This Row],[Date]],database!A:H,3,)</f>
        <v/>
      </c>
      <c r="C239" s="66">
        <f>B239/B238-1</f>
        <v/>
      </c>
      <c r="D239" s="66">
        <f>(Table110[[#This Row],[Index]]-B227)/B227</f>
        <v/>
      </c>
    </row>
    <row r="240">
      <c r="A240" s="17" t="n">
        <v>33390</v>
      </c>
      <c r="B240" s="58">
        <f>VLOOKUP(Table110[[#This Row],[Date]],database!A:H,3,)</f>
        <v/>
      </c>
      <c r="C240" s="66">
        <f>B240/B239-1</f>
        <v/>
      </c>
      <c r="D240" s="66">
        <f>(Table110[[#This Row],[Index]]-B228)/B228</f>
        <v/>
      </c>
    </row>
    <row r="241">
      <c r="A241" s="17" t="n">
        <v>33420</v>
      </c>
      <c r="B241" s="58">
        <f>VLOOKUP(Table110[[#This Row],[Date]],database!A:H,3,)</f>
        <v/>
      </c>
      <c r="C241" s="66">
        <f>B241/B240-1</f>
        <v/>
      </c>
      <c r="D241" s="66">
        <f>(Table110[[#This Row],[Index]]-B229)/B229</f>
        <v/>
      </c>
    </row>
    <row r="242">
      <c r="A242" s="17" t="n">
        <v>33451</v>
      </c>
      <c r="B242" s="58">
        <f>VLOOKUP(Table110[[#This Row],[Date]],database!A:H,3,)</f>
        <v/>
      </c>
      <c r="C242" s="66">
        <f>B242/B241-1</f>
        <v/>
      </c>
      <c r="D242" s="66">
        <f>(Table110[[#This Row],[Index]]-B230)/B230</f>
        <v/>
      </c>
    </row>
    <row r="243">
      <c r="A243" s="17" t="n">
        <v>33482</v>
      </c>
      <c r="B243" s="58">
        <f>VLOOKUP(Table110[[#This Row],[Date]],database!A:H,3,)</f>
        <v/>
      </c>
      <c r="C243" s="66">
        <f>B243/B242-1</f>
        <v/>
      </c>
      <c r="D243" s="66">
        <f>(Table110[[#This Row],[Index]]-B231)/B231</f>
        <v/>
      </c>
    </row>
    <row r="244">
      <c r="A244" s="17" t="n">
        <v>33512</v>
      </c>
      <c r="B244" s="58">
        <f>VLOOKUP(Table110[[#This Row],[Date]],database!A:H,3,)</f>
        <v/>
      </c>
      <c r="C244" s="66">
        <f>B244/B243-1</f>
        <v/>
      </c>
      <c r="D244" s="66">
        <f>(Table110[[#This Row],[Index]]-B232)/B232</f>
        <v/>
      </c>
    </row>
    <row r="245">
      <c r="A245" s="17" t="n">
        <v>33543</v>
      </c>
      <c r="B245" s="58">
        <f>VLOOKUP(Table110[[#This Row],[Date]],database!A:H,3,)</f>
        <v/>
      </c>
      <c r="C245" s="66">
        <f>B245/B244-1</f>
        <v/>
      </c>
      <c r="D245" s="66">
        <f>(Table110[[#This Row],[Index]]-B233)/B233</f>
        <v/>
      </c>
    </row>
    <row r="246">
      <c r="A246" s="17" t="n">
        <v>33573</v>
      </c>
      <c r="B246" s="58">
        <f>VLOOKUP(Table110[[#This Row],[Date]],database!A:H,3,)</f>
        <v/>
      </c>
      <c r="C246" s="66">
        <f>B246/B245-1</f>
        <v/>
      </c>
      <c r="D246" s="66">
        <f>(Table110[[#This Row],[Index]]-B234)/B234</f>
        <v/>
      </c>
    </row>
    <row r="247">
      <c r="A247" s="17" t="n">
        <v>33604</v>
      </c>
      <c r="B247" s="58">
        <f>VLOOKUP(Table110[[#This Row],[Date]],database!A:H,3,)</f>
        <v/>
      </c>
      <c r="C247" s="66">
        <f>B247/B246-1</f>
        <v/>
      </c>
      <c r="D247" s="66">
        <f>(Table110[[#This Row],[Index]]-B235)/B235</f>
        <v/>
      </c>
    </row>
    <row r="248">
      <c r="A248" s="17" t="n">
        <v>33635</v>
      </c>
      <c r="B248" s="58">
        <f>VLOOKUP(Table110[[#This Row],[Date]],database!A:H,3,)</f>
        <v/>
      </c>
      <c r="C248" s="66">
        <f>B248/B247-1</f>
        <v/>
      </c>
      <c r="D248" s="66">
        <f>(Table110[[#This Row],[Index]]-B236)/B236</f>
        <v/>
      </c>
    </row>
    <row r="249">
      <c r="A249" s="17" t="n">
        <v>33664</v>
      </c>
      <c r="B249" s="58">
        <f>VLOOKUP(Table110[[#This Row],[Date]],database!A:H,3,)</f>
        <v/>
      </c>
      <c r="C249" s="66">
        <f>B249/B248-1</f>
        <v/>
      </c>
      <c r="D249" s="66">
        <f>(Table110[[#This Row],[Index]]-B237)/B237</f>
        <v/>
      </c>
    </row>
    <row r="250">
      <c r="A250" s="17" t="n">
        <v>33695</v>
      </c>
      <c r="B250" s="58">
        <f>VLOOKUP(Table110[[#This Row],[Date]],database!A:H,3,)</f>
        <v/>
      </c>
      <c r="C250" s="66">
        <f>B250/B249-1</f>
        <v/>
      </c>
      <c r="D250" s="66">
        <f>(Table110[[#This Row],[Index]]-B238)/B238</f>
        <v/>
      </c>
    </row>
    <row r="251">
      <c r="A251" s="17" t="n">
        <v>33725</v>
      </c>
      <c r="B251" s="58">
        <f>VLOOKUP(Table110[[#This Row],[Date]],database!A:H,3,)</f>
        <v/>
      </c>
      <c r="C251" s="66">
        <f>B251/B250-1</f>
        <v/>
      </c>
      <c r="D251" s="66">
        <f>(Table110[[#This Row],[Index]]-B239)/B239</f>
        <v/>
      </c>
    </row>
    <row r="252">
      <c r="A252" s="17" t="n">
        <v>33756</v>
      </c>
      <c r="B252" s="58">
        <f>VLOOKUP(Table110[[#This Row],[Date]],database!A:H,3,)</f>
        <v/>
      </c>
      <c r="C252" s="66">
        <f>B252/B251-1</f>
        <v/>
      </c>
      <c r="D252" s="66">
        <f>(Table110[[#This Row],[Index]]-B240)/B240</f>
        <v/>
      </c>
    </row>
    <row r="253">
      <c r="A253" s="17" t="n">
        <v>33786</v>
      </c>
      <c r="B253" s="58">
        <f>VLOOKUP(Table110[[#This Row],[Date]],database!A:H,3,)</f>
        <v/>
      </c>
      <c r="C253" s="66">
        <f>B253/B252-1</f>
        <v/>
      </c>
      <c r="D253" s="66">
        <f>(Table110[[#This Row],[Index]]-B241)/B241</f>
        <v/>
      </c>
    </row>
    <row r="254">
      <c r="A254" s="17" t="n">
        <v>33817</v>
      </c>
      <c r="B254" s="58">
        <f>VLOOKUP(Table110[[#This Row],[Date]],database!A:H,3,)</f>
        <v/>
      </c>
      <c r="C254" s="66">
        <f>B254/B253-1</f>
        <v/>
      </c>
      <c r="D254" s="66">
        <f>(Table110[[#This Row],[Index]]-B242)/B242</f>
        <v/>
      </c>
    </row>
    <row r="255">
      <c r="A255" s="17" t="n">
        <v>33848</v>
      </c>
      <c r="B255" s="58">
        <f>VLOOKUP(Table110[[#This Row],[Date]],database!A:H,3,)</f>
        <v/>
      </c>
      <c r="C255" s="66">
        <f>B255/B254-1</f>
        <v/>
      </c>
      <c r="D255" s="66">
        <f>(Table110[[#This Row],[Index]]-B243)/B243</f>
        <v/>
      </c>
    </row>
    <row r="256">
      <c r="A256" s="17" t="n">
        <v>33878</v>
      </c>
      <c r="B256" s="58">
        <f>VLOOKUP(Table110[[#This Row],[Date]],database!A:H,3,)</f>
        <v/>
      </c>
      <c r="C256" s="66">
        <f>B256/B255-1</f>
        <v/>
      </c>
      <c r="D256" s="66">
        <f>(Table110[[#This Row],[Index]]-B244)/B244</f>
        <v/>
      </c>
    </row>
    <row r="257">
      <c r="A257" s="17" t="n">
        <v>33909</v>
      </c>
      <c r="B257" s="58">
        <f>VLOOKUP(Table110[[#This Row],[Date]],database!A:H,3,)</f>
        <v/>
      </c>
      <c r="C257" s="66">
        <f>B257/B256-1</f>
        <v/>
      </c>
      <c r="D257" s="66">
        <f>(Table110[[#This Row],[Index]]-B245)/B245</f>
        <v/>
      </c>
    </row>
    <row r="258">
      <c r="A258" s="17" t="n">
        <v>33939</v>
      </c>
      <c r="B258" s="58">
        <f>VLOOKUP(Table110[[#This Row],[Date]],database!A:H,3,)</f>
        <v/>
      </c>
      <c r="C258" s="66">
        <f>B258/B257-1</f>
        <v/>
      </c>
      <c r="D258" s="66">
        <f>(Table110[[#This Row],[Index]]-B246)/B246</f>
        <v/>
      </c>
    </row>
    <row r="259">
      <c r="A259" s="17" t="n">
        <v>33970</v>
      </c>
      <c r="B259" s="58">
        <f>VLOOKUP(Table110[[#This Row],[Date]],database!A:H,3,)</f>
        <v/>
      </c>
      <c r="C259" s="66">
        <f>B259/B258-1</f>
        <v/>
      </c>
      <c r="D259" s="66">
        <f>(Table110[[#This Row],[Index]]-B247)/B247</f>
        <v/>
      </c>
    </row>
    <row r="260">
      <c r="A260" s="17" t="n">
        <v>34001</v>
      </c>
      <c r="B260" s="58">
        <f>VLOOKUP(Table110[[#This Row],[Date]],database!A:H,3,)</f>
        <v/>
      </c>
      <c r="C260" s="66">
        <f>B260/B259-1</f>
        <v/>
      </c>
      <c r="D260" s="66">
        <f>(Table110[[#This Row],[Index]]-B248)/B248</f>
        <v/>
      </c>
    </row>
    <row r="261">
      <c r="A261" s="17" t="n">
        <v>34029</v>
      </c>
      <c r="B261" s="58">
        <f>VLOOKUP(Table110[[#This Row],[Date]],database!A:H,3,)</f>
        <v/>
      </c>
      <c r="C261" s="66">
        <f>B261/B260-1</f>
        <v/>
      </c>
      <c r="D261" s="66">
        <f>(Table110[[#This Row],[Index]]-B249)/B249</f>
        <v/>
      </c>
    </row>
    <row r="262">
      <c r="A262" s="17" t="n">
        <v>34060</v>
      </c>
      <c r="B262" s="58">
        <f>VLOOKUP(Table110[[#This Row],[Date]],database!A:H,3,)</f>
        <v/>
      </c>
      <c r="C262" s="66">
        <f>B262/B261-1</f>
        <v/>
      </c>
      <c r="D262" s="66">
        <f>(Table110[[#This Row],[Index]]-B250)/B250</f>
        <v/>
      </c>
    </row>
    <row r="263">
      <c r="A263" s="17" t="n">
        <v>34090</v>
      </c>
      <c r="B263" s="58">
        <f>VLOOKUP(Table110[[#This Row],[Date]],database!A:H,3,)</f>
        <v/>
      </c>
      <c r="C263" s="66">
        <f>B263/B262-1</f>
        <v/>
      </c>
      <c r="D263" s="66">
        <f>(Table110[[#This Row],[Index]]-B251)/B251</f>
        <v/>
      </c>
    </row>
    <row r="264">
      <c r="A264" s="17" t="n">
        <v>34121</v>
      </c>
      <c r="B264" s="58">
        <f>VLOOKUP(Table110[[#This Row],[Date]],database!A:H,3,)</f>
        <v/>
      </c>
      <c r="C264" s="66">
        <f>B264/B263-1</f>
        <v/>
      </c>
      <c r="D264" s="66">
        <f>(Table110[[#This Row],[Index]]-B252)/B252</f>
        <v/>
      </c>
    </row>
    <row r="265">
      <c r="A265" s="17" t="n">
        <v>34151</v>
      </c>
      <c r="B265" s="58">
        <f>VLOOKUP(Table110[[#This Row],[Date]],database!A:H,3,)</f>
        <v/>
      </c>
      <c r="C265" s="66">
        <f>B265/B264-1</f>
        <v/>
      </c>
      <c r="D265" s="66">
        <f>(Table110[[#This Row],[Index]]-B253)/B253</f>
        <v/>
      </c>
    </row>
    <row r="266">
      <c r="A266" s="17" t="n">
        <v>34182</v>
      </c>
      <c r="B266" s="58">
        <f>VLOOKUP(Table110[[#This Row],[Date]],database!A:H,3,)</f>
        <v/>
      </c>
      <c r="C266" s="66">
        <f>B266/B265-1</f>
        <v/>
      </c>
      <c r="D266" s="66">
        <f>(Table110[[#This Row],[Index]]-B254)/B254</f>
        <v/>
      </c>
    </row>
    <row r="267">
      <c r="A267" s="17" t="n">
        <v>34213</v>
      </c>
      <c r="B267" s="58">
        <f>VLOOKUP(Table110[[#This Row],[Date]],database!A:H,3,)</f>
        <v/>
      </c>
      <c r="C267" s="66">
        <f>B267/B266-1</f>
        <v/>
      </c>
      <c r="D267" s="66">
        <f>(Table110[[#This Row],[Index]]-B255)/B255</f>
        <v/>
      </c>
    </row>
    <row r="268">
      <c r="A268" s="17" t="n">
        <v>34243</v>
      </c>
      <c r="B268" s="58">
        <f>VLOOKUP(Table110[[#This Row],[Date]],database!A:H,3,)</f>
        <v/>
      </c>
      <c r="C268" s="66">
        <f>B268/B267-1</f>
        <v/>
      </c>
      <c r="D268" s="66">
        <f>(Table110[[#This Row],[Index]]-B256)/B256</f>
        <v/>
      </c>
    </row>
    <row r="269">
      <c r="A269" s="17" t="n">
        <v>34274</v>
      </c>
      <c r="B269" s="58">
        <f>VLOOKUP(Table110[[#This Row],[Date]],database!A:H,3,)</f>
        <v/>
      </c>
      <c r="C269" s="66">
        <f>B269/B268-1</f>
        <v/>
      </c>
      <c r="D269" s="66">
        <f>(Table110[[#This Row],[Index]]-B257)/B257</f>
        <v/>
      </c>
    </row>
    <row r="270">
      <c r="A270" s="17" t="n">
        <v>34304</v>
      </c>
      <c r="B270" s="58">
        <f>VLOOKUP(Table110[[#This Row],[Date]],database!A:H,3,)</f>
        <v/>
      </c>
      <c r="C270" s="66">
        <f>B270/B269-1</f>
        <v/>
      </c>
      <c r="D270" s="66">
        <f>(Table110[[#This Row],[Index]]-B258)/B258</f>
        <v/>
      </c>
    </row>
    <row r="271">
      <c r="A271" s="17" t="n">
        <v>34335</v>
      </c>
      <c r="B271" s="58">
        <f>VLOOKUP(Table110[[#This Row],[Date]],database!A:H,3,)</f>
        <v/>
      </c>
      <c r="C271" s="66">
        <f>B271/B270-1</f>
        <v/>
      </c>
      <c r="D271" s="66">
        <f>(Table110[[#This Row],[Index]]-B259)/B259</f>
        <v/>
      </c>
    </row>
    <row r="272">
      <c r="A272" s="17" t="n">
        <v>34366</v>
      </c>
      <c r="B272" s="58">
        <f>VLOOKUP(Table110[[#This Row],[Date]],database!A:H,3,)</f>
        <v/>
      </c>
      <c r="C272" s="66">
        <f>B272/B271-1</f>
        <v/>
      </c>
      <c r="D272" s="66">
        <f>(Table110[[#This Row],[Index]]-B260)/B260</f>
        <v/>
      </c>
    </row>
    <row r="273">
      <c r="A273" s="17" t="n">
        <v>34394</v>
      </c>
      <c r="B273" s="58">
        <f>VLOOKUP(Table110[[#This Row],[Date]],database!A:H,3,)</f>
        <v/>
      </c>
      <c r="C273" s="66">
        <f>B273/B272-1</f>
        <v/>
      </c>
      <c r="D273" s="66">
        <f>(Table110[[#This Row],[Index]]-B261)/B261</f>
        <v/>
      </c>
    </row>
    <row r="274">
      <c r="A274" s="17" t="n">
        <v>34425</v>
      </c>
      <c r="B274" s="58">
        <f>VLOOKUP(Table110[[#This Row],[Date]],database!A:H,3,)</f>
        <v/>
      </c>
      <c r="C274" s="66">
        <f>B274/B273-1</f>
        <v/>
      </c>
      <c r="D274" s="66">
        <f>(Table110[[#This Row],[Index]]-B262)/B262</f>
        <v/>
      </c>
    </row>
    <row r="275">
      <c r="A275" s="17" t="n">
        <v>34455</v>
      </c>
      <c r="B275" s="58">
        <f>VLOOKUP(Table110[[#This Row],[Date]],database!A:H,3,)</f>
        <v/>
      </c>
      <c r="C275" s="66">
        <f>B275/B274-1</f>
        <v/>
      </c>
      <c r="D275" s="66">
        <f>(Table110[[#This Row],[Index]]-B263)/B263</f>
        <v/>
      </c>
    </row>
    <row r="276">
      <c r="A276" s="17" t="n">
        <v>34486</v>
      </c>
      <c r="B276" s="58">
        <f>VLOOKUP(Table110[[#This Row],[Date]],database!A:H,3,)</f>
        <v/>
      </c>
      <c r="C276" s="66">
        <f>B276/B275-1</f>
        <v/>
      </c>
      <c r="D276" s="66">
        <f>(Table110[[#This Row],[Index]]-B264)/B264</f>
        <v/>
      </c>
    </row>
    <row r="277">
      <c r="A277" s="17" t="n">
        <v>34516</v>
      </c>
      <c r="B277" s="58">
        <f>VLOOKUP(Table110[[#This Row],[Date]],database!A:H,3,)</f>
        <v/>
      </c>
      <c r="C277" s="66">
        <f>B277/B276-1</f>
        <v/>
      </c>
      <c r="D277" s="66">
        <f>(Table110[[#This Row],[Index]]-B265)/B265</f>
        <v/>
      </c>
    </row>
    <row r="278">
      <c r="A278" s="17" t="n">
        <v>34547</v>
      </c>
      <c r="B278" s="58">
        <f>VLOOKUP(Table110[[#This Row],[Date]],database!A:H,3,)</f>
        <v/>
      </c>
      <c r="C278" s="66">
        <f>B278/B277-1</f>
        <v/>
      </c>
      <c r="D278" s="66">
        <f>(Table110[[#This Row],[Index]]-B266)/B266</f>
        <v/>
      </c>
    </row>
    <row r="279">
      <c r="A279" s="17" t="n">
        <v>34578</v>
      </c>
      <c r="B279" s="58">
        <f>VLOOKUP(Table110[[#This Row],[Date]],database!A:H,3,)</f>
        <v/>
      </c>
      <c r="C279" s="66">
        <f>B279/B278-1</f>
        <v/>
      </c>
      <c r="D279" s="66">
        <f>(Table110[[#This Row],[Index]]-B267)/B267</f>
        <v/>
      </c>
    </row>
    <row r="280">
      <c r="A280" s="17" t="n">
        <v>34608</v>
      </c>
      <c r="B280" s="58">
        <f>VLOOKUP(Table110[[#This Row],[Date]],database!A:H,3,)</f>
        <v/>
      </c>
      <c r="C280" s="66">
        <f>B280/B279-1</f>
        <v/>
      </c>
      <c r="D280" s="66">
        <f>(Table110[[#This Row],[Index]]-B268)/B268</f>
        <v/>
      </c>
    </row>
    <row r="281">
      <c r="A281" s="17" t="n">
        <v>34639</v>
      </c>
      <c r="B281" s="58">
        <f>VLOOKUP(Table110[[#This Row],[Date]],database!A:H,3,)</f>
        <v/>
      </c>
      <c r="C281" s="66">
        <f>B281/B280-1</f>
        <v/>
      </c>
      <c r="D281" s="66">
        <f>(Table110[[#This Row],[Index]]-B269)/B269</f>
        <v/>
      </c>
    </row>
    <row r="282">
      <c r="A282" s="17" t="n">
        <v>34669</v>
      </c>
      <c r="B282" s="58">
        <f>VLOOKUP(Table110[[#This Row],[Date]],database!A:H,3,)</f>
        <v/>
      </c>
      <c r="C282" s="66">
        <f>B282/B281-1</f>
        <v/>
      </c>
      <c r="D282" s="66">
        <f>(Table110[[#This Row],[Index]]-B270)/B270</f>
        <v/>
      </c>
    </row>
    <row r="283">
      <c r="A283" s="17" t="n">
        <v>34700</v>
      </c>
      <c r="B283" s="58">
        <f>VLOOKUP(Table110[[#This Row],[Date]],database!A:H,3,)</f>
        <v/>
      </c>
      <c r="C283" s="66">
        <f>B283/B282-1</f>
        <v/>
      </c>
      <c r="D283" s="66">
        <f>(Table110[[#This Row],[Index]]-B271)/B271</f>
        <v/>
      </c>
    </row>
    <row r="284">
      <c r="A284" s="17" t="n">
        <v>34731</v>
      </c>
      <c r="B284" s="58">
        <f>VLOOKUP(Table110[[#This Row],[Date]],database!A:H,3,)</f>
        <v/>
      </c>
      <c r="C284" s="66">
        <f>B284/B283-1</f>
        <v/>
      </c>
      <c r="D284" s="66">
        <f>(Table110[[#This Row],[Index]]-B272)/B272</f>
        <v/>
      </c>
    </row>
    <row r="285">
      <c r="A285" s="17" t="n">
        <v>34759</v>
      </c>
      <c r="B285" s="58">
        <f>VLOOKUP(Table110[[#This Row],[Date]],database!A:H,3,)</f>
        <v/>
      </c>
      <c r="C285" s="66">
        <f>B285/B284-1</f>
        <v/>
      </c>
      <c r="D285" s="66">
        <f>(Table110[[#This Row],[Index]]-B273)/B273</f>
        <v/>
      </c>
    </row>
    <row r="286">
      <c r="A286" s="17" t="n">
        <v>34790</v>
      </c>
      <c r="B286" s="58">
        <f>VLOOKUP(Table110[[#This Row],[Date]],database!A:H,3,)</f>
        <v/>
      </c>
      <c r="C286" s="66">
        <f>B286/B285-1</f>
        <v/>
      </c>
      <c r="D286" s="66">
        <f>(Table110[[#This Row],[Index]]-B274)/B274</f>
        <v/>
      </c>
    </row>
    <row r="287">
      <c r="A287" s="17" t="n">
        <v>34820</v>
      </c>
      <c r="B287" s="58">
        <f>VLOOKUP(Table110[[#This Row],[Date]],database!A:H,3,)</f>
        <v/>
      </c>
      <c r="C287" s="66">
        <f>B287/B286-1</f>
        <v/>
      </c>
      <c r="D287" s="66">
        <f>(Table110[[#This Row],[Index]]-B275)/B275</f>
        <v/>
      </c>
    </row>
    <row r="288">
      <c r="A288" s="17" t="n">
        <v>34851</v>
      </c>
      <c r="B288" s="58">
        <f>VLOOKUP(Table110[[#This Row],[Date]],database!A:H,3,)</f>
        <v/>
      </c>
      <c r="C288" s="66">
        <f>B288/B287-1</f>
        <v/>
      </c>
      <c r="D288" s="66">
        <f>(Table110[[#This Row],[Index]]-B276)/B276</f>
        <v/>
      </c>
    </row>
    <row r="289">
      <c r="A289" s="17" t="n">
        <v>34881</v>
      </c>
      <c r="B289" s="58">
        <f>VLOOKUP(Table110[[#This Row],[Date]],database!A:H,3,)</f>
        <v/>
      </c>
      <c r="C289" s="66">
        <f>B289/B288-1</f>
        <v/>
      </c>
      <c r="D289" s="66">
        <f>(Table110[[#This Row],[Index]]-B277)/B277</f>
        <v/>
      </c>
    </row>
    <row r="290">
      <c r="A290" s="17" t="n">
        <v>34912</v>
      </c>
      <c r="B290" s="58">
        <f>VLOOKUP(Table110[[#This Row],[Date]],database!A:H,3,)</f>
        <v/>
      </c>
      <c r="C290" s="66">
        <f>B290/B289-1</f>
        <v/>
      </c>
      <c r="D290" s="66">
        <f>(Table110[[#This Row],[Index]]-B278)/B278</f>
        <v/>
      </c>
    </row>
    <row r="291">
      <c r="A291" s="17" t="n">
        <v>34943</v>
      </c>
      <c r="B291" s="58">
        <f>VLOOKUP(Table110[[#This Row],[Date]],database!A:H,3,)</f>
        <v/>
      </c>
      <c r="C291" s="66">
        <f>B291/B290-1</f>
        <v/>
      </c>
      <c r="D291" s="66">
        <f>(Table110[[#This Row],[Index]]-B279)/B279</f>
        <v/>
      </c>
    </row>
    <row r="292">
      <c r="A292" s="17" t="n">
        <v>34973</v>
      </c>
      <c r="B292" s="58">
        <f>VLOOKUP(Table110[[#This Row],[Date]],database!A:H,3,)</f>
        <v/>
      </c>
      <c r="C292" s="66">
        <f>B292/B291-1</f>
        <v/>
      </c>
      <c r="D292" s="66">
        <f>(Table110[[#This Row],[Index]]-B280)/B280</f>
        <v/>
      </c>
    </row>
    <row r="293">
      <c r="A293" s="17" t="n">
        <v>35004</v>
      </c>
      <c r="B293" s="58">
        <f>VLOOKUP(Table110[[#This Row],[Date]],database!A:H,3,)</f>
        <v/>
      </c>
      <c r="C293" s="66">
        <f>B293/B292-1</f>
        <v/>
      </c>
      <c r="D293" s="66">
        <f>(Table110[[#This Row],[Index]]-B281)/B281</f>
        <v/>
      </c>
    </row>
    <row r="294">
      <c r="A294" s="17" t="n">
        <v>35034</v>
      </c>
      <c r="B294" s="58">
        <f>VLOOKUP(Table110[[#This Row],[Date]],database!A:H,3,)</f>
        <v/>
      </c>
      <c r="C294" s="66">
        <f>B294/B293-1</f>
        <v/>
      </c>
      <c r="D294" s="66">
        <f>(Table110[[#This Row],[Index]]-B282)/B282</f>
        <v/>
      </c>
    </row>
    <row r="295">
      <c r="A295" s="17" t="n">
        <v>35065</v>
      </c>
      <c r="B295" s="58">
        <f>VLOOKUP(Table110[[#This Row],[Date]],database!A:H,3,)</f>
        <v/>
      </c>
      <c r="C295" s="66">
        <f>B295/B294-1</f>
        <v/>
      </c>
      <c r="D295" s="66">
        <f>(Table110[[#This Row],[Index]]-B283)/B283</f>
        <v/>
      </c>
    </row>
    <row r="296">
      <c r="A296" s="17" t="n">
        <v>35096</v>
      </c>
      <c r="B296" s="58">
        <f>VLOOKUP(Table110[[#This Row],[Date]],database!A:H,3,)</f>
        <v/>
      </c>
      <c r="C296" s="66">
        <f>B296/B295-1</f>
        <v/>
      </c>
      <c r="D296" s="66">
        <f>(Table110[[#This Row],[Index]]-B284)/B284</f>
        <v/>
      </c>
    </row>
    <row r="297">
      <c r="A297" s="17" t="n">
        <v>35125</v>
      </c>
      <c r="B297" s="58">
        <f>VLOOKUP(Table110[[#This Row],[Date]],database!A:H,3,)</f>
        <v/>
      </c>
      <c r="C297" s="66">
        <f>B297/B296-1</f>
        <v/>
      </c>
      <c r="D297" s="66">
        <f>(Table110[[#This Row],[Index]]-B285)/B285</f>
        <v/>
      </c>
    </row>
    <row r="298">
      <c r="A298" s="17" t="n">
        <v>35156</v>
      </c>
      <c r="B298" s="58">
        <f>VLOOKUP(Table110[[#This Row],[Date]],database!A:H,3,)</f>
        <v/>
      </c>
      <c r="C298" s="66">
        <f>B298/B297-1</f>
        <v/>
      </c>
      <c r="D298" s="66">
        <f>(Table110[[#This Row],[Index]]-B286)/B286</f>
        <v/>
      </c>
    </row>
    <row r="299">
      <c r="A299" s="17" t="n">
        <v>35186</v>
      </c>
      <c r="B299" s="58">
        <f>VLOOKUP(Table110[[#This Row],[Date]],database!A:H,3,)</f>
        <v/>
      </c>
      <c r="C299" s="66">
        <f>B299/B298-1</f>
        <v/>
      </c>
      <c r="D299" s="66">
        <f>(Table110[[#This Row],[Index]]-B287)/B287</f>
        <v/>
      </c>
    </row>
    <row r="300">
      <c r="A300" s="17" t="n">
        <v>35217</v>
      </c>
      <c r="B300" s="58">
        <f>VLOOKUP(Table110[[#This Row],[Date]],database!A:H,3,)</f>
        <v/>
      </c>
      <c r="C300" s="66">
        <f>B300/B299-1</f>
        <v/>
      </c>
      <c r="D300" s="66">
        <f>(Table110[[#This Row],[Index]]-B288)/B288</f>
        <v/>
      </c>
    </row>
    <row r="301">
      <c r="A301" s="17" t="n">
        <v>35247</v>
      </c>
      <c r="B301" s="58">
        <f>VLOOKUP(Table110[[#This Row],[Date]],database!A:H,3,)</f>
        <v/>
      </c>
      <c r="C301" s="66">
        <f>B301/B300-1</f>
        <v/>
      </c>
      <c r="D301" s="66">
        <f>(Table110[[#This Row],[Index]]-B289)/B289</f>
        <v/>
      </c>
    </row>
    <row r="302">
      <c r="A302" s="17" t="n">
        <v>35278</v>
      </c>
      <c r="B302" s="58">
        <f>VLOOKUP(Table110[[#This Row],[Date]],database!A:H,3,)</f>
        <v/>
      </c>
      <c r="C302" s="66">
        <f>B302/B301-1</f>
        <v/>
      </c>
      <c r="D302" s="66">
        <f>(Table110[[#This Row],[Index]]-B290)/B290</f>
        <v/>
      </c>
    </row>
    <row r="303">
      <c r="A303" s="17" t="n">
        <v>35309</v>
      </c>
      <c r="B303" s="58">
        <f>VLOOKUP(Table110[[#This Row],[Date]],database!A:H,3,)</f>
        <v/>
      </c>
      <c r="C303" s="66">
        <f>B303/B302-1</f>
        <v/>
      </c>
      <c r="D303" s="66">
        <f>(Table110[[#This Row],[Index]]-B291)/B291</f>
        <v/>
      </c>
    </row>
    <row r="304">
      <c r="A304" s="17" t="n">
        <v>35339</v>
      </c>
      <c r="B304" s="58">
        <f>VLOOKUP(Table110[[#This Row],[Date]],database!A:H,3,)</f>
        <v/>
      </c>
      <c r="C304" s="66">
        <f>B304/B303-1</f>
        <v/>
      </c>
      <c r="D304" s="66">
        <f>(Table110[[#This Row],[Index]]-B292)/B292</f>
        <v/>
      </c>
    </row>
    <row r="305">
      <c r="A305" s="17" t="n">
        <v>35370</v>
      </c>
      <c r="B305" s="58">
        <f>VLOOKUP(Table110[[#This Row],[Date]],database!A:H,3,)</f>
        <v/>
      </c>
      <c r="C305" s="66">
        <f>B305/B304-1</f>
        <v/>
      </c>
      <c r="D305" s="66">
        <f>(Table110[[#This Row],[Index]]-B293)/B293</f>
        <v/>
      </c>
    </row>
    <row r="306">
      <c r="A306" s="17" t="n">
        <v>35400</v>
      </c>
      <c r="B306" s="58">
        <f>VLOOKUP(Table110[[#This Row],[Date]],database!A:H,3,)</f>
        <v/>
      </c>
      <c r="C306" s="66">
        <f>B306/B305-1</f>
        <v/>
      </c>
      <c r="D306" s="66">
        <f>(Table110[[#This Row],[Index]]-B294)/B294</f>
        <v/>
      </c>
    </row>
    <row r="307">
      <c r="A307" s="17" t="n">
        <v>35431</v>
      </c>
      <c r="B307" s="58">
        <f>VLOOKUP(Table110[[#This Row],[Date]],database!A:H,3,)</f>
        <v/>
      </c>
      <c r="C307" s="66">
        <f>B307/B306-1</f>
        <v/>
      </c>
      <c r="D307" s="66">
        <f>(Table110[[#This Row],[Index]]-B295)/B295</f>
        <v/>
      </c>
    </row>
    <row r="308">
      <c r="A308" s="17" t="n">
        <v>35462</v>
      </c>
      <c r="B308" s="58">
        <f>VLOOKUP(Table110[[#This Row],[Date]],database!A:H,3,)</f>
        <v/>
      </c>
      <c r="C308" s="66">
        <f>B308/B307-1</f>
        <v/>
      </c>
      <c r="D308" s="66">
        <f>(Table110[[#This Row],[Index]]-B296)/B296</f>
        <v/>
      </c>
    </row>
    <row r="309">
      <c r="A309" s="17" t="n">
        <v>35490</v>
      </c>
      <c r="B309" s="58">
        <f>VLOOKUP(Table110[[#This Row],[Date]],database!A:H,3,)</f>
        <v/>
      </c>
      <c r="C309" s="66">
        <f>B309/B308-1</f>
        <v/>
      </c>
      <c r="D309" s="66">
        <f>(Table110[[#This Row],[Index]]-B297)/B297</f>
        <v/>
      </c>
    </row>
    <row r="310">
      <c r="A310" s="17" t="n">
        <v>35521</v>
      </c>
      <c r="B310" s="58">
        <f>VLOOKUP(Table110[[#This Row],[Date]],database!A:H,3,)</f>
        <v/>
      </c>
      <c r="C310" s="66">
        <f>B310/B309-1</f>
        <v/>
      </c>
      <c r="D310" s="66">
        <f>(Table110[[#This Row],[Index]]-B298)/B298</f>
        <v/>
      </c>
    </row>
    <row r="311">
      <c r="A311" s="17" t="n">
        <v>35551</v>
      </c>
      <c r="B311" s="58">
        <f>VLOOKUP(Table110[[#This Row],[Date]],database!A:H,3,)</f>
        <v/>
      </c>
      <c r="C311" s="66">
        <f>B311/B310-1</f>
        <v/>
      </c>
      <c r="D311" s="66">
        <f>(Table110[[#This Row],[Index]]-B299)/B299</f>
        <v/>
      </c>
    </row>
    <row r="312">
      <c r="A312" s="17" t="n">
        <v>35582</v>
      </c>
      <c r="B312" s="58">
        <f>VLOOKUP(Table110[[#This Row],[Date]],database!A:H,3,)</f>
        <v/>
      </c>
      <c r="C312" s="66">
        <f>B312/B311-1</f>
        <v/>
      </c>
      <c r="D312" s="66">
        <f>(Table110[[#This Row],[Index]]-B300)/B300</f>
        <v/>
      </c>
    </row>
    <row r="313">
      <c r="A313" s="17" t="n">
        <v>35612</v>
      </c>
      <c r="B313" s="58">
        <f>VLOOKUP(Table110[[#This Row],[Date]],database!A:H,3,)</f>
        <v/>
      </c>
      <c r="C313" s="66">
        <f>B313/B312-1</f>
        <v/>
      </c>
      <c r="D313" s="66">
        <f>(Table110[[#This Row],[Index]]-B301)/B301</f>
        <v/>
      </c>
    </row>
    <row r="314">
      <c r="A314" s="17" t="n">
        <v>35643</v>
      </c>
      <c r="B314" s="58">
        <f>VLOOKUP(Table110[[#This Row],[Date]],database!A:H,3,)</f>
        <v/>
      </c>
      <c r="C314" s="66">
        <f>B314/B313-1</f>
        <v/>
      </c>
      <c r="D314" s="66">
        <f>(Table110[[#This Row],[Index]]-B302)/B302</f>
        <v/>
      </c>
    </row>
    <row r="315">
      <c r="A315" s="17" t="n">
        <v>35674</v>
      </c>
      <c r="B315" s="58">
        <f>VLOOKUP(Table110[[#This Row],[Date]],database!A:H,3,)</f>
        <v/>
      </c>
      <c r="C315" s="66">
        <f>B315/B314-1</f>
        <v/>
      </c>
      <c r="D315" s="66">
        <f>(Table110[[#This Row],[Index]]-B303)/B303</f>
        <v/>
      </c>
    </row>
    <row r="316">
      <c r="A316" s="17" t="n">
        <v>35704</v>
      </c>
      <c r="B316" s="58">
        <f>VLOOKUP(Table110[[#This Row],[Date]],database!A:H,3,)</f>
        <v/>
      </c>
      <c r="C316" s="66">
        <f>B316/B315-1</f>
        <v/>
      </c>
      <c r="D316" s="66">
        <f>(Table110[[#This Row],[Index]]-B304)/B304</f>
        <v/>
      </c>
    </row>
    <row r="317">
      <c r="A317" s="17" t="n">
        <v>35735</v>
      </c>
      <c r="B317" s="58">
        <f>VLOOKUP(Table110[[#This Row],[Date]],database!A:H,3,)</f>
        <v/>
      </c>
      <c r="C317" s="66">
        <f>B317/B316-1</f>
        <v/>
      </c>
      <c r="D317" s="66">
        <f>(Table110[[#This Row],[Index]]-B305)/B305</f>
        <v/>
      </c>
    </row>
    <row r="318">
      <c r="A318" s="17" t="n">
        <v>35765</v>
      </c>
      <c r="B318" s="58">
        <f>VLOOKUP(Table110[[#This Row],[Date]],database!A:H,3,)</f>
        <v/>
      </c>
      <c r="C318" s="66">
        <f>B318/B317-1</f>
        <v/>
      </c>
      <c r="D318" s="66">
        <f>(Table110[[#This Row],[Index]]-B306)/B306</f>
        <v/>
      </c>
    </row>
    <row r="319">
      <c r="A319" s="17" t="n">
        <v>35796</v>
      </c>
      <c r="B319" s="58">
        <f>VLOOKUP(Table110[[#This Row],[Date]],database!A:H,3,)</f>
        <v/>
      </c>
      <c r="C319" s="66">
        <f>B319/B318-1</f>
        <v/>
      </c>
      <c r="D319" s="66">
        <f>(Table110[[#This Row],[Index]]-B307)/B307</f>
        <v/>
      </c>
    </row>
    <row r="320">
      <c r="A320" s="17" t="n">
        <v>35827</v>
      </c>
      <c r="B320" s="58">
        <f>VLOOKUP(Table110[[#This Row],[Date]],database!A:H,3,)</f>
        <v/>
      </c>
      <c r="C320" s="66">
        <f>B320/B319-1</f>
        <v/>
      </c>
      <c r="D320" s="66">
        <f>(Table110[[#This Row],[Index]]-B308)/B308</f>
        <v/>
      </c>
    </row>
    <row r="321">
      <c r="A321" s="17" t="n">
        <v>35855</v>
      </c>
      <c r="B321" s="58">
        <f>VLOOKUP(Table110[[#This Row],[Date]],database!A:H,3,)</f>
        <v/>
      </c>
      <c r="C321" s="66">
        <f>B321/B320-1</f>
        <v/>
      </c>
      <c r="D321" s="66">
        <f>(Table110[[#This Row],[Index]]-B309)/B309</f>
        <v/>
      </c>
    </row>
    <row r="322">
      <c r="A322" s="17" t="n">
        <v>35886</v>
      </c>
      <c r="B322" s="58">
        <f>VLOOKUP(Table110[[#This Row],[Date]],database!A:H,3,)</f>
        <v/>
      </c>
      <c r="C322" s="66">
        <f>B322/B321-1</f>
        <v/>
      </c>
      <c r="D322" s="66">
        <f>(Table110[[#This Row],[Index]]-B310)/B310</f>
        <v/>
      </c>
    </row>
    <row r="323">
      <c r="A323" s="17" t="n">
        <v>35916</v>
      </c>
      <c r="B323" s="58">
        <f>VLOOKUP(Table110[[#This Row],[Date]],database!A:H,3,)</f>
        <v/>
      </c>
      <c r="C323" s="66">
        <f>B323/B322-1</f>
        <v/>
      </c>
      <c r="D323" s="66">
        <f>(Table110[[#This Row],[Index]]-B311)/B311</f>
        <v/>
      </c>
    </row>
    <row r="324">
      <c r="A324" s="17" t="n">
        <v>35947</v>
      </c>
      <c r="B324" s="58">
        <f>VLOOKUP(Table110[[#This Row],[Date]],database!A:H,3,)</f>
        <v/>
      </c>
      <c r="C324" s="66">
        <f>B324/B323-1</f>
        <v/>
      </c>
      <c r="D324" s="66">
        <f>(Table110[[#This Row],[Index]]-B312)/B312</f>
        <v/>
      </c>
    </row>
    <row r="325">
      <c r="A325" s="17" t="n">
        <v>35977</v>
      </c>
      <c r="B325" s="58">
        <f>VLOOKUP(Table110[[#This Row],[Date]],database!A:H,3,)</f>
        <v/>
      </c>
      <c r="C325" s="66">
        <f>B325/B324-1</f>
        <v/>
      </c>
      <c r="D325" s="66">
        <f>(Table110[[#This Row],[Index]]-B313)/B313</f>
        <v/>
      </c>
    </row>
    <row r="326">
      <c r="A326" s="17" t="n">
        <v>36008</v>
      </c>
      <c r="B326" s="58">
        <f>VLOOKUP(Table110[[#This Row],[Date]],database!A:H,3,)</f>
        <v/>
      </c>
      <c r="C326" s="66">
        <f>B326/B325-1</f>
        <v/>
      </c>
      <c r="D326" s="66">
        <f>(Table110[[#This Row],[Index]]-B314)/B314</f>
        <v/>
      </c>
    </row>
    <row r="327">
      <c r="A327" s="17" t="n">
        <v>36039</v>
      </c>
      <c r="B327" s="58">
        <f>VLOOKUP(Table110[[#This Row],[Date]],database!A:H,3,)</f>
        <v/>
      </c>
      <c r="C327" s="66">
        <f>B327/B326-1</f>
        <v/>
      </c>
      <c r="D327" s="66">
        <f>(Table110[[#This Row],[Index]]-B315)/B315</f>
        <v/>
      </c>
    </row>
    <row r="328">
      <c r="A328" s="17" t="n">
        <v>36069</v>
      </c>
      <c r="B328" s="58">
        <f>VLOOKUP(Table110[[#This Row],[Date]],database!A:H,3,)</f>
        <v/>
      </c>
      <c r="C328" s="66">
        <f>B328/B327-1</f>
        <v/>
      </c>
      <c r="D328" s="66">
        <f>(Table110[[#This Row],[Index]]-B316)/B316</f>
        <v/>
      </c>
    </row>
    <row r="329">
      <c r="A329" s="17" t="n">
        <v>36100</v>
      </c>
      <c r="B329" s="58">
        <f>VLOOKUP(Table110[[#This Row],[Date]],database!A:H,3,)</f>
        <v/>
      </c>
      <c r="C329" s="66">
        <f>B329/B328-1</f>
        <v/>
      </c>
      <c r="D329" s="66">
        <f>(Table110[[#This Row],[Index]]-B317)/B317</f>
        <v/>
      </c>
    </row>
    <row r="330">
      <c r="A330" s="17" t="n">
        <v>36130</v>
      </c>
      <c r="B330" s="58">
        <f>VLOOKUP(Table110[[#This Row],[Date]],database!A:H,3,)</f>
        <v/>
      </c>
      <c r="C330" s="66">
        <f>B330/B329-1</f>
        <v/>
      </c>
      <c r="D330" s="66">
        <f>(Table110[[#This Row],[Index]]-B318)/B318</f>
        <v/>
      </c>
    </row>
    <row r="331">
      <c r="A331" s="17" t="n">
        <v>36161</v>
      </c>
      <c r="B331" s="58">
        <f>VLOOKUP(Table110[[#This Row],[Date]],database!A:H,3,)</f>
        <v/>
      </c>
      <c r="C331" s="66">
        <f>B331/B330-1</f>
        <v/>
      </c>
      <c r="D331" s="66">
        <f>(Table110[[#This Row],[Index]]-B319)/B319</f>
        <v/>
      </c>
    </row>
    <row r="332">
      <c r="A332" s="17" t="n">
        <v>36192</v>
      </c>
      <c r="B332" s="58">
        <f>VLOOKUP(Table110[[#This Row],[Date]],database!A:H,3,)</f>
        <v/>
      </c>
      <c r="C332" s="66">
        <f>B332/B331-1</f>
        <v/>
      </c>
      <c r="D332" s="66">
        <f>(Table110[[#This Row],[Index]]-B320)/B320</f>
        <v/>
      </c>
    </row>
    <row r="333">
      <c r="A333" s="17" t="n">
        <v>36220</v>
      </c>
      <c r="B333" s="58">
        <f>VLOOKUP(Table110[[#This Row],[Date]],database!A:H,3,)</f>
        <v/>
      </c>
      <c r="C333" s="66">
        <f>B333/B332-1</f>
        <v/>
      </c>
      <c r="D333" s="66">
        <f>(Table110[[#This Row],[Index]]-B321)/B321</f>
        <v/>
      </c>
    </row>
    <row r="334">
      <c r="A334" s="17" t="n">
        <v>36251</v>
      </c>
      <c r="B334" s="58">
        <f>VLOOKUP(Table110[[#This Row],[Date]],database!A:H,3,)</f>
        <v/>
      </c>
      <c r="C334" s="66">
        <f>B334/B333-1</f>
        <v/>
      </c>
      <c r="D334" s="66">
        <f>(Table110[[#This Row],[Index]]-B322)/B322</f>
        <v/>
      </c>
    </row>
    <row r="335">
      <c r="A335" s="17" t="n">
        <v>36281</v>
      </c>
      <c r="B335" s="58">
        <f>VLOOKUP(Table110[[#This Row],[Date]],database!A:H,3,)</f>
        <v/>
      </c>
      <c r="C335" s="66">
        <f>B335/B334-1</f>
        <v/>
      </c>
      <c r="D335" s="66">
        <f>(Table110[[#This Row],[Index]]-B323)/B323</f>
        <v/>
      </c>
    </row>
    <row r="336">
      <c r="A336" s="17" t="n">
        <v>36312</v>
      </c>
      <c r="B336" s="58">
        <f>VLOOKUP(Table110[[#This Row],[Date]],database!A:H,3,)</f>
        <v/>
      </c>
      <c r="C336" s="66">
        <f>B336/B335-1</f>
        <v/>
      </c>
      <c r="D336" s="66">
        <f>(Table110[[#This Row],[Index]]-B324)/B324</f>
        <v/>
      </c>
    </row>
    <row r="337">
      <c r="A337" s="17" t="n">
        <v>36342</v>
      </c>
      <c r="B337" s="58">
        <f>VLOOKUP(Table110[[#This Row],[Date]],database!A:H,3,)</f>
        <v/>
      </c>
      <c r="C337" s="66">
        <f>B337/B336-1</f>
        <v/>
      </c>
      <c r="D337" s="66">
        <f>(Table110[[#This Row],[Index]]-B325)/B325</f>
        <v/>
      </c>
    </row>
    <row r="338">
      <c r="A338" s="17" t="n">
        <v>36373</v>
      </c>
      <c r="B338" s="58">
        <f>VLOOKUP(Table110[[#This Row],[Date]],database!A:H,3,)</f>
        <v/>
      </c>
      <c r="C338" s="66">
        <f>B338/B337-1</f>
        <v/>
      </c>
      <c r="D338" s="66">
        <f>(Table110[[#This Row],[Index]]-B326)/B326</f>
        <v/>
      </c>
    </row>
    <row r="339">
      <c r="A339" s="17" t="n">
        <v>36404</v>
      </c>
      <c r="B339" s="58">
        <f>VLOOKUP(Table110[[#This Row],[Date]],database!A:H,3,)</f>
        <v/>
      </c>
      <c r="C339" s="66">
        <f>B339/B338-1</f>
        <v/>
      </c>
      <c r="D339" s="66">
        <f>(Table110[[#This Row],[Index]]-B327)/B327</f>
        <v/>
      </c>
    </row>
    <row r="340">
      <c r="A340" s="17" t="n">
        <v>36434</v>
      </c>
      <c r="B340" s="58">
        <f>VLOOKUP(Table110[[#This Row],[Date]],database!A:H,3,)</f>
        <v/>
      </c>
      <c r="C340" s="66">
        <f>B340/B339-1</f>
        <v/>
      </c>
      <c r="D340" s="66">
        <f>(Table110[[#This Row],[Index]]-B328)/B328</f>
        <v/>
      </c>
    </row>
    <row r="341">
      <c r="A341" s="17" t="n">
        <v>36465</v>
      </c>
      <c r="B341" s="58">
        <f>VLOOKUP(Table110[[#This Row],[Date]],database!A:H,3,)</f>
        <v/>
      </c>
      <c r="C341" s="66">
        <f>B341/B340-1</f>
        <v/>
      </c>
      <c r="D341" s="66">
        <f>(Table110[[#This Row],[Index]]-B329)/B329</f>
        <v/>
      </c>
    </row>
    <row r="342">
      <c r="A342" s="17" t="n">
        <v>36495</v>
      </c>
      <c r="B342" s="58">
        <f>VLOOKUP(Table110[[#This Row],[Date]],database!A:H,3,)</f>
        <v/>
      </c>
      <c r="C342" s="66">
        <f>B342/B341-1</f>
        <v/>
      </c>
      <c r="D342" s="66">
        <f>(Table110[[#This Row],[Index]]-B330)/B330</f>
        <v/>
      </c>
    </row>
    <row r="343">
      <c r="A343" s="17" t="n">
        <v>36526</v>
      </c>
      <c r="B343" s="58">
        <f>VLOOKUP(Table110[[#This Row],[Date]],database!A:H,3,)</f>
        <v/>
      </c>
      <c r="C343" s="66">
        <f>B343/B342-1</f>
        <v/>
      </c>
      <c r="D343" s="66">
        <f>(Table110[[#This Row],[Index]]-B331)/B331</f>
        <v/>
      </c>
    </row>
    <row r="344">
      <c r="A344" s="17" t="n">
        <v>36557</v>
      </c>
      <c r="B344" s="58">
        <f>VLOOKUP(Table110[[#This Row],[Date]],database!A:H,3,)</f>
        <v/>
      </c>
      <c r="C344" s="66">
        <f>B344/B343-1</f>
        <v/>
      </c>
      <c r="D344" s="66">
        <f>(Table110[[#This Row],[Index]]-B332)/B332</f>
        <v/>
      </c>
    </row>
    <row r="345">
      <c r="A345" s="17" t="n">
        <v>36586</v>
      </c>
      <c r="B345" s="58">
        <f>VLOOKUP(Table110[[#This Row],[Date]],database!A:H,3,)</f>
        <v/>
      </c>
      <c r="C345" s="66">
        <f>B345/B344-1</f>
        <v/>
      </c>
      <c r="D345" s="66">
        <f>(Table110[[#This Row],[Index]]-B333)/B333</f>
        <v/>
      </c>
    </row>
    <row r="346">
      <c r="A346" s="17" t="n">
        <v>36617</v>
      </c>
      <c r="B346" s="58">
        <f>VLOOKUP(Table110[[#This Row],[Date]],database!A:H,3,)</f>
        <v/>
      </c>
      <c r="C346" s="66">
        <f>B346/B345-1</f>
        <v/>
      </c>
      <c r="D346" s="66">
        <f>(Table110[[#This Row],[Index]]-B334)/B334</f>
        <v/>
      </c>
    </row>
    <row r="347">
      <c r="A347" s="17" t="n">
        <v>36647</v>
      </c>
      <c r="B347" s="58">
        <f>VLOOKUP(Table110[[#This Row],[Date]],database!A:H,3,)</f>
        <v/>
      </c>
      <c r="C347" s="66">
        <f>B347/B346-1</f>
        <v/>
      </c>
      <c r="D347" s="66">
        <f>(Table110[[#This Row],[Index]]-B335)/B335</f>
        <v/>
      </c>
    </row>
    <row r="348">
      <c r="A348" s="17" t="n">
        <v>36678</v>
      </c>
      <c r="B348" s="58">
        <f>VLOOKUP(Table110[[#This Row],[Date]],database!A:H,3,)</f>
        <v/>
      </c>
      <c r="C348" s="66">
        <f>B348/B347-1</f>
        <v/>
      </c>
      <c r="D348" s="66">
        <f>(Table110[[#This Row],[Index]]-B336)/B336</f>
        <v/>
      </c>
    </row>
    <row r="349">
      <c r="A349" s="17" t="n">
        <v>36708</v>
      </c>
      <c r="B349" s="58">
        <f>VLOOKUP(Table110[[#This Row],[Date]],database!A:H,3,)</f>
        <v/>
      </c>
      <c r="C349" s="66">
        <f>B349/B348-1</f>
        <v/>
      </c>
      <c r="D349" s="66">
        <f>(Table110[[#This Row],[Index]]-B337)/B337</f>
        <v/>
      </c>
    </row>
    <row r="350">
      <c r="A350" s="17" t="n">
        <v>36739</v>
      </c>
      <c r="B350" s="58">
        <f>VLOOKUP(Table110[[#This Row],[Date]],database!A:H,3,)</f>
        <v/>
      </c>
      <c r="C350" s="66">
        <f>B350/B349-1</f>
        <v/>
      </c>
      <c r="D350" s="66">
        <f>(Table110[[#This Row],[Index]]-B338)/B338</f>
        <v/>
      </c>
    </row>
    <row r="351">
      <c r="A351" s="17" t="n">
        <v>36770</v>
      </c>
      <c r="B351" s="58">
        <f>VLOOKUP(Table110[[#This Row],[Date]],database!A:H,3,)</f>
        <v/>
      </c>
      <c r="C351" s="66">
        <f>B351/B350-1</f>
        <v/>
      </c>
      <c r="D351" s="66">
        <f>(Table110[[#This Row],[Index]]-B339)/B339</f>
        <v/>
      </c>
    </row>
    <row r="352">
      <c r="A352" s="17" t="n">
        <v>36800</v>
      </c>
      <c r="B352" s="58">
        <f>VLOOKUP(Table110[[#This Row],[Date]],database!A:H,3,)</f>
        <v/>
      </c>
      <c r="C352" s="66">
        <f>B352/B351-1</f>
        <v/>
      </c>
      <c r="D352" s="66">
        <f>(Table110[[#This Row],[Index]]-B340)/B340</f>
        <v/>
      </c>
    </row>
    <row r="353">
      <c r="A353" s="17" t="n">
        <v>36831</v>
      </c>
      <c r="B353" s="58">
        <f>VLOOKUP(Table110[[#This Row],[Date]],database!A:H,3,)</f>
        <v/>
      </c>
      <c r="C353" s="66">
        <f>B353/B352-1</f>
        <v/>
      </c>
      <c r="D353" s="66">
        <f>(Table110[[#This Row],[Index]]-B341)/B341</f>
        <v/>
      </c>
    </row>
    <row r="354">
      <c r="A354" s="17" t="n">
        <v>36861</v>
      </c>
      <c r="B354" s="58">
        <f>VLOOKUP(Table110[[#This Row],[Date]],database!A:H,3,)</f>
        <v/>
      </c>
      <c r="C354" s="66">
        <f>B354/B353-1</f>
        <v/>
      </c>
      <c r="D354" s="66">
        <f>(Table110[[#This Row],[Index]]-B342)/B342</f>
        <v/>
      </c>
    </row>
    <row r="355">
      <c r="A355" s="17" t="n">
        <v>36892</v>
      </c>
      <c r="B355" s="58">
        <f>VLOOKUP(Table110[[#This Row],[Date]],database!A:H,3,)</f>
        <v/>
      </c>
      <c r="C355" s="66">
        <f>B355/B354-1</f>
        <v/>
      </c>
      <c r="D355" s="66">
        <f>(Table110[[#This Row],[Index]]-B343)/B343</f>
        <v/>
      </c>
    </row>
    <row r="356">
      <c r="A356" s="17" t="n">
        <v>36923</v>
      </c>
      <c r="B356" s="58">
        <f>VLOOKUP(Table110[[#This Row],[Date]],database!A:H,3,)</f>
        <v/>
      </c>
      <c r="C356" s="66">
        <f>B356/B355-1</f>
        <v/>
      </c>
      <c r="D356" s="66">
        <f>(Table110[[#This Row],[Index]]-B344)/B344</f>
        <v/>
      </c>
    </row>
    <row r="357">
      <c r="A357" s="17" t="n">
        <v>36951</v>
      </c>
      <c r="B357" s="58">
        <f>VLOOKUP(Table110[[#This Row],[Date]],database!A:H,3,)</f>
        <v/>
      </c>
      <c r="C357" s="66">
        <f>B357/B356-1</f>
        <v/>
      </c>
      <c r="D357" s="66">
        <f>(Table110[[#This Row],[Index]]-B345)/B345</f>
        <v/>
      </c>
    </row>
    <row r="358">
      <c r="A358" s="17" t="n">
        <v>36982</v>
      </c>
      <c r="B358" s="58">
        <f>VLOOKUP(Table110[[#This Row],[Date]],database!A:H,3,)</f>
        <v/>
      </c>
      <c r="C358" s="66">
        <f>B358/B357-1</f>
        <v/>
      </c>
      <c r="D358" s="66">
        <f>(Table110[[#This Row],[Index]]-B346)/B346</f>
        <v/>
      </c>
    </row>
    <row r="359">
      <c r="A359" s="17" t="n">
        <v>37012</v>
      </c>
      <c r="B359" s="58">
        <f>VLOOKUP(Table110[[#This Row],[Date]],database!A:H,3,)</f>
        <v/>
      </c>
      <c r="C359" s="66">
        <f>B359/B358-1</f>
        <v/>
      </c>
      <c r="D359" s="66">
        <f>(Table110[[#This Row],[Index]]-B347)/B347</f>
        <v/>
      </c>
    </row>
    <row r="360">
      <c r="A360" s="17" t="n">
        <v>37043</v>
      </c>
      <c r="B360" s="58">
        <f>VLOOKUP(Table110[[#This Row],[Date]],database!A:H,3,)</f>
        <v/>
      </c>
      <c r="C360" s="66">
        <f>B360/B359-1</f>
        <v/>
      </c>
      <c r="D360" s="66">
        <f>(Table110[[#This Row],[Index]]-B348)/B348</f>
        <v/>
      </c>
    </row>
    <row r="361">
      <c r="A361" s="17" t="n">
        <v>37073</v>
      </c>
      <c r="B361" s="58">
        <f>VLOOKUP(Table110[[#This Row],[Date]],database!A:H,3,)</f>
        <v/>
      </c>
      <c r="C361" s="66">
        <f>B361/B360-1</f>
        <v/>
      </c>
      <c r="D361" s="66">
        <f>(Table110[[#This Row],[Index]]-B349)/B349</f>
        <v/>
      </c>
    </row>
    <row r="362">
      <c r="A362" s="17" t="n">
        <v>37104</v>
      </c>
      <c r="B362" s="58">
        <f>VLOOKUP(Table110[[#This Row],[Date]],database!A:H,3,)</f>
        <v/>
      </c>
      <c r="C362" s="66">
        <f>B362/B361-1</f>
        <v/>
      </c>
      <c r="D362" s="66">
        <f>(Table110[[#This Row],[Index]]-B350)/B350</f>
        <v/>
      </c>
    </row>
    <row r="363">
      <c r="A363" s="17" t="n">
        <v>37135</v>
      </c>
      <c r="B363" s="58">
        <f>VLOOKUP(Table110[[#This Row],[Date]],database!A:H,3,)</f>
        <v/>
      </c>
      <c r="C363" s="66">
        <f>B363/B362-1</f>
        <v/>
      </c>
      <c r="D363" s="66">
        <f>(Table110[[#This Row],[Index]]-B351)/B351</f>
        <v/>
      </c>
    </row>
    <row r="364">
      <c r="A364" s="17" t="n">
        <v>37165</v>
      </c>
      <c r="B364" s="58">
        <f>VLOOKUP(Table110[[#This Row],[Date]],database!A:H,3,)</f>
        <v/>
      </c>
      <c r="C364" s="66">
        <f>B364/B363-1</f>
        <v/>
      </c>
      <c r="D364" s="66">
        <f>(Table110[[#This Row],[Index]]-B352)/B352</f>
        <v/>
      </c>
    </row>
    <row r="365">
      <c r="A365" s="17" t="n">
        <v>37196</v>
      </c>
      <c r="B365" s="58">
        <f>VLOOKUP(Table110[[#This Row],[Date]],database!A:H,3,)</f>
        <v/>
      </c>
      <c r="C365" s="66">
        <f>B365/B364-1</f>
        <v/>
      </c>
      <c r="D365" s="66">
        <f>(Table110[[#This Row],[Index]]-B353)/B353</f>
        <v/>
      </c>
    </row>
    <row r="366">
      <c r="A366" s="17" t="n">
        <v>37226</v>
      </c>
      <c r="B366" s="58">
        <f>VLOOKUP(Table110[[#This Row],[Date]],database!A:H,3,)</f>
        <v/>
      </c>
      <c r="C366" s="66">
        <f>B366/B365-1</f>
        <v/>
      </c>
      <c r="D366" s="66">
        <f>(Table110[[#This Row],[Index]]-B354)/B354</f>
        <v/>
      </c>
    </row>
    <row r="367">
      <c r="A367" s="17" t="n">
        <v>37257</v>
      </c>
      <c r="B367" s="58">
        <f>VLOOKUP(Table110[[#This Row],[Date]],database!A:H,3,)</f>
        <v/>
      </c>
      <c r="C367" s="66">
        <f>B367/B366-1</f>
        <v/>
      </c>
      <c r="D367" s="66">
        <f>(Table110[[#This Row],[Index]]-B355)/B355</f>
        <v/>
      </c>
    </row>
    <row r="368">
      <c r="A368" s="17" t="n">
        <v>37288</v>
      </c>
      <c r="B368" s="58">
        <f>VLOOKUP(Table110[[#This Row],[Date]],database!A:H,3,)</f>
        <v/>
      </c>
      <c r="C368" s="66">
        <f>B368/B367-1</f>
        <v/>
      </c>
      <c r="D368" s="66">
        <f>(Table110[[#This Row],[Index]]-B356)/B356</f>
        <v/>
      </c>
    </row>
    <row r="369">
      <c r="A369" s="17" t="n">
        <v>37316</v>
      </c>
      <c r="B369" s="58">
        <f>VLOOKUP(Table110[[#This Row],[Date]],database!A:H,3,)</f>
        <v/>
      </c>
      <c r="C369" s="66">
        <f>B369/B368-1</f>
        <v/>
      </c>
      <c r="D369" s="66">
        <f>(Table110[[#This Row],[Index]]-B357)/B357</f>
        <v/>
      </c>
    </row>
    <row r="370">
      <c r="A370" s="17" t="n">
        <v>37347</v>
      </c>
      <c r="B370" s="58">
        <f>VLOOKUP(Table110[[#This Row],[Date]],database!A:H,3,)</f>
        <v/>
      </c>
      <c r="C370" s="66">
        <f>B370/B369-1</f>
        <v/>
      </c>
      <c r="D370" s="66">
        <f>(Table110[[#This Row],[Index]]-B358)/B358</f>
        <v/>
      </c>
    </row>
    <row r="371">
      <c r="A371" s="17" t="n">
        <v>37377</v>
      </c>
      <c r="B371" s="58">
        <f>VLOOKUP(Table110[[#This Row],[Date]],database!A:H,3,)</f>
        <v/>
      </c>
      <c r="C371" s="66">
        <f>B371/B370-1</f>
        <v/>
      </c>
      <c r="D371" s="66">
        <f>(Table110[[#This Row],[Index]]-B359)/B359</f>
        <v/>
      </c>
    </row>
    <row r="372">
      <c r="A372" s="17" t="n">
        <v>37408</v>
      </c>
      <c r="B372" s="58">
        <f>VLOOKUP(Table110[[#This Row],[Date]],database!A:H,3,)</f>
        <v/>
      </c>
      <c r="C372" s="66">
        <f>B372/B371-1</f>
        <v/>
      </c>
      <c r="D372" s="66">
        <f>(Table110[[#This Row],[Index]]-B360)/B360</f>
        <v/>
      </c>
    </row>
    <row r="373">
      <c r="A373" s="17" t="n">
        <v>37438</v>
      </c>
      <c r="B373" s="58">
        <f>VLOOKUP(Table110[[#This Row],[Date]],database!A:H,3,)</f>
        <v/>
      </c>
      <c r="C373" s="66">
        <f>B373/B372-1</f>
        <v/>
      </c>
      <c r="D373" s="66">
        <f>(Table110[[#This Row],[Index]]-B361)/B361</f>
        <v/>
      </c>
    </row>
    <row r="374">
      <c r="A374" s="17" t="n">
        <v>37469</v>
      </c>
      <c r="B374" s="58">
        <f>VLOOKUP(Table110[[#This Row],[Date]],database!A:H,3,)</f>
        <v/>
      </c>
      <c r="C374" s="66">
        <f>B374/B373-1</f>
        <v/>
      </c>
      <c r="D374" s="66">
        <f>(Table110[[#This Row],[Index]]-B362)/B362</f>
        <v/>
      </c>
    </row>
    <row r="375">
      <c r="A375" s="17" t="n">
        <v>37500</v>
      </c>
      <c r="B375" s="58">
        <f>VLOOKUP(Table110[[#This Row],[Date]],database!A:H,3,)</f>
        <v/>
      </c>
      <c r="C375" s="66">
        <f>B375/B374-1</f>
        <v/>
      </c>
      <c r="D375" s="66">
        <f>(Table110[[#This Row],[Index]]-B363)/B363</f>
        <v/>
      </c>
    </row>
    <row r="376">
      <c r="A376" s="17" t="n">
        <v>37530</v>
      </c>
      <c r="B376" s="58">
        <f>VLOOKUP(Table110[[#This Row],[Date]],database!A:H,3,)</f>
        <v/>
      </c>
      <c r="C376" s="66">
        <f>B376/B375-1</f>
        <v/>
      </c>
      <c r="D376" s="66">
        <f>(Table110[[#This Row],[Index]]-B364)/B364</f>
        <v/>
      </c>
    </row>
    <row r="377">
      <c r="A377" s="17" t="n">
        <v>37561</v>
      </c>
      <c r="B377" s="58">
        <f>VLOOKUP(Table110[[#This Row],[Date]],database!A:H,3,)</f>
        <v/>
      </c>
      <c r="C377" s="66">
        <f>B377/B376-1</f>
        <v/>
      </c>
      <c r="D377" s="66">
        <f>(Table110[[#This Row],[Index]]-B365)/B365</f>
        <v/>
      </c>
    </row>
    <row r="378">
      <c r="A378" s="17" t="n">
        <v>37591</v>
      </c>
      <c r="B378" s="58">
        <f>VLOOKUP(Table110[[#This Row],[Date]],database!A:H,3,)</f>
        <v/>
      </c>
      <c r="C378" s="66">
        <f>B378/B377-1</f>
        <v/>
      </c>
      <c r="D378" s="66">
        <f>(Table110[[#This Row],[Index]]-B366)/B366</f>
        <v/>
      </c>
    </row>
    <row r="379">
      <c r="A379" s="17" t="n">
        <v>37622</v>
      </c>
      <c r="B379" s="58">
        <f>VLOOKUP(Table110[[#This Row],[Date]],database!A:H,3,)</f>
        <v/>
      </c>
      <c r="C379" s="66">
        <f>B379/B378-1</f>
        <v/>
      </c>
      <c r="D379" s="66">
        <f>(Table110[[#This Row],[Index]]-B367)/B367</f>
        <v/>
      </c>
    </row>
    <row r="380">
      <c r="A380" s="17" t="n">
        <v>37653</v>
      </c>
      <c r="B380" s="58">
        <f>VLOOKUP(Table110[[#This Row],[Date]],database!A:H,3,)</f>
        <v/>
      </c>
      <c r="C380" s="66">
        <f>B380/B379-1</f>
        <v/>
      </c>
      <c r="D380" s="66">
        <f>(Table110[[#This Row],[Index]]-B368)/B368</f>
        <v/>
      </c>
    </row>
    <row r="381">
      <c r="A381" s="17" t="n">
        <v>37681</v>
      </c>
      <c r="B381" s="58">
        <f>VLOOKUP(Table110[[#This Row],[Date]],database!A:H,3,)</f>
        <v/>
      </c>
      <c r="C381" s="66">
        <f>B381/B380-1</f>
        <v/>
      </c>
      <c r="D381" s="66">
        <f>(Table110[[#This Row],[Index]]-B369)/B369</f>
        <v/>
      </c>
    </row>
    <row r="382">
      <c r="A382" s="17" t="n">
        <v>37712</v>
      </c>
      <c r="B382" s="58">
        <f>VLOOKUP(Table110[[#This Row],[Date]],database!A:H,3,)</f>
        <v/>
      </c>
      <c r="C382" s="66">
        <f>B382/B381-1</f>
        <v/>
      </c>
      <c r="D382" s="66">
        <f>(Table110[[#This Row],[Index]]-B370)/B370</f>
        <v/>
      </c>
    </row>
    <row r="383">
      <c r="A383" s="17" t="n">
        <v>37742</v>
      </c>
      <c r="B383" s="58">
        <f>VLOOKUP(Table110[[#This Row],[Date]],database!A:H,3,)</f>
        <v/>
      </c>
      <c r="C383" s="66">
        <f>B383/B382-1</f>
        <v/>
      </c>
      <c r="D383" s="66">
        <f>(Table110[[#This Row],[Index]]-B371)/B371</f>
        <v/>
      </c>
    </row>
    <row r="384">
      <c r="A384" s="17" t="n">
        <v>37773</v>
      </c>
      <c r="B384" s="58">
        <f>VLOOKUP(Table110[[#This Row],[Date]],database!A:H,3,)</f>
        <v/>
      </c>
      <c r="C384" s="66">
        <f>B384/B383-1</f>
        <v/>
      </c>
      <c r="D384" s="66">
        <f>(Table110[[#This Row],[Index]]-B372)/B372</f>
        <v/>
      </c>
    </row>
    <row r="385">
      <c r="A385" s="17" t="n">
        <v>37803</v>
      </c>
      <c r="B385" s="58">
        <f>VLOOKUP(Table110[[#This Row],[Date]],database!A:H,3,)</f>
        <v/>
      </c>
      <c r="C385" s="66">
        <f>B385/B384-1</f>
        <v/>
      </c>
      <c r="D385" s="66">
        <f>(Table110[[#This Row],[Index]]-B373)/B373</f>
        <v/>
      </c>
    </row>
    <row r="386">
      <c r="A386" s="17" t="n">
        <v>37834</v>
      </c>
      <c r="B386" s="58">
        <f>VLOOKUP(Table110[[#This Row],[Date]],database!A:H,3,)</f>
        <v/>
      </c>
      <c r="C386" s="66">
        <f>B386/B385-1</f>
        <v/>
      </c>
      <c r="D386" s="66">
        <f>(Table110[[#This Row],[Index]]-B374)/B374</f>
        <v/>
      </c>
    </row>
    <row r="387">
      <c r="A387" s="17" t="n">
        <v>37865</v>
      </c>
      <c r="B387" s="58">
        <f>VLOOKUP(Table110[[#This Row],[Date]],database!A:H,3,)</f>
        <v/>
      </c>
      <c r="C387" s="66">
        <f>B387/B386-1</f>
        <v/>
      </c>
      <c r="D387" s="66">
        <f>(Table110[[#This Row],[Index]]-B375)/B375</f>
        <v/>
      </c>
    </row>
    <row r="388">
      <c r="A388" s="17" t="n">
        <v>37895</v>
      </c>
      <c r="B388" s="58">
        <f>VLOOKUP(Table110[[#This Row],[Date]],database!A:H,3,)</f>
        <v/>
      </c>
      <c r="C388" s="66">
        <f>B388/B387-1</f>
        <v/>
      </c>
      <c r="D388" s="66">
        <f>(Table110[[#This Row],[Index]]-B376)/B376</f>
        <v/>
      </c>
    </row>
    <row r="389">
      <c r="A389" s="17" t="n">
        <v>37926</v>
      </c>
      <c r="B389" s="58">
        <f>VLOOKUP(Table110[[#This Row],[Date]],database!A:H,3,)</f>
        <v/>
      </c>
      <c r="C389" s="66">
        <f>B389/B388-1</f>
        <v/>
      </c>
      <c r="D389" s="66">
        <f>(Table110[[#This Row],[Index]]-B377)/B377</f>
        <v/>
      </c>
    </row>
    <row r="390">
      <c r="A390" s="17" t="n">
        <v>37956</v>
      </c>
      <c r="B390" s="58">
        <f>VLOOKUP(Table110[[#This Row],[Date]],database!A:H,3,)</f>
        <v/>
      </c>
      <c r="C390" s="66">
        <f>B390/B389-1</f>
        <v/>
      </c>
      <c r="D390" s="66">
        <f>(Table110[[#This Row],[Index]]-B378)/B378</f>
        <v/>
      </c>
    </row>
    <row r="391">
      <c r="A391" s="17" t="n">
        <v>37987</v>
      </c>
      <c r="B391" s="58">
        <f>VLOOKUP(Table110[[#This Row],[Date]],database!A:H,3,)</f>
        <v/>
      </c>
      <c r="C391" s="66">
        <f>B391/B390-1</f>
        <v/>
      </c>
      <c r="D391" s="66">
        <f>(Table110[[#This Row],[Index]]-B379)/B379</f>
        <v/>
      </c>
    </row>
    <row r="392">
      <c r="A392" s="17" t="n">
        <v>38018</v>
      </c>
      <c r="B392" s="58">
        <f>VLOOKUP(Table110[[#This Row],[Date]],database!A:H,3,)</f>
        <v/>
      </c>
      <c r="C392" s="66">
        <f>B392/B391-1</f>
        <v/>
      </c>
      <c r="D392" s="66">
        <f>(Table110[[#This Row],[Index]]-B380)/B380</f>
        <v/>
      </c>
    </row>
    <row r="393">
      <c r="A393" s="17" t="n">
        <v>38047</v>
      </c>
      <c r="B393" s="58">
        <f>VLOOKUP(Table110[[#This Row],[Date]],database!A:H,3,)</f>
        <v/>
      </c>
      <c r="C393" s="66">
        <f>B393/B392-1</f>
        <v/>
      </c>
      <c r="D393" s="66">
        <f>(Table110[[#This Row],[Index]]-B381)/B381</f>
        <v/>
      </c>
    </row>
    <row r="394">
      <c r="A394" s="17" t="n">
        <v>38078</v>
      </c>
      <c r="B394" s="58">
        <f>VLOOKUP(Table110[[#This Row],[Date]],database!A:H,3,)</f>
        <v/>
      </c>
      <c r="C394" s="66">
        <f>B394/B393-1</f>
        <v/>
      </c>
      <c r="D394" s="66">
        <f>(Table110[[#This Row],[Index]]-B382)/B382</f>
        <v/>
      </c>
    </row>
    <row r="395">
      <c r="A395" s="17" t="n">
        <v>38108</v>
      </c>
      <c r="B395" s="58">
        <f>VLOOKUP(Table110[[#This Row],[Date]],database!A:H,3,)</f>
        <v/>
      </c>
      <c r="C395" s="66">
        <f>B395/B394-1</f>
        <v/>
      </c>
      <c r="D395" s="66">
        <f>(Table110[[#This Row],[Index]]-B383)/B383</f>
        <v/>
      </c>
    </row>
    <row r="396">
      <c r="A396" s="17" t="n">
        <v>38139</v>
      </c>
      <c r="B396" s="58">
        <f>VLOOKUP(Table110[[#This Row],[Date]],database!A:H,3,)</f>
        <v/>
      </c>
      <c r="C396" s="66">
        <f>B396/B395-1</f>
        <v/>
      </c>
      <c r="D396" s="66">
        <f>(Table110[[#This Row],[Index]]-B384)/B384</f>
        <v/>
      </c>
    </row>
    <row r="397">
      <c r="A397" s="17" t="n">
        <v>38169</v>
      </c>
      <c r="B397" s="58">
        <f>VLOOKUP(Table110[[#This Row],[Date]],database!A:H,3,)</f>
        <v/>
      </c>
      <c r="C397" s="66">
        <f>B397/B396-1</f>
        <v/>
      </c>
      <c r="D397" s="66">
        <f>(Table110[[#This Row],[Index]]-B385)/B385</f>
        <v/>
      </c>
    </row>
    <row r="398">
      <c r="A398" s="17" t="n">
        <v>38200</v>
      </c>
      <c r="B398" s="58">
        <f>VLOOKUP(Table110[[#This Row],[Date]],database!A:H,3,)</f>
        <v/>
      </c>
      <c r="C398" s="66">
        <f>B398/B397-1</f>
        <v/>
      </c>
      <c r="D398" s="66">
        <f>(Table110[[#This Row],[Index]]-B386)/B386</f>
        <v/>
      </c>
    </row>
    <row r="399">
      <c r="A399" s="17" t="n">
        <v>38231</v>
      </c>
      <c r="B399" s="58">
        <f>VLOOKUP(Table110[[#This Row],[Date]],database!A:H,3,)</f>
        <v/>
      </c>
      <c r="C399" s="66">
        <f>B399/B398-1</f>
        <v/>
      </c>
      <c r="D399" s="66">
        <f>(Table110[[#This Row],[Index]]-B387)/B387</f>
        <v/>
      </c>
    </row>
    <row r="400">
      <c r="A400" s="17" t="n">
        <v>38261</v>
      </c>
      <c r="B400" s="58">
        <f>VLOOKUP(Table110[[#This Row],[Date]],database!A:H,3,)</f>
        <v/>
      </c>
      <c r="C400" s="66">
        <f>B400/B399-1</f>
        <v/>
      </c>
      <c r="D400" s="66">
        <f>(Table110[[#This Row],[Index]]-B388)/B388</f>
        <v/>
      </c>
    </row>
    <row r="401">
      <c r="A401" s="17" t="n">
        <v>38292</v>
      </c>
      <c r="B401" s="58">
        <f>VLOOKUP(Table110[[#This Row],[Date]],database!A:H,3,)</f>
        <v/>
      </c>
      <c r="C401" s="66">
        <f>B401/B400-1</f>
        <v/>
      </c>
      <c r="D401" s="66">
        <f>(Table110[[#This Row],[Index]]-B389)/B389</f>
        <v/>
      </c>
    </row>
    <row r="402">
      <c r="A402" s="17" t="n">
        <v>38322</v>
      </c>
      <c r="B402" s="58">
        <f>VLOOKUP(Table110[[#This Row],[Date]],database!A:H,3,)</f>
        <v/>
      </c>
      <c r="C402" s="66">
        <f>B402/B401-1</f>
        <v/>
      </c>
      <c r="D402" s="66">
        <f>(Table110[[#This Row],[Index]]-B390)/B390</f>
        <v/>
      </c>
    </row>
    <row r="403">
      <c r="A403" s="17" t="n">
        <v>38353</v>
      </c>
      <c r="B403" s="58">
        <f>VLOOKUP(Table110[[#This Row],[Date]],database!A:H,3,)</f>
        <v/>
      </c>
      <c r="C403" s="66">
        <f>B403/B402-1</f>
        <v/>
      </c>
      <c r="D403" s="66">
        <f>(Table110[[#This Row],[Index]]-B391)/B391</f>
        <v/>
      </c>
    </row>
    <row r="404">
      <c r="A404" s="17" t="n">
        <v>38384</v>
      </c>
      <c r="B404" s="58">
        <f>VLOOKUP(Table110[[#This Row],[Date]],database!A:H,3,)</f>
        <v/>
      </c>
      <c r="C404" s="66">
        <f>B404/B403-1</f>
        <v/>
      </c>
      <c r="D404" s="66">
        <f>(Table110[[#This Row],[Index]]-B392)/B392</f>
        <v/>
      </c>
    </row>
    <row r="405">
      <c r="A405" s="17" t="n">
        <v>38412</v>
      </c>
      <c r="B405" s="58">
        <f>VLOOKUP(Table110[[#This Row],[Date]],database!A:H,3,)</f>
        <v/>
      </c>
      <c r="C405" s="66">
        <f>B405/B404-1</f>
        <v/>
      </c>
      <c r="D405" s="66">
        <f>(Table110[[#This Row],[Index]]-B393)/B393</f>
        <v/>
      </c>
    </row>
    <row r="406">
      <c r="A406" s="17" t="n">
        <v>38443</v>
      </c>
      <c r="B406" s="58">
        <f>VLOOKUP(Table110[[#This Row],[Date]],database!A:H,3,)</f>
        <v/>
      </c>
      <c r="C406" s="66">
        <f>B406/B405-1</f>
        <v/>
      </c>
      <c r="D406" s="66">
        <f>(Table110[[#This Row],[Index]]-B394)/B394</f>
        <v/>
      </c>
    </row>
    <row r="407">
      <c r="A407" s="17" t="n">
        <v>38473</v>
      </c>
      <c r="B407" s="58">
        <f>VLOOKUP(Table110[[#This Row],[Date]],database!A:H,3,)</f>
        <v/>
      </c>
      <c r="C407" s="66">
        <f>B407/B406-1</f>
        <v/>
      </c>
      <c r="D407" s="66">
        <f>(Table110[[#This Row],[Index]]-B395)/B395</f>
        <v/>
      </c>
    </row>
    <row r="408">
      <c r="A408" s="17" t="n">
        <v>38504</v>
      </c>
      <c r="B408" s="58">
        <f>VLOOKUP(Table110[[#This Row],[Date]],database!A:H,3,)</f>
        <v/>
      </c>
      <c r="C408" s="66">
        <f>B408/B407-1</f>
        <v/>
      </c>
      <c r="D408" s="66">
        <f>(Table110[[#This Row],[Index]]-B396)/B396</f>
        <v/>
      </c>
    </row>
    <row r="409">
      <c r="A409" s="17" t="n">
        <v>38534</v>
      </c>
      <c r="B409" s="58">
        <f>VLOOKUP(Table110[[#This Row],[Date]],database!A:H,3,)</f>
        <v/>
      </c>
      <c r="C409" s="66">
        <f>B409/B408-1</f>
        <v/>
      </c>
      <c r="D409" s="66">
        <f>(Table110[[#This Row],[Index]]-B397)/B397</f>
        <v/>
      </c>
    </row>
    <row r="410">
      <c r="A410" s="17" t="n">
        <v>38565</v>
      </c>
      <c r="B410" s="58">
        <f>VLOOKUP(Table110[[#This Row],[Date]],database!A:H,3,)</f>
        <v/>
      </c>
      <c r="C410" s="66">
        <f>B410/B409-1</f>
        <v/>
      </c>
      <c r="D410" s="66">
        <f>(Table110[[#This Row],[Index]]-B398)/B398</f>
        <v/>
      </c>
    </row>
    <row r="411">
      <c r="A411" s="17" t="n">
        <v>38596</v>
      </c>
      <c r="B411" s="58">
        <f>VLOOKUP(Table110[[#This Row],[Date]],database!A:H,3,)</f>
        <v/>
      </c>
      <c r="C411" s="66">
        <f>B411/B410-1</f>
        <v/>
      </c>
      <c r="D411" s="66">
        <f>(Table110[[#This Row],[Index]]-B399)/B399</f>
        <v/>
      </c>
    </row>
    <row r="412">
      <c r="A412" s="17" t="n">
        <v>38626</v>
      </c>
      <c r="B412" s="58">
        <f>VLOOKUP(Table110[[#This Row],[Date]],database!A:H,3,)</f>
        <v/>
      </c>
      <c r="C412" s="66">
        <f>B412/B411-1</f>
        <v/>
      </c>
      <c r="D412" s="66">
        <f>(Table110[[#This Row],[Index]]-B400)/B400</f>
        <v/>
      </c>
    </row>
    <row r="413">
      <c r="A413" s="17" t="n">
        <v>38657</v>
      </c>
      <c r="B413" s="58">
        <f>VLOOKUP(Table110[[#This Row],[Date]],database!A:H,3,)</f>
        <v/>
      </c>
      <c r="C413" s="66">
        <f>B413/B412-1</f>
        <v/>
      </c>
      <c r="D413" s="66">
        <f>(Table110[[#This Row],[Index]]-B401)/B401</f>
        <v/>
      </c>
    </row>
    <row r="414">
      <c r="A414" s="17" t="n">
        <v>38687</v>
      </c>
      <c r="B414" s="58">
        <f>VLOOKUP(Table110[[#This Row],[Date]],database!A:H,3,)</f>
        <v/>
      </c>
      <c r="C414" s="66">
        <f>B414/B413-1</f>
        <v/>
      </c>
      <c r="D414" s="66">
        <f>(Table110[[#This Row],[Index]]-B402)/B402</f>
        <v/>
      </c>
    </row>
    <row r="415">
      <c r="A415" s="17" t="n">
        <v>38718</v>
      </c>
      <c r="B415" s="58">
        <f>VLOOKUP(Table110[[#This Row],[Date]],database!A:H,3,)</f>
        <v/>
      </c>
      <c r="C415" s="66">
        <f>B415/B414-1</f>
        <v/>
      </c>
      <c r="D415" s="66">
        <f>(Table110[[#This Row],[Index]]-B403)/B403</f>
        <v/>
      </c>
    </row>
    <row r="416">
      <c r="A416" s="17" t="n">
        <v>38749</v>
      </c>
      <c r="B416" s="58">
        <f>VLOOKUP(Table110[[#This Row],[Date]],database!A:H,3,)</f>
        <v/>
      </c>
      <c r="C416" s="66">
        <f>B416/B415-1</f>
        <v/>
      </c>
      <c r="D416" s="66">
        <f>(Table110[[#This Row],[Index]]-B404)/B404</f>
        <v/>
      </c>
    </row>
    <row r="417">
      <c r="A417" s="17" t="n">
        <v>38777</v>
      </c>
      <c r="B417" s="58">
        <f>VLOOKUP(Table110[[#This Row],[Date]],database!A:H,3,)</f>
        <v/>
      </c>
      <c r="C417" s="66">
        <f>B417/B416-1</f>
        <v/>
      </c>
      <c r="D417" s="66">
        <f>(Table110[[#This Row],[Index]]-B405)/B405</f>
        <v/>
      </c>
    </row>
    <row r="418">
      <c r="A418" s="17" t="n">
        <v>38808</v>
      </c>
      <c r="B418" s="58">
        <f>VLOOKUP(Table110[[#This Row],[Date]],database!A:H,3,)</f>
        <v/>
      </c>
      <c r="C418" s="66">
        <f>B418/B417-1</f>
        <v/>
      </c>
      <c r="D418" s="66">
        <f>(Table110[[#This Row],[Index]]-B406)/B406</f>
        <v/>
      </c>
    </row>
    <row r="419">
      <c r="A419" s="17" t="n">
        <v>38838</v>
      </c>
      <c r="B419" s="58">
        <f>VLOOKUP(Table110[[#This Row],[Date]],database!A:H,3,)</f>
        <v/>
      </c>
      <c r="C419" s="66">
        <f>B419/B418-1</f>
        <v/>
      </c>
      <c r="D419" s="66">
        <f>(Table110[[#This Row],[Index]]-B407)/B407</f>
        <v/>
      </c>
    </row>
    <row r="420">
      <c r="A420" s="17" t="n">
        <v>38869</v>
      </c>
      <c r="B420" s="58">
        <f>VLOOKUP(Table110[[#This Row],[Date]],database!A:H,3,)</f>
        <v/>
      </c>
      <c r="C420" s="66">
        <f>B420/B419-1</f>
        <v/>
      </c>
      <c r="D420" s="66">
        <f>(Table110[[#This Row],[Index]]-B408)/B408</f>
        <v/>
      </c>
    </row>
    <row r="421">
      <c r="A421" s="17" t="n">
        <v>38899</v>
      </c>
      <c r="B421" s="58">
        <f>VLOOKUP(Table110[[#This Row],[Date]],database!A:H,3,)</f>
        <v/>
      </c>
      <c r="C421" s="66">
        <f>B421/B420-1</f>
        <v/>
      </c>
      <c r="D421" s="66">
        <f>(Table110[[#This Row],[Index]]-B409)/B409</f>
        <v/>
      </c>
    </row>
    <row r="422">
      <c r="A422" s="17" t="n">
        <v>38930</v>
      </c>
      <c r="B422" s="58">
        <f>VLOOKUP(Table110[[#This Row],[Date]],database!A:H,3,)</f>
        <v/>
      </c>
      <c r="C422" s="66">
        <f>B422/B421-1</f>
        <v/>
      </c>
      <c r="D422" s="66">
        <f>(Table110[[#This Row],[Index]]-B410)/B410</f>
        <v/>
      </c>
    </row>
    <row r="423">
      <c r="A423" s="17" t="n">
        <v>38961</v>
      </c>
      <c r="B423" s="58">
        <f>VLOOKUP(Table110[[#This Row],[Date]],database!A:H,3,)</f>
        <v/>
      </c>
      <c r="C423" s="66">
        <f>B423/B422-1</f>
        <v/>
      </c>
      <c r="D423" s="66">
        <f>(Table110[[#This Row],[Index]]-B411)/B411</f>
        <v/>
      </c>
    </row>
    <row r="424">
      <c r="A424" s="17" t="n">
        <v>38991</v>
      </c>
      <c r="B424" s="58">
        <f>VLOOKUP(Table110[[#This Row],[Date]],database!A:H,3,)</f>
        <v/>
      </c>
      <c r="C424" s="66">
        <f>B424/B423-1</f>
        <v/>
      </c>
      <c r="D424" s="66">
        <f>(Table110[[#This Row],[Index]]-B412)/B412</f>
        <v/>
      </c>
    </row>
    <row r="425">
      <c r="A425" s="17" t="n">
        <v>39022</v>
      </c>
      <c r="B425" s="58">
        <f>VLOOKUP(Table110[[#This Row],[Date]],database!A:H,3,)</f>
        <v/>
      </c>
      <c r="C425" s="66">
        <f>B425/B424-1</f>
        <v/>
      </c>
      <c r="D425" s="66">
        <f>(Table110[[#This Row],[Index]]-B413)/B413</f>
        <v/>
      </c>
    </row>
    <row r="426">
      <c r="A426" s="17" t="n">
        <v>39052</v>
      </c>
      <c r="B426" s="58">
        <f>VLOOKUP(Table110[[#This Row],[Date]],database!A:H,3,)</f>
        <v/>
      </c>
      <c r="C426" s="66">
        <f>B426/B425-1</f>
        <v/>
      </c>
      <c r="D426" s="66">
        <f>(Table110[[#This Row],[Index]]-B414)/B414</f>
        <v/>
      </c>
    </row>
    <row r="427">
      <c r="A427" s="17" t="n">
        <v>39083</v>
      </c>
      <c r="B427" s="58">
        <f>VLOOKUP(Table110[[#This Row],[Date]],database!A:H,3,)</f>
        <v/>
      </c>
      <c r="C427" s="66">
        <f>B427/B426-1</f>
        <v/>
      </c>
      <c r="D427" s="66">
        <f>(Table110[[#This Row],[Index]]-B415)/B415</f>
        <v/>
      </c>
    </row>
    <row r="428">
      <c r="A428" s="17" t="n">
        <v>39114</v>
      </c>
      <c r="B428" s="58">
        <f>VLOOKUP(Table110[[#This Row],[Date]],database!A:H,3,)</f>
        <v/>
      </c>
      <c r="C428" s="66">
        <f>B428/B427-1</f>
        <v/>
      </c>
      <c r="D428" s="66">
        <f>(Table110[[#This Row],[Index]]-B416)/B416</f>
        <v/>
      </c>
    </row>
    <row r="429">
      <c r="A429" s="17" t="n">
        <v>39142</v>
      </c>
      <c r="B429" s="58">
        <f>VLOOKUP(Table110[[#This Row],[Date]],database!A:H,3,)</f>
        <v/>
      </c>
      <c r="C429" s="66">
        <f>B429/B428-1</f>
        <v/>
      </c>
      <c r="D429" s="66">
        <f>(Table110[[#This Row],[Index]]-B417)/B417</f>
        <v/>
      </c>
    </row>
    <row r="430">
      <c r="A430" s="17" t="n">
        <v>39173</v>
      </c>
      <c r="B430" s="58">
        <f>VLOOKUP(Table110[[#This Row],[Date]],database!A:H,3,)</f>
        <v/>
      </c>
      <c r="C430" s="66">
        <f>B430/B429-1</f>
        <v/>
      </c>
      <c r="D430" s="66">
        <f>(Table110[[#This Row],[Index]]-B418)/B418</f>
        <v/>
      </c>
    </row>
    <row r="431">
      <c r="A431" s="17" t="n">
        <v>39203</v>
      </c>
      <c r="B431" s="58">
        <f>VLOOKUP(Table110[[#This Row],[Date]],database!A:H,3,)</f>
        <v/>
      </c>
      <c r="C431" s="66">
        <f>B431/B430-1</f>
        <v/>
      </c>
      <c r="D431" s="66">
        <f>(Table110[[#This Row],[Index]]-B419)/B419</f>
        <v/>
      </c>
    </row>
    <row r="432">
      <c r="A432" s="17" t="n">
        <v>39234</v>
      </c>
      <c r="B432" s="58">
        <f>VLOOKUP(Table110[[#This Row],[Date]],database!A:H,3,)</f>
        <v/>
      </c>
      <c r="C432" s="66">
        <f>B432/B431-1</f>
        <v/>
      </c>
      <c r="D432" s="66">
        <f>(Table110[[#This Row],[Index]]-B420)/B420</f>
        <v/>
      </c>
    </row>
    <row r="433">
      <c r="A433" s="17" t="n">
        <v>39264</v>
      </c>
      <c r="B433" s="58">
        <f>VLOOKUP(Table110[[#This Row],[Date]],database!A:H,3,)</f>
        <v/>
      </c>
      <c r="C433" s="66">
        <f>B433/B432-1</f>
        <v/>
      </c>
      <c r="D433" s="66">
        <f>(Table110[[#This Row],[Index]]-B421)/B421</f>
        <v/>
      </c>
    </row>
    <row r="434">
      <c r="A434" s="17" t="n">
        <v>39295</v>
      </c>
      <c r="B434" s="58">
        <f>VLOOKUP(Table110[[#This Row],[Date]],database!A:H,3,)</f>
        <v/>
      </c>
      <c r="C434" s="66">
        <f>B434/B433-1</f>
        <v/>
      </c>
      <c r="D434" s="66">
        <f>(Table110[[#This Row],[Index]]-B422)/B422</f>
        <v/>
      </c>
    </row>
    <row r="435">
      <c r="A435" s="17" t="n">
        <v>39326</v>
      </c>
      <c r="B435" s="58">
        <f>VLOOKUP(Table110[[#This Row],[Date]],database!A:H,3,)</f>
        <v/>
      </c>
      <c r="C435" s="66">
        <f>B435/B434-1</f>
        <v/>
      </c>
      <c r="D435" s="66">
        <f>(Table110[[#This Row],[Index]]-B423)/B423</f>
        <v/>
      </c>
    </row>
    <row r="436">
      <c r="A436" s="17" t="n">
        <v>39356</v>
      </c>
      <c r="B436" s="58">
        <f>VLOOKUP(Table110[[#This Row],[Date]],database!A:H,3,)</f>
        <v/>
      </c>
      <c r="C436" s="66">
        <f>B436/B435-1</f>
        <v/>
      </c>
      <c r="D436" s="66">
        <f>(Table110[[#This Row],[Index]]-B424)/B424</f>
        <v/>
      </c>
    </row>
    <row r="437">
      <c r="A437" s="17" t="n">
        <v>39387</v>
      </c>
      <c r="B437" s="58">
        <f>VLOOKUP(Table110[[#This Row],[Date]],database!A:H,3,)</f>
        <v/>
      </c>
      <c r="C437" s="66">
        <f>B437/B436-1</f>
        <v/>
      </c>
      <c r="D437" s="66">
        <f>(Table110[[#This Row],[Index]]-B425)/B425</f>
        <v/>
      </c>
    </row>
    <row r="438">
      <c r="A438" s="17" t="n">
        <v>39417</v>
      </c>
      <c r="B438" s="58">
        <f>VLOOKUP(Table110[[#This Row],[Date]],database!A:H,3,)</f>
        <v/>
      </c>
      <c r="C438" s="66">
        <f>B438/B437-1</f>
        <v/>
      </c>
      <c r="D438" s="66">
        <f>(Table110[[#This Row],[Index]]-B426)/B426</f>
        <v/>
      </c>
    </row>
    <row r="439">
      <c r="A439" s="17" t="n">
        <v>39448</v>
      </c>
      <c r="B439" s="58">
        <f>VLOOKUP(Table110[[#This Row],[Date]],database!A:H,3,)</f>
        <v/>
      </c>
      <c r="C439" s="66">
        <f>B439/B438-1</f>
        <v/>
      </c>
      <c r="D439" s="66">
        <f>(Table110[[#This Row],[Index]]-B427)/B427</f>
        <v/>
      </c>
    </row>
    <row r="440">
      <c r="A440" s="17" t="n">
        <v>39479</v>
      </c>
      <c r="B440" s="58">
        <f>VLOOKUP(Table110[[#This Row],[Date]],database!A:H,3,)</f>
        <v/>
      </c>
      <c r="C440" s="66">
        <f>B440/B439-1</f>
        <v/>
      </c>
      <c r="D440" s="66">
        <f>(Table110[[#This Row],[Index]]-B428)/B428</f>
        <v/>
      </c>
    </row>
    <row r="441">
      <c r="A441" s="17" t="n">
        <v>39508</v>
      </c>
      <c r="B441" s="58">
        <f>VLOOKUP(Table110[[#This Row],[Date]],database!A:H,3,)</f>
        <v/>
      </c>
      <c r="C441" s="66">
        <f>B441/B440-1</f>
        <v/>
      </c>
      <c r="D441" s="66">
        <f>(Table110[[#This Row],[Index]]-B429)/B429</f>
        <v/>
      </c>
    </row>
    <row r="442">
      <c r="A442" s="17" t="n">
        <v>39539</v>
      </c>
      <c r="B442" s="58">
        <f>VLOOKUP(Table110[[#This Row],[Date]],database!A:H,3,)</f>
        <v/>
      </c>
      <c r="C442" s="66">
        <f>B442/B441-1</f>
        <v/>
      </c>
      <c r="D442" s="66">
        <f>(Table110[[#This Row],[Index]]-B430)/B430</f>
        <v/>
      </c>
    </row>
    <row r="443">
      <c r="A443" s="17" t="n">
        <v>39569</v>
      </c>
      <c r="B443" s="58">
        <f>VLOOKUP(Table110[[#This Row],[Date]],database!A:H,3,)</f>
        <v/>
      </c>
      <c r="C443" s="66">
        <f>B443/B442-1</f>
        <v/>
      </c>
      <c r="D443" s="66">
        <f>(Table110[[#This Row],[Index]]-B431)/B431</f>
        <v/>
      </c>
    </row>
    <row r="444">
      <c r="A444" s="17" t="n">
        <v>39600</v>
      </c>
      <c r="B444" s="58">
        <f>VLOOKUP(Table110[[#This Row],[Date]],database!A:H,3,)</f>
        <v/>
      </c>
      <c r="C444" s="66">
        <f>B444/B443-1</f>
        <v/>
      </c>
      <c r="D444" s="66">
        <f>(Table110[[#This Row],[Index]]-B432)/B432</f>
        <v/>
      </c>
    </row>
    <row r="445">
      <c r="A445" s="17" t="n">
        <v>39630</v>
      </c>
      <c r="B445" s="58">
        <f>VLOOKUP(Table110[[#This Row],[Date]],database!A:H,3,)</f>
        <v/>
      </c>
      <c r="C445" s="66">
        <f>B445/B444-1</f>
        <v/>
      </c>
      <c r="D445" s="66">
        <f>(Table110[[#This Row],[Index]]-B433)/B433</f>
        <v/>
      </c>
    </row>
    <row r="446">
      <c r="A446" s="17" t="n">
        <v>39661</v>
      </c>
      <c r="B446" s="58">
        <f>VLOOKUP(Table110[[#This Row],[Date]],database!A:H,3,)</f>
        <v/>
      </c>
      <c r="C446" s="66">
        <f>B446/B445-1</f>
        <v/>
      </c>
      <c r="D446" s="66">
        <f>(Table110[[#This Row],[Index]]-B434)/B434</f>
        <v/>
      </c>
    </row>
    <row r="447">
      <c r="A447" s="17" t="n">
        <v>39692</v>
      </c>
      <c r="B447" s="58">
        <f>VLOOKUP(Table110[[#This Row],[Date]],database!A:H,3,)</f>
        <v/>
      </c>
      <c r="C447" s="66">
        <f>B447/B446-1</f>
        <v/>
      </c>
      <c r="D447" s="66">
        <f>(Table110[[#This Row],[Index]]-B435)/B435</f>
        <v/>
      </c>
    </row>
    <row r="448">
      <c r="A448" s="17" t="n">
        <v>39722</v>
      </c>
      <c r="B448" s="58">
        <f>VLOOKUP(Table110[[#This Row],[Date]],database!A:H,3,)</f>
        <v/>
      </c>
      <c r="C448" s="66">
        <f>B448/B447-1</f>
        <v/>
      </c>
      <c r="D448" s="66">
        <f>(Table110[[#This Row],[Index]]-B436)/B436</f>
        <v/>
      </c>
    </row>
    <row r="449">
      <c r="A449" s="17" t="n">
        <v>39753</v>
      </c>
      <c r="B449" s="58">
        <f>VLOOKUP(Table110[[#This Row],[Date]],database!A:H,3,)</f>
        <v/>
      </c>
      <c r="C449" s="66">
        <f>B449/B448-1</f>
        <v/>
      </c>
      <c r="D449" s="66">
        <f>(Table110[[#This Row],[Index]]-B437)/B437</f>
        <v/>
      </c>
    </row>
    <row r="450">
      <c r="A450" s="17" t="n">
        <v>39783</v>
      </c>
      <c r="B450" s="58">
        <f>VLOOKUP(Table110[[#This Row],[Date]],database!A:H,3,)</f>
        <v/>
      </c>
      <c r="C450" s="66">
        <f>B450/B449-1</f>
        <v/>
      </c>
      <c r="D450" s="66">
        <f>(Table110[[#This Row],[Index]]-B438)/B438</f>
        <v/>
      </c>
    </row>
    <row r="451">
      <c r="A451" s="17" t="n">
        <v>39814</v>
      </c>
      <c r="B451" s="58">
        <f>VLOOKUP(Table110[[#This Row],[Date]],database!A:H,3,)</f>
        <v/>
      </c>
      <c r="C451" s="66">
        <f>B451/B450-1</f>
        <v/>
      </c>
      <c r="D451" s="66">
        <f>(Table110[[#This Row],[Index]]-B439)/B439</f>
        <v/>
      </c>
    </row>
    <row r="452">
      <c r="A452" s="17" t="n">
        <v>39845</v>
      </c>
      <c r="B452" s="58">
        <f>VLOOKUP(Table110[[#This Row],[Date]],database!A:H,3,)</f>
        <v/>
      </c>
      <c r="C452" s="66">
        <f>B452/B451-1</f>
        <v/>
      </c>
      <c r="D452" s="66">
        <f>(Table110[[#This Row],[Index]]-B440)/B440</f>
        <v/>
      </c>
    </row>
    <row r="453">
      <c r="A453" s="17" t="n">
        <v>39873</v>
      </c>
      <c r="B453" s="58">
        <f>VLOOKUP(Table110[[#This Row],[Date]],database!A:H,3,)</f>
        <v/>
      </c>
      <c r="C453" s="66">
        <f>B453/B452-1</f>
        <v/>
      </c>
      <c r="D453" s="66">
        <f>(Table110[[#This Row],[Index]]-B441)/B441</f>
        <v/>
      </c>
    </row>
    <row r="454">
      <c r="A454" s="17" t="n">
        <v>39904</v>
      </c>
      <c r="B454" s="58">
        <f>VLOOKUP(Table110[[#This Row],[Date]],database!A:H,3,)</f>
        <v/>
      </c>
      <c r="C454" s="66">
        <f>B454/B453-1</f>
        <v/>
      </c>
      <c r="D454" s="66">
        <f>(Table110[[#This Row],[Index]]-B442)/B442</f>
        <v/>
      </c>
    </row>
    <row r="455">
      <c r="A455" s="17" t="n">
        <v>39934</v>
      </c>
      <c r="B455" s="58">
        <f>VLOOKUP(Table110[[#This Row],[Date]],database!A:H,3,)</f>
        <v/>
      </c>
      <c r="C455" s="66">
        <f>B455/B454-1</f>
        <v/>
      </c>
      <c r="D455" s="66">
        <f>(Table110[[#This Row],[Index]]-B443)/B443</f>
        <v/>
      </c>
    </row>
    <row r="456">
      <c r="A456" s="17" t="n">
        <v>39965</v>
      </c>
      <c r="B456" s="58">
        <f>VLOOKUP(Table110[[#This Row],[Date]],database!A:H,3,)</f>
        <v/>
      </c>
      <c r="C456" s="66">
        <f>B456/B455-1</f>
        <v/>
      </c>
      <c r="D456" s="66">
        <f>(Table110[[#This Row],[Index]]-B444)/B444</f>
        <v/>
      </c>
    </row>
    <row r="457">
      <c r="A457" s="17" t="n">
        <v>39995</v>
      </c>
      <c r="B457" s="58">
        <f>VLOOKUP(Table110[[#This Row],[Date]],database!A:H,3,)</f>
        <v/>
      </c>
      <c r="C457" s="66">
        <f>B457/B456-1</f>
        <v/>
      </c>
      <c r="D457" s="66">
        <f>(Table110[[#This Row],[Index]]-B445)/B445</f>
        <v/>
      </c>
    </row>
    <row r="458">
      <c r="A458" s="17" t="n">
        <v>40026</v>
      </c>
      <c r="B458" s="58">
        <f>VLOOKUP(Table110[[#This Row],[Date]],database!A:H,3,)</f>
        <v/>
      </c>
      <c r="C458" s="66">
        <f>B458/B457-1</f>
        <v/>
      </c>
      <c r="D458" s="66">
        <f>(Table110[[#This Row],[Index]]-B446)/B446</f>
        <v/>
      </c>
    </row>
    <row r="459">
      <c r="A459" s="17" t="n">
        <v>40057</v>
      </c>
      <c r="B459" s="58">
        <f>VLOOKUP(Table110[[#This Row],[Date]],database!A:H,3,)</f>
        <v/>
      </c>
      <c r="C459" s="66">
        <f>B459/B458-1</f>
        <v/>
      </c>
      <c r="D459" s="66">
        <f>(Table110[[#This Row],[Index]]-B447)/B447</f>
        <v/>
      </c>
    </row>
    <row r="460">
      <c r="A460" s="17" t="n">
        <v>40087</v>
      </c>
      <c r="B460" s="58">
        <f>VLOOKUP(Table110[[#This Row],[Date]],database!A:H,3,)</f>
        <v/>
      </c>
      <c r="C460" s="66">
        <f>B460/B459-1</f>
        <v/>
      </c>
      <c r="D460" s="66">
        <f>(Table110[[#This Row],[Index]]-B448)/B448</f>
        <v/>
      </c>
    </row>
    <row r="461">
      <c r="A461" s="17" t="n">
        <v>40118</v>
      </c>
      <c r="B461" s="58">
        <f>VLOOKUP(Table110[[#This Row],[Date]],database!A:H,3,)</f>
        <v/>
      </c>
      <c r="C461" s="66">
        <f>B461/B460-1</f>
        <v/>
      </c>
      <c r="D461" s="66">
        <f>(Table110[[#This Row],[Index]]-B449)/B449</f>
        <v/>
      </c>
    </row>
    <row r="462">
      <c r="A462" s="17" t="n">
        <v>40148</v>
      </c>
      <c r="B462" s="58">
        <f>VLOOKUP(Table110[[#This Row],[Date]],database!A:H,3,)</f>
        <v/>
      </c>
      <c r="C462" s="66">
        <f>B462/B461-1</f>
        <v/>
      </c>
      <c r="D462" s="66">
        <f>(Table110[[#This Row],[Index]]-B450)/B450</f>
        <v/>
      </c>
    </row>
    <row r="463">
      <c r="A463" s="17" t="n">
        <v>40179</v>
      </c>
      <c r="B463" s="58">
        <f>VLOOKUP(Table110[[#This Row],[Date]],database!A:H,3,)</f>
        <v/>
      </c>
      <c r="C463" s="66">
        <f>B463/B462-1</f>
        <v/>
      </c>
      <c r="D463" s="66">
        <f>(Table110[[#This Row],[Index]]-B451)/B451</f>
        <v/>
      </c>
    </row>
    <row r="464">
      <c r="A464" s="17" t="n">
        <v>40210</v>
      </c>
      <c r="B464" s="58">
        <f>VLOOKUP(Table110[[#This Row],[Date]],database!A:H,3,)</f>
        <v/>
      </c>
      <c r="C464" s="66">
        <f>B464/B463-1</f>
        <v/>
      </c>
      <c r="D464" s="66">
        <f>(Table110[[#This Row],[Index]]-B452)/B452</f>
        <v/>
      </c>
    </row>
    <row r="465">
      <c r="A465" s="17" t="n">
        <v>40238</v>
      </c>
      <c r="B465" s="58">
        <f>VLOOKUP(Table110[[#This Row],[Date]],database!A:H,3,)</f>
        <v/>
      </c>
      <c r="C465" s="66">
        <f>B465/B464-1</f>
        <v/>
      </c>
      <c r="D465" s="66">
        <f>(Table110[[#This Row],[Index]]-B453)/B453</f>
        <v/>
      </c>
    </row>
    <row r="466">
      <c r="A466" s="17" t="n">
        <v>40269</v>
      </c>
      <c r="B466" s="58">
        <f>VLOOKUP(Table110[[#This Row],[Date]],database!A:H,3,)</f>
        <v/>
      </c>
      <c r="C466" s="66">
        <f>B466/B465-1</f>
        <v/>
      </c>
      <c r="D466" s="66">
        <f>(Table110[[#This Row],[Index]]-B454)/B454</f>
        <v/>
      </c>
    </row>
    <row r="467">
      <c r="A467" s="17" t="n">
        <v>40299</v>
      </c>
      <c r="B467" s="58">
        <f>VLOOKUP(Table110[[#This Row],[Date]],database!A:H,3,)</f>
        <v/>
      </c>
      <c r="C467" s="66">
        <f>B467/B466-1</f>
        <v/>
      </c>
      <c r="D467" s="66">
        <f>(Table110[[#This Row],[Index]]-B455)/B455</f>
        <v/>
      </c>
    </row>
    <row r="468">
      <c r="A468" s="17" t="n">
        <v>40330</v>
      </c>
      <c r="B468" s="58">
        <f>VLOOKUP(Table110[[#This Row],[Date]],database!A:H,3,)</f>
        <v/>
      </c>
      <c r="C468" s="66">
        <f>B468/B467-1</f>
        <v/>
      </c>
      <c r="D468" s="66">
        <f>(Table110[[#This Row],[Index]]-B456)/B456</f>
        <v/>
      </c>
    </row>
    <row r="469">
      <c r="A469" s="17" t="n">
        <v>40360</v>
      </c>
      <c r="B469" s="58">
        <f>VLOOKUP(Table110[[#This Row],[Date]],database!A:H,3,)</f>
        <v/>
      </c>
      <c r="C469" s="66">
        <f>B469/B468-1</f>
        <v/>
      </c>
      <c r="D469" s="66">
        <f>(Table110[[#This Row],[Index]]-B457)/B457</f>
        <v/>
      </c>
    </row>
    <row r="470">
      <c r="A470" s="17" t="n">
        <v>40391</v>
      </c>
      <c r="B470" s="58">
        <f>VLOOKUP(Table110[[#This Row],[Date]],database!A:H,3,)</f>
        <v/>
      </c>
      <c r="C470" s="66">
        <f>B470/B469-1</f>
        <v/>
      </c>
      <c r="D470" s="66">
        <f>(Table110[[#This Row],[Index]]-B458)/B458</f>
        <v/>
      </c>
    </row>
    <row r="471">
      <c r="A471" s="17" t="n">
        <v>40422</v>
      </c>
      <c r="B471" s="58">
        <f>VLOOKUP(Table110[[#This Row],[Date]],database!A:H,3,)</f>
        <v/>
      </c>
      <c r="C471" s="66">
        <f>B471/B470-1</f>
        <v/>
      </c>
      <c r="D471" s="66">
        <f>(Table110[[#This Row],[Index]]-B459)/B459</f>
        <v/>
      </c>
    </row>
    <row r="472">
      <c r="A472" s="17" t="n">
        <v>40452</v>
      </c>
      <c r="B472" s="58">
        <f>VLOOKUP(Table110[[#This Row],[Date]],database!A:H,3,)</f>
        <v/>
      </c>
      <c r="C472" s="66">
        <f>B472/B471-1</f>
        <v/>
      </c>
      <c r="D472" s="66">
        <f>(Table110[[#This Row],[Index]]-B460)/B460</f>
        <v/>
      </c>
    </row>
    <row r="473">
      <c r="A473" s="17" t="n">
        <v>40483</v>
      </c>
      <c r="B473" s="58">
        <f>VLOOKUP(Table110[[#This Row],[Date]],database!A:H,3,)</f>
        <v/>
      </c>
      <c r="C473" s="66">
        <f>B473/B472-1</f>
        <v/>
      </c>
      <c r="D473" s="66">
        <f>(Table110[[#This Row],[Index]]-B461)/B461</f>
        <v/>
      </c>
    </row>
    <row r="474">
      <c r="A474" s="17" t="n">
        <v>40513</v>
      </c>
      <c r="B474" s="58">
        <f>VLOOKUP(Table110[[#This Row],[Date]],database!A:H,3,)</f>
        <v/>
      </c>
      <c r="C474" s="66">
        <f>B474/B473-1</f>
        <v/>
      </c>
      <c r="D474" s="66">
        <f>(Table110[[#This Row],[Index]]-B462)/B462</f>
        <v/>
      </c>
    </row>
    <row r="475">
      <c r="A475" s="17" t="n">
        <v>40544</v>
      </c>
      <c r="B475" s="58">
        <f>VLOOKUP(Table110[[#This Row],[Date]],database!A:H,3,)</f>
        <v/>
      </c>
      <c r="C475" s="66">
        <f>B475/B474-1</f>
        <v/>
      </c>
      <c r="D475" s="66">
        <f>(Table110[[#This Row],[Index]]-B463)/B463</f>
        <v/>
      </c>
    </row>
    <row r="476">
      <c r="A476" s="17" t="n">
        <v>40575</v>
      </c>
      <c r="B476" s="58">
        <f>VLOOKUP(Table110[[#This Row],[Date]],database!A:H,3,)</f>
        <v/>
      </c>
      <c r="C476" s="66">
        <f>B476/B475-1</f>
        <v/>
      </c>
      <c r="D476" s="66">
        <f>(Table110[[#This Row],[Index]]-B464)/B464</f>
        <v/>
      </c>
    </row>
    <row r="477">
      <c r="A477" s="17" t="n">
        <v>40603</v>
      </c>
      <c r="B477" s="58">
        <f>VLOOKUP(Table110[[#This Row],[Date]],database!A:H,3,)</f>
        <v/>
      </c>
      <c r="C477" s="66">
        <f>B477/B476-1</f>
        <v/>
      </c>
      <c r="D477" s="66">
        <f>(Table110[[#This Row],[Index]]-B465)/B465</f>
        <v/>
      </c>
    </row>
    <row r="478">
      <c r="A478" s="17" t="n">
        <v>40634</v>
      </c>
      <c r="B478" s="58">
        <f>VLOOKUP(Table110[[#This Row],[Date]],database!A:H,3,)</f>
        <v/>
      </c>
      <c r="C478" s="67">
        <f>B478/B477-1</f>
        <v/>
      </c>
      <c r="D478" s="66">
        <f>(Table110[[#This Row],[Index]]-B466)/B466</f>
        <v/>
      </c>
    </row>
    <row r="479">
      <c r="A479" s="17" t="n">
        <v>40664</v>
      </c>
      <c r="B479" s="58">
        <f>VLOOKUP(Table110[[#This Row],[Date]],database!A:H,3,)</f>
        <v/>
      </c>
      <c r="C479" s="66">
        <f>B479/B478-1</f>
        <v/>
      </c>
      <c r="D479" s="66">
        <f>(Table110[[#This Row],[Index]]-B467)/B467</f>
        <v/>
      </c>
    </row>
    <row r="480">
      <c r="A480" s="17" t="n">
        <v>40695</v>
      </c>
      <c r="B480" s="58">
        <f>VLOOKUP(Table110[[#This Row],[Date]],database!A:H,3,)</f>
        <v/>
      </c>
      <c r="C480" s="66">
        <f>B480/B479-1</f>
        <v/>
      </c>
      <c r="D480" s="66">
        <f>(Table110[[#This Row],[Index]]-B468)/B468</f>
        <v/>
      </c>
    </row>
    <row r="481">
      <c r="A481" s="17" t="n">
        <v>40725</v>
      </c>
      <c r="B481" s="58">
        <f>VLOOKUP(Table110[[#This Row],[Date]],database!A:H,3,)</f>
        <v/>
      </c>
      <c r="C481" s="66">
        <f>B481/B480-1</f>
        <v/>
      </c>
      <c r="D481" s="66">
        <f>(Table110[[#This Row],[Index]]-B469)/B469</f>
        <v/>
      </c>
    </row>
    <row r="482">
      <c r="A482" s="17" t="n">
        <v>40756</v>
      </c>
      <c r="B482" s="58">
        <f>VLOOKUP(Table110[[#This Row],[Date]],database!A:H,3,)</f>
        <v/>
      </c>
      <c r="C482" s="66">
        <f>B482/B481-1</f>
        <v/>
      </c>
      <c r="D482" s="66">
        <f>(Table110[[#This Row],[Index]]-B470)/B470</f>
        <v/>
      </c>
    </row>
    <row r="483">
      <c r="A483" s="17" t="n">
        <v>40787</v>
      </c>
      <c r="B483" s="58">
        <f>VLOOKUP(Table110[[#This Row],[Date]],database!A:H,3,)</f>
        <v/>
      </c>
      <c r="C483" s="66">
        <f>B483/B482-1</f>
        <v/>
      </c>
      <c r="D483" s="66">
        <f>(Table110[[#This Row],[Index]]-B471)/B471</f>
        <v/>
      </c>
    </row>
    <row r="484">
      <c r="A484" s="17" t="n">
        <v>40817</v>
      </c>
      <c r="B484" s="58">
        <f>VLOOKUP(Table110[[#This Row],[Date]],database!A:H,3,)</f>
        <v/>
      </c>
      <c r="C484" s="66">
        <f>B484/B483-1</f>
        <v/>
      </c>
      <c r="D484" s="66">
        <f>(Table110[[#This Row],[Index]]-B472)/B472</f>
        <v/>
      </c>
    </row>
    <row r="485">
      <c r="A485" s="17" t="n">
        <v>40848</v>
      </c>
      <c r="B485" s="58">
        <f>VLOOKUP(Table110[[#This Row],[Date]],database!A:H,3,)</f>
        <v/>
      </c>
      <c r="C485" s="66">
        <f>B485/B484-1</f>
        <v/>
      </c>
      <c r="D485" s="66">
        <f>(Table110[[#This Row],[Index]]-B473)/B473</f>
        <v/>
      </c>
    </row>
    <row r="486">
      <c r="A486" s="17" t="n">
        <v>40878</v>
      </c>
      <c r="B486" s="58">
        <f>VLOOKUP(Table110[[#This Row],[Date]],database!A:H,3,)</f>
        <v/>
      </c>
      <c r="C486" s="66">
        <f>B486/B485-1</f>
        <v/>
      </c>
      <c r="D486" s="66">
        <f>(Table110[[#This Row],[Index]]-B474)/B474</f>
        <v/>
      </c>
    </row>
    <row r="487">
      <c r="A487" s="17" t="n">
        <v>40909</v>
      </c>
      <c r="B487" s="58">
        <f>VLOOKUP(Table110[[#This Row],[Date]],database!A:H,3,)</f>
        <v/>
      </c>
      <c r="C487" s="66">
        <f>B487/B486-1</f>
        <v/>
      </c>
      <c r="D487" s="66">
        <f>(Table110[[#This Row],[Index]]-B475)/B475</f>
        <v/>
      </c>
    </row>
    <row r="488">
      <c r="A488" s="17" t="n">
        <v>40940</v>
      </c>
      <c r="B488" s="58">
        <f>VLOOKUP(Table110[[#This Row],[Date]],database!A:H,3,)</f>
        <v/>
      </c>
      <c r="C488" s="66">
        <f>B488/B487-1</f>
        <v/>
      </c>
      <c r="D488" s="66">
        <f>(Table110[[#This Row],[Index]]-B476)/B476</f>
        <v/>
      </c>
    </row>
    <row r="489">
      <c r="A489" s="17" t="n">
        <v>40969</v>
      </c>
      <c r="B489" s="58">
        <f>VLOOKUP(Table110[[#This Row],[Date]],database!A:H,3,)</f>
        <v/>
      </c>
      <c r="C489" s="66">
        <f>B489/B488-1</f>
        <v/>
      </c>
      <c r="D489" s="66">
        <f>(Table110[[#This Row],[Index]]-B477)/B477</f>
        <v/>
      </c>
    </row>
    <row r="490">
      <c r="A490" s="17" t="n">
        <v>41000</v>
      </c>
      <c r="B490" s="58">
        <f>VLOOKUP(Table110[[#This Row],[Date]],database!A:H,3,)</f>
        <v/>
      </c>
      <c r="C490" s="66">
        <f>B490/B489-1</f>
        <v/>
      </c>
      <c r="D490" s="66">
        <f>(Table110[[#This Row],[Index]]-B478)/B478</f>
        <v/>
      </c>
    </row>
    <row r="491">
      <c r="A491" s="17" t="n">
        <v>41030</v>
      </c>
      <c r="B491" s="58">
        <f>VLOOKUP(Table110[[#This Row],[Date]],database!A:H,3,)</f>
        <v/>
      </c>
      <c r="C491" s="66">
        <f>B491/B490-1</f>
        <v/>
      </c>
      <c r="D491" s="66">
        <f>(Table110[[#This Row],[Index]]-B479)/B479</f>
        <v/>
      </c>
    </row>
    <row r="492">
      <c r="A492" s="17" t="n">
        <v>41061</v>
      </c>
      <c r="B492" s="58">
        <f>VLOOKUP(Table110[[#This Row],[Date]],database!A:H,3,)</f>
        <v/>
      </c>
      <c r="C492" s="66">
        <f>B492/B491-1</f>
        <v/>
      </c>
      <c r="D492" s="66">
        <f>(Table110[[#This Row],[Index]]-B480)/B480</f>
        <v/>
      </c>
    </row>
    <row r="493">
      <c r="A493" s="17" t="n">
        <v>41091</v>
      </c>
      <c r="B493" s="58">
        <f>VLOOKUP(Table110[[#This Row],[Date]],database!A:H,3,)</f>
        <v/>
      </c>
      <c r="C493" s="66">
        <f>B493/B492-1</f>
        <v/>
      </c>
      <c r="D493" s="66">
        <f>(Table110[[#This Row],[Index]]-B481)/B481</f>
        <v/>
      </c>
    </row>
    <row r="494">
      <c r="A494" s="17" t="n">
        <v>41122</v>
      </c>
      <c r="B494" s="58">
        <f>VLOOKUP(Table110[[#This Row],[Date]],database!A:H,3,)</f>
        <v/>
      </c>
      <c r="C494" s="66">
        <f>B494/B493-1</f>
        <v/>
      </c>
      <c r="D494" s="66">
        <f>(Table110[[#This Row],[Index]]-B482)/B482</f>
        <v/>
      </c>
    </row>
    <row r="495">
      <c r="A495" s="17" t="n">
        <v>41153</v>
      </c>
      <c r="B495" s="58">
        <f>VLOOKUP(Table110[[#This Row],[Date]],database!A:H,3,)</f>
        <v/>
      </c>
      <c r="C495" s="66">
        <f>B495/B494-1</f>
        <v/>
      </c>
      <c r="D495" s="66">
        <f>(Table110[[#This Row],[Index]]-B483)/B483</f>
        <v/>
      </c>
    </row>
    <row r="496">
      <c r="A496" s="17" t="n">
        <v>41183</v>
      </c>
      <c r="B496" s="58">
        <f>VLOOKUP(Table110[[#This Row],[Date]],database!A:H,3,)</f>
        <v/>
      </c>
      <c r="C496" s="66">
        <f>B496/B495-1</f>
        <v/>
      </c>
      <c r="D496" s="66">
        <f>(Table110[[#This Row],[Index]]-B484)/B484</f>
        <v/>
      </c>
    </row>
    <row r="497">
      <c r="A497" s="17" t="n">
        <v>41214</v>
      </c>
      <c r="B497" s="58">
        <f>VLOOKUP(Table110[[#This Row],[Date]],database!A:H,3,)</f>
        <v/>
      </c>
      <c r="C497" s="66">
        <f>B497/B496-1</f>
        <v/>
      </c>
      <c r="D497" s="66">
        <f>(Table110[[#This Row],[Index]]-B485)/B485</f>
        <v/>
      </c>
    </row>
    <row r="498">
      <c r="A498" s="17" t="n">
        <v>41244</v>
      </c>
      <c r="B498" s="58">
        <f>VLOOKUP(Table110[[#This Row],[Date]],database!A:H,3,)</f>
        <v/>
      </c>
      <c r="C498" s="66">
        <f>B498/B497-1</f>
        <v/>
      </c>
      <c r="D498" s="66">
        <f>(Table110[[#This Row],[Index]]-B486)/B486</f>
        <v/>
      </c>
    </row>
    <row r="499">
      <c r="A499" s="17" t="n">
        <v>41275</v>
      </c>
      <c r="B499" s="58">
        <f>VLOOKUP(Table110[[#This Row],[Date]],database!A:H,3,)</f>
        <v/>
      </c>
      <c r="C499" s="66">
        <f>B499/B498-1</f>
        <v/>
      </c>
      <c r="D499" s="66">
        <f>(Table110[[#This Row],[Index]]-B487)/B487</f>
        <v/>
      </c>
    </row>
    <row r="500">
      <c r="A500" s="17" t="n">
        <v>41306</v>
      </c>
      <c r="B500" s="58">
        <f>VLOOKUP(Table110[[#This Row],[Date]],database!A:H,3,)</f>
        <v/>
      </c>
      <c r="C500" s="66">
        <f>B500/B499-1</f>
        <v/>
      </c>
      <c r="D500" s="66">
        <f>(Table110[[#This Row],[Index]]-B488)/B488</f>
        <v/>
      </c>
    </row>
    <row r="501">
      <c r="A501" s="17" t="n">
        <v>41334</v>
      </c>
      <c r="B501" s="58">
        <f>VLOOKUP(Table110[[#This Row],[Date]],database!A:H,3,)</f>
        <v/>
      </c>
      <c r="C501" s="66">
        <f>B501/B500-1</f>
        <v/>
      </c>
      <c r="D501" s="66">
        <f>(Table110[[#This Row],[Index]]-B489)/B489</f>
        <v/>
      </c>
    </row>
    <row r="502">
      <c r="A502" s="17" t="n">
        <v>41365</v>
      </c>
      <c r="B502" s="58">
        <f>VLOOKUP(Table110[[#This Row],[Date]],database!A:H,3,)</f>
        <v/>
      </c>
      <c r="C502" s="66">
        <f>B502/B501-1</f>
        <v/>
      </c>
      <c r="D502" s="66">
        <f>(Table110[[#This Row],[Index]]-B490)/B490</f>
        <v/>
      </c>
    </row>
    <row r="503">
      <c r="A503" s="17" t="n">
        <v>41395</v>
      </c>
      <c r="B503" s="58">
        <f>VLOOKUP(Table110[[#This Row],[Date]],database!A:H,3,)</f>
        <v/>
      </c>
      <c r="C503" s="66">
        <f>B503/B502-1</f>
        <v/>
      </c>
      <c r="D503" s="66">
        <f>(Table110[[#This Row],[Index]]-B491)/B491</f>
        <v/>
      </c>
    </row>
    <row r="504">
      <c r="A504" s="17" t="n">
        <v>41426</v>
      </c>
      <c r="B504" s="58">
        <f>VLOOKUP(Table110[[#This Row],[Date]],database!A:H,3,)</f>
        <v/>
      </c>
      <c r="C504" s="66">
        <f>B504/B503-1</f>
        <v/>
      </c>
      <c r="D504" s="66">
        <f>(Table110[[#This Row],[Index]]-B492)/B492</f>
        <v/>
      </c>
    </row>
    <row r="505">
      <c r="A505" s="17" t="n">
        <v>41456</v>
      </c>
      <c r="B505" s="58">
        <f>VLOOKUP(Table110[[#This Row],[Date]],database!A:H,3,)</f>
        <v/>
      </c>
      <c r="C505" s="66">
        <f>B505/B504-1</f>
        <v/>
      </c>
      <c r="D505" s="66">
        <f>(Table110[[#This Row],[Index]]-B493)/B493</f>
        <v/>
      </c>
    </row>
    <row r="506">
      <c r="A506" s="17" t="n">
        <v>41487</v>
      </c>
      <c r="B506" s="58">
        <f>VLOOKUP(Table110[[#This Row],[Date]],database!A:H,3,)</f>
        <v/>
      </c>
      <c r="C506" s="66">
        <f>B506/B505-1</f>
        <v/>
      </c>
      <c r="D506" s="66">
        <f>(Table110[[#This Row],[Index]]-B494)/B494</f>
        <v/>
      </c>
    </row>
    <row r="507">
      <c r="A507" s="17" t="n">
        <v>41518</v>
      </c>
      <c r="B507" s="58">
        <f>VLOOKUP(Table110[[#This Row],[Date]],database!A:H,3,)</f>
        <v/>
      </c>
      <c r="C507" s="66">
        <f>B507/B506-1</f>
        <v/>
      </c>
      <c r="D507" s="66">
        <f>(Table110[[#This Row],[Index]]-B495)/B495</f>
        <v/>
      </c>
    </row>
    <row r="508">
      <c r="A508" s="17" t="n">
        <v>41548</v>
      </c>
      <c r="B508" s="58">
        <f>VLOOKUP(Table110[[#This Row],[Date]],database!A:H,3,)</f>
        <v/>
      </c>
      <c r="C508" s="66">
        <f>B508/B507-1</f>
        <v/>
      </c>
      <c r="D508" s="66">
        <f>(Table110[[#This Row],[Index]]-B496)/B496</f>
        <v/>
      </c>
    </row>
    <row r="509">
      <c r="A509" s="17" t="n">
        <v>41579</v>
      </c>
      <c r="B509" s="58">
        <f>VLOOKUP(Table110[[#This Row],[Date]],database!A:H,3,)</f>
        <v/>
      </c>
      <c r="C509" s="66">
        <f>B509/B508-1</f>
        <v/>
      </c>
      <c r="D509" s="66">
        <f>(Table110[[#This Row],[Index]]-B497)/B497</f>
        <v/>
      </c>
    </row>
    <row r="510">
      <c r="A510" s="17" t="n">
        <v>41609</v>
      </c>
      <c r="B510" s="58">
        <f>VLOOKUP(Table110[[#This Row],[Date]],database!A:H,3,)</f>
        <v/>
      </c>
      <c r="C510" s="66">
        <f>B510/B509-1</f>
        <v/>
      </c>
      <c r="D510" s="66">
        <f>(Table110[[#This Row],[Index]]-B498)/B498</f>
        <v/>
      </c>
    </row>
    <row r="511">
      <c r="A511" s="17" t="n">
        <v>41640</v>
      </c>
      <c r="B511" s="58">
        <f>VLOOKUP(Table110[[#This Row],[Date]],database!A:H,3,)</f>
        <v/>
      </c>
      <c r="C511" s="66">
        <f>B511/B510-1</f>
        <v/>
      </c>
      <c r="D511" s="66">
        <f>(Table110[[#This Row],[Index]]-B499)/B499</f>
        <v/>
      </c>
    </row>
    <row r="512">
      <c r="A512" s="17" t="n">
        <v>41671</v>
      </c>
      <c r="B512" s="58">
        <f>VLOOKUP(Table110[[#This Row],[Date]],database!A:H,3,)</f>
        <v/>
      </c>
      <c r="C512" s="66">
        <f>B512/B511-1</f>
        <v/>
      </c>
      <c r="D512" s="66">
        <f>(Table110[[#This Row],[Index]]-B500)/B500</f>
        <v/>
      </c>
    </row>
    <row r="513">
      <c r="A513" s="17" t="n">
        <v>41699</v>
      </c>
      <c r="B513" s="58">
        <f>VLOOKUP(Table110[[#This Row],[Date]],database!A:H,3,)</f>
        <v/>
      </c>
      <c r="C513" s="66">
        <f>B513/B512-1</f>
        <v/>
      </c>
      <c r="D513" s="66">
        <f>(Table110[[#This Row],[Index]]-B501)/B501</f>
        <v/>
      </c>
    </row>
    <row r="514">
      <c r="A514" s="17" t="n">
        <v>41730</v>
      </c>
      <c r="B514" s="58">
        <f>VLOOKUP(Table110[[#This Row],[Date]],database!A:H,3,)</f>
        <v/>
      </c>
      <c r="C514" s="66">
        <f>B514/B513-1</f>
        <v/>
      </c>
      <c r="D514" s="66">
        <f>(Table110[[#This Row],[Index]]-B502)/B502</f>
        <v/>
      </c>
    </row>
    <row r="515">
      <c r="A515" s="17" t="n">
        <v>41760</v>
      </c>
      <c r="B515" s="58">
        <f>VLOOKUP(Table110[[#This Row],[Date]],database!A:H,3,)</f>
        <v/>
      </c>
      <c r="C515" s="66">
        <f>B515/B514-1</f>
        <v/>
      </c>
      <c r="D515" s="66">
        <f>(Table110[[#This Row],[Index]]-B503)/B503</f>
        <v/>
      </c>
    </row>
    <row r="516">
      <c r="A516" s="17" t="n">
        <v>41791</v>
      </c>
      <c r="B516" s="58">
        <f>VLOOKUP(Table110[[#This Row],[Date]],database!A:H,3,)</f>
        <v/>
      </c>
      <c r="C516" s="66">
        <f>B516/B515-1</f>
        <v/>
      </c>
      <c r="D516" s="66">
        <f>(Table110[[#This Row],[Index]]-B504)/B504</f>
        <v/>
      </c>
    </row>
    <row r="517">
      <c r="A517" s="17" t="n">
        <v>41821</v>
      </c>
      <c r="B517" s="58">
        <f>VLOOKUP(Table110[[#This Row],[Date]],database!A:H,3,)</f>
        <v/>
      </c>
      <c r="C517" s="66">
        <f>B517/B516-1</f>
        <v/>
      </c>
      <c r="D517" s="66">
        <f>(Table110[[#This Row],[Index]]-B505)/B505</f>
        <v/>
      </c>
    </row>
    <row r="518">
      <c r="A518" s="17" t="n">
        <v>41852</v>
      </c>
      <c r="B518" s="58">
        <f>VLOOKUP(Table110[[#This Row],[Date]],database!A:H,3,)</f>
        <v/>
      </c>
      <c r="C518" s="66">
        <f>B518/B517-1</f>
        <v/>
      </c>
      <c r="D518" s="66">
        <f>(Table110[[#This Row],[Index]]-B506)/B506</f>
        <v/>
      </c>
    </row>
    <row r="519">
      <c r="A519" s="17" t="n">
        <v>41883</v>
      </c>
      <c r="B519" s="58">
        <f>VLOOKUP(Table110[[#This Row],[Date]],database!A:H,3,)</f>
        <v/>
      </c>
      <c r="C519" s="66">
        <f>B519/B518-1</f>
        <v/>
      </c>
      <c r="D519" s="66">
        <f>(Table110[[#This Row],[Index]]-B507)/B507</f>
        <v/>
      </c>
    </row>
    <row r="520">
      <c r="A520" s="17" t="n">
        <v>41913</v>
      </c>
      <c r="B520" s="58">
        <f>VLOOKUP(Table110[[#This Row],[Date]],database!A:H,3,)</f>
        <v/>
      </c>
      <c r="C520" s="66">
        <f>B520/B519-1</f>
        <v/>
      </c>
      <c r="D520" s="66">
        <f>(Table110[[#This Row],[Index]]-B508)/B508</f>
        <v/>
      </c>
    </row>
    <row r="521">
      <c r="A521" s="17" t="n">
        <v>41944</v>
      </c>
      <c r="B521" s="58">
        <f>VLOOKUP(Table110[[#This Row],[Date]],database!A:H,3,)</f>
        <v/>
      </c>
      <c r="C521" s="67">
        <f>B521/B520-1</f>
        <v/>
      </c>
      <c r="D521" s="66">
        <f>(Table110[[#This Row],[Index]]-B509)/B509</f>
        <v/>
      </c>
    </row>
    <row r="522">
      <c r="A522" s="17" t="n">
        <v>41974</v>
      </c>
      <c r="B522" s="58">
        <f>VLOOKUP(Table110[[#This Row],[Date]],database!A:H,3,)</f>
        <v/>
      </c>
      <c r="C522" s="66">
        <f>B522/B521-1</f>
        <v/>
      </c>
      <c r="D522" s="66">
        <f>(Table110[[#This Row],[Index]]-B510)/B510</f>
        <v/>
      </c>
    </row>
    <row r="523">
      <c r="A523" s="17" t="n">
        <v>42005</v>
      </c>
      <c r="B523" s="58">
        <f>VLOOKUP(Table110[[#This Row],[Date]],database!A:H,3,)</f>
        <v/>
      </c>
      <c r="C523" s="67">
        <f>B523/B522-1</f>
        <v/>
      </c>
      <c r="D523" s="66">
        <f>(Table110[[#This Row],[Index]]-B511)/B511</f>
        <v/>
      </c>
    </row>
    <row r="524">
      <c r="A524" s="17" t="n">
        <v>42036</v>
      </c>
      <c r="B524" s="58">
        <f>VLOOKUP(Table110[[#This Row],[Date]],database!A:H,3,)</f>
        <v/>
      </c>
      <c r="C524" s="66">
        <f>B524/B523-1</f>
        <v/>
      </c>
      <c r="D524" s="66">
        <f>(Table110[[#This Row],[Index]]-B512)/B512</f>
        <v/>
      </c>
    </row>
    <row r="525">
      <c r="A525" s="17" t="n">
        <v>42064</v>
      </c>
      <c r="B525" s="58">
        <f>VLOOKUP(Table110[[#This Row],[Date]],database!A:H,3,)</f>
        <v/>
      </c>
      <c r="C525" s="67">
        <f>B525/B524-1</f>
        <v/>
      </c>
      <c r="D525" s="66">
        <f>(Table110[[#This Row],[Index]]-B513)/B513</f>
        <v/>
      </c>
    </row>
    <row r="526">
      <c r="A526" s="17" t="n">
        <v>42095</v>
      </c>
      <c r="B526" s="58">
        <f>VLOOKUP(Table110[[#This Row],[Date]],database!A:H,3,)</f>
        <v/>
      </c>
      <c r="C526" s="66">
        <f>B526/B525-1</f>
        <v/>
      </c>
      <c r="D526" s="66">
        <f>(Table110[[#This Row],[Index]]-B514)/B514</f>
        <v/>
      </c>
    </row>
    <row r="527">
      <c r="A527" s="17" t="n">
        <v>42125</v>
      </c>
      <c r="B527" s="58">
        <f>VLOOKUP(Table110[[#This Row],[Date]],database!A:H,3,)</f>
        <v/>
      </c>
      <c r="C527" s="66">
        <f>B527/B526-1</f>
        <v/>
      </c>
      <c r="D527" s="66">
        <f>(Table110[[#This Row],[Index]]-B515)/B515</f>
        <v/>
      </c>
    </row>
    <row r="528">
      <c r="A528" s="17" t="n">
        <v>42156</v>
      </c>
      <c r="B528" s="58">
        <f>VLOOKUP(Table110[[#This Row],[Date]],database!A:H,3,)</f>
        <v/>
      </c>
      <c r="C528" s="66">
        <f>B528/B527-1</f>
        <v/>
      </c>
      <c r="D528" s="66">
        <f>(Table110[[#This Row],[Index]]-B516)/B516</f>
        <v/>
      </c>
    </row>
    <row r="529">
      <c r="A529" s="17" t="n">
        <v>42186</v>
      </c>
      <c r="B529" s="58">
        <f>VLOOKUP(Table110[[#This Row],[Date]],database!A:H,3,)</f>
        <v/>
      </c>
      <c r="C529" s="66">
        <f>B529/B528-1</f>
        <v/>
      </c>
      <c r="D529" s="66">
        <f>(Table110[[#This Row],[Index]]-B517)/B517</f>
        <v/>
      </c>
    </row>
    <row r="530">
      <c r="A530" s="17" t="n">
        <v>42217</v>
      </c>
      <c r="B530" s="58">
        <f>VLOOKUP(Table110[[#This Row],[Date]],database!A:H,3,)</f>
        <v/>
      </c>
      <c r="C530" s="66">
        <f>B530/B529-1</f>
        <v/>
      </c>
      <c r="D530" s="66">
        <f>(Table110[[#This Row],[Index]]-B518)/B518</f>
        <v/>
      </c>
    </row>
    <row r="531">
      <c r="A531" s="17" t="n">
        <v>42248</v>
      </c>
      <c r="B531" s="58">
        <f>VLOOKUP(Table110[[#This Row],[Date]],database!A:H,3,)</f>
        <v/>
      </c>
      <c r="C531" s="66">
        <f>B531/B530-1</f>
        <v/>
      </c>
      <c r="D531" s="66">
        <f>(Table110[[#This Row],[Index]]-B519)/B519</f>
        <v/>
      </c>
    </row>
    <row r="532">
      <c r="A532" s="17" t="n">
        <v>42278</v>
      </c>
      <c r="B532" s="58">
        <f>VLOOKUP(Table110[[#This Row],[Date]],database!A:H,3,)</f>
        <v/>
      </c>
      <c r="C532" s="66">
        <f>B532/B531-1</f>
        <v/>
      </c>
      <c r="D532" s="66">
        <f>(Table110[[#This Row],[Index]]-B520)/B520</f>
        <v/>
      </c>
    </row>
    <row r="533">
      <c r="A533" s="17" t="n">
        <v>42309</v>
      </c>
      <c r="B533" s="58">
        <f>VLOOKUP(Table110[[#This Row],[Date]],database!A:H,3,)</f>
        <v/>
      </c>
      <c r="C533" s="66">
        <f>B533/B532-1</f>
        <v/>
      </c>
      <c r="D533" s="66">
        <f>(Table110[[#This Row],[Index]]-B521)/B521</f>
        <v/>
      </c>
    </row>
    <row r="534">
      <c r="A534" s="17" t="n">
        <v>42339</v>
      </c>
      <c r="B534" s="58">
        <f>VLOOKUP(Table110[[#This Row],[Date]],database!A:H,3,)</f>
        <v/>
      </c>
      <c r="C534" s="66">
        <f>B534/B533-1</f>
        <v/>
      </c>
      <c r="D534" s="66">
        <f>(Table110[[#This Row],[Index]]-B522)/B522</f>
        <v/>
      </c>
    </row>
    <row r="535">
      <c r="A535" s="17" t="n">
        <v>42370</v>
      </c>
      <c r="B535" s="58">
        <f>VLOOKUP(Table110[[#This Row],[Date]],database!A:H,3,)</f>
        <v/>
      </c>
      <c r="C535" s="66">
        <f>B535/B534-1</f>
        <v/>
      </c>
      <c r="D535" s="66">
        <f>(Table110[[#This Row],[Index]]-B523)/B523</f>
        <v/>
      </c>
    </row>
    <row r="536">
      <c r="A536" s="17" t="n">
        <v>42401</v>
      </c>
      <c r="B536" s="58">
        <f>VLOOKUP(Table110[[#This Row],[Date]],database!A:H,3,)</f>
        <v/>
      </c>
      <c r="C536" s="66">
        <f>B536/B535-1</f>
        <v/>
      </c>
      <c r="D536" s="66">
        <f>(Table110[[#This Row],[Index]]-B524)/B524</f>
        <v/>
      </c>
    </row>
    <row r="537">
      <c r="A537" s="17" t="n">
        <v>42430</v>
      </c>
      <c r="B537" s="58">
        <f>VLOOKUP(Table110[[#This Row],[Date]],database!A:H,3,)</f>
        <v/>
      </c>
      <c r="C537" s="66">
        <f>B537/B536-1</f>
        <v/>
      </c>
      <c r="D537" s="66">
        <f>(Table110[[#This Row],[Index]]-B525)/B525</f>
        <v/>
      </c>
    </row>
    <row r="538">
      <c r="A538" s="17" t="n">
        <v>42461</v>
      </c>
      <c r="B538" s="58">
        <f>VLOOKUP(Table110[[#This Row],[Date]],database!A:H,3,)</f>
        <v/>
      </c>
      <c r="C538" s="66">
        <f>B538/B537-1</f>
        <v/>
      </c>
      <c r="D538" s="66">
        <f>(Table110[[#This Row],[Index]]-B526)/B526</f>
        <v/>
      </c>
    </row>
    <row r="539">
      <c r="A539" s="17" t="n">
        <v>42491</v>
      </c>
      <c r="B539" s="58">
        <f>VLOOKUP(Table110[[#This Row],[Date]],database!A:H,3,)</f>
        <v/>
      </c>
      <c r="C539" s="66">
        <f>B539/B538-1</f>
        <v/>
      </c>
      <c r="D539" s="66">
        <f>(Table110[[#This Row],[Index]]-B527)/B527</f>
        <v/>
      </c>
    </row>
    <row r="540">
      <c r="A540" s="17" t="n">
        <v>42522</v>
      </c>
      <c r="B540" s="58">
        <f>VLOOKUP(Table110[[#This Row],[Date]],database!A:H,3,)</f>
        <v/>
      </c>
      <c r="C540" s="66">
        <f>B540/B539-1</f>
        <v/>
      </c>
      <c r="D540" s="66">
        <f>(Table110[[#This Row],[Index]]-B528)/B528</f>
        <v/>
      </c>
    </row>
    <row r="541">
      <c r="A541" s="17" t="n">
        <v>42552</v>
      </c>
      <c r="B541" s="58">
        <f>VLOOKUP(Table110[[#This Row],[Date]],database!A:H,3,)</f>
        <v/>
      </c>
      <c r="C541" s="66">
        <f>B541/B540-1</f>
        <v/>
      </c>
      <c r="D541" s="66">
        <f>(Table110[[#This Row],[Index]]-B529)/B529</f>
        <v/>
      </c>
    </row>
    <row r="542">
      <c r="A542" s="17" t="n">
        <v>42583</v>
      </c>
      <c r="B542" s="58">
        <f>VLOOKUP(Table110[[#This Row],[Date]],database!A:H,3,)</f>
        <v/>
      </c>
      <c r="C542" s="66">
        <f>B542/B541-1</f>
        <v/>
      </c>
      <c r="D542" s="66">
        <f>(Table110[[#This Row],[Index]]-B530)/B530</f>
        <v/>
      </c>
    </row>
    <row r="543">
      <c r="A543" s="17" t="n">
        <v>42614</v>
      </c>
      <c r="B543" s="58">
        <f>VLOOKUP(Table110[[#This Row],[Date]],database!A:H,3,)</f>
        <v/>
      </c>
      <c r="C543" s="66">
        <f>B543/B542-1</f>
        <v/>
      </c>
      <c r="D543" s="66">
        <f>(Table110[[#This Row],[Index]]-B531)/B531</f>
        <v/>
      </c>
    </row>
    <row r="544">
      <c r="A544" s="17" t="n">
        <v>42644</v>
      </c>
      <c r="B544" s="58">
        <f>VLOOKUP(Table110[[#This Row],[Date]],database!A:H,3,)</f>
        <v/>
      </c>
      <c r="C544" s="66">
        <f>B544/B543-1</f>
        <v/>
      </c>
      <c r="D544" s="66">
        <f>(Table110[[#This Row],[Index]]-B532)/B532</f>
        <v/>
      </c>
    </row>
    <row r="545">
      <c r="A545" s="17" t="n">
        <v>42675</v>
      </c>
      <c r="B545" s="58">
        <f>VLOOKUP(Table110[[#This Row],[Date]],database!A:H,3,)</f>
        <v/>
      </c>
      <c r="C545" s="66">
        <f>B545/B544-1</f>
        <v/>
      </c>
      <c r="D545" s="66">
        <f>(Table110[[#This Row],[Index]]-B533)/B533</f>
        <v/>
      </c>
    </row>
    <row r="546">
      <c r="A546" s="17" t="n">
        <v>42705</v>
      </c>
      <c r="B546" s="58">
        <f>VLOOKUP(Table110[[#This Row],[Date]],database!A:H,3,)</f>
        <v/>
      </c>
      <c r="C546" s="66">
        <f>B546/B545-1</f>
        <v/>
      </c>
      <c r="D546" s="66">
        <f>(Table110[[#This Row],[Index]]-B534)/B534</f>
        <v/>
      </c>
    </row>
    <row r="547">
      <c r="A547" s="17" t="n">
        <v>42736</v>
      </c>
      <c r="B547" s="58">
        <f>VLOOKUP(Table110[[#This Row],[Date]],database!A:H,3,)</f>
        <v/>
      </c>
      <c r="C547" s="66">
        <f>B547/B546-1</f>
        <v/>
      </c>
      <c r="D547" s="66">
        <f>(Table110[[#This Row],[Index]]-B535)/B535</f>
        <v/>
      </c>
    </row>
    <row r="548">
      <c r="A548" s="17" t="n">
        <v>42767</v>
      </c>
      <c r="B548" s="58">
        <f>VLOOKUP(Table110[[#This Row],[Date]],database!A:H,3,)</f>
        <v/>
      </c>
      <c r="C548" s="66">
        <f>B548/B547-1</f>
        <v/>
      </c>
      <c r="D548" s="66">
        <f>(Table110[[#This Row],[Index]]-B536)/B536</f>
        <v/>
      </c>
    </row>
    <row r="549">
      <c r="A549" s="17" t="n">
        <v>42795</v>
      </c>
      <c r="B549" s="58">
        <f>VLOOKUP(Table110[[#This Row],[Date]],database!A:H,3,)</f>
        <v/>
      </c>
      <c r="C549" s="66">
        <f>B549/B548-1</f>
        <v/>
      </c>
      <c r="D549" s="66">
        <f>(Table110[[#This Row],[Index]]-B537)/B537</f>
        <v/>
      </c>
    </row>
    <row r="550">
      <c r="A550" s="17" t="n">
        <v>42826</v>
      </c>
      <c r="B550" s="58">
        <f>VLOOKUP(Table110[[#This Row],[Date]],database!A:H,3,)</f>
        <v/>
      </c>
      <c r="C550" s="66">
        <f>B550/B549-1</f>
        <v/>
      </c>
      <c r="D550" s="66">
        <f>(Table110[[#This Row],[Index]]-B538)/B538</f>
        <v/>
      </c>
    </row>
    <row r="551">
      <c r="A551" s="17" t="n">
        <v>42856</v>
      </c>
      <c r="B551" s="58">
        <f>VLOOKUP(Table110[[#This Row],[Date]],database!A:H,3,)</f>
        <v/>
      </c>
      <c r="C551" s="66">
        <f>B551/B550-1</f>
        <v/>
      </c>
      <c r="D551" s="66">
        <f>(Table110[[#This Row],[Index]]-B539)/B539</f>
        <v/>
      </c>
    </row>
    <row r="552">
      <c r="A552" s="17" t="n">
        <v>42887</v>
      </c>
      <c r="B552" s="58">
        <f>VLOOKUP(Table110[[#This Row],[Date]],database!A:H,3,)</f>
        <v/>
      </c>
      <c r="C552" s="66">
        <f>B552/B551-1</f>
        <v/>
      </c>
      <c r="D552" s="66">
        <f>(Table110[[#This Row],[Index]]-B540)/B540</f>
        <v/>
      </c>
    </row>
    <row r="553">
      <c r="A553" s="17" t="n">
        <v>42917</v>
      </c>
      <c r="B553" s="58">
        <f>VLOOKUP(Table110[[#This Row],[Date]],database!A:H,3,)</f>
        <v/>
      </c>
      <c r="C553" s="66">
        <f>B553/B552-1</f>
        <v/>
      </c>
      <c r="D553" s="66">
        <f>(Table110[[#This Row],[Index]]-B541)/B541</f>
        <v/>
      </c>
    </row>
    <row r="554">
      <c r="A554" s="17" t="n">
        <v>42948</v>
      </c>
      <c r="B554" s="58">
        <f>VLOOKUP(Table110[[#This Row],[Date]],database!A:H,3,)</f>
        <v/>
      </c>
      <c r="C554" s="66">
        <f>B554/B553-1</f>
        <v/>
      </c>
      <c r="D554" s="66">
        <f>(Table110[[#This Row],[Index]]-B542)/B542</f>
        <v/>
      </c>
    </row>
    <row r="555">
      <c r="A555" s="17" t="n">
        <v>42979</v>
      </c>
      <c r="B555" s="58">
        <f>VLOOKUP(Table110[[#This Row],[Date]],database!A:H,3,)</f>
        <v/>
      </c>
      <c r="C555" s="66">
        <f>B555/B554-1</f>
        <v/>
      </c>
      <c r="D555" s="66">
        <f>(Table110[[#This Row],[Index]]-B543)/B543</f>
        <v/>
      </c>
    </row>
    <row r="556">
      <c r="A556" s="17" t="n">
        <v>43009</v>
      </c>
      <c r="B556" s="58">
        <f>VLOOKUP(Table110[[#This Row],[Date]],database!A:H,3,)</f>
        <v/>
      </c>
      <c r="C556" s="66">
        <f>B556/B555-1</f>
        <v/>
      </c>
      <c r="D556" s="66">
        <f>(Table110[[#This Row],[Index]]-B544)/B544</f>
        <v/>
      </c>
    </row>
    <row r="557">
      <c r="A557" s="17" t="n">
        <v>43040</v>
      </c>
      <c r="B557" s="58">
        <f>VLOOKUP(Table110[[#This Row],[Date]],database!A:H,3,)</f>
        <v/>
      </c>
      <c r="C557" s="66">
        <f>B557/B556-1</f>
        <v/>
      </c>
      <c r="D557" s="66">
        <f>(Table110[[#This Row],[Index]]-B545)/B545</f>
        <v/>
      </c>
    </row>
    <row r="558">
      <c r="A558" s="17" t="n">
        <v>43070</v>
      </c>
      <c r="B558" s="58">
        <f>VLOOKUP(Table110[[#This Row],[Date]],database!A:H,3,)</f>
        <v/>
      </c>
      <c r="C558" s="66">
        <f>B558/B557-1</f>
        <v/>
      </c>
      <c r="D558" s="66">
        <f>(Table110[[#This Row],[Index]]-B546)/B546</f>
        <v/>
      </c>
    </row>
    <row r="559">
      <c r="A559" s="17" t="n">
        <v>43101</v>
      </c>
      <c r="B559" s="58">
        <f>VLOOKUP(Table110[[#This Row],[Date]],database!A:H,3,)</f>
        <v/>
      </c>
      <c r="C559" s="66">
        <f>B559/B558-1</f>
        <v/>
      </c>
      <c r="D559" s="66">
        <f>(Table110[[#This Row],[Index]]-B547)/B547</f>
        <v/>
      </c>
    </row>
    <row r="560">
      <c r="A560" s="17" t="n">
        <v>43132</v>
      </c>
      <c r="B560" s="58">
        <f>VLOOKUP(Table110[[#This Row],[Date]],database!A:H,3,)</f>
        <v/>
      </c>
      <c r="C560" s="66">
        <f>B560/B559-1</f>
        <v/>
      </c>
      <c r="D560" s="66">
        <f>(Table110[[#This Row],[Index]]-B548)/B548</f>
        <v/>
      </c>
    </row>
    <row r="561">
      <c r="A561" s="17" t="n">
        <v>43160</v>
      </c>
      <c r="B561" s="58">
        <f>VLOOKUP(Table110[[#This Row],[Date]],database!A:H,3,)</f>
        <v/>
      </c>
      <c r="C561" s="66">
        <f>B561/B560-1</f>
        <v/>
      </c>
      <c r="D561" s="66">
        <f>(Table110[[#This Row],[Index]]-B549)/B549</f>
        <v/>
      </c>
    </row>
    <row r="562">
      <c r="A562" s="17" t="n">
        <v>43191</v>
      </c>
      <c r="B562" s="58">
        <f>VLOOKUP(Table110[[#This Row],[Date]],database!A:H,3,)</f>
        <v/>
      </c>
      <c r="C562" s="66">
        <f>B562/B561-1</f>
        <v/>
      </c>
      <c r="D562" s="66">
        <f>(Table110[[#This Row],[Index]]-B550)/B550</f>
        <v/>
      </c>
    </row>
    <row r="563">
      <c r="A563" s="17" t="n">
        <v>43221</v>
      </c>
      <c r="B563" s="58">
        <f>VLOOKUP(Table110[[#This Row],[Date]],database!A:H,3,)</f>
        <v/>
      </c>
      <c r="C563" s="66">
        <f>B563/B562-1</f>
        <v/>
      </c>
      <c r="D563" s="66">
        <f>(Table110[[#This Row],[Index]]-B551)/B551</f>
        <v/>
      </c>
    </row>
    <row r="564">
      <c r="A564" s="17" t="n">
        <v>43252</v>
      </c>
      <c r="B564" s="58">
        <f>VLOOKUP(Table110[[#This Row],[Date]],database!A:H,3,)</f>
        <v/>
      </c>
      <c r="C564" s="66">
        <f>B564/B563-1</f>
        <v/>
      </c>
      <c r="D564" s="66">
        <f>(Table110[[#This Row],[Index]]-B552)/B552</f>
        <v/>
      </c>
    </row>
    <row r="565">
      <c r="A565" s="17" t="n">
        <v>43282</v>
      </c>
      <c r="B565" s="58">
        <f>VLOOKUP(Table110[[#This Row],[Date]],database!A:H,3,)</f>
        <v/>
      </c>
      <c r="C565" s="66">
        <f>B565/B564-1</f>
        <v/>
      </c>
      <c r="D565" s="66">
        <f>(Table110[[#This Row],[Index]]-B553)/B553</f>
        <v/>
      </c>
    </row>
    <row r="566">
      <c r="A566" s="17" t="n">
        <v>43313</v>
      </c>
      <c r="B566" s="58">
        <f>VLOOKUP(Table110[[#This Row],[Date]],database!A:H,3,)</f>
        <v/>
      </c>
      <c r="C566" s="66">
        <f>B566/B565-1</f>
        <v/>
      </c>
      <c r="D566" s="66">
        <f>(Table110[[#This Row],[Index]]-B554)/B554</f>
        <v/>
      </c>
    </row>
    <row r="567">
      <c r="A567" s="17" t="n">
        <v>43344</v>
      </c>
      <c r="B567" s="58">
        <f>VLOOKUP(Table110[[#This Row],[Date]],database!A:H,3,)</f>
        <v/>
      </c>
      <c r="C567" s="66">
        <f>B567/B566-1</f>
        <v/>
      </c>
      <c r="D567" s="66">
        <f>(Table110[[#This Row],[Index]]-B555)/B555</f>
        <v/>
      </c>
    </row>
    <row r="568">
      <c r="A568" s="17" t="n">
        <v>43374</v>
      </c>
      <c r="B568" s="58">
        <f>VLOOKUP(Table110[[#This Row],[Date]],database!A:H,3,)</f>
        <v/>
      </c>
      <c r="C568" s="66">
        <f>B568/B567-1</f>
        <v/>
      </c>
      <c r="D568" s="66">
        <f>(Table110[[#This Row],[Index]]-B556)/B556</f>
        <v/>
      </c>
    </row>
    <row r="569">
      <c r="A569" s="17" t="n">
        <v>43405</v>
      </c>
      <c r="B569" s="58">
        <f>VLOOKUP(Table110[[#This Row],[Date]],database!A:H,3,)</f>
        <v/>
      </c>
      <c r="C569" s="66">
        <f>B569/B568-1</f>
        <v/>
      </c>
      <c r="D569" s="66">
        <f>(Table110[[#This Row],[Index]]-B557)/B557</f>
        <v/>
      </c>
    </row>
    <row r="570">
      <c r="A570" s="17" t="n">
        <v>43435</v>
      </c>
      <c r="B570" s="58">
        <f>VLOOKUP(Table110[[#This Row],[Date]],database!A:H,3,)</f>
        <v/>
      </c>
      <c r="C570" s="66">
        <f>B570/B569-1</f>
        <v/>
      </c>
      <c r="D570" s="66">
        <f>(Table110[[#This Row],[Index]]-B558)/B558</f>
        <v/>
      </c>
    </row>
    <row r="571">
      <c r="A571" s="17" t="n">
        <v>43466</v>
      </c>
      <c r="B571" s="58">
        <f>VLOOKUP(Table110[[#This Row],[Date]],database!A:H,3,)</f>
        <v/>
      </c>
      <c r="C571" s="66">
        <f>B571/B570-1</f>
        <v/>
      </c>
      <c r="D571" s="66">
        <f>(Table110[[#This Row],[Index]]-B559)/B559</f>
        <v/>
      </c>
    </row>
    <row r="572">
      <c r="A572" s="17" t="n">
        <v>43497</v>
      </c>
      <c r="B572" s="58">
        <f>VLOOKUP(Table110[[#This Row],[Date]],database!A:H,3,)</f>
        <v/>
      </c>
      <c r="C572" s="66">
        <f>B572/B571-1</f>
        <v/>
      </c>
      <c r="D572" s="66">
        <f>(Table110[[#This Row],[Index]]-B560)/B560</f>
        <v/>
      </c>
    </row>
    <row r="573">
      <c r="A573" s="17" t="n">
        <v>43525</v>
      </c>
      <c r="B573" s="58">
        <f>VLOOKUP(Table110[[#This Row],[Date]],database!A:H,3,)</f>
        <v/>
      </c>
      <c r="C573" s="66">
        <f>B573/B572-1</f>
        <v/>
      </c>
      <c r="D573" s="66">
        <f>(Table110[[#This Row],[Index]]-B561)/B561</f>
        <v/>
      </c>
    </row>
    <row r="574">
      <c r="A574" s="17" t="n">
        <v>43556</v>
      </c>
      <c r="B574" s="58">
        <f>VLOOKUP(Table110[[#This Row],[Date]],database!A:H,3,)</f>
        <v/>
      </c>
      <c r="C574" s="66">
        <f>B574/B573-1</f>
        <v/>
      </c>
      <c r="D574" s="66">
        <f>(Table110[[#This Row],[Index]]-B562)/B562</f>
        <v/>
      </c>
    </row>
    <row r="575">
      <c r="A575" s="17" t="n">
        <v>43586</v>
      </c>
      <c r="B575" s="58">
        <f>VLOOKUP(Table110[[#This Row],[Date]],database!A:H,3,)</f>
        <v/>
      </c>
      <c r="C575" s="66">
        <f>B575/B574-1</f>
        <v/>
      </c>
      <c r="D575" s="66">
        <f>(Table110[[#This Row],[Index]]-B563)/B563</f>
        <v/>
      </c>
    </row>
    <row r="576">
      <c r="A576" s="17" t="n">
        <v>43617</v>
      </c>
      <c r="B576" s="58">
        <f>VLOOKUP(Table110[[#This Row],[Date]],database!A:H,3,)</f>
        <v/>
      </c>
      <c r="C576" s="66">
        <f>B576/B575-1</f>
        <v/>
      </c>
      <c r="D576" s="66">
        <f>(Table110[[#This Row],[Index]]-B564)/B564</f>
        <v/>
      </c>
    </row>
    <row r="577">
      <c r="A577" s="17" t="n">
        <v>43647</v>
      </c>
      <c r="B577" s="58">
        <f>VLOOKUP(Table110[[#This Row],[Date]],database!A:H,3,)</f>
        <v/>
      </c>
      <c r="C577" s="66">
        <f>B577/B576-1</f>
        <v/>
      </c>
      <c r="D577" s="66">
        <f>(Table110[[#This Row],[Index]]-B565)/B565</f>
        <v/>
      </c>
    </row>
    <row r="578">
      <c r="A578" s="17" t="n">
        <v>43678</v>
      </c>
      <c r="B578" s="58">
        <f>VLOOKUP(Table110[[#This Row],[Date]],database!A:H,3,)</f>
        <v/>
      </c>
      <c r="C578" s="66">
        <f>B578/B577-1</f>
        <v/>
      </c>
      <c r="D578" s="66">
        <f>(Table110[[#This Row],[Index]]-B566)/B566</f>
        <v/>
      </c>
    </row>
    <row r="579">
      <c r="A579" s="17" t="n">
        <v>43709</v>
      </c>
      <c r="B579" s="58">
        <f>VLOOKUP(Table110[[#This Row],[Date]],database!A:H,3,)</f>
        <v/>
      </c>
      <c r="C579" s="66">
        <f>B579/B578-1</f>
        <v/>
      </c>
      <c r="D579" s="66">
        <f>(Table110[[#This Row],[Index]]-B567)/B567</f>
        <v/>
      </c>
    </row>
    <row r="580">
      <c r="A580" s="17" t="n">
        <v>43739</v>
      </c>
      <c r="B580" s="58">
        <f>VLOOKUP(Table110[[#This Row],[Date]],database!A:H,3,)</f>
        <v/>
      </c>
      <c r="C580" s="66">
        <f>B580/B579-1</f>
        <v/>
      </c>
      <c r="D580" s="66">
        <f>(Table110[[#This Row],[Index]]-B568)/B568</f>
        <v/>
      </c>
    </row>
    <row r="581">
      <c r="A581" s="17" t="n">
        <v>43770</v>
      </c>
      <c r="B581" s="58">
        <f>VLOOKUP(Table110[[#This Row],[Date]],database!A:H,3,)</f>
        <v/>
      </c>
      <c r="C581" s="66">
        <f>B581/B580-1</f>
        <v/>
      </c>
      <c r="D581" s="66">
        <f>(Table110[[#This Row],[Index]]-B569)/B569</f>
        <v/>
      </c>
    </row>
    <row r="582">
      <c r="A582" s="17" t="n">
        <v>43800</v>
      </c>
      <c r="B582" s="58">
        <f>VLOOKUP(Table110[[#This Row],[Date]],database!A:H,3,)</f>
        <v/>
      </c>
      <c r="C582" s="66">
        <f>B582/B581-1</f>
        <v/>
      </c>
      <c r="D582" s="66">
        <f>(Table110[[#This Row],[Index]]-B570)/B570</f>
        <v/>
      </c>
    </row>
    <row r="583">
      <c r="A583" s="17" t="n">
        <v>43831</v>
      </c>
      <c r="B583" s="58">
        <f>VLOOKUP(Table110[[#This Row],[Date]],database!A:H,3,)</f>
        <v/>
      </c>
      <c r="C583" s="66">
        <f>B583/B582-1</f>
        <v/>
      </c>
      <c r="D583" s="66">
        <f>(Table110[[#This Row],[Index]]-B571)/B571</f>
        <v/>
      </c>
    </row>
    <row r="584">
      <c r="A584" s="17" t="n">
        <v>43862</v>
      </c>
      <c r="B584" s="58">
        <f>VLOOKUP(Table110[[#This Row],[Date]],database!A:H,3,)</f>
        <v/>
      </c>
      <c r="C584" s="66">
        <f>B584/B583-1</f>
        <v/>
      </c>
      <c r="D584" s="66">
        <f>(Table110[[#This Row],[Index]]-B572)/B572</f>
        <v/>
      </c>
    </row>
    <row r="585">
      <c r="A585" s="17" t="n">
        <v>43891</v>
      </c>
      <c r="B585" s="58">
        <f>VLOOKUP(Table110[[#This Row],[Date]],database!A:H,3,)</f>
        <v/>
      </c>
      <c r="C585" s="66">
        <f>B585/B584-1</f>
        <v/>
      </c>
      <c r="D585" s="66">
        <f>(Table110[[#This Row],[Index]]-B573)/B573</f>
        <v/>
      </c>
    </row>
    <row r="586">
      <c r="A586" s="17" t="n">
        <v>43922</v>
      </c>
      <c r="B586" s="58">
        <f>VLOOKUP(Table110[[#This Row],[Date]],database!A:H,3,)</f>
        <v/>
      </c>
      <c r="C586" s="66">
        <f>B586/B585-1</f>
        <v/>
      </c>
      <c r="D586" s="66">
        <f>(Table110[[#This Row],[Index]]-B574)/B574</f>
        <v/>
      </c>
    </row>
    <row r="587">
      <c r="A587" s="17" t="n">
        <v>43952</v>
      </c>
      <c r="B587" s="58">
        <f>VLOOKUP(Table110[[#This Row],[Date]],database!A:H,3,)</f>
        <v/>
      </c>
      <c r="C587" s="66">
        <f>B587/B586-1</f>
        <v/>
      </c>
      <c r="D587" s="66">
        <f>(Table110[[#This Row],[Index]]-B575)/B575</f>
        <v/>
      </c>
    </row>
    <row r="588">
      <c r="A588" s="17" t="n">
        <v>43983</v>
      </c>
      <c r="B588" s="58">
        <f>VLOOKUP(Table110[[#This Row],[Date]],database!A:H,3,)</f>
        <v/>
      </c>
      <c r="C588" s="66">
        <f>B588/B587-1</f>
        <v/>
      </c>
      <c r="D588" s="66">
        <f>(Table110[[#This Row],[Index]]-B576)/B576</f>
        <v/>
      </c>
    </row>
    <row r="589">
      <c r="A589" s="17" t="n">
        <v>44013</v>
      </c>
      <c r="B589" s="58">
        <f>VLOOKUP(Table110[[#This Row],[Date]],database!A:H,3,)</f>
        <v/>
      </c>
      <c r="C589" s="66">
        <f>B589/B588-1</f>
        <v/>
      </c>
      <c r="D589" s="66">
        <f>(Table110[[#This Row],[Index]]-B577)/B577</f>
        <v/>
      </c>
    </row>
    <row r="590">
      <c r="A590" s="17" t="n">
        <v>44044</v>
      </c>
      <c r="B590" s="58">
        <f>VLOOKUP(Table110[[#This Row],[Date]],database!A:H,3,)</f>
        <v/>
      </c>
      <c r="C590" s="66">
        <f>B590/B589-1</f>
        <v/>
      </c>
      <c r="D590" s="66">
        <f>(Table110[[#This Row],[Index]]-B578)/B578</f>
        <v/>
      </c>
    </row>
    <row r="591">
      <c r="A591" s="17" t="n">
        <v>44075</v>
      </c>
      <c r="B591" s="58">
        <f>VLOOKUP(Table110[[#This Row],[Date]],database!A:H,3,)</f>
        <v/>
      </c>
      <c r="C591" s="66">
        <f>B591/B590-1</f>
        <v/>
      </c>
      <c r="D591" s="66">
        <f>(Table110[[#This Row],[Index]]-B579)/B579</f>
        <v/>
      </c>
    </row>
    <row r="592">
      <c r="A592" s="17" t="n">
        <v>44105</v>
      </c>
      <c r="B592" s="58">
        <f>VLOOKUP(Table110[[#This Row],[Date]],database!A:H,3,)</f>
        <v/>
      </c>
      <c r="C592" s="66">
        <f>B592/B591-1</f>
        <v/>
      </c>
      <c r="D592" s="66">
        <f>(Table110[[#This Row],[Index]]-B580)/B580</f>
        <v/>
      </c>
    </row>
    <row r="593">
      <c r="A593" s="17" t="n">
        <v>44136</v>
      </c>
      <c r="B593" s="58">
        <f>VLOOKUP(Table110[[#This Row],[Date]],database!A:H,3,)</f>
        <v/>
      </c>
      <c r="C593" s="66">
        <f>B593/B592-1</f>
        <v/>
      </c>
      <c r="D593" s="66">
        <f>(Table110[[#This Row],[Index]]-B581)/B581</f>
        <v/>
      </c>
    </row>
    <row r="594">
      <c r="A594" s="17" t="n">
        <v>44166</v>
      </c>
      <c r="B594" s="58">
        <f>VLOOKUP(Table110[[#This Row],[Date]],database!A:H,3,)</f>
        <v/>
      </c>
      <c r="C594" s="66">
        <f>B594/B593-1</f>
        <v/>
      </c>
      <c r="D594" s="66">
        <f>(Table110[[#This Row],[Index]]-B582)/B582</f>
        <v/>
      </c>
    </row>
    <row r="595">
      <c r="A595" s="17" t="n">
        <v>44197</v>
      </c>
      <c r="B595" s="58">
        <f>VLOOKUP(Table110[[#This Row],[Date]],database!A:H,3,)</f>
        <v/>
      </c>
      <c r="C595" s="66">
        <f>B595/B594-1</f>
        <v/>
      </c>
      <c r="D595" s="66">
        <f>(Table110[[#This Row],[Index]]-B583)/B583</f>
        <v/>
      </c>
    </row>
    <row r="596">
      <c r="A596" s="17" t="n">
        <v>44228</v>
      </c>
      <c r="B596" s="58">
        <f>VLOOKUP(Table110[[#This Row],[Date]],database!A:H,3,)</f>
        <v/>
      </c>
      <c r="C596" s="66">
        <f>B596/B595-1</f>
        <v/>
      </c>
      <c r="D596" s="66">
        <f>(Table110[[#This Row],[Index]]-B584)/B584</f>
        <v/>
      </c>
    </row>
    <row r="597">
      <c r="A597" s="17" t="n">
        <v>44256</v>
      </c>
      <c r="B597" s="58">
        <f>VLOOKUP(Table110[[#This Row],[Date]],database!A:H,3,)</f>
        <v/>
      </c>
      <c r="C597" s="66">
        <f>B597/B596-1</f>
        <v/>
      </c>
      <c r="D597" s="66">
        <f>(Table110[[#This Row],[Index]]-B585)/B585</f>
        <v/>
      </c>
    </row>
    <row r="598">
      <c r="A598" s="17" t="n">
        <v>44287</v>
      </c>
      <c r="B598" s="58">
        <f>VLOOKUP(Table110[[#This Row],[Date]],database!A:H,3,)</f>
        <v/>
      </c>
      <c r="C598" s="66">
        <f>B598/B597-1</f>
        <v/>
      </c>
      <c r="D598" s="66">
        <f>(Table110[[#This Row],[Index]]-B586)/B586</f>
        <v/>
      </c>
    </row>
    <row r="599">
      <c r="A599" s="17" t="n">
        <v>44317</v>
      </c>
      <c r="B599" s="58">
        <f>VLOOKUP(Table110[[#This Row],[Date]],database!A:H,3,)</f>
        <v/>
      </c>
      <c r="C599" s="66">
        <f>B599/B598-1</f>
        <v/>
      </c>
      <c r="D599" s="66">
        <f>(Table110[[#This Row],[Index]]-B587)/B587</f>
        <v/>
      </c>
    </row>
    <row r="600">
      <c r="A600" s="17" t="n">
        <v>44348</v>
      </c>
      <c r="B600" s="58">
        <f>VLOOKUP(Table110[[#This Row],[Date]],database!A:H,3,)</f>
        <v/>
      </c>
      <c r="C600" s="66">
        <f>B600/B599-1</f>
        <v/>
      </c>
      <c r="D600" s="66">
        <f>(Table110[[#This Row],[Index]]-B588)/B588</f>
        <v/>
      </c>
    </row>
    <row r="601">
      <c r="A601" s="17" t="n">
        <v>44378</v>
      </c>
      <c r="B601" s="58">
        <f>VLOOKUP(Table110[[#This Row],[Date]],database!A:H,3,)</f>
        <v/>
      </c>
      <c r="C601" s="66">
        <f>B601/B600-1</f>
        <v/>
      </c>
      <c r="D601" s="66">
        <f>(Table110[[#This Row],[Index]]-B589)/B589</f>
        <v/>
      </c>
    </row>
    <row r="602">
      <c r="A602" s="17" t="n">
        <v>44409</v>
      </c>
      <c r="B602" s="58">
        <f>VLOOKUP(Table110[[#This Row],[Date]],database!A:H,3,)</f>
        <v/>
      </c>
      <c r="C602" s="66">
        <f>B602/B601-1</f>
        <v/>
      </c>
      <c r="D602" s="66">
        <f>(Table110[[#This Row],[Index]]-B590)/B590</f>
        <v/>
      </c>
    </row>
    <row r="603">
      <c r="A603" s="17" t="n">
        <v>44440</v>
      </c>
      <c r="B603" s="58">
        <f>VLOOKUP(Table110[[#This Row],[Date]],database!A:H,3,)</f>
        <v/>
      </c>
      <c r="C603" s="66">
        <f>B603/B602-1</f>
        <v/>
      </c>
      <c r="D603" s="66">
        <f>(Table110[[#This Row],[Index]]-B591)/B591</f>
        <v/>
      </c>
    </row>
    <row r="604">
      <c r="A604" s="17" t="n">
        <v>44470</v>
      </c>
      <c r="B604" s="58">
        <f>VLOOKUP(Table110[[#This Row],[Date]],database!A:H,3,)</f>
        <v/>
      </c>
      <c r="C604" s="66">
        <f>B604/B603-1</f>
        <v/>
      </c>
      <c r="D604" s="66">
        <f>(Table110[[#This Row],[Index]]-B592)/B592</f>
        <v/>
      </c>
    </row>
    <row r="605">
      <c r="A605" s="17" t="n">
        <v>44501</v>
      </c>
      <c r="B605" s="58">
        <f>VLOOKUP(Table110[[#This Row],[Date]],database!A:H,3,)</f>
        <v/>
      </c>
      <c r="C605" s="66">
        <f>B605/B604-1</f>
        <v/>
      </c>
      <c r="D605" s="66">
        <f>(Table110[[#This Row],[Index]]-B593)/B593</f>
        <v/>
      </c>
    </row>
    <row r="606">
      <c r="A606" s="17" t="n">
        <v>44531</v>
      </c>
      <c r="B606" s="58">
        <f>VLOOKUP(Table110[[#This Row],[Date]],database!A:H,3,)</f>
        <v/>
      </c>
      <c r="C606" s="66">
        <f>B606/B605-1</f>
        <v/>
      </c>
      <c r="D606" s="66">
        <f>(Table110[[#This Row],[Index]]-B594)/B594</f>
        <v/>
      </c>
    </row>
    <row r="607">
      <c r="A607" s="17" t="n">
        <v>44562</v>
      </c>
      <c r="B607" s="58">
        <f>VLOOKUP(Table110[[#This Row],[Date]],database!A:H,3,)</f>
        <v/>
      </c>
      <c r="C607" s="66">
        <f>B607/B606-1</f>
        <v/>
      </c>
      <c r="D607" s="66">
        <f>(Table110[[#This Row],[Index]]-B595)/B595</f>
        <v/>
      </c>
    </row>
    <row r="608">
      <c r="A608" s="17" t="n">
        <v>44593</v>
      </c>
      <c r="B608" s="58">
        <f>VLOOKUP(Table110[[#This Row],[Date]],database!A:H,3,)</f>
        <v/>
      </c>
      <c r="C608" s="66">
        <f>B608/B607-1</f>
        <v/>
      </c>
      <c r="D608" s="66">
        <f>(Table110[[#This Row],[Index]]-B596)/B596</f>
        <v/>
      </c>
    </row>
    <row r="609">
      <c r="A609" s="17" t="n">
        <v>44621</v>
      </c>
      <c r="B609" s="58">
        <f>VLOOKUP(Table110[[#This Row],[Date]],database!A:H,3,)</f>
        <v/>
      </c>
      <c r="C609" s="66">
        <f>B609/B608-1</f>
        <v/>
      </c>
      <c r="D609" s="66">
        <f>(Table110[[#This Row],[Index]]-B597)/B597</f>
        <v/>
      </c>
    </row>
    <row r="610">
      <c r="A610" s="17" t="n">
        <v>44652</v>
      </c>
      <c r="B610" s="58">
        <f>VLOOKUP(Table110[[#This Row],[Date]],database!A:H,3,)</f>
        <v/>
      </c>
      <c r="C610" s="66">
        <f>B610/B609-1</f>
        <v/>
      </c>
      <c r="D610" s="66">
        <f>(Table110[[#This Row],[Index]]-B598)/B598</f>
        <v/>
      </c>
    </row>
    <row r="611">
      <c r="A611" s="17" t="n">
        <v>44682</v>
      </c>
      <c r="B611" s="58">
        <f>VLOOKUP(Table110[[#This Row],[Date]],database!A:H,3,)</f>
        <v/>
      </c>
      <c r="C611" s="66">
        <f>B611/B610-1</f>
        <v/>
      </c>
      <c r="D611" s="66">
        <f>(Table110[[#This Row],[Index]]-B599)/B599</f>
        <v/>
      </c>
    </row>
    <row r="612">
      <c r="A612" s="17" t="n">
        <v>44713</v>
      </c>
      <c r="B612" s="58">
        <f>VLOOKUP(Table110[[#This Row],[Date]],database!A:H,3,)</f>
        <v/>
      </c>
      <c r="C612" s="66">
        <f>B612/B611-1</f>
        <v/>
      </c>
      <c r="D612" s="66">
        <f>(Table110[[#This Row],[Index]]-B600)/B600</f>
        <v/>
      </c>
    </row>
    <row r="613">
      <c r="A613" s="17" t="n">
        <v>44743</v>
      </c>
      <c r="B613" s="58">
        <f>VLOOKUP(Table110[[#This Row],[Date]],database!A:H,3,)</f>
        <v/>
      </c>
      <c r="C613" s="66">
        <f>B613/B612-1</f>
        <v/>
      </c>
      <c r="D613" s="66">
        <f>(Table110[[#This Row],[Index]]-B601)/B601</f>
        <v/>
      </c>
    </row>
    <row r="614">
      <c r="A614" s="17" t="n">
        <v>44774</v>
      </c>
      <c r="B614" s="58">
        <f>VLOOKUP(Table110[[#This Row],[Date]],database!A:H,3,)</f>
        <v/>
      </c>
      <c r="C614" s="66">
        <f>B614/B613-1</f>
        <v/>
      </c>
      <c r="D614" s="66">
        <f>(Table110[[#This Row],[Index]]-B602)/B602</f>
        <v/>
      </c>
    </row>
    <row r="615">
      <c r="A615" s="17" t="n">
        <v>44805</v>
      </c>
      <c r="B615" s="58">
        <f>VLOOKUP(Table110[[#This Row],[Date]],database!A:H,3,)</f>
        <v/>
      </c>
      <c r="C615" s="66">
        <f>B615/B614-1</f>
        <v/>
      </c>
      <c r="D615" s="66">
        <f>(Table110[[#This Row],[Index]]-B603)/B603</f>
        <v/>
      </c>
    </row>
    <row r="616">
      <c r="A616" s="17" t="n">
        <v>44835</v>
      </c>
      <c r="B616" s="58">
        <f>VLOOKUP(Table110[[#This Row],[Date]],database!A:H,3,)</f>
        <v/>
      </c>
      <c r="C616" s="66">
        <f>B616/B615-1</f>
        <v/>
      </c>
      <c r="D616" s="66">
        <f>(Table110[[#This Row],[Index]]-B604)/B604</f>
        <v/>
      </c>
    </row>
    <row r="617">
      <c r="A617" s="17" t="n">
        <v>44866</v>
      </c>
      <c r="B617" s="58">
        <f>VLOOKUP(Table110[[#This Row],[Date]],database!A:H,3,)</f>
        <v/>
      </c>
      <c r="C617" s="66">
        <f>B617/B616-1</f>
        <v/>
      </c>
      <c r="D617" s="66">
        <f>(Table110[[#This Row],[Index]]-B605)/B605</f>
        <v/>
      </c>
    </row>
    <row r="618">
      <c r="A618" s="17" t="n">
        <v>44896</v>
      </c>
      <c r="B618" s="58">
        <f>VLOOKUP(Table110[[#This Row],[Date]],database!A:H,3,)</f>
        <v/>
      </c>
      <c r="C618" s="66">
        <f>B618/B617-1</f>
        <v/>
      </c>
      <c r="D618" s="66">
        <f>(Table110[[#This Row],[Index]]-B606)/B606</f>
        <v/>
      </c>
    </row>
    <row r="619">
      <c r="A619" s="17" t="n">
        <v>44927</v>
      </c>
      <c r="B619" s="58">
        <f>VLOOKUP(Table110[[#This Row],[Date]],database!A:H,3,)</f>
        <v/>
      </c>
      <c r="C619" s="66">
        <f>B619/B618-1</f>
        <v/>
      </c>
      <c r="D619" s="66">
        <f>(Table110[[#This Row],[Index]]-B607)/B607</f>
        <v/>
      </c>
    </row>
    <row r="620">
      <c r="A620" s="17" t="n">
        <v>44958</v>
      </c>
      <c r="B620" s="58">
        <f>VLOOKUP(Table110[[#This Row],[Date]],database!A:H,3,)</f>
        <v/>
      </c>
      <c r="C620" s="66">
        <f>B620/B619-1</f>
        <v/>
      </c>
      <c r="D620" s="66">
        <f>(Table110[[#This Row],[Index]]-B608)/B608</f>
        <v/>
      </c>
    </row>
    <row r="621">
      <c r="A621" s="17" t="n">
        <v>44986</v>
      </c>
      <c r="B621" s="58">
        <f>VLOOKUP(Table110[[#This Row],[Date]],database!A:H,3,)</f>
        <v/>
      </c>
      <c r="C621" s="66">
        <f>B621/B620-1</f>
        <v/>
      </c>
      <c r="D621" s="66">
        <f>(Table110[[#This Row],[Index]]-B609)/B609</f>
        <v/>
      </c>
    </row>
  </sheetData>
  <conditionalFormatting sqref="D463:D62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21"/>
  <sheetViews>
    <sheetView zoomScale="90" zoomScaleNormal="90" workbookViewId="0">
      <pane ySplit="6" topLeftCell="A596" activePane="bottomLeft" state="frozen"/>
      <selection activeCell="J582" sqref="J582"/>
      <selection pane="bottomLeft" activeCell="R622" sqref="R622"/>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IPMAN</t>
        </is>
      </c>
      <c r="B1" s="88" t="n"/>
      <c r="C1" s="88" t="n"/>
      <c r="S1" s="88" t="inlineStr">
        <is>
          <t>Industrial Production: Manufacturing (NAICS)</t>
        </is>
      </c>
      <c r="T1" s="88" t="inlineStr">
        <is>
          <t xml:space="preserve"> since 2010</t>
        </is>
      </c>
      <c r="U1" s="88">
        <f>S1&amp;T1</f>
        <v/>
      </c>
      <c r="Y1" s="88">
        <f>U2&amp; T1</f>
        <v/>
      </c>
    </row>
    <row r="2">
      <c r="A2" s="16" t="n"/>
      <c r="B2" s="88" t="n"/>
      <c r="C2" s="88" t="n"/>
      <c r="U2" s="88">
        <f>S1&amp;Table13[[#Headers],[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VLOOKUP(Table13[[#This Row],[Date]],database!A:F,6,)</f>
        <v/>
      </c>
      <c r="C7" s="66" t="n"/>
      <c r="D7" s="66" t="n"/>
    </row>
    <row r="8">
      <c r="A8" s="17" t="n">
        <v>26330</v>
      </c>
      <c r="B8" s="58">
        <f>VLOOKUP(Table13[[#This Row],[Date]],database!A:F,6,)</f>
        <v/>
      </c>
      <c r="C8" s="66">
        <f>B8/B7-1</f>
        <v/>
      </c>
      <c r="D8" s="66" t="n"/>
    </row>
    <row r="9">
      <c r="A9" s="17" t="n">
        <v>26359</v>
      </c>
      <c r="B9" s="58">
        <f>VLOOKUP(Table13[[#This Row],[Date]],database!A:F,6,)</f>
        <v/>
      </c>
      <c r="C9" s="66">
        <f>B9/B8-1</f>
        <v/>
      </c>
      <c r="D9" s="66" t="n"/>
    </row>
    <row r="10">
      <c r="A10" s="17" t="n">
        <v>26390</v>
      </c>
      <c r="B10" s="58">
        <f>VLOOKUP(Table13[[#This Row],[Date]],database!A:F,6,)</f>
        <v/>
      </c>
      <c r="C10" s="66">
        <f>B10/B9-1</f>
        <v/>
      </c>
      <c r="D10" s="66" t="n"/>
    </row>
    <row r="11">
      <c r="A11" s="17" t="n">
        <v>26420</v>
      </c>
      <c r="B11" s="58">
        <f>VLOOKUP(Table13[[#This Row],[Date]],database!A:F,6,)</f>
        <v/>
      </c>
      <c r="C11" s="66">
        <f>B11/B10-1</f>
        <v/>
      </c>
      <c r="D11" s="66" t="n"/>
    </row>
    <row r="12">
      <c r="A12" s="17" t="n">
        <v>26451</v>
      </c>
      <c r="B12" s="58">
        <f>VLOOKUP(Table13[[#This Row],[Date]],database!A:F,6,)</f>
        <v/>
      </c>
      <c r="C12" s="66">
        <f>B12/B11-1</f>
        <v/>
      </c>
      <c r="D12" s="66" t="n"/>
    </row>
    <row r="13">
      <c r="A13" s="17" t="n">
        <v>26481</v>
      </c>
      <c r="B13" s="58">
        <f>VLOOKUP(Table13[[#This Row],[Date]],database!A:F,6,)</f>
        <v/>
      </c>
      <c r="C13" s="66">
        <f>B13/B12-1</f>
        <v/>
      </c>
      <c r="D13" s="66" t="n"/>
    </row>
    <row r="14">
      <c r="A14" s="17" t="n">
        <v>26512</v>
      </c>
      <c r="B14" s="58">
        <f>VLOOKUP(Table13[[#This Row],[Date]],database!A:F,6,)</f>
        <v/>
      </c>
      <c r="C14" s="66">
        <f>B14/B13-1</f>
        <v/>
      </c>
      <c r="D14" s="66" t="n"/>
    </row>
    <row r="15">
      <c r="A15" s="17" t="n">
        <v>26543</v>
      </c>
      <c r="B15" s="58">
        <f>VLOOKUP(Table13[[#This Row],[Date]],database!A:F,6,)</f>
        <v/>
      </c>
      <c r="C15" s="66">
        <f>B15/B14-1</f>
        <v/>
      </c>
      <c r="D15" s="66" t="n"/>
    </row>
    <row r="16">
      <c r="A16" s="17" t="n">
        <v>26573</v>
      </c>
      <c r="B16" s="58">
        <f>VLOOKUP(Table13[[#This Row],[Date]],database!A:F,6,)</f>
        <v/>
      </c>
      <c r="C16" s="66">
        <f>B16/B15-1</f>
        <v/>
      </c>
      <c r="D16" s="66" t="n"/>
    </row>
    <row r="17">
      <c r="A17" s="17" t="n">
        <v>26604</v>
      </c>
      <c r="B17" s="58">
        <f>VLOOKUP(Table13[[#This Row],[Date]],database!A:F,6,)</f>
        <v/>
      </c>
      <c r="C17" s="66">
        <f>B17/B16-1</f>
        <v/>
      </c>
      <c r="D17" s="66" t="n"/>
    </row>
    <row r="18">
      <c r="A18" s="17" t="n">
        <v>26634</v>
      </c>
      <c r="B18" s="58">
        <f>VLOOKUP(Table13[[#This Row],[Date]],database!A:F,6,)</f>
        <v/>
      </c>
      <c r="C18" s="66">
        <f>B18/B17-1</f>
        <v/>
      </c>
      <c r="D18" s="66" t="n"/>
    </row>
    <row r="19">
      <c r="A19" s="17" t="n">
        <v>26665</v>
      </c>
      <c r="B19" s="58">
        <f>VLOOKUP(Table13[[#This Row],[Date]],database!A:F,6,)</f>
        <v/>
      </c>
      <c r="C19" s="66">
        <f>B19/B18-1</f>
        <v/>
      </c>
      <c r="D19" s="66" t="n"/>
    </row>
    <row r="20">
      <c r="A20" s="17" t="n">
        <v>26696</v>
      </c>
      <c r="B20" s="58">
        <f>VLOOKUP(Table13[[#This Row],[Date]],database!A:F,6,)</f>
        <v/>
      </c>
      <c r="C20" s="66">
        <f>B20/B19-1</f>
        <v/>
      </c>
      <c r="D20" s="66">
        <f>(Table13[[#This Row],[Index]]-B8)/B8</f>
        <v/>
      </c>
    </row>
    <row r="21">
      <c r="A21" s="17" t="n">
        <v>26724</v>
      </c>
      <c r="B21" s="58">
        <f>VLOOKUP(Table13[[#This Row],[Date]],database!A:F,6,)</f>
        <v/>
      </c>
      <c r="C21" s="66">
        <f>B21/B20-1</f>
        <v/>
      </c>
      <c r="D21" s="66">
        <f>(Table13[[#This Row],[Index]]-B9)/B9</f>
        <v/>
      </c>
    </row>
    <row r="22">
      <c r="A22" s="17" t="n">
        <v>26755</v>
      </c>
      <c r="B22" s="58">
        <f>VLOOKUP(Table13[[#This Row],[Date]],database!A:F,6,)</f>
        <v/>
      </c>
      <c r="C22" s="66">
        <f>B22/B21-1</f>
        <v/>
      </c>
      <c r="D22" s="66">
        <f>(Table13[[#This Row],[Index]]-B10)/B10</f>
        <v/>
      </c>
    </row>
    <row r="23">
      <c r="A23" s="17" t="n">
        <v>26785</v>
      </c>
      <c r="B23" s="58">
        <f>VLOOKUP(Table13[[#This Row],[Date]],database!A:F,6,)</f>
        <v/>
      </c>
      <c r="C23" s="66">
        <f>B23/B22-1</f>
        <v/>
      </c>
      <c r="D23" s="66">
        <f>(Table13[[#This Row],[Index]]-B11)/B11</f>
        <v/>
      </c>
    </row>
    <row r="24">
      <c r="A24" s="17" t="n">
        <v>26816</v>
      </c>
      <c r="B24" s="58">
        <f>VLOOKUP(Table13[[#This Row],[Date]],database!A:F,6,)</f>
        <v/>
      </c>
      <c r="C24" s="66">
        <f>B24/B23-1</f>
        <v/>
      </c>
      <c r="D24" s="66">
        <f>(Table13[[#This Row],[Index]]-B12)/B12</f>
        <v/>
      </c>
    </row>
    <row r="25">
      <c r="A25" s="17" t="n">
        <v>26846</v>
      </c>
      <c r="B25" s="58">
        <f>VLOOKUP(Table13[[#This Row],[Date]],database!A:F,6,)</f>
        <v/>
      </c>
      <c r="C25" s="66">
        <f>B25/B24-1</f>
        <v/>
      </c>
      <c r="D25" s="66">
        <f>(Table13[[#This Row],[Index]]-B13)/B13</f>
        <v/>
      </c>
    </row>
    <row r="26">
      <c r="A26" s="17" t="n">
        <v>26877</v>
      </c>
      <c r="B26" s="58">
        <f>VLOOKUP(Table13[[#This Row],[Date]],database!A:F,6,)</f>
        <v/>
      </c>
      <c r="C26" s="66">
        <f>B26/B25-1</f>
        <v/>
      </c>
      <c r="D26" s="66">
        <f>(Table13[[#This Row],[Index]]-B14)/B14</f>
        <v/>
      </c>
    </row>
    <row r="27">
      <c r="A27" s="17" t="n">
        <v>26908</v>
      </c>
      <c r="B27" s="58">
        <f>VLOOKUP(Table13[[#This Row],[Date]],database!A:F,6,)</f>
        <v/>
      </c>
      <c r="C27" s="66">
        <f>B27/B26-1</f>
        <v/>
      </c>
      <c r="D27" s="66">
        <f>(Table13[[#This Row],[Index]]-B15)/B15</f>
        <v/>
      </c>
    </row>
    <row r="28">
      <c r="A28" s="17" t="n">
        <v>26938</v>
      </c>
      <c r="B28" s="58">
        <f>VLOOKUP(Table13[[#This Row],[Date]],database!A:F,6,)</f>
        <v/>
      </c>
      <c r="C28" s="66">
        <f>B28/B27-1</f>
        <v/>
      </c>
      <c r="D28" s="66">
        <f>(Table13[[#This Row],[Index]]-B16)/B16</f>
        <v/>
      </c>
    </row>
    <row r="29">
      <c r="A29" s="17" t="n">
        <v>26969</v>
      </c>
      <c r="B29" s="58">
        <f>VLOOKUP(Table13[[#This Row],[Date]],database!A:F,6,)</f>
        <v/>
      </c>
      <c r="C29" s="66">
        <f>B29/B28-1</f>
        <v/>
      </c>
      <c r="D29" s="66">
        <f>(Table13[[#This Row],[Index]]-B17)/B17</f>
        <v/>
      </c>
    </row>
    <row r="30">
      <c r="A30" s="17" t="n">
        <v>26999</v>
      </c>
      <c r="B30" s="58">
        <f>VLOOKUP(Table13[[#This Row],[Date]],database!A:F,6,)</f>
        <v/>
      </c>
      <c r="C30" s="66">
        <f>B30/B29-1</f>
        <v/>
      </c>
      <c r="D30" s="66">
        <f>(Table13[[#This Row],[Index]]-B18)/B18</f>
        <v/>
      </c>
    </row>
    <row r="31">
      <c r="A31" s="17" t="n">
        <v>27030</v>
      </c>
      <c r="B31" s="58">
        <f>VLOOKUP(Table13[[#This Row],[Date]],database!A:F,6,)</f>
        <v/>
      </c>
      <c r="C31" s="66">
        <f>B31/B30-1</f>
        <v/>
      </c>
      <c r="D31" s="66">
        <f>(Table13[[#This Row],[Index]]-B19)/B19</f>
        <v/>
      </c>
    </row>
    <row r="32">
      <c r="A32" s="17" t="n">
        <v>27061</v>
      </c>
      <c r="B32" s="58">
        <f>VLOOKUP(Table13[[#This Row],[Date]],database!A:F,6,)</f>
        <v/>
      </c>
      <c r="C32" s="66">
        <f>B32/B31-1</f>
        <v/>
      </c>
      <c r="D32" s="66">
        <f>(Table13[[#This Row],[Index]]-B20)/B20</f>
        <v/>
      </c>
    </row>
    <row r="33">
      <c r="A33" s="17" t="n">
        <v>27089</v>
      </c>
      <c r="B33" s="58">
        <f>VLOOKUP(Table13[[#This Row],[Date]],database!A:F,6,)</f>
        <v/>
      </c>
      <c r="C33" s="66">
        <f>B33/B32-1</f>
        <v/>
      </c>
      <c r="D33" s="66">
        <f>(Table13[[#This Row],[Index]]-B21)/B21</f>
        <v/>
      </c>
    </row>
    <row r="34">
      <c r="A34" s="17" t="n">
        <v>27120</v>
      </c>
      <c r="B34" s="58">
        <f>VLOOKUP(Table13[[#This Row],[Date]],database!A:F,6,)</f>
        <v/>
      </c>
      <c r="C34" s="66">
        <f>B34/B33-1</f>
        <v/>
      </c>
      <c r="D34" s="66">
        <f>(Table13[[#This Row],[Index]]-B22)/B22</f>
        <v/>
      </c>
    </row>
    <row r="35">
      <c r="A35" s="17" t="n">
        <v>27150</v>
      </c>
      <c r="B35" s="58">
        <f>VLOOKUP(Table13[[#This Row],[Date]],database!A:F,6,)</f>
        <v/>
      </c>
      <c r="C35" s="66">
        <f>B35/B34-1</f>
        <v/>
      </c>
      <c r="D35" s="66">
        <f>(Table13[[#This Row],[Index]]-B23)/B23</f>
        <v/>
      </c>
    </row>
    <row r="36">
      <c r="A36" s="17" t="n">
        <v>27181</v>
      </c>
      <c r="B36" s="58">
        <f>VLOOKUP(Table13[[#This Row],[Date]],database!A:F,6,)</f>
        <v/>
      </c>
      <c r="C36" s="66">
        <f>B36/B35-1</f>
        <v/>
      </c>
      <c r="D36" s="66">
        <f>(Table13[[#This Row],[Index]]-B24)/B24</f>
        <v/>
      </c>
    </row>
    <row r="37">
      <c r="A37" s="17" t="n">
        <v>27211</v>
      </c>
      <c r="B37" s="58">
        <f>VLOOKUP(Table13[[#This Row],[Date]],database!A:F,6,)</f>
        <v/>
      </c>
      <c r="C37" s="66">
        <f>B37/B36-1</f>
        <v/>
      </c>
      <c r="D37" s="66">
        <f>(Table13[[#This Row],[Index]]-B25)/B25</f>
        <v/>
      </c>
    </row>
    <row r="38">
      <c r="A38" s="17" t="n">
        <v>27242</v>
      </c>
      <c r="B38" s="58">
        <f>VLOOKUP(Table13[[#This Row],[Date]],database!A:F,6,)</f>
        <v/>
      </c>
      <c r="C38" s="66">
        <f>B38/B37-1</f>
        <v/>
      </c>
      <c r="D38" s="66">
        <f>(Table13[[#This Row],[Index]]-B26)/B26</f>
        <v/>
      </c>
    </row>
    <row r="39">
      <c r="A39" s="17" t="n">
        <v>27273</v>
      </c>
      <c r="B39" s="58">
        <f>VLOOKUP(Table13[[#This Row],[Date]],database!A:F,6,)</f>
        <v/>
      </c>
      <c r="C39" s="66">
        <f>B39/B38-1</f>
        <v/>
      </c>
      <c r="D39" s="66">
        <f>(Table13[[#This Row],[Index]]-B27)/B27</f>
        <v/>
      </c>
    </row>
    <row r="40">
      <c r="A40" s="17" t="n">
        <v>27303</v>
      </c>
      <c r="B40" s="58">
        <f>VLOOKUP(Table13[[#This Row],[Date]],database!A:F,6,)</f>
        <v/>
      </c>
      <c r="C40" s="66">
        <f>B40/B39-1</f>
        <v/>
      </c>
      <c r="D40" s="66">
        <f>(Table13[[#This Row],[Index]]-B28)/B28</f>
        <v/>
      </c>
    </row>
    <row r="41">
      <c r="A41" s="17" t="n">
        <v>27334</v>
      </c>
      <c r="B41" s="58">
        <f>VLOOKUP(Table13[[#This Row],[Date]],database!A:F,6,)</f>
        <v/>
      </c>
      <c r="C41" s="66">
        <f>B41/B40-1</f>
        <v/>
      </c>
      <c r="D41" s="66">
        <f>(Table13[[#This Row],[Index]]-B29)/B29</f>
        <v/>
      </c>
    </row>
    <row r="42">
      <c r="A42" s="17" t="n">
        <v>27364</v>
      </c>
      <c r="B42" s="58">
        <f>VLOOKUP(Table13[[#This Row],[Date]],database!A:F,6,)</f>
        <v/>
      </c>
      <c r="C42" s="66">
        <f>B42/B41-1</f>
        <v/>
      </c>
      <c r="D42" s="66">
        <f>(Table13[[#This Row],[Index]]-B30)/B30</f>
        <v/>
      </c>
    </row>
    <row r="43">
      <c r="A43" s="17" t="n">
        <v>27395</v>
      </c>
      <c r="B43" s="58">
        <f>VLOOKUP(Table13[[#This Row],[Date]],database!A:F,6,)</f>
        <v/>
      </c>
      <c r="C43" s="66">
        <f>B43/B42-1</f>
        <v/>
      </c>
      <c r="D43" s="66">
        <f>(Table13[[#This Row],[Index]]-B31)/B31</f>
        <v/>
      </c>
    </row>
    <row r="44">
      <c r="A44" s="17" t="n">
        <v>27426</v>
      </c>
      <c r="B44" s="58">
        <f>VLOOKUP(Table13[[#This Row],[Date]],database!A:F,6,)</f>
        <v/>
      </c>
      <c r="C44" s="66">
        <f>B44/B43-1</f>
        <v/>
      </c>
      <c r="D44" s="66">
        <f>(Table13[[#This Row],[Index]]-B32)/B32</f>
        <v/>
      </c>
    </row>
    <row r="45">
      <c r="A45" s="17" t="n">
        <v>27454</v>
      </c>
      <c r="B45" s="58">
        <f>VLOOKUP(Table13[[#This Row],[Date]],database!A:F,6,)</f>
        <v/>
      </c>
      <c r="C45" s="66">
        <f>B45/B44-1</f>
        <v/>
      </c>
      <c r="D45" s="66">
        <f>(Table13[[#This Row],[Index]]-B33)/B33</f>
        <v/>
      </c>
    </row>
    <row r="46">
      <c r="A46" s="17" t="n">
        <v>27485</v>
      </c>
      <c r="B46" s="58">
        <f>VLOOKUP(Table13[[#This Row],[Date]],database!A:F,6,)</f>
        <v/>
      </c>
      <c r="C46" s="66">
        <f>B46/B45-1</f>
        <v/>
      </c>
      <c r="D46" s="66">
        <f>(Table13[[#This Row],[Index]]-B34)/B34</f>
        <v/>
      </c>
    </row>
    <row r="47">
      <c r="A47" s="17" t="n">
        <v>27515</v>
      </c>
      <c r="B47" s="58">
        <f>VLOOKUP(Table13[[#This Row],[Date]],database!A:F,6,)</f>
        <v/>
      </c>
      <c r="C47" s="66">
        <f>B47/B46-1</f>
        <v/>
      </c>
      <c r="D47" s="66">
        <f>(Table13[[#This Row],[Index]]-B35)/B35</f>
        <v/>
      </c>
    </row>
    <row r="48">
      <c r="A48" s="17" t="n">
        <v>27546</v>
      </c>
      <c r="B48" s="58">
        <f>VLOOKUP(Table13[[#This Row],[Date]],database!A:F,6,)</f>
        <v/>
      </c>
      <c r="C48" s="66">
        <f>B48/B47-1</f>
        <v/>
      </c>
      <c r="D48" s="66">
        <f>(Table13[[#This Row],[Index]]-B36)/B36</f>
        <v/>
      </c>
    </row>
    <row r="49">
      <c r="A49" s="17" t="n">
        <v>27576</v>
      </c>
      <c r="B49" s="58">
        <f>VLOOKUP(Table13[[#This Row],[Date]],database!A:F,6,)</f>
        <v/>
      </c>
      <c r="C49" s="66">
        <f>B49/B48-1</f>
        <v/>
      </c>
      <c r="D49" s="66">
        <f>(Table13[[#This Row],[Index]]-B37)/B37</f>
        <v/>
      </c>
    </row>
    <row r="50">
      <c r="A50" s="17" t="n">
        <v>27607</v>
      </c>
      <c r="B50" s="58">
        <f>VLOOKUP(Table13[[#This Row],[Date]],database!A:F,6,)</f>
        <v/>
      </c>
      <c r="C50" s="66">
        <f>B50/B49-1</f>
        <v/>
      </c>
      <c r="D50" s="66">
        <f>(Table13[[#This Row],[Index]]-B38)/B38</f>
        <v/>
      </c>
    </row>
    <row r="51">
      <c r="A51" s="17" t="n">
        <v>27638</v>
      </c>
      <c r="B51" s="58">
        <f>VLOOKUP(Table13[[#This Row],[Date]],database!A:F,6,)</f>
        <v/>
      </c>
      <c r="C51" s="66">
        <f>B51/B50-1</f>
        <v/>
      </c>
      <c r="D51" s="66">
        <f>(Table13[[#This Row],[Index]]-B39)/B39</f>
        <v/>
      </c>
    </row>
    <row r="52">
      <c r="A52" s="17" t="n">
        <v>27668</v>
      </c>
      <c r="B52" s="58">
        <f>VLOOKUP(Table13[[#This Row],[Date]],database!A:F,6,)</f>
        <v/>
      </c>
      <c r="C52" s="66">
        <f>B52/B51-1</f>
        <v/>
      </c>
      <c r="D52" s="66">
        <f>(Table13[[#This Row],[Index]]-B40)/B40</f>
        <v/>
      </c>
    </row>
    <row r="53">
      <c r="A53" s="17" t="n">
        <v>27699</v>
      </c>
      <c r="B53" s="58">
        <f>VLOOKUP(Table13[[#This Row],[Date]],database!A:F,6,)</f>
        <v/>
      </c>
      <c r="C53" s="66">
        <f>B53/B52-1</f>
        <v/>
      </c>
      <c r="D53" s="66">
        <f>(Table13[[#This Row],[Index]]-B41)/B41</f>
        <v/>
      </c>
    </row>
    <row r="54">
      <c r="A54" s="17" t="n">
        <v>27729</v>
      </c>
      <c r="B54" s="58">
        <f>VLOOKUP(Table13[[#This Row],[Date]],database!A:F,6,)</f>
        <v/>
      </c>
      <c r="C54" s="66">
        <f>B54/B53-1</f>
        <v/>
      </c>
      <c r="D54" s="66">
        <f>(Table13[[#This Row],[Index]]-B42)/B42</f>
        <v/>
      </c>
    </row>
    <row r="55">
      <c r="A55" s="17" t="n">
        <v>27760</v>
      </c>
      <c r="B55" s="58">
        <f>VLOOKUP(Table13[[#This Row],[Date]],database!A:F,6,)</f>
        <v/>
      </c>
      <c r="C55" s="66">
        <f>B55/B54-1</f>
        <v/>
      </c>
      <c r="D55" s="66">
        <f>(Table13[[#This Row],[Index]]-B43)/B43</f>
        <v/>
      </c>
    </row>
    <row r="56">
      <c r="A56" s="17" t="n">
        <v>27791</v>
      </c>
      <c r="B56" s="58">
        <f>VLOOKUP(Table13[[#This Row],[Date]],database!A:F,6,)</f>
        <v/>
      </c>
      <c r="C56" s="66">
        <f>B56/B55-1</f>
        <v/>
      </c>
      <c r="D56" s="66">
        <f>(Table13[[#This Row],[Index]]-B44)/B44</f>
        <v/>
      </c>
    </row>
    <row r="57">
      <c r="A57" s="17" t="n">
        <v>27820</v>
      </c>
      <c r="B57" s="58">
        <f>VLOOKUP(Table13[[#This Row],[Date]],database!A:F,6,)</f>
        <v/>
      </c>
      <c r="C57" s="66">
        <f>B57/B56-1</f>
        <v/>
      </c>
      <c r="D57" s="66">
        <f>(Table13[[#This Row],[Index]]-B45)/B45</f>
        <v/>
      </c>
    </row>
    <row r="58">
      <c r="A58" s="17" t="n">
        <v>27851</v>
      </c>
      <c r="B58" s="58">
        <f>VLOOKUP(Table13[[#This Row],[Date]],database!A:F,6,)</f>
        <v/>
      </c>
      <c r="C58" s="66">
        <f>B58/B57-1</f>
        <v/>
      </c>
      <c r="D58" s="66">
        <f>(Table13[[#This Row],[Index]]-B46)/B46</f>
        <v/>
      </c>
    </row>
    <row r="59">
      <c r="A59" s="17" t="n">
        <v>27881</v>
      </c>
      <c r="B59" s="58">
        <f>VLOOKUP(Table13[[#This Row],[Date]],database!A:F,6,)</f>
        <v/>
      </c>
      <c r="C59" s="66">
        <f>B59/B58-1</f>
        <v/>
      </c>
      <c r="D59" s="66">
        <f>(Table13[[#This Row],[Index]]-B47)/B47</f>
        <v/>
      </c>
    </row>
    <row r="60">
      <c r="A60" s="17" t="n">
        <v>27912</v>
      </c>
      <c r="B60" s="58">
        <f>VLOOKUP(Table13[[#This Row],[Date]],database!A:F,6,)</f>
        <v/>
      </c>
      <c r="C60" s="66">
        <f>B60/B59-1</f>
        <v/>
      </c>
      <c r="D60" s="66">
        <f>(Table13[[#This Row],[Index]]-B48)/B48</f>
        <v/>
      </c>
    </row>
    <row r="61">
      <c r="A61" s="17" t="n">
        <v>27942</v>
      </c>
      <c r="B61" s="58">
        <f>VLOOKUP(Table13[[#This Row],[Date]],database!A:F,6,)</f>
        <v/>
      </c>
      <c r="C61" s="66">
        <f>B61/B60-1</f>
        <v/>
      </c>
      <c r="D61" s="66">
        <f>(Table13[[#This Row],[Index]]-B49)/B49</f>
        <v/>
      </c>
    </row>
    <row r="62">
      <c r="A62" s="17" t="n">
        <v>27973</v>
      </c>
      <c r="B62" s="58">
        <f>VLOOKUP(Table13[[#This Row],[Date]],database!A:F,6,)</f>
        <v/>
      </c>
      <c r="C62" s="66">
        <f>B62/B61-1</f>
        <v/>
      </c>
      <c r="D62" s="66">
        <f>(Table13[[#This Row],[Index]]-B50)/B50</f>
        <v/>
      </c>
    </row>
    <row r="63">
      <c r="A63" s="17" t="n">
        <v>28004</v>
      </c>
      <c r="B63" s="58">
        <f>VLOOKUP(Table13[[#This Row],[Date]],database!A:F,6,)</f>
        <v/>
      </c>
      <c r="C63" s="66">
        <f>B63/B62-1</f>
        <v/>
      </c>
      <c r="D63" s="66">
        <f>(Table13[[#This Row],[Index]]-B51)/B51</f>
        <v/>
      </c>
    </row>
    <row r="64">
      <c r="A64" s="17" t="n">
        <v>28034</v>
      </c>
      <c r="B64" s="58">
        <f>VLOOKUP(Table13[[#This Row],[Date]],database!A:F,6,)</f>
        <v/>
      </c>
      <c r="C64" s="66">
        <f>B64/B63-1</f>
        <v/>
      </c>
      <c r="D64" s="66">
        <f>(Table13[[#This Row],[Index]]-B52)/B52</f>
        <v/>
      </c>
    </row>
    <row r="65">
      <c r="A65" s="17" t="n">
        <v>28065</v>
      </c>
      <c r="B65" s="58">
        <f>VLOOKUP(Table13[[#This Row],[Date]],database!A:F,6,)</f>
        <v/>
      </c>
      <c r="C65" s="66">
        <f>B65/B64-1</f>
        <v/>
      </c>
      <c r="D65" s="66">
        <f>(Table13[[#This Row],[Index]]-B53)/B53</f>
        <v/>
      </c>
    </row>
    <row r="66">
      <c r="A66" s="17" t="n">
        <v>28095</v>
      </c>
      <c r="B66" s="58">
        <f>VLOOKUP(Table13[[#This Row],[Date]],database!A:F,6,)</f>
        <v/>
      </c>
      <c r="C66" s="66">
        <f>B66/B65-1</f>
        <v/>
      </c>
      <c r="D66" s="66">
        <f>(Table13[[#This Row],[Index]]-B54)/B54</f>
        <v/>
      </c>
    </row>
    <row r="67">
      <c r="A67" s="17" t="n">
        <v>28126</v>
      </c>
      <c r="B67" s="58">
        <f>VLOOKUP(Table13[[#This Row],[Date]],database!A:F,6,)</f>
        <v/>
      </c>
      <c r="C67" s="66">
        <f>B67/B66-1</f>
        <v/>
      </c>
      <c r="D67" s="66">
        <f>(Table13[[#This Row],[Index]]-B55)/B55</f>
        <v/>
      </c>
    </row>
    <row r="68">
      <c r="A68" s="17" t="n">
        <v>28157</v>
      </c>
      <c r="B68" s="58">
        <f>VLOOKUP(Table13[[#This Row],[Date]],database!A:F,6,)</f>
        <v/>
      </c>
      <c r="C68" s="66">
        <f>B68/B67-1</f>
        <v/>
      </c>
      <c r="D68" s="66">
        <f>(Table13[[#This Row],[Index]]-B56)/B56</f>
        <v/>
      </c>
    </row>
    <row r="69">
      <c r="A69" s="17" t="n">
        <v>28185</v>
      </c>
      <c r="B69" s="58">
        <f>VLOOKUP(Table13[[#This Row],[Date]],database!A:F,6,)</f>
        <v/>
      </c>
      <c r="C69" s="66">
        <f>B69/B68-1</f>
        <v/>
      </c>
      <c r="D69" s="66">
        <f>(Table13[[#This Row],[Index]]-B57)/B57</f>
        <v/>
      </c>
    </row>
    <row r="70">
      <c r="A70" s="17" t="n">
        <v>28216</v>
      </c>
      <c r="B70" s="58">
        <f>VLOOKUP(Table13[[#This Row],[Date]],database!A:F,6,)</f>
        <v/>
      </c>
      <c r="C70" s="66">
        <f>B70/B69-1</f>
        <v/>
      </c>
      <c r="D70" s="66">
        <f>(Table13[[#This Row],[Index]]-B58)/B58</f>
        <v/>
      </c>
    </row>
    <row r="71">
      <c r="A71" s="17" t="n">
        <v>28246</v>
      </c>
      <c r="B71" s="58">
        <f>VLOOKUP(Table13[[#This Row],[Date]],database!A:F,6,)</f>
        <v/>
      </c>
      <c r="C71" s="66">
        <f>B71/B70-1</f>
        <v/>
      </c>
      <c r="D71" s="66">
        <f>(Table13[[#This Row],[Index]]-B59)/B59</f>
        <v/>
      </c>
    </row>
    <row r="72">
      <c r="A72" s="17" t="n">
        <v>28277</v>
      </c>
      <c r="B72" s="58">
        <f>VLOOKUP(Table13[[#This Row],[Date]],database!A:F,6,)</f>
        <v/>
      </c>
      <c r="C72" s="66">
        <f>B72/B71-1</f>
        <v/>
      </c>
      <c r="D72" s="66">
        <f>(Table13[[#This Row],[Index]]-B60)/B60</f>
        <v/>
      </c>
    </row>
    <row r="73">
      <c r="A73" s="17" t="n">
        <v>28307</v>
      </c>
      <c r="B73" s="58">
        <f>VLOOKUP(Table13[[#This Row],[Date]],database!A:F,6,)</f>
        <v/>
      </c>
      <c r="C73" s="66">
        <f>B73/B72-1</f>
        <v/>
      </c>
      <c r="D73" s="66">
        <f>(Table13[[#This Row],[Index]]-B61)/B61</f>
        <v/>
      </c>
    </row>
    <row r="74">
      <c r="A74" s="17" t="n">
        <v>28338</v>
      </c>
      <c r="B74" s="58">
        <f>VLOOKUP(Table13[[#This Row],[Date]],database!A:F,6,)</f>
        <v/>
      </c>
      <c r="C74" s="66">
        <f>B74/B73-1</f>
        <v/>
      </c>
      <c r="D74" s="66">
        <f>(Table13[[#This Row],[Index]]-B62)/B62</f>
        <v/>
      </c>
    </row>
    <row r="75">
      <c r="A75" s="17" t="n">
        <v>28369</v>
      </c>
      <c r="B75" s="58">
        <f>VLOOKUP(Table13[[#This Row],[Date]],database!A:F,6,)</f>
        <v/>
      </c>
      <c r="C75" s="66">
        <f>B75/B74-1</f>
        <v/>
      </c>
      <c r="D75" s="66">
        <f>(Table13[[#This Row],[Index]]-B63)/B63</f>
        <v/>
      </c>
    </row>
    <row r="76">
      <c r="A76" s="17" t="n">
        <v>28399</v>
      </c>
      <c r="B76" s="58">
        <f>VLOOKUP(Table13[[#This Row],[Date]],database!A:F,6,)</f>
        <v/>
      </c>
      <c r="C76" s="66">
        <f>B76/B75-1</f>
        <v/>
      </c>
      <c r="D76" s="66">
        <f>(Table13[[#This Row],[Index]]-B64)/B64</f>
        <v/>
      </c>
    </row>
    <row r="77">
      <c r="A77" s="17" t="n">
        <v>28430</v>
      </c>
      <c r="B77" s="58">
        <f>VLOOKUP(Table13[[#This Row],[Date]],database!A:F,6,)</f>
        <v/>
      </c>
      <c r="C77" s="66">
        <f>B77/B76-1</f>
        <v/>
      </c>
      <c r="D77" s="66">
        <f>(Table13[[#This Row],[Index]]-B65)/B65</f>
        <v/>
      </c>
    </row>
    <row r="78">
      <c r="A78" s="17" t="n">
        <v>28460</v>
      </c>
      <c r="B78" s="58">
        <f>VLOOKUP(Table13[[#This Row],[Date]],database!A:F,6,)</f>
        <v/>
      </c>
      <c r="C78" s="66">
        <f>B78/B77-1</f>
        <v/>
      </c>
      <c r="D78" s="66">
        <f>(Table13[[#This Row],[Index]]-B66)/B66</f>
        <v/>
      </c>
    </row>
    <row r="79">
      <c r="A79" s="17" t="n">
        <v>28491</v>
      </c>
      <c r="B79" s="58">
        <f>VLOOKUP(Table13[[#This Row],[Date]],database!A:F,6,)</f>
        <v/>
      </c>
      <c r="C79" s="66">
        <f>B79/B78-1</f>
        <v/>
      </c>
      <c r="D79" s="66">
        <f>(Table13[[#This Row],[Index]]-B67)/B67</f>
        <v/>
      </c>
    </row>
    <row r="80">
      <c r="A80" s="17" t="n">
        <v>28522</v>
      </c>
      <c r="B80" s="58">
        <f>VLOOKUP(Table13[[#This Row],[Date]],database!A:F,6,)</f>
        <v/>
      </c>
      <c r="C80" s="66">
        <f>B80/B79-1</f>
        <v/>
      </c>
      <c r="D80" s="66">
        <f>(Table13[[#This Row],[Index]]-B68)/B68</f>
        <v/>
      </c>
    </row>
    <row r="81">
      <c r="A81" s="17" t="n">
        <v>28550</v>
      </c>
      <c r="B81" s="58">
        <f>VLOOKUP(Table13[[#This Row],[Date]],database!A:F,6,)</f>
        <v/>
      </c>
      <c r="C81" s="66">
        <f>B81/B80-1</f>
        <v/>
      </c>
      <c r="D81" s="66">
        <f>(Table13[[#This Row],[Index]]-B69)/B69</f>
        <v/>
      </c>
    </row>
    <row r="82">
      <c r="A82" s="17" t="n">
        <v>28581</v>
      </c>
      <c r="B82" s="58">
        <f>VLOOKUP(Table13[[#This Row],[Date]],database!A:F,6,)</f>
        <v/>
      </c>
      <c r="C82" s="66">
        <f>B82/B81-1</f>
        <v/>
      </c>
      <c r="D82" s="66">
        <f>(Table13[[#This Row],[Index]]-B70)/B70</f>
        <v/>
      </c>
    </row>
    <row r="83">
      <c r="A83" s="17" t="n">
        <v>28611</v>
      </c>
      <c r="B83" s="58">
        <f>VLOOKUP(Table13[[#This Row],[Date]],database!A:F,6,)</f>
        <v/>
      </c>
      <c r="C83" s="66">
        <f>B83/B82-1</f>
        <v/>
      </c>
      <c r="D83" s="66">
        <f>(Table13[[#This Row],[Index]]-B71)/B71</f>
        <v/>
      </c>
    </row>
    <row r="84">
      <c r="A84" s="17" t="n">
        <v>28642</v>
      </c>
      <c r="B84" s="58">
        <f>VLOOKUP(Table13[[#This Row],[Date]],database!A:F,6,)</f>
        <v/>
      </c>
      <c r="C84" s="66">
        <f>B84/B83-1</f>
        <v/>
      </c>
      <c r="D84" s="66">
        <f>(Table13[[#This Row],[Index]]-B72)/B72</f>
        <v/>
      </c>
    </row>
    <row r="85">
      <c r="A85" s="17" t="n">
        <v>28672</v>
      </c>
      <c r="B85" s="58">
        <f>VLOOKUP(Table13[[#This Row],[Date]],database!A:F,6,)</f>
        <v/>
      </c>
      <c r="C85" s="66">
        <f>B85/B84-1</f>
        <v/>
      </c>
      <c r="D85" s="66">
        <f>(Table13[[#This Row],[Index]]-B73)/B73</f>
        <v/>
      </c>
    </row>
    <row r="86">
      <c r="A86" s="17" t="n">
        <v>28703</v>
      </c>
      <c r="B86" s="58">
        <f>VLOOKUP(Table13[[#This Row],[Date]],database!A:F,6,)</f>
        <v/>
      </c>
      <c r="C86" s="66">
        <f>B86/B85-1</f>
        <v/>
      </c>
      <c r="D86" s="66">
        <f>(Table13[[#This Row],[Index]]-B74)/B74</f>
        <v/>
      </c>
    </row>
    <row r="87">
      <c r="A87" s="17" t="n">
        <v>28734</v>
      </c>
      <c r="B87" s="58">
        <f>VLOOKUP(Table13[[#This Row],[Date]],database!A:F,6,)</f>
        <v/>
      </c>
      <c r="C87" s="66">
        <f>B87/B86-1</f>
        <v/>
      </c>
      <c r="D87" s="66">
        <f>(Table13[[#This Row],[Index]]-B75)/B75</f>
        <v/>
      </c>
    </row>
    <row r="88">
      <c r="A88" s="17" t="n">
        <v>28764</v>
      </c>
      <c r="B88" s="58">
        <f>VLOOKUP(Table13[[#This Row],[Date]],database!A:F,6,)</f>
        <v/>
      </c>
      <c r="C88" s="66">
        <f>B88/B87-1</f>
        <v/>
      </c>
      <c r="D88" s="66">
        <f>(Table13[[#This Row],[Index]]-B76)/B76</f>
        <v/>
      </c>
    </row>
    <row r="89">
      <c r="A89" s="17" t="n">
        <v>28795</v>
      </c>
      <c r="B89" s="58">
        <f>VLOOKUP(Table13[[#This Row],[Date]],database!A:F,6,)</f>
        <v/>
      </c>
      <c r="C89" s="66">
        <f>B89/B88-1</f>
        <v/>
      </c>
      <c r="D89" s="66">
        <f>(Table13[[#This Row],[Index]]-B77)/B77</f>
        <v/>
      </c>
    </row>
    <row r="90">
      <c r="A90" s="17" t="n">
        <v>28825</v>
      </c>
      <c r="B90" s="58">
        <f>VLOOKUP(Table13[[#This Row],[Date]],database!A:F,6,)</f>
        <v/>
      </c>
      <c r="C90" s="66">
        <f>B90/B89-1</f>
        <v/>
      </c>
      <c r="D90" s="66">
        <f>(Table13[[#This Row],[Index]]-B78)/B78</f>
        <v/>
      </c>
    </row>
    <row r="91">
      <c r="A91" s="17" t="n">
        <v>28856</v>
      </c>
      <c r="B91" s="58">
        <f>VLOOKUP(Table13[[#This Row],[Date]],database!A:F,6,)</f>
        <v/>
      </c>
      <c r="C91" s="66">
        <f>B91/B90-1</f>
        <v/>
      </c>
      <c r="D91" s="66">
        <f>(Table13[[#This Row],[Index]]-B79)/B79</f>
        <v/>
      </c>
    </row>
    <row r="92">
      <c r="A92" s="17" t="n">
        <v>28887</v>
      </c>
      <c r="B92" s="58">
        <f>VLOOKUP(Table13[[#This Row],[Date]],database!A:F,6,)</f>
        <v/>
      </c>
      <c r="C92" s="66">
        <f>B92/B91-1</f>
        <v/>
      </c>
      <c r="D92" s="66">
        <f>(Table13[[#This Row],[Index]]-B80)/B80</f>
        <v/>
      </c>
    </row>
    <row r="93">
      <c r="A93" s="17" t="n">
        <v>28915</v>
      </c>
      <c r="B93" s="58">
        <f>VLOOKUP(Table13[[#This Row],[Date]],database!A:F,6,)</f>
        <v/>
      </c>
      <c r="C93" s="66">
        <f>B93/B92-1</f>
        <v/>
      </c>
      <c r="D93" s="66">
        <f>(Table13[[#This Row],[Index]]-B81)/B81</f>
        <v/>
      </c>
    </row>
    <row r="94">
      <c r="A94" s="17" t="n">
        <v>28946</v>
      </c>
      <c r="B94" s="58">
        <f>VLOOKUP(Table13[[#This Row],[Date]],database!A:F,6,)</f>
        <v/>
      </c>
      <c r="C94" s="66">
        <f>B94/B93-1</f>
        <v/>
      </c>
      <c r="D94" s="66">
        <f>(Table13[[#This Row],[Index]]-B82)/B82</f>
        <v/>
      </c>
    </row>
    <row r="95">
      <c r="A95" s="17" t="n">
        <v>28976</v>
      </c>
      <c r="B95" s="58">
        <f>VLOOKUP(Table13[[#This Row],[Date]],database!A:F,6,)</f>
        <v/>
      </c>
      <c r="C95" s="66">
        <f>B95/B94-1</f>
        <v/>
      </c>
      <c r="D95" s="66">
        <f>(Table13[[#This Row],[Index]]-B83)/B83</f>
        <v/>
      </c>
    </row>
    <row r="96">
      <c r="A96" s="17" t="n">
        <v>29007</v>
      </c>
      <c r="B96" s="58">
        <f>VLOOKUP(Table13[[#This Row],[Date]],database!A:F,6,)</f>
        <v/>
      </c>
      <c r="C96" s="66">
        <f>B96/B95-1</f>
        <v/>
      </c>
      <c r="D96" s="66">
        <f>(Table13[[#This Row],[Index]]-B84)/B84</f>
        <v/>
      </c>
    </row>
    <row r="97">
      <c r="A97" s="17" t="n">
        <v>29037</v>
      </c>
      <c r="B97" s="58">
        <f>VLOOKUP(Table13[[#This Row],[Date]],database!A:F,6,)</f>
        <v/>
      </c>
      <c r="C97" s="66">
        <f>B97/B96-1</f>
        <v/>
      </c>
      <c r="D97" s="66">
        <f>(Table13[[#This Row],[Index]]-B85)/B85</f>
        <v/>
      </c>
    </row>
    <row r="98">
      <c r="A98" s="17" t="n">
        <v>29068</v>
      </c>
      <c r="B98" s="58">
        <f>VLOOKUP(Table13[[#This Row],[Date]],database!A:F,6,)</f>
        <v/>
      </c>
      <c r="C98" s="66">
        <f>B98/B97-1</f>
        <v/>
      </c>
      <c r="D98" s="66">
        <f>(Table13[[#This Row],[Index]]-B86)/B86</f>
        <v/>
      </c>
    </row>
    <row r="99">
      <c r="A99" s="17" t="n">
        <v>29099</v>
      </c>
      <c r="B99" s="58">
        <f>VLOOKUP(Table13[[#This Row],[Date]],database!A:F,6,)</f>
        <v/>
      </c>
      <c r="C99" s="66">
        <f>B99/B98-1</f>
        <v/>
      </c>
      <c r="D99" s="66">
        <f>(Table13[[#This Row],[Index]]-B87)/B87</f>
        <v/>
      </c>
    </row>
    <row r="100">
      <c r="A100" s="17" t="n">
        <v>29129</v>
      </c>
      <c r="B100" s="58">
        <f>VLOOKUP(Table13[[#This Row],[Date]],database!A:F,6,)</f>
        <v/>
      </c>
      <c r="C100" s="66">
        <f>B100/B99-1</f>
        <v/>
      </c>
      <c r="D100" s="66">
        <f>(Table13[[#This Row],[Index]]-B88)/B88</f>
        <v/>
      </c>
    </row>
    <row r="101">
      <c r="A101" s="17" t="n">
        <v>29160</v>
      </c>
      <c r="B101" s="58">
        <f>VLOOKUP(Table13[[#This Row],[Date]],database!A:F,6,)</f>
        <v/>
      </c>
      <c r="C101" s="66">
        <f>B101/B100-1</f>
        <v/>
      </c>
      <c r="D101" s="66">
        <f>(Table13[[#This Row],[Index]]-B89)/B89</f>
        <v/>
      </c>
    </row>
    <row r="102">
      <c r="A102" s="17" t="n">
        <v>29190</v>
      </c>
      <c r="B102" s="58">
        <f>VLOOKUP(Table13[[#This Row],[Date]],database!A:F,6,)</f>
        <v/>
      </c>
      <c r="C102" s="66">
        <f>B102/B101-1</f>
        <v/>
      </c>
      <c r="D102" s="66">
        <f>(Table13[[#This Row],[Index]]-B90)/B90</f>
        <v/>
      </c>
    </row>
    <row r="103">
      <c r="A103" s="17" t="n">
        <v>29221</v>
      </c>
      <c r="B103" s="58">
        <f>VLOOKUP(Table13[[#This Row],[Date]],database!A:F,6,)</f>
        <v/>
      </c>
      <c r="C103" s="66">
        <f>B103/B102-1</f>
        <v/>
      </c>
      <c r="D103" s="66">
        <f>(Table13[[#This Row],[Index]]-B91)/B91</f>
        <v/>
      </c>
    </row>
    <row r="104">
      <c r="A104" s="17" t="n">
        <v>29252</v>
      </c>
      <c r="B104" s="58">
        <f>VLOOKUP(Table13[[#This Row],[Date]],database!A:F,6,)</f>
        <v/>
      </c>
      <c r="C104" s="66">
        <f>B104/B103-1</f>
        <v/>
      </c>
      <c r="D104" s="66">
        <f>(Table13[[#This Row],[Index]]-B92)/B92</f>
        <v/>
      </c>
    </row>
    <row r="105">
      <c r="A105" s="17" t="n">
        <v>29281</v>
      </c>
      <c r="B105" s="58">
        <f>VLOOKUP(Table13[[#This Row],[Date]],database!A:F,6,)</f>
        <v/>
      </c>
      <c r="C105" s="66">
        <f>B105/B104-1</f>
        <v/>
      </c>
      <c r="D105" s="66">
        <f>(Table13[[#This Row],[Index]]-B93)/B93</f>
        <v/>
      </c>
    </row>
    <row r="106">
      <c r="A106" s="17" t="n">
        <v>29312</v>
      </c>
      <c r="B106" s="58">
        <f>VLOOKUP(Table13[[#This Row],[Date]],database!A:F,6,)</f>
        <v/>
      </c>
      <c r="C106" s="66">
        <f>B106/B105-1</f>
        <v/>
      </c>
      <c r="D106" s="66">
        <f>(Table13[[#This Row],[Index]]-B94)/B94</f>
        <v/>
      </c>
    </row>
    <row r="107">
      <c r="A107" s="17" t="n">
        <v>29342</v>
      </c>
      <c r="B107" s="58">
        <f>VLOOKUP(Table13[[#This Row],[Date]],database!A:F,6,)</f>
        <v/>
      </c>
      <c r="C107" s="66">
        <f>B107/B106-1</f>
        <v/>
      </c>
      <c r="D107" s="66">
        <f>(Table13[[#This Row],[Index]]-B95)/B95</f>
        <v/>
      </c>
    </row>
    <row r="108">
      <c r="A108" s="17" t="n">
        <v>29373</v>
      </c>
      <c r="B108" s="58">
        <f>VLOOKUP(Table13[[#This Row],[Date]],database!A:F,6,)</f>
        <v/>
      </c>
      <c r="C108" s="66">
        <f>B108/B107-1</f>
        <v/>
      </c>
      <c r="D108" s="66">
        <f>(Table13[[#This Row],[Index]]-B96)/B96</f>
        <v/>
      </c>
    </row>
    <row r="109">
      <c r="A109" s="17" t="n">
        <v>29403</v>
      </c>
      <c r="B109" s="58">
        <f>VLOOKUP(Table13[[#This Row],[Date]],database!A:F,6,)</f>
        <v/>
      </c>
      <c r="C109" s="66">
        <f>B109/B108-1</f>
        <v/>
      </c>
      <c r="D109" s="66">
        <f>(Table13[[#This Row],[Index]]-B97)/B97</f>
        <v/>
      </c>
    </row>
    <row r="110">
      <c r="A110" s="17" t="n">
        <v>29434</v>
      </c>
      <c r="B110" s="58">
        <f>VLOOKUP(Table13[[#This Row],[Date]],database!A:F,6,)</f>
        <v/>
      </c>
      <c r="C110" s="66">
        <f>B110/B109-1</f>
        <v/>
      </c>
      <c r="D110" s="66">
        <f>(Table13[[#This Row],[Index]]-B98)/B98</f>
        <v/>
      </c>
    </row>
    <row r="111">
      <c r="A111" s="17" t="n">
        <v>29465</v>
      </c>
      <c r="B111" s="58">
        <f>VLOOKUP(Table13[[#This Row],[Date]],database!A:F,6,)</f>
        <v/>
      </c>
      <c r="C111" s="66">
        <f>B111/B110-1</f>
        <v/>
      </c>
      <c r="D111" s="66">
        <f>(Table13[[#This Row],[Index]]-B99)/B99</f>
        <v/>
      </c>
    </row>
    <row r="112">
      <c r="A112" s="17" t="n">
        <v>29495</v>
      </c>
      <c r="B112" s="58">
        <f>VLOOKUP(Table13[[#This Row],[Date]],database!A:F,6,)</f>
        <v/>
      </c>
      <c r="C112" s="66">
        <f>B112/B111-1</f>
        <v/>
      </c>
      <c r="D112" s="66">
        <f>(Table13[[#This Row],[Index]]-B100)/B100</f>
        <v/>
      </c>
    </row>
    <row r="113">
      <c r="A113" s="17" t="n">
        <v>29526</v>
      </c>
      <c r="B113" s="58">
        <f>VLOOKUP(Table13[[#This Row],[Date]],database!A:F,6,)</f>
        <v/>
      </c>
      <c r="C113" s="66">
        <f>B113/B112-1</f>
        <v/>
      </c>
      <c r="D113" s="66">
        <f>(Table13[[#This Row],[Index]]-B101)/B101</f>
        <v/>
      </c>
    </row>
    <row r="114">
      <c r="A114" s="17" t="n">
        <v>29556</v>
      </c>
      <c r="B114" s="58">
        <f>VLOOKUP(Table13[[#This Row],[Date]],database!A:F,6,)</f>
        <v/>
      </c>
      <c r="C114" s="66">
        <f>B114/B113-1</f>
        <v/>
      </c>
      <c r="D114" s="66">
        <f>(Table13[[#This Row],[Index]]-B102)/B102</f>
        <v/>
      </c>
    </row>
    <row r="115">
      <c r="A115" s="17" t="n">
        <v>29587</v>
      </c>
      <c r="B115" s="58">
        <f>VLOOKUP(Table13[[#This Row],[Date]],database!A:F,6,)</f>
        <v/>
      </c>
      <c r="C115" s="66">
        <f>B115/B114-1</f>
        <v/>
      </c>
      <c r="D115" s="66">
        <f>(Table13[[#This Row],[Index]]-B103)/B103</f>
        <v/>
      </c>
    </row>
    <row r="116">
      <c r="A116" s="17" t="n">
        <v>29618</v>
      </c>
      <c r="B116" s="58">
        <f>VLOOKUP(Table13[[#This Row],[Date]],database!A:F,6,)</f>
        <v/>
      </c>
      <c r="C116" s="66">
        <f>B116/B115-1</f>
        <v/>
      </c>
      <c r="D116" s="66">
        <f>(Table13[[#This Row],[Index]]-B104)/B104</f>
        <v/>
      </c>
    </row>
    <row r="117">
      <c r="A117" s="17" t="n">
        <v>29646</v>
      </c>
      <c r="B117" s="58">
        <f>VLOOKUP(Table13[[#This Row],[Date]],database!A:F,6,)</f>
        <v/>
      </c>
      <c r="C117" s="66">
        <f>B117/B116-1</f>
        <v/>
      </c>
      <c r="D117" s="66">
        <f>(Table13[[#This Row],[Index]]-B105)/B105</f>
        <v/>
      </c>
    </row>
    <row r="118">
      <c r="A118" s="17" t="n">
        <v>29677</v>
      </c>
      <c r="B118" s="58">
        <f>VLOOKUP(Table13[[#This Row],[Date]],database!A:F,6,)</f>
        <v/>
      </c>
      <c r="C118" s="66">
        <f>B118/B117-1</f>
        <v/>
      </c>
      <c r="D118" s="66">
        <f>(Table13[[#This Row],[Index]]-B106)/B106</f>
        <v/>
      </c>
    </row>
    <row r="119">
      <c r="A119" s="17" t="n">
        <v>29707</v>
      </c>
      <c r="B119" s="58">
        <f>VLOOKUP(Table13[[#This Row],[Date]],database!A:F,6,)</f>
        <v/>
      </c>
      <c r="C119" s="66">
        <f>B119/B118-1</f>
        <v/>
      </c>
      <c r="D119" s="66">
        <f>(Table13[[#This Row],[Index]]-B107)/B107</f>
        <v/>
      </c>
    </row>
    <row r="120">
      <c r="A120" s="17" t="n">
        <v>29738</v>
      </c>
      <c r="B120" s="58">
        <f>VLOOKUP(Table13[[#This Row],[Date]],database!A:F,6,)</f>
        <v/>
      </c>
      <c r="C120" s="66">
        <f>B120/B119-1</f>
        <v/>
      </c>
      <c r="D120" s="66">
        <f>(Table13[[#This Row],[Index]]-B108)/B108</f>
        <v/>
      </c>
    </row>
    <row r="121">
      <c r="A121" s="17" t="n">
        <v>29768</v>
      </c>
      <c r="B121" s="58">
        <f>VLOOKUP(Table13[[#This Row],[Date]],database!A:F,6,)</f>
        <v/>
      </c>
      <c r="C121" s="66">
        <f>B121/B120-1</f>
        <v/>
      </c>
      <c r="D121" s="66">
        <f>(Table13[[#This Row],[Index]]-B109)/B109</f>
        <v/>
      </c>
    </row>
    <row r="122">
      <c r="A122" s="17" t="n">
        <v>29799</v>
      </c>
      <c r="B122" s="58">
        <f>VLOOKUP(Table13[[#This Row],[Date]],database!A:F,6,)</f>
        <v/>
      </c>
      <c r="C122" s="66">
        <f>B122/B121-1</f>
        <v/>
      </c>
      <c r="D122" s="66">
        <f>(Table13[[#This Row],[Index]]-B110)/B110</f>
        <v/>
      </c>
    </row>
    <row r="123">
      <c r="A123" s="17" t="n">
        <v>29830</v>
      </c>
      <c r="B123" s="58">
        <f>VLOOKUP(Table13[[#This Row],[Date]],database!A:F,6,)</f>
        <v/>
      </c>
      <c r="C123" s="66">
        <f>B123/B122-1</f>
        <v/>
      </c>
      <c r="D123" s="66">
        <f>(Table13[[#This Row],[Index]]-B111)/B111</f>
        <v/>
      </c>
    </row>
    <row r="124">
      <c r="A124" s="17" t="n">
        <v>29860</v>
      </c>
      <c r="B124" s="58">
        <f>VLOOKUP(Table13[[#This Row],[Date]],database!A:F,6,)</f>
        <v/>
      </c>
      <c r="C124" s="66">
        <f>B124/B123-1</f>
        <v/>
      </c>
      <c r="D124" s="66">
        <f>(Table13[[#This Row],[Index]]-B112)/B112</f>
        <v/>
      </c>
    </row>
    <row r="125">
      <c r="A125" s="17" t="n">
        <v>29891</v>
      </c>
      <c r="B125" s="58">
        <f>VLOOKUP(Table13[[#This Row],[Date]],database!A:F,6,)</f>
        <v/>
      </c>
      <c r="C125" s="66">
        <f>B125/B124-1</f>
        <v/>
      </c>
      <c r="D125" s="66">
        <f>(Table13[[#This Row],[Index]]-B113)/B113</f>
        <v/>
      </c>
    </row>
    <row r="126">
      <c r="A126" s="17" t="n">
        <v>29921</v>
      </c>
      <c r="B126" s="58">
        <f>VLOOKUP(Table13[[#This Row],[Date]],database!A:F,6,)</f>
        <v/>
      </c>
      <c r="C126" s="66">
        <f>B126/B125-1</f>
        <v/>
      </c>
      <c r="D126" s="66">
        <f>(Table13[[#This Row],[Index]]-B114)/B114</f>
        <v/>
      </c>
    </row>
    <row r="127">
      <c r="A127" s="17" t="n">
        <v>29952</v>
      </c>
      <c r="B127" s="58">
        <f>VLOOKUP(Table13[[#This Row],[Date]],database!A:F,6,)</f>
        <v/>
      </c>
      <c r="C127" s="66">
        <f>B127/B126-1</f>
        <v/>
      </c>
      <c r="D127" s="66">
        <f>(Table13[[#This Row],[Index]]-B115)/B115</f>
        <v/>
      </c>
    </row>
    <row r="128">
      <c r="A128" s="17" t="n">
        <v>29983</v>
      </c>
      <c r="B128" s="58">
        <f>VLOOKUP(Table13[[#This Row],[Date]],database!A:F,6,)</f>
        <v/>
      </c>
      <c r="C128" s="66">
        <f>B128/B127-1</f>
        <v/>
      </c>
      <c r="D128" s="66">
        <f>(Table13[[#This Row],[Index]]-B116)/B116</f>
        <v/>
      </c>
    </row>
    <row r="129">
      <c r="A129" s="17" t="n">
        <v>30011</v>
      </c>
      <c r="B129" s="58">
        <f>VLOOKUP(Table13[[#This Row],[Date]],database!A:F,6,)</f>
        <v/>
      </c>
      <c r="C129" s="66">
        <f>B129/B128-1</f>
        <v/>
      </c>
      <c r="D129" s="66">
        <f>(Table13[[#This Row],[Index]]-B117)/B117</f>
        <v/>
      </c>
    </row>
    <row r="130">
      <c r="A130" s="17" t="n">
        <v>30042</v>
      </c>
      <c r="B130" s="58">
        <f>VLOOKUP(Table13[[#This Row],[Date]],database!A:F,6,)</f>
        <v/>
      </c>
      <c r="C130" s="66">
        <f>B130/B129-1</f>
        <v/>
      </c>
      <c r="D130" s="66">
        <f>(Table13[[#This Row],[Index]]-B118)/B118</f>
        <v/>
      </c>
    </row>
    <row r="131">
      <c r="A131" s="17" t="n">
        <v>30072</v>
      </c>
      <c r="B131" s="58">
        <f>VLOOKUP(Table13[[#This Row],[Date]],database!A:F,6,)</f>
        <v/>
      </c>
      <c r="C131" s="66">
        <f>B131/B130-1</f>
        <v/>
      </c>
      <c r="D131" s="66">
        <f>(Table13[[#This Row],[Index]]-B119)/B119</f>
        <v/>
      </c>
    </row>
    <row r="132">
      <c r="A132" s="17" t="n">
        <v>30103</v>
      </c>
      <c r="B132" s="58">
        <f>VLOOKUP(Table13[[#This Row],[Date]],database!A:F,6,)</f>
        <v/>
      </c>
      <c r="C132" s="66">
        <f>B132/B131-1</f>
        <v/>
      </c>
      <c r="D132" s="66">
        <f>(Table13[[#This Row],[Index]]-B120)/B120</f>
        <v/>
      </c>
    </row>
    <row r="133">
      <c r="A133" s="17" t="n">
        <v>30133</v>
      </c>
      <c r="B133" s="58">
        <f>VLOOKUP(Table13[[#This Row],[Date]],database!A:F,6,)</f>
        <v/>
      </c>
      <c r="C133" s="66">
        <f>B133/B132-1</f>
        <v/>
      </c>
      <c r="D133" s="66">
        <f>(Table13[[#This Row],[Index]]-B121)/B121</f>
        <v/>
      </c>
    </row>
    <row r="134">
      <c r="A134" s="17" t="n">
        <v>30164</v>
      </c>
      <c r="B134" s="58">
        <f>VLOOKUP(Table13[[#This Row],[Date]],database!A:F,6,)</f>
        <v/>
      </c>
      <c r="C134" s="66">
        <f>B134/B133-1</f>
        <v/>
      </c>
      <c r="D134" s="66">
        <f>(Table13[[#This Row],[Index]]-B122)/B122</f>
        <v/>
      </c>
    </row>
    <row r="135">
      <c r="A135" s="17" t="n">
        <v>30195</v>
      </c>
      <c r="B135" s="58">
        <f>VLOOKUP(Table13[[#This Row],[Date]],database!A:F,6,)</f>
        <v/>
      </c>
      <c r="C135" s="66">
        <f>B135/B134-1</f>
        <v/>
      </c>
      <c r="D135" s="66">
        <f>(Table13[[#This Row],[Index]]-B123)/B123</f>
        <v/>
      </c>
    </row>
    <row r="136">
      <c r="A136" s="17" t="n">
        <v>30225</v>
      </c>
      <c r="B136" s="58">
        <f>VLOOKUP(Table13[[#This Row],[Date]],database!A:F,6,)</f>
        <v/>
      </c>
      <c r="C136" s="66">
        <f>B136/B135-1</f>
        <v/>
      </c>
      <c r="D136" s="66">
        <f>(Table13[[#This Row],[Index]]-B124)/B124</f>
        <v/>
      </c>
    </row>
    <row r="137">
      <c r="A137" s="17" t="n">
        <v>30256</v>
      </c>
      <c r="B137" s="58">
        <f>VLOOKUP(Table13[[#This Row],[Date]],database!A:F,6,)</f>
        <v/>
      </c>
      <c r="C137" s="66">
        <f>B137/B136-1</f>
        <v/>
      </c>
      <c r="D137" s="66">
        <f>(Table13[[#This Row],[Index]]-B125)/B125</f>
        <v/>
      </c>
    </row>
    <row r="138">
      <c r="A138" s="17" t="n">
        <v>30286</v>
      </c>
      <c r="B138" s="58">
        <f>VLOOKUP(Table13[[#This Row],[Date]],database!A:F,6,)</f>
        <v/>
      </c>
      <c r="C138" s="66">
        <f>B138/B137-1</f>
        <v/>
      </c>
      <c r="D138" s="66">
        <f>(Table13[[#This Row],[Index]]-B126)/B126</f>
        <v/>
      </c>
    </row>
    <row r="139">
      <c r="A139" s="17" t="n">
        <v>30317</v>
      </c>
      <c r="B139" s="58">
        <f>VLOOKUP(Table13[[#This Row],[Date]],database!A:F,6,)</f>
        <v/>
      </c>
      <c r="C139" s="66">
        <f>B139/B138-1</f>
        <v/>
      </c>
      <c r="D139" s="66">
        <f>(Table13[[#This Row],[Index]]-B127)/B127</f>
        <v/>
      </c>
    </row>
    <row r="140">
      <c r="A140" s="17" t="n">
        <v>30348</v>
      </c>
      <c r="B140" s="58">
        <f>VLOOKUP(Table13[[#This Row],[Date]],database!A:F,6,)</f>
        <v/>
      </c>
      <c r="C140" s="66">
        <f>B140/B139-1</f>
        <v/>
      </c>
      <c r="D140" s="66">
        <f>(Table13[[#This Row],[Index]]-B128)/B128</f>
        <v/>
      </c>
    </row>
    <row r="141">
      <c r="A141" s="17" t="n">
        <v>30376</v>
      </c>
      <c r="B141" s="58">
        <f>VLOOKUP(Table13[[#This Row],[Date]],database!A:F,6,)</f>
        <v/>
      </c>
      <c r="C141" s="66">
        <f>B141/B140-1</f>
        <v/>
      </c>
      <c r="D141" s="66">
        <f>(Table13[[#This Row],[Index]]-B129)/B129</f>
        <v/>
      </c>
    </row>
    <row r="142">
      <c r="A142" s="17" t="n">
        <v>30407</v>
      </c>
      <c r="B142" s="58">
        <f>VLOOKUP(Table13[[#This Row],[Date]],database!A:F,6,)</f>
        <v/>
      </c>
      <c r="C142" s="66">
        <f>B142/B141-1</f>
        <v/>
      </c>
      <c r="D142" s="66">
        <f>(Table13[[#This Row],[Index]]-B130)/B130</f>
        <v/>
      </c>
    </row>
    <row r="143">
      <c r="A143" s="17" t="n">
        <v>30437</v>
      </c>
      <c r="B143" s="58">
        <f>VLOOKUP(Table13[[#This Row],[Date]],database!A:F,6,)</f>
        <v/>
      </c>
      <c r="C143" s="66">
        <f>B143/B142-1</f>
        <v/>
      </c>
      <c r="D143" s="66">
        <f>(Table13[[#This Row],[Index]]-B131)/B131</f>
        <v/>
      </c>
    </row>
    <row r="144">
      <c r="A144" s="17" t="n">
        <v>30468</v>
      </c>
      <c r="B144" s="58">
        <f>VLOOKUP(Table13[[#This Row],[Date]],database!A:F,6,)</f>
        <v/>
      </c>
      <c r="C144" s="66">
        <f>B144/B143-1</f>
        <v/>
      </c>
      <c r="D144" s="66">
        <f>(Table13[[#This Row],[Index]]-B132)/B132</f>
        <v/>
      </c>
    </row>
    <row r="145">
      <c r="A145" s="17" t="n">
        <v>30498</v>
      </c>
      <c r="B145" s="58">
        <f>VLOOKUP(Table13[[#This Row],[Date]],database!A:F,6,)</f>
        <v/>
      </c>
      <c r="C145" s="66">
        <f>B145/B144-1</f>
        <v/>
      </c>
      <c r="D145" s="66">
        <f>(Table13[[#This Row],[Index]]-B133)/B133</f>
        <v/>
      </c>
    </row>
    <row r="146">
      <c r="A146" s="17" t="n">
        <v>30529</v>
      </c>
      <c r="B146" s="58">
        <f>VLOOKUP(Table13[[#This Row],[Date]],database!A:F,6,)</f>
        <v/>
      </c>
      <c r="C146" s="66">
        <f>B146/B145-1</f>
        <v/>
      </c>
      <c r="D146" s="66">
        <f>(Table13[[#This Row],[Index]]-B134)/B134</f>
        <v/>
      </c>
    </row>
    <row r="147">
      <c r="A147" s="17" t="n">
        <v>30560</v>
      </c>
      <c r="B147" s="58">
        <f>VLOOKUP(Table13[[#This Row],[Date]],database!A:F,6,)</f>
        <v/>
      </c>
      <c r="C147" s="66">
        <f>B147/B146-1</f>
        <v/>
      </c>
      <c r="D147" s="66">
        <f>(Table13[[#This Row],[Index]]-B135)/B135</f>
        <v/>
      </c>
    </row>
    <row r="148">
      <c r="A148" s="17" t="n">
        <v>30590</v>
      </c>
      <c r="B148" s="58">
        <f>VLOOKUP(Table13[[#This Row],[Date]],database!A:F,6,)</f>
        <v/>
      </c>
      <c r="C148" s="66">
        <f>B148/B147-1</f>
        <v/>
      </c>
      <c r="D148" s="66">
        <f>(Table13[[#This Row],[Index]]-B136)/B136</f>
        <v/>
      </c>
    </row>
    <row r="149">
      <c r="A149" s="17" t="n">
        <v>30621</v>
      </c>
      <c r="B149" s="58">
        <f>VLOOKUP(Table13[[#This Row],[Date]],database!A:F,6,)</f>
        <v/>
      </c>
      <c r="C149" s="66">
        <f>B149/B148-1</f>
        <v/>
      </c>
      <c r="D149" s="66">
        <f>(Table13[[#This Row],[Index]]-B137)/B137</f>
        <v/>
      </c>
    </row>
    <row r="150">
      <c r="A150" s="17" t="n">
        <v>30651</v>
      </c>
      <c r="B150" s="58">
        <f>VLOOKUP(Table13[[#This Row],[Date]],database!A:F,6,)</f>
        <v/>
      </c>
      <c r="C150" s="66">
        <f>B150/B149-1</f>
        <v/>
      </c>
      <c r="D150" s="66">
        <f>(Table13[[#This Row],[Index]]-B138)/B138</f>
        <v/>
      </c>
    </row>
    <row r="151">
      <c r="A151" s="17" t="n">
        <v>30682</v>
      </c>
      <c r="B151" s="58">
        <f>VLOOKUP(Table13[[#This Row],[Date]],database!A:F,6,)</f>
        <v/>
      </c>
      <c r="C151" s="66">
        <f>B151/B150-1</f>
        <v/>
      </c>
      <c r="D151" s="66">
        <f>(Table13[[#This Row],[Index]]-B139)/B139</f>
        <v/>
      </c>
    </row>
    <row r="152">
      <c r="A152" s="17" t="n">
        <v>30713</v>
      </c>
      <c r="B152" s="58">
        <f>VLOOKUP(Table13[[#This Row],[Date]],database!A:F,6,)</f>
        <v/>
      </c>
      <c r="C152" s="66">
        <f>B152/B151-1</f>
        <v/>
      </c>
      <c r="D152" s="66">
        <f>(Table13[[#This Row],[Index]]-B140)/B140</f>
        <v/>
      </c>
    </row>
    <row r="153">
      <c r="A153" s="17" t="n">
        <v>30742</v>
      </c>
      <c r="B153" s="58">
        <f>VLOOKUP(Table13[[#This Row],[Date]],database!A:F,6,)</f>
        <v/>
      </c>
      <c r="C153" s="66">
        <f>B153/B152-1</f>
        <v/>
      </c>
      <c r="D153" s="66">
        <f>(Table13[[#This Row],[Index]]-B141)/B141</f>
        <v/>
      </c>
    </row>
    <row r="154">
      <c r="A154" s="17" t="n">
        <v>30773</v>
      </c>
      <c r="B154" s="58">
        <f>VLOOKUP(Table13[[#This Row],[Date]],database!A:F,6,)</f>
        <v/>
      </c>
      <c r="C154" s="66">
        <f>B154/B153-1</f>
        <v/>
      </c>
      <c r="D154" s="66">
        <f>(Table13[[#This Row],[Index]]-B142)/B142</f>
        <v/>
      </c>
    </row>
    <row r="155">
      <c r="A155" s="17" t="n">
        <v>30803</v>
      </c>
      <c r="B155" s="58">
        <f>VLOOKUP(Table13[[#This Row],[Date]],database!A:F,6,)</f>
        <v/>
      </c>
      <c r="C155" s="66">
        <f>B155/B154-1</f>
        <v/>
      </c>
      <c r="D155" s="66">
        <f>(Table13[[#This Row],[Index]]-B143)/B143</f>
        <v/>
      </c>
    </row>
    <row r="156">
      <c r="A156" s="17" t="n">
        <v>30834</v>
      </c>
      <c r="B156" s="58">
        <f>VLOOKUP(Table13[[#This Row],[Date]],database!A:F,6,)</f>
        <v/>
      </c>
      <c r="C156" s="66">
        <f>B156/B155-1</f>
        <v/>
      </c>
      <c r="D156" s="66">
        <f>(Table13[[#This Row],[Index]]-B144)/B144</f>
        <v/>
      </c>
    </row>
    <row r="157">
      <c r="A157" s="17" t="n">
        <v>30864</v>
      </c>
      <c r="B157" s="58">
        <f>VLOOKUP(Table13[[#This Row],[Date]],database!A:F,6,)</f>
        <v/>
      </c>
      <c r="C157" s="66">
        <f>B157/B156-1</f>
        <v/>
      </c>
      <c r="D157" s="66">
        <f>(Table13[[#This Row],[Index]]-B145)/B145</f>
        <v/>
      </c>
    </row>
    <row r="158">
      <c r="A158" s="17" t="n">
        <v>30895</v>
      </c>
      <c r="B158" s="58">
        <f>VLOOKUP(Table13[[#This Row],[Date]],database!A:F,6,)</f>
        <v/>
      </c>
      <c r="C158" s="66">
        <f>B158/B157-1</f>
        <v/>
      </c>
      <c r="D158" s="66">
        <f>(Table13[[#This Row],[Index]]-B146)/B146</f>
        <v/>
      </c>
    </row>
    <row r="159">
      <c r="A159" s="17" t="n">
        <v>30926</v>
      </c>
      <c r="B159" s="58">
        <f>VLOOKUP(Table13[[#This Row],[Date]],database!A:F,6,)</f>
        <v/>
      </c>
      <c r="C159" s="66">
        <f>B159/B158-1</f>
        <v/>
      </c>
      <c r="D159" s="66">
        <f>(Table13[[#This Row],[Index]]-B147)/B147</f>
        <v/>
      </c>
    </row>
    <row r="160">
      <c r="A160" s="17" t="n">
        <v>30956</v>
      </c>
      <c r="B160" s="58">
        <f>VLOOKUP(Table13[[#This Row],[Date]],database!A:F,6,)</f>
        <v/>
      </c>
      <c r="C160" s="66">
        <f>B160/B159-1</f>
        <v/>
      </c>
      <c r="D160" s="66">
        <f>(Table13[[#This Row],[Index]]-B148)/B148</f>
        <v/>
      </c>
    </row>
    <row r="161">
      <c r="A161" s="17" t="n">
        <v>30987</v>
      </c>
      <c r="B161" s="58">
        <f>VLOOKUP(Table13[[#This Row],[Date]],database!A:F,6,)</f>
        <v/>
      </c>
      <c r="C161" s="66">
        <f>B161/B160-1</f>
        <v/>
      </c>
      <c r="D161" s="66">
        <f>(Table13[[#This Row],[Index]]-B149)/B149</f>
        <v/>
      </c>
    </row>
    <row r="162">
      <c r="A162" s="17" t="n">
        <v>31017</v>
      </c>
      <c r="B162" s="58">
        <f>VLOOKUP(Table13[[#This Row],[Date]],database!A:F,6,)</f>
        <v/>
      </c>
      <c r="C162" s="66">
        <f>B162/B161-1</f>
        <v/>
      </c>
      <c r="D162" s="66">
        <f>(Table13[[#This Row],[Index]]-B150)/B150</f>
        <v/>
      </c>
    </row>
    <row r="163">
      <c r="A163" s="17" t="n">
        <v>31048</v>
      </c>
      <c r="B163" s="58">
        <f>VLOOKUP(Table13[[#This Row],[Date]],database!A:F,6,)</f>
        <v/>
      </c>
      <c r="C163" s="66">
        <f>B163/B162-1</f>
        <v/>
      </c>
      <c r="D163" s="66">
        <f>(Table13[[#This Row],[Index]]-B151)/B151</f>
        <v/>
      </c>
    </row>
    <row r="164">
      <c r="A164" s="17" t="n">
        <v>31079</v>
      </c>
      <c r="B164" s="58">
        <f>VLOOKUP(Table13[[#This Row],[Date]],database!A:F,6,)</f>
        <v/>
      </c>
      <c r="C164" s="66">
        <f>B164/B163-1</f>
        <v/>
      </c>
      <c r="D164" s="66">
        <f>(Table13[[#This Row],[Index]]-B152)/B152</f>
        <v/>
      </c>
    </row>
    <row r="165">
      <c r="A165" s="17" t="n">
        <v>31107</v>
      </c>
      <c r="B165" s="58">
        <f>VLOOKUP(Table13[[#This Row],[Date]],database!A:F,6,)</f>
        <v/>
      </c>
      <c r="C165" s="66">
        <f>B165/B164-1</f>
        <v/>
      </c>
      <c r="D165" s="66">
        <f>(Table13[[#This Row],[Index]]-B153)/B153</f>
        <v/>
      </c>
    </row>
    <row r="166">
      <c r="A166" s="17" t="n">
        <v>31138</v>
      </c>
      <c r="B166" s="58">
        <f>VLOOKUP(Table13[[#This Row],[Date]],database!A:F,6,)</f>
        <v/>
      </c>
      <c r="C166" s="66">
        <f>B166/B165-1</f>
        <v/>
      </c>
      <c r="D166" s="66">
        <f>(Table13[[#This Row],[Index]]-B154)/B154</f>
        <v/>
      </c>
    </row>
    <row r="167">
      <c r="A167" s="17" t="n">
        <v>31168</v>
      </c>
      <c r="B167" s="58">
        <f>VLOOKUP(Table13[[#This Row],[Date]],database!A:F,6,)</f>
        <v/>
      </c>
      <c r="C167" s="66">
        <f>B167/B166-1</f>
        <v/>
      </c>
      <c r="D167" s="66">
        <f>(Table13[[#This Row],[Index]]-B155)/B155</f>
        <v/>
      </c>
    </row>
    <row r="168">
      <c r="A168" s="17" t="n">
        <v>31199</v>
      </c>
      <c r="B168" s="58">
        <f>VLOOKUP(Table13[[#This Row],[Date]],database!A:F,6,)</f>
        <v/>
      </c>
      <c r="C168" s="66">
        <f>B168/B167-1</f>
        <v/>
      </c>
      <c r="D168" s="66">
        <f>(Table13[[#This Row],[Index]]-B156)/B156</f>
        <v/>
      </c>
    </row>
    <row r="169">
      <c r="A169" s="17" t="n">
        <v>31229</v>
      </c>
      <c r="B169" s="58">
        <f>VLOOKUP(Table13[[#This Row],[Date]],database!A:F,6,)</f>
        <v/>
      </c>
      <c r="C169" s="66">
        <f>B169/B168-1</f>
        <v/>
      </c>
      <c r="D169" s="66">
        <f>(Table13[[#This Row],[Index]]-B157)/B157</f>
        <v/>
      </c>
    </row>
    <row r="170">
      <c r="A170" s="17" t="n">
        <v>31260</v>
      </c>
      <c r="B170" s="58">
        <f>VLOOKUP(Table13[[#This Row],[Date]],database!A:F,6,)</f>
        <v/>
      </c>
      <c r="C170" s="66">
        <f>B170/B169-1</f>
        <v/>
      </c>
      <c r="D170" s="66">
        <f>(Table13[[#This Row],[Index]]-B158)/B158</f>
        <v/>
      </c>
    </row>
    <row r="171">
      <c r="A171" s="17" t="n">
        <v>31291</v>
      </c>
      <c r="B171" s="58">
        <f>VLOOKUP(Table13[[#This Row],[Date]],database!A:F,6,)</f>
        <v/>
      </c>
      <c r="C171" s="66">
        <f>B171/B170-1</f>
        <v/>
      </c>
      <c r="D171" s="66">
        <f>(Table13[[#This Row],[Index]]-B159)/B159</f>
        <v/>
      </c>
    </row>
    <row r="172">
      <c r="A172" s="17" t="n">
        <v>31321</v>
      </c>
      <c r="B172" s="58">
        <f>VLOOKUP(Table13[[#This Row],[Date]],database!A:F,6,)</f>
        <v/>
      </c>
      <c r="C172" s="66">
        <f>B172/B171-1</f>
        <v/>
      </c>
      <c r="D172" s="66">
        <f>(Table13[[#This Row],[Index]]-B160)/B160</f>
        <v/>
      </c>
    </row>
    <row r="173">
      <c r="A173" s="17" t="n">
        <v>31352</v>
      </c>
      <c r="B173" s="58">
        <f>VLOOKUP(Table13[[#This Row],[Date]],database!A:F,6,)</f>
        <v/>
      </c>
      <c r="C173" s="66">
        <f>B173/B172-1</f>
        <v/>
      </c>
      <c r="D173" s="66">
        <f>(Table13[[#This Row],[Index]]-B161)/B161</f>
        <v/>
      </c>
    </row>
    <row r="174">
      <c r="A174" s="17" t="n">
        <v>31382</v>
      </c>
      <c r="B174" s="58">
        <f>VLOOKUP(Table13[[#This Row],[Date]],database!A:F,6,)</f>
        <v/>
      </c>
      <c r="C174" s="66">
        <f>B174/B173-1</f>
        <v/>
      </c>
      <c r="D174" s="66">
        <f>(Table13[[#This Row],[Index]]-B162)/B162</f>
        <v/>
      </c>
    </row>
    <row r="175">
      <c r="A175" s="17" t="n">
        <v>31413</v>
      </c>
      <c r="B175" s="58">
        <f>VLOOKUP(Table13[[#This Row],[Date]],database!A:F,6,)</f>
        <v/>
      </c>
      <c r="C175" s="66">
        <f>B175/B174-1</f>
        <v/>
      </c>
      <c r="D175" s="66">
        <f>(Table13[[#This Row],[Index]]-B163)/B163</f>
        <v/>
      </c>
    </row>
    <row r="176">
      <c r="A176" s="17" t="n">
        <v>31444</v>
      </c>
      <c r="B176" s="58">
        <f>VLOOKUP(Table13[[#This Row],[Date]],database!A:F,6,)</f>
        <v/>
      </c>
      <c r="C176" s="66">
        <f>B176/B175-1</f>
        <v/>
      </c>
      <c r="D176" s="66">
        <f>(Table13[[#This Row],[Index]]-B164)/B164</f>
        <v/>
      </c>
    </row>
    <row r="177">
      <c r="A177" s="17" t="n">
        <v>31472</v>
      </c>
      <c r="B177" s="58">
        <f>VLOOKUP(Table13[[#This Row],[Date]],database!A:F,6,)</f>
        <v/>
      </c>
      <c r="C177" s="66">
        <f>B177/B176-1</f>
        <v/>
      </c>
      <c r="D177" s="66">
        <f>(Table13[[#This Row],[Index]]-B165)/B165</f>
        <v/>
      </c>
    </row>
    <row r="178">
      <c r="A178" s="17" t="n">
        <v>31503</v>
      </c>
      <c r="B178" s="58">
        <f>VLOOKUP(Table13[[#This Row],[Date]],database!A:F,6,)</f>
        <v/>
      </c>
      <c r="C178" s="66">
        <f>B178/B177-1</f>
        <v/>
      </c>
      <c r="D178" s="66">
        <f>(Table13[[#This Row],[Index]]-B166)/B166</f>
        <v/>
      </c>
    </row>
    <row r="179">
      <c r="A179" s="17" t="n">
        <v>31533</v>
      </c>
      <c r="B179" s="58">
        <f>VLOOKUP(Table13[[#This Row],[Date]],database!A:F,6,)</f>
        <v/>
      </c>
      <c r="C179" s="66">
        <f>B179/B178-1</f>
        <v/>
      </c>
      <c r="D179" s="66">
        <f>(Table13[[#This Row],[Index]]-B167)/B167</f>
        <v/>
      </c>
    </row>
    <row r="180">
      <c r="A180" s="17" t="n">
        <v>31564</v>
      </c>
      <c r="B180" s="58">
        <f>VLOOKUP(Table13[[#This Row],[Date]],database!A:F,6,)</f>
        <v/>
      </c>
      <c r="C180" s="66">
        <f>B180/B179-1</f>
        <v/>
      </c>
      <c r="D180" s="66">
        <f>(Table13[[#This Row],[Index]]-B168)/B168</f>
        <v/>
      </c>
    </row>
    <row r="181">
      <c r="A181" s="17" t="n">
        <v>31594</v>
      </c>
      <c r="B181" s="58">
        <f>VLOOKUP(Table13[[#This Row],[Date]],database!A:F,6,)</f>
        <v/>
      </c>
      <c r="C181" s="66">
        <f>B181/B180-1</f>
        <v/>
      </c>
      <c r="D181" s="66">
        <f>(Table13[[#This Row],[Index]]-B169)/B169</f>
        <v/>
      </c>
    </row>
    <row r="182">
      <c r="A182" s="17" t="n">
        <v>31625</v>
      </c>
      <c r="B182" s="58">
        <f>VLOOKUP(Table13[[#This Row],[Date]],database!A:F,6,)</f>
        <v/>
      </c>
      <c r="C182" s="66">
        <f>B182/B181-1</f>
        <v/>
      </c>
      <c r="D182" s="66">
        <f>(Table13[[#This Row],[Index]]-B170)/B170</f>
        <v/>
      </c>
    </row>
    <row r="183">
      <c r="A183" s="17" t="n">
        <v>31656</v>
      </c>
      <c r="B183" s="58">
        <f>VLOOKUP(Table13[[#This Row],[Date]],database!A:F,6,)</f>
        <v/>
      </c>
      <c r="C183" s="66">
        <f>B183/B182-1</f>
        <v/>
      </c>
      <c r="D183" s="66">
        <f>(Table13[[#This Row],[Index]]-B171)/B171</f>
        <v/>
      </c>
    </row>
    <row r="184">
      <c r="A184" s="17" t="n">
        <v>31686</v>
      </c>
      <c r="B184" s="58">
        <f>VLOOKUP(Table13[[#This Row],[Date]],database!A:F,6,)</f>
        <v/>
      </c>
      <c r="C184" s="66">
        <f>B184/B183-1</f>
        <v/>
      </c>
      <c r="D184" s="66">
        <f>(Table13[[#This Row],[Index]]-B172)/B172</f>
        <v/>
      </c>
    </row>
    <row r="185">
      <c r="A185" s="17" t="n">
        <v>31717</v>
      </c>
      <c r="B185" s="58">
        <f>VLOOKUP(Table13[[#This Row],[Date]],database!A:F,6,)</f>
        <v/>
      </c>
      <c r="C185" s="66">
        <f>B185/B184-1</f>
        <v/>
      </c>
      <c r="D185" s="66">
        <f>(Table13[[#This Row],[Index]]-B173)/B173</f>
        <v/>
      </c>
    </row>
    <row r="186">
      <c r="A186" s="17" t="n">
        <v>31747</v>
      </c>
      <c r="B186" s="58">
        <f>VLOOKUP(Table13[[#This Row],[Date]],database!A:F,6,)</f>
        <v/>
      </c>
      <c r="C186" s="66">
        <f>B186/B185-1</f>
        <v/>
      </c>
      <c r="D186" s="66">
        <f>(Table13[[#This Row],[Index]]-B174)/B174</f>
        <v/>
      </c>
    </row>
    <row r="187">
      <c r="A187" s="17" t="n">
        <v>31778</v>
      </c>
      <c r="B187" s="58">
        <f>VLOOKUP(Table13[[#This Row],[Date]],database!A:F,6,)</f>
        <v/>
      </c>
      <c r="C187" s="66">
        <f>B187/B186-1</f>
        <v/>
      </c>
      <c r="D187" s="66">
        <f>(Table13[[#This Row],[Index]]-B175)/B175</f>
        <v/>
      </c>
    </row>
    <row r="188">
      <c r="A188" s="17" t="n">
        <v>31809</v>
      </c>
      <c r="B188" s="58">
        <f>VLOOKUP(Table13[[#This Row],[Date]],database!A:F,6,)</f>
        <v/>
      </c>
      <c r="C188" s="66">
        <f>B188/B187-1</f>
        <v/>
      </c>
      <c r="D188" s="66">
        <f>(Table13[[#This Row],[Index]]-B176)/B176</f>
        <v/>
      </c>
    </row>
    <row r="189">
      <c r="A189" s="17" t="n">
        <v>31837</v>
      </c>
      <c r="B189" s="58">
        <f>VLOOKUP(Table13[[#This Row],[Date]],database!A:F,6,)</f>
        <v/>
      </c>
      <c r="C189" s="66">
        <f>B189/B188-1</f>
        <v/>
      </c>
      <c r="D189" s="66">
        <f>(Table13[[#This Row],[Index]]-B177)/B177</f>
        <v/>
      </c>
    </row>
    <row r="190">
      <c r="A190" s="17" t="n">
        <v>31868</v>
      </c>
      <c r="B190" s="58">
        <f>VLOOKUP(Table13[[#This Row],[Date]],database!A:F,6,)</f>
        <v/>
      </c>
      <c r="C190" s="66">
        <f>B190/B189-1</f>
        <v/>
      </c>
      <c r="D190" s="66">
        <f>(Table13[[#This Row],[Index]]-B178)/B178</f>
        <v/>
      </c>
    </row>
    <row r="191">
      <c r="A191" s="17" t="n">
        <v>31898</v>
      </c>
      <c r="B191" s="58">
        <f>VLOOKUP(Table13[[#This Row],[Date]],database!A:F,6,)</f>
        <v/>
      </c>
      <c r="C191" s="66">
        <f>B191/B190-1</f>
        <v/>
      </c>
      <c r="D191" s="66">
        <f>(Table13[[#This Row],[Index]]-B179)/B179</f>
        <v/>
      </c>
    </row>
    <row r="192">
      <c r="A192" s="17" t="n">
        <v>31929</v>
      </c>
      <c r="B192" s="58">
        <f>VLOOKUP(Table13[[#This Row],[Date]],database!A:F,6,)</f>
        <v/>
      </c>
      <c r="C192" s="66">
        <f>B192/B191-1</f>
        <v/>
      </c>
      <c r="D192" s="66">
        <f>(Table13[[#This Row],[Index]]-B180)/B180</f>
        <v/>
      </c>
    </row>
    <row r="193">
      <c r="A193" s="17" t="n">
        <v>31959</v>
      </c>
      <c r="B193" s="58">
        <f>VLOOKUP(Table13[[#This Row],[Date]],database!A:F,6,)</f>
        <v/>
      </c>
      <c r="C193" s="66">
        <f>B193/B192-1</f>
        <v/>
      </c>
      <c r="D193" s="66">
        <f>(Table13[[#This Row],[Index]]-B181)/B181</f>
        <v/>
      </c>
    </row>
    <row r="194">
      <c r="A194" s="17" t="n">
        <v>31990</v>
      </c>
      <c r="B194" s="58">
        <f>VLOOKUP(Table13[[#This Row],[Date]],database!A:F,6,)</f>
        <v/>
      </c>
      <c r="C194" s="66">
        <f>B194/B193-1</f>
        <v/>
      </c>
      <c r="D194" s="66">
        <f>(Table13[[#This Row],[Index]]-B182)/B182</f>
        <v/>
      </c>
    </row>
    <row r="195">
      <c r="A195" s="17" t="n">
        <v>32021</v>
      </c>
      <c r="B195" s="58">
        <f>VLOOKUP(Table13[[#This Row],[Date]],database!A:F,6,)</f>
        <v/>
      </c>
      <c r="C195" s="66">
        <f>B195/B194-1</f>
        <v/>
      </c>
      <c r="D195" s="66">
        <f>(Table13[[#This Row],[Index]]-B183)/B183</f>
        <v/>
      </c>
    </row>
    <row r="196">
      <c r="A196" s="17" t="n">
        <v>32051</v>
      </c>
      <c r="B196" s="58">
        <f>VLOOKUP(Table13[[#This Row],[Date]],database!A:F,6,)</f>
        <v/>
      </c>
      <c r="C196" s="66">
        <f>B196/B195-1</f>
        <v/>
      </c>
      <c r="D196" s="66">
        <f>(Table13[[#This Row],[Index]]-B184)/B184</f>
        <v/>
      </c>
    </row>
    <row r="197">
      <c r="A197" s="17" t="n">
        <v>32082</v>
      </c>
      <c r="B197" s="58">
        <f>VLOOKUP(Table13[[#This Row],[Date]],database!A:F,6,)</f>
        <v/>
      </c>
      <c r="C197" s="66">
        <f>B197/B196-1</f>
        <v/>
      </c>
      <c r="D197" s="66">
        <f>(Table13[[#This Row],[Index]]-B185)/B185</f>
        <v/>
      </c>
    </row>
    <row r="198">
      <c r="A198" s="17" t="n">
        <v>32112</v>
      </c>
      <c r="B198" s="58">
        <f>VLOOKUP(Table13[[#This Row],[Date]],database!A:F,6,)</f>
        <v/>
      </c>
      <c r="C198" s="66">
        <f>B198/B197-1</f>
        <v/>
      </c>
      <c r="D198" s="66">
        <f>(Table13[[#This Row],[Index]]-B186)/B186</f>
        <v/>
      </c>
    </row>
    <row r="199">
      <c r="A199" s="17" t="n">
        <v>32143</v>
      </c>
      <c r="B199" s="58">
        <f>VLOOKUP(Table13[[#This Row],[Date]],database!A:F,6,)</f>
        <v/>
      </c>
      <c r="C199" s="66">
        <f>B199/B198-1</f>
        <v/>
      </c>
      <c r="D199" s="66">
        <f>(Table13[[#This Row],[Index]]-B187)/B187</f>
        <v/>
      </c>
    </row>
    <row r="200">
      <c r="A200" s="17" t="n">
        <v>32174</v>
      </c>
      <c r="B200" s="58">
        <f>VLOOKUP(Table13[[#This Row],[Date]],database!A:F,6,)</f>
        <v/>
      </c>
      <c r="C200" s="66">
        <f>B200/B199-1</f>
        <v/>
      </c>
      <c r="D200" s="66">
        <f>(Table13[[#This Row],[Index]]-B188)/B188</f>
        <v/>
      </c>
    </row>
    <row r="201">
      <c r="A201" s="17" t="n">
        <v>32203</v>
      </c>
      <c r="B201" s="58">
        <f>VLOOKUP(Table13[[#This Row],[Date]],database!A:F,6,)</f>
        <v/>
      </c>
      <c r="C201" s="66">
        <f>B201/B200-1</f>
        <v/>
      </c>
      <c r="D201" s="66">
        <f>(Table13[[#This Row],[Index]]-B189)/B189</f>
        <v/>
      </c>
    </row>
    <row r="202">
      <c r="A202" s="17" t="n">
        <v>32234</v>
      </c>
      <c r="B202" s="58">
        <f>VLOOKUP(Table13[[#This Row],[Date]],database!A:F,6,)</f>
        <v/>
      </c>
      <c r="C202" s="66">
        <f>B202/B201-1</f>
        <v/>
      </c>
      <c r="D202" s="66">
        <f>(Table13[[#This Row],[Index]]-B190)/B190</f>
        <v/>
      </c>
    </row>
    <row r="203">
      <c r="A203" s="17" t="n">
        <v>32264</v>
      </c>
      <c r="B203" s="58">
        <f>VLOOKUP(Table13[[#This Row],[Date]],database!A:F,6,)</f>
        <v/>
      </c>
      <c r="C203" s="66">
        <f>B203/B202-1</f>
        <v/>
      </c>
      <c r="D203" s="66">
        <f>(Table13[[#This Row],[Index]]-B191)/B191</f>
        <v/>
      </c>
    </row>
    <row r="204">
      <c r="A204" s="17" t="n">
        <v>32295</v>
      </c>
      <c r="B204" s="58">
        <f>VLOOKUP(Table13[[#This Row],[Date]],database!A:F,6,)</f>
        <v/>
      </c>
      <c r="C204" s="66">
        <f>B204/B203-1</f>
        <v/>
      </c>
      <c r="D204" s="66">
        <f>(Table13[[#This Row],[Index]]-B192)/B192</f>
        <v/>
      </c>
    </row>
    <row r="205">
      <c r="A205" s="17" t="n">
        <v>32325</v>
      </c>
      <c r="B205" s="58">
        <f>VLOOKUP(Table13[[#This Row],[Date]],database!A:F,6,)</f>
        <v/>
      </c>
      <c r="C205" s="66">
        <f>B205/B204-1</f>
        <v/>
      </c>
      <c r="D205" s="66">
        <f>(Table13[[#This Row],[Index]]-B193)/B193</f>
        <v/>
      </c>
    </row>
    <row r="206">
      <c r="A206" s="17" t="n">
        <v>32356</v>
      </c>
      <c r="B206" s="58">
        <f>VLOOKUP(Table13[[#This Row],[Date]],database!A:F,6,)</f>
        <v/>
      </c>
      <c r="C206" s="66">
        <f>B206/B205-1</f>
        <v/>
      </c>
      <c r="D206" s="66">
        <f>(Table13[[#This Row],[Index]]-B194)/B194</f>
        <v/>
      </c>
    </row>
    <row r="207">
      <c r="A207" s="17" t="n">
        <v>32387</v>
      </c>
      <c r="B207" s="58">
        <f>VLOOKUP(Table13[[#This Row],[Date]],database!A:F,6,)</f>
        <v/>
      </c>
      <c r="C207" s="66">
        <f>B207/B206-1</f>
        <v/>
      </c>
      <c r="D207" s="66">
        <f>(Table13[[#This Row],[Index]]-B195)/B195</f>
        <v/>
      </c>
    </row>
    <row r="208">
      <c r="A208" s="17" t="n">
        <v>32417</v>
      </c>
      <c r="B208" s="58">
        <f>VLOOKUP(Table13[[#This Row],[Date]],database!A:F,6,)</f>
        <v/>
      </c>
      <c r="C208" s="66">
        <f>B208/B207-1</f>
        <v/>
      </c>
      <c r="D208" s="66">
        <f>(Table13[[#This Row],[Index]]-B196)/B196</f>
        <v/>
      </c>
    </row>
    <row r="209">
      <c r="A209" s="17" t="n">
        <v>32448</v>
      </c>
      <c r="B209" s="58">
        <f>VLOOKUP(Table13[[#This Row],[Date]],database!A:F,6,)</f>
        <v/>
      </c>
      <c r="C209" s="66">
        <f>B209/B208-1</f>
        <v/>
      </c>
      <c r="D209" s="66">
        <f>(Table13[[#This Row],[Index]]-B197)/B197</f>
        <v/>
      </c>
    </row>
    <row r="210">
      <c r="A210" s="17" t="n">
        <v>32478</v>
      </c>
      <c r="B210" s="58">
        <f>VLOOKUP(Table13[[#This Row],[Date]],database!A:F,6,)</f>
        <v/>
      </c>
      <c r="C210" s="66">
        <f>B210/B209-1</f>
        <v/>
      </c>
      <c r="D210" s="66">
        <f>(Table13[[#This Row],[Index]]-B198)/B198</f>
        <v/>
      </c>
    </row>
    <row r="211">
      <c r="A211" s="17" t="n">
        <v>32509</v>
      </c>
      <c r="B211" s="58">
        <f>VLOOKUP(Table13[[#This Row],[Date]],database!A:F,6,)</f>
        <v/>
      </c>
      <c r="C211" s="66">
        <f>B211/B210-1</f>
        <v/>
      </c>
      <c r="D211" s="66">
        <f>(Table13[[#This Row],[Index]]-B199)/B199</f>
        <v/>
      </c>
    </row>
    <row r="212">
      <c r="A212" s="17" t="n">
        <v>32540</v>
      </c>
      <c r="B212" s="58">
        <f>VLOOKUP(Table13[[#This Row],[Date]],database!A:F,6,)</f>
        <v/>
      </c>
      <c r="C212" s="66">
        <f>B212/B211-1</f>
        <v/>
      </c>
      <c r="D212" s="66">
        <f>(Table13[[#This Row],[Index]]-B200)/B200</f>
        <v/>
      </c>
    </row>
    <row r="213">
      <c r="A213" s="17" t="n">
        <v>32568</v>
      </c>
      <c r="B213" s="58">
        <f>VLOOKUP(Table13[[#This Row],[Date]],database!A:F,6,)</f>
        <v/>
      </c>
      <c r="C213" s="66">
        <f>B213/B212-1</f>
        <v/>
      </c>
      <c r="D213" s="66">
        <f>(Table13[[#This Row],[Index]]-B201)/B201</f>
        <v/>
      </c>
    </row>
    <row r="214">
      <c r="A214" s="17" t="n">
        <v>32599</v>
      </c>
      <c r="B214" s="58">
        <f>VLOOKUP(Table13[[#This Row],[Date]],database!A:F,6,)</f>
        <v/>
      </c>
      <c r="C214" s="66">
        <f>B214/B213-1</f>
        <v/>
      </c>
      <c r="D214" s="66">
        <f>(Table13[[#This Row],[Index]]-B202)/B202</f>
        <v/>
      </c>
    </row>
    <row r="215">
      <c r="A215" s="17" t="n">
        <v>32629</v>
      </c>
      <c r="B215" s="58">
        <f>VLOOKUP(Table13[[#This Row],[Date]],database!A:F,6,)</f>
        <v/>
      </c>
      <c r="C215" s="66">
        <f>B215/B214-1</f>
        <v/>
      </c>
      <c r="D215" s="66">
        <f>(Table13[[#This Row],[Index]]-B203)/B203</f>
        <v/>
      </c>
    </row>
    <row r="216">
      <c r="A216" s="17" t="n">
        <v>32660</v>
      </c>
      <c r="B216" s="58">
        <f>VLOOKUP(Table13[[#This Row],[Date]],database!A:F,6,)</f>
        <v/>
      </c>
      <c r="C216" s="66">
        <f>B216/B215-1</f>
        <v/>
      </c>
      <c r="D216" s="66">
        <f>(Table13[[#This Row],[Index]]-B204)/B204</f>
        <v/>
      </c>
    </row>
    <row r="217">
      <c r="A217" s="17" t="n">
        <v>32690</v>
      </c>
      <c r="B217" s="58">
        <f>VLOOKUP(Table13[[#This Row],[Date]],database!A:F,6,)</f>
        <v/>
      </c>
      <c r="C217" s="66">
        <f>B217/B216-1</f>
        <v/>
      </c>
      <c r="D217" s="66">
        <f>(Table13[[#This Row],[Index]]-B205)/B205</f>
        <v/>
      </c>
    </row>
    <row r="218">
      <c r="A218" s="17" t="n">
        <v>32721</v>
      </c>
      <c r="B218" s="58">
        <f>VLOOKUP(Table13[[#This Row],[Date]],database!A:F,6,)</f>
        <v/>
      </c>
      <c r="C218" s="66">
        <f>B218/B217-1</f>
        <v/>
      </c>
      <c r="D218" s="66">
        <f>(Table13[[#This Row],[Index]]-B206)/B206</f>
        <v/>
      </c>
    </row>
    <row r="219">
      <c r="A219" s="17" t="n">
        <v>32752</v>
      </c>
      <c r="B219" s="58">
        <f>VLOOKUP(Table13[[#This Row],[Date]],database!A:F,6,)</f>
        <v/>
      </c>
      <c r="C219" s="66">
        <f>B219/B218-1</f>
        <v/>
      </c>
      <c r="D219" s="66">
        <f>(Table13[[#This Row],[Index]]-B207)/B207</f>
        <v/>
      </c>
    </row>
    <row r="220">
      <c r="A220" s="17" t="n">
        <v>32782</v>
      </c>
      <c r="B220" s="58">
        <f>VLOOKUP(Table13[[#This Row],[Date]],database!A:F,6,)</f>
        <v/>
      </c>
      <c r="C220" s="66">
        <f>B220/B219-1</f>
        <v/>
      </c>
      <c r="D220" s="66">
        <f>(Table13[[#This Row],[Index]]-B208)/B208</f>
        <v/>
      </c>
    </row>
    <row r="221">
      <c r="A221" s="17" t="n">
        <v>32813</v>
      </c>
      <c r="B221" s="58">
        <f>VLOOKUP(Table13[[#This Row],[Date]],database!A:F,6,)</f>
        <v/>
      </c>
      <c r="C221" s="66">
        <f>B221/B220-1</f>
        <v/>
      </c>
      <c r="D221" s="66">
        <f>(Table13[[#This Row],[Index]]-B209)/B209</f>
        <v/>
      </c>
    </row>
    <row r="222">
      <c r="A222" s="17" t="n">
        <v>32843</v>
      </c>
      <c r="B222" s="58">
        <f>VLOOKUP(Table13[[#This Row],[Date]],database!A:F,6,)</f>
        <v/>
      </c>
      <c r="C222" s="66">
        <f>B222/B221-1</f>
        <v/>
      </c>
      <c r="D222" s="66">
        <f>(Table13[[#This Row],[Index]]-B210)/B210</f>
        <v/>
      </c>
    </row>
    <row r="223">
      <c r="A223" s="17" t="n">
        <v>32874</v>
      </c>
      <c r="B223" s="58">
        <f>VLOOKUP(Table13[[#This Row],[Date]],database!A:F,6,)</f>
        <v/>
      </c>
      <c r="C223" s="66">
        <f>B223/B222-1</f>
        <v/>
      </c>
      <c r="D223" s="66">
        <f>(Table13[[#This Row],[Index]]-B211)/B211</f>
        <v/>
      </c>
    </row>
    <row r="224">
      <c r="A224" s="17" t="n">
        <v>32905</v>
      </c>
      <c r="B224" s="58">
        <f>VLOOKUP(Table13[[#This Row],[Date]],database!A:F,6,)</f>
        <v/>
      </c>
      <c r="C224" s="66">
        <f>B224/B223-1</f>
        <v/>
      </c>
      <c r="D224" s="66">
        <f>(Table13[[#This Row],[Index]]-B212)/B212</f>
        <v/>
      </c>
    </row>
    <row r="225">
      <c r="A225" s="17" t="n">
        <v>32933</v>
      </c>
      <c r="B225" s="58">
        <f>VLOOKUP(Table13[[#This Row],[Date]],database!A:F,6,)</f>
        <v/>
      </c>
      <c r="C225" s="66">
        <f>B225/B224-1</f>
        <v/>
      </c>
      <c r="D225" s="66">
        <f>(Table13[[#This Row],[Index]]-B213)/B213</f>
        <v/>
      </c>
    </row>
    <row r="226">
      <c r="A226" s="17" t="n">
        <v>32964</v>
      </c>
      <c r="B226" s="58">
        <f>VLOOKUP(Table13[[#This Row],[Date]],database!A:F,6,)</f>
        <v/>
      </c>
      <c r="C226" s="66">
        <f>B226/B225-1</f>
        <v/>
      </c>
      <c r="D226" s="66">
        <f>(Table13[[#This Row],[Index]]-B214)/B214</f>
        <v/>
      </c>
    </row>
    <row r="227">
      <c r="A227" s="17" t="n">
        <v>32994</v>
      </c>
      <c r="B227" s="58">
        <f>VLOOKUP(Table13[[#This Row],[Date]],database!A:F,6,)</f>
        <v/>
      </c>
      <c r="C227" s="66">
        <f>B227/B226-1</f>
        <v/>
      </c>
      <c r="D227" s="66">
        <f>(Table13[[#This Row],[Index]]-B215)/B215</f>
        <v/>
      </c>
    </row>
    <row r="228">
      <c r="A228" s="17" t="n">
        <v>33025</v>
      </c>
      <c r="B228" s="58">
        <f>VLOOKUP(Table13[[#This Row],[Date]],database!A:F,6,)</f>
        <v/>
      </c>
      <c r="C228" s="66">
        <f>B228/B227-1</f>
        <v/>
      </c>
      <c r="D228" s="66">
        <f>(Table13[[#This Row],[Index]]-B216)/B216</f>
        <v/>
      </c>
    </row>
    <row r="229">
      <c r="A229" s="17" t="n">
        <v>33055</v>
      </c>
      <c r="B229" s="58">
        <f>VLOOKUP(Table13[[#This Row],[Date]],database!A:F,6,)</f>
        <v/>
      </c>
      <c r="C229" s="66">
        <f>B229/B228-1</f>
        <v/>
      </c>
      <c r="D229" s="66">
        <f>(Table13[[#This Row],[Index]]-B217)/B217</f>
        <v/>
      </c>
    </row>
    <row r="230">
      <c r="A230" s="17" t="n">
        <v>33086</v>
      </c>
      <c r="B230" s="58">
        <f>VLOOKUP(Table13[[#This Row],[Date]],database!A:F,6,)</f>
        <v/>
      </c>
      <c r="C230" s="66">
        <f>B230/B229-1</f>
        <v/>
      </c>
      <c r="D230" s="66">
        <f>(Table13[[#This Row],[Index]]-B218)/B218</f>
        <v/>
      </c>
    </row>
    <row r="231">
      <c r="A231" s="17" t="n">
        <v>33117</v>
      </c>
      <c r="B231" s="58">
        <f>VLOOKUP(Table13[[#This Row],[Date]],database!A:F,6,)</f>
        <v/>
      </c>
      <c r="C231" s="66">
        <f>B231/B230-1</f>
        <v/>
      </c>
      <c r="D231" s="66">
        <f>(Table13[[#This Row],[Index]]-B219)/B219</f>
        <v/>
      </c>
    </row>
    <row r="232">
      <c r="A232" s="17" t="n">
        <v>33147</v>
      </c>
      <c r="B232" s="58">
        <f>VLOOKUP(Table13[[#This Row],[Date]],database!A:F,6,)</f>
        <v/>
      </c>
      <c r="C232" s="66">
        <f>B232/B231-1</f>
        <v/>
      </c>
      <c r="D232" s="66">
        <f>(Table13[[#This Row],[Index]]-B220)/B220</f>
        <v/>
      </c>
    </row>
    <row r="233">
      <c r="A233" s="17" t="n">
        <v>33178</v>
      </c>
      <c r="B233" s="58">
        <f>VLOOKUP(Table13[[#This Row],[Date]],database!A:F,6,)</f>
        <v/>
      </c>
      <c r="C233" s="66">
        <f>B233/B232-1</f>
        <v/>
      </c>
      <c r="D233" s="66">
        <f>(Table13[[#This Row],[Index]]-B221)/B221</f>
        <v/>
      </c>
    </row>
    <row r="234">
      <c r="A234" s="17" t="n">
        <v>33208</v>
      </c>
      <c r="B234" s="58">
        <f>VLOOKUP(Table13[[#This Row],[Date]],database!A:F,6,)</f>
        <v/>
      </c>
      <c r="C234" s="66">
        <f>B234/B233-1</f>
        <v/>
      </c>
      <c r="D234" s="66">
        <f>(Table13[[#This Row],[Index]]-B222)/B222</f>
        <v/>
      </c>
    </row>
    <row r="235">
      <c r="A235" s="17" t="n">
        <v>33239</v>
      </c>
      <c r="B235" s="58">
        <f>VLOOKUP(Table13[[#This Row],[Date]],database!A:F,6,)</f>
        <v/>
      </c>
      <c r="C235" s="66">
        <f>B235/B234-1</f>
        <v/>
      </c>
      <c r="D235" s="66">
        <f>(Table13[[#This Row],[Index]]-B223)/B223</f>
        <v/>
      </c>
    </row>
    <row r="236">
      <c r="A236" s="17" t="n">
        <v>33270</v>
      </c>
      <c r="B236" s="58">
        <f>VLOOKUP(Table13[[#This Row],[Date]],database!A:F,6,)</f>
        <v/>
      </c>
      <c r="C236" s="66">
        <f>B236/B235-1</f>
        <v/>
      </c>
      <c r="D236" s="66">
        <f>(Table13[[#This Row],[Index]]-B224)/B224</f>
        <v/>
      </c>
    </row>
    <row r="237">
      <c r="A237" s="17" t="n">
        <v>33298</v>
      </c>
      <c r="B237" s="58">
        <f>VLOOKUP(Table13[[#This Row],[Date]],database!A:F,6,)</f>
        <v/>
      </c>
      <c r="C237" s="66">
        <f>B237/B236-1</f>
        <v/>
      </c>
      <c r="D237" s="66">
        <f>(Table13[[#This Row],[Index]]-B225)/B225</f>
        <v/>
      </c>
    </row>
    <row r="238">
      <c r="A238" s="17" t="n">
        <v>33329</v>
      </c>
      <c r="B238" s="58">
        <f>VLOOKUP(Table13[[#This Row],[Date]],database!A:F,6,)</f>
        <v/>
      </c>
      <c r="C238" s="66">
        <f>B238/B237-1</f>
        <v/>
      </c>
      <c r="D238" s="66">
        <f>(Table13[[#This Row],[Index]]-B226)/B226</f>
        <v/>
      </c>
    </row>
    <row r="239">
      <c r="A239" s="17" t="n">
        <v>33359</v>
      </c>
      <c r="B239" s="58">
        <f>VLOOKUP(Table13[[#This Row],[Date]],database!A:F,6,)</f>
        <v/>
      </c>
      <c r="C239" s="66">
        <f>B239/B238-1</f>
        <v/>
      </c>
      <c r="D239" s="66">
        <f>(Table13[[#This Row],[Index]]-B227)/B227</f>
        <v/>
      </c>
    </row>
    <row r="240">
      <c r="A240" s="17" t="n">
        <v>33390</v>
      </c>
      <c r="B240" s="58">
        <f>VLOOKUP(Table13[[#This Row],[Date]],database!A:F,6,)</f>
        <v/>
      </c>
      <c r="C240" s="66">
        <f>B240/B239-1</f>
        <v/>
      </c>
      <c r="D240" s="66">
        <f>(Table13[[#This Row],[Index]]-B228)/B228</f>
        <v/>
      </c>
    </row>
    <row r="241">
      <c r="A241" s="17" t="n">
        <v>33420</v>
      </c>
      <c r="B241" s="58">
        <f>VLOOKUP(Table13[[#This Row],[Date]],database!A:F,6,)</f>
        <v/>
      </c>
      <c r="C241" s="66">
        <f>B241/B240-1</f>
        <v/>
      </c>
      <c r="D241" s="66">
        <f>(Table13[[#This Row],[Index]]-B229)/B229</f>
        <v/>
      </c>
    </row>
    <row r="242">
      <c r="A242" s="17" t="n">
        <v>33451</v>
      </c>
      <c r="B242" s="58">
        <f>VLOOKUP(Table13[[#This Row],[Date]],database!A:F,6,)</f>
        <v/>
      </c>
      <c r="C242" s="66">
        <f>B242/B241-1</f>
        <v/>
      </c>
      <c r="D242" s="66">
        <f>(Table13[[#This Row],[Index]]-B230)/B230</f>
        <v/>
      </c>
    </row>
    <row r="243">
      <c r="A243" s="17" t="n">
        <v>33482</v>
      </c>
      <c r="B243" s="58">
        <f>VLOOKUP(Table13[[#This Row],[Date]],database!A:F,6,)</f>
        <v/>
      </c>
      <c r="C243" s="66">
        <f>B243/B242-1</f>
        <v/>
      </c>
      <c r="D243" s="66">
        <f>(Table13[[#This Row],[Index]]-B231)/B231</f>
        <v/>
      </c>
    </row>
    <row r="244">
      <c r="A244" s="17" t="n">
        <v>33512</v>
      </c>
      <c r="B244" s="58">
        <f>VLOOKUP(Table13[[#This Row],[Date]],database!A:F,6,)</f>
        <v/>
      </c>
      <c r="C244" s="66">
        <f>B244/B243-1</f>
        <v/>
      </c>
      <c r="D244" s="66">
        <f>(Table13[[#This Row],[Index]]-B232)/B232</f>
        <v/>
      </c>
    </row>
    <row r="245">
      <c r="A245" s="17" t="n">
        <v>33543</v>
      </c>
      <c r="B245" s="58">
        <f>VLOOKUP(Table13[[#This Row],[Date]],database!A:F,6,)</f>
        <v/>
      </c>
      <c r="C245" s="66">
        <f>B245/B244-1</f>
        <v/>
      </c>
      <c r="D245" s="66">
        <f>(Table13[[#This Row],[Index]]-B233)/B233</f>
        <v/>
      </c>
    </row>
    <row r="246">
      <c r="A246" s="17" t="n">
        <v>33573</v>
      </c>
      <c r="B246" s="58">
        <f>VLOOKUP(Table13[[#This Row],[Date]],database!A:F,6,)</f>
        <v/>
      </c>
      <c r="C246" s="66">
        <f>B246/B245-1</f>
        <v/>
      </c>
      <c r="D246" s="66">
        <f>(Table13[[#This Row],[Index]]-B234)/B234</f>
        <v/>
      </c>
    </row>
    <row r="247">
      <c r="A247" s="17" t="n">
        <v>33604</v>
      </c>
      <c r="B247" s="58">
        <f>VLOOKUP(Table13[[#This Row],[Date]],database!A:F,6,)</f>
        <v/>
      </c>
      <c r="C247" s="66">
        <f>B247/B246-1</f>
        <v/>
      </c>
      <c r="D247" s="66">
        <f>(Table13[[#This Row],[Index]]-B235)/B235</f>
        <v/>
      </c>
    </row>
    <row r="248">
      <c r="A248" s="17" t="n">
        <v>33635</v>
      </c>
      <c r="B248" s="58">
        <f>VLOOKUP(Table13[[#This Row],[Date]],database!A:F,6,)</f>
        <v/>
      </c>
      <c r="C248" s="66">
        <f>B248/B247-1</f>
        <v/>
      </c>
      <c r="D248" s="66">
        <f>(Table13[[#This Row],[Index]]-B236)/B236</f>
        <v/>
      </c>
    </row>
    <row r="249">
      <c r="A249" s="17" t="n">
        <v>33664</v>
      </c>
      <c r="B249" s="58">
        <f>VLOOKUP(Table13[[#This Row],[Date]],database!A:F,6,)</f>
        <v/>
      </c>
      <c r="C249" s="66">
        <f>B249/B248-1</f>
        <v/>
      </c>
      <c r="D249" s="66">
        <f>(Table13[[#This Row],[Index]]-B237)/B237</f>
        <v/>
      </c>
    </row>
    <row r="250">
      <c r="A250" s="17" t="n">
        <v>33695</v>
      </c>
      <c r="B250" s="58">
        <f>VLOOKUP(Table13[[#This Row],[Date]],database!A:F,6,)</f>
        <v/>
      </c>
      <c r="C250" s="66">
        <f>B250/B249-1</f>
        <v/>
      </c>
      <c r="D250" s="66">
        <f>(Table13[[#This Row],[Index]]-B238)/B238</f>
        <v/>
      </c>
    </row>
    <row r="251">
      <c r="A251" s="17" t="n">
        <v>33725</v>
      </c>
      <c r="B251" s="58">
        <f>VLOOKUP(Table13[[#This Row],[Date]],database!A:F,6,)</f>
        <v/>
      </c>
      <c r="C251" s="66">
        <f>B251/B250-1</f>
        <v/>
      </c>
      <c r="D251" s="66">
        <f>(Table13[[#This Row],[Index]]-B239)/B239</f>
        <v/>
      </c>
    </row>
    <row r="252">
      <c r="A252" s="17" t="n">
        <v>33756</v>
      </c>
      <c r="B252" s="58">
        <f>VLOOKUP(Table13[[#This Row],[Date]],database!A:F,6,)</f>
        <v/>
      </c>
      <c r="C252" s="66">
        <f>B252/B251-1</f>
        <v/>
      </c>
      <c r="D252" s="66">
        <f>(Table13[[#This Row],[Index]]-B240)/B240</f>
        <v/>
      </c>
    </row>
    <row r="253">
      <c r="A253" s="17" t="n">
        <v>33786</v>
      </c>
      <c r="B253" s="58">
        <f>VLOOKUP(Table13[[#This Row],[Date]],database!A:F,6,)</f>
        <v/>
      </c>
      <c r="C253" s="66">
        <f>B253/B252-1</f>
        <v/>
      </c>
      <c r="D253" s="66">
        <f>(Table13[[#This Row],[Index]]-B241)/B241</f>
        <v/>
      </c>
    </row>
    <row r="254">
      <c r="A254" s="17" t="n">
        <v>33817</v>
      </c>
      <c r="B254" s="58">
        <f>VLOOKUP(Table13[[#This Row],[Date]],database!A:F,6,)</f>
        <v/>
      </c>
      <c r="C254" s="66">
        <f>B254/B253-1</f>
        <v/>
      </c>
      <c r="D254" s="66">
        <f>(Table13[[#This Row],[Index]]-B242)/B242</f>
        <v/>
      </c>
    </row>
    <row r="255">
      <c r="A255" s="17" t="n">
        <v>33848</v>
      </c>
      <c r="B255" s="58">
        <f>VLOOKUP(Table13[[#This Row],[Date]],database!A:F,6,)</f>
        <v/>
      </c>
      <c r="C255" s="66">
        <f>B255/B254-1</f>
        <v/>
      </c>
      <c r="D255" s="66">
        <f>(Table13[[#This Row],[Index]]-B243)/B243</f>
        <v/>
      </c>
    </row>
    <row r="256">
      <c r="A256" s="17" t="n">
        <v>33878</v>
      </c>
      <c r="B256" s="58">
        <f>VLOOKUP(Table13[[#This Row],[Date]],database!A:F,6,)</f>
        <v/>
      </c>
      <c r="C256" s="66">
        <f>B256/B255-1</f>
        <v/>
      </c>
      <c r="D256" s="66">
        <f>(Table13[[#This Row],[Index]]-B244)/B244</f>
        <v/>
      </c>
    </row>
    <row r="257">
      <c r="A257" s="17" t="n">
        <v>33909</v>
      </c>
      <c r="B257" s="58">
        <f>VLOOKUP(Table13[[#This Row],[Date]],database!A:F,6,)</f>
        <v/>
      </c>
      <c r="C257" s="66">
        <f>B257/B256-1</f>
        <v/>
      </c>
      <c r="D257" s="66">
        <f>(Table13[[#This Row],[Index]]-B245)/B245</f>
        <v/>
      </c>
    </row>
    <row r="258">
      <c r="A258" s="17" t="n">
        <v>33939</v>
      </c>
      <c r="B258" s="58">
        <f>VLOOKUP(Table13[[#This Row],[Date]],database!A:F,6,)</f>
        <v/>
      </c>
      <c r="C258" s="66">
        <f>B258/B257-1</f>
        <v/>
      </c>
      <c r="D258" s="66">
        <f>(Table13[[#This Row],[Index]]-B246)/B246</f>
        <v/>
      </c>
    </row>
    <row r="259">
      <c r="A259" s="17" t="n">
        <v>33970</v>
      </c>
      <c r="B259" s="58">
        <f>VLOOKUP(Table13[[#This Row],[Date]],database!A:F,6,)</f>
        <v/>
      </c>
      <c r="C259" s="66">
        <f>B259/B258-1</f>
        <v/>
      </c>
      <c r="D259" s="66">
        <f>(Table13[[#This Row],[Index]]-B247)/B247</f>
        <v/>
      </c>
    </row>
    <row r="260">
      <c r="A260" s="17" t="n">
        <v>34001</v>
      </c>
      <c r="B260" s="58">
        <f>VLOOKUP(Table13[[#This Row],[Date]],database!A:F,6,)</f>
        <v/>
      </c>
      <c r="C260" s="66">
        <f>B260/B259-1</f>
        <v/>
      </c>
      <c r="D260" s="66">
        <f>(Table13[[#This Row],[Index]]-B248)/B248</f>
        <v/>
      </c>
    </row>
    <row r="261">
      <c r="A261" s="17" t="n">
        <v>34029</v>
      </c>
      <c r="B261" s="58">
        <f>VLOOKUP(Table13[[#This Row],[Date]],database!A:F,6,)</f>
        <v/>
      </c>
      <c r="C261" s="66">
        <f>B261/B260-1</f>
        <v/>
      </c>
      <c r="D261" s="66">
        <f>(Table13[[#This Row],[Index]]-B249)/B249</f>
        <v/>
      </c>
    </row>
    <row r="262">
      <c r="A262" s="17" t="n">
        <v>34060</v>
      </c>
      <c r="B262" s="58">
        <f>VLOOKUP(Table13[[#This Row],[Date]],database!A:F,6,)</f>
        <v/>
      </c>
      <c r="C262" s="66">
        <f>B262/B261-1</f>
        <v/>
      </c>
      <c r="D262" s="66">
        <f>(Table13[[#This Row],[Index]]-B250)/B250</f>
        <v/>
      </c>
    </row>
    <row r="263">
      <c r="A263" s="17" t="n">
        <v>34090</v>
      </c>
      <c r="B263" s="58">
        <f>VLOOKUP(Table13[[#This Row],[Date]],database!A:F,6,)</f>
        <v/>
      </c>
      <c r="C263" s="66">
        <f>B263/B262-1</f>
        <v/>
      </c>
      <c r="D263" s="66">
        <f>(Table13[[#This Row],[Index]]-B251)/B251</f>
        <v/>
      </c>
    </row>
    <row r="264">
      <c r="A264" s="17" t="n">
        <v>34121</v>
      </c>
      <c r="B264" s="58">
        <f>VLOOKUP(Table13[[#This Row],[Date]],database!A:F,6,)</f>
        <v/>
      </c>
      <c r="C264" s="66">
        <f>B264/B263-1</f>
        <v/>
      </c>
      <c r="D264" s="66">
        <f>(Table13[[#This Row],[Index]]-B252)/B252</f>
        <v/>
      </c>
    </row>
    <row r="265">
      <c r="A265" s="17" t="n">
        <v>34151</v>
      </c>
      <c r="B265" s="58">
        <f>VLOOKUP(Table13[[#This Row],[Date]],database!A:F,6,)</f>
        <v/>
      </c>
      <c r="C265" s="66">
        <f>B265/B264-1</f>
        <v/>
      </c>
      <c r="D265" s="66">
        <f>(Table13[[#This Row],[Index]]-B253)/B253</f>
        <v/>
      </c>
    </row>
    <row r="266">
      <c r="A266" s="17" t="n">
        <v>34182</v>
      </c>
      <c r="B266" s="58">
        <f>VLOOKUP(Table13[[#This Row],[Date]],database!A:F,6,)</f>
        <v/>
      </c>
      <c r="C266" s="66">
        <f>B266/B265-1</f>
        <v/>
      </c>
      <c r="D266" s="66">
        <f>(Table13[[#This Row],[Index]]-B254)/B254</f>
        <v/>
      </c>
    </row>
    <row r="267">
      <c r="A267" s="17" t="n">
        <v>34213</v>
      </c>
      <c r="B267" s="58">
        <f>VLOOKUP(Table13[[#This Row],[Date]],database!A:F,6,)</f>
        <v/>
      </c>
      <c r="C267" s="66">
        <f>B267/B266-1</f>
        <v/>
      </c>
      <c r="D267" s="66">
        <f>(Table13[[#This Row],[Index]]-B255)/B255</f>
        <v/>
      </c>
    </row>
    <row r="268">
      <c r="A268" s="17" t="n">
        <v>34243</v>
      </c>
      <c r="B268" s="58">
        <f>VLOOKUP(Table13[[#This Row],[Date]],database!A:F,6,)</f>
        <v/>
      </c>
      <c r="C268" s="66">
        <f>B268/B267-1</f>
        <v/>
      </c>
      <c r="D268" s="66">
        <f>(Table13[[#This Row],[Index]]-B256)/B256</f>
        <v/>
      </c>
    </row>
    <row r="269">
      <c r="A269" s="17" t="n">
        <v>34274</v>
      </c>
      <c r="B269" s="58">
        <f>VLOOKUP(Table13[[#This Row],[Date]],database!A:F,6,)</f>
        <v/>
      </c>
      <c r="C269" s="66">
        <f>B269/B268-1</f>
        <v/>
      </c>
      <c r="D269" s="66">
        <f>(Table13[[#This Row],[Index]]-B257)/B257</f>
        <v/>
      </c>
    </row>
    <row r="270">
      <c r="A270" s="17" t="n">
        <v>34304</v>
      </c>
      <c r="B270" s="58">
        <f>VLOOKUP(Table13[[#This Row],[Date]],database!A:F,6,)</f>
        <v/>
      </c>
      <c r="C270" s="66">
        <f>B270/B269-1</f>
        <v/>
      </c>
      <c r="D270" s="66">
        <f>(Table13[[#This Row],[Index]]-B258)/B258</f>
        <v/>
      </c>
    </row>
    <row r="271">
      <c r="A271" s="17" t="n">
        <v>34335</v>
      </c>
      <c r="B271" s="58">
        <f>VLOOKUP(Table13[[#This Row],[Date]],database!A:F,6,)</f>
        <v/>
      </c>
      <c r="C271" s="66">
        <f>B271/B270-1</f>
        <v/>
      </c>
      <c r="D271" s="66">
        <f>(Table13[[#This Row],[Index]]-B259)/B259</f>
        <v/>
      </c>
    </row>
    <row r="272">
      <c r="A272" s="17" t="n">
        <v>34366</v>
      </c>
      <c r="B272" s="58">
        <f>VLOOKUP(Table13[[#This Row],[Date]],database!A:F,6,)</f>
        <v/>
      </c>
      <c r="C272" s="66">
        <f>B272/B271-1</f>
        <v/>
      </c>
      <c r="D272" s="66">
        <f>(Table13[[#This Row],[Index]]-B260)/B260</f>
        <v/>
      </c>
    </row>
    <row r="273">
      <c r="A273" s="17" t="n">
        <v>34394</v>
      </c>
      <c r="B273" s="58">
        <f>VLOOKUP(Table13[[#This Row],[Date]],database!A:F,6,)</f>
        <v/>
      </c>
      <c r="C273" s="66">
        <f>B273/B272-1</f>
        <v/>
      </c>
      <c r="D273" s="66">
        <f>(Table13[[#This Row],[Index]]-B261)/B261</f>
        <v/>
      </c>
    </row>
    <row r="274">
      <c r="A274" s="17" t="n">
        <v>34425</v>
      </c>
      <c r="B274" s="58">
        <f>VLOOKUP(Table13[[#This Row],[Date]],database!A:F,6,)</f>
        <v/>
      </c>
      <c r="C274" s="66">
        <f>B274/B273-1</f>
        <v/>
      </c>
      <c r="D274" s="66">
        <f>(Table13[[#This Row],[Index]]-B262)/B262</f>
        <v/>
      </c>
    </row>
    <row r="275">
      <c r="A275" s="17" t="n">
        <v>34455</v>
      </c>
      <c r="B275" s="58">
        <f>VLOOKUP(Table13[[#This Row],[Date]],database!A:F,6,)</f>
        <v/>
      </c>
      <c r="C275" s="66">
        <f>B275/B274-1</f>
        <v/>
      </c>
      <c r="D275" s="66">
        <f>(Table13[[#This Row],[Index]]-B263)/B263</f>
        <v/>
      </c>
    </row>
    <row r="276">
      <c r="A276" s="17" t="n">
        <v>34486</v>
      </c>
      <c r="B276" s="58">
        <f>VLOOKUP(Table13[[#This Row],[Date]],database!A:F,6,)</f>
        <v/>
      </c>
      <c r="C276" s="66">
        <f>B276/B275-1</f>
        <v/>
      </c>
      <c r="D276" s="66">
        <f>(Table13[[#This Row],[Index]]-B264)/B264</f>
        <v/>
      </c>
    </row>
    <row r="277">
      <c r="A277" s="17" t="n">
        <v>34516</v>
      </c>
      <c r="B277" s="58">
        <f>VLOOKUP(Table13[[#This Row],[Date]],database!A:F,6,)</f>
        <v/>
      </c>
      <c r="C277" s="66">
        <f>B277/B276-1</f>
        <v/>
      </c>
      <c r="D277" s="66">
        <f>(Table13[[#This Row],[Index]]-B265)/B265</f>
        <v/>
      </c>
    </row>
    <row r="278">
      <c r="A278" s="17" t="n">
        <v>34547</v>
      </c>
      <c r="B278" s="58">
        <f>VLOOKUP(Table13[[#This Row],[Date]],database!A:F,6,)</f>
        <v/>
      </c>
      <c r="C278" s="66">
        <f>B278/B277-1</f>
        <v/>
      </c>
      <c r="D278" s="66">
        <f>(Table13[[#This Row],[Index]]-B266)/B266</f>
        <v/>
      </c>
    </row>
    <row r="279">
      <c r="A279" s="17" t="n">
        <v>34578</v>
      </c>
      <c r="B279" s="58">
        <f>VLOOKUP(Table13[[#This Row],[Date]],database!A:F,6,)</f>
        <v/>
      </c>
      <c r="C279" s="66">
        <f>B279/B278-1</f>
        <v/>
      </c>
      <c r="D279" s="66">
        <f>(Table13[[#This Row],[Index]]-B267)/B267</f>
        <v/>
      </c>
    </row>
    <row r="280">
      <c r="A280" s="17" t="n">
        <v>34608</v>
      </c>
      <c r="B280" s="58">
        <f>VLOOKUP(Table13[[#This Row],[Date]],database!A:F,6,)</f>
        <v/>
      </c>
      <c r="C280" s="66">
        <f>B280/B279-1</f>
        <v/>
      </c>
      <c r="D280" s="66">
        <f>(Table13[[#This Row],[Index]]-B268)/B268</f>
        <v/>
      </c>
    </row>
    <row r="281">
      <c r="A281" s="17" t="n">
        <v>34639</v>
      </c>
      <c r="B281" s="58">
        <f>VLOOKUP(Table13[[#This Row],[Date]],database!A:F,6,)</f>
        <v/>
      </c>
      <c r="C281" s="66">
        <f>B281/B280-1</f>
        <v/>
      </c>
      <c r="D281" s="66">
        <f>(Table13[[#This Row],[Index]]-B269)/B269</f>
        <v/>
      </c>
    </row>
    <row r="282">
      <c r="A282" s="17" t="n">
        <v>34669</v>
      </c>
      <c r="B282" s="58">
        <f>VLOOKUP(Table13[[#This Row],[Date]],database!A:F,6,)</f>
        <v/>
      </c>
      <c r="C282" s="66">
        <f>B282/B281-1</f>
        <v/>
      </c>
      <c r="D282" s="66">
        <f>(Table13[[#This Row],[Index]]-B270)/B270</f>
        <v/>
      </c>
    </row>
    <row r="283">
      <c r="A283" s="17" t="n">
        <v>34700</v>
      </c>
      <c r="B283" s="58">
        <f>VLOOKUP(Table13[[#This Row],[Date]],database!A:F,6,)</f>
        <v/>
      </c>
      <c r="C283" s="66">
        <f>B283/B282-1</f>
        <v/>
      </c>
      <c r="D283" s="66">
        <f>(Table13[[#This Row],[Index]]-B271)/B271</f>
        <v/>
      </c>
    </row>
    <row r="284">
      <c r="A284" s="17" t="n">
        <v>34731</v>
      </c>
      <c r="B284" s="58">
        <f>VLOOKUP(Table13[[#This Row],[Date]],database!A:F,6,)</f>
        <v/>
      </c>
      <c r="C284" s="66">
        <f>B284/B283-1</f>
        <v/>
      </c>
      <c r="D284" s="66">
        <f>(Table13[[#This Row],[Index]]-B272)/B272</f>
        <v/>
      </c>
    </row>
    <row r="285">
      <c r="A285" s="17" t="n">
        <v>34759</v>
      </c>
      <c r="B285" s="58">
        <f>VLOOKUP(Table13[[#This Row],[Date]],database!A:F,6,)</f>
        <v/>
      </c>
      <c r="C285" s="66">
        <f>B285/B284-1</f>
        <v/>
      </c>
      <c r="D285" s="66">
        <f>(Table13[[#This Row],[Index]]-B273)/B273</f>
        <v/>
      </c>
    </row>
    <row r="286">
      <c r="A286" s="17" t="n">
        <v>34790</v>
      </c>
      <c r="B286" s="58">
        <f>VLOOKUP(Table13[[#This Row],[Date]],database!A:F,6,)</f>
        <v/>
      </c>
      <c r="C286" s="66">
        <f>B286/B285-1</f>
        <v/>
      </c>
      <c r="D286" s="66">
        <f>(Table13[[#This Row],[Index]]-B274)/B274</f>
        <v/>
      </c>
    </row>
    <row r="287">
      <c r="A287" s="17" t="n">
        <v>34820</v>
      </c>
      <c r="B287" s="58">
        <f>VLOOKUP(Table13[[#This Row],[Date]],database!A:F,6,)</f>
        <v/>
      </c>
      <c r="C287" s="66">
        <f>B287/B286-1</f>
        <v/>
      </c>
      <c r="D287" s="66">
        <f>(Table13[[#This Row],[Index]]-B275)/B275</f>
        <v/>
      </c>
    </row>
    <row r="288">
      <c r="A288" s="17" t="n">
        <v>34851</v>
      </c>
      <c r="B288" s="58">
        <f>VLOOKUP(Table13[[#This Row],[Date]],database!A:F,6,)</f>
        <v/>
      </c>
      <c r="C288" s="66">
        <f>B288/B287-1</f>
        <v/>
      </c>
      <c r="D288" s="66">
        <f>(Table13[[#This Row],[Index]]-B276)/B276</f>
        <v/>
      </c>
    </row>
    <row r="289">
      <c r="A289" s="17" t="n">
        <v>34881</v>
      </c>
      <c r="B289" s="58">
        <f>VLOOKUP(Table13[[#This Row],[Date]],database!A:F,6,)</f>
        <v/>
      </c>
      <c r="C289" s="66">
        <f>B289/B288-1</f>
        <v/>
      </c>
      <c r="D289" s="66">
        <f>(Table13[[#This Row],[Index]]-B277)/B277</f>
        <v/>
      </c>
    </row>
    <row r="290">
      <c r="A290" s="17" t="n">
        <v>34912</v>
      </c>
      <c r="B290" s="58">
        <f>VLOOKUP(Table13[[#This Row],[Date]],database!A:F,6,)</f>
        <v/>
      </c>
      <c r="C290" s="66">
        <f>B290/B289-1</f>
        <v/>
      </c>
      <c r="D290" s="66">
        <f>(Table13[[#This Row],[Index]]-B278)/B278</f>
        <v/>
      </c>
    </row>
    <row r="291">
      <c r="A291" s="17" t="n">
        <v>34943</v>
      </c>
      <c r="B291" s="58">
        <f>VLOOKUP(Table13[[#This Row],[Date]],database!A:F,6,)</f>
        <v/>
      </c>
      <c r="C291" s="66">
        <f>B291/B290-1</f>
        <v/>
      </c>
      <c r="D291" s="66">
        <f>(Table13[[#This Row],[Index]]-B279)/B279</f>
        <v/>
      </c>
    </row>
    <row r="292">
      <c r="A292" s="17" t="n">
        <v>34973</v>
      </c>
      <c r="B292" s="58">
        <f>VLOOKUP(Table13[[#This Row],[Date]],database!A:F,6,)</f>
        <v/>
      </c>
      <c r="C292" s="66">
        <f>B292/B291-1</f>
        <v/>
      </c>
      <c r="D292" s="66">
        <f>(Table13[[#This Row],[Index]]-B280)/B280</f>
        <v/>
      </c>
    </row>
    <row r="293">
      <c r="A293" s="17" t="n">
        <v>35004</v>
      </c>
      <c r="B293" s="58">
        <f>VLOOKUP(Table13[[#This Row],[Date]],database!A:F,6,)</f>
        <v/>
      </c>
      <c r="C293" s="66">
        <f>B293/B292-1</f>
        <v/>
      </c>
      <c r="D293" s="66">
        <f>(Table13[[#This Row],[Index]]-B281)/B281</f>
        <v/>
      </c>
    </row>
    <row r="294">
      <c r="A294" s="17" t="n">
        <v>35034</v>
      </c>
      <c r="B294" s="58">
        <f>VLOOKUP(Table13[[#This Row],[Date]],database!A:F,6,)</f>
        <v/>
      </c>
      <c r="C294" s="66">
        <f>B294/B293-1</f>
        <v/>
      </c>
      <c r="D294" s="66">
        <f>(Table13[[#This Row],[Index]]-B282)/B282</f>
        <v/>
      </c>
    </row>
    <row r="295">
      <c r="A295" s="17" t="n">
        <v>35065</v>
      </c>
      <c r="B295" s="58">
        <f>VLOOKUP(Table13[[#This Row],[Date]],database!A:F,6,)</f>
        <v/>
      </c>
      <c r="C295" s="66">
        <f>B295/B294-1</f>
        <v/>
      </c>
      <c r="D295" s="66">
        <f>(Table13[[#This Row],[Index]]-B283)/B283</f>
        <v/>
      </c>
    </row>
    <row r="296">
      <c r="A296" s="17" t="n">
        <v>35096</v>
      </c>
      <c r="B296" s="58">
        <f>VLOOKUP(Table13[[#This Row],[Date]],database!A:F,6,)</f>
        <v/>
      </c>
      <c r="C296" s="66">
        <f>B296/B295-1</f>
        <v/>
      </c>
      <c r="D296" s="66">
        <f>(Table13[[#This Row],[Index]]-B284)/B284</f>
        <v/>
      </c>
    </row>
    <row r="297">
      <c r="A297" s="17" t="n">
        <v>35125</v>
      </c>
      <c r="B297" s="58">
        <f>VLOOKUP(Table13[[#This Row],[Date]],database!A:F,6,)</f>
        <v/>
      </c>
      <c r="C297" s="66">
        <f>B297/B296-1</f>
        <v/>
      </c>
      <c r="D297" s="66">
        <f>(Table13[[#This Row],[Index]]-B285)/B285</f>
        <v/>
      </c>
    </row>
    <row r="298">
      <c r="A298" s="17" t="n">
        <v>35156</v>
      </c>
      <c r="B298" s="58">
        <f>VLOOKUP(Table13[[#This Row],[Date]],database!A:F,6,)</f>
        <v/>
      </c>
      <c r="C298" s="66">
        <f>B298/B297-1</f>
        <v/>
      </c>
      <c r="D298" s="66">
        <f>(Table13[[#This Row],[Index]]-B286)/B286</f>
        <v/>
      </c>
    </row>
    <row r="299">
      <c r="A299" s="17" t="n">
        <v>35186</v>
      </c>
      <c r="B299" s="58">
        <f>VLOOKUP(Table13[[#This Row],[Date]],database!A:F,6,)</f>
        <v/>
      </c>
      <c r="C299" s="66">
        <f>B299/B298-1</f>
        <v/>
      </c>
      <c r="D299" s="66">
        <f>(Table13[[#This Row],[Index]]-B287)/B287</f>
        <v/>
      </c>
    </row>
    <row r="300">
      <c r="A300" s="17" t="n">
        <v>35217</v>
      </c>
      <c r="B300" s="58">
        <f>VLOOKUP(Table13[[#This Row],[Date]],database!A:F,6,)</f>
        <v/>
      </c>
      <c r="C300" s="66">
        <f>B300/B299-1</f>
        <v/>
      </c>
      <c r="D300" s="66">
        <f>(Table13[[#This Row],[Index]]-B288)/B288</f>
        <v/>
      </c>
    </row>
    <row r="301">
      <c r="A301" s="17" t="n">
        <v>35247</v>
      </c>
      <c r="B301" s="58">
        <f>VLOOKUP(Table13[[#This Row],[Date]],database!A:F,6,)</f>
        <v/>
      </c>
      <c r="C301" s="66">
        <f>B301/B300-1</f>
        <v/>
      </c>
      <c r="D301" s="66">
        <f>(Table13[[#This Row],[Index]]-B289)/B289</f>
        <v/>
      </c>
    </row>
    <row r="302">
      <c r="A302" s="17" t="n">
        <v>35278</v>
      </c>
      <c r="B302" s="58">
        <f>VLOOKUP(Table13[[#This Row],[Date]],database!A:F,6,)</f>
        <v/>
      </c>
      <c r="C302" s="66">
        <f>B302/B301-1</f>
        <v/>
      </c>
      <c r="D302" s="66">
        <f>(Table13[[#This Row],[Index]]-B290)/B290</f>
        <v/>
      </c>
    </row>
    <row r="303">
      <c r="A303" s="17" t="n">
        <v>35309</v>
      </c>
      <c r="B303" s="58">
        <f>VLOOKUP(Table13[[#This Row],[Date]],database!A:F,6,)</f>
        <v/>
      </c>
      <c r="C303" s="66">
        <f>B303/B302-1</f>
        <v/>
      </c>
      <c r="D303" s="66">
        <f>(Table13[[#This Row],[Index]]-B291)/B291</f>
        <v/>
      </c>
    </row>
    <row r="304">
      <c r="A304" s="17" t="n">
        <v>35339</v>
      </c>
      <c r="B304" s="58">
        <f>VLOOKUP(Table13[[#This Row],[Date]],database!A:F,6,)</f>
        <v/>
      </c>
      <c r="C304" s="66">
        <f>B304/B303-1</f>
        <v/>
      </c>
      <c r="D304" s="66">
        <f>(Table13[[#This Row],[Index]]-B292)/B292</f>
        <v/>
      </c>
    </row>
    <row r="305">
      <c r="A305" s="17" t="n">
        <v>35370</v>
      </c>
      <c r="B305" s="58">
        <f>VLOOKUP(Table13[[#This Row],[Date]],database!A:F,6,)</f>
        <v/>
      </c>
      <c r="C305" s="66">
        <f>B305/B304-1</f>
        <v/>
      </c>
      <c r="D305" s="66">
        <f>(Table13[[#This Row],[Index]]-B293)/B293</f>
        <v/>
      </c>
    </row>
    <row r="306">
      <c r="A306" s="17" t="n">
        <v>35400</v>
      </c>
      <c r="B306" s="58">
        <f>VLOOKUP(Table13[[#This Row],[Date]],database!A:F,6,)</f>
        <v/>
      </c>
      <c r="C306" s="66">
        <f>B306/B305-1</f>
        <v/>
      </c>
      <c r="D306" s="66">
        <f>(Table13[[#This Row],[Index]]-B294)/B294</f>
        <v/>
      </c>
    </row>
    <row r="307">
      <c r="A307" s="17" t="n">
        <v>35431</v>
      </c>
      <c r="B307" s="58">
        <f>VLOOKUP(Table13[[#This Row],[Date]],database!A:F,6,)</f>
        <v/>
      </c>
      <c r="C307" s="66">
        <f>B307/B306-1</f>
        <v/>
      </c>
      <c r="D307" s="66">
        <f>(Table13[[#This Row],[Index]]-B295)/B295</f>
        <v/>
      </c>
    </row>
    <row r="308">
      <c r="A308" s="17" t="n">
        <v>35462</v>
      </c>
      <c r="B308" s="58">
        <f>VLOOKUP(Table13[[#This Row],[Date]],database!A:F,6,)</f>
        <v/>
      </c>
      <c r="C308" s="66">
        <f>B308/B307-1</f>
        <v/>
      </c>
      <c r="D308" s="66">
        <f>(Table13[[#This Row],[Index]]-B296)/B296</f>
        <v/>
      </c>
    </row>
    <row r="309">
      <c r="A309" s="17" t="n">
        <v>35490</v>
      </c>
      <c r="B309" s="58">
        <f>VLOOKUP(Table13[[#This Row],[Date]],database!A:F,6,)</f>
        <v/>
      </c>
      <c r="C309" s="66">
        <f>B309/B308-1</f>
        <v/>
      </c>
      <c r="D309" s="66">
        <f>(Table13[[#This Row],[Index]]-B297)/B297</f>
        <v/>
      </c>
    </row>
    <row r="310">
      <c r="A310" s="17" t="n">
        <v>35521</v>
      </c>
      <c r="B310" s="58">
        <f>VLOOKUP(Table13[[#This Row],[Date]],database!A:F,6,)</f>
        <v/>
      </c>
      <c r="C310" s="66">
        <f>B310/B309-1</f>
        <v/>
      </c>
      <c r="D310" s="66">
        <f>(Table13[[#This Row],[Index]]-B298)/B298</f>
        <v/>
      </c>
    </row>
    <row r="311">
      <c r="A311" s="17" t="n">
        <v>35551</v>
      </c>
      <c r="B311" s="58">
        <f>VLOOKUP(Table13[[#This Row],[Date]],database!A:F,6,)</f>
        <v/>
      </c>
      <c r="C311" s="66">
        <f>B311/B310-1</f>
        <v/>
      </c>
      <c r="D311" s="66">
        <f>(Table13[[#This Row],[Index]]-B299)/B299</f>
        <v/>
      </c>
    </row>
    <row r="312">
      <c r="A312" s="17" t="n">
        <v>35582</v>
      </c>
      <c r="B312" s="58">
        <f>VLOOKUP(Table13[[#This Row],[Date]],database!A:F,6,)</f>
        <v/>
      </c>
      <c r="C312" s="66">
        <f>B312/B311-1</f>
        <v/>
      </c>
      <c r="D312" s="66">
        <f>(Table13[[#This Row],[Index]]-B300)/B300</f>
        <v/>
      </c>
    </row>
    <row r="313">
      <c r="A313" s="17" t="n">
        <v>35612</v>
      </c>
      <c r="B313" s="58">
        <f>VLOOKUP(Table13[[#This Row],[Date]],database!A:F,6,)</f>
        <v/>
      </c>
      <c r="C313" s="66">
        <f>B313/B312-1</f>
        <v/>
      </c>
      <c r="D313" s="66">
        <f>(Table13[[#This Row],[Index]]-B301)/B301</f>
        <v/>
      </c>
    </row>
    <row r="314">
      <c r="A314" s="17" t="n">
        <v>35643</v>
      </c>
      <c r="B314" s="58">
        <f>VLOOKUP(Table13[[#This Row],[Date]],database!A:F,6,)</f>
        <v/>
      </c>
      <c r="C314" s="66">
        <f>B314/B313-1</f>
        <v/>
      </c>
      <c r="D314" s="66">
        <f>(Table13[[#This Row],[Index]]-B302)/B302</f>
        <v/>
      </c>
    </row>
    <row r="315">
      <c r="A315" s="17" t="n">
        <v>35674</v>
      </c>
      <c r="B315" s="58">
        <f>VLOOKUP(Table13[[#This Row],[Date]],database!A:F,6,)</f>
        <v/>
      </c>
      <c r="C315" s="66">
        <f>B315/B314-1</f>
        <v/>
      </c>
      <c r="D315" s="66">
        <f>(Table13[[#This Row],[Index]]-B303)/B303</f>
        <v/>
      </c>
    </row>
    <row r="316">
      <c r="A316" s="17" t="n">
        <v>35704</v>
      </c>
      <c r="B316" s="58">
        <f>VLOOKUP(Table13[[#This Row],[Date]],database!A:F,6,)</f>
        <v/>
      </c>
      <c r="C316" s="66">
        <f>B316/B315-1</f>
        <v/>
      </c>
      <c r="D316" s="66">
        <f>(Table13[[#This Row],[Index]]-B304)/B304</f>
        <v/>
      </c>
    </row>
    <row r="317">
      <c r="A317" s="17" t="n">
        <v>35735</v>
      </c>
      <c r="B317" s="58">
        <f>VLOOKUP(Table13[[#This Row],[Date]],database!A:F,6,)</f>
        <v/>
      </c>
      <c r="C317" s="66">
        <f>B317/B316-1</f>
        <v/>
      </c>
      <c r="D317" s="66">
        <f>(Table13[[#This Row],[Index]]-B305)/B305</f>
        <v/>
      </c>
    </row>
    <row r="318">
      <c r="A318" s="17" t="n">
        <v>35765</v>
      </c>
      <c r="B318" s="58">
        <f>VLOOKUP(Table13[[#This Row],[Date]],database!A:F,6,)</f>
        <v/>
      </c>
      <c r="C318" s="66">
        <f>B318/B317-1</f>
        <v/>
      </c>
      <c r="D318" s="66">
        <f>(Table13[[#This Row],[Index]]-B306)/B306</f>
        <v/>
      </c>
    </row>
    <row r="319">
      <c r="A319" s="17" t="n">
        <v>35796</v>
      </c>
      <c r="B319" s="58">
        <f>VLOOKUP(Table13[[#This Row],[Date]],database!A:F,6,)</f>
        <v/>
      </c>
      <c r="C319" s="66">
        <f>B319/B318-1</f>
        <v/>
      </c>
      <c r="D319" s="66">
        <f>(Table13[[#This Row],[Index]]-B307)/B307</f>
        <v/>
      </c>
    </row>
    <row r="320">
      <c r="A320" s="17" t="n">
        <v>35827</v>
      </c>
      <c r="B320" s="58">
        <f>VLOOKUP(Table13[[#This Row],[Date]],database!A:F,6,)</f>
        <v/>
      </c>
      <c r="C320" s="66">
        <f>B320/B319-1</f>
        <v/>
      </c>
      <c r="D320" s="66">
        <f>(Table13[[#This Row],[Index]]-B308)/B308</f>
        <v/>
      </c>
    </row>
    <row r="321">
      <c r="A321" s="17" t="n">
        <v>35855</v>
      </c>
      <c r="B321" s="58">
        <f>VLOOKUP(Table13[[#This Row],[Date]],database!A:F,6,)</f>
        <v/>
      </c>
      <c r="C321" s="66">
        <f>B321/B320-1</f>
        <v/>
      </c>
      <c r="D321" s="66">
        <f>(Table13[[#This Row],[Index]]-B309)/B309</f>
        <v/>
      </c>
    </row>
    <row r="322">
      <c r="A322" s="17" t="n">
        <v>35886</v>
      </c>
      <c r="B322" s="58">
        <f>VLOOKUP(Table13[[#This Row],[Date]],database!A:F,6,)</f>
        <v/>
      </c>
      <c r="C322" s="66">
        <f>B322/B321-1</f>
        <v/>
      </c>
      <c r="D322" s="66">
        <f>(Table13[[#This Row],[Index]]-B310)/B310</f>
        <v/>
      </c>
    </row>
    <row r="323">
      <c r="A323" s="17" t="n">
        <v>35916</v>
      </c>
      <c r="B323" s="58">
        <f>VLOOKUP(Table13[[#This Row],[Date]],database!A:F,6,)</f>
        <v/>
      </c>
      <c r="C323" s="66">
        <f>B323/B322-1</f>
        <v/>
      </c>
      <c r="D323" s="66">
        <f>(Table13[[#This Row],[Index]]-B311)/B311</f>
        <v/>
      </c>
    </row>
    <row r="324">
      <c r="A324" s="17" t="n">
        <v>35947</v>
      </c>
      <c r="B324" s="58">
        <f>VLOOKUP(Table13[[#This Row],[Date]],database!A:F,6,)</f>
        <v/>
      </c>
      <c r="C324" s="66">
        <f>B324/B323-1</f>
        <v/>
      </c>
      <c r="D324" s="66">
        <f>(Table13[[#This Row],[Index]]-B312)/B312</f>
        <v/>
      </c>
    </row>
    <row r="325">
      <c r="A325" s="17" t="n">
        <v>35977</v>
      </c>
      <c r="B325" s="58">
        <f>VLOOKUP(Table13[[#This Row],[Date]],database!A:F,6,)</f>
        <v/>
      </c>
      <c r="C325" s="66">
        <f>B325/B324-1</f>
        <v/>
      </c>
      <c r="D325" s="66">
        <f>(Table13[[#This Row],[Index]]-B313)/B313</f>
        <v/>
      </c>
    </row>
    <row r="326">
      <c r="A326" s="17" t="n">
        <v>36008</v>
      </c>
      <c r="B326" s="58">
        <f>VLOOKUP(Table13[[#This Row],[Date]],database!A:F,6,)</f>
        <v/>
      </c>
      <c r="C326" s="66">
        <f>B326/B325-1</f>
        <v/>
      </c>
      <c r="D326" s="66">
        <f>(Table13[[#This Row],[Index]]-B314)/B314</f>
        <v/>
      </c>
    </row>
    <row r="327">
      <c r="A327" s="17" t="n">
        <v>36039</v>
      </c>
      <c r="B327" s="58">
        <f>VLOOKUP(Table13[[#This Row],[Date]],database!A:F,6,)</f>
        <v/>
      </c>
      <c r="C327" s="66">
        <f>B327/B326-1</f>
        <v/>
      </c>
      <c r="D327" s="66">
        <f>(Table13[[#This Row],[Index]]-B315)/B315</f>
        <v/>
      </c>
    </row>
    <row r="328">
      <c r="A328" s="17" t="n">
        <v>36069</v>
      </c>
      <c r="B328" s="58">
        <f>VLOOKUP(Table13[[#This Row],[Date]],database!A:F,6,)</f>
        <v/>
      </c>
      <c r="C328" s="66">
        <f>B328/B327-1</f>
        <v/>
      </c>
      <c r="D328" s="66">
        <f>(Table13[[#This Row],[Index]]-B316)/B316</f>
        <v/>
      </c>
    </row>
    <row r="329">
      <c r="A329" s="17" t="n">
        <v>36100</v>
      </c>
      <c r="B329" s="58">
        <f>VLOOKUP(Table13[[#This Row],[Date]],database!A:F,6,)</f>
        <v/>
      </c>
      <c r="C329" s="66">
        <f>B329/B328-1</f>
        <v/>
      </c>
      <c r="D329" s="66">
        <f>(Table13[[#This Row],[Index]]-B317)/B317</f>
        <v/>
      </c>
    </row>
    <row r="330">
      <c r="A330" s="17" t="n">
        <v>36130</v>
      </c>
      <c r="B330" s="58">
        <f>VLOOKUP(Table13[[#This Row],[Date]],database!A:F,6,)</f>
        <v/>
      </c>
      <c r="C330" s="66">
        <f>B330/B329-1</f>
        <v/>
      </c>
      <c r="D330" s="66">
        <f>(Table13[[#This Row],[Index]]-B318)/B318</f>
        <v/>
      </c>
    </row>
    <row r="331">
      <c r="A331" s="17" t="n">
        <v>36161</v>
      </c>
      <c r="B331" s="58">
        <f>VLOOKUP(Table13[[#This Row],[Date]],database!A:F,6,)</f>
        <v/>
      </c>
      <c r="C331" s="66">
        <f>B331/B330-1</f>
        <v/>
      </c>
      <c r="D331" s="66">
        <f>(Table13[[#This Row],[Index]]-B319)/B319</f>
        <v/>
      </c>
    </row>
    <row r="332">
      <c r="A332" s="17" t="n">
        <v>36192</v>
      </c>
      <c r="B332" s="58">
        <f>VLOOKUP(Table13[[#This Row],[Date]],database!A:F,6,)</f>
        <v/>
      </c>
      <c r="C332" s="66">
        <f>B332/B331-1</f>
        <v/>
      </c>
      <c r="D332" s="66">
        <f>(Table13[[#This Row],[Index]]-B320)/B320</f>
        <v/>
      </c>
    </row>
    <row r="333">
      <c r="A333" s="17" t="n">
        <v>36220</v>
      </c>
      <c r="B333" s="58">
        <f>VLOOKUP(Table13[[#This Row],[Date]],database!A:F,6,)</f>
        <v/>
      </c>
      <c r="C333" s="66">
        <f>B333/B332-1</f>
        <v/>
      </c>
      <c r="D333" s="66">
        <f>(Table13[[#This Row],[Index]]-B321)/B321</f>
        <v/>
      </c>
    </row>
    <row r="334">
      <c r="A334" s="17" t="n">
        <v>36251</v>
      </c>
      <c r="B334" s="58">
        <f>VLOOKUP(Table13[[#This Row],[Date]],database!A:F,6,)</f>
        <v/>
      </c>
      <c r="C334" s="66">
        <f>B334/B333-1</f>
        <v/>
      </c>
      <c r="D334" s="66">
        <f>(Table13[[#This Row],[Index]]-B322)/B322</f>
        <v/>
      </c>
    </row>
    <row r="335">
      <c r="A335" s="17" t="n">
        <v>36281</v>
      </c>
      <c r="B335" s="58">
        <f>VLOOKUP(Table13[[#This Row],[Date]],database!A:F,6,)</f>
        <v/>
      </c>
      <c r="C335" s="66">
        <f>B335/B334-1</f>
        <v/>
      </c>
      <c r="D335" s="66">
        <f>(Table13[[#This Row],[Index]]-B323)/B323</f>
        <v/>
      </c>
    </row>
    <row r="336">
      <c r="A336" s="17" t="n">
        <v>36312</v>
      </c>
      <c r="B336" s="58">
        <f>VLOOKUP(Table13[[#This Row],[Date]],database!A:F,6,)</f>
        <v/>
      </c>
      <c r="C336" s="66">
        <f>B336/B335-1</f>
        <v/>
      </c>
      <c r="D336" s="66">
        <f>(Table13[[#This Row],[Index]]-B324)/B324</f>
        <v/>
      </c>
    </row>
    <row r="337">
      <c r="A337" s="17" t="n">
        <v>36342</v>
      </c>
      <c r="B337" s="58">
        <f>VLOOKUP(Table13[[#This Row],[Date]],database!A:F,6,)</f>
        <v/>
      </c>
      <c r="C337" s="66">
        <f>B337/B336-1</f>
        <v/>
      </c>
      <c r="D337" s="66">
        <f>(Table13[[#This Row],[Index]]-B325)/B325</f>
        <v/>
      </c>
    </row>
    <row r="338">
      <c r="A338" s="17" t="n">
        <v>36373</v>
      </c>
      <c r="B338" s="58">
        <f>VLOOKUP(Table13[[#This Row],[Date]],database!A:F,6,)</f>
        <v/>
      </c>
      <c r="C338" s="66">
        <f>B338/B337-1</f>
        <v/>
      </c>
      <c r="D338" s="66">
        <f>(Table13[[#This Row],[Index]]-B326)/B326</f>
        <v/>
      </c>
    </row>
    <row r="339">
      <c r="A339" s="17" t="n">
        <v>36404</v>
      </c>
      <c r="B339" s="58">
        <f>VLOOKUP(Table13[[#This Row],[Date]],database!A:F,6,)</f>
        <v/>
      </c>
      <c r="C339" s="66">
        <f>B339/B338-1</f>
        <v/>
      </c>
      <c r="D339" s="66">
        <f>(Table13[[#This Row],[Index]]-B327)/B327</f>
        <v/>
      </c>
    </row>
    <row r="340">
      <c r="A340" s="17" t="n">
        <v>36434</v>
      </c>
      <c r="B340" s="58">
        <f>VLOOKUP(Table13[[#This Row],[Date]],database!A:F,6,)</f>
        <v/>
      </c>
      <c r="C340" s="66">
        <f>B340/B339-1</f>
        <v/>
      </c>
      <c r="D340" s="66">
        <f>(Table13[[#This Row],[Index]]-B328)/B328</f>
        <v/>
      </c>
    </row>
    <row r="341">
      <c r="A341" s="17" t="n">
        <v>36465</v>
      </c>
      <c r="B341" s="58">
        <f>VLOOKUP(Table13[[#This Row],[Date]],database!A:F,6,)</f>
        <v/>
      </c>
      <c r="C341" s="66">
        <f>B341/B340-1</f>
        <v/>
      </c>
      <c r="D341" s="66">
        <f>(Table13[[#This Row],[Index]]-B329)/B329</f>
        <v/>
      </c>
    </row>
    <row r="342">
      <c r="A342" s="17" t="n">
        <v>36495</v>
      </c>
      <c r="B342" s="58">
        <f>VLOOKUP(Table13[[#This Row],[Date]],database!A:F,6,)</f>
        <v/>
      </c>
      <c r="C342" s="66">
        <f>B342/B341-1</f>
        <v/>
      </c>
      <c r="D342" s="66">
        <f>(Table13[[#This Row],[Index]]-B330)/B330</f>
        <v/>
      </c>
    </row>
    <row r="343">
      <c r="A343" s="17" t="n">
        <v>36526</v>
      </c>
      <c r="B343" s="58">
        <f>VLOOKUP(Table13[[#This Row],[Date]],database!A:F,6,)</f>
        <v/>
      </c>
      <c r="C343" s="66">
        <f>B343/B342-1</f>
        <v/>
      </c>
      <c r="D343" s="66">
        <f>(Table13[[#This Row],[Index]]-B331)/B331</f>
        <v/>
      </c>
    </row>
    <row r="344">
      <c r="A344" s="17" t="n">
        <v>36557</v>
      </c>
      <c r="B344" s="58">
        <f>VLOOKUP(Table13[[#This Row],[Date]],database!A:F,6,)</f>
        <v/>
      </c>
      <c r="C344" s="66">
        <f>B344/B343-1</f>
        <v/>
      </c>
      <c r="D344" s="66">
        <f>(Table13[[#This Row],[Index]]-B332)/B332</f>
        <v/>
      </c>
    </row>
    <row r="345">
      <c r="A345" s="17" t="n">
        <v>36586</v>
      </c>
      <c r="B345" s="58">
        <f>VLOOKUP(Table13[[#This Row],[Date]],database!A:F,6,)</f>
        <v/>
      </c>
      <c r="C345" s="66">
        <f>B345/B344-1</f>
        <v/>
      </c>
      <c r="D345" s="66">
        <f>(Table13[[#This Row],[Index]]-B333)/B333</f>
        <v/>
      </c>
    </row>
    <row r="346">
      <c r="A346" s="17" t="n">
        <v>36617</v>
      </c>
      <c r="B346" s="58">
        <f>VLOOKUP(Table13[[#This Row],[Date]],database!A:F,6,)</f>
        <v/>
      </c>
      <c r="C346" s="66">
        <f>B346/B345-1</f>
        <v/>
      </c>
      <c r="D346" s="66">
        <f>(Table13[[#This Row],[Index]]-B334)/B334</f>
        <v/>
      </c>
    </row>
    <row r="347">
      <c r="A347" s="17" t="n">
        <v>36647</v>
      </c>
      <c r="B347" s="58">
        <f>VLOOKUP(Table13[[#This Row],[Date]],database!A:F,6,)</f>
        <v/>
      </c>
      <c r="C347" s="66">
        <f>B347/B346-1</f>
        <v/>
      </c>
      <c r="D347" s="66">
        <f>(Table13[[#This Row],[Index]]-B335)/B335</f>
        <v/>
      </c>
    </row>
    <row r="348">
      <c r="A348" s="17" t="n">
        <v>36678</v>
      </c>
      <c r="B348" s="58">
        <f>VLOOKUP(Table13[[#This Row],[Date]],database!A:F,6,)</f>
        <v/>
      </c>
      <c r="C348" s="66">
        <f>B348/B347-1</f>
        <v/>
      </c>
      <c r="D348" s="66">
        <f>(Table13[[#This Row],[Index]]-B336)/B336</f>
        <v/>
      </c>
    </row>
    <row r="349">
      <c r="A349" s="17" t="n">
        <v>36708</v>
      </c>
      <c r="B349" s="58">
        <f>VLOOKUP(Table13[[#This Row],[Date]],database!A:F,6,)</f>
        <v/>
      </c>
      <c r="C349" s="66">
        <f>B349/B348-1</f>
        <v/>
      </c>
      <c r="D349" s="66">
        <f>(Table13[[#This Row],[Index]]-B337)/B337</f>
        <v/>
      </c>
    </row>
    <row r="350">
      <c r="A350" s="17" t="n">
        <v>36739</v>
      </c>
      <c r="B350" s="58">
        <f>VLOOKUP(Table13[[#This Row],[Date]],database!A:F,6,)</f>
        <v/>
      </c>
      <c r="C350" s="66">
        <f>B350/B349-1</f>
        <v/>
      </c>
      <c r="D350" s="66">
        <f>(Table13[[#This Row],[Index]]-B338)/B338</f>
        <v/>
      </c>
    </row>
    <row r="351">
      <c r="A351" s="17" t="n">
        <v>36770</v>
      </c>
      <c r="B351" s="58">
        <f>VLOOKUP(Table13[[#This Row],[Date]],database!A:F,6,)</f>
        <v/>
      </c>
      <c r="C351" s="66">
        <f>B351/B350-1</f>
        <v/>
      </c>
      <c r="D351" s="66">
        <f>(Table13[[#This Row],[Index]]-B339)/B339</f>
        <v/>
      </c>
    </row>
    <row r="352">
      <c r="A352" s="17" t="n">
        <v>36800</v>
      </c>
      <c r="B352" s="58">
        <f>VLOOKUP(Table13[[#This Row],[Date]],database!A:F,6,)</f>
        <v/>
      </c>
      <c r="C352" s="66">
        <f>B352/B351-1</f>
        <v/>
      </c>
      <c r="D352" s="66">
        <f>(Table13[[#This Row],[Index]]-B340)/B340</f>
        <v/>
      </c>
    </row>
    <row r="353">
      <c r="A353" s="17" t="n">
        <v>36831</v>
      </c>
      <c r="B353" s="58">
        <f>VLOOKUP(Table13[[#This Row],[Date]],database!A:F,6,)</f>
        <v/>
      </c>
      <c r="C353" s="66">
        <f>B353/B352-1</f>
        <v/>
      </c>
      <c r="D353" s="66">
        <f>(Table13[[#This Row],[Index]]-B341)/B341</f>
        <v/>
      </c>
    </row>
    <row r="354">
      <c r="A354" s="17" t="n">
        <v>36861</v>
      </c>
      <c r="B354" s="58">
        <f>VLOOKUP(Table13[[#This Row],[Date]],database!A:F,6,)</f>
        <v/>
      </c>
      <c r="C354" s="66">
        <f>B354/B353-1</f>
        <v/>
      </c>
      <c r="D354" s="66">
        <f>(Table13[[#This Row],[Index]]-B342)/B342</f>
        <v/>
      </c>
    </row>
    <row r="355">
      <c r="A355" s="17" t="n">
        <v>36892</v>
      </c>
      <c r="B355" s="58">
        <f>VLOOKUP(Table13[[#This Row],[Date]],database!A:F,6,)</f>
        <v/>
      </c>
      <c r="C355" s="66">
        <f>B355/B354-1</f>
        <v/>
      </c>
      <c r="D355" s="66">
        <f>(Table13[[#This Row],[Index]]-B343)/B343</f>
        <v/>
      </c>
    </row>
    <row r="356">
      <c r="A356" s="17" t="n">
        <v>36923</v>
      </c>
      <c r="B356" s="58">
        <f>VLOOKUP(Table13[[#This Row],[Date]],database!A:F,6,)</f>
        <v/>
      </c>
      <c r="C356" s="66">
        <f>B356/B355-1</f>
        <v/>
      </c>
      <c r="D356" s="66">
        <f>(Table13[[#This Row],[Index]]-B344)/B344</f>
        <v/>
      </c>
    </row>
    <row r="357">
      <c r="A357" s="17" t="n">
        <v>36951</v>
      </c>
      <c r="B357" s="58">
        <f>VLOOKUP(Table13[[#This Row],[Date]],database!A:F,6,)</f>
        <v/>
      </c>
      <c r="C357" s="66">
        <f>B357/B356-1</f>
        <v/>
      </c>
      <c r="D357" s="66">
        <f>(Table13[[#This Row],[Index]]-B345)/B345</f>
        <v/>
      </c>
    </row>
    <row r="358">
      <c r="A358" s="17" t="n">
        <v>36982</v>
      </c>
      <c r="B358" s="58">
        <f>VLOOKUP(Table13[[#This Row],[Date]],database!A:F,6,)</f>
        <v/>
      </c>
      <c r="C358" s="66">
        <f>B358/B357-1</f>
        <v/>
      </c>
      <c r="D358" s="66">
        <f>(Table13[[#This Row],[Index]]-B346)/B346</f>
        <v/>
      </c>
    </row>
    <row r="359">
      <c r="A359" s="17" t="n">
        <v>37012</v>
      </c>
      <c r="B359" s="58">
        <f>VLOOKUP(Table13[[#This Row],[Date]],database!A:F,6,)</f>
        <v/>
      </c>
      <c r="C359" s="66">
        <f>B359/B358-1</f>
        <v/>
      </c>
      <c r="D359" s="66">
        <f>(Table13[[#This Row],[Index]]-B347)/B347</f>
        <v/>
      </c>
    </row>
    <row r="360">
      <c r="A360" s="17" t="n">
        <v>37043</v>
      </c>
      <c r="B360" s="58">
        <f>VLOOKUP(Table13[[#This Row],[Date]],database!A:F,6,)</f>
        <v/>
      </c>
      <c r="C360" s="66">
        <f>B360/B359-1</f>
        <v/>
      </c>
      <c r="D360" s="66">
        <f>(Table13[[#This Row],[Index]]-B348)/B348</f>
        <v/>
      </c>
    </row>
    <row r="361">
      <c r="A361" s="17" t="n">
        <v>37073</v>
      </c>
      <c r="B361" s="58">
        <f>VLOOKUP(Table13[[#This Row],[Date]],database!A:F,6,)</f>
        <v/>
      </c>
      <c r="C361" s="66">
        <f>B361/B360-1</f>
        <v/>
      </c>
      <c r="D361" s="66">
        <f>(Table13[[#This Row],[Index]]-B349)/B349</f>
        <v/>
      </c>
    </row>
    <row r="362">
      <c r="A362" s="17" t="n">
        <v>37104</v>
      </c>
      <c r="B362" s="58">
        <f>VLOOKUP(Table13[[#This Row],[Date]],database!A:F,6,)</f>
        <v/>
      </c>
      <c r="C362" s="66">
        <f>B362/B361-1</f>
        <v/>
      </c>
      <c r="D362" s="66">
        <f>(Table13[[#This Row],[Index]]-B350)/B350</f>
        <v/>
      </c>
    </row>
    <row r="363">
      <c r="A363" s="17" t="n">
        <v>37135</v>
      </c>
      <c r="B363" s="58">
        <f>VLOOKUP(Table13[[#This Row],[Date]],database!A:F,6,)</f>
        <v/>
      </c>
      <c r="C363" s="66">
        <f>B363/B362-1</f>
        <v/>
      </c>
      <c r="D363" s="66">
        <f>(Table13[[#This Row],[Index]]-B351)/B351</f>
        <v/>
      </c>
    </row>
    <row r="364">
      <c r="A364" s="17" t="n">
        <v>37165</v>
      </c>
      <c r="B364" s="58">
        <f>VLOOKUP(Table13[[#This Row],[Date]],database!A:F,6,)</f>
        <v/>
      </c>
      <c r="C364" s="66">
        <f>B364/B363-1</f>
        <v/>
      </c>
      <c r="D364" s="66">
        <f>(Table13[[#This Row],[Index]]-B352)/B352</f>
        <v/>
      </c>
    </row>
    <row r="365">
      <c r="A365" s="17" t="n">
        <v>37196</v>
      </c>
      <c r="B365" s="58">
        <f>VLOOKUP(Table13[[#This Row],[Date]],database!A:F,6,)</f>
        <v/>
      </c>
      <c r="C365" s="66">
        <f>B365/B364-1</f>
        <v/>
      </c>
      <c r="D365" s="66">
        <f>(Table13[[#This Row],[Index]]-B353)/B353</f>
        <v/>
      </c>
    </row>
    <row r="366">
      <c r="A366" s="17" t="n">
        <v>37226</v>
      </c>
      <c r="B366" s="58">
        <f>VLOOKUP(Table13[[#This Row],[Date]],database!A:F,6,)</f>
        <v/>
      </c>
      <c r="C366" s="66">
        <f>B366/B365-1</f>
        <v/>
      </c>
      <c r="D366" s="66">
        <f>(Table13[[#This Row],[Index]]-B354)/B354</f>
        <v/>
      </c>
    </row>
    <row r="367">
      <c r="A367" s="17" t="n">
        <v>37257</v>
      </c>
      <c r="B367" s="58">
        <f>VLOOKUP(Table13[[#This Row],[Date]],database!A:F,6,)</f>
        <v/>
      </c>
      <c r="C367" s="66">
        <f>B367/B366-1</f>
        <v/>
      </c>
      <c r="D367" s="66">
        <f>(Table13[[#This Row],[Index]]-B355)/B355</f>
        <v/>
      </c>
    </row>
    <row r="368">
      <c r="A368" s="17" t="n">
        <v>37288</v>
      </c>
      <c r="B368" s="58">
        <f>VLOOKUP(Table13[[#This Row],[Date]],database!A:F,6,)</f>
        <v/>
      </c>
      <c r="C368" s="66">
        <f>B368/B367-1</f>
        <v/>
      </c>
      <c r="D368" s="66">
        <f>(Table13[[#This Row],[Index]]-B356)/B356</f>
        <v/>
      </c>
    </row>
    <row r="369">
      <c r="A369" s="17" t="n">
        <v>37316</v>
      </c>
      <c r="B369" s="58">
        <f>VLOOKUP(Table13[[#This Row],[Date]],database!A:F,6,)</f>
        <v/>
      </c>
      <c r="C369" s="66">
        <f>B369/B368-1</f>
        <v/>
      </c>
      <c r="D369" s="66">
        <f>(Table13[[#This Row],[Index]]-B357)/B357</f>
        <v/>
      </c>
    </row>
    <row r="370">
      <c r="A370" s="17" t="n">
        <v>37347</v>
      </c>
      <c r="B370" s="58">
        <f>VLOOKUP(Table13[[#This Row],[Date]],database!A:F,6,)</f>
        <v/>
      </c>
      <c r="C370" s="66">
        <f>B370/B369-1</f>
        <v/>
      </c>
      <c r="D370" s="66">
        <f>(Table13[[#This Row],[Index]]-B358)/B358</f>
        <v/>
      </c>
    </row>
    <row r="371">
      <c r="A371" s="17" t="n">
        <v>37377</v>
      </c>
      <c r="B371" s="58">
        <f>VLOOKUP(Table13[[#This Row],[Date]],database!A:F,6,)</f>
        <v/>
      </c>
      <c r="C371" s="66">
        <f>B371/B370-1</f>
        <v/>
      </c>
      <c r="D371" s="66">
        <f>(Table13[[#This Row],[Index]]-B359)/B359</f>
        <v/>
      </c>
    </row>
    <row r="372">
      <c r="A372" s="17" t="n">
        <v>37408</v>
      </c>
      <c r="B372" s="58">
        <f>VLOOKUP(Table13[[#This Row],[Date]],database!A:F,6,)</f>
        <v/>
      </c>
      <c r="C372" s="66">
        <f>B372/B371-1</f>
        <v/>
      </c>
      <c r="D372" s="66">
        <f>(Table13[[#This Row],[Index]]-B360)/B360</f>
        <v/>
      </c>
    </row>
    <row r="373">
      <c r="A373" s="17" t="n">
        <v>37438</v>
      </c>
      <c r="B373" s="58">
        <f>VLOOKUP(Table13[[#This Row],[Date]],database!A:F,6,)</f>
        <v/>
      </c>
      <c r="C373" s="66">
        <f>B373/B372-1</f>
        <v/>
      </c>
      <c r="D373" s="66">
        <f>(Table13[[#This Row],[Index]]-B361)/B361</f>
        <v/>
      </c>
    </row>
    <row r="374">
      <c r="A374" s="17" t="n">
        <v>37469</v>
      </c>
      <c r="B374" s="58">
        <f>VLOOKUP(Table13[[#This Row],[Date]],database!A:F,6,)</f>
        <v/>
      </c>
      <c r="C374" s="66">
        <f>B374/B373-1</f>
        <v/>
      </c>
      <c r="D374" s="66">
        <f>(Table13[[#This Row],[Index]]-B362)/B362</f>
        <v/>
      </c>
    </row>
    <row r="375">
      <c r="A375" s="17" t="n">
        <v>37500</v>
      </c>
      <c r="B375" s="58">
        <f>VLOOKUP(Table13[[#This Row],[Date]],database!A:F,6,)</f>
        <v/>
      </c>
      <c r="C375" s="66">
        <f>B375/B374-1</f>
        <v/>
      </c>
      <c r="D375" s="66">
        <f>(Table13[[#This Row],[Index]]-B363)/B363</f>
        <v/>
      </c>
    </row>
    <row r="376">
      <c r="A376" s="17" t="n">
        <v>37530</v>
      </c>
      <c r="B376" s="58">
        <f>VLOOKUP(Table13[[#This Row],[Date]],database!A:F,6,)</f>
        <v/>
      </c>
      <c r="C376" s="66">
        <f>B376/B375-1</f>
        <v/>
      </c>
      <c r="D376" s="66">
        <f>(Table13[[#This Row],[Index]]-B364)/B364</f>
        <v/>
      </c>
    </row>
    <row r="377">
      <c r="A377" s="17" t="n">
        <v>37561</v>
      </c>
      <c r="B377" s="58">
        <f>VLOOKUP(Table13[[#This Row],[Date]],database!A:F,6,)</f>
        <v/>
      </c>
      <c r="C377" s="66">
        <f>B377/B376-1</f>
        <v/>
      </c>
      <c r="D377" s="66">
        <f>(Table13[[#This Row],[Index]]-B365)/B365</f>
        <v/>
      </c>
    </row>
    <row r="378">
      <c r="A378" s="17" t="n">
        <v>37591</v>
      </c>
      <c r="B378" s="58">
        <f>VLOOKUP(Table13[[#This Row],[Date]],database!A:F,6,)</f>
        <v/>
      </c>
      <c r="C378" s="66">
        <f>B378/B377-1</f>
        <v/>
      </c>
      <c r="D378" s="66">
        <f>(Table13[[#This Row],[Index]]-B366)/B366</f>
        <v/>
      </c>
    </row>
    <row r="379">
      <c r="A379" s="17" t="n">
        <v>37622</v>
      </c>
      <c r="B379" s="58">
        <f>VLOOKUP(Table13[[#This Row],[Date]],database!A:F,6,)</f>
        <v/>
      </c>
      <c r="C379" s="66">
        <f>B379/B378-1</f>
        <v/>
      </c>
      <c r="D379" s="66">
        <f>(Table13[[#This Row],[Index]]-B367)/B367</f>
        <v/>
      </c>
    </row>
    <row r="380">
      <c r="A380" s="17" t="n">
        <v>37653</v>
      </c>
      <c r="B380" s="58">
        <f>VLOOKUP(Table13[[#This Row],[Date]],database!A:F,6,)</f>
        <v/>
      </c>
      <c r="C380" s="66">
        <f>B380/B379-1</f>
        <v/>
      </c>
      <c r="D380" s="66">
        <f>(Table13[[#This Row],[Index]]-B368)/B368</f>
        <v/>
      </c>
    </row>
    <row r="381">
      <c r="A381" s="17" t="n">
        <v>37681</v>
      </c>
      <c r="B381" s="58">
        <f>VLOOKUP(Table13[[#This Row],[Date]],database!A:F,6,)</f>
        <v/>
      </c>
      <c r="C381" s="66">
        <f>B381/B380-1</f>
        <v/>
      </c>
      <c r="D381" s="66">
        <f>(Table13[[#This Row],[Index]]-B369)/B369</f>
        <v/>
      </c>
    </row>
    <row r="382">
      <c r="A382" s="17" t="n">
        <v>37712</v>
      </c>
      <c r="B382" s="58">
        <f>VLOOKUP(Table13[[#This Row],[Date]],database!A:F,6,)</f>
        <v/>
      </c>
      <c r="C382" s="66">
        <f>B382/B381-1</f>
        <v/>
      </c>
      <c r="D382" s="66">
        <f>(Table13[[#This Row],[Index]]-B370)/B370</f>
        <v/>
      </c>
    </row>
    <row r="383">
      <c r="A383" s="17" t="n">
        <v>37742</v>
      </c>
      <c r="B383" s="58">
        <f>VLOOKUP(Table13[[#This Row],[Date]],database!A:F,6,)</f>
        <v/>
      </c>
      <c r="C383" s="66">
        <f>B383/B382-1</f>
        <v/>
      </c>
      <c r="D383" s="66">
        <f>(Table13[[#This Row],[Index]]-B371)/B371</f>
        <v/>
      </c>
    </row>
    <row r="384">
      <c r="A384" s="17" t="n">
        <v>37773</v>
      </c>
      <c r="B384" s="58">
        <f>VLOOKUP(Table13[[#This Row],[Date]],database!A:F,6,)</f>
        <v/>
      </c>
      <c r="C384" s="66">
        <f>B384/B383-1</f>
        <v/>
      </c>
      <c r="D384" s="66">
        <f>(Table13[[#This Row],[Index]]-B372)/B372</f>
        <v/>
      </c>
    </row>
    <row r="385">
      <c r="A385" s="17" t="n">
        <v>37803</v>
      </c>
      <c r="B385" s="58">
        <f>VLOOKUP(Table13[[#This Row],[Date]],database!A:F,6,)</f>
        <v/>
      </c>
      <c r="C385" s="66">
        <f>B385/B384-1</f>
        <v/>
      </c>
      <c r="D385" s="66">
        <f>(Table13[[#This Row],[Index]]-B373)/B373</f>
        <v/>
      </c>
    </row>
    <row r="386">
      <c r="A386" s="17" t="n">
        <v>37834</v>
      </c>
      <c r="B386" s="58">
        <f>VLOOKUP(Table13[[#This Row],[Date]],database!A:F,6,)</f>
        <v/>
      </c>
      <c r="C386" s="66">
        <f>B386/B385-1</f>
        <v/>
      </c>
      <c r="D386" s="66">
        <f>(Table13[[#This Row],[Index]]-B374)/B374</f>
        <v/>
      </c>
    </row>
    <row r="387">
      <c r="A387" s="17" t="n">
        <v>37865</v>
      </c>
      <c r="B387" s="58">
        <f>VLOOKUP(Table13[[#This Row],[Date]],database!A:F,6,)</f>
        <v/>
      </c>
      <c r="C387" s="66">
        <f>B387/B386-1</f>
        <v/>
      </c>
      <c r="D387" s="66">
        <f>(Table13[[#This Row],[Index]]-B375)/B375</f>
        <v/>
      </c>
    </row>
    <row r="388">
      <c r="A388" s="17" t="n">
        <v>37895</v>
      </c>
      <c r="B388" s="58">
        <f>VLOOKUP(Table13[[#This Row],[Date]],database!A:F,6,)</f>
        <v/>
      </c>
      <c r="C388" s="66">
        <f>B388/B387-1</f>
        <v/>
      </c>
      <c r="D388" s="66">
        <f>(Table13[[#This Row],[Index]]-B376)/B376</f>
        <v/>
      </c>
    </row>
    <row r="389">
      <c r="A389" s="17" t="n">
        <v>37926</v>
      </c>
      <c r="B389" s="58">
        <f>VLOOKUP(Table13[[#This Row],[Date]],database!A:F,6,)</f>
        <v/>
      </c>
      <c r="C389" s="66">
        <f>B389/B388-1</f>
        <v/>
      </c>
      <c r="D389" s="66">
        <f>(Table13[[#This Row],[Index]]-B377)/B377</f>
        <v/>
      </c>
    </row>
    <row r="390">
      <c r="A390" s="17" t="n">
        <v>37956</v>
      </c>
      <c r="B390" s="58">
        <f>VLOOKUP(Table13[[#This Row],[Date]],database!A:F,6,)</f>
        <v/>
      </c>
      <c r="C390" s="66">
        <f>B390/B389-1</f>
        <v/>
      </c>
      <c r="D390" s="66">
        <f>(Table13[[#This Row],[Index]]-B378)/B378</f>
        <v/>
      </c>
    </row>
    <row r="391">
      <c r="A391" s="17" t="n">
        <v>37987</v>
      </c>
      <c r="B391" s="58">
        <f>VLOOKUP(Table13[[#This Row],[Date]],database!A:F,6,)</f>
        <v/>
      </c>
      <c r="C391" s="66">
        <f>B391/B390-1</f>
        <v/>
      </c>
      <c r="D391" s="66">
        <f>(Table13[[#This Row],[Index]]-B379)/B379</f>
        <v/>
      </c>
    </row>
    <row r="392">
      <c r="A392" s="17" t="n">
        <v>38018</v>
      </c>
      <c r="B392" s="58">
        <f>VLOOKUP(Table13[[#This Row],[Date]],database!A:F,6,)</f>
        <v/>
      </c>
      <c r="C392" s="66">
        <f>B392/B391-1</f>
        <v/>
      </c>
      <c r="D392" s="66">
        <f>(Table13[[#This Row],[Index]]-B380)/B380</f>
        <v/>
      </c>
    </row>
    <row r="393">
      <c r="A393" s="17" t="n">
        <v>38047</v>
      </c>
      <c r="B393" s="58">
        <f>VLOOKUP(Table13[[#This Row],[Date]],database!A:F,6,)</f>
        <v/>
      </c>
      <c r="C393" s="66">
        <f>B393/B392-1</f>
        <v/>
      </c>
      <c r="D393" s="66">
        <f>(Table13[[#This Row],[Index]]-B381)/B381</f>
        <v/>
      </c>
    </row>
    <row r="394">
      <c r="A394" s="17" t="n">
        <v>38078</v>
      </c>
      <c r="B394" s="58">
        <f>VLOOKUP(Table13[[#This Row],[Date]],database!A:F,6,)</f>
        <v/>
      </c>
      <c r="C394" s="66">
        <f>B394/B393-1</f>
        <v/>
      </c>
      <c r="D394" s="66">
        <f>(Table13[[#This Row],[Index]]-B382)/B382</f>
        <v/>
      </c>
    </row>
    <row r="395">
      <c r="A395" s="17" t="n">
        <v>38108</v>
      </c>
      <c r="B395" s="58">
        <f>VLOOKUP(Table13[[#This Row],[Date]],database!A:F,6,)</f>
        <v/>
      </c>
      <c r="C395" s="66">
        <f>B395/B394-1</f>
        <v/>
      </c>
      <c r="D395" s="66">
        <f>(Table13[[#This Row],[Index]]-B383)/B383</f>
        <v/>
      </c>
    </row>
    <row r="396">
      <c r="A396" s="17" t="n">
        <v>38139</v>
      </c>
      <c r="B396" s="58">
        <f>VLOOKUP(Table13[[#This Row],[Date]],database!A:F,6,)</f>
        <v/>
      </c>
      <c r="C396" s="66">
        <f>B396/B395-1</f>
        <v/>
      </c>
      <c r="D396" s="66">
        <f>(Table13[[#This Row],[Index]]-B384)/B384</f>
        <v/>
      </c>
    </row>
    <row r="397">
      <c r="A397" s="17" t="n">
        <v>38169</v>
      </c>
      <c r="B397" s="58">
        <f>VLOOKUP(Table13[[#This Row],[Date]],database!A:F,6,)</f>
        <v/>
      </c>
      <c r="C397" s="66">
        <f>B397/B396-1</f>
        <v/>
      </c>
      <c r="D397" s="66">
        <f>(Table13[[#This Row],[Index]]-B385)/B385</f>
        <v/>
      </c>
    </row>
    <row r="398">
      <c r="A398" s="17" t="n">
        <v>38200</v>
      </c>
      <c r="B398" s="58">
        <f>VLOOKUP(Table13[[#This Row],[Date]],database!A:F,6,)</f>
        <v/>
      </c>
      <c r="C398" s="66">
        <f>B398/B397-1</f>
        <v/>
      </c>
      <c r="D398" s="66">
        <f>(Table13[[#This Row],[Index]]-B386)/B386</f>
        <v/>
      </c>
    </row>
    <row r="399">
      <c r="A399" s="17" t="n">
        <v>38231</v>
      </c>
      <c r="B399" s="58">
        <f>VLOOKUP(Table13[[#This Row],[Date]],database!A:F,6,)</f>
        <v/>
      </c>
      <c r="C399" s="66">
        <f>B399/B398-1</f>
        <v/>
      </c>
      <c r="D399" s="66">
        <f>(Table13[[#This Row],[Index]]-B387)/B387</f>
        <v/>
      </c>
    </row>
    <row r="400">
      <c r="A400" s="17" t="n">
        <v>38261</v>
      </c>
      <c r="B400" s="58">
        <f>VLOOKUP(Table13[[#This Row],[Date]],database!A:F,6,)</f>
        <v/>
      </c>
      <c r="C400" s="66">
        <f>B400/B399-1</f>
        <v/>
      </c>
      <c r="D400" s="66">
        <f>(Table13[[#This Row],[Index]]-B388)/B388</f>
        <v/>
      </c>
    </row>
    <row r="401">
      <c r="A401" s="17" t="n">
        <v>38292</v>
      </c>
      <c r="B401" s="58">
        <f>VLOOKUP(Table13[[#This Row],[Date]],database!A:F,6,)</f>
        <v/>
      </c>
      <c r="C401" s="66">
        <f>B401/B400-1</f>
        <v/>
      </c>
      <c r="D401" s="66">
        <f>(Table13[[#This Row],[Index]]-B389)/B389</f>
        <v/>
      </c>
    </row>
    <row r="402">
      <c r="A402" s="17" t="n">
        <v>38322</v>
      </c>
      <c r="B402" s="58">
        <f>VLOOKUP(Table13[[#This Row],[Date]],database!A:F,6,)</f>
        <v/>
      </c>
      <c r="C402" s="66">
        <f>B402/B401-1</f>
        <v/>
      </c>
      <c r="D402" s="66">
        <f>(Table13[[#This Row],[Index]]-B390)/B390</f>
        <v/>
      </c>
    </row>
    <row r="403">
      <c r="A403" s="17" t="n">
        <v>38353</v>
      </c>
      <c r="B403" s="58">
        <f>VLOOKUP(Table13[[#This Row],[Date]],database!A:F,6,)</f>
        <v/>
      </c>
      <c r="C403" s="66">
        <f>B403/B402-1</f>
        <v/>
      </c>
      <c r="D403" s="66">
        <f>(Table13[[#This Row],[Index]]-B391)/B391</f>
        <v/>
      </c>
    </row>
    <row r="404">
      <c r="A404" s="17" t="n">
        <v>38384</v>
      </c>
      <c r="B404" s="58">
        <f>VLOOKUP(Table13[[#This Row],[Date]],database!A:F,6,)</f>
        <v/>
      </c>
      <c r="C404" s="66">
        <f>B404/B403-1</f>
        <v/>
      </c>
      <c r="D404" s="66">
        <f>(Table13[[#This Row],[Index]]-B392)/B392</f>
        <v/>
      </c>
    </row>
    <row r="405">
      <c r="A405" s="17" t="n">
        <v>38412</v>
      </c>
      <c r="B405" s="58">
        <f>VLOOKUP(Table13[[#This Row],[Date]],database!A:F,6,)</f>
        <v/>
      </c>
      <c r="C405" s="66">
        <f>B405/B404-1</f>
        <v/>
      </c>
      <c r="D405" s="66">
        <f>(Table13[[#This Row],[Index]]-B393)/B393</f>
        <v/>
      </c>
    </row>
    <row r="406">
      <c r="A406" s="17" t="n">
        <v>38443</v>
      </c>
      <c r="B406" s="58">
        <f>VLOOKUP(Table13[[#This Row],[Date]],database!A:F,6,)</f>
        <v/>
      </c>
      <c r="C406" s="66">
        <f>B406/B405-1</f>
        <v/>
      </c>
      <c r="D406" s="66">
        <f>(Table13[[#This Row],[Index]]-B394)/B394</f>
        <v/>
      </c>
    </row>
    <row r="407">
      <c r="A407" s="17" t="n">
        <v>38473</v>
      </c>
      <c r="B407" s="58">
        <f>VLOOKUP(Table13[[#This Row],[Date]],database!A:F,6,)</f>
        <v/>
      </c>
      <c r="C407" s="66">
        <f>B407/B406-1</f>
        <v/>
      </c>
      <c r="D407" s="66">
        <f>(Table13[[#This Row],[Index]]-B395)/B395</f>
        <v/>
      </c>
    </row>
    <row r="408">
      <c r="A408" s="17" t="n">
        <v>38504</v>
      </c>
      <c r="B408" s="58">
        <f>VLOOKUP(Table13[[#This Row],[Date]],database!A:F,6,)</f>
        <v/>
      </c>
      <c r="C408" s="66">
        <f>B408/B407-1</f>
        <v/>
      </c>
      <c r="D408" s="66">
        <f>(Table13[[#This Row],[Index]]-B396)/B396</f>
        <v/>
      </c>
    </row>
    <row r="409">
      <c r="A409" s="17" t="n">
        <v>38534</v>
      </c>
      <c r="B409" s="58">
        <f>VLOOKUP(Table13[[#This Row],[Date]],database!A:F,6,)</f>
        <v/>
      </c>
      <c r="C409" s="66">
        <f>B409/B408-1</f>
        <v/>
      </c>
      <c r="D409" s="66">
        <f>(Table13[[#This Row],[Index]]-B397)/B397</f>
        <v/>
      </c>
    </row>
    <row r="410">
      <c r="A410" s="17" t="n">
        <v>38565</v>
      </c>
      <c r="B410" s="58">
        <f>VLOOKUP(Table13[[#This Row],[Date]],database!A:F,6,)</f>
        <v/>
      </c>
      <c r="C410" s="66">
        <f>B410/B409-1</f>
        <v/>
      </c>
      <c r="D410" s="66">
        <f>(Table13[[#This Row],[Index]]-B398)/B398</f>
        <v/>
      </c>
    </row>
    <row r="411">
      <c r="A411" s="17" t="n">
        <v>38596</v>
      </c>
      <c r="B411" s="58">
        <f>VLOOKUP(Table13[[#This Row],[Date]],database!A:F,6,)</f>
        <v/>
      </c>
      <c r="C411" s="66">
        <f>B411/B410-1</f>
        <v/>
      </c>
      <c r="D411" s="66">
        <f>(Table13[[#This Row],[Index]]-B399)/B399</f>
        <v/>
      </c>
    </row>
    <row r="412">
      <c r="A412" s="17" t="n">
        <v>38626</v>
      </c>
      <c r="B412" s="58">
        <f>VLOOKUP(Table13[[#This Row],[Date]],database!A:F,6,)</f>
        <v/>
      </c>
      <c r="C412" s="66">
        <f>B412/B411-1</f>
        <v/>
      </c>
      <c r="D412" s="66">
        <f>(Table13[[#This Row],[Index]]-B400)/B400</f>
        <v/>
      </c>
    </row>
    <row r="413">
      <c r="A413" s="17" t="n">
        <v>38657</v>
      </c>
      <c r="B413" s="58">
        <f>VLOOKUP(Table13[[#This Row],[Date]],database!A:F,6,)</f>
        <v/>
      </c>
      <c r="C413" s="66">
        <f>B413/B412-1</f>
        <v/>
      </c>
      <c r="D413" s="66">
        <f>(Table13[[#This Row],[Index]]-B401)/B401</f>
        <v/>
      </c>
    </row>
    <row r="414">
      <c r="A414" s="17" t="n">
        <v>38687</v>
      </c>
      <c r="B414" s="58">
        <f>VLOOKUP(Table13[[#This Row],[Date]],database!A:F,6,)</f>
        <v/>
      </c>
      <c r="C414" s="66">
        <f>B414/B413-1</f>
        <v/>
      </c>
      <c r="D414" s="66">
        <f>(Table13[[#This Row],[Index]]-B402)/B402</f>
        <v/>
      </c>
    </row>
    <row r="415">
      <c r="A415" s="17" t="n">
        <v>38718</v>
      </c>
      <c r="B415" s="58">
        <f>VLOOKUP(Table13[[#This Row],[Date]],database!A:F,6,)</f>
        <v/>
      </c>
      <c r="C415" s="66">
        <f>B415/B414-1</f>
        <v/>
      </c>
      <c r="D415" s="66">
        <f>(Table13[[#This Row],[Index]]-B403)/B403</f>
        <v/>
      </c>
    </row>
    <row r="416">
      <c r="A416" s="17" t="n">
        <v>38749</v>
      </c>
      <c r="B416" s="58">
        <f>VLOOKUP(Table13[[#This Row],[Date]],database!A:F,6,)</f>
        <v/>
      </c>
      <c r="C416" s="66">
        <f>B416/B415-1</f>
        <v/>
      </c>
      <c r="D416" s="66">
        <f>(Table13[[#This Row],[Index]]-B404)/B404</f>
        <v/>
      </c>
    </row>
    <row r="417">
      <c r="A417" s="17" t="n">
        <v>38777</v>
      </c>
      <c r="B417" s="58">
        <f>VLOOKUP(Table13[[#This Row],[Date]],database!A:F,6,)</f>
        <v/>
      </c>
      <c r="C417" s="66">
        <f>B417/B416-1</f>
        <v/>
      </c>
      <c r="D417" s="66">
        <f>(Table13[[#This Row],[Index]]-B405)/B405</f>
        <v/>
      </c>
    </row>
    <row r="418">
      <c r="A418" s="17" t="n">
        <v>38808</v>
      </c>
      <c r="B418" s="58">
        <f>VLOOKUP(Table13[[#This Row],[Date]],database!A:F,6,)</f>
        <v/>
      </c>
      <c r="C418" s="66">
        <f>B418/B417-1</f>
        <v/>
      </c>
      <c r="D418" s="66">
        <f>(Table13[[#This Row],[Index]]-B406)/B406</f>
        <v/>
      </c>
    </row>
    <row r="419">
      <c r="A419" s="17" t="n">
        <v>38838</v>
      </c>
      <c r="B419" s="58">
        <f>VLOOKUP(Table13[[#This Row],[Date]],database!A:F,6,)</f>
        <v/>
      </c>
      <c r="C419" s="66">
        <f>B419/B418-1</f>
        <v/>
      </c>
      <c r="D419" s="66">
        <f>(Table13[[#This Row],[Index]]-B407)/B407</f>
        <v/>
      </c>
    </row>
    <row r="420">
      <c r="A420" s="17" t="n">
        <v>38869</v>
      </c>
      <c r="B420" s="58">
        <f>VLOOKUP(Table13[[#This Row],[Date]],database!A:F,6,)</f>
        <v/>
      </c>
      <c r="C420" s="66">
        <f>B420/B419-1</f>
        <v/>
      </c>
      <c r="D420" s="66">
        <f>(Table13[[#This Row],[Index]]-B408)/B408</f>
        <v/>
      </c>
    </row>
    <row r="421">
      <c r="A421" s="17" t="n">
        <v>38899</v>
      </c>
      <c r="B421" s="58">
        <f>VLOOKUP(Table13[[#This Row],[Date]],database!A:F,6,)</f>
        <v/>
      </c>
      <c r="C421" s="66">
        <f>B421/B420-1</f>
        <v/>
      </c>
      <c r="D421" s="66">
        <f>(Table13[[#This Row],[Index]]-B409)/B409</f>
        <v/>
      </c>
    </row>
    <row r="422">
      <c r="A422" s="17" t="n">
        <v>38930</v>
      </c>
      <c r="B422" s="58">
        <f>VLOOKUP(Table13[[#This Row],[Date]],database!A:F,6,)</f>
        <v/>
      </c>
      <c r="C422" s="66">
        <f>B422/B421-1</f>
        <v/>
      </c>
      <c r="D422" s="66">
        <f>(Table13[[#This Row],[Index]]-B410)/B410</f>
        <v/>
      </c>
    </row>
    <row r="423">
      <c r="A423" s="17" t="n">
        <v>38961</v>
      </c>
      <c r="B423" s="58">
        <f>VLOOKUP(Table13[[#This Row],[Date]],database!A:F,6,)</f>
        <v/>
      </c>
      <c r="C423" s="66">
        <f>B423/B422-1</f>
        <v/>
      </c>
      <c r="D423" s="66">
        <f>(Table13[[#This Row],[Index]]-B411)/B411</f>
        <v/>
      </c>
    </row>
    <row r="424">
      <c r="A424" s="17" t="n">
        <v>38991</v>
      </c>
      <c r="B424" s="58">
        <f>VLOOKUP(Table13[[#This Row],[Date]],database!A:F,6,)</f>
        <v/>
      </c>
      <c r="C424" s="66">
        <f>B424/B423-1</f>
        <v/>
      </c>
      <c r="D424" s="66">
        <f>(Table13[[#This Row],[Index]]-B412)/B412</f>
        <v/>
      </c>
    </row>
    <row r="425">
      <c r="A425" s="17" t="n">
        <v>39022</v>
      </c>
      <c r="B425" s="58">
        <f>VLOOKUP(Table13[[#This Row],[Date]],database!A:F,6,)</f>
        <v/>
      </c>
      <c r="C425" s="66">
        <f>B425/B424-1</f>
        <v/>
      </c>
      <c r="D425" s="66">
        <f>(Table13[[#This Row],[Index]]-B413)/B413</f>
        <v/>
      </c>
    </row>
    <row r="426">
      <c r="A426" s="17" t="n">
        <v>39052</v>
      </c>
      <c r="B426" s="58">
        <f>VLOOKUP(Table13[[#This Row],[Date]],database!A:F,6,)</f>
        <v/>
      </c>
      <c r="C426" s="66">
        <f>B426/B425-1</f>
        <v/>
      </c>
      <c r="D426" s="66">
        <f>(Table13[[#This Row],[Index]]-B414)/B414</f>
        <v/>
      </c>
    </row>
    <row r="427">
      <c r="A427" s="17" t="n">
        <v>39083</v>
      </c>
      <c r="B427" s="58">
        <f>VLOOKUP(Table13[[#This Row],[Date]],database!A:F,6,)</f>
        <v/>
      </c>
      <c r="C427" s="66">
        <f>B427/B426-1</f>
        <v/>
      </c>
      <c r="D427" s="66">
        <f>(Table13[[#This Row],[Index]]-B415)/B415</f>
        <v/>
      </c>
    </row>
    <row r="428">
      <c r="A428" s="17" t="n">
        <v>39114</v>
      </c>
      <c r="B428" s="58">
        <f>VLOOKUP(Table13[[#This Row],[Date]],database!A:F,6,)</f>
        <v/>
      </c>
      <c r="C428" s="66">
        <f>B428/B427-1</f>
        <v/>
      </c>
      <c r="D428" s="66">
        <f>(Table13[[#This Row],[Index]]-B416)/B416</f>
        <v/>
      </c>
    </row>
    <row r="429">
      <c r="A429" s="17" t="n">
        <v>39142</v>
      </c>
      <c r="B429" s="58">
        <f>VLOOKUP(Table13[[#This Row],[Date]],database!A:F,6,)</f>
        <v/>
      </c>
      <c r="C429" s="66">
        <f>B429/B428-1</f>
        <v/>
      </c>
      <c r="D429" s="66">
        <f>(Table13[[#This Row],[Index]]-B417)/B417</f>
        <v/>
      </c>
    </row>
    <row r="430">
      <c r="A430" s="17" t="n">
        <v>39173</v>
      </c>
      <c r="B430" s="58">
        <f>VLOOKUP(Table13[[#This Row],[Date]],database!A:F,6,)</f>
        <v/>
      </c>
      <c r="C430" s="66">
        <f>B430/B429-1</f>
        <v/>
      </c>
      <c r="D430" s="66">
        <f>(Table13[[#This Row],[Index]]-B418)/B418</f>
        <v/>
      </c>
    </row>
    <row r="431">
      <c r="A431" s="17" t="n">
        <v>39203</v>
      </c>
      <c r="B431" s="58">
        <f>VLOOKUP(Table13[[#This Row],[Date]],database!A:F,6,)</f>
        <v/>
      </c>
      <c r="C431" s="66">
        <f>B431/B430-1</f>
        <v/>
      </c>
      <c r="D431" s="66">
        <f>(Table13[[#This Row],[Index]]-B419)/B419</f>
        <v/>
      </c>
    </row>
    <row r="432">
      <c r="A432" s="17" t="n">
        <v>39234</v>
      </c>
      <c r="B432" s="58">
        <f>VLOOKUP(Table13[[#This Row],[Date]],database!A:F,6,)</f>
        <v/>
      </c>
      <c r="C432" s="66">
        <f>B432/B431-1</f>
        <v/>
      </c>
      <c r="D432" s="66">
        <f>(Table13[[#This Row],[Index]]-B420)/B420</f>
        <v/>
      </c>
    </row>
    <row r="433">
      <c r="A433" s="17" t="n">
        <v>39264</v>
      </c>
      <c r="B433" s="58">
        <f>VLOOKUP(Table13[[#This Row],[Date]],database!A:F,6,)</f>
        <v/>
      </c>
      <c r="C433" s="66">
        <f>B433/B432-1</f>
        <v/>
      </c>
      <c r="D433" s="66">
        <f>(Table13[[#This Row],[Index]]-B421)/B421</f>
        <v/>
      </c>
    </row>
    <row r="434">
      <c r="A434" s="17" t="n">
        <v>39295</v>
      </c>
      <c r="B434" s="58">
        <f>VLOOKUP(Table13[[#This Row],[Date]],database!A:F,6,)</f>
        <v/>
      </c>
      <c r="C434" s="66">
        <f>B434/B433-1</f>
        <v/>
      </c>
      <c r="D434" s="66">
        <f>(Table13[[#This Row],[Index]]-B422)/B422</f>
        <v/>
      </c>
    </row>
    <row r="435">
      <c r="A435" s="17" t="n">
        <v>39326</v>
      </c>
      <c r="B435" s="58">
        <f>VLOOKUP(Table13[[#This Row],[Date]],database!A:F,6,)</f>
        <v/>
      </c>
      <c r="C435" s="66">
        <f>B435/B434-1</f>
        <v/>
      </c>
      <c r="D435" s="66">
        <f>(Table13[[#This Row],[Index]]-B423)/B423</f>
        <v/>
      </c>
    </row>
    <row r="436">
      <c r="A436" s="17" t="n">
        <v>39356</v>
      </c>
      <c r="B436" s="58">
        <f>VLOOKUP(Table13[[#This Row],[Date]],database!A:F,6,)</f>
        <v/>
      </c>
      <c r="C436" s="66">
        <f>B436/B435-1</f>
        <v/>
      </c>
      <c r="D436" s="66">
        <f>(Table13[[#This Row],[Index]]-B424)/B424</f>
        <v/>
      </c>
    </row>
    <row r="437">
      <c r="A437" s="17" t="n">
        <v>39387</v>
      </c>
      <c r="B437" s="58">
        <f>VLOOKUP(Table13[[#This Row],[Date]],database!A:F,6,)</f>
        <v/>
      </c>
      <c r="C437" s="66">
        <f>B437/B436-1</f>
        <v/>
      </c>
      <c r="D437" s="66">
        <f>(Table13[[#This Row],[Index]]-B425)/B425</f>
        <v/>
      </c>
    </row>
    <row r="438">
      <c r="A438" s="17" t="n">
        <v>39417</v>
      </c>
      <c r="B438" s="58">
        <f>VLOOKUP(Table13[[#This Row],[Date]],database!A:F,6,)</f>
        <v/>
      </c>
      <c r="C438" s="66">
        <f>B438/B437-1</f>
        <v/>
      </c>
      <c r="D438" s="66">
        <f>(Table13[[#This Row],[Index]]-B426)/B426</f>
        <v/>
      </c>
    </row>
    <row r="439">
      <c r="A439" s="17" t="n">
        <v>39448</v>
      </c>
      <c r="B439" s="58">
        <f>VLOOKUP(Table13[[#This Row],[Date]],database!A:F,6,)</f>
        <v/>
      </c>
      <c r="C439" s="66">
        <f>B439/B438-1</f>
        <v/>
      </c>
      <c r="D439" s="66">
        <f>(Table13[[#This Row],[Index]]-B427)/B427</f>
        <v/>
      </c>
    </row>
    <row r="440">
      <c r="A440" s="17" t="n">
        <v>39479</v>
      </c>
      <c r="B440" s="58">
        <f>VLOOKUP(Table13[[#This Row],[Date]],database!A:F,6,)</f>
        <v/>
      </c>
      <c r="C440" s="66">
        <f>B440/B439-1</f>
        <v/>
      </c>
      <c r="D440" s="66">
        <f>(Table13[[#This Row],[Index]]-B428)/B428</f>
        <v/>
      </c>
    </row>
    <row r="441">
      <c r="A441" s="17" t="n">
        <v>39508</v>
      </c>
      <c r="B441" s="58">
        <f>VLOOKUP(Table13[[#This Row],[Date]],database!A:F,6,)</f>
        <v/>
      </c>
      <c r="C441" s="66">
        <f>B441/B440-1</f>
        <v/>
      </c>
      <c r="D441" s="66">
        <f>(Table13[[#This Row],[Index]]-B429)/B429</f>
        <v/>
      </c>
    </row>
    <row r="442">
      <c r="A442" s="17" t="n">
        <v>39539</v>
      </c>
      <c r="B442" s="58">
        <f>VLOOKUP(Table13[[#This Row],[Date]],database!A:F,6,)</f>
        <v/>
      </c>
      <c r="C442" s="66">
        <f>B442/B441-1</f>
        <v/>
      </c>
      <c r="D442" s="66">
        <f>(Table13[[#This Row],[Index]]-B430)/B430</f>
        <v/>
      </c>
    </row>
    <row r="443">
      <c r="A443" s="17" t="n">
        <v>39569</v>
      </c>
      <c r="B443" s="58">
        <f>VLOOKUP(Table13[[#This Row],[Date]],database!A:F,6,)</f>
        <v/>
      </c>
      <c r="C443" s="66">
        <f>B443/B442-1</f>
        <v/>
      </c>
      <c r="D443" s="66">
        <f>(Table13[[#This Row],[Index]]-B431)/B431</f>
        <v/>
      </c>
    </row>
    <row r="444">
      <c r="A444" s="17" t="n">
        <v>39600</v>
      </c>
      <c r="B444" s="58">
        <f>VLOOKUP(Table13[[#This Row],[Date]],database!A:F,6,)</f>
        <v/>
      </c>
      <c r="C444" s="66">
        <f>B444/B443-1</f>
        <v/>
      </c>
      <c r="D444" s="66">
        <f>(Table13[[#This Row],[Index]]-B432)/B432</f>
        <v/>
      </c>
    </row>
    <row r="445">
      <c r="A445" s="17" t="n">
        <v>39630</v>
      </c>
      <c r="B445" s="58">
        <f>VLOOKUP(Table13[[#This Row],[Date]],database!A:F,6,)</f>
        <v/>
      </c>
      <c r="C445" s="66">
        <f>B445/B444-1</f>
        <v/>
      </c>
      <c r="D445" s="66">
        <f>(Table13[[#This Row],[Index]]-B433)/B433</f>
        <v/>
      </c>
    </row>
    <row r="446">
      <c r="A446" s="17" t="n">
        <v>39661</v>
      </c>
      <c r="B446" s="58">
        <f>VLOOKUP(Table13[[#This Row],[Date]],database!A:F,6,)</f>
        <v/>
      </c>
      <c r="C446" s="66">
        <f>B446/B445-1</f>
        <v/>
      </c>
      <c r="D446" s="66">
        <f>(Table13[[#This Row],[Index]]-B434)/B434</f>
        <v/>
      </c>
    </row>
    <row r="447">
      <c r="A447" s="17" t="n">
        <v>39692</v>
      </c>
      <c r="B447" s="58">
        <f>VLOOKUP(Table13[[#This Row],[Date]],database!A:F,6,)</f>
        <v/>
      </c>
      <c r="C447" s="66">
        <f>B447/B446-1</f>
        <v/>
      </c>
      <c r="D447" s="66">
        <f>(Table13[[#This Row],[Index]]-B435)/B435</f>
        <v/>
      </c>
    </row>
    <row r="448">
      <c r="A448" s="17" t="n">
        <v>39722</v>
      </c>
      <c r="B448" s="58">
        <f>VLOOKUP(Table13[[#This Row],[Date]],database!A:F,6,)</f>
        <v/>
      </c>
      <c r="C448" s="66">
        <f>B448/B447-1</f>
        <v/>
      </c>
      <c r="D448" s="66">
        <f>(Table13[[#This Row],[Index]]-B436)/B436</f>
        <v/>
      </c>
    </row>
    <row r="449">
      <c r="A449" s="17" t="n">
        <v>39753</v>
      </c>
      <c r="B449" s="58">
        <f>VLOOKUP(Table13[[#This Row],[Date]],database!A:F,6,)</f>
        <v/>
      </c>
      <c r="C449" s="66">
        <f>B449/B448-1</f>
        <v/>
      </c>
      <c r="D449" s="66">
        <f>(Table13[[#This Row],[Index]]-B437)/B437</f>
        <v/>
      </c>
    </row>
    <row r="450">
      <c r="A450" s="17" t="n">
        <v>39783</v>
      </c>
      <c r="B450" s="58">
        <f>VLOOKUP(Table13[[#This Row],[Date]],database!A:F,6,)</f>
        <v/>
      </c>
      <c r="C450" s="66">
        <f>B450/B449-1</f>
        <v/>
      </c>
      <c r="D450" s="66">
        <f>(Table13[[#This Row],[Index]]-B438)/B438</f>
        <v/>
      </c>
    </row>
    <row r="451">
      <c r="A451" s="17" t="n">
        <v>39814</v>
      </c>
      <c r="B451" s="58">
        <f>VLOOKUP(Table13[[#This Row],[Date]],database!A:F,6,)</f>
        <v/>
      </c>
      <c r="C451" s="66">
        <f>B451/B450-1</f>
        <v/>
      </c>
      <c r="D451" s="66">
        <f>(Table13[[#This Row],[Index]]-B439)/B439</f>
        <v/>
      </c>
    </row>
    <row r="452">
      <c r="A452" s="17" t="n">
        <v>39845</v>
      </c>
      <c r="B452" s="58">
        <f>VLOOKUP(Table13[[#This Row],[Date]],database!A:F,6,)</f>
        <v/>
      </c>
      <c r="C452" s="66">
        <f>B452/B451-1</f>
        <v/>
      </c>
      <c r="D452" s="66">
        <f>(Table13[[#This Row],[Index]]-B440)/B440</f>
        <v/>
      </c>
    </row>
    <row r="453">
      <c r="A453" s="17" t="n">
        <v>39873</v>
      </c>
      <c r="B453" s="58">
        <f>VLOOKUP(Table13[[#This Row],[Date]],database!A:F,6,)</f>
        <v/>
      </c>
      <c r="C453" s="66">
        <f>B453/B452-1</f>
        <v/>
      </c>
      <c r="D453" s="66">
        <f>(Table13[[#This Row],[Index]]-B441)/B441</f>
        <v/>
      </c>
    </row>
    <row r="454">
      <c r="A454" s="17" t="n">
        <v>39904</v>
      </c>
      <c r="B454" s="58">
        <f>VLOOKUP(Table13[[#This Row],[Date]],database!A:F,6,)</f>
        <v/>
      </c>
      <c r="C454" s="66">
        <f>B454/B453-1</f>
        <v/>
      </c>
      <c r="D454" s="66">
        <f>(Table13[[#This Row],[Index]]-B442)/B442</f>
        <v/>
      </c>
    </row>
    <row r="455">
      <c r="A455" s="17" t="n">
        <v>39934</v>
      </c>
      <c r="B455" s="58">
        <f>VLOOKUP(Table13[[#This Row],[Date]],database!A:F,6,)</f>
        <v/>
      </c>
      <c r="C455" s="66">
        <f>B455/B454-1</f>
        <v/>
      </c>
      <c r="D455" s="66">
        <f>(Table13[[#This Row],[Index]]-B443)/B443</f>
        <v/>
      </c>
    </row>
    <row r="456">
      <c r="A456" s="17" t="n">
        <v>39965</v>
      </c>
      <c r="B456" s="58">
        <f>VLOOKUP(Table13[[#This Row],[Date]],database!A:F,6,)</f>
        <v/>
      </c>
      <c r="C456" s="66">
        <f>B456/B455-1</f>
        <v/>
      </c>
      <c r="D456" s="66">
        <f>(Table13[[#This Row],[Index]]-B444)/B444</f>
        <v/>
      </c>
    </row>
    <row r="457">
      <c r="A457" s="17" t="n">
        <v>39995</v>
      </c>
      <c r="B457" s="58">
        <f>VLOOKUP(Table13[[#This Row],[Date]],database!A:F,6,)</f>
        <v/>
      </c>
      <c r="C457" s="66">
        <f>B457/B456-1</f>
        <v/>
      </c>
      <c r="D457" s="66">
        <f>(Table13[[#This Row],[Index]]-B445)/B445</f>
        <v/>
      </c>
    </row>
    <row r="458">
      <c r="A458" s="17" t="n">
        <v>40026</v>
      </c>
      <c r="B458" s="58">
        <f>VLOOKUP(Table13[[#This Row],[Date]],database!A:F,6,)</f>
        <v/>
      </c>
      <c r="C458" s="66">
        <f>B458/B457-1</f>
        <v/>
      </c>
      <c r="D458" s="66">
        <f>(Table13[[#This Row],[Index]]-B446)/B446</f>
        <v/>
      </c>
    </row>
    <row r="459">
      <c r="A459" s="17" t="n">
        <v>40057</v>
      </c>
      <c r="B459" s="58">
        <f>VLOOKUP(Table13[[#This Row],[Date]],database!A:F,6,)</f>
        <v/>
      </c>
      <c r="C459" s="66">
        <f>B459/B458-1</f>
        <v/>
      </c>
      <c r="D459" s="66">
        <f>(Table13[[#This Row],[Index]]-B447)/B447</f>
        <v/>
      </c>
    </row>
    <row r="460">
      <c r="A460" s="17" t="n">
        <v>40087</v>
      </c>
      <c r="B460" s="58">
        <f>VLOOKUP(Table13[[#This Row],[Date]],database!A:F,6,)</f>
        <v/>
      </c>
      <c r="C460" s="66">
        <f>B460/B459-1</f>
        <v/>
      </c>
      <c r="D460" s="66">
        <f>(Table13[[#This Row],[Index]]-B448)/B448</f>
        <v/>
      </c>
    </row>
    <row r="461">
      <c r="A461" s="17" t="n">
        <v>40118</v>
      </c>
      <c r="B461" s="58">
        <f>VLOOKUP(Table13[[#This Row],[Date]],database!A:F,6,)</f>
        <v/>
      </c>
      <c r="C461" s="66">
        <f>B461/B460-1</f>
        <v/>
      </c>
      <c r="D461" s="66">
        <f>(Table13[[#This Row],[Index]]-B449)/B449</f>
        <v/>
      </c>
    </row>
    <row r="462">
      <c r="A462" s="17" t="n">
        <v>40148</v>
      </c>
      <c r="B462" s="58">
        <f>VLOOKUP(Table13[[#This Row],[Date]],database!A:F,6,)</f>
        <v/>
      </c>
      <c r="C462" s="66">
        <f>B462/B461-1</f>
        <v/>
      </c>
      <c r="D462" s="66">
        <f>(Table13[[#This Row],[Index]]-B450)/B450</f>
        <v/>
      </c>
    </row>
    <row r="463">
      <c r="A463" s="17" t="n">
        <v>40179</v>
      </c>
      <c r="B463" s="58">
        <f>VLOOKUP(Table13[[#This Row],[Date]],database!A:F,6,)</f>
        <v/>
      </c>
      <c r="C463" s="66">
        <f>B463/B462-1</f>
        <v/>
      </c>
      <c r="D463" s="66">
        <f>(Table13[[#This Row],[Index]]-B451)/B451</f>
        <v/>
      </c>
    </row>
    <row r="464">
      <c r="A464" s="17" t="n">
        <v>40210</v>
      </c>
      <c r="B464" s="58">
        <f>VLOOKUP(Table13[[#This Row],[Date]],database!A:F,6,)</f>
        <v/>
      </c>
      <c r="C464" s="66">
        <f>B464/B463-1</f>
        <v/>
      </c>
      <c r="D464" s="66">
        <f>(Table13[[#This Row],[Index]]-B452)/B452</f>
        <v/>
      </c>
    </row>
    <row r="465">
      <c r="A465" s="17" t="n">
        <v>40238</v>
      </c>
      <c r="B465" s="58">
        <f>VLOOKUP(Table13[[#This Row],[Date]],database!A:F,6,)</f>
        <v/>
      </c>
      <c r="C465" s="66">
        <f>B465/B464-1</f>
        <v/>
      </c>
      <c r="D465" s="66">
        <f>(Table13[[#This Row],[Index]]-B453)/B453</f>
        <v/>
      </c>
    </row>
    <row r="466">
      <c r="A466" s="17" t="n">
        <v>40269</v>
      </c>
      <c r="B466" s="58">
        <f>VLOOKUP(Table13[[#This Row],[Date]],database!A:F,6,)</f>
        <v/>
      </c>
      <c r="C466" s="66">
        <f>B466/B465-1</f>
        <v/>
      </c>
      <c r="D466" s="66">
        <f>(Table13[[#This Row],[Index]]-B454)/B454</f>
        <v/>
      </c>
    </row>
    <row r="467">
      <c r="A467" s="17" t="n">
        <v>40299</v>
      </c>
      <c r="B467" s="58">
        <f>VLOOKUP(Table13[[#This Row],[Date]],database!A:F,6,)</f>
        <v/>
      </c>
      <c r="C467" s="66">
        <f>B467/B466-1</f>
        <v/>
      </c>
      <c r="D467" s="66">
        <f>(Table13[[#This Row],[Index]]-B455)/B455</f>
        <v/>
      </c>
    </row>
    <row r="468">
      <c r="A468" s="17" t="n">
        <v>40330</v>
      </c>
      <c r="B468" s="58">
        <f>VLOOKUP(Table13[[#This Row],[Date]],database!A:F,6,)</f>
        <v/>
      </c>
      <c r="C468" s="66">
        <f>B468/B467-1</f>
        <v/>
      </c>
      <c r="D468" s="66">
        <f>(Table13[[#This Row],[Index]]-B456)/B456</f>
        <v/>
      </c>
    </row>
    <row r="469">
      <c r="A469" s="17" t="n">
        <v>40360</v>
      </c>
      <c r="B469" s="58">
        <f>VLOOKUP(Table13[[#This Row],[Date]],database!A:F,6,)</f>
        <v/>
      </c>
      <c r="C469" s="66">
        <f>B469/B468-1</f>
        <v/>
      </c>
      <c r="D469" s="66">
        <f>(Table13[[#This Row],[Index]]-B457)/B457</f>
        <v/>
      </c>
    </row>
    <row r="470">
      <c r="A470" s="17" t="n">
        <v>40391</v>
      </c>
      <c r="B470" s="58">
        <f>VLOOKUP(Table13[[#This Row],[Date]],database!A:F,6,)</f>
        <v/>
      </c>
      <c r="C470" s="66">
        <f>B470/B469-1</f>
        <v/>
      </c>
      <c r="D470" s="66">
        <f>(Table13[[#This Row],[Index]]-B458)/B458</f>
        <v/>
      </c>
    </row>
    <row r="471">
      <c r="A471" s="17" t="n">
        <v>40422</v>
      </c>
      <c r="B471" s="58">
        <f>VLOOKUP(Table13[[#This Row],[Date]],database!A:F,6,)</f>
        <v/>
      </c>
      <c r="C471" s="66">
        <f>B471/B470-1</f>
        <v/>
      </c>
      <c r="D471" s="66">
        <f>(Table13[[#This Row],[Index]]-B459)/B459</f>
        <v/>
      </c>
    </row>
    <row r="472">
      <c r="A472" s="17" t="n">
        <v>40452</v>
      </c>
      <c r="B472" s="58">
        <f>VLOOKUP(Table13[[#This Row],[Date]],database!A:F,6,)</f>
        <v/>
      </c>
      <c r="C472" s="66">
        <f>B472/B471-1</f>
        <v/>
      </c>
      <c r="D472" s="66">
        <f>(Table13[[#This Row],[Index]]-B460)/B460</f>
        <v/>
      </c>
    </row>
    <row r="473">
      <c r="A473" s="17" t="n">
        <v>40483</v>
      </c>
      <c r="B473" s="58">
        <f>VLOOKUP(Table13[[#This Row],[Date]],database!A:F,6,)</f>
        <v/>
      </c>
      <c r="C473" s="66">
        <f>B473/B472-1</f>
        <v/>
      </c>
      <c r="D473" s="66">
        <f>(Table13[[#This Row],[Index]]-B461)/B461</f>
        <v/>
      </c>
    </row>
    <row r="474">
      <c r="A474" s="17" t="n">
        <v>40513</v>
      </c>
      <c r="B474" s="58">
        <f>VLOOKUP(Table13[[#This Row],[Date]],database!A:F,6,)</f>
        <v/>
      </c>
      <c r="C474" s="66">
        <f>B474/B473-1</f>
        <v/>
      </c>
      <c r="D474" s="66">
        <f>(Table13[[#This Row],[Index]]-B462)/B462</f>
        <v/>
      </c>
    </row>
    <row r="475">
      <c r="A475" s="17" t="n">
        <v>40544</v>
      </c>
      <c r="B475" s="58">
        <f>VLOOKUP(Table13[[#This Row],[Date]],database!A:F,6,)</f>
        <v/>
      </c>
      <c r="C475" s="66">
        <f>B475/B474-1</f>
        <v/>
      </c>
      <c r="D475" s="66">
        <f>(Table13[[#This Row],[Index]]-B463)/B463</f>
        <v/>
      </c>
    </row>
    <row r="476">
      <c r="A476" s="17" t="n">
        <v>40575</v>
      </c>
      <c r="B476" s="58">
        <f>VLOOKUP(Table13[[#This Row],[Date]],database!A:F,6,)</f>
        <v/>
      </c>
      <c r="C476" s="66">
        <f>B476/B475-1</f>
        <v/>
      </c>
      <c r="D476" s="66">
        <f>(Table13[[#This Row],[Index]]-B464)/B464</f>
        <v/>
      </c>
    </row>
    <row r="477">
      <c r="A477" s="17" t="n">
        <v>40603</v>
      </c>
      <c r="B477" s="58">
        <f>VLOOKUP(Table13[[#This Row],[Date]],database!A:F,6,)</f>
        <v/>
      </c>
      <c r="C477" s="66">
        <f>B477/B476-1</f>
        <v/>
      </c>
      <c r="D477" s="66">
        <f>(Table13[[#This Row],[Index]]-B465)/B465</f>
        <v/>
      </c>
    </row>
    <row r="478">
      <c r="A478" s="17" t="n">
        <v>40634</v>
      </c>
      <c r="B478" s="58">
        <f>VLOOKUP(Table13[[#This Row],[Date]],database!A:F,6,)</f>
        <v/>
      </c>
      <c r="C478" s="67">
        <f>B478/B477-1</f>
        <v/>
      </c>
      <c r="D478" s="66">
        <f>(Table13[[#This Row],[Index]]-B466)/B466</f>
        <v/>
      </c>
    </row>
    <row r="479">
      <c r="A479" s="17" t="n">
        <v>40664</v>
      </c>
      <c r="B479" s="58">
        <f>VLOOKUP(Table13[[#This Row],[Date]],database!A:F,6,)</f>
        <v/>
      </c>
      <c r="C479" s="66">
        <f>B479/B478-1</f>
        <v/>
      </c>
      <c r="D479" s="66">
        <f>(Table13[[#This Row],[Index]]-B467)/B467</f>
        <v/>
      </c>
    </row>
    <row r="480">
      <c r="A480" s="17" t="n">
        <v>40695</v>
      </c>
      <c r="B480" s="58">
        <f>VLOOKUP(Table13[[#This Row],[Date]],database!A:F,6,)</f>
        <v/>
      </c>
      <c r="C480" s="66">
        <f>B480/B479-1</f>
        <v/>
      </c>
      <c r="D480" s="66">
        <f>(Table13[[#This Row],[Index]]-B468)/B468</f>
        <v/>
      </c>
    </row>
    <row r="481">
      <c r="A481" s="17" t="n">
        <v>40725</v>
      </c>
      <c r="B481" s="58">
        <f>VLOOKUP(Table13[[#This Row],[Date]],database!A:F,6,)</f>
        <v/>
      </c>
      <c r="C481" s="66">
        <f>B481/B480-1</f>
        <v/>
      </c>
      <c r="D481" s="66">
        <f>(Table13[[#This Row],[Index]]-B469)/B469</f>
        <v/>
      </c>
    </row>
    <row r="482">
      <c r="A482" s="17" t="n">
        <v>40756</v>
      </c>
      <c r="B482" s="58">
        <f>VLOOKUP(Table13[[#This Row],[Date]],database!A:F,6,)</f>
        <v/>
      </c>
      <c r="C482" s="66">
        <f>B482/B481-1</f>
        <v/>
      </c>
      <c r="D482" s="66">
        <f>(Table13[[#This Row],[Index]]-B470)/B470</f>
        <v/>
      </c>
    </row>
    <row r="483">
      <c r="A483" s="17" t="n">
        <v>40787</v>
      </c>
      <c r="B483" s="58">
        <f>VLOOKUP(Table13[[#This Row],[Date]],database!A:F,6,)</f>
        <v/>
      </c>
      <c r="C483" s="66">
        <f>B483/B482-1</f>
        <v/>
      </c>
      <c r="D483" s="66">
        <f>(Table13[[#This Row],[Index]]-B471)/B471</f>
        <v/>
      </c>
    </row>
    <row r="484">
      <c r="A484" s="17" t="n">
        <v>40817</v>
      </c>
      <c r="B484" s="58">
        <f>VLOOKUP(Table13[[#This Row],[Date]],database!A:F,6,)</f>
        <v/>
      </c>
      <c r="C484" s="66">
        <f>B484/B483-1</f>
        <v/>
      </c>
      <c r="D484" s="66">
        <f>(Table13[[#This Row],[Index]]-B472)/B472</f>
        <v/>
      </c>
    </row>
    <row r="485">
      <c r="A485" s="17" t="n">
        <v>40848</v>
      </c>
      <c r="B485" s="58">
        <f>VLOOKUP(Table13[[#This Row],[Date]],database!A:F,6,)</f>
        <v/>
      </c>
      <c r="C485" s="66">
        <f>B485/B484-1</f>
        <v/>
      </c>
      <c r="D485" s="66">
        <f>(Table13[[#This Row],[Index]]-B473)/B473</f>
        <v/>
      </c>
    </row>
    <row r="486">
      <c r="A486" s="17" t="n">
        <v>40878</v>
      </c>
      <c r="B486" s="58">
        <f>VLOOKUP(Table13[[#This Row],[Date]],database!A:F,6,)</f>
        <v/>
      </c>
      <c r="C486" s="66">
        <f>B486/B485-1</f>
        <v/>
      </c>
      <c r="D486" s="66">
        <f>(Table13[[#This Row],[Index]]-B474)/B474</f>
        <v/>
      </c>
    </row>
    <row r="487">
      <c r="A487" s="17" t="n">
        <v>40909</v>
      </c>
      <c r="B487" s="58">
        <f>VLOOKUP(Table13[[#This Row],[Date]],database!A:F,6,)</f>
        <v/>
      </c>
      <c r="C487" s="66">
        <f>B487/B486-1</f>
        <v/>
      </c>
      <c r="D487" s="66">
        <f>(Table13[[#This Row],[Index]]-B475)/B475</f>
        <v/>
      </c>
    </row>
    <row r="488">
      <c r="A488" s="17" t="n">
        <v>40940</v>
      </c>
      <c r="B488" s="58">
        <f>VLOOKUP(Table13[[#This Row],[Date]],database!A:F,6,)</f>
        <v/>
      </c>
      <c r="C488" s="66">
        <f>B488/B487-1</f>
        <v/>
      </c>
      <c r="D488" s="66">
        <f>(Table13[[#This Row],[Index]]-B476)/B476</f>
        <v/>
      </c>
    </row>
    <row r="489">
      <c r="A489" s="17" t="n">
        <v>40969</v>
      </c>
      <c r="B489" s="58">
        <f>VLOOKUP(Table13[[#This Row],[Date]],database!A:F,6,)</f>
        <v/>
      </c>
      <c r="C489" s="66">
        <f>B489/B488-1</f>
        <v/>
      </c>
      <c r="D489" s="66">
        <f>(Table13[[#This Row],[Index]]-B477)/B477</f>
        <v/>
      </c>
    </row>
    <row r="490">
      <c r="A490" s="17" t="n">
        <v>41000</v>
      </c>
      <c r="B490" s="58">
        <f>VLOOKUP(Table13[[#This Row],[Date]],database!A:F,6,)</f>
        <v/>
      </c>
      <c r="C490" s="66">
        <f>B490/B489-1</f>
        <v/>
      </c>
      <c r="D490" s="66">
        <f>(Table13[[#This Row],[Index]]-B478)/B478</f>
        <v/>
      </c>
    </row>
    <row r="491">
      <c r="A491" s="17" t="n">
        <v>41030</v>
      </c>
      <c r="B491" s="58">
        <f>VLOOKUP(Table13[[#This Row],[Date]],database!A:F,6,)</f>
        <v/>
      </c>
      <c r="C491" s="66">
        <f>B491/B490-1</f>
        <v/>
      </c>
      <c r="D491" s="66">
        <f>(Table13[[#This Row],[Index]]-B479)/B479</f>
        <v/>
      </c>
    </row>
    <row r="492">
      <c r="A492" s="17" t="n">
        <v>41061</v>
      </c>
      <c r="B492" s="58">
        <f>VLOOKUP(Table13[[#This Row],[Date]],database!A:F,6,)</f>
        <v/>
      </c>
      <c r="C492" s="66">
        <f>B492/B491-1</f>
        <v/>
      </c>
      <c r="D492" s="66">
        <f>(Table13[[#This Row],[Index]]-B480)/B480</f>
        <v/>
      </c>
    </row>
    <row r="493">
      <c r="A493" s="17" t="n">
        <v>41091</v>
      </c>
      <c r="B493" s="58">
        <f>VLOOKUP(Table13[[#This Row],[Date]],database!A:F,6,)</f>
        <v/>
      </c>
      <c r="C493" s="66">
        <f>B493/B492-1</f>
        <v/>
      </c>
      <c r="D493" s="66">
        <f>(Table13[[#This Row],[Index]]-B481)/B481</f>
        <v/>
      </c>
    </row>
    <row r="494">
      <c r="A494" s="17" t="n">
        <v>41122</v>
      </c>
      <c r="B494" s="58">
        <f>VLOOKUP(Table13[[#This Row],[Date]],database!A:F,6,)</f>
        <v/>
      </c>
      <c r="C494" s="66">
        <f>B494/B493-1</f>
        <v/>
      </c>
      <c r="D494" s="66">
        <f>(Table13[[#This Row],[Index]]-B482)/B482</f>
        <v/>
      </c>
    </row>
    <row r="495">
      <c r="A495" s="17" t="n">
        <v>41153</v>
      </c>
      <c r="B495" s="58">
        <f>VLOOKUP(Table13[[#This Row],[Date]],database!A:F,6,)</f>
        <v/>
      </c>
      <c r="C495" s="66">
        <f>B495/B494-1</f>
        <v/>
      </c>
      <c r="D495" s="66">
        <f>(Table13[[#This Row],[Index]]-B483)/B483</f>
        <v/>
      </c>
    </row>
    <row r="496">
      <c r="A496" s="17" t="n">
        <v>41183</v>
      </c>
      <c r="B496" s="58">
        <f>VLOOKUP(Table13[[#This Row],[Date]],database!A:F,6,)</f>
        <v/>
      </c>
      <c r="C496" s="66">
        <f>B496/B495-1</f>
        <v/>
      </c>
      <c r="D496" s="66">
        <f>(Table13[[#This Row],[Index]]-B484)/B484</f>
        <v/>
      </c>
    </row>
    <row r="497">
      <c r="A497" s="17" t="n">
        <v>41214</v>
      </c>
      <c r="B497" s="58">
        <f>VLOOKUP(Table13[[#This Row],[Date]],database!A:F,6,)</f>
        <v/>
      </c>
      <c r="C497" s="66">
        <f>B497/B496-1</f>
        <v/>
      </c>
      <c r="D497" s="66">
        <f>(Table13[[#This Row],[Index]]-B485)/B485</f>
        <v/>
      </c>
    </row>
    <row r="498">
      <c r="A498" s="17" t="n">
        <v>41244</v>
      </c>
      <c r="B498" s="58">
        <f>VLOOKUP(Table13[[#This Row],[Date]],database!A:F,6,)</f>
        <v/>
      </c>
      <c r="C498" s="66">
        <f>B498/B497-1</f>
        <v/>
      </c>
      <c r="D498" s="66">
        <f>(Table13[[#This Row],[Index]]-B486)/B486</f>
        <v/>
      </c>
    </row>
    <row r="499">
      <c r="A499" s="17" t="n">
        <v>41275</v>
      </c>
      <c r="B499" s="58">
        <f>VLOOKUP(Table13[[#This Row],[Date]],database!A:F,6,)</f>
        <v/>
      </c>
      <c r="C499" s="66">
        <f>B499/B498-1</f>
        <v/>
      </c>
      <c r="D499" s="66">
        <f>(Table13[[#This Row],[Index]]-B487)/B487</f>
        <v/>
      </c>
    </row>
    <row r="500">
      <c r="A500" s="17" t="n">
        <v>41306</v>
      </c>
      <c r="B500" s="58">
        <f>VLOOKUP(Table13[[#This Row],[Date]],database!A:F,6,)</f>
        <v/>
      </c>
      <c r="C500" s="66">
        <f>B500/B499-1</f>
        <v/>
      </c>
      <c r="D500" s="66">
        <f>(Table13[[#This Row],[Index]]-B488)/B488</f>
        <v/>
      </c>
    </row>
    <row r="501">
      <c r="A501" s="17" t="n">
        <v>41334</v>
      </c>
      <c r="B501" s="58">
        <f>VLOOKUP(Table13[[#This Row],[Date]],database!A:F,6,)</f>
        <v/>
      </c>
      <c r="C501" s="66">
        <f>B501/B500-1</f>
        <v/>
      </c>
      <c r="D501" s="66">
        <f>(Table13[[#This Row],[Index]]-B489)/B489</f>
        <v/>
      </c>
    </row>
    <row r="502">
      <c r="A502" s="17" t="n">
        <v>41365</v>
      </c>
      <c r="B502" s="58">
        <f>VLOOKUP(Table13[[#This Row],[Date]],database!A:F,6,)</f>
        <v/>
      </c>
      <c r="C502" s="66">
        <f>B502/B501-1</f>
        <v/>
      </c>
      <c r="D502" s="66">
        <f>(Table13[[#This Row],[Index]]-B490)/B490</f>
        <v/>
      </c>
    </row>
    <row r="503">
      <c r="A503" s="17" t="n">
        <v>41395</v>
      </c>
      <c r="B503" s="58">
        <f>VLOOKUP(Table13[[#This Row],[Date]],database!A:F,6,)</f>
        <v/>
      </c>
      <c r="C503" s="66">
        <f>B503/B502-1</f>
        <v/>
      </c>
      <c r="D503" s="66">
        <f>(Table13[[#This Row],[Index]]-B491)/B491</f>
        <v/>
      </c>
    </row>
    <row r="504">
      <c r="A504" s="17" t="n">
        <v>41426</v>
      </c>
      <c r="B504" s="58">
        <f>VLOOKUP(Table13[[#This Row],[Date]],database!A:F,6,)</f>
        <v/>
      </c>
      <c r="C504" s="66">
        <f>B504/B503-1</f>
        <v/>
      </c>
      <c r="D504" s="66">
        <f>(Table13[[#This Row],[Index]]-B492)/B492</f>
        <v/>
      </c>
    </row>
    <row r="505">
      <c r="A505" s="17" t="n">
        <v>41456</v>
      </c>
      <c r="B505" s="58">
        <f>VLOOKUP(Table13[[#This Row],[Date]],database!A:F,6,)</f>
        <v/>
      </c>
      <c r="C505" s="66">
        <f>B505/B504-1</f>
        <v/>
      </c>
      <c r="D505" s="66">
        <f>(Table13[[#This Row],[Index]]-B493)/B493</f>
        <v/>
      </c>
    </row>
    <row r="506">
      <c r="A506" s="17" t="n">
        <v>41487</v>
      </c>
      <c r="B506" s="58">
        <f>VLOOKUP(Table13[[#This Row],[Date]],database!A:F,6,)</f>
        <v/>
      </c>
      <c r="C506" s="66">
        <f>B506/B505-1</f>
        <v/>
      </c>
      <c r="D506" s="66">
        <f>(Table13[[#This Row],[Index]]-B494)/B494</f>
        <v/>
      </c>
    </row>
    <row r="507">
      <c r="A507" s="17" t="n">
        <v>41518</v>
      </c>
      <c r="B507" s="58">
        <f>VLOOKUP(Table13[[#This Row],[Date]],database!A:F,6,)</f>
        <v/>
      </c>
      <c r="C507" s="66">
        <f>B507/B506-1</f>
        <v/>
      </c>
      <c r="D507" s="66">
        <f>(Table13[[#This Row],[Index]]-B495)/B495</f>
        <v/>
      </c>
    </row>
    <row r="508">
      <c r="A508" s="17" t="n">
        <v>41548</v>
      </c>
      <c r="B508" s="58">
        <f>VLOOKUP(Table13[[#This Row],[Date]],database!A:F,6,)</f>
        <v/>
      </c>
      <c r="C508" s="66">
        <f>B508/B507-1</f>
        <v/>
      </c>
      <c r="D508" s="66">
        <f>(Table13[[#This Row],[Index]]-B496)/B496</f>
        <v/>
      </c>
    </row>
    <row r="509">
      <c r="A509" s="17" t="n">
        <v>41579</v>
      </c>
      <c r="B509" s="58">
        <f>VLOOKUP(Table13[[#This Row],[Date]],database!A:F,6,)</f>
        <v/>
      </c>
      <c r="C509" s="66">
        <f>B509/B508-1</f>
        <v/>
      </c>
      <c r="D509" s="66">
        <f>(Table13[[#This Row],[Index]]-B497)/B497</f>
        <v/>
      </c>
    </row>
    <row r="510">
      <c r="A510" s="17" t="n">
        <v>41609</v>
      </c>
      <c r="B510" s="58">
        <f>VLOOKUP(Table13[[#This Row],[Date]],database!A:F,6,)</f>
        <v/>
      </c>
      <c r="C510" s="66">
        <f>B510/B509-1</f>
        <v/>
      </c>
      <c r="D510" s="66">
        <f>(Table13[[#This Row],[Index]]-B498)/B498</f>
        <v/>
      </c>
    </row>
    <row r="511">
      <c r="A511" s="17" t="n">
        <v>41640</v>
      </c>
      <c r="B511" s="58">
        <f>VLOOKUP(Table13[[#This Row],[Date]],database!A:F,6,)</f>
        <v/>
      </c>
      <c r="C511" s="66">
        <f>B511/B510-1</f>
        <v/>
      </c>
      <c r="D511" s="66">
        <f>(Table13[[#This Row],[Index]]-B499)/B499</f>
        <v/>
      </c>
    </row>
    <row r="512">
      <c r="A512" s="17" t="n">
        <v>41671</v>
      </c>
      <c r="B512" s="58">
        <f>VLOOKUP(Table13[[#This Row],[Date]],database!A:F,6,)</f>
        <v/>
      </c>
      <c r="C512" s="66">
        <f>B512/B511-1</f>
        <v/>
      </c>
      <c r="D512" s="66">
        <f>(Table13[[#This Row],[Index]]-B500)/B500</f>
        <v/>
      </c>
    </row>
    <row r="513">
      <c r="A513" s="17" t="n">
        <v>41699</v>
      </c>
      <c r="B513" s="58">
        <f>VLOOKUP(Table13[[#This Row],[Date]],database!A:F,6,)</f>
        <v/>
      </c>
      <c r="C513" s="66">
        <f>B513/B512-1</f>
        <v/>
      </c>
      <c r="D513" s="66">
        <f>(Table13[[#This Row],[Index]]-B501)/B501</f>
        <v/>
      </c>
    </row>
    <row r="514">
      <c r="A514" s="17" t="n">
        <v>41730</v>
      </c>
      <c r="B514" s="58">
        <f>VLOOKUP(Table13[[#This Row],[Date]],database!A:F,6,)</f>
        <v/>
      </c>
      <c r="C514" s="66">
        <f>B514/B513-1</f>
        <v/>
      </c>
      <c r="D514" s="66">
        <f>(Table13[[#This Row],[Index]]-B502)/B502</f>
        <v/>
      </c>
    </row>
    <row r="515">
      <c r="A515" s="17" t="n">
        <v>41760</v>
      </c>
      <c r="B515" s="58">
        <f>VLOOKUP(Table13[[#This Row],[Date]],database!A:F,6,)</f>
        <v/>
      </c>
      <c r="C515" s="66">
        <f>B515/B514-1</f>
        <v/>
      </c>
      <c r="D515" s="66">
        <f>(Table13[[#This Row],[Index]]-B503)/B503</f>
        <v/>
      </c>
    </row>
    <row r="516">
      <c r="A516" s="17" t="n">
        <v>41791</v>
      </c>
      <c r="B516" s="58">
        <f>VLOOKUP(Table13[[#This Row],[Date]],database!A:F,6,)</f>
        <v/>
      </c>
      <c r="C516" s="66">
        <f>B516/B515-1</f>
        <v/>
      </c>
      <c r="D516" s="66">
        <f>(Table13[[#This Row],[Index]]-B504)/B504</f>
        <v/>
      </c>
    </row>
    <row r="517">
      <c r="A517" s="17" t="n">
        <v>41821</v>
      </c>
      <c r="B517" s="58">
        <f>VLOOKUP(Table13[[#This Row],[Date]],database!A:F,6,)</f>
        <v/>
      </c>
      <c r="C517" s="66">
        <f>B517/B516-1</f>
        <v/>
      </c>
      <c r="D517" s="66">
        <f>(Table13[[#This Row],[Index]]-B505)/B505</f>
        <v/>
      </c>
    </row>
    <row r="518">
      <c r="A518" s="17" t="n">
        <v>41852</v>
      </c>
      <c r="B518" s="58">
        <f>VLOOKUP(Table13[[#This Row],[Date]],database!A:F,6,)</f>
        <v/>
      </c>
      <c r="C518" s="66">
        <f>B518/B517-1</f>
        <v/>
      </c>
      <c r="D518" s="66">
        <f>(Table13[[#This Row],[Index]]-B506)/B506</f>
        <v/>
      </c>
    </row>
    <row r="519">
      <c r="A519" s="17" t="n">
        <v>41883</v>
      </c>
      <c r="B519" s="58">
        <f>VLOOKUP(Table13[[#This Row],[Date]],database!A:F,6,)</f>
        <v/>
      </c>
      <c r="C519" s="66">
        <f>B519/B518-1</f>
        <v/>
      </c>
      <c r="D519" s="66">
        <f>(Table13[[#This Row],[Index]]-B507)/B507</f>
        <v/>
      </c>
    </row>
    <row r="520">
      <c r="A520" s="17" t="n">
        <v>41913</v>
      </c>
      <c r="B520" s="58">
        <f>VLOOKUP(Table13[[#This Row],[Date]],database!A:F,6,)</f>
        <v/>
      </c>
      <c r="C520" s="66">
        <f>B520/B519-1</f>
        <v/>
      </c>
      <c r="D520" s="66">
        <f>(Table13[[#This Row],[Index]]-B508)/B508</f>
        <v/>
      </c>
    </row>
    <row r="521">
      <c r="A521" s="17" t="n">
        <v>41944</v>
      </c>
      <c r="B521" s="58">
        <f>VLOOKUP(Table13[[#This Row],[Date]],database!A:F,6,)</f>
        <v/>
      </c>
      <c r="C521" s="67">
        <f>B521/B520-1</f>
        <v/>
      </c>
      <c r="D521" s="66">
        <f>(Table13[[#This Row],[Index]]-B509)/B509</f>
        <v/>
      </c>
    </row>
    <row r="522">
      <c r="A522" s="17" t="n">
        <v>41974</v>
      </c>
      <c r="B522" s="58">
        <f>VLOOKUP(Table13[[#This Row],[Date]],database!A:F,6,)</f>
        <v/>
      </c>
      <c r="C522" s="66">
        <f>B522/B521-1</f>
        <v/>
      </c>
      <c r="D522" s="66">
        <f>(Table13[[#This Row],[Index]]-B510)/B510</f>
        <v/>
      </c>
    </row>
    <row r="523">
      <c r="A523" s="17" t="n">
        <v>42005</v>
      </c>
      <c r="B523" s="58">
        <f>VLOOKUP(Table13[[#This Row],[Date]],database!A:F,6,)</f>
        <v/>
      </c>
      <c r="C523" s="67">
        <f>B523/B522-1</f>
        <v/>
      </c>
      <c r="D523" s="66">
        <f>(Table13[[#This Row],[Index]]-B511)/B511</f>
        <v/>
      </c>
    </row>
    <row r="524">
      <c r="A524" s="17" t="n">
        <v>42036</v>
      </c>
      <c r="B524" s="58">
        <f>VLOOKUP(Table13[[#This Row],[Date]],database!A:F,6,)</f>
        <v/>
      </c>
      <c r="C524" s="66">
        <f>B524/B523-1</f>
        <v/>
      </c>
      <c r="D524" s="66">
        <f>(Table13[[#This Row],[Index]]-B512)/B512</f>
        <v/>
      </c>
    </row>
    <row r="525">
      <c r="A525" s="17" t="n">
        <v>42064</v>
      </c>
      <c r="B525" s="58">
        <f>VLOOKUP(Table13[[#This Row],[Date]],database!A:F,6,)</f>
        <v/>
      </c>
      <c r="C525" s="67">
        <f>B525/B524-1</f>
        <v/>
      </c>
      <c r="D525" s="66">
        <f>(Table13[[#This Row],[Index]]-B513)/B513</f>
        <v/>
      </c>
    </row>
    <row r="526">
      <c r="A526" s="17" t="n">
        <v>42095</v>
      </c>
      <c r="B526" s="58">
        <f>VLOOKUP(Table13[[#This Row],[Date]],database!A:F,6,)</f>
        <v/>
      </c>
      <c r="C526" s="66">
        <f>B526/B525-1</f>
        <v/>
      </c>
      <c r="D526" s="66">
        <f>(Table13[[#This Row],[Index]]-B514)/B514</f>
        <v/>
      </c>
    </row>
    <row r="527">
      <c r="A527" s="17" t="n">
        <v>42125</v>
      </c>
      <c r="B527" s="58">
        <f>VLOOKUP(Table13[[#This Row],[Date]],database!A:F,6,)</f>
        <v/>
      </c>
      <c r="C527" s="66">
        <f>B527/B526-1</f>
        <v/>
      </c>
      <c r="D527" s="66">
        <f>(Table13[[#This Row],[Index]]-B515)/B515</f>
        <v/>
      </c>
    </row>
    <row r="528">
      <c r="A528" s="17" t="n">
        <v>42156</v>
      </c>
      <c r="B528" s="58">
        <f>VLOOKUP(Table13[[#This Row],[Date]],database!A:F,6,)</f>
        <v/>
      </c>
      <c r="C528" s="66">
        <f>B528/B527-1</f>
        <v/>
      </c>
      <c r="D528" s="66">
        <f>(Table13[[#This Row],[Index]]-B516)/B516</f>
        <v/>
      </c>
    </row>
    <row r="529">
      <c r="A529" s="17" t="n">
        <v>42186</v>
      </c>
      <c r="B529" s="58">
        <f>VLOOKUP(Table13[[#This Row],[Date]],database!A:F,6,)</f>
        <v/>
      </c>
      <c r="C529" s="66">
        <f>B529/B528-1</f>
        <v/>
      </c>
      <c r="D529" s="66">
        <f>(Table13[[#This Row],[Index]]-B517)/B517</f>
        <v/>
      </c>
    </row>
    <row r="530">
      <c r="A530" s="17" t="n">
        <v>42217</v>
      </c>
      <c r="B530" s="58">
        <f>VLOOKUP(Table13[[#This Row],[Date]],database!A:F,6,)</f>
        <v/>
      </c>
      <c r="C530" s="66">
        <f>B530/B529-1</f>
        <v/>
      </c>
      <c r="D530" s="66">
        <f>(Table13[[#This Row],[Index]]-B518)/B518</f>
        <v/>
      </c>
    </row>
    <row r="531">
      <c r="A531" s="17" t="n">
        <v>42248</v>
      </c>
      <c r="B531" s="58">
        <f>VLOOKUP(Table13[[#This Row],[Date]],database!A:F,6,)</f>
        <v/>
      </c>
      <c r="C531" s="66">
        <f>B531/B530-1</f>
        <v/>
      </c>
      <c r="D531" s="66">
        <f>(Table13[[#This Row],[Index]]-B519)/B519</f>
        <v/>
      </c>
    </row>
    <row r="532">
      <c r="A532" s="17" t="n">
        <v>42278</v>
      </c>
      <c r="B532" s="58">
        <f>VLOOKUP(Table13[[#This Row],[Date]],database!A:F,6,)</f>
        <v/>
      </c>
      <c r="C532" s="66">
        <f>B532/B531-1</f>
        <v/>
      </c>
      <c r="D532" s="66">
        <f>(Table13[[#This Row],[Index]]-B520)/B520</f>
        <v/>
      </c>
    </row>
    <row r="533">
      <c r="A533" s="17" t="n">
        <v>42309</v>
      </c>
      <c r="B533" s="58">
        <f>VLOOKUP(Table13[[#This Row],[Date]],database!A:F,6,)</f>
        <v/>
      </c>
      <c r="C533" s="66">
        <f>B533/B532-1</f>
        <v/>
      </c>
      <c r="D533" s="66">
        <f>(Table13[[#This Row],[Index]]-B521)/B521</f>
        <v/>
      </c>
    </row>
    <row r="534">
      <c r="A534" s="17" t="n">
        <v>42339</v>
      </c>
      <c r="B534" s="58">
        <f>VLOOKUP(Table13[[#This Row],[Date]],database!A:F,6,)</f>
        <v/>
      </c>
      <c r="C534" s="66">
        <f>B534/B533-1</f>
        <v/>
      </c>
      <c r="D534" s="66">
        <f>(Table13[[#This Row],[Index]]-B522)/B522</f>
        <v/>
      </c>
    </row>
    <row r="535">
      <c r="A535" s="17" t="n">
        <v>42370</v>
      </c>
      <c r="B535" s="58">
        <f>VLOOKUP(Table13[[#This Row],[Date]],database!A:F,6,)</f>
        <v/>
      </c>
      <c r="C535" s="66">
        <f>B535/B534-1</f>
        <v/>
      </c>
      <c r="D535" s="66">
        <f>(Table13[[#This Row],[Index]]-B523)/B523</f>
        <v/>
      </c>
    </row>
    <row r="536">
      <c r="A536" s="17" t="n">
        <v>42401</v>
      </c>
      <c r="B536" s="58">
        <f>VLOOKUP(Table13[[#This Row],[Date]],database!A:F,6,)</f>
        <v/>
      </c>
      <c r="C536" s="66">
        <f>B536/B535-1</f>
        <v/>
      </c>
      <c r="D536" s="66">
        <f>(Table13[[#This Row],[Index]]-B524)/B524</f>
        <v/>
      </c>
    </row>
    <row r="537">
      <c r="A537" s="17" t="n">
        <v>42430</v>
      </c>
      <c r="B537" s="58">
        <f>VLOOKUP(Table13[[#This Row],[Date]],database!A:F,6,)</f>
        <v/>
      </c>
      <c r="C537" s="66">
        <f>B537/B536-1</f>
        <v/>
      </c>
      <c r="D537" s="66">
        <f>(Table13[[#This Row],[Index]]-B525)/B525</f>
        <v/>
      </c>
    </row>
    <row r="538">
      <c r="A538" s="17" t="n">
        <v>42461</v>
      </c>
      <c r="B538" s="58">
        <f>VLOOKUP(Table13[[#This Row],[Date]],database!A:F,6,)</f>
        <v/>
      </c>
      <c r="C538" s="66">
        <f>B538/B537-1</f>
        <v/>
      </c>
      <c r="D538" s="66">
        <f>(Table13[[#This Row],[Index]]-B526)/B526</f>
        <v/>
      </c>
    </row>
    <row r="539">
      <c r="A539" s="17" t="n">
        <v>42491</v>
      </c>
      <c r="B539" s="58">
        <f>VLOOKUP(Table13[[#This Row],[Date]],database!A:F,6,)</f>
        <v/>
      </c>
      <c r="C539" s="66">
        <f>B539/B538-1</f>
        <v/>
      </c>
      <c r="D539" s="66">
        <f>(Table13[[#This Row],[Index]]-B527)/B527</f>
        <v/>
      </c>
    </row>
    <row r="540">
      <c r="A540" s="17" t="n">
        <v>42522</v>
      </c>
      <c r="B540" s="58">
        <f>VLOOKUP(Table13[[#This Row],[Date]],database!A:F,6,)</f>
        <v/>
      </c>
      <c r="C540" s="66">
        <f>B540/B539-1</f>
        <v/>
      </c>
      <c r="D540" s="66">
        <f>(Table13[[#This Row],[Index]]-B528)/B528</f>
        <v/>
      </c>
    </row>
    <row r="541">
      <c r="A541" s="17" t="n">
        <v>42552</v>
      </c>
      <c r="B541" s="58">
        <f>VLOOKUP(Table13[[#This Row],[Date]],database!A:F,6,)</f>
        <v/>
      </c>
      <c r="C541" s="66">
        <f>B541/B540-1</f>
        <v/>
      </c>
      <c r="D541" s="66">
        <f>(Table13[[#This Row],[Index]]-B529)/B529</f>
        <v/>
      </c>
    </row>
    <row r="542">
      <c r="A542" s="17" t="n">
        <v>42583</v>
      </c>
      <c r="B542" s="58">
        <f>VLOOKUP(Table13[[#This Row],[Date]],database!A:F,6,)</f>
        <v/>
      </c>
      <c r="C542" s="66">
        <f>B542/B541-1</f>
        <v/>
      </c>
      <c r="D542" s="66">
        <f>(Table13[[#This Row],[Index]]-B530)/B530</f>
        <v/>
      </c>
    </row>
    <row r="543">
      <c r="A543" s="17" t="n">
        <v>42614</v>
      </c>
      <c r="B543" s="58">
        <f>VLOOKUP(Table13[[#This Row],[Date]],database!A:F,6,)</f>
        <v/>
      </c>
      <c r="C543" s="66">
        <f>B543/B542-1</f>
        <v/>
      </c>
      <c r="D543" s="66">
        <f>(Table13[[#This Row],[Index]]-B531)/B531</f>
        <v/>
      </c>
    </row>
    <row r="544">
      <c r="A544" s="17" t="n">
        <v>42644</v>
      </c>
      <c r="B544" s="58">
        <f>VLOOKUP(Table13[[#This Row],[Date]],database!A:F,6,)</f>
        <v/>
      </c>
      <c r="C544" s="66">
        <f>B544/B543-1</f>
        <v/>
      </c>
      <c r="D544" s="66">
        <f>(Table13[[#This Row],[Index]]-B532)/B532</f>
        <v/>
      </c>
    </row>
    <row r="545">
      <c r="A545" s="17" t="n">
        <v>42675</v>
      </c>
      <c r="B545" s="58">
        <f>VLOOKUP(Table13[[#This Row],[Date]],database!A:F,6,)</f>
        <v/>
      </c>
      <c r="C545" s="66">
        <f>B545/B544-1</f>
        <v/>
      </c>
      <c r="D545" s="66">
        <f>(Table13[[#This Row],[Index]]-B533)/B533</f>
        <v/>
      </c>
    </row>
    <row r="546">
      <c r="A546" s="17" t="n">
        <v>42705</v>
      </c>
      <c r="B546" s="58">
        <f>VLOOKUP(Table13[[#This Row],[Date]],database!A:F,6,)</f>
        <v/>
      </c>
      <c r="C546" s="66">
        <f>B546/B545-1</f>
        <v/>
      </c>
      <c r="D546" s="66">
        <f>(Table13[[#This Row],[Index]]-B534)/B534</f>
        <v/>
      </c>
    </row>
    <row r="547">
      <c r="A547" s="17" t="n">
        <v>42736</v>
      </c>
      <c r="B547" s="58">
        <f>VLOOKUP(Table13[[#This Row],[Date]],database!A:F,6,)</f>
        <v/>
      </c>
      <c r="C547" s="66">
        <f>B547/B546-1</f>
        <v/>
      </c>
      <c r="D547" s="66">
        <f>(Table13[[#This Row],[Index]]-B535)/B535</f>
        <v/>
      </c>
    </row>
    <row r="548">
      <c r="A548" s="17" t="n">
        <v>42767</v>
      </c>
      <c r="B548" s="58">
        <f>VLOOKUP(Table13[[#This Row],[Date]],database!A:F,6,)</f>
        <v/>
      </c>
      <c r="C548" s="66">
        <f>B548/B547-1</f>
        <v/>
      </c>
      <c r="D548" s="66">
        <f>(Table13[[#This Row],[Index]]-B536)/B536</f>
        <v/>
      </c>
    </row>
    <row r="549">
      <c r="A549" s="17" t="n">
        <v>42795</v>
      </c>
      <c r="B549" s="58">
        <f>VLOOKUP(Table13[[#This Row],[Date]],database!A:F,6,)</f>
        <v/>
      </c>
      <c r="C549" s="66">
        <f>B549/B548-1</f>
        <v/>
      </c>
      <c r="D549" s="66">
        <f>(Table13[[#This Row],[Index]]-B537)/B537</f>
        <v/>
      </c>
    </row>
    <row r="550">
      <c r="A550" s="17" t="n">
        <v>42826</v>
      </c>
      <c r="B550" s="58">
        <f>VLOOKUP(Table13[[#This Row],[Date]],database!A:F,6,)</f>
        <v/>
      </c>
      <c r="C550" s="66">
        <f>B550/B549-1</f>
        <v/>
      </c>
      <c r="D550" s="66">
        <f>(Table13[[#This Row],[Index]]-B538)/B538</f>
        <v/>
      </c>
    </row>
    <row r="551">
      <c r="A551" s="17" t="n">
        <v>42856</v>
      </c>
      <c r="B551" s="58">
        <f>VLOOKUP(Table13[[#This Row],[Date]],database!A:F,6,)</f>
        <v/>
      </c>
      <c r="C551" s="66">
        <f>B551/B550-1</f>
        <v/>
      </c>
      <c r="D551" s="66">
        <f>(Table13[[#This Row],[Index]]-B539)/B539</f>
        <v/>
      </c>
    </row>
    <row r="552">
      <c r="A552" s="17" t="n">
        <v>42887</v>
      </c>
      <c r="B552" s="58">
        <f>VLOOKUP(Table13[[#This Row],[Date]],database!A:F,6,)</f>
        <v/>
      </c>
      <c r="C552" s="66">
        <f>B552/B551-1</f>
        <v/>
      </c>
      <c r="D552" s="66">
        <f>(Table13[[#This Row],[Index]]-B540)/B540</f>
        <v/>
      </c>
    </row>
    <row r="553">
      <c r="A553" s="17" t="n">
        <v>42917</v>
      </c>
      <c r="B553" s="58">
        <f>VLOOKUP(Table13[[#This Row],[Date]],database!A:F,6,)</f>
        <v/>
      </c>
      <c r="C553" s="66">
        <f>B553/B552-1</f>
        <v/>
      </c>
      <c r="D553" s="66">
        <f>(Table13[[#This Row],[Index]]-B541)/B541</f>
        <v/>
      </c>
    </row>
    <row r="554">
      <c r="A554" s="17" t="n">
        <v>42948</v>
      </c>
      <c r="B554" s="58">
        <f>VLOOKUP(Table13[[#This Row],[Date]],database!A:F,6,)</f>
        <v/>
      </c>
      <c r="C554" s="66">
        <f>B554/B553-1</f>
        <v/>
      </c>
      <c r="D554" s="66">
        <f>(Table13[[#This Row],[Index]]-B542)/B542</f>
        <v/>
      </c>
    </row>
    <row r="555">
      <c r="A555" s="17" t="n">
        <v>42979</v>
      </c>
      <c r="B555" s="58">
        <f>VLOOKUP(Table13[[#This Row],[Date]],database!A:F,6,)</f>
        <v/>
      </c>
      <c r="C555" s="66">
        <f>B555/B554-1</f>
        <v/>
      </c>
      <c r="D555" s="66">
        <f>(Table13[[#This Row],[Index]]-B543)/B543</f>
        <v/>
      </c>
    </row>
    <row r="556">
      <c r="A556" s="17" t="n">
        <v>43009</v>
      </c>
      <c r="B556" s="58">
        <f>VLOOKUP(Table13[[#This Row],[Date]],database!A:F,6,)</f>
        <v/>
      </c>
      <c r="C556" s="66">
        <f>B556/B555-1</f>
        <v/>
      </c>
      <c r="D556" s="66">
        <f>(Table13[[#This Row],[Index]]-B544)/B544</f>
        <v/>
      </c>
    </row>
    <row r="557">
      <c r="A557" s="17" t="n">
        <v>43040</v>
      </c>
      <c r="B557" s="58">
        <f>VLOOKUP(Table13[[#This Row],[Date]],database!A:F,6,)</f>
        <v/>
      </c>
      <c r="C557" s="66">
        <f>B557/B556-1</f>
        <v/>
      </c>
      <c r="D557" s="66">
        <f>(Table13[[#This Row],[Index]]-B545)/B545</f>
        <v/>
      </c>
    </row>
    <row r="558">
      <c r="A558" s="17" t="n">
        <v>43070</v>
      </c>
      <c r="B558" s="58">
        <f>VLOOKUP(Table13[[#This Row],[Date]],database!A:F,6,)</f>
        <v/>
      </c>
      <c r="C558" s="66">
        <f>B558/B557-1</f>
        <v/>
      </c>
      <c r="D558" s="66">
        <f>(Table13[[#This Row],[Index]]-B546)/B546</f>
        <v/>
      </c>
    </row>
    <row r="559">
      <c r="A559" s="17" t="n">
        <v>43101</v>
      </c>
      <c r="B559" s="58">
        <f>VLOOKUP(Table13[[#This Row],[Date]],database!A:F,6,)</f>
        <v/>
      </c>
      <c r="C559" s="66">
        <f>B559/B558-1</f>
        <v/>
      </c>
      <c r="D559" s="66">
        <f>(Table13[[#This Row],[Index]]-B547)/B547</f>
        <v/>
      </c>
    </row>
    <row r="560">
      <c r="A560" s="17" t="n">
        <v>43132</v>
      </c>
      <c r="B560" s="58">
        <f>VLOOKUP(Table13[[#This Row],[Date]],database!A:F,6,)</f>
        <v/>
      </c>
      <c r="C560" s="66">
        <f>B560/B559-1</f>
        <v/>
      </c>
      <c r="D560" s="66">
        <f>(Table13[[#This Row],[Index]]-B548)/B548</f>
        <v/>
      </c>
    </row>
    <row r="561">
      <c r="A561" s="17" t="n">
        <v>43160</v>
      </c>
      <c r="B561" s="58">
        <f>VLOOKUP(Table13[[#This Row],[Date]],database!A:F,6,)</f>
        <v/>
      </c>
      <c r="C561" s="66">
        <f>B561/B560-1</f>
        <v/>
      </c>
      <c r="D561" s="66">
        <f>(Table13[[#This Row],[Index]]-B549)/B549</f>
        <v/>
      </c>
    </row>
    <row r="562">
      <c r="A562" s="17" t="n">
        <v>43191</v>
      </c>
      <c r="B562" s="58">
        <f>VLOOKUP(Table13[[#This Row],[Date]],database!A:F,6,)</f>
        <v/>
      </c>
      <c r="C562" s="66">
        <f>B562/B561-1</f>
        <v/>
      </c>
      <c r="D562" s="66">
        <f>(Table13[[#This Row],[Index]]-B550)/B550</f>
        <v/>
      </c>
    </row>
    <row r="563">
      <c r="A563" s="17" t="n">
        <v>43221</v>
      </c>
      <c r="B563" s="58">
        <f>VLOOKUP(Table13[[#This Row],[Date]],database!A:F,6,)</f>
        <v/>
      </c>
      <c r="C563" s="66">
        <f>B563/B562-1</f>
        <v/>
      </c>
      <c r="D563" s="66">
        <f>(Table13[[#This Row],[Index]]-B551)/B551</f>
        <v/>
      </c>
    </row>
    <row r="564">
      <c r="A564" s="17" t="n">
        <v>43252</v>
      </c>
      <c r="B564" s="58">
        <f>VLOOKUP(Table13[[#This Row],[Date]],database!A:F,6,)</f>
        <v/>
      </c>
      <c r="C564" s="66">
        <f>B564/B563-1</f>
        <v/>
      </c>
      <c r="D564" s="66">
        <f>(Table13[[#This Row],[Index]]-B552)/B552</f>
        <v/>
      </c>
    </row>
    <row r="565">
      <c r="A565" s="17" t="n">
        <v>43282</v>
      </c>
      <c r="B565" s="58">
        <f>VLOOKUP(Table13[[#This Row],[Date]],database!A:F,6,)</f>
        <v/>
      </c>
      <c r="C565" s="66">
        <f>B565/B564-1</f>
        <v/>
      </c>
      <c r="D565" s="66">
        <f>(Table13[[#This Row],[Index]]-B553)/B553</f>
        <v/>
      </c>
    </row>
    <row r="566">
      <c r="A566" s="17" t="n">
        <v>43313</v>
      </c>
      <c r="B566" s="58">
        <f>VLOOKUP(Table13[[#This Row],[Date]],database!A:F,6,)</f>
        <v/>
      </c>
      <c r="C566" s="66">
        <f>B566/B565-1</f>
        <v/>
      </c>
      <c r="D566" s="66">
        <f>(Table13[[#This Row],[Index]]-B554)/B554</f>
        <v/>
      </c>
    </row>
    <row r="567">
      <c r="A567" s="17" t="n">
        <v>43344</v>
      </c>
      <c r="B567" s="58">
        <f>VLOOKUP(Table13[[#This Row],[Date]],database!A:F,6,)</f>
        <v/>
      </c>
      <c r="C567" s="66">
        <f>B567/B566-1</f>
        <v/>
      </c>
      <c r="D567" s="66">
        <f>(Table13[[#This Row],[Index]]-B555)/B555</f>
        <v/>
      </c>
    </row>
    <row r="568">
      <c r="A568" s="17" t="n">
        <v>43374</v>
      </c>
      <c r="B568" s="58">
        <f>VLOOKUP(Table13[[#This Row],[Date]],database!A:F,6,)</f>
        <v/>
      </c>
      <c r="C568" s="66">
        <f>B568/B567-1</f>
        <v/>
      </c>
      <c r="D568" s="66">
        <f>(Table13[[#This Row],[Index]]-B556)/B556</f>
        <v/>
      </c>
    </row>
    <row r="569">
      <c r="A569" s="17" t="n">
        <v>43405</v>
      </c>
      <c r="B569" s="58">
        <f>VLOOKUP(Table13[[#This Row],[Date]],database!A:F,6,)</f>
        <v/>
      </c>
      <c r="C569" s="66">
        <f>B569/B568-1</f>
        <v/>
      </c>
      <c r="D569" s="66">
        <f>(Table13[[#This Row],[Index]]-B557)/B557</f>
        <v/>
      </c>
    </row>
    <row r="570">
      <c r="A570" s="17" t="n">
        <v>43435</v>
      </c>
      <c r="B570" s="58">
        <f>VLOOKUP(Table13[[#This Row],[Date]],database!A:F,6,)</f>
        <v/>
      </c>
      <c r="C570" s="66">
        <f>B570/B569-1</f>
        <v/>
      </c>
      <c r="D570" s="66">
        <f>(Table13[[#This Row],[Index]]-B558)/B558</f>
        <v/>
      </c>
    </row>
    <row r="571">
      <c r="A571" s="17" t="n">
        <v>43466</v>
      </c>
      <c r="B571" s="58">
        <f>VLOOKUP(Table13[[#This Row],[Date]],database!A:F,6,)</f>
        <v/>
      </c>
      <c r="C571" s="66">
        <f>B571/B570-1</f>
        <v/>
      </c>
      <c r="D571" s="66">
        <f>(Table13[[#This Row],[Index]]-B559)/B559</f>
        <v/>
      </c>
    </row>
    <row r="572">
      <c r="A572" s="17" t="n">
        <v>43497</v>
      </c>
      <c r="B572" s="58">
        <f>VLOOKUP(Table13[[#This Row],[Date]],database!A:F,6,)</f>
        <v/>
      </c>
      <c r="C572" s="66">
        <f>B572/B571-1</f>
        <v/>
      </c>
      <c r="D572" s="66">
        <f>(Table13[[#This Row],[Index]]-B560)/B560</f>
        <v/>
      </c>
    </row>
    <row r="573">
      <c r="A573" s="17" t="n">
        <v>43525</v>
      </c>
      <c r="B573" s="58">
        <f>VLOOKUP(Table13[[#This Row],[Date]],database!A:F,6,)</f>
        <v/>
      </c>
      <c r="C573" s="66">
        <f>B573/B572-1</f>
        <v/>
      </c>
      <c r="D573" s="66">
        <f>(Table13[[#This Row],[Index]]-B561)/B561</f>
        <v/>
      </c>
    </row>
    <row r="574">
      <c r="A574" s="17" t="n">
        <v>43556</v>
      </c>
      <c r="B574" s="58">
        <f>VLOOKUP(Table13[[#This Row],[Date]],database!A:F,6,)</f>
        <v/>
      </c>
      <c r="C574" s="66">
        <f>B574/B573-1</f>
        <v/>
      </c>
      <c r="D574" s="66">
        <f>(Table13[[#This Row],[Index]]-B562)/B562</f>
        <v/>
      </c>
    </row>
    <row r="575">
      <c r="A575" s="17" t="n">
        <v>43586</v>
      </c>
      <c r="B575" s="58">
        <f>VLOOKUP(Table13[[#This Row],[Date]],database!A:F,6,)</f>
        <v/>
      </c>
      <c r="C575" s="66">
        <f>B575/B574-1</f>
        <v/>
      </c>
      <c r="D575" s="66">
        <f>(Table13[[#This Row],[Index]]-B563)/B563</f>
        <v/>
      </c>
    </row>
    <row r="576">
      <c r="A576" s="17" t="n">
        <v>43617</v>
      </c>
      <c r="B576" s="58">
        <f>VLOOKUP(Table13[[#This Row],[Date]],database!A:F,6,)</f>
        <v/>
      </c>
      <c r="C576" s="66">
        <f>B576/B575-1</f>
        <v/>
      </c>
      <c r="D576" s="66">
        <f>(Table13[[#This Row],[Index]]-B564)/B564</f>
        <v/>
      </c>
    </row>
    <row r="577">
      <c r="A577" s="17" t="n">
        <v>43647</v>
      </c>
      <c r="B577" s="58">
        <f>VLOOKUP(Table13[[#This Row],[Date]],database!A:F,6,)</f>
        <v/>
      </c>
      <c r="C577" s="66">
        <f>B577/B576-1</f>
        <v/>
      </c>
      <c r="D577" s="66">
        <f>(Table13[[#This Row],[Index]]-B565)/B565</f>
        <v/>
      </c>
    </row>
    <row r="578">
      <c r="A578" s="17" t="n">
        <v>43678</v>
      </c>
      <c r="B578" s="58">
        <f>VLOOKUP(Table13[[#This Row],[Date]],database!A:F,6,)</f>
        <v/>
      </c>
      <c r="C578" s="66">
        <f>B578/B577-1</f>
        <v/>
      </c>
      <c r="D578" s="66">
        <f>(Table13[[#This Row],[Index]]-B566)/B566</f>
        <v/>
      </c>
    </row>
    <row r="579">
      <c r="A579" s="17" t="n">
        <v>43709</v>
      </c>
      <c r="B579" s="58">
        <f>VLOOKUP(Table13[[#This Row],[Date]],database!A:F,6,)</f>
        <v/>
      </c>
      <c r="C579" s="66">
        <f>B579/B578-1</f>
        <v/>
      </c>
      <c r="D579" s="66">
        <f>(Table13[[#This Row],[Index]]-B567)/B567</f>
        <v/>
      </c>
    </row>
    <row r="580">
      <c r="A580" s="17" t="n">
        <v>43739</v>
      </c>
      <c r="B580" s="58">
        <f>VLOOKUP(Table13[[#This Row],[Date]],database!A:F,6,)</f>
        <v/>
      </c>
      <c r="C580" s="66">
        <f>B580/B579-1</f>
        <v/>
      </c>
      <c r="D580" s="66">
        <f>(Table13[[#This Row],[Index]]-B568)/B568</f>
        <v/>
      </c>
    </row>
    <row r="581">
      <c r="A581" s="17" t="n">
        <v>43770</v>
      </c>
      <c r="B581" s="58">
        <f>VLOOKUP(Table13[[#This Row],[Date]],database!A:F,6,)</f>
        <v/>
      </c>
      <c r="C581" s="66">
        <f>B581/B580-1</f>
        <v/>
      </c>
      <c r="D581" s="66">
        <f>(Table13[[#This Row],[Index]]-B569)/B569</f>
        <v/>
      </c>
    </row>
    <row r="582">
      <c r="A582" s="17" t="n">
        <v>43800</v>
      </c>
      <c r="B582" s="58">
        <f>VLOOKUP(Table13[[#This Row],[Date]],database!A:F,6,)</f>
        <v/>
      </c>
      <c r="C582" s="66">
        <f>B582/B581-1</f>
        <v/>
      </c>
      <c r="D582" s="66">
        <f>(Table13[[#This Row],[Index]]-B570)/B570</f>
        <v/>
      </c>
    </row>
    <row r="583">
      <c r="A583" s="17" t="n">
        <v>43831</v>
      </c>
      <c r="B583" s="58">
        <f>VLOOKUP(Table13[[#This Row],[Date]],database!A:F,6,)</f>
        <v/>
      </c>
      <c r="C583" s="66">
        <f>B583/B582-1</f>
        <v/>
      </c>
      <c r="D583" s="66">
        <f>(Table13[[#This Row],[Index]]-B571)/B571</f>
        <v/>
      </c>
    </row>
    <row r="584">
      <c r="A584" s="17" t="n">
        <v>43862</v>
      </c>
      <c r="B584" s="58">
        <f>VLOOKUP(Table13[[#This Row],[Date]],database!A:F,6,)</f>
        <v/>
      </c>
      <c r="C584" s="66">
        <f>B584/B583-1</f>
        <v/>
      </c>
      <c r="D584" s="66">
        <f>(Table13[[#This Row],[Index]]-B572)/B572</f>
        <v/>
      </c>
    </row>
    <row r="585">
      <c r="A585" s="17" t="n">
        <v>43891</v>
      </c>
      <c r="B585" s="58">
        <f>VLOOKUP(Table13[[#This Row],[Date]],database!A:F,6,)</f>
        <v/>
      </c>
      <c r="C585" s="66">
        <f>B585/B584-1</f>
        <v/>
      </c>
      <c r="D585" s="66">
        <f>(Table13[[#This Row],[Index]]-B573)/B573</f>
        <v/>
      </c>
    </row>
    <row r="586">
      <c r="A586" s="17" t="n">
        <v>43922</v>
      </c>
      <c r="B586" s="58">
        <f>VLOOKUP(Table13[[#This Row],[Date]],database!A:F,6,)</f>
        <v/>
      </c>
      <c r="C586" s="66">
        <f>B586/B585-1</f>
        <v/>
      </c>
      <c r="D586" s="66">
        <f>(Table13[[#This Row],[Index]]-B574)/B574</f>
        <v/>
      </c>
    </row>
    <row r="587">
      <c r="A587" s="17" t="n">
        <v>43952</v>
      </c>
      <c r="B587" s="58">
        <f>VLOOKUP(Table13[[#This Row],[Date]],database!A:F,6,)</f>
        <v/>
      </c>
      <c r="C587" s="66">
        <f>B587/B586-1</f>
        <v/>
      </c>
      <c r="D587" s="66">
        <f>(Table13[[#This Row],[Index]]-B575)/B575</f>
        <v/>
      </c>
    </row>
    <row r="588">
      <c r="A588" s="17" t="n">
        <v>43983</v>
      </c>
      <c r="B588" s="58">
        <f>VLOOKUP(Table13[[#This Row],[Date]],database!A:F,6,)</f>
        <v/>
      </c>
      <c r="C588" s="66">
        <f>B588/B587-1</f>
        <v/>
      </c>
      <c r="D588" s="66">
        <f>(Table13[[#This Row],[Index]]-B576)/B576</f>
        <v/>
      </c>
    </row>
    <row r="589">
      <c r="A589" s="17" t="n">
        <v>44013</v>
      </c>
      <c r="B589" s="58">
        <f>VLOOKUP(Table13[[#This Row],[Date]],database!A:F,6,)</f>
        <v/>
      </c>
      <c r="C589" s="66">
        <f>B589/B588-1</f>
        <v/>
      </c>
      <c r="D589" s="66">
        <f>(Table13[[#This Row],[Index]]-B577)/B577</f>
        <v/>
      </c>
    </row>
    <row r="590">
      <c r="A590" s="17" t="n">
        <v>44044</v>
      </c>
      <c r="B590" s="58">
        <f>VLOOKUP(Table13[[#This Row],[Date]],database!A:F,6,)</f>
        <v/>
      </c>
      <c r="C590" s="66">
        <f>B590/B589-1</f>
        <v/>
      </c>
      <c r="D590" s="66">
        <f>(Table13[[#This Row],[Index]]-B578)/B578</f>
        <v/>
      </c>
    </row>
    <row r="591">
      <c r="A591" s="17" t="n">
        <v>44075</v>
      </c>
      <c r="B591" s="58">
        <f>VLOOKUP(Table13[[#This Row],[Date]],database!A:F,6,)</f>
        <v/>
      </c>
      <c r="C591" s="66">
        <f>B591/B590-1</f>
        <v/>
      </c>
      <c r="D591" s="66">
        <f>(Table13[[#This Row],[Index]]-B579)/B579</f>
        <v/>
      </c>
    </row>
    <row r="592">
      <c r="A592" s="17" t="n">
        <v>44105</v>
      </c>
      <c r="B592" s="58">
        <f>VLOOKUP(Table13[[#This Row],[Date]],database!A:F,6,)</f>
        <v/>
      </c>
      <c r="C592" s="66">
        <f>B592/B591-1</f>
        <v/>
      </c>
      <c r="D592" s="66">
        <f>(Table13[[#This Row],[Index]]-B580)/B580</f>
        <v/>
      </c>
    </row>
    <row r="593">
      <c r="A593" s="17" t="n">
        <v>44136</v>
      </c>
      <c r="B593" s="58">
        <f>VLOOKUP(Table13[[#This Row],[Date]],database!A:F,6,)</f>
        <v/>
      </c>
      <c r="C593" s="66">
        <f>B593/B592-1</f>
        <v/>
      </c>
      <c r="D593" s="66">
        <f>(Table13[[#This Row],[Index]]-B581)/B581</f>
        <v/>
      </c>
    </row>
    <row r="594">
      <c r="A594" s="17" t="n">
        <v>44166</v>
      </c>
      <c r="B594" s="58">
        <f>VLOOKUP(Table13[[#This Row],[Date]],database!A:F,6,)</f>
        <v/>
      </c>
      <c r="C594" s="66">
        <f>B594/B593-1</f>
        <v/>
      </c>
      <c r="D594" s="66">
        <f>(Table13[[#This Row],[Index]]-B582)/B582</f>
        <v/>
      </c>
    </row>
    <row r="595">
      <c r="A595" s="17" t="n">
        <v>44197</v>
      </c>
      <c r="B595" s="58">
        <f>VLOOKUP(Table13[[#This Row],[Date]],database!A:F,6,)</f>
        <v/>
      </c>
      <c r="C595" s="66">
        <f>B595/B594-1</f>
        <v/>
      </c>
      <c r="D595" s="66">
        <f>(Table13[[#This Row],[Index]]-B583)/B583</f>
        <v/>
      </c>
    </row>
    <row r="596">
      <c r="A596" s="17" t="n">
        <v>44228</v>
      </c>
      <c r="B596" s="58">
        <f>VLOOKUP(Table13[[#This Row],[Date]],database!A:F,6,)</f>
        <v/>
      </c>
      <c r="C596" s="66">
        <f>B596/B595-1</f>
        <v/>
      </c>
      <c r="D596" s="66">
        <f>(Table13[[#This Row],[Index]]-B584)/B584</f>
        <v/>
      </c>
    </row>
    <row r="597">
      <c r="A597" s="17" t="n">
        <v>44256</v>
      </c>
      <c r="B597" s="58">
        <f>VLOOKUP(Table13[[#This Row],[Date]],database!A:F,6,)</f>
        <v/>
      </c>
      <c r="C597" s="66">
        <f>B597/B596-1</f>
        <v/>
      </c>
      <c r="D597" s="66">
        <f>(Table13[[#This Row],[Index]]-B585)/B585</f>
        <v/>
      </c>
    </row>
    <row r="598">
      <c r="A598" s="17" t="n">
        <v>44287</v>
      </c>
      <c r="B598" s="58">
        <f>VLOOKUP(Table13[[#This Row],[Date]],database!A:F,6,)</f>
        <v/>
      </c>
      <c r="C598" s="66">
        <f>B598/B597-1</f>
        <v/>
      </c>
      <c r="D598" s="66">
        <f>(Table13[[#This Row],[Index]]-B586)/B586</f>
        <v/>
      </c>
    </row>
    <row r="599">
      <c r="A599" s="17" t="n">
        <v>44317</v>
      </c>
      <c r="B599" s="58">
        <f>VLOOKUP(Table13[[#This Row],[Date]],database!A:F,6,)</f>
        <v/>
      </c>
      <c r="C599" s="66">
        <f>B599/B598-1</f>
        <v/>
      </c>
      <c r="D599" s="66">
        <f>(Table13[[#This Row],[Index]]-B587)/B587</f>
        <v/>
      </c>
    </row>
    <row r="600">
      <c r="A600" s="17" t="n">
        <v>44348</v>
      </c>
      <c r="B600" s="58">
        <f>VLOOKUP(Table13[[#This Row],[Date]],database!A:F,6,)</f>
        <v/>
      </c>
      <c r="C600" s="66">
        <f>B600/B599-1</f>
        <v/>
      </c>
      <c r="D600" s="66">
        <f>(Table13[[#This Row],[Index]]-B588)/B588</f>
        <v/>
      </c>
    </row>
    <row r="601">
      <c r="A601" s="17" t="n">
        <v>44378</v>
      </c>
      <c r="B601" s="58">
        <f>VLOOKUP(Table13[[#This Row],[Date]],database!A:F,6,)</f>
        <v/>
      </c>
      <c r="C601" s="66">
        <f>B601/B600-1</f>
        <v/>
      </c>
      <c r="D601" s="66">
        <f>(Table13[[#This Row],[Index]]-B589)/B589</f>
        <v/>
      </c>
    </row>
    <row r="602">
      <c r="A602" s="17" t="n">
        <v>44409</v>
      </c>
      <c r="B602" s="58">
        <f>VLOOKUP(Table13[[#This Row],[Date]],database!A:F,6,)</f>
        <v/>
      </c>
      <c r="C602" s="66">
        <f>B602/B601-1</f>
        <v/>
      </c>
      <c r="D602" s="66">
        <f>(Table13[[#This Row],[Index]]-B590)/B590</f>
        <v/>
      </c>
    </row>
    <row r="603">
      <c r="A603" s="17" t="n">
        <v>44440</v>
      </c>
      <c r="B603" s="58">
        <f>VLOOKUP(Table13[[#This Row],[Date]],database!A:F,6,)</f>
        <v/>
      </c>
      <c r="C603" s="66">
        <f>B603/B602-1</f>
        <v/>
      </c>
      <c r="D603" s="66">
        <f>(Table13[[#This Row],[Index]]-B591)/B591</f>
        <v/>
      </c>
    </row>
    <row r="604">
      <c r="A604" s="17" t="n">
        <v>44470</v>
      </c>
      <c r="B604" s="58">
        <f>VLOOKUP(Table13[[#This Row],[Date]],database!A:F,6,)</f>
        <v/>
      </c>
      <c r="C604" s="66">
        <f>B604/B603-1</f>
        <v/>
      </c>
      <c r="D604" s="66">
        <f>(Table13[[#This Row],[Index]]-B592)/B592</f>
        <v/>
      </c>
    </row>
    <row r="605">
      <c r="A605" s="17" t="n">
        <v>44501</v>
      </c>
      <c r="B605" s="58">
        <f>VLOOKUP(Table13[[#This Row],[Date]],database!A:F,6,)</f>
        <v/>
      </c>
      <c r="C605" s="66">
        <f>B605/B604-1</f>
        <v/>
      </c>
      <c r="D605" s="66">
        <f>(Table13[[#This Row],[Index]]-B593)/B593</f>
        <v/>
      </c>
    </row>
    <row r="606">
      <c r="A606" s="17" t="n">
        <v>44531</v>
      </c>
      <c r="B606" s="58">
        <f>VLOOKUP(Table13[[#This Row],[Date]],database!A:F,6,)</f>
        <v/>
      </c>
      <c r="C606" s="66">
        <f>B606/B605-1</f>
        <v/>
      </c>
      <c r="D606" s="66">
        <f>(Table13[[#This Row],[Index]]-B594)/B594</f>
        <v/>
      </c>
    </row>
    <row r="607">
      <c r="A607" s="17" t="n">
        <v>44562</v>
      </c>
      <c r="B607" s="58">
        <f>VLOOKUP(Table13[[#This Row],[Date]],database!A:F,6,)</f>
        <v/>
      </c>
      <c r="C607" s="66">
        <f>B607/B606-1</f>
        <v/>
      </c>
      <c r="D607" s="66">
        <f>(Table13[[#This Row],[Index]]-B595)/B595</f>
        <v/>
      </c>
    </row>
    <row r="608">
      <c r="A608" s="17" t="n">
        <v>44593</v>
      </c>
      <c r="B608" s="58">
        <f>VLOOKUP(Table13[[#This Row],[Date]],database!A:F,6,)</f>
        <v/>
      </c>
      <c r="C608" s="66">
        <f>B608/B607-1</f>
        <v/>
      </c>
      <c r="D608" s="66">
        <f>(Table13[[#This Row],[Index]]-B596)/B596</f>
        <v/>
      </c>
    </row>
    <row r="609">
      <c r="A609" s="17" t="n">
        <v>44621</v>
      </c>
      <c r="B609" s="58">
        <f>VLOOKUP(Table13[[#This Row],[Date]],database!A:F,6,)</f>
        <v/>
      </c>
      <c r="C609" s="66">
        <f>B609/B608-1</f>
        <v/>
      </c>
      <c r="D609" s="66">
        <f>(Table13[[#This Row],[Index]]-B597)/B597</f>
        <v/>
      </c>
    </row>
    <row r="610">
      <c r="A610" s="17" t="n">
        <v>44652</v>
      </c>
      <c r="B610" s="58">
        <f>VLOOKUP(Table13[[#This Row],[Date]],database!A:F,6,)</f>
        <v/>
      </c>
      <c r="C610" s="66">
        <f>B610/B609-1</f>
        <v/>
      </c>
      <c r="D610" s="66">
        <f>(Table13[[#This Row],[Index]]-B598)/B598</f>
        <v/>
      </c>
    </row>
    <row r="611">
      <c r="A611" s="17" t="n">
        <v>44682</v>
      </c>
      <c r="B611" s="58">
        <f>VLOOKUP(Table13[[#This Row],[Date]],database!A:F,6,)</f>
        <v/>
      </c>
      <c r="C611" s="66">
        <f>B611/B610-1</f>
        <v/>
      </c>
      <c r="D611" s="66">
        <f>(Table13[[#This Row],[Index]]-B599)/B599</f>
        <v/>
      </c>
    </row>
    <row r="612">
      <c r="A612" s="17" t="n">
        <v>44713</v>
      </c>
      <c r="B612" s="58">
        <f>VLOOKUP(Table13[[#This Row],[Date]],database!A:F,6,)</f>
        <v/>
      </c>
      <c r="C612" s="66">
        <f>B612/B611-1</f>
        <v/>
      </c>
      <c r="D612" s="66">
        <f>(Table13[[#This Row],[Index]]-B600)/B600</f>
        <v/>
      </c>
    </row>
    <row r="613">
      <c r="A613" s="17" t="n">
        <v>44743</v>
      </c>
      <c r="B613" s="58">
        <f>VLOOKUP(Table13[[#This Row],[Date]],database!A:F,6,)</f>
        <v/>
      </c>
      <c r="C613" s="66">
        <f>B613/B612-1</f>
        <v/>
      </c>
      <c r="D613" s="66">
        <f>(Table13[[#This Row],[Index]]-B601)/B601</f>
        <v/>
      </c>
    </row>
    <row r="614">
      <c r="A614" s="17" t="n">
        <v>44774</v>
      </c>
      <c r="B614" s="58">
        <f>VLOOKUP(Table13[[#This Row],[Date]],database!A:F,6,)</f>
        <v/>
      </c>
      <c r="C614" s="66">
        <f>B614/B613-1</f>
        <v/>
      </c>
      <c r="D614" s="66">
        <f>(Table13[[#This Row],[Index]]-B602)/B602</f>
        <v/>
      </c>
    </row>
    <row r="615">
      <c r="A615" s="17" t="n">
        <v>44805</v>
      </c>
      <c r="B615" s="58">
        <f>VLOOKUP(Table13[[#This Row],[Date]],database!A:F,6,)</f>
        <v/>
      </c>
      <c r="C615" s="66">
        <f>B615/B614-1</f>
        <v/>
      </c>
      <c r="D615" s="66">
        <f>(Table13[[#This Row],[Index]]-B603)/B603</f>
        <v/>
      </c>
    </row>
    <row r="616">
      <c r="A616" s="17" t="n">
        <v>44835</v>
      </c>
      <c r="B616" s="58">
        <f>VLOOKUP(Table13[[#This Row],[Date]],database!A:F,6,)</f>
        <v/>
      </c>
      <c r="C616" s="66">
        <f>B616/B615-1</f>
        <v/>
      </c>
      <c r="D616" s="66">
        <f>(Table13[[#This Row],[Index]]-B604)/B604</f>
        <v/>
      </c>
    </row>
    <row r="617">
      <c r="A617" s="17" t="n">
        <v>44866</v>
      </c>
      <c r="B617" s="58">
        <f>VLOOKUP(Table13[[#This Row],[Date]],database!A:F,6,)</f>
        <v/>
      </c>
      <c r="C617" s="66">
        <f>B617/B616-1</f>
        <v/>
      </c>
      <c r="D617" s="66">
        <f>(Table13[[#This Row],[Index]]-B605)/B605</f>
        <v/>
      </c>
    </row>
    <row r="618">
      <c r="A618" s="17" t="n">
        <v>44896</v>
      </c>
      <c r="B618" s="58">
        <f>VLOOKUP(Table13[[#This Row],[Date]],database!A:F,6,)</f>
        <v/>
      </c>
      <c r="C618" s="66">
        <f>B618/B617-1</f>
        <v/>
      </c>
      <c r="D618" s="66">
        <f>(Table13[[#This Row],[Index]]-B606)/B606</f>
        <v/>
      </c>
    </row>
    <row r="619">
      <c r="A619" s="17" t="n">
        <v>44927</v>
      </c>
      <c r="B619" s="58">
        <f>VLOOKUP(Table13[[#This Row],[Date]],database!A:F,6,)</f>
        <v/>
      </c>
      <c r="C619" s="66">
        <f>B619/B618-1</f>
        <v/>
      </c>
      <c r="D619" s="66">
        <f>(Table13[[#This Row],[Index]]-B607)/B607</f>
        <v/>
      </c>
    </row>
    <row r="620">
      <c r="A620" s="17" t="n">
        <v>44958</v>
      </c>
      <c r="B620" s="58">
        <f>VLOOKUP(Table13[[#This Row],[Date]],database!A:F,6,)</f>
        <v/>
      </c>
      <c r="C620" s="66">
        <f>B620/B619-1</f>
        <v/>
      </c>
      <c r="D620" s="66">
        <f>(Table13[[#This Row],[Index]]-B608)/B608</f>
        <v/>
      </c>
    </row>
    <row r="621">
      <c r="A621" s="17" t="n">
        <v>44986</v>
      </c>
      <c r="B621" s="58">
        <f>VLOOKUP(Table13[[#This Row],[Date]],database!A:F,6,)</f>
        <v/>
      </c>
      <c r="C621" s="66">
        <f>B621/B620-1</f>
        <v/>
      </c>
      <c r="D621" s="66">
        <f>(Table13[[#This Row],[Index]]-B609)/B609</f>
        <v/>
      </c>
    </row>
  </sheetData>
  <conditionalFormatting sqref="D463:D62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21"/>
  <sheetViews>
    <sheetView zoomScale="80" zoomScaleNormal="80" workbookViewId="0">
      <pane ySplit="6" topLeftCell="A602" activePane="bottomLeft" state="frozen"/>
      <selection activeCell="J582" sqref="J582"/>
      <selection pane="bottomLeft" activeCell="I630" sqref="I630"/>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15" t="inlineStr">
        <is>
          <t>IPMINE</t>
        </is>
      </c>
      <c r="B1" s="88" t="n"/>
      <c r="C1" s="88" t="n"/>
      <c r="S1" s="20" t="inlineStr">
        <is>
          <t>Industrial Production: Mining</t>
        </is>
      </c>
      <c r="T1" s="62" t="inlineStr">
        <is>
          <t xml:space="preserve"> since 2010 </t>
        </is>
      </c>
      <c r="U1" s="88">
        <f>S1&amp;T1</f>
        <v/>
      </c>
      <c r="Y1" s="60">
        <f>U4&amp; T1</f>
        <v/>
      </c>
    </row>
    <row r="2">
      <c r="A2" s="15" t="n"/>
      <c r="B2" s="88" t="n"/>
      <c r="C2" s="88" t="n"/>
      <c r="S2" s="20" t="n"/>
      <c r="T2" s="62" t="n"/>
      <c r="Y2" s="60" t="n"/>
    </row>
    <row r="3">
      <c r="A3" s="15" t="n"/>
      <c r="B3" s="88" t="n"/>
      <c r="C3" s="88" t="n"/>
      <c r="S3" s="20" t="n"/>
      <c r="T3" s="62" t="n"/>
      <c r="Y3" s="60" t="n"/>
    </row>
    <row r="4">
      <c r="A4" s="16" t="n"/>
      <c r="B4" s="88" t="n"/>
      <c r="C4" s="88" t="n"/>
      <c r="S4" s="55" t="n"/>
      <c r="T4" s="62" t="n"/>
      <c r="U4" s="88">
        <f>S1&amp;Table134[[#Headers],[ yoy]]</f>
        <v/>
      </c>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VLOOKUP(Table134[[#This Row],[Date]],database!A:I,8,)</f>
        <v/>
      </c>
      <c r="C7" s="66" t="n"/>
      <c r="D7" s="66" t="n"/>
    </row>
    <row r="8">
      <c r="A8" s="17" t="n">
        <v>26330</v>
      </c>
      <c r="B8" s="58">
        <f>VLOOKUP(Table134[[#This Row],[Date]],database!A:I,8,)</f>
        <v/>
      </c>
      <c r="C8" s="66">
        <f>B8/B7-1</f>
        <v/>
      </c>
      <c r="D8" s="66" t="n"/>
    </row>
    <row r="9">
      <c r="A9" s="17" t="n">
        <v>26359</v>
      </c>
      <c r="B9" s="58">
        <f>VLOOKUP(Table134[[#This Row],[Date]],database!A:I,8,)</f>
        <v/>
      </c>
      <c r="C9" s="66">
        <f>B9/B8-1</f>
        <v/>
      </c>
      <c r="D9" s="66" t="n"/>
    </row>
    <row r="10">
      <c r="A10" s="17" t="n">
        <v>26390</v>
      </c>
      <c r="B10" s="58">
        <f>VLOOKUP(Table134[[#This Row],[Date]],database!A:I,8,)</f>
        <v/>
      </c>
      <c r="C10" s="66">
        <f>B10/B9-1</f>
        <v/>
      </c>
      <c r="D10" s="66" t="n"/>
    </row>
    <row r="11">
      <c r="A11" s="17" t="n">
        <v>26420</v>
      </c>
      <c r="B11" s="58">
        <f>VLOOKUP(Table134[[#This Row],[Date]],database!A:I,8,)</f>
        <v/>
      </c>
      <c r="C11" s="66">
        <f>B11/B10-1</f>
        <v/>
      </c>
      <c r="D11" s="66" t="n"/>
    </row>
    <row r="12">
      <c r="A12" s="17" t="n">
        <v>26451</v>
      </c>
      <c r="B12" s="58">
        <f>VLOOKUP(Table134[[#This Row],[Date]],database!A:I,8,)</f>
        <v/>
      </c>
      <c r="C12" s="66">
        <f>B12/B11-1</f>
        <v/>
      </c>
      <c r="D12" s="66" t="n"/>
    </row>
    <row r="13">
      <c r="A13" s="17" t="n">
        <v>26481</v>
      </c>
      <c r="B13" s="58">
        <f>VLOOKUP(Table134[[#This Row],[Date]],database!A:I,8,)</f>
        <v/>
      </c>
      <c r="C13" s="66">
        <f>B13/B12-1</f>
        <v/>
      </c>
      <c r="D13" s="66" t="n"/>
    </row>
    <row r="14">
      <c r="A14" s="17" t="n">
        <v>26512</v>
      </c>
      <c r="B14" s="58">
        <f>VLOOKUP(Table134[[#This Row],[Date]],database!A:I,8,)</f>
        <v/>
      </c>
      <c r="C14" s="66">
        <f>B14/B13-1</f>
        <v/>
      </c>
      <c r="D14" s="66" t="n"/>
    </row>
    <row r="15">
      <c r="A15" s="17" t="n">
        <v>26543</v>
      </c>
      <c r="B15" s="58">
        <f>VLOOKUP(Table134[[#This Row],[Date]],database!A:I,8,)</f>
        <v/>
      </c>
      <c r="C15" s="66">
        <f>B15/B14-1</f>
        <v/>
      </c>
      <c r="D15" s="66" t="n"/>
    </row>
    <row r="16">
      <c r="A16" s="17" t="n">
        <v>26573</v>
      </c>
      <c r="B16" s="58">
        <f>VLOOKUP(Table134[[#This Row],[Date]],database!A:I,8,)</f>
        <v/>
      </c>
      <c r="C16" s="66">
        <f>B16/B15-1</f>
        <v/>
      </c>
      <c r="D16" s="66" t="n"/>
    </row>
    <row r="17">
      <c r="A17" s="17" t="n">
        <v>26604</v>
      </c>
      <c r="B17" s="58">
        <f>VLOOKUP(Table134[[#This Row],[Date]],database!A:I,8,)</f>
        <v/>
      </c>
      <c r="C17" s="66">
        <f>B17/B16-1</f>
        <v/>
      </c>
      <c r="D17" s="66" t="n"/>
    </row>
    <row r="18">
      <c r="A18" s="17" t="n">
        <v>26634</v>
      </c>
      <c r="B18" s="58">
        <f>VLOOKUP(Table134[[#This Row],[Date]],database!A:I,8,)</f>
        <v/>
      </c>
      <c r="C18" s="66">
        <f>B18/B17-1</f>
        <v/>
      </c>
      <c r="D18" s="66" t="n"/>
    </row>
    <row r="19">
      <c r="A19" s="17" t="n">
        <v>26665</v>
      </c>
      <c r="B19" s="58">
        <f>VLOOKUP(Table134[[#This Row],[Date]],database!A:I,8,)</f>
        <v/>
      </c>
      <c r="C19" s="66">
        <f>B19/B18-1</f>
        <v/>
      </c>
      <c r="D19" s="66" t="n"/>
    </row>
    <row r="20">
      <c r="A20" s="17" t="n">
        <v>26696</v>
      </c>
      <c r="B20" s="58">
        <f>VLOOKUP(Table134[[#This Row],[Date]],database!A:I,8,)</f>
        <v/>
      </c>
      <c r="C20" s="66">
        <f>B20/B19-1</f>
        <v/>
      </c>
      <c r="D20" s="66">
        <f>(Table134[[#This Row],[Index]]-B8)/B8</f>
        <v/>
      </c>
    </row>
    <row r="21">
      <c r="A21" s="17" t="n">
        <v>26724</v>
      </c>
      <c r="B21" s="58">
        <f>VLOOKUP(Table134[[#This Row],[Date]],database!A:I,8,)</f>
        <v/>
      </c>
      <c r="C21" s="66">
        <f>B21/B20-1</f>
        <v/>
      </c>
      <c r="D21" s="66">
        <f>(Table134[[#This Row],[Index]]-B9)/B9</f>
        <v/>
      </c>
    </row>
    <row r="22">
      <c r="A22" s="17" t="n">
        <v>26755</v>
      </c>
      <c r="B22" s="58">
        <f>VLOOKUP(Table134[[#This Row],[Date]],database!A:I,8,)</f>
        <v/>
      </c>
      <c r="C22" s="66">
        <f>B22/B21-1</f>
        <v/>
      </c>
      <c r="D22" s="66">
        <f>(Table134[[#This Row],[Index]]-B10)/B10</f>
        <v/>
      </c>
    </row>
    <row r="23">
      <c r="A23" s="17" t="n">
        <v>26785</v>
      </c>
      <c r="B23" s="58">
        <f>VLOOKUP(Table134[[#This Row],[Date]],database!A:I,8,)</f>
        <v/>
      </c>
      <c r="C23" s="66">
        <f>B23/B22-1</f>
        <v/>
      </c>
      <c r="D23" s="66">
        <f>(Table134[[#This Row],[Index]]-B11)/B11</f>
        <v/>
      </c>
    </row>
    <row r="24">
      <c r="A24" s="17" t="n">
        <v>26816</v>
      </c>
      <c r="B24" s="58">
        <f>VLOOKUP(Table134[[#This Row],[Date]],database!A:I,8,)</f>
        <v/>
      </c>
      <c r="C24" s="66">
        <f>B24/B23-1</f>
        <v/>
      </c>
      <c r="D24" s="66">
        <f>(Table134[[#This Row],[Index]]-B12)/B12</f>
        <v/>
      </c>
    </row>
    <row r="25">
      <c r="A25" s="17" t="n">
        <v>26846</v>
      </c>
      <c r="B25" s="58">
        <f>VLOOKUP(Table134[[#This Row],[Date]],database!A:I,8,)</f>
        <v/>
      </c>
      <c r="C25" s="66">
        <f>B25/B24-1</f>
        <v/>
      </c>
      <c r="D25" s="66">
        <f>(Table134[[#This Row],[Index]]-B13)/B13</f>
        <v/>
      </c>
    </row>
    <row r="26">
      <c r="A26" s="17" t="n">
        <v>26877</v>
      </c>
      <c r="B26" s="58">
        <f>VLOOKUP(Table134[[#This Row],[Date]],database!A:I,8,)</f>
        <v/>
      </c>
      <c r="C26" s="66">
        <f>B26/B25-1</f>
        <v/>
      </c>
      <c r="D26" s="66">
        <f>(Table134[[#This Row],[Index]]-B14)/B14</f>
        <v/>
      </c>
    </row>
    <row r="27">
      <c r="A27" s="17" t="n">
        <v>26908</v>
      </c>
      <c r="B27" s="58">
        <f>VLOOKUP(Table134[[#This Row],[Date]],database!A:I,8,)</f>
        <v/>
      </c>
      <c r="C27" s="66">
        <f>B27/B26-1</f>
        <v/>
      </c>
      <c r="D27" s="66">
        <f>(Table134[[#This Row],[Index]]-B15)/B15</f>
        <v/>
      </c>
    </row>
    <row r="28">
      <c r="A28" s="17" t="n">
        <v>26938</v>
      </c>
      <c r="B28" s="58">
        <f>VLOOKUP(Table134[[#This Row],[Date]],database!A:I,8,)</f>
        <v/>
      </c>
      <c r="C28" s="66">
        <f>B28/B27-1</f>
        <v/>
      </c>
      <c r="D28" s="66">
        <f>(Table134[[#This Row],[Index]]-B16)/B16</f>
        <v/>
      </c>
    </row>
    <row r="29">
      <c r="A29" s="17" t="n">
        <v>26969</v>
      </c>
      <c r="B29" s="58">
        <f>VLOOKUP(Table134[[#This Row],[Date]],database!A:I,8,)</f>
        <v/>
      </c>
      <c r="C29" s="66">
        <f>B29/B28-1</f>
        <v/>
      </c>
      <c r="D29" s="66">
        <f>(Table134[[#This Row],[Index]]-B17)/B17</f>
        <v/>
      </c>
    </row>
    <row r="30">
      <c r="A30" s="17" t="n">
        <v>26999</v>
      </c>
      <c r="B30" s="58">
        <f>VLOOKUP(Table134[[#This Row],[Date]],database!A:I,8,)</f>
        <v/>
      </c>
      <c r="C30" s="66">
        <f>B30/B29-1</f>
        <v/>
      </c>
      <c r="D30" s="66">
        <f>(Table134[[#This Row],[Index]]-B18)/B18</f>
        <v/>
      </c>
    </row>
    <row r="31">
      <c r="A31" s="17" t="n">
        <v>27030</v>
      </c>
      <c r="B31" s="58">
        <f>VLOOKUP(Table134[[#This Row],[Date]],database!A:I,8,)</f>
        <v/>
      </c>
      <c r="C31" s="66">
        <f>B31/B30-1</f>
        <v/>
      </c>
      <c r="D31" s="66">
        <f>(Table134[[#This Row],[Index]]-B19)/B19</f>
        <v/>
      </c>
    </row>
    <row r="32">
      <c r="A32" s="17" t="n">
        <v>27061</v>
      </c>
      <c r="B32" s="58">
        <f>VLOOKUP(Table134[[#This Row],[Date]],database!A:I,8,)</f>
        <v/>
      </c>
      <c r="C32" s="66">
        <f>B32/B31-1</f>
        <v/>
      </c>
      <c r="D32" s="66">
        <f>(Table134[[#This Row],[Index]]-B20)/B20</f>
        <v/>
      </c>
    </row>
    <row r="33">
      <c r="A33" s="17" t="n">
        <v>27089</v>
      </c>
      <c r="B33" s="58">
        <f>VLOOKUP(Table134[[#This Row],[Date]],database!A:I,8,)</f>
        <v/>
      </c>
      <c r="C33" s="66">
        <f>B33/B32-1</f>
        <v/>
      </c>
      <c r="D33" s="66">
        <f>(Table134[[#This Row],[Index]]-B21)/B21</f>
        <v/>
      </c>
    </row>
    <row r="34">
      <c r="A34" s="17" t="n">
        <v>27120</v>
      </c>
      <c r="B34" s="58">
        <f>VLOOKUP(Table134[[#This Row],[Date]],database!A:I,8,)</f>
        <v/>
      </c>
      <c r="C34" s="66">
        <f>B34/B33-1</f>
        <v/>
      </c>
      <c r="D34" s="66">
        <f>(Table134[[#This Row],[Index]]-B22)/B22</f>
        <v/>
      </c>
    </row>
    <row r="35">
      <c r="A35" s="17" t="n">
        <v>27150</v>
      </c>
      <c r="B35" s="58">
        <f>VLOOKUP(Table134[[#This Row],[Date]],database!A:I,8,)</f>
        <v/>
      </c>
      <c r="C35" s="66">
        <f>B35/B34-1</f>
        <v/>
      </c>
      <c r="D35" s="66">
        <f>(Table134[[#This Row],[Index]]-B23)/B23</f>
        <v/>
      </c>
    </row>
    <row r="36">
      <c r="A36" s="17" t="n">
        <v>27181</v>
      </c>
      <c r="B36" s="58">
        <f>VLOOKUP(Table134[[#This Row],[Date]],database!A:I,8,)</f>
        <v/>
      </c>
      <c r="C36" s="66">
        <f>B36/B35-1</f>
        <v/>
      </c>
      <c r="D36" s="66">
        <f>(Table134[[#This Row],[Index]]-B24)/B24</f>
        <v/>
      </c>
    </row>
    <row r="37">
      <c r="A37" s="17" t="n">
        <v>27211</v>
      </c>
      <c r="B37" s="58">
        <f>VLOOKUP(Table134[[#This Row],[Date]],database!A:I,8,)</f>
        <v/>
      </c>
      <c r="C37" s="66">
        <f>B37/B36-1</f>
        <v/>
      </c>
      <c r="D37" s="66">
        <f>(Table134[[#This Row],[Index]]-B25)/B25</f>
        <v/>
      </c>
    </row>
    <row r="38">
      <c r="A38" s="17" t="n">
        <v>27242</v>
      </c>
      <c r="B38" s="58">
        <f>VLOOKUP(Table134[[#This Row],[Date]],database!A:I,8,)</f>
        <v/>
      </c>
      <c r="C38" s="66">
        <f>B38/B37-1</f>
        <v/>
      </c>
      <c r="D38" s="66">
        <f>(Table134[[#This Row],[Index]]-B26)/B26</f>
        <v/>
      </c>
    </row>
    <row r="39">
      <c r="A39" s="17" t="n">
        <v>27273</v>
      </c>
      <c r="B39" s="58">
        <f>VLOOKUP(Table134[[#This Row],[Date]],database!A:I,8,)</f>
        <v/>
      </c>
      <c r="C39" s="66">
        <f>B39/B38-1</f>
        <v/>
      </c>
      <c r="D39" s="66">
        <f>(Table134[[#This Row],[Index]]-B27)/B27</f>
        <v/>
      </c>
    </row>
    <row r="40">
      <c r="A40" s="17" t="n">
        <v>27303</v>
      </c>
      <c r="B40" s="58">
        <f>VLOOKUP(Table134[[#This Row],[Date]],database!A:I,8,)</f>
        <v/>
      </c>
      <c r="C40" s="66">
        <f>B40/B39-1</f>
        <v/>
      </c>
      <c r="D40" s="66">
        <f>(Table134[[#This Row],[Index]]-B28)/B28</f>
        <v/>
      </c>
    </row>
    <row r="41">
      <c r="A41" s="17" t="n">
        <v>27334</v>
      </c>
      <c r="B41" s="58">
        <f>VLOOKUP(Table134[[#This Row],[Date]],database!A:I,8,)</f>
        <v/>
      </c>
      <c r="C41" s="66">
        <f>B41/B40-1</f>
        <v/>
      </c>
      <c r="D41" s="66">
        <f>(Table134[[#This Row],[Index]]-B29)/B29</f>
        <v/>
      </c>
    </row>
    <row r="42">
      <c r="A42" s="17" t="n">
        <v>27364</v>
      </c>
      <c r="B42" s="58">
        <f>VLOOKUP(Table134[[#This Row],[Date]],database!A:I,8,)</f>
        <v/>
      </c>
      <c r="C42" s="66">
        <f>B42/B41-1</f>
        <v/>
      </c>
      <c r="D42" s="66">
        <f>(Table134[[#This Row],[Index]]-B30)/B30</f>
        <v/>
      </c>
    </row>
    <row r="43">
      <c r="A43" s="17" t="n">
        <v>27395</v>
      </c>
      <c r="B43" s="58">
        <f>VLOOKUP(Table134[[#This Row],[Date]],database!A:I,8,)</f>
        <v/>
      </c>
      <c r="C43" s="66">
        <f>B43/B42-1</f>
        <v/>
      </c>
      <c r="D43" s="66">
        <f>(Table134[[#This Row],[Index]]-B31)/B31</f>
        <v/>
      </c>
    </row>
    <row r="44">
      <c r="A44" s="17" t="n">
        <v>27426</v>
      </c>
      <c r="B44" s="58">
        <f>VLOOKUP(Table134[[#This Row],[Date]],database!A:I,8,)</f>
        <v/>
      </c>
      <c r="C44" s="66">
        <f>B44/B43-1</f>
        <v/>
      </c>
      <c r="D44" s="66">
        <f>(Table134[[#This Row],[Index]]-B32)/B32</f>
        <v/>
      </c>
    </row>
    <row r="45">
      <c r="A45" s="17" t="n">
        <v>27454</v>
      </c>
      <c r="B45" s="58">
        <f>VLOOKUP(Table134[[#This Row],[Date]],database!A:I,8,)</f>
        <v/>
      </c>
      <c r="C45" s="66">
        <f>B45/B44-1</f>
        <v/>
      </c>
      <c r="D45" s="66">
        <f>(Table134[[#This Row],[Index]]-B33)/B33</f>
        <v/>
      </c>
    </row>
    <row r="46">
      <c r="A46" s="17" t="n">
        <v>27485</v>
      </c>
      <c r="B46" s="58">
        <f>VLOOKUP(Table134[[#This Row],[Date]],database!A:I,8,)</f>
        <v/>
      </c>
      <c r="C46" s="66">
        <f>B46/B45-1</f>
        <v/>
      </c>
      <c r="D46" s="66">
        <f>(Table134[[#This Row],[Index]]-B34)/B34</f>
        <v/>
      </c>
    </row>
    <row r="47">
      <c r="A47" s="17" t="n">
        <v>27515</v>
      </c>
      <c r="B47" s="58">
        <f>VLOOKUP(Table134[[#This Row],[Date]],database!A:I,8,)</f>
        <v/>
      </c>
      <c r="C47" s="66">
        <f>B47/B46-1</f>
        <v/>
      </c>
      <c r="D47" s="66">
        <f>(Table134[[#This Row],[Index]]-B35)/B35</f>
        <v/>
      </c>
    </row>
    <row r="48">
      <c r="A48" s="17" t="n">
        <v>27546</v>
      </c>
      <c r="B48" s="58">
        <f>VLOOKUP(Table134[[#This Row],[Date]],database!A:I,8,)</f>
        <v/>
      </c>
      <c r="C48" s="66">
        <f>B48/B47-1</f>
        <v/>
      </c>
      <c r="D48" s="66">
        <f>(Table134[[#This Row],[Index]]-B36)/B36</f>
        <v/>
      </c>
    </row>
    <row r="49">
      <c r="A49" s="17" t="n">
        <v>27576</v>
      </c>
      <c r="B49" s="58">
        <f>VLOOKUP(Table134[[#This Row],[Date]],database!A:I,8,)</f>
        <v/>
      </c>
      <c r="C49" s="66">
        <f>B49/B48-1</f>
        <v/>
      </c>
      <c r="D49" s="66">
        <f>(Table134[[#This Row],[Index]]-B37)/B37</f>
        <v/>
      </c>
    </row>
    <row r="50">
      <c r="A50" s="17" t="n">
        <v>27607</v>
      </c>
      <c r="B50" s="58">
        <f>VLOOKUP(Table134[[#This Row],[Date]],database!A:I,8,)</f>
        <v/>
      </c>
      <c r="C50" s="66">
        <f>B50/B49-1</f>
        <v/>
      </c>
      <c r="D50" s="66">
        <f>(Table134[[#This Row],[Index]]-B38)/B38</f>
        <v/>
      </c>
    </row>
    <row r="51">
      <c r="A51" s="17" t="n">
        <v>27638</v>
      </c>
      <c r="B51" s="58">
        <f>VLOOKUP(Table134[[#This Row],[Date]],database!A:I,8,)</f>
        <v/>
      </c>
      <c r="C51" s="66">
        <f>B51/B50-1</f>
        <v/>
      </c>
      <c r="D51" s="66">
        <f>(Table134[[#This Row],[Index]]-B39)/B39</f>
        <v/>
      </c>
    </row>
    <row r="52">
      <c r="A52" s="17" t="n">
        <v>27668</v>
      </c>
      <c r="B52" s="58">
        <f>VLOOKUP(Table134[[#This Row],[Date]],database!A:I,8,)</f>
        <v/>
      </c>
      <c r="C52" s="66">
        <f>B52/B51-1</f>
        <v/>
      </c>
      <c r="D52" s="66">
        <f>(Table134[[#This Row],[Index]]-B40)/B40</f>
        <v/>
      </c>
    </row>
    <row r="53">
      <c r="A53" s="17" t="n">
        <v>27699</v>
      </c>
      <c r="B53" s="58">
        <f>VLOOKUP(Table134[[#This Row],[Date]],database!A:I,8,)</f>
        <v/>
      </c>
      <c r="C53" s="66">
        <f>B53/B52-1</f>
        <v/>
      </c>
      <c r="D53" s="66">
        <f>(Table134[[#This Row],[Index]]-B41)/B41</f>
        <v/>
      </c>
    </row>
    <row r="54">
      <c r="A54" s="17" t="n">
        <v>27729</v>
      </c>
      <c r="B54" s="58">
        <f>VLOOKUP(Table134[[#This Row],[Date]],database!A:I,8,)</f>
        <v/>
      </c>
      <c r="C54" s="66">
        <f>B54/B53-1</f>
        <v/>
      </c>
      <c r="D54" s="66">
        <f>(Table134[[#This Row],[Index]]-B42)/B42</f>
        <v/>
      </c>
    </row>
    <row r="55">
      <c r="A55" s="17" t="n">
        <v>27760</v>
      </c>
      <c r="B55" s="58">
        <f>VLOOKUP(Table134[[#This Row],[Date]],database!A:I,8,)</f>
        <v/>
      </c>
      <c r="C55" s="66">
        <f>B55/B54-1</f>
        <v/>
      </c>
      <c r="D55" s="66">
        <f>(Table134[[#This Row],[Index]]-B43)/B43</f>
        <v/>
      </c>
    </row>
    <row r="56">
      <c r="A56" s="17" t="n">
        <v>27791</v>
      </c>
      <c r="B56" s="58">
        <f>VLOOKUP(Table134[[#This Row],[Date]],database!A:I,8,)</f>
        <v/>
      </c>
      <c r="C56" s="66">
        <f>B56/B55-1</f>
        <v/>
      </c>
      <c r="D56" s="66">
        <f>(Table134[[#This Row],[Index]]-B44)/B44</f>
        <v/>
      </c>
    </row>
    <row r="57">
      <c r="A57" s="17" t="n">
        <v>27820</v>
      </c>
      <c r="B57" s="58">
        <f>VLOOKUP(Table134[[#This Row],[Date]],database!A:I,8,)</f>
        <v/>
      </c>
      <c r="C57" s="66">
        <f>B57/B56-1</f>
        <v/>
      </c>
      <c r="D57" s="66">
        <f>(Table134[[#This Row],[Index]]-B45)/B45</f>
        <v/>
      </c>
    </row>
    <row r="58">
      <c r="A58" s="17" t="n">
        <v>27851</v>
      </c>
      <c r="B58" s="58">
        <f>VLOOKUP(Table134[[#This Row],[Date]],database!A:I,8,)</f>
        <v/>
      </c>
      <c r="C58" s="66">
        <f>B58/B57-1</f>
        <v/>
      </c>
      <c r="D58" s="66">
        <f>(Table134[[#This Row],[Index]]-B46)/B46</f>
        <v/>
      </c>
    </row>
    <row r="59">
      <c r="A59" s="17" t="n">
        <v>27881</v>
      </c>
      <c r="B59" s="58">
        <f>VLOOKUP(Table134[[#This Row],[Date]],database!A:I,8,)</f>
        <v/>
      </c>
      <c r="C59" s="66">
        <f>B59/B58-1</f>
        <v/>
      </c>
      <c r="D59" s="66">
        <f>(Table134[[#This Row],[Index]]-B47)/B47</f>
        <v/>
      </c>
    </row>
    <row r="60">
      <c r="A60" s="17" t="n">
        <v>27912</v>
      </c>
      <c r="B60" s="58">
        <f>VLOOKUP(Table134[[#This Row],[Date]],database!A:I,8,)</f>
        <v/>
      </c>
      <c r="C60" s="66">
        <f>B60/B59-1</f>
        <v/>
      </c>
      <c r="D60" s="66">
        <f>(Table134[[#This Row],[Index]]-B48)/B48</f>
        <v/>
      </c>
    </row>
    <row r="61">
      <c r="A61" s="17" t="n">
        <v>27942</v>
      </c>
      <c r="B61" s="58">
        <f>VLOOKUP(Table134[[#This Row],[Date]],database!A:I,8,)</f>
        <v/>
      </c>
      <c r="C61" s="66">
        <f>B61/B60-1</f>
        <v/>
      </c>
      <c r="D61" s="66">
        <f>(Table134[[#This Row],[Index]]-B49)/B49</f>
        <v/>
      </c>
    </row>
    <row r="62">
      <c r="A62" s="17" t="n">
        <v>27973</v>
      </c>
      <c r="B62" s="58">
        <f>VLOOKUP(Table134[[#This Row],[Date]],database!A:I,8,)</f>
        <v/>
      </c>
      <c r="C62" s="66">
        <f>B62/B61-1</f>
        <v/>
      </c>
      <c r="D62" s="66">
        <f>(Table134[[#This Row],[Index]]-B50)/B50</f>
        <v/>
      </c>
    </row>
    <row r="63">
      <c r="A63" s="17" t="n">
        <v>28004</v>
      </c>
      <c r="B63" s="58">
        <f>VLOOKUP(Table134[[#This Row],[Date]],database!A:I,8,)</f>
        <v/>
      </c>
      <c r="C63" s="66">
        <f>B63/B62-1</f>
        <v/>
      </c>
      <c r="D63" s="66">
        <f>(Table134[[#This Row],[Index]]-B51)/B51</f>
        <v/>
      </c>
    </row>
    <row r="64">
      <c r="A64" s="17" t="n">
        <v>28034</v>
      </c>
      <c r="B64" s="58">
        <f>VLOOKUP(Table134[[#This Row],[Date]],database!A:I,8,)</f>
        <v/>
      </c>
      <c r="C64" s="66">
        <f>B64/B63-1</f>
        <v/>
      </c>
      <c r="D64" s="66">
        <f>(Table134[[#This Row],[Index]]-B52)/B52</f>
        <v/>
      </c>
    </row>
    <row r="65">
      <c r="A65" s="17" t="n">
        <v>28065</v>
      </c>
      <c r="B65" s="58">
        <f>VLOOKUP(Table134[[#This Row],[Date]],database!A:I,8,)</f>
        <v/>
      </c>
      <c r="C65" s="66">
        <f>B65/B64-1</f>
        <v/>
      </c>
      <c r="D65" s="66">
        <f>(Table134[[#This Row],[Index]]-B53)/B53</f>
        <v/>
      </c>
    </row>
    <row r="66">
      <c r="A66" s="17" t="n">
        <v>28095</v>
      </c>
      <c r="B66" s="58">
        <f>VLOOKUP(Table134[[#This Row],[Date]],database!A:I,8,)</f>
        <v/>
      </c>
      <c r="C66" s="66">
        <f>B66/B65-1</f>
        <v/>
      </c>
      <c r="D66" s="66">
        <f>(Table134[[#This Row],[Index]]-B54)/B54</f>
        <v/>
      </c>
    </row>
    <row r="67">
      <c r="A67" s="17" t="n">
        <v>28126</v>
      </c>
      <c r="B67" s="58">
        <f>VLOOKUP(Table134[[#This Row],[Date]],database!A:I,8,)</f>
        <v/>
      </c>
      <c r="C67" s="66">
        <f>B67/B66-1</f>
        <v/>
      </c>
      <c r="D67" s="66">
        <f>(Table134[[#This Row],[Index]]-B55)/B55</f>
        <v/>
      </c>
    </row>
    <row r="68">
      <c r="A68" s="17" t="n">
        <v>28157</v>
      </c>
      <c r="B68" s="58">
        <f>VLOOKUP(Table134[[#This Row],[Date]],database!A:I,8,)</f>
        <v/>
      </c>
      <c r="C68" s="66">
        <f>B68/B67-1</f>
        <v/>
      </c>
      <c r="D68" s="66">
        <f>(Table134[[#This Row],[Index]]-B56)/B56</f>
        <v/>
      </c>
    </row>
    <row r="69">
      <c r="A69" s="17" t="n">
        <v>28185</v>
      </c>
      <c r="B69" s="58">
        <f>VLOOKUP(Table134[[#This Row],[Date]],database!A:I,8,)</f>
        <v/>
      </c>
      <c r="C69" s="66">
        <f>B69/B68-1</f>
        <v/>
      </c>
      <c r="D69" s="66">
        <f>(Table134[[#This Row],[Index]]-B57)/B57</f>
        <v/>
      </c>
    </row>
    <row r="70">
      <c r="A70" s="17" t="n">
        <v>28216</v>
      </c>
      <c r="B70" s="58">
        <f>VLOOKUP(Table134[[#This Row],[Date]],database!A:I,8,)</f>
        <v/>
      </c>
      <c r="C70" s="66">
        <f>B70/B69-1</f>
        <v/>
      </c>
      <c r="D70" s="66">
        <f>(Table134[[#This Row],[Index]]-B58)/B58</f>
        <v/>
      </c>
    </row>
    <row r="71">
      <c r="A71" s="17" t="n">
        <v>28246</v>
      </c>
      <c r="B71" s="58">
        <f>VLOOKUP(Table134[[#This Row],[Date]],database!A:I,8,)</f>
        <v/>
      </c>
      <c r="C71" s="66">
        <f>B71/B70-1</f>
        <v/>
      </c>
      <c r="D71" s="66">
        <f>(Table134[[#This Row],[Index]]-B59)/B59</f>
        <v/>
      </c>
    </row>
    <row r="72">
      <c r="A72" s="17" t="n">
        <v>28277</v>
      </c>
      <c r="B72" s="58">
        <f>VLOOKUP(Table134[[#This Row],[Date]],database!A:I,8,)</f>
        <v/>
      </c>
      <c r="C72" s="66">
        <f>B72/B71-1</f>
        <v/>
      </c>
      <c r="D72" s="66">
        <f>(Table134[[#This Row],[Index]]-B60)/B60</f>
        <v/>
      </c>
    </row>
    <row r="73">
      <c r="A73" s="17" t="n">
        <v>28307</v>
      </c>
      <c r="B73" s="58">
        <f>VLOOKUP(Table134[[#This Row],[Date]],database!A:I,8,)</f>
        <v/>
      </c>
      <c r="C73" s="66">
        <f>B73/B72-1</f>
        <v/>
      </c>
      <c r="D73" s="66">
        <f>(Table134[[#This Row],[Index]]-B61)/B61</f>
        <v/>
      </c>
    </row>
    <row r="74">
      <c r="A74" s="17" t="n">
        <v>28338</v>
      </c>
      <c r="B74" s="58">
        <f>VLOOKUP(Table134[[#This Row],[Date]],database!A:I,8,)</f>
        <v/>
      </c>
      <c r="C74" s="66">
        <f>B74/B73-1</f>
        <v/>
      </c>
      <c r="D74" s="66">
        <f>(Table134[[#This Row],[Index]]-B62)/B62</f>
        <v/>
      </c>
    </row>
    <row r="75">
      <c r="A75" s="17" t="n">
        <v>28369</v>
      </c>
      <c r="B75" s="58">
        <f>VLOOKUP(Table134[[#This Row],[Date]],database!A:I,8,)</f>
        <v/>
      </c>
      <c r="C75" s="66">
        <f>B75/B74-1</f>
        <v/>
      </c>
      <c r="D75" s="66">
        <f>(Table134[[#This Row],[Index]]-B63)/B63</f>
        <v/>
      </c>
    </row>
    <row r="76">
      <c r="A76" s="17" t="n">
        <v>28399</v>
      </c>
      <c r="B76" s="58">
        <f>VLOOKUP(Table134[[#This Row],[Date]],database!A:I,8,)</f>
        <v/>
      </c>
      <c r="C76" s="66">
        <f>B76/B75-1</f>
        <v/>
      </c>
      <c r="D76" s="66">
        <f>(Table134[[#This Row],[Index]]-B64)/B64</f>
        <v/>
      </c>
    </row>
    <row r="77">
      <c r="A77" s="17" t="n">
        <v>28430</v>
      </c>
      <c r="B77" s="58">
        <f>VLOOKUP(Table134[[#This Row],[Date]],database!A:I,8,)</f>
        <v/>
      </c>
      <c r="C77" s="66">
        <f>B77/B76-1</f>
        <v/>
      </c>
      <c r="D77" s="66">
        <f>(Table134[[#This Row],[Index]]-B65)/B65</f>
        <v/>
      </c>
    </row>
    <row r="78">
      <c r="A78" s="17" t="n">
        <v>28460</v>
      </c>
      <c r="B78" s="58">
        <f>VLOOKUP(Table134[[#This Row],[Date]],database!A:I,8,)</f>
        <v/>
      </c>
      <c r="C78" s="66">
        <f>B78/B77-1</f>
        <v/>
      </c>
      <c r="D78" s="66">
        <f>(Table134[[#This Row],[Index]]-B66)/B66</f>
        <v/>
      </c>
    </row>
    <row r="79">
      <c r="A79" s="17" t="n">
        <v>28491</v>
      </c>
      <c r="B79" s="58">
        <f>VLOOKUP(Table134[[#This Row],[Date]],database!A:I,8,)</f>
        <v/>
      </c>
      <c r="C79" s="66">
        <f>B79/B78-1</f>
        <v/>
      </c>
      <c r="D79" s="66">
        <f>(Table134[[#This Row],[Index]]-B67)/B67</f>
        <v/>
      </c>
    </row>
    <row r="80">
      <c r="A80" s="17" t="n">
        <v>28522</v>
      </c>
      <c r="B80" s="58">
        <f>VLOOKUP(Table134[[#This Row],[Date]],database!A:I,8,)</f>
        <v/>
      </c>
      <c r="C80" s="66">
        <f>B80/B79-1</f>
        <v/>
      </c>
      <c r="D80" s="66">
        <f>(Table134[[#This Row],[Index]]-B68)/B68</f>
        <v/>
      </c>
    </row>
    <row r="81">
      <c r="A81" s="17" t="n">
        <v>28550</v>
      </c>
      <c r="B81" s="58">
        <f>VLOOKUP(Table134[[#This Row],[Date]],database!A:I,8,)</f>
        <v/>
      </c>
      <c r="C81" s="66">
        <f>B81/B80-1</f>
        <v/>
      </c>
      <c r="D81" s="66">
        <f>(Table134[[#This Row],[Index]]-B69)/B69</f>
        <v/>
      </c>
    </row>
    <row r="82">
      <c r="A82" s="17" t="n">
        <v>28581</v>
      </c>
      <c r="B82" s="58">
        <f>VLOOKUP(Table134[[#This Row],[Date]],database!A:I,8,)</f>
        <v/>
      </c>
      <c r="C82" s="66">
        <f>B82/B81-1</f>
        <v/>
      </c>
      <c r="D82" s="66">
        <f>(Table134[[#This Row],[Index]]-B70)/B70</f>
        <v/>
      </c>
    </row>
    <row r="83">
      <c r="A83" s="17" t="n">
        <v>28611</v>
      </c>
      <c r="B83" s="58">
        <f>VLOOKUP(Table134[[#This Row],[Date]],database!A:I,8,)</f>
        <v/>
      </c>
      <c r="C83" s="66">
        <f>B83/B82-1</f>
        <v/>
      </c>
      <c r="D83" s="66">
        <f>(Table134[[#This Row],[Index]]-B71)/B71</f>
        <v/>
      </c>
    </row>
    <row r="84">
      <c r="A84" s="17" t="n">
        <v>28642</v>
      </c>
      <c r="B84" s="58">
        <f>VLOOKUP(Table134[[#This Row],[Date]],database!A:I,8,)</f>
        <v/>
      </c>
      <c r="C84" s="66">
        <f>B84/B83-1</f>
        <v/>
      </c>
      <c r="D84" s="66">
        <f>(Table134[[#This Row],[Index]]-B72)/B72</f>
        <v/>
      </c>
    </row>
    <row r="85">
      <c r="A85" s="17" t="n">
        <v>28672</v>
      </c>
      <c r="B85" s="58">
        <f>VLOOKUP(Table134[[#This Row],[Date]],database!A:I,8,)</f>
        <v/>
      </c>
      <c r="C85" s="66">
        <f>B85/B84-1</f>
        <v/>
      </c>
      <c r="D85" s="66">
        <f>(Table134[[#This Row],[Index]]-B73)/B73</f>
        <v/>
      </c>
    </row>
    <row r="86">
      <c r="A86" s="17" t="n">
        <v>28703</v>
      </c>
      <c r="B86" s="58">
        <f>VLOOKUP(Table134[[#This Row],[Date]],database!A:I,8,)</f>
        <v/>
      </c>
      <c r="C86" s="66">
        <f>B86/B85-1</f>
        <v/>
      </c>
      <c r="D86" s="66">
        <f>(Table134[[#This Row],[Index]]-B74)/B74</f>
        <v/>
      </c>
    </row>
    <row r="87">
      <c r="A87" s="17" t="n">
        <v>28734</v>
      </c>
      <c r="B87" s="58">
        <f>VLOOKUP(Table134[[#This Row],[Date]],database!A:I,8,)</f>
        <v/>
      </c>
      <c r="C87" s="66">
        <f>B87/B86-1</f>
        <v/>
      </c>
      <c r="D87" s="66">
        <f>(Table134[[#This Row],[Index]]-B75)/B75</f>
        <v/>
      </c>
    </row>
    <row r="88">
      <c r="A88" s="17" t="n">
        <v>28764</v>
      </c>
      <c r="B88" s="58">
        <f>VLOOKUP(Table134[[#This Row],[Date]],database!A:I,8,)</f>
        <v/>
      </c>
      <c r="C88" s="66">
        <f>B88/B87-1</f>
        <v/>
      </c>
      <c r="D88" s="66">
        <f>(Table134[[#This Row],[Index]]-B76)/B76</f>
        <v/>
      </c>
    </row>
    <row r="89">
      <c r="A89" s="17" t="n">
        <v>28795</v>
      </c>
      <c r="B89" s="58">
        <f>VLOOKUP(Table134[[#This Row],[Date]],database!A:I,8,)</f>
        <v/>
      </c>
      <c r="C89" s="66">
        <f>B89/B88-1</f>
        <v/>
      </c>
      <c r="D89" s="66">
        <f>(Table134[[#This Row],[Index]]-B77)/B77</f>
        <v/>
      </c>
    </row>
    <row r="90">
      <c r="A90" s="17" t="n">
        <v>28825</v>
      </c>
      <c r="B90" s="58">
        <f>VLOOKUP(Table134[[#This Row],[Date]],database!A:I,8,)</f>
        <v/>
      </c>
      <c r="C90" s="66">
        <f>B90/B89-1</f>
        <v/>
      </c>
      <c r="D90" s="66">
        <f>(Table134[[#This Row],[Index]]-B78)/B78</f>
        <v/>
      </c>
    </row>
    <row r="91">
      <c r="A91" s="17" t="n">
        <v>28856</v>
      </c>
      <c r="B91" s="58">
        <f>VLOOKUP(Table134[[#This Row],[Date]],database!A:I,8,)</f>
        <v/>
      </c>
      <c r="C91" s="66">
        <f>B91/B90-1</f>
        <v/>
      </c>
      <c r="D91" s="66">
        <f>(Table134[[#This Row],[Index]]-B79)/B79</f>
        <v/>
      </c>
    </row>
    <row r="92">
      <c r="A92" s="17" t="n">
        <v>28887</v>
      </c>
      <c r="B92" s="58">
        <f>VLOOKUP(Table134[[#This Row],[Date]],database!A:I,8,)</f>
        <v/>
      </c>
      <c r="C92" s="66">
        <f>B92/B91-1</f>
        <v/>
      </c>
      <c r="D92" s="66">
        <f>(Table134[[#This Row],[Index]]-B80)/B80</f>
        <v/>
      </c>
    </row>
    <row r="93">
      <c r="A93" s="17" t="n">
        <v>28915</v>
      </c>
      <c r="B93" s="58">
        <f>VLOOKUP(Table134[[#This Row],[Date]],database!A:I,8,)</f>
        <v/>
      </c>
      <c r="C93" s="66">
        <f>B93/B92-1</f>
        <v/>
      </c>
      <c r="D93" s="66">
        <f>(Table134[[#This Row],[Index]]-B81)/B81</f>
        <v/>
      </c>
    </row>
    <row r="94">
      <c r="A94" s="17" t="n">
        <v>28946</v>
      </c>
      <c r="B94" s="58">
        <f>VLOOKUP(Table134[[#This Row],[Date]],database!A:I,8,)</f>
        <v/>
      </c>
      <c r="C94" s="66">
        <f>B94/B93-1</f>
        <v/>
      </c>
      <c r="D94" s="66">
        <f>(Table134[[#This Row],[Index]]-B82)/B82</f>
        <v/>
      </c>
    </row>
    <row r="95">
      <c r="A95" s="17" t="n">
        <v>28976</v>
      </c>
      <c r="B95" s="58">
        <f>VLOOKUP(Table134[[#This Row],[Date]],database!A:I,8,)</f>
        <v/>
      </c>
      <c r="C95" s="66">
        <f>B95/B94-1</f>
        <v/>
      </c>
      <c r="D95" s="66">
        <f>(Table134[[#This Row],[Index]]-B83)/B83</f>
        <v/>
      </c>
    </row>
    <row r="96">
      <c r="A96" s="17" t="n">
        <v>29007</v>
      </c>
      <c r="B96" s="58">
        <f>VLOOKUP(Table134[[#This Row],[Date]],database!A:I,8,)</f>
        <v/>
      </c>
      <c r="C96" s="66">
        <f>B96/B95-1</f>
        <v/>
      </c>
      <c r="D96" s="66">
        <f>(Table134[[#This Row],[Index]]-B84)/B84</f>
        <v/>
      </c>
    </row>
    <row r="97">
      <c r="A97" s="17" t="n">
        <v>29037</v>
      </c>
      <c r="B97" s="58">
        <f>VLOOKUP(Table134[[#This Row],[Date]],database!A:I,8,)</f>
        <v/>
      </c>
      <c r="C97" s="66">
        <f>B97/B96-1</f>
        <v/>
      </c>
      <c r="D97" s="66">
        <f>(Table134[[#This Row],[Index]]-B85)/B85</f>
        <v/>
      </c>
    </row>
    <row r="98">
      <c r="A98" s="17" t="n">
        <v>29068</v>
      </c>
      <c r="B98" s="58">
        <f>VLOOKUP(Table134[[#This Row],[Date]],database!A:I,8,)</f>
        <v/>
      </c>
      <c r="C98" s="66">
        <f>B98/B97-1</f>
        <v/>
      </c>
      <c r="D98" s="66">
        <f>(Table134[[#This Row],[Index]]-B86)/B86</f>
        <v/>
      </c>
    </row>
    <row r="99">
      <c r="A99" s="17" t="n">
        <v>29099</v>
      </c>
      <c r="B99" s="58">
        <f>VLOOKUP(Table134[[#This Row],[Date]],database!A:I,8,)</f>
        <v/>
      </c>
      <c r="C99" s="66">
        <f>B99/B98-1</f>
        <v/>
      </c>
      <c r="D99" s="66">
        <f>(Table134[[#This Row],[Index]]-B87)/B87</f>
        <v/>
      </c>
    </row>
    <row r="100">
      <c r="A100" s="17" t="n">
        <v>29129</v>
      </c>
      <c r="B100" s="58">
        <f>VLOOKUP(Table134[[#This Row],[Date]],database!A:I,8,)</f>
        <v/>
      </c>
      <c r="C100" s="66">
        <f>B100/B99-1</f>
        <v/>
      </c>
      <c r="D100" s="66">
        <f>(Table134[[#This Row],[Index]]-B88)/B88</f>
        <v/>
      </c>
    </row>
    <row r="101">
      <c r="A101" s="17" t="n">
        <v>29160</v>
      </c>
      <c r="B101" s="58">
        <f>VLOOKUP(Table134[[#This Row],[Date]],database!A:I,8,)</f>
        <v/>
      </c>
      <c r="C101" s="66">
        <f>B101/B100-1</f>
        <v/>
      </c>
      <c r="D101" s="66">
        <f>(Table134[[#This Row],[Index]]-B89)/B89</f>
        <v/>
      </c>
    </row>
    <row r="102">
      <c r="A102" s="17" t="n">
        <v>29190</v>
      </c>
      <c r="B102" s="58">
        <f>VLOOKUP(Table134[[#This Row],[Date]],database!A:I,8,)</f>
        <v/>
      </c>
      <c r="C102" s="66">
        <f>B102/B101-1</f>
        <v/>
      </c>
      <c r="D102" s="66">
        <f>(Table134[[#This Row],[Index]]-B90)/B90</f>
        <v/>
      </c>
    </row>
    <row r="103">
      <c r="A103" s="17" t="n">
        <v>29221</v>
      </c>
      <c r="B103" s="58">
        <f>VLOOKUP(Table134[[#This Row],[Date]],database!A:I,8,)</f>
        <v/>
      </c>
      <c r="C103" s="66">
        <f>B103/B102-1</f>
        <v/>
      </c>
      <c r="D103" s="66">
        <f>(Table134[[#This Row],[Index]]-B91)/B91</f>
        <v/>
      </c>
    </row>
    <row r="104">
      <c r="A104" s="17" t="n">
        <v>29252</v>
      </c>
      <c r="B104" s="58">
        <f>VLOOKUP(Table134[[#This Row],[Date]],database!A:I,8,)</f>
        <v/>
      </c>
      <c r="C104" s="66">
        <f>B104/B103-1</f>
        <v/>
      </c>
      <c r="D104" s="66">
        <f>(Table134[[#This Row],[Index]]-B92)/B92</f>
        <v/>
      </c>
    </row>
    <row r="105">
      <c r="A105" s="17" t="n">
        <v>29281</v>
      </c>
      <c r="B105" s="58">
        <f>VLOOKUP(Table134[[#This Row],[Date]],database!A:I,8,)</f>
        <v/>
      </c>
      <c r="C105" s="66">
        <f>B105/B104-1</f>
        <v/>
      </c>
      <c r="D105" s="66">
        <f>(Table134[[#This Row],[Index]]-B93)/B93</f>
        <v/>
      </c>
    </row>
    <row r="106">
      <c r="A106" s="17" t="n">
        <v>29312</v>
      </c>
      <c r="B106" s="58">
        <f>VLOOKUP(Table134[[#This Row],[Date]],database!A:I,8,)</f>
        <v/>
      </c>
      <c r="C106" s="66">
        <f>B106/B105-1</f>
        <v/>
      </c>
      <c r="D106" s="66">
        <f>(Table134[[#This Row],[Index]]-B94)/B94</f>
        <v/>
      </c>
    </row>
    <row r="107">
      <c r="A107" s="17" t="n">
        <v>29342</v>
      </c>
      <c r="B107" s="58">
        <f>VLOOKUP(Table134[[#This Row],[Date]],database!A:I,8,)</f>
        <v/>
      </c>
      <c r="C107" s="66">
        <f>B107/B106-1</f>
        <v/>
      </c>
      <c r="D107" s="66">
        <f>(Table134[[#This Row],[Index]]-B95)/B95</f>
        <v/>
      </c>
    </row>
    <row r="108">
      <c r="A108" s="17" t="n">
        <v>29373</v>
      </c>
      <c r="B108" s="58">
        <f>VLOOKUP(Table134[[#This Row],[Date]],database!A:I,8,)</f>
        <v/>
      </c>
      <c r="C108" s="66">
        <f>B108/B107-1</f>
        <v/>
      </c>
      <c r="D108" s="66">
        <f>(Table134[[#This Row],[Index]]-B96)/B96</f>
        <v/>
      </c>
    </row>
    <row r="109">
      <c r="A109" s="17" t="n">
        <v>29403</v>
      </c>
      <c r="B109" s="58">
        <f>VLOOKUP(Table134[[#This Row],[Date]],database!A:I,8,)</f>
        <v/>
      </c>
      <c r="C109" s="66">
        <f>B109/B108-1</f>
        <v/>
      </c>
      <c r="D109" s="66">
        <f>(Table134[[#This Row],[Index]]-B97)/B97</f>
        <v/>
      </c>
    </row>
    <row r="110">
      <c r="A110" s="17" t="n">
        <v>29434</v>
      </c>
      <c r="B110" s="58">
        <f>VLOOKUP(Table134[[#This Row],[Date]],database!A:I,8,)</f>
        <v/>
      </c>
      <c r="C110" s="66">
        <f>B110/B109-1</f>
        <v/>
      </c>
      <c r="D110" s="66">
        <f>(Table134[[#This Row],[Index]]-B98)/B98</f>
        <v/>
      </c>
    </row>
    <row r="111">
      <c r="A111" s="17" t="n">
        <v>29465</v>
      </c>
      <c r="B111" s="58">
        <f>VLOOKUP(Table134[[#This Row],[Date]],database!A:I,8,)</f>
        <v/>
      </c>
      <c r="C111" s="66">
        <f>B111/B110-1</f>
        <v/>
      </c>
      <c r="D111" s="66">
        <f>(Table134[[#This Row],[Index]]-B99)/B99</f>
        <v/>
      </c>
    </row>
    <row r="112">
      <c r="A112" s="17" t="n">
        <v>29495</v>
      </c>
      <c r="B112" s="58">
        <f>VLOOKUP(Table134[[#This Row],[Date]],database!A:I,8,)</f>
        <v/>
      </c>
      <c r="C112" s="66">
        <f>B112/B111-1</f>
        <v/>
      </c>
      <c r="D112" s="66">
        <f>(Table134[[#This Row],[Index]]-B100)/B100</f>
        <v/>
      </c>
    </row>
    <row r="113">
      <c r="A113" s="17" t="n">
        <v>29526</v>
      </c>
      <c r="B113" s="58">
        <f>VLOOKUP(Table134[[#This Row],[Date]],database!A:I,8,)</f>
        <v/>
      </c>
      <c r="C113" s="66">
        <f>B113/B112-1</f>
        <v/>
      </c>
      <c r="D113" s="66">
        <f>(Table134[[#This Row],[Index]]-B101)/B101</f>
        <v/>
      </c>
    </row>
    <row r="114">
      <c r="A114" s="17" t="n">
        <v>29556</v>
      </c>
      <c r="B114" s="58">
        <f>VLOOKUP(Table134[[#This Row],[Date]],database!A:I,8,)</f>
        <v/>
      </c>
      <c r="C114" s="66">
        <f>B114/B113-1</f>
        <v/>
      </c>
      <c r="D114" s="66">
        <f>(Table134[[#This Row],[Index]]-B102)/B102</f>
        <v/>
      </c>
    </row>
    <row r="115">
      <c r="A115" s="17" t="n">
        <v>29587</v>
      </c>
      <c r="B115" s="58">
        <f>VLOOKUP(Table134[[#This Row],[Date]],database!A:I,8,)</f>
        <v/>
      </c>
      <c r="C115" s="66">
        <f>B115/B114-1</f>
        <v/>
      </c>
      <c r="D115" s="66">
        <f>(Table134[[#This Row],[Index]]-B103)/B103</f>
        <v/>
      </c>
    </row>
    <row r="116">
      <c r="A116" s="17" t="n">
        <v>29618</v>
      </c>
      <c r="B116" s="58">
        <f>VLOOKUP(Table134[[#This Row],[Date]],database!A:I,8,)</f>
        <v/>
      </c>
      <c r="C116" s="66">
        <f>B116/B115-1</f>
        <v/>
      </c>
      <c r="D116" s="66">
        <f>(Table134[[#This Row],[Index]]-B104)/B104</f>
        <v/>
      </c>
    </row>
    <row r="117">
      <c r="A117" s="17" t="n">
        <v>29646</v>
      </c>
      <c r="B117" s="58">
        <f>VLOOKUP(Table134[[#This Row],[Date]],database!A:I,8,)</f>
        <v/>
      </c>
      <c r="C117" s="66">
        <f>B117/B116-1</f>
        <v/>
      </c>
      <c r="D117" s="66">
        <f>(Table134[[#This Row],[Index]]-B105)/B105</f>
        <v/>
      </c>
    </row>
    <row r="118">
      <c r="A118" s="17" t="n">
        <v>29677</v>
      </c>
      <c r="B118" s="58">
        <f>VLOOKUP(Table134[[#This Row],[Date]],database!A:I,8,)</f>
        <v/>
      </c>
      <c r="C118" s="66">
        <f>B118/B117-1</f>
        <v/>
      </c>
      <c r="D118" s="66">
        <f>(Table134[[#This Row],[Index]]-B106)/B106</f>
        <v/>
      </c>
    </row>
    <row r="119">
      <c r="A119" s="17" t="n">
        <v>29707</v>
      </c>
      <c r="B119" s="58">
        <f>VLOOKUP(Table134[[#This Row],[Date]],database!A:I,8,)</f>
        <v/>
      </c>
      <c r="C119" s="66">
        <f>B119/B118-1</f>
        <v/>
      </c>
      <c r="D119" s="66">
        <f>(Table134[[#This Row],[Index]]-B107)/B107</f>
        <v/>
      </c>
    </row>
    <row r="120">
      <c r="A120" s="17" t="n">
        <v>29738</v>
      </c>
      <c r="B120" s="58">
        <f>VLOOKUP(Table134[[#This Row],[Date]],database!A:I,8,)</f>
        <v/>
      </c>
      <c r="C120" s="66">
        <f>B120/B119-1</f>
        <v/>
      </c>
      <c r="D120" s="66">
        <f>(Table134[[#This Row],[Index]]-B108)/B108</f>
        <v/>
      </c>
    </row>
    <row r="121">
      <c r="A121" s="17" t="n">
        <v>29768</v>
      </c>
      <c r="B121" s="58">
        <f>VLOOKUP(Table134[[#This Row],[Date]],database!A:I,8,)</f>
        <v/>
      </c>
      <c r="C121" s="66">
        <f>B121/B120-1</f>
        <v/>
      </c>
      <c r="D121" s="66">
        <f>(Table134[[#This Row],[Index]]-B109)/B109</f>
        <v/>
      </c>
    </row>
    <row r="122">
      <c r="A122" s="17" t="n">
        <v>29799</v>
      </c>
      <c r="B122" s="58">
        <f>VLOOKUP(Table134[[#This Row],[Date]],database!A:I,8,)</f>
        <v/>
      </c>
      <c r="C122" s="66">
        <f>B122/B121-1</f>
        <v/>
      </c>
      <c r="D122" s="66">
        <f>(Table134[[#This Row],[Index]]-B110)/B110</f>
        <v/>
      </c>
    </row>
    <row r="123">
      <c r="A123" s="17" t="n">
        <v>29830</v>
      </c>
      <c r="B123" s="58">
        <f>VLOOKUP(Table134[[#This Row],[Date]],database!A:I,8,)</f>
        <v/>
      </c>
      <c r="C123" s="66">
        <f>B123/B122-1</f>
        <v/>
      </c>
      <c r="D123" s="66">
        <f>(Table134[[#This Row],[Index]]-B111)/B111</f>
        <v/>
      </c>
    </row>
    <row r="124">
      <c r="A124" s="17" t="n">
        <v>29860</v>
      </c>
      <c r="B124" s="58">
        <f>VLOOKUP(Table134[[#This Row],[Date]],database!A:I,8,)</f>
        <v/>
      </c>
      <c r="C124" s="66">
        <f>B124/B123-1</f>
        <v/>
      </c>
      <c r="D124" s="66">
        <f>(Table134[[#This Row],[Index]]-B112)/B112</f>
        <v/>
      </c>
    </row>
    <row r="125">
      <c r="A125" s="17" t="n">
        <v>29891</v>
      </c>
      <c r="B125" s="58">
        <f>VLOOKUP(Table134[[#This Row],[Date]],database!A:I,8,)</f>
        <v/>
      </c>
      <c r="C125" s="66">
        <f>B125/B124-1</f>
        <v/>
      </c>
      <c r="D125" s="66">
        <f>(Table134[[#This Row],[Index]]-B113)/B113</f>
        <v/>
      </c>
    </row>
    <row r="126">
      <c r="A126" s="17" t="n">
        <v>29921</v>
      </c>
      <c r="B126" s="58">
        <f>VLOOKUP(Table134[[#This Row],[Date]],database!A:I,8,)</f>
        <v/>
      </c>
      <c r="C126" s="66">
        <f>B126/B125-1</f>
        <v/>
      </c>
      <c r="D126" s="66">
        <f>(Table134[[#This Row],[Index]]-B114)/B114</f>
        <v/>
      </c>
    </row>
    <row r="127">
      <c r="A127" s="17" t="n">
        <v>29952</v>
      </c>
      <c r="B127" s="58">
        <f>VLOOKUP(Table134[[#This Row],[Date]],database!A:I,8,)</f>
        <v/>
      </c>
      <c r="C127" s="66">
        <f>B127/B126-1</f>
        <v/>
      </c>
      <c r="D127" s="66">
        <f>(Table134[[#This Row],[Index]]-B115)/B115</f>
        <v/>
      </c>
    </row>
    <row r="128">
      <c r="A128" s="17" t="n">
        <v>29983</v>
      </c>
      <c r="B128" s="58">
        <f>VLOOKUP(Table134[[#This Row],[Date]],database!A:I,8,)</f>
        <v/>
      </c>
      <c r="C128" s="66">
        <f>B128/B127-1</f>
        <v/>
      </c>
      <c r="D128" s="66">
        <f>(Table134[[#This Row],[Index]]-B116)/B116</f>
        <v/>
      </c>
    </row>
    <row r="129">
      <c r="A129" s="17" t="n">
        <v>30011</v>
      </c>
      <c r="B129" s="58">
        <f>VLOOKUP(Table134[[#This Row],[Date]],database!A:I,8,)</f>
        <v/>
      </c>
      <c r="C129" s="66">
        <f>B129/B128-1</f>
        <v/>
      </c>
      <c r="D129" s="66">
        <f>(Table134[[#This Row],[Index]]-B117)/B117</f>
        <v/>
      </c>
    </row>
    <row r="130">
      <c r="A130" s="17" t="n">
        <v>30042</v>
      </c>
      <c r="B130" s="58">
        <f>VLOOKUP(Table134[[#This Row],[Date]],database!A:I,8,)</f>
        <v/>
      </c>
      <c r="C130" s="66">
        <f>B130/B129-1</f>
        <v/>
      </c>
      <c r="D130" s="66">
        <f>(Table134[[#This Row],[Index]]-B118)/B118</f>
        <v/>
      </c>
    </row>
    <row r="131">
      <c r="A131" s="17" t="n">
        <v>30072</v>
      </c>
      <c r="B131" s="58">
        <f>VLOOKUP(Table134[[#This Row],[Date]],database!A:I,8,)</f>
        <v/>
      </c>
      <c r="C131" s="66">
        <f>B131/B130-1</f>
        <v/>
      </c>
      <c r="D131" s="66">
        <f>(Table134[[#This Row],[Index]]-B119)/B119</f>
        <v/>
      </c>
    </row>
    <row r="132">
      <c r="A132" s="17" t="n">
        <v>30103</v>
      </c>
      <c r="B132" s="58">
        <f>VLOOKUP(Table134[[#This Row],[Date]],database!A:I,8,)</f>
        <v/>
      </c>
      <c r="C132" s="66">
        <f>B132/B131-1</f>
        <v/>
      </c>
      <c r="D132" s="66">
        <f>(Table134[[#This Row],[Index]]-B120)/B120</f>
        <v/>
      </c>
    </row>
    <row r="133">
      <c r="A133" s="17" t="n">
        <v>30133</v>
      </c>
      <c r="B133" s="58">
        <f>VLOOKUP(Table134[[#This Row],[Date]],database!A:I,8,)</f>
        <v/>
      </c>
      <c r="C133" s="66">
        <f>B133/B132-1</f>
        <v/>
      </c>
      <c r="D133" s="66">
        <f>(Table134[[#This Row],[Index]]-B121)/B121</f>
        <v/>
      </c>
    </row>
    <row r="134">
      <c r="A134" s="17" t="n">
        <v>30164</v>
      </c>
      <c r="B134" s="58">
        <f>VLOOKUP(Table134[[#This Row],[Date]],database!A:I,8,)</f>
        <v/>
      </c>
      <c r="C134" s="66">
        <f>B134/B133-1</f>
        <v/>
      </c>
      <c r="D134" s="66">
        <f>(Table134[[#This Row],[Index]]-B122)/B122</f>
        <v/>
      </c>
    </row>
    <row r="135">
      <c r="A135" s="17" t="n">
        <v>30195</v>
      </c>
      <c r="B135" s="58">
        <f>VLOOKUP(Table134[[#This Row],[Date]],database!A:I,8,)</f>
        <v/>
      </c>
      <c r="C135" s="66">
        <f>B135/B134-1</f>
        <v/>
      </c>
      <c r="D135" s="66">
        <f>(Table134[[#This Row],[Index]]-B123)/B123</f>
        <v/>
      </c>
    </row>
    <row r="136">
      <c r="A136" s="17" t="n">
        <v>30225</v>
      </c>
      <c r="B136" s="58">
        <f>VLOOKUP(Table134[[#This Row],[Date]],database!A:I,8,)</f>
        <v/>
      </c>
      <c r="C136" s="66">
        <f>B136/B135-1</f>
        <v/>
      </c>
      <c r="D136" s="66">
        <f>(Table134[[#This Row],[Index]]-B124)/B124</f>
        <v/>
      </c>
    </row>
    <row r="137">
      <c r="A137" s="17" t="n">
        <v>30256</v>
      </c>
      <c r="B137" s="58">
        <f>VLOOKUP(Table134[[#This Row],[Date]],database!A:I,8,)</f>
        <v/>
      </c>
      <c r="C137" s="66">
        <f>B137/B136-1</f>
        <v/>
      </c>
      <c r="D137" s="66">
        <f>(Table134[[#This Row],[Index]]-B125)/B125</f>
        <v/>
      </c>
    </row>
    <row r="138">
      <c r="A138" s="17" t="n">
        <v>30286</v>
      </c>
      <c r="B138" s="58">
        <f>VLOOKUP(Table134[[#This Row],[Date]],database!A:I,8,)</f>
        <v/>
      </c>
      <c r="C138" s="66">
        <f>B138/B137-1</f>
        <v/>
      </c>
      <c r="D138" s="66">
        <f>(Table134[[#This Row],[Index]]-B126)/B126</f>
        <v/>
      </c>
    </row>
    <row r="139">
      <c r="A139" s="17" t="n">
        <v>30317</v>
      </c>
      <c r="B139" s="58">
        <f>VLOOKUP(Table134[[#This Row],[Date]],database!A:I,8,)</f>
        <v/>
      </c>
      <c r="C139" s="66">
        <f>B139/B138-1</f>
        <v/>
      </c>
      <c r="D139" s="66">
        <f>(Table134[[#This Row],[Index]]-B127)/B127</f>
        <v/>
      </c>
    </row>
    <row r="140">
      <c r="A140" s="17" t="n">
        <v>30348</v>
      </c>
      <c r="B140" s="58">
        <f>VLOOKUP(Table134[[#This Row],[Date]],database!A:I,8,)</f>
        <v/>
      </c>
      <c r="C140" s="66">
        <f>B140/B139-1</f>
        <v/>
      </c>
      <c r="D140" s="66">
        <f>(Table134[[#This Row],[Index]]-B128)/B128</f>
        <v/>
      </c>
    </row>
    <row r="141">
      <c r="A141" s="17" t="n">
        <v>30376</v>
      </c>
      <c r="B141" s="58">
        <f>VLOOKUP(Table134[[#This Row],[Date]],database!A:I,8,)</f>
        <v/>
      </c>
      <c r="C141" s="66">
        <f>B141/B140-1</f>
        <v/>
      </c>
      <c r="D141" s="66">
        <f>(Table134[[#This Row],[Index]]-B129)/B129</f>
        <v/>
      </c>
    </row>
    <row r="142">
      <c r="A142" s="17" t="n">
        <v>30407</v>
      </c>
      <c r="B142" s="58">
        <f>VLOOKUP(Table134[[#This Row],[Date]],database!A:I,8,)</f>
        <v/>
      </c>
      <c r="C142" s="66">
        <f>B142/B141-1</f>
        <v/>
      </c>
      <c r="D142" s="66">
        <f>(Table134[[#This Row],[Index]]-B130)/B130</f>
        <v/>
      </c>
    </row>
    <row r="143">
      <c r="A143" s="17" t="n">
        <v>30437</v>
      </c>
      <c r="B143" s="58">
        <f>VLOOKUP(Table134[[#This Row],[Date]],database!A:I,8,)</f>
        <v/>
      </c>
      <c r="C143" s="66">
        <f>B143/B142-1</f>
        <v/>
      </c>
      <c r="D143" s="66">
        <f>(Table134[[#This Row],[Index]]-B131)/B131</f>
        <v/>
      </c>
    </row>
    <row r="144">
      <c r="A144" s="17" t="n">
        <v>30468</v>
      </c>
      <c r="B144" s="58">
        <f>VLOOKUP(Table134[[#This Row],[Date]],database!A:I,8,)</f>
        <v/>
      </c>
      <c r="C144" s="66">
        <f>B144/B143-1</f>
        <v/>
      </c>
      <c r="D144" s="66">
        <f>(Table134[[#This Row],[Index]]-B132)/B132</f>
        <v/>
      </c>
    </row>
    <row r="145">
      <c r="A145" s="17" t="n">
        <v>30498</v>
      </c>
      <c r="B145" s="58">
        <f>VLOOKUP(Table134[[#This Row],[Date]],database!A:I,8,)</f>
        <v/>
      </c>
      <c r="C145" s="66">
        <f>B145/B144-1</f>
        <v/>
      </c>
      <c r="D145" s="66">
        <f>(Table134[[#This Row],[Index]]-B133)/B133</f>
        <v/>
      </c>
    </row>
    <row r="146">
      <c r="A146" s="17" t="n">
        <v>30529</v>
      </c>
      <c r="B146" s="58">
        <f>VLOOKUP(Table134[[#This Row],[Date]],database!A:I,8,)</f>
        <v/>
      </c>
      <c r="C146" s="66">
        <f>B146/B145-1</f>
        <v/>
      </c>
      <c r="D146" s="66">
        <f>(Table134[[#This Row],[Index]]-B134)/B134</f>
        <v/>
      </c>
    </row>
    <row r="147">
      <c r="A147" s="17" t="n">
        <v>30560</v>
      </c>
      <c r="B147" s="58">
        <f>VLOOKUP(Table134[[#This Row],[Date]],database!A:I,8,)</f>
        <v/>
      </c>
      <c r="C147" s="66">
        <f>B147/B146-1</f>
        <v/>
      </c>
      <c r="D147" s="66">
        <f>(Table134[[#This Row],[Index]]-B135)/B135</f>
        <v/>
      </c>
    </row>
    <row r="148">
      <c r="A148" s="17" t="n">
        <v>30590</v>
      </c>
      <c r="B148" s="58">
        <f>VLOOKUP(Table134[[#This Row],[Date]],database!A:I,8,)</f>
        <v/>
      </c>
      <c r="C148" s="66">
        <f>B148/B147-1</f>
        <v/>
      </c>
      <c r="D148" s="66">
        <f>(Table134[[#This Row],[Index]]-B136)/B136</f>
        <v/>
      </c>
    </row>
    <row r="149">
      <c r="A149" s="17" t="n">
        <v>30621</v>
      </c>
      <c r="B149" s="58">
        <f>VLOOKUP(Table134[[#This Row],[Date]],database!A:I,8,)</f>
        <v/>
      </c>
      <c r="C149" s="66">
        <f>B149/B148-1</f>
        <v/>
      </c>
      <c r="D149" s="66">
        <f>(Table134[[#This Row],[Index]]-B137)/B137</f>
        <v/>
      </c>
    </row>
    <row r="150">
      <c r="A150" s="17" t="n">
        <v>30651</v>
      </c>
      <c r="B150" s="58">
        <f>VLOOKUP(Table134[[#This Row],[Date]],database!A:I,8,)</f>
        <v/>
      </c>
      <c r="C150" s="66">
        <f>B150/B149-1</f>
        <v/>
      </c>
      <c r="D150" s="66">
        <f>(Table134[[#This Row],[Index]]-B138)/B138</f>
        <v/>
      </c>
    </row>
    <row r="151">
      <c r="A151" s="17" t="n">
        <v>30682</v>
      </c>
      <c r="B151" s="58">
        <f>VLOOKUP(Table134[[#This Row],[Date]],database!A:I,8,)</f>
        <v/>
      </c>
      <c r="C151" s="66">
        <f>B151/B150-1</f>
        <v/>
      </c>
      <c r="D151" s="66">
        <f>(Table134[[#This Row],[Index]]-B139)/B139</f>
        <v/>
      </c>
    </row>
    <row r="152">
      <c r="A152" s="17" t="n">
        <v>30713</v>
      </c>
      <c r="B152" s="58">
        <f>VLOOKUP(Table134[[#This Row],[Date]],database!A:I,8,)</f>
        <v/>
      </c>
      <c r="C152" s="66">
        <f>B152/B151-1</f>
        <v/>
      </c>
      <c r="D152" s="66">
        <f>(Table134[[#This Row],[Index]]-B140)/B140</f>
        <v/>
      </c>
    </row>
    <row r="153">
      <c r="A153" s="17" t="n">
        <v>30742</v>
      </c>
      <c r="B153" s="58">
        <f>VLOOKUP(Table134[[#This Row],[Date]],database!A:I,8,)</f>
        <v/>
      </c>
      <c r="C153" s="66">
        <f>B153/B152-1</f>
        <v/>
      </c>
      <c r="D153" s="66">
        <f>(Table134[[#This Row],[Index]]-B141)/B141</f>
        <v/>
      </c>
    </row>
    <row r="154">
      <c r="A154" s="17" t="n">
        <v>30773</v>
      </c>
      <c r="B154" s="58">
        <f>VLOOKUP(Table134[[#This Row],[Date]],database!A:I,8,)</f>
        <v/>
      </c>
      <c r="C154" s="66">
        <f>B154/B153-1</f>
        <v/>
      </c>
      <c r="D154" s="66">
        <f>(Table134[[#This Row],[Index]]-B142)/B142</f>
        <v/>
      </c>
    </row>
    <row r="155">
      <c r="A155" s="17" t="n">
        <v>30803</v>
      </c>
      <c r="B155" s="58">
        <f>VLOOKUP(Table134[[#This Row],[Date]],database!A:I,8,)</f>
        <v/>
      </c>
      <c r="C155" s="66">
        <f>B155/B154-1</f>
        <v/>
      </c>
      <c r="D155" s="66">
        <f>(Table134[[#This Row],[Index]]-B143)/B143</f>
        <v/>
      </c>
    </row>
    <row r="156">
      <c r="A156" s="17" t="n">
        <v>30834</v>
      </c>
      <c r="B156" s="58">
        <f>VLOOKUP(Table134[[#This Row],[Date]],database!A:I,8,)</f>
        <v/>
      </c>
      <c r="C156" s="66">
        <f>B156/B155-1</f>
        <v/>
      </c>
      <c r="D156" s="66">
        <f>(Table134[[#This Row],[Index]]-B144)/B144</f>
        <v/>
      </c>
    </row>
    <row r="157">
      <c r="A157" s="17" t="n">
        <v>30864</v>
      </c>
      <c r="B157" s="58">
        <f>VLOOKUP(Table134[[#This Row],[Date]],database!A:I,8,)</f>
        <v/>
      </c>
      <c r="C157" s="66">
        <f>B157/B156-1</f>
        <v/>
      </c>
      <c r="D157" s="66">
        <f>(Table134[[#This Row],[Index]]-B145)/B145</f>
        <v/>
      </c>
    </row>
    <row r="158">
      <c r="A158" s="17" t="n">
        <v>30895</v>
      </c>
      <c r="B158" s="58">
        <f>VLOOKUP(Table134[[#This Row],[Date]],database!A:I,8,)</f>
        <v/>
      </c>
      <c r="C158" s="66">
        <f>B158/B157-1</f>
        <v/>
      </c>
      <c r="D158" s="66">
        <f>(Table134[[#This Row],[Index]]-B146)/B146</f>
        <v/>
      </c>
    </row>
    <row r="159">
      <c r="A159" s="17" t="n">
        <v>30926</v>
      </c>
      <c r="B159" s="58">
        <f>VLOOKUP(Table134[[#This Row],[Date]],database!A:I,8,)</f>
        <v/>
      </c>
      <c r="C159" s="66">
        <f>B159/B158-1</f>
        <v/>
      </c>
      <c r="D159" s="66">
        <f>(Table134[[#This Row],[Index]]-B147)/B147</f>
        <v/>
      </c>
    </row>
    <row r="160">
      <c r="A160" s="17" t="n">
        <v>30956</v>
      </c>
      <c r="B160" s="58">
        <f>VLOOKUP(Table134[[#This Row],[Date]],database!A:I,8,)</f>
        <v/>
      </c>
      <c r="C160" s="66">
        <f>B160/B159-1</f>
        <v/>
      </c>
      <c r="D160" s="66">
        <f>(Table134[[#This Row],[Index]]-B148)/B148</f>
        <v/>
      </c>
    </row>
    <row r="161">
      <c r="A161" s="17" t="n">
        <v>30987</v>
      </c>
      <c r="B161" s="58">
        <f>VLOOKUP(Table134[[#This Row],[Date]],database!A:I,8,)</f>
        <v/>
      </c>
      <c r="C161" s="66">
        <f>B161/B160-1</f>
        <v/>
      </c>
      <c r="D161" s="66">
        <f>(Table134[[#This Row],[Index]]-B149)/B149</f>
        <v/>
      </c>
    </row>
    <row r="162">
      <c r="A162" s="17" t="n">
        <v>31017</v>
      </c>
      <c r="B162" s="58">
        <f>VLOOKUP(Table134[[#This Row],[Date]],database!A:I,8,)</f>
        <v/>
      </c>
      <c r="C162" s="66">
        <f>B162/B161-1</f>
        <v/>
      </c>
      <c r="D162" s="66">
        <f>(Table134[[#This Row],[Index]]-B150)/B150</f>
        <v/>
      </c>
    </row>
    <row r="163">
      <c r="A163" s="17" t="n">
        <v>31048</v>
      </c>
      <c r="B163" s="58">
        <f>VLOOKUP(Table134[[#This Row],[Date]],database!A:I,8,)</f>
        <v/>
      </c>
      <c r="C163" s="66">
        <f>B163/B162-1</f>
        <v/>
      </c>
      <c r="D163" s="66">
        <f>(Table134[[#This Row],[Index]]-B151)/B151</f>
        <v/>
      </c>
    </row>
    <row r="164">
      <c r="A164" s="17" t="n">
        <v>31079</v>
      </c>
      <c r="B164" s="58">
        <f>VLOOKUP(Table134[[#This Row],[Date]],database!A:I,8,)</f>
        <v/>
      </c>
      <c r="C164" s="66">
        <f>B164/B163-1</f>
        <v/>
      </c>
      <c r="D164" s="66">
        <f>(Table134[[#This Row],[Index]]-B152)/B152</f>
        <v/>
      </c>
    </row>
    <row r="165">
      <c r="A165" s="17" t="n">
        <v>31107</v>
      </c>
      <c r="B165" s="58">
        <f>VLOOKUP(Table134[[#This Row],[Date]],database!A:I,8,)</f>
        <v/>
      </c>
      <c r="C165" s="66">
        <f>B165/B164-1</f>
        <v/>
      </c>
      <c r="D165" s="66">
        <f>(Table134[[#This Row],[Index]]-B153)/B153</f>
        <v/>
      </c>
    </row>
    <row r="166">
      <c r="A166" s="17" t="n">
        <v>31138</v>
      </c>
      <c r="B166" s="58">
        <f>VLOOKUP(Table134[[#This Row],[Date]],database!A:I,8,)</f>
        <v/>
      </c>
      <c r="C166" s="66">
        <f>B166/B165-1</f>
        <v/>
      </c>
      <c r="D166" s="66">
        <f>(Table134[[#This Row],[Index]]-B154)/B154</f>
        <v/>
      </c>
    </row>
    <row r="167">
      <c r="A167" s="17" t="n">
        <v>31168</v>
      </c>
      <c r="B167" s="58">
        <f>VLOOKUP(Table134[[#This Row],[Date]],database!A:I,8,)</f>
        <v/>
      </c>
      <c r="C167" s="66">
        <f>B167/B166-1</f>
        <v/>
      </c>
      <c r="D167" s="66">
        <f>(Table134[[#This Row],[Index]]-B155)/B155</f>
        <v/>
      </c>
    </row>
    <row r="168">
      <c r="A168" s="17" t="n">
        <v>31199</v>
      </c>
      <c r="B168" s="58">
        <f>VLOOKUP(Table134[[#This Row],[Date]],database!A:I,8,)</f>
        <v/>
      </c>
      <c r="C168" s="66">
        <f>B168/B167-1</f>
        <v/>
      </c>
      <c r="D168" s="66">
        <f>(Table134[[#This Row],[Index]]-B156)/B156</f>
        <v/>
      </c>
    </row>
    <row r="169">
      <c r="A169" s="17" t="n">
        <v>31229</v>
      </c>
      <c r="B169" s="58">
        <f>VLOOKUP(Table134[[#This Row],[Date]],database!A:I,8,)</f>
        <v/>
      </c>
      <c r="C169" s="66">
        <f>B169/B168-1</f>
        <v/>
      </c>
      <c r="D169" s="66">
        <f>(Table134[[#This Row],[Index]]-B157)/B157</f>
        <v/>
      </c>
    </row>
    <row r="170">
      <c r="A170" s="17" t="n">
        <v>31260</v>
      </c>
      <c r="B170" s="58">
        <f>VLOOKUP(Table134[[#This Row],[Date]],database!A:I,8,)</f>
        <v/>
      </c>
      <c r="C170" s="66">
        <f>B170/B169-1</f>
        <v/>
      </c>
      <c r="D170" s="66">
        <f>(Table134[[#This Row],[Index]]-B158)/B158</f>
        <v/>
      </c>
    </row>
    <row r="171">
      <c r="A171" s="17" t="n">
        <v>31291</v>
      </c>
      <c r="B171" s="58">
        <f>VLOOKUP(Table134[[#This Row],[Date]],database!A:I,8,)</f>
        <v/>
      </c>
      <c r="C171" s="66">
        <f>B171/B170-1</f>
        <v/>
      </c>
      <c r="D171" s="66">
        <f>(Table134[[#This Row],[Index]]-B159)/B159</f>
        <v/>
      </c>
    </row>
    <row r="172">
      <c r="A172" s="17" t="n">
        <v>31321</v>
      </c>
      <c r="B172" s="58">
        <f>VLOOKUP(Table134[[#This Row],[Date]],database!A:I,8,)</f>
        <v/>
      </c>
      <c r="C172" s="66">
        <f>B172/B171-1</f>
        <v/>
      </c>
      <c r="D172" s="66">
        <f>(Table134[[#This Row],[Index]]-B160)/B160</f>
        <v/>
      </c>
    </row>
    <row r="173">
      <c r="A173" s="17" t="n">
        <v>31352</v>
      </c>
      <c r="B173" s="58">
        <f>VLOOKUP(Table134[[#This Row],[Date]],database!A:I,8,)</f>
        <v/>
      </c>
      <c r="C173" s="66">
        <f>B173/B172-1</f>
        <v/>
      </c>
      <c r="D173" s="66">
        <f>(Table134[[#This Row],[Index]]-B161)/B161</f>
        <v/>
      </c>
    </row>
    <row r="174">
      <c r="A174" s="17" t="n">
        <v>31382</v>
      </c>
      <c r="B174" s="58">
        <f>VLOOKUP(Table134[[#This Row],[Date]],database!A:I,8,)</f>
        <v/>
      </c>
      <c r="C174" s="66">
        <f>B174/B173-1</f>
        <v/>
      </c>
      <c r="D174" s="66">
        <f>(Table134[[#This Row],[Index]]-B162)/B162</f>
        <v/>
      </c>
    </row>
    <row r="175">
      <c r="A175" s="17" t="n">
        <v>31413</v>
      </c>
      <c r="B175" s="58">
        <f>VLOOKUP(Table134[[#This Row],[Date]],database!A:I,8,)</f>
        <v/>
      </c>
      <c r="C175" s="66">
        <f>B175/B174-1</f>
        <v/>
      </c>
      <c r="D175" s="66">
        <f>(Table134[[#This Row],[Index]]-B163)/B163</f>
        <v/>
      </c>
    </row>
    <row r="176">
      <c r="A176" s="17" t="n">
        <v>31444</v>
      </c>
      <c r="B176" s="58">
        <f>VLOOKUP(Table134[[#This Row],[Date]],database!A:I,8,)</f>
        <v/>
      </c>
      <c r="C176" s="66">
        <f>B176/B175-1</f>
        <v/>
      </c>
      <c r="D176" s="66">
        <f>(Table134[[#This Row],[Index]]-B164)/B164</f>
        <v/>
      </c>
    </row>
    <row r="177">
      <c r="A177" s="17" t="n">
        <v>31472</v>
      </c>
      <c r="B177" s="58">
        <f>VLOOKUP(Table134[[#This Row],[Date]],database!A:I,8,)</f>
        <v/>
      </c>
      <c r="C177" s="66">
        <f>B177/B176-1</f>
        <v/>
      </c>
      <c r="D177" s="66">
        <f>(Table134[[#This Row],[Index]]-B165)/B165</f>
        <v/>
      </c>
    </row>
    <row r="178">
      <c r="A178" s="17" t="n">
        <v>31503</v>
      </c>
      <c r="B178" s="58">
        <f>VLOOKUP(Table134[[#This Row],[Date]],database!A:I,8,)</f>
        <v/>
      </c>
      <c r="C178" s="66">
        <f>B178/B177-1</f>
        <v/>
      </c>
      <c r="D178" s="66">
        <f>(Table134[[#This Row],[Index]]-B166)/B166</f>
        <v/>
      </c>
    </row>
    <row r="179">
      <c r="A179" s="17" t="n">
        <v>31533</v>
      </c>
      <c r="B179" s="58">
        <f>VLOOKUP(Table134[[#This Row],[Date]],database!A:I,8,)</f>
        <v/>
      </c>
      <c r="C179" s="66">
        <f>B179/B178-1</f>
        <v/>
      </c>
      <c r="D179" s="66">
        <f>(Table134[[#This Row],[Index]]-B167)/B167</f>
        <v/>
      </c>
    </row>
    <row r="180">
      <c r="A180" s="17" t="n">
        <v>31564</v>
      </c>
      <c r="B180" s="58">
        <f>VLOOKUP(Table134[[#This Row],[Date]],database!A:I,8,)</f>
        <v/>
      </c>
      <c r="C180" s="66">
        <f>B180/B179-1</f>
        <v/>
      </c>
      <c r="D180" s="66">
        <f>(Table134[[#This Row],[Index]]-B168)/B168</f>
        <v/>
      </c>
    </row>
    <row r="181">
      <c r="A181" s="17" t="n">
        <v>31594</v>
      </c>
      <c r="B181" s="58">
        <f>VLOOKUP(Table134[[#This Row],[Date]],database!A:I,8,)</f>
        <v/>
      </c>
      <c r="C181" s="66">
        <f>B181/B180-1</f>
        <v/>
      </c>
      <c r="D181" s="66">
        <f>(Table134[[#This Row],[Index]]-B169)/B169</f>
        <v/>
      </c>
    </row>
    <row r="182">
      <c r="A182" s="17" t="n">
        <v>31625</v>
      </c>
      <c r="B182" s="58">
        <f>VLOOKUP(Table134[[#This Row],[Date]],database!A:I,8,)</f>
        <v/>
      </c>
      <c r="C182" s="66">
        <f>B182/B181-1</f>
        <v/>
      </c>
      <c r="D182" s="66">
        <f>(Table134[[#This Row],[Index]]-B170)/B170</f>
        <v/>
      </c>
    </row>
    <row r="183">
      <c r="A183" s="17" t="n">
        <v>31656</v>
      </c>
      <c r="B183" s="58">
        <f>VLOOKUP(Table134[[#This Row],[Date]],database!A:I,8,)</f>
        <v/>
      </c>
      <c r="C183" s="66">
        <f>B183/B182-1</f>
        <v/>
      </c>
      <c r="D183" s="66">
        <f>(Table134[[#This Row],[Index]]-B171)/B171</f>
        <v/>
      </c>
    </row>
    <row r="184">
      <c r="A184" s="17" t="n">
        <v>31686</v>
      </c>
      <c r="B184" s="58">
        <f>VLOOKUP(Table134[[#This Row],[Date]],database!A:I,8,)</f>
        <v/>
      </c>
      <c r="C184" s="66">
        <f>B184/B183-1</f>
        <v/>
      </c>
      <c r="D184" s="66">
        <f>(Table134[[#This Row],[Index]]-B172)/B172</f>
        <v/>
      </c>
    </row>
    <row r="185">
      <c r="A185" s="17" t="n">
        <v>31717</v>
      </c>
      <c r="B185" s="58">
        <f>VLOOKUP(Table134[[#This Row],[Date]],database!A:I,8,)</f>
        <v/>
      </c>
      <c r="C185" s="66">
        <f>B185/B184-1</f>
        <v/>
      </c>
      <c r="D185" s="66">
        <f>(Table134[[#This Row],[Index]]-B173)/B173</f>
        <v/>
      </c>
    </row>
    <row r="186">
      <c r="A186" s="17" t="n">
        <v>31747</v>
      </c>
      <c r="B186" s="58">
        <f>VLOOKUP(Table134[[#This Row],[Date]],database!A:I,8,)</f>
        <v/>
      </c>
      <c r="C186" s="66">
        <f>B186/B185-1</f>
        <v/>
      </c>
      <c r="D186" s="66">
        <f>(Table134[[#This Row],[Index]]-B174)/B174</f>
        <v/>
      </c>
    </row>
    <row r="187">
      <c r="A187" s="17" t="n">
        <v>31778</v>
      </c>
      <c r="B187" s="58">
        <f>VLOOKUP(Table134[[#This Row],[Date]],database!A:I,8,)</f>
        <v/>
      </c>
      <c r="C187" s="66">
        <f>B187/B186-1</f>
        <v/>
      </c>
      <c r="D187" s="66">
        <f>(Table134[[#This Row],[Index]]-B175)/B175</f>
        <v/>
      </c>
    </row>
    <row r="188">
      <c r="A188" s="17" t="n">
        <v>31809</v>
      </c>
      <c r="B188" s="58">
        <f>VLOOKUP(Table134[[#This Row],[Date]],database!A:I,8,)</f>
        <v/>
      </c>
      <c r="C188" s="66">
        <f>B188/B187-1</f>
        <v/>
      </c>
      <c r="D188" s="66">
        <f>(Table134[[#This Row],[Index]]-B176)/B176</f>
        <v/>
      </c>
    </row>
    <row r="189">
      <c r="A189" s="17" t="n">
        <v>31837</v>
      </c>
      <c r="B189" s="58">
        <f>VLOOKUP(Table134[[#This Row],[Date]],database!A:I,8,)</f>
        <v/>
      </c>
      <c r="C189" s="66">
        <f>B189/B188-1</f>
        <v/>
      </c>
      <c r="D189" s="66">
        <f>(Table134[[#This Row],[Index]]-B177)/B177</f>
        <v/>
      </c>
    </row>
    <row r="190">
      <c r="A190" s="17" t="n">
        <v>31868</v>
      </c>
      <c r="B190" s="58">
        <f>VLOOKUP(Table134[[#This Row],[Date]],database!A:I,8,)</f>
        <v/>
      </c>
      <c r="C190" s="66">
        <f>B190/B189-1</f>
        <v/>
      </c>
      <c r="D190" s="66">
        <f>(Table134[[#This Row],[Index]]-B178)/B178</f>
        <v/>
      </c>
    </row>
    <row r="191">
      <c r="A191" s="17" t="n">
        <v>31898</v>
      </c>
      <c r="B191" s="58">
        <f>VLOOKUP(Table134[[#This Row],[Date]],database!A:I,8,)</f>
        <v/>
      </c>
      <c r="C191" s="66">
        <f>B191/B190-1</f>
        <v/>
      </c>
      <c r="D191" s="66">
        <f>(Table134[[#This Row],[Index]]-B179)/B179</f>
        <v/>
      </c>
    </row>
    <row r="192">
      <c r="A192" s="17" t="n">
        <v>31929</v>
      </c>
      <c r="B192" s="58">
        <f>VLOOKUP(Table134[[#This Row],[Date]],database!A:I,8,)</f>
        <v/>
      </c>
      <c r="C192" s="66">
        <f>B192/B191-1</f>
        <v/>
      </c>
      <c r="D192" s="66">
        <f>(Table134[[#This Row],[Index]]-B180)/B180</f>
        <v/>
      </c>
    </row>
    <row r="193">
      <c r="A193" s="17" t="n">
        <v>31959</v>
      </c>
      <c r="B193" s="58">
        <f>VLOOKUP(Table134[[#This Row],[Date]],database!A:I,8,)</f>
        <v/>
      </c>
      <c r="C193" s="66">
        <f>B193/B192-1</f>
        <v/>
      </c>
      <c r="D193" s="66">
        <f>(Table134[[#This Row],[Index]]-B181)/B181</f>
        <v/>
      </c>
    </row>
    <row r="194">
      <c r="A194" s="17" t="n">
        <v>31990</v>
      </c>
      <c r="B194" s="58">
        <f>VLOOKUP(Table134[[#This Row],[Date]],database!A:I,8,)</f>
        <v/>
      </c>
      <c r="C194" s="66">
        <f>B194/B193-1</f>
        <v/>
      </c>
      <c r="D194" s="66">
        <f>(Table134[[#This Row],[Index]]-B182)/B182</f>
        <v/>
      </c>
    </row>
    <row r="195">
      <c r="A195" s="17" t="n">
        <v>32021</v>
      </c>
      <c r="B195" s="58">
        <f>VLOOKUP(Table134[[#This Row],[Date]],database!A:I,8,)</f>
        <v/>
      </c>
      <c r="C195" s="66">
        <f>B195/B194-1</f>
        <v/>
      </c>
      <c r="D195" s="66">
        <f>(Table134[[#This Row],[Index]]-B183)/B183</f>
        <v/>
      </c>
    </row>
    <row r="196">
      <c r="A196" s="17" t="n">
        <v>32051</v>
      </c>
      <c r="B196" s="58">
        <f>VLOOKUP(Table134[[#This Row],[Date]],database!A:I,8,)</f>
        <v/>
      </c>
      <c r="C196" s="66">
        <f>B196/B195-1</f>
        <v/>
      </c>
      <c r="D196" s="66">
        <f>(Table134[[#This Row],[Index]]-B184)/B184</f>
        <v/>
      </c>
    </row>
    <row r="197">
      <c r="A197" s="17" t="n">
        <v>32082</v>
      </c>
      <c r="B197" s="58">
        <f>VLOOKUP(Table134[[#This Row],[Date]],database!A:I,8,)</f>
        <v/>
      </c>
      <c r="C197" s="66">
        <f>B197/B196-1</f>
        <v/>
      </c>
      <c r="D197" s="66">
        <f>(Table134[[#This Row],[Index]]-B185)/B185</f>
        <v/>
      </c>
    </row>
    <row r="198">
      <c r="A198" s="17" t="n">
        <v>32112</v>
      </c>
      <c r="B198" s="58">
        <f>VLOOKUP(Table134[[#This Row],[Date]],database!A:I,8,)</f>
        <v/>
      </c>
      <c r="C198" s="66">
        <f>B198/B197-1</f>
        <v/>
      </c>
      <c r="D198" s="66">
        <f>(Table134[[#This Row],[Index]]-B186)/B186</f>
        <v/>
      </c>
    </row>
    <row r="199">
      <c r="A199" s="17" t="n">
        <v>32143</v>
      </c>
      <c r="B199" s="58">
        <f>VLOOKUP(Table134[[#This Row],[Date]],database!A:I,8,)</f>
        <v/>
      </c>
      <c r="C199" s="66">
        <f>B199/B198-1</f>
        <v/>
      </c>
      <c r="D199" s="66">
        <f>(Table134[[#This Row],[Index]]-B187)/B187</f>
        <v/>
      </c>
    </row>
    <row r="200">
      <c r="A200" s="17" t="n">
        <v>32174</v>
      </c>
      <c r="B200" s="58">
        <f>VLOOKUP(Table134[[#This Row],[Date]],database!A:I,8,)</f>
        <v/>
      </c>
      <c r="C200" s="66">
        <f>B200/B199-1</f>
        <v/>
      </c>
      <c r="D200" s="66">
        <f>(Table134[[#This Row],[Index]]-B188)/B188</f>
        <v/>
      </c>
    </row>
    <row r="201">
      <c r="A201" s="17" t="n">
        <v>32203</v>
      </c>
      <c r="B201" s="58">
        <f>VLOOKUP(Table134[[#This Row],[Date]],database!A:I,8,)</f>
        <v/>
      </c>
      <c r="C201" s="66">
        <f>B201/B200-1</f>
        <v/>
      </c>
      <c r="D201" s="66">
        <f>(Table134[[#This Row],[Index]]-B189)/B189</f>
        <v/>
      </c>
    </row>
    <row r="202">
      <c r="A202" s="17" t="n">
        <v>32234</v>
      </c>
      <c r="B202" s="58">
        <f>VLOOKUP(Table134[[#This Row],[Date]],database!A:I,8,)</f>
        <v/>
      </c>
      <c r="C202" s="66">
        <f>B202/B201-1</f>
        <v/>
      </c>
      <c r="D202" s="66">
        <f>(Table134[[#This Row],[Index]]-B190)/B190</f>
        <v/>
      </c>
    </row>
    <row r="203">
      <c r="A203" s="17" t="n">
        <v>32264</v>
      </c>
      <c r="B203" s="58">
        <f>VLOOKUP(Table134[[#This Row],[Date]],database!A:I,8,)</f>
        <v/>
      </c>
      <c r="C203" s="66">
        <f>B203/B202-1</f>
        <v/>
      </c>
      <c r="D203" s="66">
        <f>(Table134[[#This Row],[Index]]-B191)/B191</f>
        <v/>
      </c>
    </row>
    <row r="204">
      <c r="A204" s="17" t="n">
        <v>32295</v>
      </c>
      <c r="B204" s="58">
        <f>VLOOKUP(Table134[[#This Row],[Date]],database!A:I,8,)</f>
        <v/>
      </c>
      <c r="C204" s="66">
        <f>B204/B203-1</f>
        <v/>
      </c>
      <c r="D204" s="66">
        <f>(Table134[[#This Row],[Index]]-B192)/B192</f>
        <v/>
      </c>
    </row>
    <row r="205">
      <c r="A205" s="17" t="n">
        <v>32325</v>
      </c>
      <c r="B205" s="58">
        <f>VLOOKUP(Table134[[#This Row],[Date]],database!A:I,8,)</f>
        <v/>
      </c>
      <c r="C205" s="66">
        <f>B205/B204-1</f>
        <v/>
      </c>
      <c r="D205" s="66">
        <f>(Table134[[#This Row],[Index]]-B193)/B193</f>
        <v/>
      </c>
    </row>
    <row r="206">
      <c r="A206" s="17" t="n">
        <v>32356</v>
      </c>
      <c r="B206" s="58">
        <f>VLOOKUP(Table134[[#This Row],[Date]],database!A:I,8,)</f>
        <v/>
      </c>
      <c r="C206" s="66">
        <f>B206/B205-1</f>
        <v/>
      </c>
      <c r="D206" s="66">
        <f>(Table134[[#This Row],[Index]]-B194)/B194</f>
        <v/>
      </c>
    </row>
    <row r="207">
      <c r="A207" s="17" t="n">
        <v>32387</v>
      </c>
      <c r="B207" s="58">
        <f>VLOOKUP(Table134[[#This Row],[Date]],database!A:I,8,)</f>
        <v/>
      </c>
      <c r="C207" s="66">
        <f>B207/B206-1</f>
        <v/>
      </c>
      <c r="D207" s="66">
        <f>(Table134[[#This Row],[Index]]-B195)/B195</f>
        <v/>
      </c>
    </row>
    <row r="208">
      <c r="A208" s="17" t="n">
        <v>32417</v>
      </c>
      <c r="B208" s="58">
        <f>VLOOKUP(Table134[[#This Row],[Date]],database!A:I,8,)</f>
        <v/>
      </c>
      <c r="C208" s="66">
        <f>B208/B207-1</f>
        <v/>
      </c>
      <c r="D208" s="66">
        <f>(Table134[[#This Row],[Index]]-B196)/B196</f>
        <v/>
      </c>
    </row>
    <row r="209">
      <c r="A209" s="17" t="n">
        <v>32448</v>
      </c>
      <c r="B209" s="58">
        <f>VLOOKUP(Table134[[#This Row],[Date]],database!A:I,8,)</f>
        <v/>
      </c>
      <c r="C209" s="66">
        <f>B209/B208-1</f>
        <v/>
      </c>
      <c r="D209" s="66">
        <f>(Table134[[#This Row],[Index]]-B197)/B197</f>
        <v/>
      </c>
    </row>
    <row r="210">
      <c r="A210" s="17" t="n">
        <v>32478</v>
      </c>
      <c r="B210" s="58">
        <f>VLOOKUP(Table134[[#This Row],[Date]],database!A:I,8,)</f>
        <v/>
      </c>
      <c r="C210" s="66">
        <f>B210/B209-1</f>
        <v/>
      </c>
      <c r="D210" s="66">
        <f>(Table134[[#This Row],[Index]]-B198)/B198</f>
        <v/>
      </c>
    </row>
    <row r="211">
      <c r="A211" s="17" t="n">
        <v>32509</v>
      </c>
      <c r="B211" s="58">
        <f>VLOOKUP(Table134[[#This Row],[Date]],database!A:I,8,)</f>
        <v/>
      </c>
      <c r="C211" s="66">
        <f>B211/B210-1</f>
        <v/>
      </c>
      <c r="D211" s="66">
        <f>(Table134[[#This Row],[Index]]-B199)/B199</f>
        <v/>
      </c>
    </row>
    <row r="212">
      <c r="A212" s="17" t="n">
        <v>32540</v>
      </c>
      <c r="B212" s="58">
        <f>VLOOKUP(Table134[[#This Row],[Date]],database!A:I,8,)</f>
        <v/>
      </c>
      <c r="C212" s="66">
        <f>B212/B211-1</f>
        <v/>
      </c>
      <c r="D212" s="66">
        <f>(Table134[[#This Row],[Index]]-B200)/B200</f>
        <v/>
      </c>
    </row>
    <row r="213">
      <c r="A213" s="17" t="n">
        <v>32568</v>
      </c>
      <c r="B213" s="58">
        <f>VLOOKUP(Table134[[#This Row],[Date]],database!A:I,8,)</f>
        <v/>
      </c>
      <c r="C213" s="66">
        <f>B213/B212-1</f>
        <v/>
      </c>
      <c r="D213" s="66">
        <f>(Table134[[#This Row],[Index]]-B201)/B201</f>
        <v/>
      </c>
    </row>
    <row r="214">
      <c r="A214" s="17" t="n">
        <v>32599</v>
      </c>
      <c r="B214" s="58">
        <f>VLOOKUP(Table134[[#This Row],[Date]],database!A:I,8,)</f>
        <v/>
      </c>
      <c r="C214" s="66">
        <f>B214/B213-1</f>
        <v/>
      </c>
      <c r="D214" s="66">
        <f>(Table134[[#This Row],[Index]]-B202)/B202</f>
        <v/>
      </c>
    </row>
    <row r="215">
      <c r="A215" s="17" t="n">
        <v>32629</v>
      </c>
      <c r="B215" s="58">
        <f>VLOOKUP(Table134[[#This Row],[Date]],database!A:I,8,)</f>
        <v/>
      </c>
      <c r="C215" s="66">
        <f>B215/B214-1</f>
        <v/>
      </c>
      <c r="D215" s="66">
        <f>(Table134[[#This Row],[Index]]-B203)/B203</f>
        <v/>
      </c>
    </row>
    <row r="216">
      <c r="A216" s="17" t="n">
        <v>32660</v>
      </c>
      <c r="B216" s="58">
        <f>VLOOKUP(Table134[[#This Row],[Date]],database!A:I,8,)</f>
        <v/>
      </c>
      <c r="C216" s="66">
        <f>B216/B215-1</f>
        <v/>
      </c>
      <c r="D216" s="66">
        <f>(Table134[[#This Row],[Index]]-B204)/B204</f>
        <v/>
      </c>
    </row>
    <row r="217">
      <c r="A217" s="17" t="n">
        <v>32690</v>
      </c>
      <c r="B217" s="58">
        <f>VLOOKUP(Table134[[#This Row],[Date]],database!A:I,8,)</f>
        <v/>
      </c>
      <c r="C217" s="66">
        <f>B217/B216-1</f>
        <v/>
      </c>
      <c r="D217" s="66">
        <f>(Table134[[#This Row],[Index]]-B205)/B205</f>
        <v/>
      </c>
    </row>
    <row r="218">
      <c r="A218" s="17" t="n">
        <v>32721</v>
      </c>
      <c r="B218" s="58">
        <f>VLOOKUP(Table134[[#This Row],[Date]],database!A:I,8,)</f>
        <v/>
      </c>
      <c r="C218" s="66">
        <f>B218/B217-1</f>
        <v/>
      </c>
      <c r="D218" s="66">
        <f>(Table134[[#This Row],[Index]]-B206)/B206</f>
        <v/>
      </c>
    </row>
    <row r="219">
      <c r="A219" s="17" t="n">
        <v>32752</v>
      </c>
      <c r="B219" s="58">
        <f>VLOOKUP(Table134[[#This Row],[Date]],database!A:I,8,)</f>
        <v/>
      </c>
      <c r="C219" s="66">
        <f>B219/B218-1</f>
        <v/>
      </c>
      <c r="D219" s="66">
        <f>(Table134[[#This Row],[Index]]-B207)/B207</f>
        <v/>
      </c>
    </row>
    <row r="220">
      <c r="A220" s="17" t="n">
        <v>32782</v>
      </c>
      <c r="B220" s="58">
        <f>VLOOKUP(Table134[[#This Row],[Date]],database!A:I,8,)</f>
        <v/>
      </c>
      <c r="C220" s="66">
        <f>B220/B219-1</f>
        <v/>
      </c>
      <c r="D220" s="66">
        <f>(Table134[[#This Row],[Index]]-B208)/B208</f>
        <v/>
      </c>
    </row>
    <row r="221">
      <c r="A221" s="17" t="n">
        <v>32813</v>
      </c>
      <c r="B221" s="58">
        <f>VLOOKUP(Table134[[#This Row],[Date]],database!A:I,8,)</f>
        <v/>
      </c>
      <c r="C221" s="66">
        <f>B221/B220-1</f>
        <v/>
      </c>
      <c r="D221" s="66">
        <f>(Table134[[#This Row],[Index]]-B209)/B209</f>
        <v/>
      </c>
    </row>
    <row r="222">
      <c r="A222" s="17" t="n">
        <v>32843</v>
      </c>
      <c r="B222" s="58">
        <f>VLOOKUP(Table134[[#This Row],[Date]],database!A:I,8,)</f>
        <v/>
      </c>
      <c r="C222" s="66">
        <f>B222/B221-1</f>
        <v/>
      </c>
      <c r="D222" s="66">
        <f>(Table134[[#This Row],[Index]]-B210)/B210</f>
        <v/>
      </c>
    </row>
    <row r="223">
      <c r="A223" s="17" t="n">
        <v>32874</v>
      </c>
      <c r="B223" s="58">
        <f>VLOOKUP(Table134[[#This Row],[Date]],database!A:I,8,)</f>
        <v/>
      </c>
      <c r="C223" s="66">
        <f>B223/B222-1</f>
        <v/>
      </c>
      <c r="D223" s="66">
        <f>(Table134[[#This Row],[Index]]-B211)/B211</f>
        <v/>
      </c>
    </row>
    <row r="224">
      <c r="A224" s="17" t="n">
        <v>32905</v>
      </c>
      <c r="B224" s="58">
        <f>VLOOKUP(Table134[[#This Row],[Date]],database!A:I,8,)</f>
        <v/>
      </c>
      <c r="C224" s="66">
        <f>B224/B223-1</f>
        <v/>
      </c>
      <c r="D224" s="66">
        <f>(Table134[[#This Row],[Index]]-B212)/B212</f>
        <v/>
      </c>
    </row>
    <row r="225">
      <c r="A225" s="17" t="n">
        <v>32933</v>
      </c>
      <c r="B225" s="58">
        <f>VLOOKUP(Table134[[#This Row],[Date]],database!A:I,8,)</f>
        <v/>
      </c>
      <c r="C225" s="66">
        <f>B225/B224-1</f>
        <v/>
      </c>
      <c r="D225" s="66">
        <f>(Table134[[#This Row],[Index]]-B213)/B213</f>
        <v/>
      </c>
    </row>
    <row r="226">
      <c r="A226" s="17" t="n">
        <v>32964</v>
      </c>
      <c r="B226" s="58">
        <f>VLOOKUP(Table134[[#This Row],[Date]],database!A:I,8,)</f>
        <v/>
      </c>
      <c r="C226" s="66">
        <f>B226/B225-1</f>
        <v/>
      </c>
      <c r="D226" s="66">
        <f>(Table134[[#This Row],[Index]]-B214)/B214</f>
        <v/>
      </c>
    </row>
    <row r="227">
      <c r="A227" s="17" t="n">
        <v>32994</v>
      </c>
      <c r="B227" s="58">
        <f>VLOOKUP(Table134[[#This Row],[Date]],database!A:I,8,)</f>
        <v/>
      </c>
      <c r="C227" s="66">
        <f>B227/B226-1</f>
        <v/>
      </c>
      <c r="D227" s="66">
        <f>(Table134[[#This Row],[Index]]-B215)/B215</f>
        <v/>
      </c>
    </row>
    <row r="228">
      <c r="A228" s="17" t="n">
        <v>33025</v>
      </c>
      <c r="B228" s="58">
        <f>VLOOKUP(Table134[[#This Row],[Date]],database!A:I,8,)</f>
        <v/>
      </c>
      <c r="C228" s="66">
        <f>B228/B227-1</f>
        <v/>
      </c>
      <c r="D228" s="66">
        <f>(Table134[[#This Row],[Index]]-B216)/B216</f>
        <v/>
      </c>
    </row>
    <row r="229">
      <c r="A229" s="17" t="n">
        <v>33055</v>
      </c>
      <c r="B229" s="58">
        <f>VLOOKUP(Table134[[#This Row],[Date]],database!A:I,8,)</f>
        <v/>
      </c>
      <c r="C229" s="66">
        <f>B229/B228-1</f>
        <v/>
      </c>
      <c r="D229" s="66">
        <f>(Table134[[#This Row],[Index]]-B217)/B217</f>
        <v/>
      </c>
    </row>
    <row r="230">
      <c r="A230" s="17" t="n">
        <v>33086</v>
      </c>
      <c r="B230" s="58">
        <f>VLOOKUP(Table134[[#This Row],[Date]],database!A:I,8,)</f>
        <v/>
      </c>
      <c r="C230" s="66">
        <f>B230/B229-1</f>
        <v/>
      </c>
      <c r="D230" s="66">
        <f>(Table134[[#This Row],[Index]]-B218)/B218</f>
        <v/>
      </c>
    </row>
    <row r="231">
      <c r="A231" s="17" t="n">
        <v>33117</v>
      </c>
      <c r="B231" s="58">
        <f>VLOOKUP(Table134[[#This Row],[Date]],database!A:I,8,)</f>
        <v/>
      </c>
      <c r="C231" s="66">
        <f>B231/B230-1</f>
        <v/>
      </c>
      <c r="D231" s="66">
        <f>(Table134[[#This Row],[Index]]-B219)/B219</f>
        <v/>
      </c>
    </row>
    <row r="232">
      <c r="A232" s="17" t="n">
        <v>33147</v>
      </c>
      <c r="B232" s="58">
        <f>VLOOKUP(Table134[[#This Row],[Date]],database!A:I,8,)</f>
        <v/>
      </c>
      <c r="C232" s="66">
        <f>B232/B231-1</f>
        <v/>
      </c>
      <c r="D232" s="66">
        <f>(Table134[[#This Row],[Index]]-B220)/B220</f>
        <v/>
      </c>
    </row>
    <row r="233">
      <c r="A233" s="17" t="n">
        <v>33178</v>
      </c>
      <c r="B233" s="58">
        <f>VLOOKUP(Table134[[#This Row],[Date]],database!A:I,8,)</f>
        <v/>
      </c>
      <c r="C233" s="66">
        <f>B233/B232-1</f>
        <v/>
      </c>
      <c r="D233" s="66">
        <f>(Table134[[#This Row],[Index]]-B221)/B221</f>
        <v/>
      </c>
    </row>
    <row r="234">
      <c r="A234" s="17" t="n">
        <v>33208</v>
      </c>
      <c r="B234" s="58">
        <f>VLOOKUP(Table134[[#This Row],[Date]],database!A:I,8,)</f>
        <v/>
      </c>
      <c r="C234" s="66">
        <f>B234/B233-1</f>
        <v/>
      </c>
      <c r="D234" s="66">
        <f>(Table134[[#This Row],[Index]]-B222)/B222</f>
        <v/>
      </c>
    </row>
    <row r="235">
      <c r="A235" s="17" t="n">
        <v>33239</v>
      </c>
      <c r="B235" s="58">
        <f>VLOOKUP(Table134[[#This Row],[Date]],database!A:I,8,)</f>
        <v/>
      </c>
      <c r="C235" s="66">
        <f>B235/B234-1</f>
        <v/>
      </c>
      <c r="D235" s="66">
        <f>(Table134[[#This Row],[Index]]-B223)/B223</f>
        <v/>
      </c>
    </row>
    <row r="236">
      <c r="A236" s="17" t="n">
        <v>33270</v>
      </c>
      <c r="B236" s="58">
        <f>VLOOKUP(Table134[[#This Row],[Date]],database!A:I,8,)</f>
        <v/>
      </c>
      <c r="C236" s="66">
        <f>B236/B235-1</f>
        <v/>
      </c>
      <c r="D236" s="66">
        <f>(Table134[[#This Row],[Index]]-B224)/B224</f>
        <v/>
      </c>
    </row>
    <row r="237">
      <c r="A237" s="17" t="n">
        <v>33298</v>
      </c>
      <c r="B237" s="58">
        <f>VLOOKUP(Table134[[#This Row],[Date]],database!A:I,8,)</f>
        <v/>
      </c>
      <c r="C237" s="66">
        <f>B237/B236-1</f>
        <v/>
      </c>
      <c r="D237" s="66">
        <f>(Table134[[#This Row],[Index]]-B225)/B225</f>
        <v/>
      </c>
    </row>
    <row r="238">
      <c r="A238" s="17" t="n">
        <v>33329</v>
      </c>
      <c r="B238" s="58">
        <f>VLOOKUP(Table134[[#This Row],[Date]],database!A:I,8,)</f>
        <v/>
      </c>
      <c r="C238" s="66">
        <f>B238/B237-1</f>
        <v/>
      </c>
      <c r="D238" s="66">
        <f>(Table134[[#This Row],[Index]]-B226)/B226</f>
        <v/>
      </c>
    </row>
    <row r="239">
      <c r="A239" s="17" t="n">
        <v>33359</v>
      </c>
      <c r="B239" s="58">
        <f>VLOOKUP(Table134[[#This Row],[Date]],database!A:I,8,)</f>
        <v/>
      </c>
      <c r="C239" s="66">
        <f>B239/B238-1</f>
        <v/>
      </c>
      <c r="D239" s="66">
        <f>(Table134[[#This Row],[Index]]-B227)/B227</f>
        <v/>
      </c>
    </row>
    <row r="240">
      <c r="A240" s="17" t="n">
        <v>33390</v>
      </c>
      <c r="B240" s="58">
        <f>VLOOKUP(Table134[[#This Row],[Date]],database!A:I,8,)</f>
        <v/>
      </c>
      <c r="C240" s="66">
        <f>B240/B239-1</f>
        <v/>
      </c>
      <c r="D240" s="66">
        <f>(Table134[[#This Row],[Index]]-B228)/B228</f>
        <v/>
      </c>
    </row>
    <row r="241">
      <c r="A241" s="17" t="n">
        <v>33420</v>
      </c>
      <c r="B241" s="58">
        <f>VLOOKUP(Table134[[#This Row],[Date]],database!A:I,8,)</f>
        <v/>
      </c>
      <c r="C241" s="66">
        <f>B241/B240-1</f>
        <v/>
      </c>
      <c r="D241" s="66">
        <f>(Table134[[#This Row],[Index]]-B229)/B229</f>
        <v/>
      </c>
    </row>
    <row r="242">
      <c r="A242" s="17" t="n">
        <v>33451</v>
      </c>
      <c r="B242" s="58">
        <f>VLOOKUP(Table134[[#This Row],[Date]],database!A:I,8,)</f>
        <v/>
      </c>
      <c r="C242" s="66">
        <f>B242/B241-1</f>
        <v/>
      </c>
      <c r="D242" s="66">
        <f>(Table134[[#This Row],[Index]]-B230)/B230</f>
        <v/>
      </c>
    </row>
    <row r="243">
      <c r="A243" s="17" t="n">
        <v>33482</v>
      </c>
      <c r="B243" s="58">
        <f>VLOOKUP(Table134[[#This Row],[Date]],database!A:I,8,)</f>
        <v/>
      </c>
      <c r="C243" s="66">
        <f>B243/B242-1</f>
        <v/>
      </c>
      <c r="D243" s="66">
        <f>(Table134[[#This Row],[Index]]-B231)/B231</f>
        <v/>
      </c>
    </row>
    <row r="244">
      <c r="A244" s="17" t="n">
        <v>33512</v>
      </c>
      <c r="B244" s="58">
        <f>VLOOKUP(Table134[[#This Row],[Date]],database!A:I,8,)</f>
        <v/>
      </c>
      <c r="C244" s="66">
        <f>B244/B243-1</f>
        <v/>
      </c>
      <c r="D244" s="66">
        <f>(Table134[[#This Row],[Index]]-B232)/B232</f>
        <v/>
      </c>
    </row>
    <row r="245">
      <c r="A245" s="17" t="n">
        <v>33543</v>
      </c>
      <c r="B245" s="58">
        <f>VLOOKUP(Table134[[#This Row],[Date]],database!A:I,8,)</f>
        <v/>
      </c>
      <c r="C245" s="66">
        <f>B245/B244-1</f>
        <v/>
      </c>
      <c r="D245" s="66">
        <f>(Table134[[#This Row],[Index]]-B233)/B233</f>
        <v/>
      </c>
    </row>
    <row r="246">
      <c r="A246" s="17" t="n">
        <v>33573</v>
      </c>
      <c r="B246" s="58">
        <f>VLOOKUP(Table134[[#This Row],[Date]],database!A:I,8,)</f>
        <v/>
      </c>
      <c r="C246" s="66">
        <f>B246/B245-1</f>
        <v/>
      </c>
      <c r="D246" s="66">
        <f>(Table134[[#This Row],[Index]]-B234)/B234</f>
        <v/>
      </c>
    </row>
    <row r="247">
      <c r="A247" s="17" t="n">
        <v>33604</v>
      </c>
      <c r="B247" s="58">
        <f>VLOOKUP(Table134[[#This Row],[Date]],database!A:I,8,)</f>
        <v/>
      </c>
      <c r="C247" s="66">
        <f>B247/B246-1</f>
        <v/>
      </c>
      <c r="D247" s="66">
        <f>(Table134[[#This Row],[Index]]-B235)/B235</f>
        <v/>
      </c>
    </row>
    <row r="248">
      <c r="A248" s="17" t="n">
        <v>33635</v>
      </c>
      <c r="B248" s="58">
        <f>VLOOKUP(Table134[[#This Row],[Date]],database!A:I,8,)</f>
        <v/>
      </c>
      <c r="C248" s="66">
        <f>B248/B247-1</f>
        <v/>
      </c>
      <c r="D248" s="66">
        <f>(Table134[[#This Row],[Index]]-B236)/B236</f>
        <v/>
      </c>
    </row>
    <row r="249">
      <c r="A249" s="17" t="n">
        <v>33664</v>
      </c>
      <c r="B249" s="58">
        <f>VLOOKUP(Table134[[#This Row],[Date]],database!A:I,8,)</f>
        <v/>
      </c>
      <c r="C249" s="66">
        <f>B249/B248-1</f>
        <v/>
      </c>
      <c r="D249" s="66">
        <f>(Table134[[#This Row],[Index]]-B237)/B237</f>
        <v/>
      </c>
    </row>
    <row r="250">
      <c r="A250" s="17" t="n">
        <v>33695</v>
      </c>
      <c r="B250" s="58">
        <f>VLOOKUP(Table134[[#This Row],[Date]],database!A:I,8,)</f>
        <v/>
      </c>
      <c r="C250" s="66">
        <f>B250/B249-1</f>
        <v/>
      </c>
      <c r="D250" s="66">
        <f>(Table134[[#This Row],[Index]]-B238)/B238</f>
        <v/>
      </c>
    </row>
    <row r="251">
      <c r="A251" s="17" t="n">
        <v>33725</v>
      </c>
      <c r="B251" s="58">
        <f>VLOOKUP(Table134[[#This Row],[Date]],database!A:I,8,)</f>
        <v/>
      </c>
      <c r="C251" s="66">
        <f>B251/B250-1</f>
        <v/>
      </c>
      <c r="D251" s="66">
        <f>(Table134[[#This Row],[Index]]-B239)/B239</f>
        <v/>
      </c>
    </row>
    <row r="252">
      <c r="A252" s="17" t="n">
        <v>33756</v>
      </c>
      <c r="B252" s="58">
        <f>VLOOKUP(Table134[[#This Row],[Date]],database!A:I,8,)</f>
        <v/>
      </c>
      <c r="C252" s="66">
        <f>B252/B251-1</f>
        <v/>
      </c>
      <c r="D252" s="66">
        <f>(Table134[[#This Row],[Index]]-B240)/B240</f>
        <v/>
      </c>
    </row>
    <row r="253">
      <c r="A253" s="17" t="n">
        <v>33786</v>
      </c>
      <c r="B253" s="58">
        <f>VLOOKUP(Table134[[#This Row],[Date]],database!A:I,8,)</f>
        <v/>
      </c>
      <c r="C253" s="66">
        <f>B253/B252-1</f>
        <v/>
      </c>
      <c r="D253" s="66">
        <f>(Table134[[#This Row],[Index]]-B241)/B241</f>
        <v/>
      </c>
    </row>
    <row r="254">
      <c r="A254" s="17" t="n">
        <v>33817</v>
      </c>
      <c r="B254" s="58">
        <f>VLOOKUP(Table134[[#This Row],[Date]],database!A:I,8,)</f>
        <v/>
      </c>
      <c r="C254" s="66">
        <f>B254/B253-1</f>
        <v/>
      </c>
      <c r="D254" s="66">
        <f>(Table134[[#This Row],[Index]]-B242)/B242</f>
        <v/>
      </c>
    </row>
    <row r="255">
      <c r="A255" s="17" t="n">
        <v>33848</v>
      </c>
      <c r="B255" s="58">
        <f>VLOOKUP(Table134[[#This Row],[Date]],database!A:I,8,)</f>
        <v/>
      </c>
      <c r="C255" s="66">
        <f>B255/B254-1</f>
        <v/>
      </c>
      <c r="D255" s="66">
        <f>(Table134[[#This Row],[Index]]-B243)/B243</f>
        <v/>
      </c>
    </row>
    <row r="256">
      <c r="A256" s="17" t="n">
        <v>33878</v>
      </c>
      <c r="B256" s="58">
        <f>VLOOKUP(Table134[[#This Row],[Date]],database!A:I,8,)</f>
        <v/>
      </c>
      <c r="C256" s="66">
        <f>B256/B255-1</f>
        <v/>
      </c>
      <c r="D256" s="66">
        <f>(Table134[[#This Row],[Index]]-B244)/B244</f>
        <v/>
      </c>
    </row>
    <row r="257">
      <c r="A257" s="17" t="n">
        <v>33909</v>
      </c>
      <c r="B257" s="58">
        <f>VLOOKUP(Table134[[#This Row],[Date]],database!A:I,8,)</f>
        <v/>
      </c>
      <c r="C257" s="66">
        <f>B257/B256-1</f>
        <v/>
      </c>
      <c r="D257" s="66">
        <f>(Table134[[#This Row],[Index]]-B245)/B245</f>
        <v/>
      </c>
    </row>
    <row r="258">
      <c r="A258" s="17" t="n">
        <v>33939</v>
      </c>
      <c r="B258" s="58">
        <f>VLOOKUP(Table134[[#This Row],[Date]],database!A:I,8,)</f>
        <v/>
      </c>
      <c r="C258" s="66">
        <f>B258/B257-1</f>
        <v/>
      </c>
      <c r="D258" s="66">
        <f>(Table134[[#This Row],[Index]]-B246)/B246</f>
        <v/>
      </c>
    </row>
    <row r="259">
      <c r="A259" s="17" t="n">
        <v>33970</v>
      </c>
      <c r="B259" s="58">
        <f>VLOOKUP(Table134[[#This Row],[Date]],database!A:I,8,)</f>
        <v/>
      </c>
      <c r="C259" s="66">
        <f>B259/B258-1</f>
        <v/>
      </c>
      <c r="D259" s="66">
        <f>(Table134[[#This Row],[Index]]-B247)/B247</f>
        <v/>
      </c>
    </row>
    <row r="260">
      <c r="A260" s="17" t="n">
        <v>34001</v>
      </c>
      <c r="B260" s="58">
        <f>VLOOKUP(Table134[[#This Row],[Date]],database!A:I,8,)</f>
        <v/>
      </c>
      <c r="C260" s="66">
        <f>B260/B259-1</f>
        <v/>
      </c>
      <c r="D260" s="66">
        <f>(Table134[[#This Row],[Index]]-B248)/B248</f>
        <v/>
      </c>
    </row>
    <row r="261">
      <c r="A261" s="17" t="n">
        <v>34029</v>
      </c>
      <c r="B261" s="58">
        <f>VLOOKUP(Table134[[#This Row],[Date]],database!A:I,8,)</f>
        <v/>
      </c>
      <c r="C261" s="66">
        <f>B261/B260-1</f>
        <v/>
      </c>
      <c r="D261" s="66">
        <f>(Table134[[#This Row],[Index]]-B249)/B249</f>
        <v/>
      </c>
    </row>
    <row r="262">
      <c r="A262" s="17" t="n">
        <v>34060</v>
      </c>
      <c r="B262" s="58">
        <f>VLOOKUP(Table134[[#This Row],[Date]],database!A:I,8,)</f>
        <v/>
      </c>
      <c r="C262" s="66">
        <f>B262/B261-1</f>
        <v/>
      </c>
      <c r="D262" s="66">
        <f>(Table134[[#This Row],[Index]]-B250)/B250</f>
        <v/>
      </c>
    </row>
    <row r="263">
      <c r="A263" s="17" t="n">
        <v>34090</v>
      </c>
      <c r="B263" s="58">
        <f>VLOOKUP(Table134[[#This Row],[Date]],database!A:I,8,)</f>
        <v/>
      </c>
      <c r="C263" s="66">
        <f>B263/B262-1</f>
        <v/>
      </c>
      <c r="D263" s="66">
        <f>(Table134[[#This Row],[Index]]-B251)/B251</f>
        <v/>
      </c>
    </row>
    <row r="264">
      <c r="A264" s="17" t="n">
        <v>34121</v>
      </c>
      <c r="B264" s="58">
        <f>VLOOKUP(Table134[[#This Row],[Date]],database!A:I,8,)</f>
        <v/>
      </c>
      <c r="C264" s="66">
        <f>B264/B263-1</f>
        <v/>
      </c>
      <c r="D264" s="66">
        <f>(Table134[[#This Row],[Index]]-B252)/B252</f>
        <v/>
      </c>
    </row>
    <row r="265">
      <c r="A265" s="17" t="n">
        <v>34151</v>
      </c>
      <c r="B265" s="58">
        <f>VLOOKUP(Table134[[#This Row],[Date]],database!A:I,8,)</f>
        <v/>
      </c>
      <c r="C265" s="66">
        <f>B265/B264-1</f>
        <v/>
      </c>
      <c r="D265" s="66">
        <f>(Table134[[#This Row],[Index]]-B253)/B253</f>
        <v/>
      </c>
    </row>
    <row r="266">
      <c r="A266" s="17" t="n">
        <v>34182</v>
      </c>
      <c r="B266" s="58">
        <f>VLOOKUP(Table134[[#This Row],[Date]],database!A:I,8,)</f>
        <v/>
      </c>
      <c r="C266" s="66">
        <f>B266/B265-1</f>
        <v/>
      </c>
      <c r="D266" s="66">
        <f>(Table134[[#This Row],[Index]]-B254)/B254</f>
        <v/>
      </c>
    </row>
    <row r="267">
      <c r="A267" s="17" t="n">
        <v>34213</v>
      </c>
      <c r="B267" s="58">
        <f>VLOOKUP(Table134[[#This Row],[Date]],database!A:I,8,)</f>
        <v/>
      </c>
      <c r="C267" s="66">
        <f>B267/B266-1</f>
        <v/>
      </c>
      <c r="D267" s="66">
        <f>(Table134[[#This Row],[Index]]-B255)/B255</f>
        <v/>
      </c>
    </row>
    <row r="268">
      <c r="A268" s="17" t="n">
        <v>34243</v>
      </c>
      <c r="B268" s="58">
        <f>VLOOKUP(Table134[[#This Row],[Date]],database!A:I,8,)</f>
        <v/>
      </c>
      <c r="C268" s="66">
        <f>B268/B267-1</f>
        <v/>
      </c>
      <c r="D268" s="66">
        <f>(Table134[[#This Row],[Index]]-B256)/B256</f>
        <v/>
      </c>
    </row>
    <row r="269">
      <c r="A269" s="17" t="n">
        <v>34274</v>
      </c>
      <c r="B269" s="58">
        <f>VLOOKUP(Table134[[#This Row],[Date]],database!A:I,8,)</f>
        <v/>
      </c>
      <c r="C269" s="66">
        <f>B269/B268-1</f>
        <v/>
      </c>
      <c r="D269" s="66">
        <f>(Table134[[#This Row],[Index]]-B257)/B257</f>
        <v/>
      </c>
    </row>
    <row r="270">
      <c r="A270" s="17" t="n">
        <v>34304</v>
      </c>
      <c r="B270" s="58">
        <f>VLOOKUP(Table134[[#This Row],[Date]],database!A:I,8,)</f>
        <v/>
      </c>
      <c r="C270" s="66">
        <f>B270/B269-1</f>
        <v/>
      </c>
      <c r="D270" s="66">
        <f>(Table134[[#This Row],[Index]]-B258)/B258</f>
        <v/>
      </c>
    </row>
    <row r="271">
      <c r="A271" s="17" t="n">
        <v>34335</v>
      </c>
      <c r="B271" s="58">
        <f>VLOOKUP(Table134[[#This Row],[Date]],database!A:I,8,)</f>
        <v/>
      </c>
      <c r="C271" s="66">
        <f>B271/B270-1</f>
        <v/>
      </c>
      <c r="D271" s="66">
        <f>(Table134[[#This Row],[Index]]-B259)/B259</f>
        <v/>
      </c>
    </row>
    <row r="272">
      <c r="A272" s="17" t="n">
        <v>34366</v>
      </c>
      <c r="B272" s="58">
        <f>VLOOKUP(Table134[[#This Row],[Date]],database!A:I,8,)</f>
        <v/>
      </c>
      <c r="C272" s="66">
        <f>B272/B271-1</f>
        <v/>
      </c>
      <c r="D272" s="66">
        <f>(Table134[[#This Row],[Index]]-B260)/B260</f>
        <v/>
      </c>
    </row>
    <row r="273">
      <c r="A273" s="17" t="n">
        <v>34394</v>
      </c>
      <c r="B273" s="58">
        <f>VLOOKUP(Table134[[#This Row],[Date]],database!A:I,8,)</f>
        <v/>
      </c>
      <c r="C273" s="66">
        <f>B273/B272-1</f>
        <v/>
      </c>
      <c r="D273" s="66">
        <f>(Table134[[#This Row],[Index]]-B261)/B261</f>
        <v/>
      </c>
    </row>
    <row r="274">
      <c r="A274" s="17" t="n">
        <v>34425</v>
      </c>
      <c r="B274" s="58">
        <f>VLOOKUP(Table134[[#This Row],[Date]],database!A:I,8,)</f>
        <v/>
      </c>
      <c r="C274" s="66">
        <f>B274/B273-1</f>
        <v/>
      </c>
      <c r="D274" s="66">
        <f>(Table134[[#This Row],[Index]]-B262)/B262</f>
        <v/>
      </c>
    </row>
    <row r="275">
      <c r="A275" s="17" t="n">
        <v>34455</v>
      </c>
      <c r="B275" s="58">
        <f>VLOOKUP(Table134[[#This Row],[Date]],database!A:I,8,)</f>
        <v/>
      </c>
      <c r="C275" s="66">
        <f>B275/B274-1</f>
        <v/>
      </c>
      <c r="D275" s="66">
        <f>(Table134[[#This Row],[Index]]-B263)/B263</f>
        <v/>
      </c>
    </row>
    <row r="276">
      <c r="A276" s="17" t="n">
        <v>34486</v>
      </c>
      <c r="B276" s="58">
        <f>VLOOKUP(Table134[[#This Row],[Date]],database!A:I,8,)</f>
        <v/>
      </c>
      <c r="C276" s="66">
        <f>B276/B275-1</f>
        <v/>
      </c>
      <c r="D276" s="66">
        <f>(Table134[[#This Row],[Index]]-B264)/B264</f>
        <v/>
      </c>
    </row>
    <row r="277">
      <c r="A277" s="17" t="n">
        <v>34516</v>
      </c>
      <c r="B277" s="58">
        <f>VLOOKUP(Table134[[#This Row],[Date]],database!A:I,8,)</f>
        <v/>
      </c>
      <c r="C277" s="66">
        <f>B277/B276-1</f>
        <v/>
      </c>
      <c r="D277" s="66">
        <f>(Table134[[#This Row],[Index]]-B265)/B265</f>
        <v/>
      </c>
    </row>
    <row r="278">
      <c r="A278" s="17" t="n">
        <v>34547</v>
      </c>
      <c r="B278" s="58">
        <f>VLOOKUP(Table134[[#This Row],[Date]],database!A:I,8,)</f>
        <v/>
      </c>
      <c r="C278" s="66">
        <f>B278/B277-1</f>
        <v/>
      </c>
      <c r="D278" s="66">
        <f>(Table134[[#This Row],[Index]]-B266)/B266</f>
        <v/>
      </c>
    </row>
    <row r="279">
      <c r="A279" s="17" t="n">
        <v>34578</v>
      </c>
      <c r="B279" s="58">
        <f>VLOOKUP(Table134[[#This Row],[Date]],database!A:I,8,)</f>
        <v/>
      </c>
      <c r="C279" s="66">
        <f>B279/B278-1</f>
        <v/>
      </c>
      <c r="D279" s="66">
        <f>(Table134[[#This Row],[Index]]-B267)/B267</f>
        <v/>
      </c>
    </row>
    <row r="280">
      <c r="A280" s="17" t="n">
        <v>34608</v>
      </c>
      <c r="B280" s="58">
        <f>VLOOKUP(Table134[[#This Row],[Date]],database!A:I,8,)</f>
        <v/>
      </c>
      <c r="C280" s="66">
        <f>B280/B279-1</f>
        <v/>
      </c>
      <c r="D280" s="66">
        <f>(Table134[[#This Row],[Index]]-B268)/B268</f>
        <v/>
      </c>
    </row>
    <row r="281">
      <c r="A281" s="17" t="n">
        <v>34639</v>
      </c>
      <c r="B281" s="58">
        <f>VLOOKUP(Table134[[#This Row],[Date]],database!A:I,8,)</f>
        <v/>
      </c>
      <c r="C281" s="66">
        <f>B281/B280-1</f>
        <v/>
      </c>
      <c r="D281" s="66">
        <f>(Table134[[#This Row],[Index]]-B269)/B269</f>
        <v/>
      </c>
    </row>
    <row r="282">
      <c r="A282" s="17" t="n">
        <v>34669</v>
      </c>
      <c r="B282" s="58">
        <f>VLOOKUP(Table134[[#This Row],[Date]],database!A:I,8,)</f>
        <v/>
      </c>
      <c r="C282" s="66">
        <f>B282/B281-1</f>
        <v/>
      </c>
      <c r="D282" s="66">
        <f>(Table134[[#This Row],[Index]]-B270)/B270</f>
        <v/>
      </c>
    </row>
    <row r="283">
      <c r="A283" s="17" t="n">
        <v>34700</v>
      </c>
      <c r="B283" s="58">
        <f>VLOOKUP(Table134[[#This Row],[Date]],database!A:I,8,)</f>
        <v/>
      </c>
      <c r="C283" s="66">
        <f>B283/B282-1</f>
        <v/>
      </c>
      <c r="D283" s="66">
        <f>(Table134[[#This Row],[Index]]-B271)/B271</f>
        <v/>
      </c>
    </row>
    <row r="284">
      <c r="A284" s="17" t="n">
        <v>34731</v>
      </c>
      <c r="B284" s="58">
        <f>VLOOKUP(Table134[[#This Row],[Date]],database!A:I,8,)</f>
        <v/>
      </c>
      <c r="C284" s="66">
        <f>B284/B283-1</f>
        <v/>
      </c>
      <c r="D284" s="66">
        <f>(Table134[[#This Row],[Index]]-B272)/B272</f>
        <v/>
      </c>
    </row>
    <row r="285">
      <c r="A285" s="17" t="n">
        <v>34759</v>
      </c>
      <c r="B285" s="58">
        <f>VLOOKUP(Table134[[#This Row],[Date]],database!A:I,8,)</f>
        <v/>
      </c>
      <c r="C285" s="66">
        <f>B285/B284-1</f>
        <v/>
      </c>
      <c r="D285" s="66">
        <f>(Table134[[#This Row],[Index]]-B273)/B273</f>
        <v/>
      </c>
    </row>
    <row r="286">
      <c r="A286" s="17" t="n">
        <v>34790</v>
      </c>
      <c r="B286" s="58">
        <f>VLOOKUP(Table134[[#This Row],[Date]],database!A:I,8,)</f>
        <v/>
      </c>
      <c r="C286" s="66">
        <f>B286/B285-1</f>
        <v/>
      </c>
      <c r="D286" s="66">
        <f>(Table134[[#This Row],[Index]]-B274)/B274</f>
        <v/>
      </c>
    </row>
    <row r="287">
      <c r="A287" s="17" t="n">
        <v>34820</v>
      </c>
      <c r="B287" s="58">
        <f>VLOOKUP(Table134[[#This Row],[Date]],database!A:I,8,)</f>
        <v/>
      </c>
      <c r="C287" s="66">
        <f>B287/B286-1</f>
        <v/>
      </c>
      <c r="D287" s="66">
        <f>(Table134[[#This Row],[Index]]-B275)/B275</f>
        <v/>
      </c>
    </row>
    <row r="288">
      <c r="A288" s="17" t="n">
        <v>34851</v>
      </c>
      <c r="B288" s="58">
        <f>VLOOKUP(Table134[[#This Row],[Date]],database!A:I,8,)</f>
        <v/>
      </c>
      <c r="C288" s="66">
        <f>B288/B287-1</f>
        <v/>
      </c>
      <c r="D288" s="66">
        <f>(Table134[[#This Row],[Index]]-B276)/B276</f>
        <v/>
      </c>
    </row>
    <row r="289">
      <c r="A289" s="17" t="n">
        <v>34881</v>
      </c>
      <c r="B289" s="58">
        <f>VLOOKUP(Table134[[#This Row],[Date]],database!A:I,8,)</f>
        <v/>
      </c>
      <c r="C289" s="66">
        <f>B289/B288-1</f>
        <v/>
      </c>
      <c r="D289" s="66">
        <f>(Table134[[#This Row],[Index]]-B277)/B277</f>
        <v/>
      </c>
    </row>
    <row r="290">
      <c r="A290" s="17" t="n">
        <v>34912</v>
      </c>
      <c r="B290" s="58">
        <f>VLOOKUP(Table134[[#This Row],[Date]],database!A:I,8,)</f>
        <v/>
      </c>
      <c r="C290" s="66">
        <f>B290/B289-1</f>
        <v/>
      </c>
      <c r="D290" s="66">
        <f>(Table134[[#This Row],[Index]]-B278)/B278</f>
        <v/>
      </c>
    </row>
    <row r="291">
      <c r="A291" s="17" t="n">
        <v>34943</v>
      </c>
      <c r="B291" s="58">
        <f>VLOOKUP(Table134[[#This Row],[Date]],database!A:I,8,)</f>
        <v/>
      </c>
      <c r="C291" s="66">
        <f>B291/B290-1</f>
        <v/>
      </c>
      <c r="D291" s="66">
        <f>(Table134[[#This Row],[Index]]-B279)/B279</f>
        <v/>
      </c>
    </row>
    <row r="292">
      <c r="A292" s="17" t="n">
        <v>34973</v>
      </c>
      <c r="B292" s="58">
        <f>VLOOKUP(Table134[[#This Row],[Date]],database!A:I,8,)</f>
        <v/>
      </c>
      <c r="C292" s="66">
        <f>B292/B291-1</f>
        <v/>
      </c>
      <c r="D292" s="66">
        <f>(Table134[[#This Row],[Index]]-B280)/B280</f>
        <v/>
      </c>
    </row>
    <row r="293">
      <c r="A293" s="17" t="n">
        <v>35004</v>
      </c>
      <c r="B293" s="58">
        <f>VLOOKUP(Table134[[#This Row],[Date]],database!A:I,8,)</f>
        <v/>
      </c>
      <c r="C293" s="66">
        <f>B293/B292-1</f>
        <v/>
      </c>
      <c r="D293" s="66">
        <f>(Table134[[#This Row],[Index]]-B281)/B281</f>
        <v/>
      </c>
    </row>
    <row r="294">
      <c r="A294" s="17" t="n">
        <v>35034</v>
      </c>
      <c r="B294" s="58">
        <f>VLOOKUP(Table134[[#This Row],[Date]],database!A:I,8,)</f>
        <v/>
      </c>
      <c r="C294" s="66">
        <f>B294/B293-1</f>
        <v/>
      </c>
      <c r="D294" s="66">
        <f>(Table134[[#This Row],[Index]]-B282)/B282</f>
        <v/>
      </c>
    </row>
    <row r="295">
      <c r="A295" s="17" t="n">
        <v>35065</v>
      </c>
      <c r="B295" s="58">
        <f>VLOOKUP(Table134[[#This Row],[Date]],database!A:I,8,)</f>
        <v/>
      </c>
      <c r="C295" s="66">
        <f>B295/B294-1</f>
        <v/>
      </c>
      <c r="D295" s="66">
        <f>(Table134[[#This Row],[Index]]-B283)/B283</f>
        <v/>
      </c>
    </row>
    <row r="296">
      <c r="A296" s="17" t="n">
        <v>35096</v>
      </c>
      <c r="B296" s="58">
        <f>VLOOKUP(Table134[[#This Row],[Date]],database!A:I,8,)</f>
        <v/>
      </c>
      <c r="C296" s="66">
        <f>B296/B295-1</f>
        <v/>
      </c>
      <c r="D296" s="66">
        <f>(Table134[[#This Row],[Index]]-B284)/B284</f>
        <v/>
      </c>
    </row>
    <row r="297">
      <c r="A297" s="17" t="n">
        <v>35125</v>
      </c>
      <c r="B297" s="58">
        <f>VLOOKUP(Table134[[#This Row],[Date]],database!A:I,8,)</f>
        <v/>
      </c>
      <c r="C297" s="66">
        <f>B297/B296-1</f>
        <v/>
      </c>
      <c r="D297" s="66">
        <f>(Table134[[#This Row],[Index]]-B285)/B285</f>
        <v/>
      </c>
    </row>
    <row r="298">
      <c r="A298" s="17" t="n">
        <v>35156</v>
      </c>
      <c r="B298" s="58">
        <f>VLOOKUP(Table134[[#This Row],[Date]],database!A:I,8,)</f>
        <v/>
      </c>
      <c r="C298" s="66">
        <f>B298/B297-1</f>
        <v/>
      </c>
      <c r="D298" s="66">
        <f>(Table134[[#This Row],[Index]]-B286)/B286</f>
        <v/>
      </c>
    </row>
    <row r="299">
      <c r="A299" s="17" t="n">
        <v>35186</v>
      </c>
      <c r="B299" s="58">
        <f>VLOOKUP(Table134[[#This Row],[Date]],database!A:I,8,)</f>
        <v/>
      </c>
      <c r="C299" s="66">
        <f>B299/B298-1</f>
        <v/>
      </c>
      <c r="D299" s="66">
        <f>(Table134[[#This Row],[Index]]-B287)/B287</f>
        <v/>
      </c>
    </row>
    <row r="300">
      <c r="A300" s="17" t="n">
        <v>35217</v>
      </c>
      <c r="B300" s="58">
        <f>VLOOKUP(Table134[[#This Row],[Date]],database!A:I,8,)</f>
        <v/>
      </c>
      <c r="C300" s="66">
        <f>B300/B299-1</f>
        <v/>
      </c>
      <c r="D300" s="66">
        <f>(Table134[[#This Row],[Index]]-B288)/B288</f>
        <v/>
      </c>
    </row>
    <row r="301">
      <c r="A301" s="17" t="n">
        <v>35247</v>
      </c>
      <c r="B301" s="58">
        <f>VLOOKUP(Table134[[#This Row],[Date]],database!A:I,8,)</f>
        <v/>
      </c>
      <c r="C301" s="66">
        <f>B301/B300-1</f>
        <v/>
      </c>
      <c r="D301" s="66">
        <f>(Table134[[#This Row],[Index]]-B289)/B289</f>
        <v/>
      </c>
    </row>
    <row r="302">
      <c r="A302" s="17" t="n">
        <v>35278</v>
      </c>
      <c r="B302" s="58">
        <f>VLOOKUP(Table134[[#This Row],[Date]],database!A:I,8,)</f>
        <v/>
      </c>
      <c r="C302" s="66">
        <f>B302/B301-1</f>
        <v/>
      </c>
      <c r="D302" s="66">
        <f>(Table134[[#This Row],[Index]]-B290)/B290</f>
        <v/>
      </c>
    </row>
    <row r="303">
      <c r="A303" s="17" t="n">
        <v>35309</v>
      </c>
      <c r="B303" s="58">
        <f>VLOOKUP(Table134[[#This Row],[Date]],database!A:I,8,)</f>
        <v/>
      </c>
      <c r="C303" s="66">
        <f>B303/B302-1</f>
        <v/>
      </c>
      <c r="D303" s="66">
        <f>(Table134[[#This Row],[Index]]-B291)/B291</f>
        <v/>
      </c>
    </row>
    <row r="304">
      <c r="A304" s="17" t="n">
        <v>35339</v>
      </c>
      <c r="B304" s="58">
        <f>VLOOKUP(Table134[[#This Row],[Date]],database!A:I,8,)</f>
        <v/>
      </c>
      <c r="C304" s="66">
        <f>B304/B303-1</f>
        <v/>
      </c>
      <c r="D304" s="66">
        <f>(Table134[[#This Row],[Index]]-B292)/B292</f>
        <v/>
      </c>
    </row>
    <row r="305">
      <c r="A305" s="17" t="n">
        <v>35370</v>
      </c>
      <c r="B305" s="58">
        <f>VLOOKUP(Table134[[#This Row],[Date]],database!A:I,8,)</f>
        <v/>
      </c>
      <c r="C305" s="66">
        <f>B305/B304-1</f>
        <v/>
      </c>
      <c r="D305" s="66">
        <f>(Table134[[#This Row],[Index]]-B293)/B293</f>
        <v/>
      </c>
    </row>
    <row r="306">
      <c r="A306" s="17" t="n">
        <v>35400</v>
      </c>
      <c r="B306" s="58">
        <f>VLOOKUP(Table134[[#This Row],[Date]],database!A:I,8,)</f>
        <v/>
      </c>
      <c r="C306" s="66">
        <f>B306/B305-1</f>
        <v/>
      </c>
      <c r="D306" s="66">
        <f>(Table134[[#This Row],[Index]]-B294)/B294</f>
        <v/>
      </c>
    </row>
    <row r="307">
      <c r="A307" s="17" t="n">
        <v>35431</v>
      </c>
      <c r="B307" s="58">
        <f>VLOOKUP(Table134[[#This Row],[Date]],database!A:I,8,)</f>
        <v/>
      </c>
      <c r="C307" s="66">
        <f>B307/B306-1</f>
        <v/>
      </c>
      <c r="D307" s="66">
        <f>(Table134[[#This Row],[Index]]-B295)/B295</f>
        <v/>
      </c>
    </row>
    <row r="308">
      <c r="A308" s="17" t="n">
        <v>35462</v>
      </c>
      <c r="B308" s="58">
        <f>VLOOKUP(Table134[[#This Row],[Date]],database!A:I,8,)</f>
        <v/>
      </c>
      <c r="C308" s="66">
        <f>B308/B307-1</f>
        <v/>
      </c>
      <c r="D308" s="66">
        <f>(Table134[[#This Row],[Index]]-B296)/B296</f>
        <v/>
      </c>
    </row>
    <row r="309">
      <c r="A309" s="17" t="n">
        <v>35490</v>
      </c>
      <c r="B309" s="58">
        <f>VLOOKUP(Table134[[#This Row],[Date]],database!A:I,8,)</f>
        <v/>
      </c>
      <c r="C309" s="66">
        <f>B309/B308-1</f>
        <v/>
      </c>
      <c r="D309" s="66">
        <f>(Table134[[#This Row],[Index]]-B297)/B297</f>
        <v/>
      </c>
    </row>
    <row r="310">
      <c r="A310" s="17" t="n">
        <v>35521</v>
      </c>
      <c r="B310" s="58">
        <f>VLOOKUP(Table134[[#This Row],[Date]],database!A:I,8,)</f>
        <v/>
      </c>
      <c r="C310" s="66">
        <f>B310/B309-1</f>
        <v/>
      </c>
      <c r="D310" s="66">
        <f>(Table134[[#This Row],[Index]]-B298)/B298</f>
        <v/>
      </c>
    </row>
    <row r="311">
      <c r="A311" s="17" t="n">
        <v>35551</v>
      </c>
      <c r="B311" s="58">
        <f>VLOOKUP(Table134[[#This Row],[Date]],database!A:I,8,)</f>
        <v/>
      </c>
      <c r="C311" s="66">
        <f>B311/B310-1</f>
        <v/>
      </c>
      <c r="D311" s="66">
        <f>(Table134[[#This Row],[Index]]-B299)/B299</f>
        <v/>
      </c>
    </row>
    <row r="312">
      <c r="A312" s="17" t="n">
        <v>35582</v>
      </c>
      <c r="B312" s="58">
        <f>VLOOKUP(Table134[[#This Row],[Date]],database!A:I,8,)</f>
        <v/>
      </c>
      <c r="C312" s="66">
        <f>B312/B311-1</f>
        <v/>
      </c>
      <c r="D312" s="66">
        <f>(Table134[[#This Row],[Index]]-B300)/B300</f>
        <v/>
      </c>
    </row>
    <row r="313">
      <c r="A313" s="17" t="n">
        <v>35612</v>
      </c>
      <c r="B313" s="58">
        <f>VLOOKUP(Table134[[#This Row],[Date]],database!A:I,8,)</f>
        <v/>
      </c>
      <c r="C313" s="66">
        <f>B313/B312-1</f>
        <v/>
      </c>
      <c r="D313" s="66">
        <f>(Table134[[#This Row],[Index]]-B301)/B301</f>
        <v/>
      </c>
    </row>
    <row r="314">
      <c r="A314" s="17" t="n">
        <v>35643</v>
      </c>
      <c r="B314" s="58">
        <f>VLOOKUP(Table134[[#This Row],[Date]],database!A:I,8,)</f>
        <v/>
      </c>
      <c r="C314" s="66">
        <f>B314/B313-1</f>
        <v/>
      </c>
      <c r="D314" s="66">
        <f>(Table134[[#This Row],[Index]]-B302)/B302</f>
        <v/>
      </c>
    </row>
    <row r="315">
      <c r="A315" s="17" t="n">
        <v>35674</v>
      </c>
      <c r="B315" s="58">
        <f>VLOOKUP(Table134[[#This Row],[Date]],database!A:I,8,)</f>
        <v/>
      </c>
      <c r="C315" s="66">
        <f>B315/B314-1</f>
        <v/>
      </c>
      <c r="D315" s="66">
        <f>(Table134[[#This Row],[Index]]-B303)/B303</f>
        <v/>
      </c>
    </row>
    <row r="316">
      <c r="A316" s="17" t="n">
        <v>35704</v>
      </c>
      <c r="B316" s="58">
        <f>VLOOKUP(Table134[[#This Row],[Date]],database!A:I,8,)</f>
        <v/>
      </c>
      <c r="C316" s="66">
        <f>B316/B315-1</f>
        <v/>
      </c>
      <c r="D316" s="66">
        <f>(Table134[[#This Row],[Index]]-B304)/B304</f>
        <v/>
      </c>
    </row>
    <row r="317">
      <c r="A317" s="17" t="n">
        <v>35735</v>
      </c>
      <c r="B317" s="58">
        <f>VLOOKUP(Table134[[#This Row],[Date]],database!A:I,8,)</f>
        <v/>
      </c>
      <c r="C317" s="66">
        <f>B317/B316-1</f>
        <v/>
      </c>
      <c r="D317" s="66">
        <f>(Table134[[#This Row],[Index]]-B305)/B305</f>
        <v/>
      </c>
    </row>
    <row r="318">
      <c r="A318" s="17" t="n">
        <v>35765</v>
      </c>
      <c r="B318" s="58">
        <f>VLOOKUP(Table134[[#This Row],[Date]],database!A:I,8,)</f>
        <v/>
      </c>
      <c r="C318" s="66">
        <f>B318/B317-1</f>
        <v/>
      </c>
      <c r="D318" s="66">
        <f>(Table134[[#This Row],[Index]]-B306)/B306</f>
        <v/>
      </c>
    </row>
    <row r="319">
      <c r="A319" s="17" t="n">
        <v>35796</v>
      </c>
      <c r="B319" s="58">
        <f>VLOOKUP(Table134[[#This Row],[Date]],database!A:I,8,)</f>
        <v/>
      </c>
      <c r="C319" s="66">
        <f>B319/B318-1</f>
        <v/>
      </c>
      <c r="D319" s="66">
        <f>(Table134[[#This Row],[Index]]-B307)/B307</f>
        <v/>
      </c>
    </row>
    <row r="320">
      <c r="A320" s="17" t="n">
        <v>35827</v>
      </c>
      <c r="B320" s="58">
        <f>VLOOKUP(Table134[[#This Row],[Date]],database!A:I,8,)</f>
        <v/>
      </c>
      <c r="C320" s="66">
        <f>B320/B319-1</f>
        <v/>
      </c>
      <c r="D320" s="66">
        <f>(Table134[[#This Row],[Index]]-B308)/B308</f>
        <v/>
      </c>
    </row>
    <row r="321">
      <c r="A321" s="17" t="n">
        <v>35855</v>
      </c>
      <c r="B321" s="58">
        <f>VLOOKUP(Table134[[#This Row],[Date]],database!A:I,8,)</f>
        <v/>
      </c>
      <c r="C321" s="66">
        <f>B321/B320-1</f>
        <v/>
      </c>
      <c r="D321" s="66">
        <f>(Table134[[#This Row],[Index]]-B309)/B309</f>
        <v/>
      </c>
    </row>
    <row r="322">
      <c r="A322" s="17" t="n">
        <v>35886</v>
      </c>
      <c r="B322" s="58">
        <f>VLOOKUP(Table134[[#This Row],[Date]],database!A:I,8,)</f>
        <v/>
      </c>
      <c r="C322" s="66">
        <f>B322/B321-1</f>
        <v/>
      </c>
      <c r="D322" s="66">
        <f>(Table134[[#This Row],[Index]]-B310)/B310</f>
        <v/>
      </c>
    </row>
    <row r="323">
      <c r="A323" s="17" t="n">
        <v>35916</v>
      </c>
      <c r="B323" s="58">
        <f>VLOOKUP(Table134[[#This Row],[Date]],database!A:I,8,)</f>
        <v/>
      </c>
      <c r="C323" s="66">
        <f>B323/B322-1</f>
        <v/>
      </c>
      <c r="D323" s="66">
        <f>(Table134[[#This Row],[Index]]-B311)/B311</f>
        <v/>
      </c>
    </row>
    <row r="324">
      <c r="A324" s="17" t="n">
        <v>35947</v>
      </c>
      <c r="B324" s="58">
        <f>VLOOKUP(Table134[[#This Row],[Date]],database!A:I,8,)</f>
        <v/>
      </c>
      <c r="C324" s="66">
        <f>B324/B323-1</f>
        <v/>
      </c>
      <c r="D324" s="66">
        <f>(Table134[[#This Row],[Index]]-B312)/B312</f>
        <v/>
      </c>
    </row>
    <row r="325">
      <c r="A325" s="17" t="n">
        <v>35977</v>
      </c>
      <c r="B325" s="58">
        <f>VLOOKUP(Table134[[#This Row],[Date]],database!A:I,8,)</f>
        <v/>
      </c>
      <c r="C325" s="66">
        <f>B325/B324-1</f>
        <v/>
      </c>
      <c r="D325" s="66">
        <f>(Table134[[#This Row],[Index]]-B313)/B313</f>
        <v/>
      </c>
    </row>
    <row r="326">
      <c r="A326" s="17" t="n">
        <v>36008</v>
      </c>
      <c r="B326" s="58">
        <f>VLOOKUP(Table134[[#This Row],[Date]],database!A:I,8,)</f>
        <v/>
      </c>
      <c r="C326" s="66">
        <f>B326/B325-1</f>
        <v/>
      </c>
      <c r="D326" s="66">
        <f>(Table134[[#This Row],[Index]]-B314)/B314</f>
        <v/>
      </c>
    </row>
    <row r="327">
      <c r="A327" s="17" t="n">
        <v>36039</v>
      </c>
      <c r="B327" s="58">
        <f>VLOOKUP(Table134[[#This Row],[Date]],database!A:I,8,)</f>
        <v/>
      </c>
      <c r="C327" s="66">
        <f>B327/B326-1</f>
        <v/>
      </c>
      <c r="D327" s="66">
        <f>(Table134[[#This Row],[Index]]-B315)/B315</f>
        <v/>
      </c>
    </row>
    <row r="328">
      <c r="A328" s="17" t="n">
        <v>36069</v>
      </c>
      <c r="B328" s="58">
        <f>VLOOKUP(Table134[[#This Row],[Date]],database!A:I,8,)</f>
        <v/>
      </c>
      <c r="C328" s="66">
        <f>B328/B327-1</f>
        <v/>
      </c>
      <c r="D328" s="66">
        <f>(Table134[[#This Row],[Index]]-B316)/B316</f>
        <v/>
      </c>
    </row>
    <row r="329">
      <c r="A329" s="17" t="n">
        <v>36100</v>
      </c>
      <c r="B329" s="58">
        <f>VLOOKUP(Table134[[#This Row],[Date]],database!A:I,8,)</f>
        <v/>
      </c>
      <c r="C329" s="66">
        <f>B329/B328-1</f>
        <v/>
      </c>
      <c r="D329" s="66">
        <f>(Table134[[#This Row],[Index]]-B317)/B317</f>
        <v/>
      </c>
    </row>
    <row r="330">
      <c r="A330" s="17" t="n">
        <v>36130</v>
      </c>
      <c r="B330" s="58">
        <f>VLOOKUP(Table134[[#This Row],[Date]],database!A:I,8,)</f>
        <v/>
      </c>
      <c r="C330" s="66">
        <f>B330/B329-1</f>
        <v/>
      </c>
      <c r="D330" s="66">
        <f>(Table134[[#This Row],[Index]]-B318)/B318</f>
        <v/>
      </c>
    </row>
    <row r="331">
      <c r="A331" s="17" t="n">
        <v>36161</v>
      </c>
      <c r="B331" s="58">
        <f>VLOOKUP(Table134[[#This Row],[Date]],database!A:I,8,)</f>
        <v/>
      </c>
      <c r="C331" s="66">
        <f>B331/B330-1</f>
        <v/>
      </c>
      <c r="D331" s="66">
        <f>(Table134[[#This Row],[Index]]-B319)/B319</f>
        <v/>
      </c>
    </row>
    <row r="332">
      <c r="A332" s="17" t="n">
        <v>36192</v>
      </c>
      <c r="B332" s="58">
        <f>VLOOKUP(Table134[[#This Row],[Date]],database!A:I,8,)</f>
        <v/>
      </c>
      <c r="C332" s="66">
        <f>B332/B331-1</f>
        <v/>
      </c>
      <c r="D332" s="66">
        <f>(Table134[[#This Row],[Index]]-B320)/B320</f>
        <v/>
      </c>
    </row>
    <row r="333">
      <c r="A333" s="17" t="n">
        <v>36220</v>
      </c>
      <c r="B333" s="58">
        <f>VLOOKUP(Table134[[#This Row],[Date]],database!A:I,8,)</f>
        <v/>
      </c>
      <c r="C333" s="66">
        <f>B333/B332-1</f>
        <v/>
      </c>
      <c r="D333" s="66">
        <f>(Table134[[#This Row],[Index]]-B321)/B321</f>
        <v/>
      </c>
    </row>
    <row r="334">
      <c r="A334" s="17" t="n">
        <v>36251</v>
      </c>
      <c r="B334" s="58">
        <f>VLOOKUP(Table134[[#This Row],[Date]],database!A:I,8,)</f>
        <v/>
      </c>
      <c r="C334" s="66">
        <f>B334/B333-1</f>
        <v/>
      </c>
      <c r="D334" s="66">
        <f>(Table134[[#This Row],[Index]]-B322)/B322</f>
        <v/>
      </c>
    </row>
    <row r="335">
      <c r="A335" s="17" t="n">
        <v>36281</v>
      </c>
      <c r="B335" s="58">
        <f>VLOOKUP(Table134[[#This Row],[Date]],database!A:I,8,)</f>
        <v/>
      </c>
      <c r="C335" s="66">
        <f>B335/B334-1</f>
        <v/>
      </c>
      <c r="D335" s="66">
        <f>(Table134[[#This Row],[Index]]-B323)/B323</f>
        <v/>
      </c>
    </row>
    <row r="336">
      <c r="A336" s="17" t="n">
        <v>36312</v>
      </c>
      <c r="B336" s="58">
        <f>VLOOKUP(Table134[[#This Row],[Date]],database!A:I,8,)</f>
        <v/>
      </c>
      <c r="C336" s="66">
        <f>B336/B335-1</f>
        <v/>
      </c>
      <c r="D336" s="66">
        <f>(Table134[[#This Row],[Index]]-B324)/B324</f>
        <v/>
      </c>
    </row>
    <row r="337">
      <c r="A337" s="17" t="n">
        <v>36342</v>
      </c>
      <c r="B337" s="58">
        <f>VLOOKUP(Table134[[#This Row],[Date]],database!A:I,8,)</f>
        <v/>
      </c>
      <c r="C337" s="66">
        <f>B337/B336-1</f>
        <v/>
      </c>
      <c r="D337" s="66">
        <f>(Table134[[#This Row],[Index]]-B325)/B325</f>
        <v/>
      </c>
    </row>
    <row r="338">
      <c r="A338" s="17" t="n">
        <v>36373</v>
      </c>
      <c r="B338" s="58">
        <f>VLOOKUP(Table134[[#This Row],[Date]],database!A:I,8,)</f>
        <v/>
      </c>
      <c r="C338" s="66">
        <f>B338/B337-1</f>
        <v/>
      </c>
      <c r="D338" s="66">
        <f>(Table134[[#This Row],[Index]]-B326)/B326</f>
        <v/>
      </c>
    </row>
    <row r="339">
      <c r="A339" s="17" t="n">
        <v>36404</v>
      </c>
      <c r="B339" s="58">
        <f>VLOOKUP(Table134[[#This Row],[Date]],database!A:I,8,)</f>
        <v/>
      </c>
      <c r="C339" s="66">
        <f>B339/B338-1</f>
        <v/>
      </c>
      <c r="D339" s="66">
        <f>(Table134[[#This Row],[Index]]-B327)/B327</f>
        <v/>
      </c>
    </row>
    <row r="340">
      <c r="A340" s="17" t="n">
        <v>36434</v>
      </c>
      <c r="B340" s="58">
        <f>VLOOKUP(Table134[[#This Row],[Date]],database!A:I,8,)</f>
        <v/>
      </c>
      <c r="C340" s="66">
        <f>B340/B339-1</f>
        <v/>
      </c>
      <c r="D340" s="66">
        <f>(Table134[[#This Row],[Index]]-B328)/B328</f>
        <v/>
      </c>
    </row>
    <row r="341">
      <c r="A341" s="17" t="n">
        <v>36465</v>
      </c>
      <c r="B341" s="58">
        <f>VLOOKUP(Table134[[#This Row],[Date]],database!A:I,8,)</f>
        <v/>
      </c>
      <c r="C341" s="66">
        <f>B341/B340-1</f>
        <v/>
      </c>
      <c r="D341" s="66">
        <f>(Table134[[#This Row],[Index]]-B329)/B329</f>
        <v/>
      </c>
    </row>
    <row r="342">
      <c r="A342" s="17" t="n">
        <v>36495</v>
      </c>
      <c r="B342" s="58">
        <f>VLOOKUP(Table134[[#This Row],[Date]],database!A:I,8,)</f>
        <v/>
      </c>
      <c r="C342" s="66">
        <f>B342/B341-1</f>
        <v/>
      </c>
      <c r="D342" s="66">
        <f>(Table134[[#This Row],[Index]]-B330)/B330</f>
        <v/>
      </c>
    </row>
    <row r="343">
      <c r="A343" s="17" t="n">
        <v>36526</v>
      </c>
      <c r="B343" s="58">
        <f>VLOOKUP(Table134[[#This Row],[Date]],database!A:I,8,)</f>
        <v/>
      </c>
      <c r="C343" s="66">
        <f>B343/B342-1</f>
        <v/>
      </c>
      <c r="D343" s="66">
        <f>(Table134[[#This Row],[Index]]-B331)/B331</f>
        <v/>
      </c>
    </row>
    <row r="344">
      <c r="A344" s="17" t="n">
        <v>36557</v>
      </c>
      <c r="B344" s="58">
        <f>VLOOKUP(Table134[[#This Row],[Date]],database!A:I,8,)</f>
        <v/>
      </c>
      <c r="C344" s="66">
        <f>B344/B343-1</f>
        <v/>
      </c>
      <c r="D344" s="66">
        <f>(Table134[[#This Row],[Index]]-B332)/B332</f>
        <v/>
      </c>
    </row>
    <row r="345">
      <c r="A345" s="17" t="n">
        <v>36586</v>
      </c>
      <c r="B345" s="58">
        <f>VLOOKUP(Table134[[#This Row],[Date]],database!A:I,8,)</f>
        <v/>
      </c>
      <c r="C345" s="66">
        <f>B345/B344-1</f>
        <v/>
      </c>
      <c r="D345" s="66">
        <f>(Table134[[#This Row],[Index]]-B333)/B333</f>
        <v/>
      </c>
    </row>
    <row r="346">
      <c r="A346" s="17" t="n">
        <v>36617</v>
      </c>
      <c r="B346" s="58">
        <f>VLOOKUP(Table134[[#This Row],[Date]],database!A:I,8,)</f>
        <v/>
      </c>
      <c r="C346" s="66">
        <f>B346/B345-1</f>
        <v/>
      </c>
      <c r="D346" s="66">
        <f>(Table134[[#This Row],[Index]]-B334)/B334</f>
        <v/>
      </c>
    </row>
    <row r="347">
      <c r="A347" s="17" t="n">
        <v>36647</v>
      </c>
      <c r="B347" s="58">
        <f>VLOOKUP(Table134[[#This Row],[Date]],database!A:I,8,)</f>
        <v/>
      </c>
      <c r="C347" s="66">
        <f>B347/B346-1</f>
        <v/>
      </c>
      <c r="D347" s="66">
        <f>(Table134[[#This Row],[Index]]-B335)/B335</f>
        <v/>
      </c>
    </row>
    <row r="348">
      <c r="A348" s="17" t="n">
        <v>36678</v>
      </c>
      <c r="B348" s="58">
        <f>VLOOKUP(Table134[[#This Row],[Date]],database!A:I,8,)</f>
        <v/>
      </c>
      <c r="C348" s="66">
        <f>B348/B347-1</f>
        <v/>
      </c>
      <c r="D348" s="66">
        <f>(Table134[[#This Row],[Index]]-B336)/B336</f>
        <v/>
      </c>
    </row>
    <row r="349">
      <c r="A349" s="17" t="n">
        <v>36708</v>
      </c>
      <c r="B349" s="58">
        <f>VLOOKUP(Table134[[#This Row],[Date]],database!A:I,8,)</f>
        <v/>
      </c>
      <c r="C349" s="66">
        <f>B349/B348-1</f>
        <v/>
      </c>
      <c r="D349" s="66">
        <f>(Table134[[#This Row],[Index]]-B337)/B337</f>
        <v/>
      </c>
    </row>
    <row r="350">
      <c r="A350" s="17" t="n">
        <v>36739</v>
      </c>
      <c r="B350" s="58">
        <f>VLOOKUP(Table134[[#This Row],[Date]],database!A:I,8,)</f>
        <v/>
      </c>
      <c r="C350" s="66">
        <f>B350/B349-1</f>
        <v/>
      </c>
      <c r="D350" s="66">
        <f>(Table134[[#This Row],[Index]]-B338)/B338</f>
        <v/>
      </c>
    </row>
    <row r="351">
      <c r="A351" s="17" t="n">
        <v>36770</v>
      </c>
      <c r="B351" s="58">
        <f>VLOOKUP(Table134[[#This Row],[Date]],database!A:I,8,)</f>
        <v/>
      </c>
      <c r="C351" s="66">
        <f>B351/B350-1</f>
        <v/>
      </c>
      <c r="D351" s="66">
        <f>(Table134[[#This Row],[Index]]-B339)/B339</f>
        <v/>
      </c>
    </row>
    <row r="352">
      <c r="A352" s="17" t="n">
        <v>36800</v>
      </c>
      <c r="B352" s="58">
        <f>VLOOKUP(Table134[[#This Row],[Date]],database!A:I,8,)</f>
        <v/>
      </c>
      <c r="C352" s="66">
        <f>B352/B351-1</f>
        <v/>
      </c>
      <c r="D352" s="66">
        <f>(Table134[[#This Row],[Index]]-B340)/B340</f>
        <v/>
      </c>
    </row>
    <row r="353">
      <c r="A353" s="17" t="n">
        <v>36831</v>
      </c>
      <c r="B353" s="58">
        <f>VLOOKUP(Table134[[#This Row],[Date]],database!A:I,8,)</f>
        <v/>
      </c>
      <c r="C353" s="66">
        <f>B353/B352-1</f>
        <v/>
      </c>
      <c r="D353" s="66">
        <f>(Table134[[#This Row],[Index]]-B341)/B341</f>
        <v/>
      </c>
    </row>
    <row r="354">
      <c r="A354" s="17" t="n">
        <v>36861</v>
      </c>
      <c r="B354" s="58">
        <f>VLOOKUP(Table134[[#This Row],[Date]],database!A:I,8,)</f>
        <v/>
      </c>
      <c r="C354" s="66">
        <f>B354/B353-1</f>
        <v/>
      </c>
      <c r="D354" s="66">
        <f>(Table134[[#This Row],[Index]]-B342)/B342</f>
        <v/>
      </c>
    </row>
    <row r="355">
      <c r="A355" s="17" t="n">
        <v>36892</v>
      </c>
      <c r="B355" s="58">
        <f>VLOOKUP(Table134[[#This Row],[Date]],database!A:I,8,)</f>
        <v/>
      </c>
      <c r="C355" s="66">
        <f>B355/B354-1</f>
        <v/>
      </c>
      <c r="D355" s="66">
        <f>(Table134[[#This Row],[Index]]-B343)/B343</f>
        <v/>
      </c>
    </row>
    <row r="356">
      <c r="A356" s="17" t="n">
        <v>36923</v>
      </c>
      <c r="B356" s="58">
        <f>VLOOKUP(Table134[[#This Row],[Date]],database!A:I,8,)</f>
        <v/>
      </c>
      <c r="C356" s="66">
        <f>B356/B355-1</f>
        <v/>
      </c>
      <c r="D356" s="66">
        <f>(Table134[[#This Row],[Index]]-B344)/B344</f>
        <v/>
      </c>
    </row>
    <row r="357">
      <c r="A357" s="17" t="n">
        <v>36951</v>
      </c>
      <c r="B357" s="58">
        <f>VLOOKUP(Table134[[#This Row],[Date]],database!A:I,8,)</f>
        <v/>
      </c>
      <c r="C357" s="66">
        <f>B357/B356-1</f>
        <v/>
      </c>
      <c r="D357" s="66">
        <f>(Table134[[#This Row],[Index]]-B345)/B345</f>
        <v/>
      </c>
    </row>
    <row r="358">
      <c r="A358" s="17" t="n">
        <v>36982</v>
      </c>
      <c r="B358" s="58">
        <f>VLOOKUP(Table134[[#This Row],[Date]],database!A:I,8,)</f>
        <v/>
      </c>
      <c r="C358" s="66">
        <f>B358/B357-1</f>
        <v/>
      </c>
      <c r="D358" s="66">
        <f>(Table134[[#This Row],[Index]]-B346)/B346</f>
        <v/>
      </c>
    </row>
    <row r="359">
      <c r="A359" s="17" t="n">
        <v>37012</v>
      </c>
      <c r="B359" s="58">
        <f>VLOOKUP(Table134[[#This Row],[Date]],database!A:I,8,)</f>
        <v/>
      </c>
      <c r="C359" s="66">
        <f>B359/B358-1</f>
        <v/>
      </c>
      <c r="D359" s="66">
        <f>(Table134[[#This Row],[Index]]-B347)/B347</f>
        <v/>
      </c>
    </row>
    <row r="360">
      <c r="A360" s="17" t="n">
        <v>37043</v>
      </c>
      <c r="B360" s="58">
        <f>VLOOKUP(Table134[[#This Row],[Date]],database!A:I,8,)</f>
        <v/>
      </c>
      <c r="C360" s="66">
        <f>B360/B359-1</f>
        <v/>
      </c>
      <c r="D360" s="66">
        <f>(Table134[[#This Row],[Index]]-B348)/B348</f>
        <v/>
      </c>
    </row>
    <row r="361">
      <c r="A361" s="17" t="n">
        <v>37073</v>
      </c>
      <c r="B361" s="58">
        <f>VLOOKUP(Table134[[#This Row],[Date]],database!A:I,8,)</f>
        <v/>
      </c>
      <c r="C361" s="66">
        <f>B361/B360-1</f>
        <v/>
      </c>
      <c r="D361" s="66">
        <f>(Table134[[#This Row],[Index]]-B349)/B349</f>
        <v/>
      </c>
    </row>
    <row r="362">
      <c r="A362" s="17" t="n">
        <v>37104</v>
      </c>
      <c r="B362" s="58">
        <f>VLOOKUP(Table134[[#This Row],[Date]],database!A:I,8,)</f>
        <v/>
      </c>
      <c r="C362" s="66">
        <f>B362/B361-1</f>
        <v/>
      </c>
      <c r="D362" s="66">
        <f>(Table134[[#This Row],[Index]]-B350)/B350</f>
        <v/>
      </c>
    </row>
    <row r="363">
      <c r="A363" s="17" t="n">
        <v>37135</v>
      </c>
      <c r="B363" s="58">
        <f>VLOOKUP(Table134[[#This Row],[Date]],database!A:I,8,)</f>
        <v/>
      </c>
      <c r="C363" s="66">
        <f>B363/B362-1</f>
        <v/>
      </c>
      <c r="D363" s="66">
        <f>(Table134[[#This Row],[Index]]-B351)/B351</f>
        <v/>
      </c>
    </row>
    <row r="364">
      <c r="A364" s="17" t="n">
        <v>37165</v>
      </c>
      <c r="B364" s="58">
        <f>VLOOKUP(Table134[[#This Row],[Date]],database!A:I,8,)</f>
        <v/>
      </c>
      <c r="C364" s="66">
        <f>B364/B363-1</f>
        <v/>
      </c>
      <c r="D364" s="66">
        <f>(Table134[[#This Row],[Index]]-B352)/B352</f>
        <v/>
      </c>
    </row>
    <row r="365">
      <c r="A365" s="17" t="n">
        <v>37196</v>
      </c>
      <c r="B365" s="58">
        <f>VLOOKUP(Table134[[#This Row],[Date]],database!A:I,8,)</f>
        <v/>
      </c>
      <c r="C365" s="66">
        <f>B365/B364-1</f>
        <v/>
      </c>
      <c r="D365" s="66">
        <f>(Table134[[#This Row],[Index]]-B353)/B353</f>
        <v/>
      </c>
    </row>
    <row r="366">
      <c r="A366" s="17" t="n">
        <v>37226</v>
      </c>
      <c r="B366" s="58">
        <f>VLOOKUP(Table134[[#This Row],[Date]],database!A:I,8,)</f>
        <v/>
      </c>
      <c r="C366" s="66">
        <f>B366/B365-1</f>
        <v/>
      </c>
      <c r="D366" s="66">
        <f>(Table134[[#This Row],[Index]]-B354)/B354</f>
        <v/>
      </c>
    </row>
    <row r="367">
      <c r="A367" s="17" t="n">
        <v>37257</v>
      </c>
      <c r="B367" s="58">
        <f>VLOOKUP(Table134[[#This Row],[Date]],database!A:I,8,)</f>
        <v/>
      </c>
      <c r="C367" s="66">
        <f>B367/B366-1</f>
        <v/>
      </c>
      <c r="D367" s="66">
        <f>(Table134[[#This Row],[Index]]-B355)/B355</f>
        <v/>
      </c>
    </row>
    <row r="368">
      <c r="A368" s="17" t="n">
        <v>37288</v>
      </c>
      <c r="B368" s="58">
        <f>VLOOKUP(Table134[[#This Row],[Date]],database!A:I,8,)</f>
        <v/>
      </c>
      <c r="C368" s="66">
        <f>B368/B367-1</f>
        <v/>
      </c>
      <c r="D368" s="66">
        <f>(Table134[[#This Row],[Index]]-B356)/B356</f>
        <v/>
      </c>
    </row>
    <row r="369">
      <c r="A369" s="17" t="n">
        <v>37316</v>
      </c>
      <c r="B369" s="58">
        <f>VLOOKUP(Table134[[#This Row],[Date]],database!A:I,8,)</f>
        <v/>
      </c>
      <c r="C369" s="66">
        <f>B369/B368-1</f>
        <v/>
      </c>
      <c r="D369" s="66">
        <f>(Table134[[#This Row],[Index]]-B357)/B357</f>
        <v/>
      </c>
    </row>
    <row r="370">
      <c r="A370" s="17" t="n">
        <v>37347</v>
      </c>
      <c r="B370" s="58">
        <f>VLOOKUP(Table134[[#This Row],[Date]],database!A:I,8,)</f>
        <v/>
      </c>
      <c r="C370" s="66">
        <f>B370/B369-1</f>
        <v/>
      </c>
      <c r="D370" s="66">
        <f>(Table134[[#This Row],[Index]]-B358)/B358</f>
        <v/>
      </c>
    </row>
    <row r="371">
      <c r="A371" s="17" t="n">
        <v>37377</v>
      </c>
      <c r="B371" s="58">
        <f>VLOOKUP(Table134[[#This Row],[Date]],database!A:I,8,)</f>
        <v/>
      </c>
      <c r="C371" s="66">
        <f>B371/B370-1</f>
        <v/>
      </c>
      <c r="D371" s="66">
        <f>(Table134[[#This Row],[Index]]-B359)/B359</f>
        <v/>
      </c>
    </row>
    <row r="372">
      <c r="A372" s="17" t="n">
        <v>37408</v>
      </c>
      <c r="B372" s="58">
        <f>VLOOKUP(Table134[[#This Row],[Date]],database!A:I,8,)</f>
        <v/>
      </c>
      <c r="C372" s="66">
        <f>B372/B371-1</f>
        <v/>
      </c>
      <c r="D372" s="66">
        <f>(Table134[[#This Row],[Index]]-B360)/B360</f>
        <v/>
      </c>
    </row>
    <row r="373">
      <c r="A373" s="17" t="n">
        <v>37438</v>
      </c>
      <c r="B373" s="58">
        <f>VLOOKUP(Table134[[#This Row],[Date]],database!A:I,8,)</f>
        <v/>
      </c>
      <c r="C373" s="66">
        <f>B373/B372-1</f>
        <v/>
      </c>
      <c r="D373" s="66">
        <f>(Table134[[#This Row],[Index]]-B361)/B361</f>
        <v/>
      </c>
    </row>
    <row r="374">
      <c r="A374" s="17" t="n">
        <v>37469</v>
      </c>
      <c r="B374" s="58">
        <f>VLOOKUP(Table134[[#This Row],[Date]],database!A:I,8,)</f>
        <v/>
      </c>
      <c r="C374" s="66">
        <f>B374/B373-1</f>
        <v/>
      </c>
      <c r="D374" s="66">
        <f>(Table134[[#This Row],[Index]]-B362)/B362</f>
        <v/>
      </c>
    </row>
    <row r="375">
      <c r="A375" s="17" t="n">
        <v>37500</v>
      </c>
      <c r="B375" s="58">
        <f>VLOOKUP(Table134[[#This Row],[Date]],database!A:I,8,)</f>
        <v/>
      </c>
      <c r="C375" s="66">
        <f>B375/B374-1</f>
        <v/>
      </c>
      <c r="D375" s="66">
        <f>(Table134[[#This Row],[Index]]-B363)/B363</f>
        <v/>
      </c>
    </row>
    <row r="376">
      <c r="A376" s="17" t="n">
        <v>37530</v>
      </c>
      <c r="B376" s="58">
        <f>VLOOKUP(Table134[[#This Row],[Date]],database!A:I,8,)</f>
        <v/>
      </c>
      <c r="C376" s="66">
        <f>B376/B375-1</f>
        <v/>
      </c>
      <c r="D376" s="66">
        <f>(Table134[[#This Row],[Index]]-B364)/B364</f>
        <v/>
      </c>
    </row>
    <row r="377">
      <c r="A377" s="17" t="n">
        <v>37561</v>
      </c>
      <c r="B377" s="58">
        <f>VLOOKUP(Table134[[#This Row],[Date]],database!A:I,8,)</f>
        <v/>
      </c>
      <c r="C377" s="66">
        <f>B377/B376-1</f>
        <v/>
      </c>
      <c r="D377" s="66">
        <f>(Table134[[#This Row],[Index]]-B365)/B365</f>
        <v/>
      </c>
    </row>
    <row r="378">
      <c r="A378" s="17" t="n">
        <v>37591</v>
      </c>
      <c r="B378" s="58">
        <f>VLOOKUP(Table134[[#This Row],[Date]],database!A:I,8,)</f>
        <v/>
      </c>
      <c r="C378" s="66">
        <f>B378/B377-1</f>
        <v/>
      </c>
      <c r="D378" s="66">
        <f>(Table134[[#This Row],[Index]]-B366)/B366</f>
        <v/>
      </c>
    </row>
    <row r="379">
      <c r="A379" s="17" t="n">
        <v>37622</v>
      </c>
      <c r="B379" s="58">
        <f>VLOOKUP(Table134[[#This Row],[Date]],database!A:I,8,)</f>
        <v/>
      </c>
      <c r="C379" s="66">
        <f>B379/B378-1</f>
        <v/>
      </c>
      <c r="D379" s="66">
        <f>(Table134[[#This Row],[Index]]-B367)/B367</f>
        <v/>
      </c>
    </row>
    <row r="380">
      <c r="A380" s="17" t="n">
        <v>37653</v>
      </c>
      <c r="B380" s="58">
        <f>VLOOKUP(Table134[[#This Row],[Date]],database!A:I,8,)</f>
        <v/>
      </c>
      <c r="C380" s="66">
        <f>B380/B379-1</f>
        <v/>
      </c>
      <c r="D380" s="66">
        <f>(Table134[[#This Row],[Index]]-B368)/B368</f>
        <v/>
      </c>
    </row>
    <row r="381">
      <c r="A381" s="17" t="n">
        <v>37681</v>
      </c>
      <c r="B381" s="58">
        <f>VLOOKUP(Table134[[#This Row],[Date]],database!A:I,8,)</f>
        <v/>
      </c>
      <c r="C381" s="66">
        <f>B381/B380-1</f>
        <v/>
      </c>
      <c r="D381" s="66">
        <f>(Table134[[#This Row],[Index]]-B369)/B369</f>
        <v/>
      </c>
    </row>
    <row r="382">
      <c r="A382" s="17" t="n">
        <v>37712</v>
      </c>
      <c r="B382" s="58">
        <f>VLOOKUP(Table134[[#This Row],[Date]],database!A:I,8,)</f>
        <v/>
      </c>
      <c r="C382" s="66">
        <f>B382/B381-1</f>
        <v/>
      </c>
      <c r="D382" s="66">
        <f>(Table134[[#This Row],[Index]]-B370)/B370</f>
        <v/>
      </c>
    </row>
    <row r="383">
      <c r="A383" s="17" t="n">
        <v>37742</v>
      </c>
      <c r="B383" s="58">
        <f>VLOOKUP(Table134[[#This Row],[Date]],database!A:I,8,)</f>
        <v/>
      </c>
      <c r="C383" s="66">
        <f>B383/B382-1</f>
        <v/>
      </c>
      <c r="D383" s="66">
        <f>(Table134[[#This Row],[Index]]-B371)/B371</f>
        <v/>
      </c>
    </row>
    <row r="384">
      <c r="A384" s="17" t="n">
        <v>37773</v>
      </c>
      <c r="B384" s="58">
        <f>VLOOKUP(Table134[[#This Row],[Date]],database!A:I,8,)</f>
        <v/>
      </c>
      <c r="C384" s="66">
        <f>B384/B383-1</f>
        <v/>
      </c>
      <c r="D384" s="66">
        <f>(Table134[[#This Row],[Index]]-B372)/B372</f>
        <v/>
      </c>
    </row>
    <row r="385">
      <c r="A385" s="17" t="n">
        <v>37803</v>
      </c>
      <c r="B385" s="58">
        <f>VLOOKUP(Table134[[#This Row],[Date]],database!A:I,8,)</f>
        <v/>
      </c>
      <c r="C385" s="66">
        <f>B385/B384-1</f>
        <v/>
      </c>
      <c r="D385" s="66">
        <f>(Table134[[#This Row],[Index]]-B373)/B373</f>
        <v/>
      </c>
    </row>
    <row r="386">
      <c r="A386" s="17" t="n">
        <v>37834</v>
      </c>
      <c r="B386" s="58">
        <f>VLOOKUP(Table134[[#This Row],[Date]],database!A:I,8,)</f>
        <v/>
      </c>
      <c r="C386" s="66">
        <f>B386/B385-1</f>
        <v/>
      </c>
      <c r="D386" s="66">
        <f>(Table134[[#This Row],[Index]]-B374)/B374</f>
        <v/>
      </c>
    </row>
    <row r="387">
      <c r="A387" s="17" t="n">
        <v>37865</v>
      </c>
      <c r="B387" s="58">
        <f>VLOOKUP(Table134[[#This Row],[Date]],database!A:I,8,)</f>
        <v/>
      </c>
      <c r="C387" s="66">
        <f>B387/B386-1</f>
        <v/>
      </c>
      <c r="D387" s="66">
        <f>(Table134[[#This Row],[Index]]-B375)/B375</f>
        <v/>
      </c>
    </row>
    <row r="388">
      <c r="A388" s="17" t="n">
        <v>37895</v>
      </c>
      <c r="B388" s="58">
        <f>VLOOKUP(Table134[[#This Row],[Date]],database!A:I,8,)</f>
        <v/>
      </c>
      <c r="C388" s="66">
        <f>B388/B387-1</f>
        <v/>
      </c>
      <c r="D388" s="66">
        <f>(Table134[[#This Row],[Index]]-B376)/B376</f>
        <v/>
      </c>
    </row>
    <row r="389">
      <c r="A389" s="17" t="n">
        <v>37926</v>
      </c>
      <c r="B389" s="58">
        <f>VLOOKUP(Table134[[#This Row],[Date]],database!A:I,8,)</f>
        <v/>
      </c>
      <c r="C389" s="66">
        <f>B389/B388-1</f>
        <v/>
      </c>
      <c r="D389" s="66">
        <f>(Table134[[#This Row],[Index]]-B377)/B377</f>
        <v/>
      </c>
    </row>
    <row r="390">
      <c r="A390" s="17" t="n">
        <v>37956</v>
      </c>
      <c r="B390" s="58">
        <f>VLOOKUP(Table134[[#This Row],[Date]],database!A:I,8,)</f>
        <v/>
      </c>
      <c r="C390" s="66">
        <f>B390/B389-1</f>
        <v/>
      </c>
      <c r="D390" s="66">
        <f>(Table134[[#This Row],[Index]]-B378)/B378</f>
        <v/>
      </c>
    </row>
    <row r="391">
      <c r="A391" s="17" t="n">
        <v>37987</v>
      </c>
      <c r="B391" s="58">
        <f>VLOOKUP(Table134[[#This Row],[Date]],database!A:I,8,)</f>
        <v/>
      </c>
      <c r="C391" s="66">
        <f>B391/B390-1</f>
        <v/>
      </c>
      <c r="D391" s="66">
        <f>(Table134[[#This Row],[Index]]-B379)/B379</f>
        <v/>
      </c>
    </row>
    <row r="392">
      <c r="A392" s="17" t="n">
        <v>38018</v>
      </c>
      <c r="B392" s="58">
        <f>VLOOKUP(Table134[[#This Row],[Date]],database!A:I,8,)</f>
        <v/>
      </c>
      <c r="C392" s="66">
        <f>B392/B391-1</f>
        <v/>
      </c>
      <c r="D392" s="66">
        <f>(Table134[[#This Row],[Index]]-B380)/B380</f>
        <v/>
      </c>
    </row>
    <row r="393">
      <c r="A393" s="17" t="n">
        <v>38047</v>
      </c>
      <c r="B393" s="58">
        <f>VLOOKUP(Table134[[#This Row],[Date]],database!A:I,8,)</f>
        <v/>
      </c>
      <c r="C393" s="66">
        <f>B393/B392-1</f>
        <v/>
      </c>
      <c r="D393" s="66">
        <f>(Table134[[#This Row],[Index]]-B381)/B381</f>
        <v/>
      </c>
    </row>
    <row r="394">
      <c r="A394" s="17" t="n">
        <v>38078</v>
      </c>
      <c r="B394" s="58">
        <f>VLOOKUP(Table134[[#This Row],[Date]],database!A:I,8,)</f>
        <v/>
      </c>
      <c r="C394" s="66">
        <f>B394/B393-1</f>
        <v/>
      </c>
      <c r="D394" s="66">
        <f>(Table134[[#This Row],[Index]]-B382)/B382</f>
        <v/>
      </c>
    </row>
    <row r="395">
      <c r="A395" s="17" t="n">
        <v>38108</v>
      </c>
      <c r="B395" s="58">
        <f>VLOOKUP(Table134[[#This Row],[Date]],database!A:I,8,)</f>
        <v/>
      </c>
      <c r="C395" s="66">
        <f>B395/B394-1</f>
        <v/>
      </c>
      <c r="D395" s="66">
        <f>(Table134[[#This Row],[Index]]-B383)/B383</f>
        <v/>
      </c>
    </row>
    <row r="396">
      <c r="A396" s="17" t="n">
        <v>38139</v>
      </c>
      <c r="B396" s="58">
        <f>VLOOKUP(Table134[[#This Row],[Date]],database!A:I,8,)</f>
        <v/>
      </c>
      <c r="C396" s="66">
        <f>B396/B395-1</f>
        <v/>
      </c>
      <c r="D396" s="66">
        <f>(Table134[[#This Row],[Index]]-B384)/B384</f>
        <v/>
      </c>
    </row>
    <row r="397">
      <c r="A397" s="17" t="n">
        <v>38169</v>
      </c>
      <c r="B397" s="58">
        <f>VLOOKUP(Table134[[#This Row],[Date]],database!A:I,8,)</f>
        <v/>
      </c>
      <c r="C397" s="66">
        <f>B397/B396-1</f>
        <v/>
      </c>
      <c r="D397" s="66">
        <f>(Table134[[#This Row],[Index]]-B385)/B385</f>
        <v/>
      </c>
    </row>
    <row r="398">
      <c r="A398" s="17" t="n">
        <v>38200</v>
      </c>
      <c r="B398" s="58">
        <f>VLOOKUP(Table134[[#This Row],[Date]],database!A:I,8,)</f>
        <v/>
      </c>
      <c r="C398" s="66">
        <f>B398/B397-1</f>
        <v/>
      </c>
      <c r="D398" s="66">
        <f>(Table134[[#This Row],[Index]]-B386)/B386</f>
        <v/>
      </c>
    </row>
    <row r="399">
      <c r="A399" s="17" t="n">
        <v>38231</v>
      </c>
      <c r="B399" s="58">
        <f>VLOOKUP(Table134[[#This Row],[Date]],database!A:I,8,)</f>
        <v/>
      </c>
      <c r="C399" s="66">
        <f>B399/B398-1</f>
        <v/>
      </c>
      <c r="D399" s="66">
        <f>(Table134[[#This Row],[Index]]-B387)/B387</f>
        <v/>
      </c>
    </row>
    <row r="400">
      <c r="A400" s="17" t="n">
        <v>38261</v>
      </c>
      <c r="B400" s="58">
        <f>VLOOKUP(Table134[[#This Row],[Date]],database!A:I,8,)</f>
        <v/>
      </c>
      <c r="C400" s="66">
        <f>B400/B399-1</f>
        <v/>
      </c>
      <c r="D400" s="66">
        <f>(Table134[[#This Row],[Index]]-B388)/B388</f>
        <v/>
      </c>
    </row>
    <row r="401">
      <c r="A401" s="17" t="n">
        <v>38292</v>
      </c>
      <c r="B401" s="58">
        <f>VLOOKUP(Table134[[#This Row],[Date]],database!A:I,8,)</f>
        <v/>
      </c>
      <c r="C401" s="66">
        <f>B401/B400-1</f>
        <v/>
      </c>
      <c r="D401" s="66">
        <f>(Table134[[#This Row],[Index]]-B389)/B389</f>
        <v/>
      </c>
    </row>
    <row r="402">
      <c r="A402" s="17" t="n">
        <v>38322</v>
      </c>
      <c r="B402" s="58">
        <f>VLOOKUP(Table134[[#This Row],[Date]],database!A:I,8,)</f>
        <v/>
      </c>
      <c r="C402" s="66">
        <f>B402/B401-1</f>
        <v/>
      </c>
      <c r="D402" s="66">
        <f>(Table134[[#This Row],[Index]]-B390)/B390</f>
        <v/>
      </c>
    </row>
    <row r="403">
      <c r="A403" s="17" t="n">
        <v>38353</v>
      </c>
      <c r="B403" s="58">
        <f>VLOOKUP(Table134[[#This Row],[Date]],database!A:I,8,)</f>
        <v/>
      </c>
      <c r="C403" s="66">
        <f>B403/B402-1</f>
        <v/>
      </c>
      <c r="D403" s="66">
        <f>(Table134[[#This Row],[Index]]-B391)/B391</f>
        <v/>
      </c>
    </row>
    <row r="404">
      <c r="A404" s="17" t="n">
        <v>38384</v>
      </c>
      <c r="B404" s="58">
        <f>VLOOKUP(Table134[[#This Row],[Date]],database!A:I,8,)</f>
        <v/>
      </c>
      <c r="C404" s="66">
        <f>B404/B403-1</f>
        <v/>
      </c>
      <c r="D404" s="66">
        <f>(Table134[[#This Row],[Index]]-B392)/B392</f>
        <v/>
      </c>
    </row>
    <row r="405">
      <c r="A405" s="17" t="n">
        <v>38412</v>
      </c>
      <c r="B405" s="58">
        <f>VLOOKUP(Table134[[#This Row],[Date]],database!A:I,8,)</f>
        <v/>
      </c>
      <c r="C405" s="66">
        <f>B405/B404-1</f>
        <v/>
      </c>
      <c r="D405" s="66">
        <f>(Table134[[#This Row],[Index]]-B393)/B393</f>
        <v/>
      </c>
    </row>
    <row r="406">
      <c r="A406" s="17" t="n">
        <v>38443</v>
      </c>
      <c r="B406" s="58">
        <f>VLOOKUP(Table134[[#This Row],[Date]],database!A:I,8,)</f>
        <v/>
      </c>
      <c r="C406" s="66">
        <f>B406/B405-1</f>
        <v/>
      </c>
      <c r="D406" s="66">
        <f>(Table134[[#This Row],[Index]]-B394)/B394</f>
        <v/>
      </c>
    </row>
    <row r="407">
      <c r="A407" s="17" t="n">
        <v>38473</v>
      </c>
      <c r="B407" s="58">
        <f>VLOOKUP(Table134[[#This Row],[Date]],database!A:I,8,)</f>
        <v/>
      </c>
      <c r="C407" s="66">
        <f>B407/B406-1</f>
        <v/>
      </c>
      <c r="D407" s="66">
        <f>(Table134[[#This Row],[Index]]-B395)/B395</f>
        <v/>
      </c>
    </row>
    <row r="408">
      <c r="A408" s="17" t="n">
        <v>38504</v>
      </c>
      <c r="B408" s="58">
        <f>VLOOKUP(Table134[[#This Row],[Date]],database!A:I,8,)</f>
        <v/>
      </c>
      <c r="C408" s="66">
        <f>B408/B407-1</f>
        <v/>
      </c>
      <c r="D408" s="66">
        <f>(Table134[[#This Row],[Index]]-B396)/B396</f>
        <v/>
      </c>
    </row>
    <row r="409">
      <c r="A409" s="17" t="n">
        <v>38534</v>
      </c>
      <c r="B409" s="58">
        <f>VLOOKUP(Table134[[#This Row],[Date]],database!A:I,8,)</f>
        <v/>
      </c>
      <c r="C409" s="66">
        <f>B409/B408-1</f>
        <v/>
      </c>
      <c r="D409" s="66">
        <f>(Table134[[#This Row],[Index]]-B397)/B397</f>
        <v/>
      </c>
    </row>
    <row r="410">
      <c r="A410" s="17" t="n">
        <v>38565</v>
      </c>
      <c r="B410" s="58">
        <f>VLOOKUP(Table134[[#This Row],[Date]],database!A:I,8,)</f>
        <v/>
      </c>
      <c r="C410" s="66">
        <f>B410/B409-1</f>
        <v/>
      </c>
      <c r="D410" s="66">
        <f>(Table134[[#This Row],[Index]]-B398)/B398</f>
        <v/>
      </c>
    </row>
    <row r="411">
      <c r="A411" s="17" t="n">
        <v>38596</v>
      </c>
      <c r="B411" s="58">
        <f>VLOOKUP(Table134[[#This Row],[Date]],database!A:I,8,)</f>
        <v/>
      </c>
      <c r="C411" s="66">
        <f>B411/B410-1</f>
        <v/>
      </c>
      <c r="D411" s="66">
        <f>(Table134[[#This Row],[Index]]-B399)/B399</f>
        <v/>
      </c>
    </row>
    <row r="412">
      <c r="A412" s="17" t="n">
        <v>38626</v>
      </c>
      <c r="B412" s="58">
        <f>VLOOKUP(Table134[[#This Row],[Date]],database!A:I,8,)</f>
        <v/>
      </c>
      <c r="C412" s="66">
        <f>B412/B411-1</f>
        <v/>
      </c>
      <c r="D412" s="66">
        <f>(Table134[[#This Row],[Index]]-B400)/B400</f>
        <v/>
      </c>
    </row>
    <row r="413">
      <c r="A413" s="17" t="n">
        <v>38657</v>
      </c>
      <c r="B413" s="58">
        <f>VLOOKUP(Table134[[#This Row],[Date]],database!A:I,8,)</f>
        <v/>
      </c>
      <c r="C413" s="66">
        <f>B413/B412-1</f>
        <v/>
      </c>
      <c r="D413" s="66">
        <f>(Table134[[#This Row],[Index]]-B401)/B401</f>
        <v/>
      </c>
    </row>
    <row r="414">
      <c r="A414" s="17" t="n">
        <v>38687</v>
      </c>
      <c r="B414" s="58">
        <f>VLOOKUP(Table134[[#This Row],[Date]],database!A:I,8,)</f>
        <v/>
      </c>
      <c r="C414" s="66">
        <f>B414/B413-1</f>
        <v/>
      </c>
      <c r="D414" s="66">
        <f>(Table134[[#This Row],[Index]]-B402)/B402</f>
        <v/>
      </c>
    </row>
    <row r="415">
      <c r="A415" s="17" t="n">
        <v>38718</v>
      </c>
      <c r="B415" s="58">
        <f>VLOOKUP(Table134[[#This Row],[Date]],database!A:I,8,)</f>
        <v/>
      </c>
      <c r="C415" s="66">
        <f>B415/B414-1</f>
        <v/>
      </c>
      <c r="D415" s="66">
        <f>(Table134[[#This Row],[Index]]-B403)/B403</f>
        <v/>
      </c>
    </row>
    <row r="416">
      <c r="A416" s="17" t="n">
        <v>38749</v>
      </c>
      <c r="B416" s="58">
        <f>VLOOKUP(Table134[[#This Row],[Date]],database!A:I,8,)</f>
        <v/>
      </c>
      <c r="C416" s="66">
        <f>B416/B415-1</f>
        <v/>
      </c>
      <c r="D416" s="66">
        <f>(Table134[[#This Row],[Index]]-B404)/B404</f>
        <v/>
      </c>
    </row>
    <row r="417">
      <c r="A417" s="17" t="n">
        <v>38777</v>
      </c>
      <c r="B417" s="58">
        <f>VLOOKUP(Table134[[#This Row],[Date]],database!A:I,8,)</f>
        <v/>
      </c>
      <c r="C417" s="66">
        <f>B417/B416-1</f>
        <v/>
      </c>
      <c r="D417" s="66">
        <f>(Table134[[#This Row],[Index]]-B405)/B405</f>
        <v/>
      </c>
    </row>
    <row r="418">
      <c r="A418" s="17" t="n">
        <v>38808</v>
      </c>
      <c r="B418" s="58">
        <f>VLOOKUP(Table134[[#This Row],[Date]],database!A:I,8,)</f>
        <v/>
      </c>
      <c r="C418" s="66">
        <f>B418/B417-1</f>
        <v/>
      </c>
      <c r="D418" s="66">
        <f>(Table134[[#This Row],[Index]]-B406)/B406</f>
        <v/>
      </c>
    </row>
    <row r="419">
      <c r="A419" s="17" t="n">
        <v>38838</v>
      </c>
      <c r="B419" s="58">
        <f>VLOOKUP(Table134[[#This Row],[Date]],database!A:I,8,)</f>
        <v/>
      </c>
      <c r="C419" s="66">
        <f>B419/B418-1</f>
        <v/>
      </c>
      <c r="D419" s="66">
        <f>(Table134[[#This Row],[Index]]-B407)/B407</f>
        <v/>
      </c>
    </row>
    <row r="420">
      <c r="A420" s="17" t="n">
        <v>38869</v>
      </c>
      <c r="B420" s="58">
        <f>VLOOKUP(Table134[[#This Row],[Date]],database!A:I,8,)</f>
        <v/>
      </c>
      <c r="C420" s="66">
        <f>B420/B419-1</f>
        <v/>
      </c>
      <c r="D420" s="66">
        <f>(Table134[[#This Row],[Index]]-B408)/B408</f>
        <v/>
      </c>
    </row>
    <row r="421">
      <c r="A421" s="17" t="n">
        <v>38899</v>
      </c>
      <c r="B421" s="58">
        <f>VLOOKUP(Table134[[#This Row],[Date]],database!A:I,8,)</f>
        <v/>
      </c>
      <c r="C421" s="66">
        <f>B421/B420-1</f>
        <v/>
      </c>
      <c r="D421" s="66">
        <f>(Table134[[#This Row],[Index]]-B409)/B409</f>
        <v/>
      </c>
    </row>
    <row r="422">
      <c r="A422" s="17" t="n">
        <v>38930</v>
      </c>
      <c r="B422" s="58">
        <f>VLOOKUP(Table134[[#This Row],[Date]],database!A:I,8,)</f>
        <v/>
      </c>
      <c r="C422" s="66">
        <f>B422/B421-1</f>
        <v/>
      </c>
      <c r="D422" s="66">
        <f>(Table134[[#This Row],[Index]]-B410)/B410</f>
        <v/>
      </c>
    </row>
    <row r="423">
      <c r="A423" s="17" t="n">
        <v>38961</v>
      </c>
      <c r="B423" s="58">
        <f>VLOOKUP(Table134[[#This Row],[Date]],database!A:I,8,)</f>
        <v/>
      </c>
      <c r="C423" s="66">
        <f>B423/B422-1</f>
        <v/>
      </c>
      <c r="D423" s="66">
        <f>(Table134[[#This Row],[Index]]-B411)/B411</f>
        <v/>
      </c>
    </row>
    <row r="424">
      <c r="A424" s="17" t="n">
        <v>38991</v>
      </c>
      <c r="B424" s="58">
        <f>VLOOKUP(Table134[[#This Row],[Date]],database!A:I,8,)</f>
        <v/>
      </c>
      <c r="C424" s="66">
        <f>B424/B423-1</f>
        <v/>
      </c>
      <c r="D424" s="66">
        <f>(Table134[[#This Row],[Index]]-B412)/B412</f>
        <v/>
      </c>
    </row>
    <row r="425">
      <c r="A425" s="17" t="n">
        <v>39022</v>
      </c>
      <c r="B425" s="58">
        <f>VLOOKUP(Table134[[#This Row],[Date]],database!A:I,8,)</f>
        <v/>
      </c>
      <c r="C425" s="66">
        <f>B425/B424-1</f>
        <v/>
      </c>
      <c r="D425" s="66">
        <f>(Table134[[#This Row],[Index]]-B413)/B413</f>
        <v/>
      </c>
    </row>
    <row r="426">
      <c r="A426" s="17" t="n">
        <v>39052</v>
      </c>
      <c r="B426" s="58">
        <f>VLOOKUP(Table134[[#This Row],[Date]],database!A:I,8,)</f>
        <v/>
      </c>
      <c r="C426" s="66">
        <f>B426/B425-1</f>
        <v/>
      </c>
      <c r="D426" s="66">
        <f>(Table134[[#This Row],[Index]]-B414)/B414</f>
        <v/>
      </c>
    </row>
    <row r="427">
      <c r="A427" s="17" t="n">
        <v>39083</v>
      </c>
      <c r="B427" s="58">
        <f>VLOOKUP(Table134[[#This Row],[Date]],database!A:I,8,)</f>
        <v/>
      </c>
      <c r="C427" s="66">
        <f>B427/B426-1</f>
        <v/>
      </c>
      <c r="D427" s="66">
        <f>(Table134[[#This Row],[Index]]-B415)/B415</f>
        <v/>
      </c>
    </row>
    <row r="428">
      <c r="A428" s="17" t="n">
        <v>39114</v>
      </c>
      <c r="B428" s="58">
        <f>VLOOKUP(Table134[[#This Row],[Date]],database!A:I,8,)</f>
        <v/>
      </c>
      <c r="C428" s="66">
        <f>B428/B427-1</f>
        <v/>
      </c>
      <c r="D428" s="66">
        <f>(Table134[[#This Row],[Index]]-B416)/B416</f>
        <v/>
      </c>
    </row>
    <row r="429">
      <c r="A429" s="17" t="n">
        <v>39142</v>
      </c>
      <c r="B429" s="58">
        <f>VLOOKUP(Table134[[#This Row],[Date]],database!A:I,8,)</f>
        <v/>
      </c>
      <c r="C429" s="66">
        <f>B429/B428-1</f>
        <v/>
      </c>
      <c r="D429" s="66">
        <f>(Table134[[#This Row],[Index]]-B417)/B417</f>
        <v/>
      </c>
    </row>
    <row r="430">
      <c r="A430" s="17" t="n">
        <v>39173</v>
      </c>
      <c r="B430" s="58">
        <f>VLOOKUP(Table134[[#This Row],[Date]],database!A:I,8,)</f>
        <v/>
      </c>
      <c r="C430" s="66">
        <f>B430/B429-1</f>
        <v/>
      </c>
      <c r="D430" s="66">
        <f>(Table134[[#This Row],[Index]]-B418)/B418</f>
        <v/>
      </c>
    </row>
    <row r="431">
      <c r="A431" s="17" t="n">
        <v>39203</v>
      </c>
      <c r="B431" s="58">
        <f>VLOOKUP(Table134[[#This Row],[Date]],database!A:I,8,)</f>
        <v/>
      </c>
      <c r="C431" s="66">
        <f>B431/B430-1</f>
        <v/>
      </c>
      <c r="D431" s="66">
        <f>(Table134[[#This Row],[Index]]-B419)/B419</f>
        <v/>
      </c>
    </row>
    <row r="432">
      <c r="A432" s="17" t="n">
        <v>39234</v>
      </c>
      <c r="B432" s="58">
        <f>VLOOKUP(Table134[[#This Row],[Date]],database!A:I,8,)</f>
        <v/>
      </c>
      <c r="C432" s="66">
        <f>B432/B431-1</f>
        <v/>
      </c>
      <c r="D432" s="66">
        <f>(Table134[[#This Row],[Index]]-B420)/B420</f>
        <v/>
      </c>
    </row>
    <row r="433">
      <c r="A433" s="17" t="n">
        <v>39264</v>
      </c>
      <c r="B433" s="58">
        <f>VLOOKUP(Table134[[#This Row],[Date]],database!A:I,8,)</f>
        <v/>
      </c>
      <c r="C433" s="66">
        <f>B433/B432-1</f>
        <v/>
      </c>
      <c r="D433" s="66">
        <f>(Table134[[#This Row],[Index]]-B421)/B421</f>
        <v/>
      </c>
    </row>
    <row r="434">
      <c r="A434" s="17" t="n">
        <v>39295</v>
      </c>
      <c r="B434" s="58">
        <f>VLOOKUP(Table134[[#This Row],[Date]],database!A:I,8,)</f>
        <v/>
      </c>
      <c r="C434" s="66">
        <f>B434/B433-1</f>
        <v/>
      </c>
      <c r="D434" s="66">
        <f>(Table134[[#This Row],[Index]]-B422)/B422</f>
        <v/>
      </c>
    </row>
    <row r="435">
      <c r="A435" s="17" t="n">
        <v>39326</v>
      </c>
      <c r="B435" s="58">
        <f>VLOOKUP(Table134[[#This Row],[Date]],database!A:I,8,)</f>
        <v/>
      </c>
      <c r="C435" s="66">
        <f>B435/B434-1</f>
        <v/>
      </c>
      <c r="D435" s="66">
        <f>(Table134[[#This Row],[Index]]-B423)/B423</f>
        <v/>
      </c>
    </row>
    <row r="436">
      <c r="A436" s="17" t="n">
        <v>39356</v>
      </c>
      <c r="B436" s="58">
        <f>VLOOKUP(Table134[[#This Row],[Date]],database!A:I,8,)</f>
        <v/>
      </c>
      <c r="C436" s="66">
        <f>B436/B435-1</f>
        <v/>
      </c>
      <c r="D436" s="66">
        <f>(Table134[[#This Row],[Index]]-B424)/B424</f>
        <v/>
      </c>
    </row>
    <row r="437">
      <c r="A437" s="17" t="n">
        <v>39387</v>
      </c>
      <c r="B437" s="58">
        <f>VLOOKUP(Table134[[#This Row],[Date]],database!A:I,8,)</f>
        <v/>
      </c>
      <c r="C437" s="66">
        <f>B437/B436-1</f>
        <v/>
      </c>
      <c r="D437" s="66">
        <f>(Table134[[#This Row],[Index]]-B425)/B425</f>
        <v/>
      </c>
    </row>
    <row r="438">
      <c r="A438" s="17" t="n">
        <v>39417</v>
      </c>
      <c r="B438" s="58">
        <f>VLOOKUP(Table134[[#This Row],[Date]],database!A:I,8,)</f>
        <v/>
      </c>
      <c r="C438" s="66">
        <f>B438/B437-1</f>
        <v/>
      </c>
      <c r="D438" s="66">
        <f>(Table134[[#This Row],[Index]]-B426)/B426</f>
        <v/>
      </c>
    </row>
    <row r="439">
      <c r="A439" s="17" t="n">
        <v>39448</v>
      </c>
      <c r="B439" s="58">
        <f>VLOOKUP(Table134[[#This Row],[Date]],database!A:I,8,)</f>
        <v/>
      </c>
      <c r="C439" s="66">
        <f>B439/B438-1</f>
        <v/>
      </c>
      <c r="D439" s="66">
        <f>(Table134[[#This Row],[Index]]-B427)/B427</f>
        <v/>
      </c>
    </row>
    <row r="440">
      <c r="A440" s="17" t="n">
        <v>39479</v>
      </c>
      <c r="B440" s="58">
        <f>VLOOKUP(Table134[[#This Row],[Date]],database!A:I,8,)</f>
        <v/>
      </c>
      <c r="C440" s="66">
        <f>B440/B439-1</f>
        <v/>
      </c>
      <c r="D440" s="66">
        <f>(Table134[[#This Row],[Index]]-B428)/B428</f>
        <v/>
      </c>
    </row>
    <row r="441">
      <c r="A441" s="17" t="n">
        <v>39508</v>
      </c>
      <c r="B441" s="58">
        <f>VLOOKUP(Table134[[#This Row],[Date]],database!A:I,8,)</f>
        <v/>
      </c>
      <c r="C441" s="66">
        <f>B441/B440-1</f>
        <v/>
      </c>
      <c r="D441" s="66">
        <f>(Table134[[#This Row],[Index]]-B429)/B429</f>
        <v/>
      </c>
    </row>
    <row r="442">
      <c r="A442" s="17" t="n">
        <v>39539</v>
      </c>
      <c r="B442" s="58">
        <f>VLOOKUP(Table134[[#This Row],[Date]],database!A:I,8,)</f>
        <v/>
      </c>
      <c r="C442" s="66">
        <f>B442/B441-1</f>
        <v/>
      </c>
      <c r="D442" s="66">
        <f>(Table134[[#This Row],[Index]]-B430)/B430</f>
        <v/>
      </c>
    </row>
    <row r="443">
      <c r="A443" s="17" t="n">
        <v>39569</v>
      </c>
      <c r="B443" s="58">
        <f>VLOOKUP(Table134[[#This Row],[Date]],database!A:I,8,)</f>
        <v/>
      </c>
      <c r="C443" s="66">
        <f>B443/B442-1</f>
        <v/>
      </c>
      <c r="D443" s="66">
        <f>(Table134[[#This Row],[Index]]-B431)/B431</f>
        <v/>
      </c>
    </row>
    <row r="444">
      <c r="A444" s="17" t="n">
        <v>39600</v>
      </c>
      <c r="B444" s="58">
        <f>VLOOKUP(Table134[[#This Row],[Date]],database!A:I,8,)</f>
        <v/>
      </c>
      <c r="C444" s="66">
        <f>B444/B443-1</f>
        <v/>
      </c>
      <c r="D444" s="66">
        <f>(Table134[[#This Row],[Index]]-B432)/B432</f>
        <v/>
      </c>
    </row>
    <row r="445">
      <c r="A445" s="17" t="n">
        <v>39630</v>
      </c>
      <c r="B445" s="58">
        <f>VLOOKUP(Table134[[#This Row],[Date]],database!A:I,8,)</f>
        <v/>
      </c>
      <c r="C445" s="66">
        <f>B445/B444-1</f>
        <v/>
      </c>
      <c r="D445" s="66">
        <f>(Table134[[#This Row],[Index]]-B433)/B433</f>
        <v/>
      </c>
    </row>
    <row r="446">
      <c r="A446" s="17" t="n">
        <v>39661</v>
      </c>
      <c r="B446" s="58">
        <f>VLOOKUP(Table134[[#This Row],[Date]],database!A:I,8,)</f>
        <v/>
      </c>
      <c r="C446" s="66">
        <f>B446/B445-1</f>
        <v/>
      </c>
      <c r="D446" s="66">
        <f>(Table134[[#This Row],[Index]]-B434)/B434</f>
        <v/>
      </c>
    </row>
    <row r="447">
      <c r="A447" s="17" t="n">
        <v>39692</v>
      </c>
      <c r="B447" s="58">
        <f>VLOOKUP(Table134[[#This Row],[Date]],database!A:I,8,)</f>
        <v/>
      </c>
      <c r="C447" s="66">
        <f>B447/B446-1</f>
        <v/>
      </c>
      <c r="D447" s="66">
        <f>(Table134[[#This Row],[Index]]-B435)/B435</f>
        <v/>
      </c>
    </row>
    <row r="448">
      <c r="A448" s="17" t="n">
        <v>39722</v>
      </c>
      <c r="B448" s="58">
        <f>VLOOKUP(Table134[[#This Row],[Date]],database!A:I,8,)</f>
        <v/>
      </c>
      <c r="C448" s="66">
        <f>B448/B447-1</f>
        <v/>
      </c>
      <c r="D448" s="66">
        <f>(Table134[[#This Row],[Index]]-B436)/B436</f>
        <v/>
      </c>
    </row>
    <row r="449">
      <c r="A449" s="17" t="n">
        <v>39753</v>
      </c>
      <c r="B449" s="58">
        <f>VLOOKUP(Table134[[#This Row],[Date]],database!A:I,8,)</f>
        <v/>
      </c>
      <c r="C449" s="66">
        <f>B449/B448-1</f>
        <v/>
      </c>
      <c r="D449" s="66">
        <f>(Table134[[#This Row],[Index]]-B437)/B437</f>
        <v/>
      </c>
    </row>
    <row r="450">
      <c r="A450" s="17" t="n">
        <v>39783</v>
      </c>
      <c r="B450" s="58">
        <f>VLOOKUP(Table134[[#This Row],[Date]],database!A:I,8,)</f>
        <v/>
      </c>
      <c r="C450" s="66">
        <f>B450/B449-1</f>
        <v/>
      </c>
      <c r="D450" s="66">
        <f>(Table134[[#This Row],[Index]]-B438)/B438</f>
        <v/>
      </c>
    </row>
    <row r="451">
      <c r="A451" s="17" t="n">
        <v>39814</v>
      </c>
      <c r="B451" s="58">
        <f>VLOOKUP(Table134[[#This Row],[Date]],database!A:I,8,)</f>
        <v/>
      </c>
      <c r="C451" s="66">
        <f>B451/B450-1</f>
        <v/>
      </c>
      <c r="D451" s="66">
        <f>(Table134[[#This Row],[Index]]-B439)/B439</f>
        <v/>
      </c>
    </row>
    <row r="452">
      <c r="A452" s="17" t="n">
        <v>39845</v>
      </c>
      <c r="B452" s="58">
        <f>VLOOKUP(Table134[[#This Row],[Date]],database!A:I,8,)</f>
        <v/>
      </c>
      <c r="C452" s="66">
        <f>B452/B451-1</f>
        <v/>
      </c>
      <c r="D452" s="66">
        <f>(Table134[[#This Row],[Index]]-B440)/B440</f>
        <v/>
      </c>
    </row>
    <row r="453">
      <c r="A453" s="17" t="n">
        <v>39873</v>
      </c>
      <c r="B453" s="58">
        <f>VLOOKUP(Table134[[#This Row],[Date]],database!A:I,8,)</f>
        <v/>
      </c>
      <c r="C453" s="66">
        <f>B453/B452-1</f>
        <v/>
      </c>
      <c r="D453" s="66">
        <f>(Table134[[#This Row],[Index]]-B441)/B441</f>
        <v/>
      </c>
    </row>
    <row r="454">
      <c r="A454" s="17" t="n">
        <v>39904</v>
      </c>
      <c r="B454" s="58">
        <f>VLOOKUP(Table134[[#This Row],[Date]],database!A:I,8,)</f>
        <v/>
      </c>
      <c r="C454" s="66">
        <f>B454/B453-1</f>
        <v/>
      </c>
      <c r="D454" s="66">
        <f>(Table134[[#This Row],[Index]]-B442)/B442</f>
        <v/>
      </c>
    </row>
    <row r="455">
      <c r="A455" s="17" t="n">
        <v>39934</v>
      </c>
      <c r="B455" s="58">
        <f>VLOOKUP(Table134[[#This Row],[Date]],database!A:I,8,)</f>
        <v/>
      </c>
      <c r="C455" s="66">
        <f>B455/B454-1</f>
        <v/>
      </c>
      <c r="D455" s="66">
        <f>(Table134[[#This Row],[Index]]-B443)/B443</f>
        <v/>
      </c>
    </row>
    <row r="456">
      <c r="A456" s="17" t="n">
        <v>39965</v>
      </c>
      <c r="B456" s="58">
        <f>VLOOKUP(Table134[[#This Row],[Date]],database!A:I,8,)</f>
        <v/>
      </c>
      <c r="C456" s="66">
        <f>B456/B455-1</f>
        <v/>
      </c>
      <c r="D456" s="66">
        <f>(Table134[[#This Row],[Index]]-B444)/B444</f>
        <v/>
      </c>
    </row>
    <row r="457">
      <c r="A457" s="17" t="n">
        <v>39995</v>
      </c>
      <c r="B457" s="58">
        <f>VLOOKUP(Table134[[#This Row],[Date]],database!A:I,8,)</f>
        <v/>
      </c>
      <c r="C457" s="66">
        <f>B457/B456-1</f>
        <v/>
      </c>
      <c r="D457" s="66">
        <f>(Table134[[#This Row],[Index]]-B445)/B445</f>
        <v/>
      </c>
    </row>
    <row r="458">
      <c r="A458" s="17" t="n">
        <v>40026</v>
      </c>
      <c r="B458" s="58">
        <f>VLOOKUP(Table134[[#This Row],[Date]],database!A:I,8,)</f>
        <v/>
      </c>
      <c r="C458" s="66">
        <f>B458/B457-1</f>
        <v/>
      </c>
      <c r="D458" s="66">
        <f>(Table134[[#This Row],[Index]]-B446)/B446</f>
        <v/>
      </c>
    </row>
    <row r="459">
      <c r="A459" s="17" t="n">
        <v>40057</v>
      </c>
      <c r="B459" s="58">
        <f>VLOOKUP(Table134[[#This Row],[Date]],database!A:I,8,)</f>
        <v/>
      </c>
      <c r="C459" s="66">
        <f>B459/B458-1</f>
        <v/>
      </c>
      <c r="D459" s="66">
        <f>(Table134[[#This Row],[Index]]-B447)/B447</f>
        <v/>
      </c>
    </row>
    <row r="460">
      <c r="A460" s="17" t="n">
        <v>40087</v>
      </c>
      <c r="B460" s="58">
        <f>VLOOKUP(Table134[[#This Row],[Date]],database!A:I,8,)</f>
        <v/>
      </c>
      <c r="C460" s="66">
        <f>B460/B459-1</f>
        <v/>
      </c>
      <c r="D460" s="66">
        <f>(Table134[[#This Row],[Index]]-B448)/B448</f>
        <v/>
      </c>
    </row>
    <row r="461">
      <c r="A461" s="17" t="n">
        <v>40118</v>
      </c>
      <c r="B461" s="58">
        <f>VLOOKUP(Table134[[#This Row],[Date]],database!A:I,8,)</f>
        <v/>
      </c>
      <c r="C461" s="66">
        <f>B461/B460-1</f>
        <v/>
      </c>
      <c r="D461" s="66">
        <f>(Table134[[#This Row],[Index]]-B449)/B449</f>
        <v/>
      </c>
    </row>
    <row r="462">
      <c r="A462" s="17" t="n">
        <v>40148</v>
      </c>
      <c r="B462" s="58">
        <f>VLOOKUP(Table134[[#This Row],[Date]],database!A:I,8,)</f>
        <v/>
      </c>
      <c r="C462" s="66">
        <f>B462/B461-1</f>
        <v/>
      </c>
      <c r="D462" s="66">
        <f>(Table134[[#This Row],[Index]]-B450)/B450</f>
        <v/>
      </c>
    </row>
    <row r="463">
      <c r="A463" s="17" t="n">
        <v>40179</v>
      </c>
      <c r="B463" s="58">
        <f>VLOOKUP(Table134[[#This Row],[Date]],database!A:I,8,)</f>
        <v/>
      </c>
      <c r="C463" s="66">
        <f>B463/B462-1</f>
        <v/>
      </c>
      <c r="D463" s="66">
        <f>(Table134[[#This Row],[Index]]-B451)/B451</f>
        <v/>
      </c>
    </row>
    <row r="464">
      <c r="A464" s="17" t="n">
        <v>40210</v>
      </c>
      <c r="B464" s="58">
        <f>VLOOKUP(Table134[[#This Row],[Date]],database!A:I,8,)</f>
        <v/>
      </c>
      <c r="C464" s="66">
        <f>B464/B463-1</f>
        <v/>
      </c>
      <c r="D464" s="66">
        <f>(Table134[[#This Row],[Index]]-B452)/B452</f>
        <v/>
      </c>
    </row>
    <row r="465">
      <c r="A465" s="17" t="n">
        <v>40238</v>
      </c>
      <c r="B465" s="58">
        <f>VLOOKUP(Table134[[#This Row],[Date]],database!A:I,8,)</f>
        <v/>
      </c>
      <c r="C465" s="66">
        <f>B465/B464-1</f>
        <v/>
      </c>
      <c r="D465" s="66">
        <f>(Table134[[#This Row],[Index]]-B453)/B453</f>
        <v/>
      </c>
    </row>
    <row r="466">
      <c r="A466" s="17" t="n">
        <v>40269</v>
      </c>
      <c r="B466" s="58">
        <f>VLOOKUP(Table134[[#This Row],[Date]],database!A:I,8,)</f>
        <v/>
      </c>
      <c r="C466" s="66">
        <f>B466/B465-1</f>
        <v/>
      </c>
      <c r="D466" s="66">
        <f>(Table134[[#This Row],[Index]]-B454)/B454</f>
        <v/>
      </c>
    </row>
    <row r="467">
      <c r="A467" s="17" t="n">
        <v>40299</v>
      </c>
      <c r="B467" s="58">
        <f>VLOOKUP(Table134[[#This Row],[Date]],database!A:I,8,)</f>
        <v/>
      </c>
      <c r="C467" s="66">
        <f>B467/B466-1</f>
        <v/>
      </c>
      <c r="D467" s="66">
        <f>(Table134[[#This Row],[Index]]-B455)/B455</f>
        <v/>
      </c>
    </row>
    <row r="468">
      <c r="A468" s="17" t="n">
        <v>40330</v>
      </c>
      <c r="B468" s="58">
        <f>VLOOKUP(Table134[[#This Row],[Date]],database!A:I,8,)</f>
        <v/>
      </c>
      <c r="C468" s="66">
        <f>B468/B467-1</f>
        <v/>
      </c>
      <c r="D468" s="66">
        <f>(Table134[[#This Row],[Index]]-B456)/B456</f>
        <v/>
      </c>
    </row>
    <row r="469">
      <c r="A469" s="17" t="n">
        <v>40360</v>
      </c>
      <c r="B469" s="58">
        <f>VLOOKUP(Table134[[#This Row],[Date]],database!A:I,8,)</f>
        <v/>
      </c>
      <c r="C469" s="66">
        <f>B469/B468-1</f>
        <v/>
      </c>
      <c r="D469" s="66">
        <f>(Table134[[#This Row],[Index]]-B457)/B457</f>
        <v/>
      </c>
    </row>
    <row r="470">
      <c r="A470" s="17" t="n">
        <v>40391</v>
      </c>
      <c r="B470" s="58">
        <f>VLOOKUP(Table134[[#This Row],[Date]],database!A:I,8,)</f>
        <v/>
      </c>
      <c r="C470" s="66">
        <f>B470/B469-1</f>
        <v/>
      </c>
      <c r="D470" s="66">
        <f>(Table134[[#This Row],[Index]]-B458)/B458</f>
        <v/>
      </c>
    </row>
    <row r="471">
      <c r="A471" s="17" t="n">
        <v>40422</v>
      </c>
      <c r="B471" s="58">
        <f>VLOOKUP(Table134[[#This Row],[Date]],database!A:I,8,)</f>
        <v/>
      </c>
      <c r="C471" s="66">
        <f>B471/B470-1</f>
        <v/>
      </c>
      <c r="D471" s="66">
        <f>(Table134[[#This Row],[Index]]-B459)/B459</f>
        <v/>
      </c>
    </row>
    <row r="472">
      <c r="A472" s="17" t="n">
        <v>40452</v>
      </c>
      <c r="B472" s="58">
        <f>VLOOKUP(Table134[[#This Row],[Date]],database!A:I,8,)</f>
        <v/>
      </c>
      <c r="C472" s="66">
        <f>B472/B471-1</f>
        <v/>
      </c>
      <c r="D472" s="66">
        <f>(Table134[[#This Row],[Index]]-B460)/B460</f>
        <v/>
      </c>
    </row>
    <row r="473">
      <c r="A473" s="17" t="n">
        <v>40483</v>
      </c>
      <c r="B473" s="58">
        <f>VLOOKUP(Table134[[#This Row],[Date]],database!A:I,8,)</f>
        <v/>
      </c>
      <c r="C473" s="66">
        <f>B473/B472-1</f>
        <v/>
      </c>
      <c r="D473" s="66">
        <f>(Table134[[#This Row],[Index]]-B461)/B461</f>
        <v/>
      </c>
    </row>
    <row r="474">
      <c r="A474" s="17" t="n">
        <v>40513</v>
      </c>
      <c r="B474" s="58">
        <f>VLOOKUP(Table134[[#This Row],[Date]],database!A:I,8,)</f>
        <v/>
      </c>
      <c r="C474" s="66">
        <f>B474/B473-1</f>
        <v/>
      </c>
      <c r="D474" s="66">
        <f>(Table134[[#This Row],[Index]]-B462)/B462</f>
        <v/>
      </c>
    </row>
    <row r="475">
      <c r="A475" s="17" t="n">
        <v>40544</v>
      </c>
      <c r="B475" s="58">
        <f>VLOOKUP(Table134[[#This Row],[Date]],database!A:I,8,)</f>
        <v/>
      </c>
      <c r="C475" s="66">
        <f>B475/B474-1</f>
        <v/>
      </c>
      <c r="D475" s="66">
        <f>(Table134[[#This Row],[Index]]-B463)/B463</f>
        <v/>
      </c>
    </row>
    <row r="476">
      <c r="A476" s="17" t="n">
        <v>40575</v>
      </c>
      <c r="B476" s="58">
        <f>VLOOKUP(Table134[[#This Row],[Date]],database!A:I,8,)</f>
        <v/>
      </c>
      <c r="C476" s="66">
        <f>B476/B475-1</f>
        <v/>
      </c>
      <c r="D476" s="66">
        <f>(Table134[[#This Row],[Index]]-B464)/B464</f>
        <v/>
      </c>
    </row>
    <row r="477">
      <c r="A477" s="17" t="n">
        <v>40603</v>
      </c>
      <c r="B477" s="58">
        <f>VLOOKUP(Table134[[#This Row],[Date]],database!A:I,8,)</f>
        <v/>
      </c>
      <c r="C477" s="66">
        <f>B477/B476-1</f>
        <v/>
      </c>
      <c r="D477" s="66">
        <f>(Table134[[#This Row],[Index]]-B465)/B465</f>
        <v/>
      </c>
    </row>
    <row r="478">
      <c r="A478" s="17" t="n">
        <v>40634</v>
      </c>
      <c r="B478" s="58">
        <f>VLOOKUP(Table134[[#This Row],[Date]],database!A:I,8,)</f>
        <v/>
      </c>
      <c r="C478" s="67">
        <f>B478/B477-1</f>
        <v/>
      </c>
      <c r="D478" s="66">
        <f>(Table134[[#This Row],[Index]]-B466)/B466</f>
        <v/>
      </c>
    </row>
    <row r="479">
      <c r="A479" s="17" t="n">
        <v>40664</v>
      </c>
      <c r="B479" s="58">
        <f>VLOOKUP(Table134[[#This Row],[Date]],database!A:I,8,)</f>
        <v/>
      </c>
      <c r="C479" s="66">
        <f>B479/B478-1</f>
        <v/>
      </c>
      <c r="D479" s="66">
        <f>(Table134[[#This Row],[Index]]-B467)/B467</f>
        <v/>
      </c>
    </row>
    <row r="480">
      <c r="A480" s="17" t="n">
        <v>40695</v>
      </c>
      <c r="B480" s="58">
        <f>VLOOKUP(Table134[[#This Row],[Date]],database!A:I,8,)</f>
        <v/>
      </c>
      <c r="C480" s="66">
        <f>B480/B479-1</f>
        <v/>
      </c>
      <c r="D480" s="66">
        <f>(Table134[[#This Row],[Index]]-B468)/B468</f>
        <v/>
      </c>
    </row>
    <row r="481">
      <c r="A481" s="17" t="n">
        <v>40725</v>
      </c>
      <c r="B481" s="58">
        <f>VLOOKUP(Table134[[#This Row],[Date]],database!A:I,8,)</f>
        <v/>
      </c>
      <c r="C481" s="66">
        <f>B481/B480-1</f>
        <v/>
      </c>
      <c r="D481" s="66">
        <f>(Table134[[#This Row],[Index]]-B469)/B469</f>
        <v/>
      </c>
    </row>
    <row r="482">
      <c r="A482" s="17" t="n">
        <v>40756</v>
      </c>
      <c r="B482" s="58">
        <f>VLOOKUP(Table134[[#This Row],[Date]],database!A:I,8,)</f>
        <v/>
      </c>
      <c r="C482" s="66">
        <f>B482/B481-1</f>
        <v/>
      </c>
      <c r="D482" s="66">
        <f>(Table134[[#This Row],[Index]]-B470)/B470</f>
        <v/>
      </c>
    </row>
    <row r="483">
      <c r="A483" s="17" t="n">
        <v>40787</v>
      </c>
      <c r="B483" s="58">
        <f>VLOOKUP(Table134[[#This Row],[Date]],database!A:I,8,)</f>
        <v/>
      </c>
      <c r="C483" s="66">
        <f>B483/B482-1</f>
        <v/>
      </c>
      <c r="D483" s="66">
        <f>(Table134[[#This Row],[Index]]-B471)/B471</f>
        <v/>
      </c>
    </row>
    <row r="484">
      <c r="A484" s="17" t="n">
        <v>40817</v>
      </c>
      <c r="B484" s="58">
        <f>VLOOKUP(Table134[[#This Row],[Date]],database!A:I,8,)</f>
        <v/>
      </c>
      <c r="C484" s="66">
        <f>B484/B483-1</f>
        <v/>
      </c>
      <c r="D484" s="66">
        <f>(Table134[[#This Row],[Index]]-B472)/B472</f>
        <v/>
      </c>
    </row>
    <row r="485">
      <c r="A485" s="17" t="n">
        <v>40848</v>
      </c>
      <c r="B485" s="58">
        <f>VLOOKUP(Table134[[#This Row],[Date]],database!A:I,8,)</f>
        <v/>
      </c>
      <c r="C485" s="66">
        <f>B485/B484-1</f>
        <v/>
      </c>
      <c r="D485" s="66">
        <f>(Table134[[#This Row],[Index]]-B473)/B473</f>
        <v/>
      </c>
    </row>
    <row r="486">
      <c r="A486" s="17" t="n">
        <v>40878</v>
      </c>
      <c r="B486" s="58">
        <f>VLOOKUP(Table134[[#This Row],[Date]],database!A:I,8,)</f>
        <v/>
      </c>
      <c r="C486" s="66">
        <f>B486/B485-1</f>
        <v/>
      </c>
      <c r="D486" s="66">
        <f>(Table134[[#This Row],[Index]]-B474)/B474</f>
        <v/>
      </c>
    </row>
    <row r="487">
      <c r="A487" s="17" t="n">
        <v>40909</v>
      </c>
      <c r="B487" s="58">
        <f>VLOOKUP(Table134[[#This Row],[Date]],database!A:I,8,)</f>
        <v/>
      </c>
      <c r="C487" s="66">
        <f>B487/B486-1</f>
        <v/>
      </c>
      <c r="D487" s="66">
        <f>(Table134[[#This Row],[Index]]-B475)/B475</f>
        <v/>
      </c>
    </row>
    <row r="488">
      <c r="A488" s="17" t="n">
        <v>40940</v>
      </c>
      <c r="B488" s="58">
        <f>VLOOKUP(Table134[[#This Row],[Date]],database!A:I,8,)</f>
        <v/>
      </c>
      <c r="C488" s="66">
        <f>B488/B487-1</f>
        <v/>
      </c>
      <c r="D488" s="66">
        <f>(Table134[[#This Row],[Index]]-B476)/B476</f>
        <v/>
      </c>
    </row>
    <row r="489">
      <c r="A489" s="17" t="n">
        <v>40969</v>
      </c>
      <c r="B489" s="58">
        <f>VLOOKUP(Table134[[#This Row],[Date]],database!A:I,8,)</f>
        <v/>
      </c>
      <c r="C489" s="66">
        <f>B489/B488-1</f>
        <v/>
      </c>
      <c r="D489" s="66">
        <f>(Table134[[#This Row],[Index]]-B477)/B477</f>
        <v/>
      </c>
    </row>
    <row r="490">
      <c r="A490" s="17" t="n">
        <v>41000</v>
      </c>
      <c r="B490" s="58">
        <f>VLOOKUP(Table134[[#This Row],[Date]],database!A:I,8,)</f>
        <v/>
      </c>
      <c r="C490" s="66">
        <f>B490/B489-1</f>
        <v/>
      </c>
      <c r="D490" s="66">
        <f>(Table134[[#This Row],[Index]]-B478)/B478</f>
        <v/>
      </c>
    </row>
    <row r="491">
      <c r="A491" s="17" t="n">
        <v>41030</v>
      </c>
      <c r="B491" s="58">
        <f>VLOOKUP(Table134[[#This Row],[Date]],database!A:I,8,)</f>
        <v/>
      </c>
      <c r="C491" s="66">
        <f>B491/B490-1</f>
        <v/>
      </c>
      <c r="D491" s="66">
        <f>(Table134[[#This Row],[Index]]-B479)/B479</f>
        <v/>
      </c>
    </row>
    <row r="492">
      <c r="A492" s="17" t="n">
        <v>41061</v>
      </c>
      <c r="B492" s="58">
        <f>VLOOKUP(Table134[[#This Row],[Date]],database!A:I,8,)</f>
        <v/>
      </c>
      <c r="C492" s="66">
        <f>B492/B491-1</f>
        <v/>
      </c>
      <c r="D492" s="66">
        <f>(Table134[[#This Row],[Index]]-B480)/B480</f>
        <v/>
      </c>
    </row>
    <row r="493">
      <c r="A493" s="17" t="n">
        <v>41091</v>
      </c>
      <c r="B493" s="58">
        <f>VLOOKUP(Table134[[#This Row],[Date]],database!A:I,8,)</f>
        <v/>
      </c>
      <c r="C493" s="66">
        <f>B493/B492-1</f>
        <v/>
      </c>
      <c r="D493" s="66">
        <f>(Table134[[#This Row],[Index]]-B481)/B481</f>
        <v/>
      </c>
    </row>
    <row r="494">
      <c r="A494" s="17" t="n">
        <v>41122</v>
      </c>
      <c r="B494" s="58">
        <f>VLOOKUP(Table134[[#This Row],[Date]],database!A:I,8,)</f>
        <v/>
      </c>
      <c r="C494" s="66">
        <f>B494/B493-1</f>
        <v/>
      </c>
      <c r="D494" s="66">
        <f>(Table134[[#This Row],[Index]]-B482)/B482</f>
        <v/>
      </c>
    </row>
    <row r="495">
      <c r="A495" s="17" t="n">
        <v>41153</v>
      </c>
      <c r="B495" s="58">
        <f>VLOOKUP(Table134[[#This Row],[Date]],database!A:I,8,)</f>
        <v/>
      </c>
      <c r="C495" s="66">
        <f>B495/B494-1</f>
        <v/>
      </c>
      <c r="D495" s="66">
        <f>(Table134[[#This Row],[Index]]-B483)/B483</f>
        <v/>
      </c>
    </row>
    <row r="496">
      <c r="A496" s="17" t="n">
        <v>41183</v>
      </c>
      <c r="B496" s="58">
        <f>VLOOKUP(Table134[[#This Row],[Date]],database!A:I,8,)</f>
        <v/>
      </c>
      <c r="C496" s="66">
        <f>B496/B495-1</f>
        <v/>
      </c>
      <c r="D496" s="66">
        <f>(Table134[[#This Row],[Index]]-B484)/B484</f>
        <v/>
      </c>
    </row>
    <row r="497">
      <c r="A497" s="17" t="n">
        <v>41214</v>
      </c>
      <c r="B497" s="58">
        <f>VLOOKUP(Table134[[#This Row],[Date]],database!A:I,8,)</f>
        <v/>
      </c>
      <c r="C497" s="66">
        <f>B497/B496-1</f>
        <v/>
      </c>
      <c r="D497" s="66">
        <f>(Table134[[#This Row],[Index]]-B485)/B485</f>
        <v/>
      </c>
    </row>
    <row r="498">
      <c r="A498" s="17" t="n">
        <v>41244</v>
      </c>
      <c r="B498" s="58">
        <f>VLOOKUP(Table134[[#This Row],[Date]],database!A:I,8,)</f>
        <v/>
      </c>
      <c r="C498" s="66">
        <f>B498/B497-1</f>
        <v/>
      </c>
      <c r="D498" s="66">
        <f>(Table134[[#This Row],[Index]]-B486)/B486</f>
        <v/>
      </c>
    </row>
    <row r="499">
      <c r="A499" s="17" t="n">
        <v>41275</v>
      </c>
      <c r="B499" s="58">
        <f>VLOOKUP(Table134[[#This Row],[Date]],database!A:I,8,)</f>
        <v/>
      </c>
      <c r="C499" s="66">
        <f>B499/B498-1</f>
        <v/>
      </c>
      <c r="D499" s="66">
        <f>(Table134[[#This Row],[Index]]-B487)/B487</f>
        <v/>
      </c>
    </row>
    <row r="500">
      <c r="A500" s="17" t="n">
        <v>41306</v>
      </c>
      <c r="B500" s="58">
        <f>VLOOKUP(Table134[[#This Row],[Date]],database!A:I,8,)</f>
        <v/>
      </c>
      <c r="C500" s="66">
        <f>B500/B499-1</f>
        <v/>
      </c>
      <c r="D500" s="66">
        <f>(Table134[[#This Row],[Index]]-B488)/B488</f>
        <v/>
      </c>
    </row>
    <row r="501">
      <c r="A501" s="17" t="n">
        <v>41334</v>
      </c>
      <c r="B501" s="58">
        <f>VLOOKUP(Table134[[#This Row],[Date]],database!A:I,8,)</f>
        <v/>
      </c>
      <c r="C501" s="66">
        <f>B501/B500-1</f>
        <v/>
      </c>
      <c r="D501" s="66">
        <f>(Table134[[#This Row],[Index]]-B489)/B489</f>
        <v/>
      </c>
    </row>
    <row r="502">
      <c r="A502" s="17" t="n">
        <v>41365</v>
      </c>
      <c r="B502" s="58">
        <f>VLOOKUP(Table134[[#This Row],[Date]],database!A:I,8,)</f>
        <v/>
      </c>
      <c r="C502" s="66">
        <f>B502/B501-1</f>
        <v/>
      </c>
      <c r="D502" s="66">
        <f>(Table134[[#This Row],[Index]]-B490)/B490</f>
        <v/>
      </c>
    </row>
    <row r="503">
      <c r="A503" s="17" t="n">
        <v>41395</v>
      </c>
      <c r="B503" s="58">
        <f>VLOOKUP(Table134[[#This Row],[Date]],database!A:I,8,)</f>
        <v/>
      </c>
      <c r="C503" s="66">
        <f>B503/B502-1</f>
        <v/>
      </c>
      <c r="D503" s="66">
        <f>(Table134[[#This Row],[Index]]-B491)/B491</f>
        <v/>
      </c>
    </row>
    <row r="504">
      <c r="A504" s="17" t="n">
        <v>41426</v>
      </c>
      <c r="B504" s="58">
        <f>VLOOKUP(Table134[[#This Row],[Date]],database!A:I,8,)</f>
        <v/>
      </c>
      <c r="C504" s="66">
        <f>B504/B503-1</f>
        <v/>
      </c>
      <c r="D504" s="66">
        <f>(Table134[[#This Row],[Index]]-B492)/B492</f>
        <v/>
      </c>
    </row>
    <row r="505">
      <c r="A505" s="17" t="n">
        <v>41456</v>
      </c>
      <c r="B505" s="58">
        <f>VLOOKUP(Table134[[#This Row],[Date]],database!A:I,8,)</f>
        <v/>
      </c>
      <c r="C505" s="66">
        <f>B505/B504-1</f>
        <v/>
      </c>
      <c r="D505" s="66">
        <f>(Table134[[#This Row],[Index]]-B493)/B493</f>
        <v/>
      </c>
    </row>
    <row r="506">
      <c r="A506" s="17" t="n">
        <v>41487</v>
      </c>
      <c r="B506" s="58">
        <f>VLOOKUP(Table134[[#This Row],[Date]],database!A:I,8,)</f>
        <v/>
      </c>
      <c r="C506" s="66">
        <f>B506/B505-1</f>
        <v/>
      </c>
      <c r="D506" s="66">
        <f>(Table134[[#This Row],[Index]]-B494)/B494</f>
        <v/>
      </c>
    </row>
    <row r="507">
      <c r="A507" s="17" t="n">
        <v>41518</v>
      </c>
      <c r="B507" s="58">
        <f>VLOOKUP(Table134[[#This Row],[Date]],database!A:I,8,)</f>
        <v/>
      </c>
      <c r="C507" s="66">
        <f>B507/B506-1</f>
        <v/>
      </c>
      <c r="D507" s="66">
        <f>(Table134[[#This Row],[Index]]-B495)/B495</f>
        <v/>
      </c>
    </row>
    <row r="508">
      <c r="A508" s="17" t="n">
        <v>41548</v>
      </c>
      <c r="B508" s="58">
        <f>VLOOKUP(Table134[[#This Row],[Date]],database!A:I,8,)</f>
        <v/>
      </c>
      <c r="C508" s="66">
        <f>B508/B507-1</f>
        <v/>
      </c>
      <c r="D508" s="66">
        <f>(Table134[[#This Row],[Index]]-B496)/B496</f>
        <v/>
      </c>
    </row>
    <row r="509">
      <c r="A509" s="17" t="n">
        <v>41579</v>
      </c>
      <c r="B509" s="58">
        <f>VLOOKUP(Table134[[#This Row],[Date]],database!A:I,8,)</f>
        <v/>
      </c>
      <c r="C509" s="66">
        <f>B509/B508-1</f>
        <v/>
      </c>
      <c r="D509" s="66">
        <f>(Table134[[#This Row],[Index]]-B497)/B497</f>
        <v/>
      </c>
    </row>
    <row r="510">
      <c r="A510" s="17" t="n">
        <v>41609</v>
      </c>
      <c r="B510" s="58">
        <f>VLOOKUP(Table134[[#This Row],[Date]],database!A:I,8,)</f>
        <v/>
      </c>
      <c r="C510" s="66">
        <f>B510/B509-1</f>
        <v/>
      </c>
      <c r="D510" s="66">
        <f>(Table134[[#This Row],[Index]]-B498)/B498</f>
        <v/>
      </c>
    </row>
    <row r="511">
      <c r="A511" s="17" t="n">
        <v>41640</v>
      </c>
      <c r="B511" s="58">
        <f>VLOOKUP(Table134[[#This Row],[Date]],database!A:I,8,)</f>
        <v/>
      </c>
      <c r="C511" s="66">
        <f>B511/B510-1</f>
        <v/>
      </c>
      <c r="D511" s="66">
        <f>(Table134[[#This Row],[Index]]-B499)/B499</f>
        <v/>
      </c>
    </row>
    <row r="512">
      <c r="A512" s="17" t="n">
        <v>41671</v>
      </c>
      <c r="B512" s="58">
        <f>VLOOKUP(Table134[[#This Row],[Date]],database!A:I,8,)</f>
        <v/>
      </c>
      <c r="C512" s="66">
        <f>B512/B511-1</f>
        <v/>
      </c>
      <c r="D512" s="66">
        <f>(Table134[[#This Row],[Index]]-B500)/B500</f>
        <v/>
      </c>
    </row>
    <row r="513">
      <c r="A513" s="17" t="n">
        <v>41699</v>
      </c>
      <c r="B513" s="58">
        <f>VLOOKUP(Table134[[#This Row],[Date]],database!A:I,8,)</f>
        <v/>
      </c>
      <c r="C513" s="66">
        <f>B513/B512-1</f>
        <v/>
      </c>
      <c r="D513" s="66">
        <f>(Table134[[#This Row],[Index]]-B501)/B501</f>
        <v/>
      </c>
    </row>
    <row r="514">
      <c r="A514" s="17" t="n">
        <v>41730</v>
      </c>
      <c r="B514" s="58">
        <f>VLOOKUP(Table134[[#This Row],[Date]],database!A:I,8,)</f>
        <v/>
      </c>
      <c r="C514" s="66">
        <f>B514/B513-1</f>
        <v/>
      </c>
      <c r="D514" s="66">
        <f>(Table134[[#This Row],[Index]]-B502)/B502</f>
        <v/>
      </c>
    </row>
    <row r="515">
      <c r="A515" s="17" t="n">
        <v>41760</v>
      </c>
      <c r="B515" s="58">
        <f>VLOOKUP(Table134[[#This Row],[Date]],database!A:I,8,)</f>
        <v/>
      </c>
      <c r="C515" s="66">
        <f>B515/B514-1</f>
        <v/>
      </c>
      <c r="D515" s="66">
        <f>(Table134[[#This Row],[Index]]-B503)/B503</f>
        <v/>
      </c>
    </row>
    <row r="516">
      <c r="A516" s="17" t="n">
        <v>41791</v>
      </c>
      <c r="B516" s="58">
        <f>VLOOKUP(Table134[[#This Row],[Date]],database!A:I,8,)</f>
        <v/>
      </c>
      <c r="C516" s="66">
        <f>B516/B515-1</f>
        <v/>
      </c>
      <c r="D516" s="66">
        <f>(Table134[[#This Row],[Index]]-B504)/B504</f>
        <v/>
      </c>
    </row>
    <row r="517">
      <c r="A517" s="17" t="n">
        <v>41821</v>
      </c>
      <c r="B517" s="58">
        <f>VLOOKUP(Table134[[#This Row],[Date]],database!A:I,8,)</f>
        <v/>
      </c>
      <c r="C517" s="66">
        <f>B517/B516-1</f>
        <v/>
      </c>
      <c r="D517" s="66">
        <f>(Table134[[#This Row],[Index]]-B505)/B505</f>
        <v/>
      </c>
    </row>
    <row r="518">
      <c r="A518" s="17" t="n">
        <v>41852</v>
      </c>
      <c r="B518" s="58">
        <f>VLOOKUP(Table134[[#This Row],[Date]],database!A:I,8,)</f>
        <v/>
      </c>
      <c r="C518" s="66">
        <f>B518/B517-1</f>
        <v/>
      </c>
      <c r="D518" s="66">
        <f>(Table134[[#This Row],[Index]]-B506)/B506</f>
        <v/>
      </c>
    </row>
    <row r="519">
      <c r="A519" s="17" t="n">
        <v>41883</v>
      </c>
      <c r="B519" s="58">
        <f>VLOOKUP(Table134[[#This Row],[Date]],database!A:I,8,)</f>
        <v/>
      </c>
      <c r="C519" s="66">
        <f>B519/B518-1</f>
        <v/>
      </c>
      <c r="D519" s="66">
        <f>(Table134[[#This Row],[Index]]-B507)/B507</f>
        <v/>
      </c>
    </row>
    <row r="520">
      <c r="A520" s="17" t="n">
        <v>41913</v>
      </c>
      <c r="B520" s="58">
        <f>VLOOKUP(Table134[[#This Row],[Date]],database!A:I,8,)</f>
        <v/>
      </c>
      <c r="C520" s="66">
        <f>B520/B519-1</f>
        <v/>
      </c>
      <c r="D520" s="66">
        <f>(Table134[[#This Row],[Index]]-B508)/B508</f>
        <v/>
      </c>
    </row>
    <row r="521">
      <c r="A521" s="17" t="n">
        <v>41944</v>
      </c>
      <c r="B521" s="58">
        <f>VLOOKUP(Table134[[#This Row],[Date]],database!A:I,8,)</f>
        <v/>
      </c>
      <c r="C521" s="67">
        <f>B521/B520-1</f>
        <v/>
      </c>
      <c r="D521" s="66">
        <f>(Table134[[#This Row],[Index]]-B509)/B509</f>
        <v/>
      </c>
    </row>
    <row r="522">
      <c r="A522" s="17" t="n">
        <v>41974</v>
      </c>
      <c r="B522" s="58">
        <f>VLOOKUP(Table134[[#This Row],[Date]],database!A:I,8,)</f>
        <v/>
      </c>
      <c r="C522" s="66">
        <f>B522/B521-1</f>
        <v/>
      </c>
      <c r="D522" s="66">
        <f>(Table134[[#This Row],[Index]]-B510)/B510</f>
        <v/>
      </c>
    </row>
    <row r="523">
      <c r="A523" s="17" t="n">
        <v>42005</v>
      </c>
      <c r="B523" s="58">
        <f>VLOOKUP(Table134[[#This Row],[Date]],database!A:I,8,)</f>
        <v/>
      </c>
      <c r="C523" s="67">
        <f>B523/B522-1</f>
        <v/>
      </c>
      <c r="D523" s="66">
        <f>(Table134[[#This Row],[Index]]-B511)/B511</f>
        <v/>
      </c>
    </row>
    <row r="524">
      <c r="A524" s="17" t="n">
        <v>42036</v>
      </c>
      <c r="B524" s="58">
        <f>VLOOKUP(Table134[[#This Row],[Date]],database!A:I,8,)</f>
        <v/>
      </c>
      <c r="C524" s="66">
        <f>B524/B523-1</f>
        <v/>
      </c>
      <c r="D524" s="66">
        <f>(Table134[[#This Row],[Index]]-B512)/B512</f>
        <v/>
      </c>
    </row>
    <row r="525">
      <c r="A525" s="17" t="n">
        <v>42064</v>
      </c>
      <c r="B525" s="58">
        <f>VLOOKUP(Table134[[#This Row],[Date]],database!A:I,8,)</f>
        <v/>
      </c>
      <c r="C525" s="67">
        <f>B525/B524-1</f>
        <v/>
      </c>
      <c r="D525" s="66">
        <f>(Table134[[#This Row],[Index]]-B513)/B513</f>
        <v/>
      </c>
    </row>
    <row r="526">
      <c r="A526" s="17" t="n">
        <v>42095</v>
      </c>
      <c r="B526" s="58">
        <f>VLOOKUP(Table134[[#This Row],[Date]],database!A:I,8,)</f>
        <v/>
      </c>
      <c r="C526" s="66">
        <f>B526/B525-1</f>
        <v/>
      </c>
      <c r="D526" s="66">
        <f>(Table134[[#This Row],[Index]]-B514)/B514</f>
        <v/>
      </c>
    </row>
    <row r="527">
      <c r="A527" s="17" t="n">
        <v>42125</v>
      </c>
      <c r="B527" s="58">
        <f>VLOOKUP(Table134[[#This Row],[Date]],database!A:I,8,)</f>
        <v/>
      </c>
      <c r="C527" s="66">
        <f>B527/B526-1</f>
        <v/>
      </c>
      <c r="D527" s="66">
        <f>(Table134[[#This Row],[Index]]-B515)/B515</f>
        <v/>
      </c>
    </row>
    <row r="528">
      <c r="A528" s="17" t="n">
        <v>42156</v>
      </c>
      <c r="B528" s="58">
        <f>VLOOKUP(Table134[[#This Row],[Date]],database!A:I,8,)</f>
        <v/>
      </c>
      <c r="C528" s="66">
        <f>B528/B527-1</f>
        <v/>
      </c>
      <c r="D528" s="66">
        <f>(Table134[[#This Row],[Index]]-B516)/B516</f>
        <v/>
      </c>
    </row>
    <row r="529">
      <c r="A529" s="17" t="n">
        <v>42186</v>
      </c>
      <c r="B529" s="58">
        <f>VLOOKUP(Table134[[#This Row],[Date]],database!A:I,8,)</f>
        <v/>
      </c>
      <c r="C529" s="66">
        <f>B529/B528-1</f>
        <v/>
      </c>
      <c r="D529" s="66">
        <f>(Table134[[#This Row],[Index]]-B517)/B517</f>
        <v/>
      </c>
    </row>
    <row r="530">
      <c r="A530" s="17" t="n">
        <v>42217</v>
      </c>
      <c r="B530" s="58">
        <f>VLOOKUP(Table134[[#This Row],[Date]],database!A:I,8,)</f>
        <v/>
      </c>
      <c r="C530" s="66">
        <f>B530/B529-1</f>
        <v/>
      </c>
      <c r="D530" s="66">
        <f>(Table134[[#This Row],[Index]]-B518)/B518</f>
        <v/>
      </c>
    </row>
    <row r="531">
      <c r="A531" s="17" t="n">
        <v>42248</v>
      </c>
      <c r="B531" s="58">
        <f>VLOOKUP(Table134[[#This Row],[Date]],database!A:I,8,)</f>
        <v/>
      </c>
      <c r="C531" s="66">
        <f>B531/B530-1</f>
        <v/>
      </c>
      <c r="D531" s="66">
        <f>(Table134[[#This Row],[Index]]-B519)/B519</f>
        <v/>
      </c>
    </row>
    <row r="532">
      <c r="A532" s="17" t="n">
        <v>42278</v>
      </c>
      <c r="B532" s="58">
        <f>VLOOKUP(Table134[[#This Row],[Date]],database!A:I,8,)</f>
        <v/>
      </c>
      <c r="C532" s="66">
        <f>B532/B531-1</f>
        <v/>
      </c>
      <c r="D532" s="66">
        <f>(Table134[[#This Row],[Index]]-B520)/B520</f>
        <v/>
      </c>
    </row>
    <row r="533">
      <c r="A533" s="17" t="n">
        <v>42309</v>
      </c>
      <c r="B533" s="58">
        <f>VLOOKUP(Table134[[#This Row],[Date]],database!A:I,8,)</f>
        <v/>
      </c>
      <c r="C533" s="66">
        <f>B533/B532-1</f>
        <v/>
      </c>
      <c r="D533" s="66">
        <f>(Table134[[#This Row],[Index]]-B521)/B521</f>
        <v/>
      </c>
    </row>
    <row r="534">
      <c r="A534" s="17" t="n">
        <v>42339</v>
      </c>
      <c r="B534" s="58">
        <f>VLOOKUP(Table134[[#This Row],[Date]],database!A:I,8,)</f>
        <v/>
      </c>
      <c r="C534" s="66">
        <f>B534/B533-1</f>
        <v/>
      </c>
      <c r="D534" s="66">
        <f>(Table134[[#This Row],[Index]]-B522)/B522</f>
        <v/>
      </c>
    </row>
    <row r="535">
      <c r="A535" s="17" t="n">
        <v>42370</v>
      </c>
      <c r="B535" s="58">
        <f>VLOOKUP(Table134[[#This Row],[Date]],database!A:I,8,)</f>
        <v/>
      </c>
      <c r="C535" s="66">
        <f>B535/B534-1</f>
        <v/>
      </c>
      <c r="D535" s="66">
        <f>(Table134[[#This Row],[Index]]-B523)/B523</f>
        <v/>
      </c>
    </row>
    <row r="536">
      <c r="A536" s="17" t="n">
        <v>42401</v>
      </c>
      <c r="B536" s="58">
        <f>VLOOKUP(Table134[[#This Row],[Date]],database!A:I,8,)</f>
        <v/>
      </c>
      <c r="C536" s="66">
        <f>B536/B535-1</f>
        <v/>
      </c>
      <c r="D536" s="66">
        <f>(Table134[[#This Row],[Index]]-B524)/B524</f>
        <v/>
      </c>
    </row>
    <row r="537">
      <c r="A537" s="17" t="n">
        <v>42430</v>
      </c>
      <c r="B537" s="58">
        <f>VLOOKUP(Table134[[#This Row],[Date]],database!A:I,8,)</f>
        <v/>
      </c>
      <c r="C537" s="66">
        <f>B537/B536-1</f>
        <v/>
      </c>
      <c r="D537" s="66">
        <f>(Table134[[#This Row],[Index]]-B525)/B525</f>
        <v/>
      </c>
    </row>
    <row r="538">
      <c r="A538" s="17" t="n">
        <v>42461</v>
      </c>
      <c r="B538" s="58">
        <f>VLOOKUP(Table134[[#This Row],[Date]],database!A:I,8,)</f>
        <v/>
      </c>
      <c r="C538" s="66">
        <f>B538/B537-1</f>
        <v/>
      </c>
      <c r="D538" s="66">
        <f>(Table134[[#This Row],[Index]]-B526)/B526</f>
        <v/>
      </c>
    </row>
    <row r="539">
      <c r="A539" s="17" t="n">
        <v>42491</v>
      </c>
      <c r="B539" s="58">
        <f>VLOOKUP(Table134[[#This Row],[Date]],database!A:I,8,)</f>
        <v/>
      </c>
      <c r="C539" s="66">
        <f>B539/B538-1</f>
        <v/>
      </c>
      <c r="D539" s="66">
        <f>(Table134[[#This Row],[Index]]-B527)/B527</f>
        <v/>
      </c>
    </row>
    <row r="540">
      <c r="A540" s="17" t="n">
        <v>42522</v>
      </c>
      <c r="B540" s="58">
        <f>VLOOKUP(Table134[[#This Row],[Date]],database!A:I,8,)</f>
        <v/>
      </c>
      <c r="C540" s="66">
        <f>B540/B539-1</f>
        <v/>
      </c>
      <c r="D540" s="66">
        <f>(Table134[[#This Row],[Index]]-B528)/B528</f>
        <v/>
      </c>
    </row>
    <row r="541">
      <c r="A541" s="17" t="n">
        <v>42552</v>
      </c>
      <c r="B541" s="58">
        <f>VLOOKUP(Table134[[#This Row],[Date]],database!A:I,8,)</f>
        <v/>
      </c>
      <c r="C541" s="66">
        <f>B541/B540-1</f>
        <v/>
      </c>
      <c r="D541" s="66">
        <f>(Table134[[#This Row],[Index]]-B529)/B529</f>
        <v/>
      </c>
    </row>
    <row r="542">
      <c r="A542" s="17" t="n">
        <v>42583</v>
      </c>
      <c r="B542" s="58">
        <f>VLOOKUP(Table134[[#This Row],[Date]],database!A:I,8,)</f>
        <v/>
      </c>
      <c r="C542" s="66">
        <f>B542/B541-1</f>
        <v/>
      </c>
      <c r="D542" s="66">
        <f>(Table134[[#This Row],[Index]]-B530)/B530</f>
        <v/>
      </c>
    </row>
    <row r="543">
      <c r="A543" s="17" t="n">
        <v>42614</v>
      </c>
      <c r="B543" s="58">
        <f>VLOOKUP(Table134[[#This Row],[Date]],database!A:I,8,)</f>
        <v/>
      </c>
      <c r="C543" s="66">
        <f>B543/B542-1</f>
        <v/>
      </c>
      <c r="D543" s="66">
        <f>(Table134[[#This Row],[Index]]-B531)/B531</f>
        <v/>
      </c>
    </row>
    <row r="544">
      <c r="A544" s="17" t="n">
        <v>42644</v>
      </c>
      <c r="B544" s="58">
        <f>VLOOKUP(Table134[[#This Row],[Date]],database!A:I,8,)</f>
        <v/>
      </c>
      <c r="C544" s="66">
        <f>B544/B543-1</f>
        <v/>
      </c>
      <c r="D544" s="66">
        <f>(Table134[[#This Row],[Index]]-B532)/B532</f>
        <v/>
      </c>
    </row>
    <row r="545">
      <c r="A545" s="17" t="n">
        <v>42675</v>
      </c>
      <c r="B545" s="58">
        <f>VLOOKUP(Table134[[#This Row],[Date]],database!A:I,8,)</f>
        <v/>
      </c>
      <c r="C545" s="66">
        <f>B545/B544-1</f>
        <v/>
      </c>
      <c r="D545" s="66">
        <f>(Table134[[#This Row],[Index]]-B533)/B533</f>
        <v/>
      </c>
    </row>
    <row r="546">
      <c r="A546" s="17" t="n">
        <v>42705</v>
      </c>
      <c r="B546" s="58">
        <f>VLOOKUP(Table134[[#This Row],[Date]],database!A:I,8,)</f>
        <v/>
      </c>
      <c r="C546" s="66">
        <f>B546/B545-1</f>
        <v/>
      </c>
      <c r="D546" s="66">
        <f>(Table134[[#This Row],[Index]]-B534)/B534</f>
        <v/>
      </c>
    </row>
    <row r="547">
      <c r="A547" s="17" t="n">
        <v>42736</v>
      </c>
      <c r="B547" s="58">
        <f>VLOOKUP(Table134[[#This Row],[Date]],database!A:I,8,)</f>
        <v/>
      </c>
      <c r="C547" s="66">
        <f>B547/B546-1</f>
        <v/>
      </c>
      <c r="D547" s="66">
        <f>(Table134[[#This Row],[Index]]-B535)/B535</f>
        <v/>
      </c>
    </row>
    <row r="548">
      <c r="A548" s="17" t="n">
        <v>42767</v>
      </c>
      <c r="B548" s="58">
        <f>VLOOKUP(Table134[[#This Row],[Date]],database!A:I,8,)</f>
        <v/>
      </c>
      <c r="C548" s="66">
        <f>B548/B547-1</f>
        <v/>
      </c>
      <c r="D548" s="66">
        <f>(Table134[[#This Row],[Index]]-B536)/B536</f>
        <v/>
      </c>
    </row>
    <row r="549">
      <c r="A549" s="17" t="n">
        <v>42795</v>
      </c>
      <c r="B549" s="58">
        <f>VLOOKUP(Table134[[#This Row],[Date]],database!A:I,8,)</f>
        <v/>
      </c>
      <c r="C549" s="66">
        <f>B549/B548-1</f>
        <v/>
      </c>
      <c r="D549" s="66">
        <f>(Table134[[#This Row],[Index]]-B537)/B537</f>
        <v/>
      </c>
    </row>
    <row r="550">
      <c r="A550" s="17" t="n">
        <v>42826</v>
      </c>
      <c r="B550" s="58">
        <f>VLOOKUP(Table134[[#This Row],[Date]],database!A:I,8,)</f>
        <v/>
      </c>
      <c r="C550" s="66">
        <f>B550/B549-1</f>
        <v/>
      </c>
      <c r="D550" s="66">
        <f>(Table134[[#This Row],[Index]]-B538)/B538</f>
        <v/>
      </c>
    </row>
    <row r="551">
      <c r="A551" s="17" t="n">
        <v>42856</v>
      </c>
      <c r="B551" s="58">
        <f>VLOOKUP(Table134[[#This Row],[Date]],database!A:I,8,)</f>
        <v/>
      </c>
      <c r="C551" s="66">
        <f>B551/B550-1</f>
        <v/>
      </c>
      <c r="D551" s="66">
        <f>(Table134[[#This Row],[Index]]-B539)/B539</f>
        <v/>
      </c>
    </row>
    <row r="552">
      <c r="A552" s="17" t="n">
        <v>42887</v>
      </c>
      <c r="B552" s="58">
        <f>VLOOKUP(Table134[[#This Row],[Date]],database!A:I,8,)</f>
        <v/>
      </c>
      <c r="C552" s="66">
        <f>B552/B551-1</f>
        <v/>
      </c>
      <c r="D552" s="66">
        <f>(Table134[[#This Row],[Index]]-B540)/B540</f>
        <v/>
      </c>
    </row>
    <row r="553">
      <c r="A553" s="17" t="n">
        <v>42917</v>
      </c>
      <c r="B553" s="58">
        <f>VLOOKUP(Table134[[#This Row],[Date]],database!A:I,8,)</f>
        <v/>
      </c>
      <c r="C553" s="66">
        <f>B553/B552-1</f>
        <v/>
      </c>
      <c r="D553" s="66">
        <f>(Table134[[#This Row],[Index]]-B541)/B541</f>
        <v/>
      </c>
    </row>
    <row r="554">
      <c r="A554" s="17" t="n">
        <v>42948</v>
      </c>
      <c r="B554" s="58">
        <f>VLOOKUP(Table134[[#This Row],[Date]],database!A:I,8,)</f>
        <v/>
      </c>
      <c r="C554" s="66">
        <f>B554/B553-1</f>
        <v/>
      </c>
      <c r="D554" s="66">
        <f>(Table134[[#This Row],[Index]]-B542)/B542</f>
        <v/>
      </c>
    </row>
    <row r="555">
      <c r="A555" s="17" t="n">
        <v>42979</v>
      </c>
      <c r="B555" s="58">
        <f>VLOOKUP(Table134[[#This Row],[Date]],database!A:I,8,)</f>
        <v/>
      </c>
      <c r="C555" s="66">
        <f>B555/B554-1</f>
        <v/>
      </c>
      <c r="D555" s="66">
        <f>(Table134[[#This Row],[Index]]-B543)/B543</f>
        <v/>
      </c>
    </row>
    <row r="556">
      <c r="A556" s="17" t="n">
        <v>43009</v>
      </c>
      <c r="B556" s="58">
        <f>VLOOKUP(Table134[[#This Row],[Date]],database!A:I,8,)</f>
        <v/>
      </c>
      <c r="C556" s="66">
        <f>B556/B555-1</f>
        <v/>
      </c>
      <c r="D556" s="66">
        <f>(Table134[[#This Row],[Index]]-B544)/B544</f>
        <v/>
      </c>
    </row>
    <row r="557">
      <c r="A557" s="17" t="n">
        <v>43040</v>
      </c>
      <c r="B557" s="58">
        <f>VLOOKUP(Table134[[#This Row],[Date]],database!A:I,8,)</f>
        <v/>
      </c>
      <c r="C557" s="66">
        <f>B557/B556-1</f>
        <v/>
      </c>
      <c r="D557" s="66">
        <f>(Table134[[#This Row],[Index]]-B545)/B545</f>
        <v/>
      </c>
    </row>
    <row r="558">
      <c r="A558" s="17" t="n">
        <v>43070</v>
      </c>
      <c r="B558" s="58">
        <f>VLOOKUP(Table134[[#This Row],[Date]],database!A:I,8,)</f>
        <v/>
      </c>
      <c r="C558" s="66">
        <f>B558/B557-1</f>
        <v/>
      </c>
      <c r="D558" s="66">
        <f>(Table134[[#This Row],[Index]]-B546)/B546</f>
        <v/>
      </c>
    </row>
    <row r="559">
      <c r="A559" s="17" t="n">
        <v>43101</v>
      </c>
      <c r="B559" s="58">
        <f>VLOOKUP(Table134[[#This Row],[Date]],database!A:I,8,)</f>
        <v/>
      </c>
      <c r="C559" s="66">
        <f>B559/B558-1</f>
        <v/>
      </c>
      <c r="D559" s="66">
        <f>(Table134[[#This Row],[Index]]-B547)/B547</f>
        <v/>
      </c>
    </row>
    <row r="560">
      <c r="A560" s="17" t="n">
        <v>43132</v>
      </c>
      <c r="B560" s="58">
        <f>VLOOKUP(Table134[[#This Row],[Date]],database!A:I,8,)</f>
        <v/>
      </c>
      <c r="C560" s="66">
        <f>B560/B559-1</f>
        <v/>
      </c>
      <c r="D560" s="66">
        <f>(Table134[[#This Row],[Index]]-B548)/B548</f>
        <v/>
      </c>
    </row>
    <row r="561">
      <c r="A561" s="17" t="n">
        <v>43160</v>
      </c>
      <c r="B561" s="58">
        <f>VLOOKUP(Table134[[#This Row],[Date]],database!A:I,8,)</f>
        <v/>
      </c>
      <c r="C561" s="66">
        <f>B561/B560-1</f>
        <v/>
      </c>
      <c r="D561" s="66">
        <f>(Table134[[#This Row],[Index]]-B549)/B549</f>
        <v/>
      </c>
    </row>
    <row r="562">
      <c r="A562" s="17" t="n">
        <v>43191</v>
      </c>
      <c r="B562" s="58">
        <f>VLOOKUP(Table134[[#This Row],[Date]],database!A:I,8,)</f>
        <v/>
      </c>
      <c r="C562" s="66">
        <f>B562/B561-1</f>
        <v/>
      </c>
      <c r="D562" s="66">
        <f>(Table134[[#This Row],[Index]]-B550)/B550</f>
        <v/>
      </c>
    </row>
    <row r="563">
      <c r="A563" s="17" t="n">
        <v>43221</v>
      </c>
      <c r="B563" s="58">
        <f>VLOOKUP(Table134[[#This Row],[Date]],database!A:I,8,)</f>
        <v/>
      </c>
      <c r="C563" s="66">
        <f>B563/B562-1</f>
        <v/>
      </c>
      <c r="D563" s="66">
        <f>(Table134[[#This Row],[Index]]-B551)/B551</f>
        <v/>
      </c>
    </row>
    <row r="564">
      <c r="A564" s="17" t="n">
        <v>43252</v>
      </c>
      <c r="B564" s="58">
        <f>VLOOKUP(Table134[[#This Row],[Date]],database!A:I,8,)</f>
        <v/>
      </c>
      <c r="C564" s="66">
        <f>B564/B563-1</f>
        <v/>
      </c>
      <c r="D564" s="66">
        <f>(Table134[[#This Row],[Index]]-B552)/B552</f>
        <v/>
      </c>
    </row>
    <row r="565">
      <c r="A565" s="17" t="n">
        <v>43282</v>
      </c>
      <c r="B565" s="58">
        <f>VLOOKUP(Table134[[#This Row],[Date]],database!A:I,8,)</f>
        <v/>
      </c>
      <c r="C565" s="66">
        <f>B565/B564-1</f>
        <v/>
      </c>
      <c r="D565" s="66">
        <f>(Table134[[#This Row],[Index]]-B553)/B553</f>
        <v/>
      </c>
    </row>
    <row r="566">
      <c r="A566" s="17" t="n">
        <v>43313</v>
      </c>
      <c r="B566" s="58">
        <f>VLOOKUP(Table134[[#This Row],[Date]],database!A:I,8,)</f>
        <v/>
      </c>
      <c r="C566" s="66">
        <f>B566/B565-1</f>
        <v/>
      </c>
      <c r="D566" s="66">
        <f>(Table134[[#This Row],[Index]]-B554)/B554</f>
        <v/>
      </c>
    </row>
    <row r="567">
      <c r="A567" s="17" t="n">
        <v>43344</v>
      </c>
      <c r="B567" s="58">
        <f>VLOOKUP(Table134[[#This Row],[Date]],database!A:I,8,)</f>
        <v/>
      </c>
      <c r="C567" s="66">
        <f>B567/B566-1</f>
        <v/>
      </c>
      <c r="D567" s="66">
        <f>(Table134[[#This Row],[Index]]-B555)/B555</f>
        <v/>
      </c>
    </row>
    <row r="568">
      <c r="A568" s="17" t="n">
        <v>43374</v>
      </c>
      <c r="B568" s="58">
        <f>VLOOKUP(Table134[[#This Row],[Date]],database!A:I,8,)</f>
        <v/>
      </c>
      <c r="C568" s="66">
        <f>B568/B567-1</f>
        <v/>
      </c>
      <c r="D568" s="66">
        <f>(Table134[[#This Row],[Index]]-B556)/B556</f>
        <v/>
      </c>
    </row>
    <row r="569">
      <c r="A569" s="17" t="n">
        <v>43405</v>
      </c>
      <c r="B569" s="58">
        <f>VLOOKUP(Table134[[#This Row],[Date]],database!A:I,8,)</f>
        <v/>
      </c>
      <c r="C569" s="66">
        <f>B569/B568-1</f>
        <v/>
      </c>
      <c r="D569" s="66">
        <f>(Table134[[#This Row],[Index]]-B557)/B557</f>
        <v/>
      </c>
    </row>
    <row r="570">
      <c r="A570" s="17" t="n">
        <v>43435</v>
      </c>
      <c r="B570" s="58">
        <f>VLOOKUP(Table134[[#This Row],[Date]],database!A:I,8,)</f>
        <v/>
      </c>
      <c r="C570" s="66">
        <f>B570/B569-1</f>
        <v/>
      </c>
      <c r="D570" s="66">
        <f>(Table134[[#This Row],[Index]]-B558)/B558</f>
        <v/>
      </c>
    </row>
    <row r="571">
      <c r="A571" s="17" t="n">
        <v>43466</v>
      </c>
      <c r="B571" s="58">
        <f>VLOOKUP(Table134[[#This Row],[Date]],database!A:I,8,)</f>
        <v/>
      </c>
      <c r="C571" s="66">
        <f>B571/B570-1</f>
        <v/>
      </c>
      <c r="D571" s="66">
        <f>(Table134[[#This Row],[Index]]-B559)/B559</f>
        <v/>
      </c>
    </row>
    <row r="572">
      <c r="A572" s="17" t="n">
        <v>43497</v>
      </c>
      <c r="B572" s="58">
        <f>VLOOKUP(Table134[[#This Row],[Date]],database!A:I,8,)</f>
        <v/>
      </c>
      <c r="C572" s="66">
        <f>B572/B571-1</f>
        <v/>
      </c>
      <c r="D572" s="66">
        <f>(Table134[[#This Row],[Index]]-B560)/B560</f>
        <v/>
      </c>
    </row>
    <row r="573">
      <c r="A573" s="17" t="n">
        <v>43525</v>
      </c>
      <c r="B573" s="58">
        <f>VLOOKUP(Table134[[#This Row],[Date]],database!A:I,8,)</f>
        <v/>
      </c>
      <c r="C573" s="66">
        <f>B573/B572-1</f>
        <v/>
      </c>
      <c r="D573" s="66">
        <f>(Table134[[#This Row],[Index]]-B561)/B561</f>
        <v/>
      </c>
    </row>
    <row r="574">
      <c r="A574" s="17" t="n">
        <v>43556</v>
      </c>
      <c r="B574" s="58">
        <f>VLOOKUP(Table134[[#This Row],[Date]],database!A:I,8,)</f>
        <v/>
      </c>
      <c r="C574" s="66">
        <f>B574/B573-1</f>
        <v/>
      </c>
      <c r="D574" s="66">
        <f>(Table134[[#This Row],[Index]]-B562)/B562</f>
        <v/>
      </c>
    </row>
    <row r="575">
      <c r="A575" s="17" t="n">
        <v>43586</v>
      </c>
      <c r="B575" s="58">
        <f>VLOOKUP(Table134[[#This Row],[Date]],database!A:I,8,)</f>
        <v/>
      </c>
      <c r="C575" s="66">
        <f>B575/B574-1</f>
        <v/>
      </c>
      <c r="D575" s="66">
        <f>(Table134[[#This Row],[Index]]-B563)/B563</f>
        <v/>
      </c>
    </row>
    <row r="576">
      <c r="A576" s="17" t="n">
        <v>43617</v>
      </c>
      <c r="B576" s="58">
        <f>VLOOKUP(Table134[[#This Row],[Date]],database!A:I,8,)</f>
        <v/>
      </c>
      <c r="C576" s="66">
        <f>B576/B575-1</f>
        <v/>
      </c>
      <c r="D576" s="66">
        <f>(Table134[[#This Row],[Index]]-B564)/B564</f>
        <v/>
      </c>
    </row>
    <row r="577">
      <c r="A577" s="17" t="n">
        <v>43647</v>
      </c>
      <c r="B577" s="58">
        <f>VLOOKUP(Table134[[#This Row],[Date]],database!A:I,8,)</f>
        <v/>
      </c>
      <c r="C577" s="66">
        <f>B577/B576-1</f>
        <v/>
      </c>
      <c r="D577" s="66">
        <f>(Table134[[#This Row],[Index]]-B565)/B565</f>
        <v/>
      </c>
    </row>
    <row r="578">
      <c r="A578" s="17" t="n">
        <v>43678</v>
      </c>
      <c r="B578" s="58">
        <f>VLOOKUP(Table134[[#This Row],[Date]],database!A:I,8,)</f>
        <v/>
      </c>
      <c r="C578" s="66">
        <f>B578/B577-1</f>
        <v/>
      </c>
      <c r="D578" s="66">
        <f>(Table134[[#This Row],[Index]]-B566)/B566</f>
        <v/>
      </c>
    </row>
    <row r="579">
      <c r="A579" s="17" t="n">
        <v>43709</v>
      </c>
      <c r="B579" s="58">
        <f>VLOOKUP(Table134[[#This Row],[Date]],database!A:I,8,)</f>
        <v/>
      </c>
      <c r="C579" s="66">
        <f>B579/B578-1</f>
        <v/>
      </c>
      <c r="D579" s="66">
        <f>(Table134[[#This Row],[Index]]-B567)/B567</f>
        <v/>
      </c>
    </row>
    <row r="580">
      <c r="A580" s="17" t="n">
        <v>43739</v>
      </c>
      <c r="B580" s="58">
        <f>VLOOKUP(Table134[[#This Row],[Date]],database!A:I,8,)</f>
        <v/>
      </c>
      <c r="C580" s="66">
        <f>B580/B579-1</f>
        <v/>
      </c>
      <c r="D580" s="66">
        <f>(Table134[[#This Row],[Index]]-B568)/B568</f>
        <v/>
      </c>
    </row>
    <row r="581">
      <c r="A581" s="17" t="n">
        <v>43770</v>
      </c>
      <c r="B581" s="58">
        <f>VLOOKUP(Table134[[#This Row],[Date]],database!A:I,8,)</f>
        <v/>
      </c>
      <c r="C581" s="66">
        <f>B581/B580-1</f>
        <v/>
      </c>
      <c r="D581" s="66">
        <f>(Table134[[#This Row],[Index]]-B569)/B569</f>
        <v/>
      </c>
    </row>
    <row r="582">
      <c r="A582" s="17" t="n">
        <v>43800</v>
      </c>
      <c r="B582" s="58">
        <f>VLOOKUP(Table134[[#This Row],[Date]],database!A:I,8,)</f>
        <v/>
      </c>
      <c r="C582" s="66">
        <f>B582/B581-1</f>
        <v/>
      </c>
      <c r="D582" s="66">
        <f>(Table134[[#This Row],[Index]]-B570)/B570</f>
        <v/>
      </c>
    </row>
    <row r="583">
      <c r="A583" s="17" t="n">
        <v>43831</v>
      </c>
      <c r="B583" s="58">
        <f>VLOOKUP(Table134[[#This Row],[Date]],database!A:I,8,)</f>
        <v/>
      </c>
      <c r="C583" s="66">
        <f>B583/B582-1</f>
        <v/>
      </c>
      <c r="D583" s="66">
        <f>(Table134[[#This Row],[Index]]-B571)/B571</f>
        <v/>
      </c>
    </row>
    <row r="584">
      <c r="A584" s="17" t="n">
        <v>43862</v>
      </c>
      <c r="B584" s="58">
        <f>VLOOKUP(Table134[[#This Row],[Date]],database!A:I,8,)</f>
        <v/>
      </c>
      <c r="C584" s="66">
        <f>B584/B583-1</f>
        <v/>
      </c>
      <c r="D584" s="66">
        <f>(Table134[[#This Row],[Index]]-B572)/B572</f>
        <v/>
      </c>
    </row>
    <row r="585">
      <c r="A585" s="17" t="n">
        <v>43891</v>
      </c>
      <c r="B585" s="58">
        <f>VLOOKUP(Table134[[#This Row],[Date]],database!A:I,8,)</f>
        <v/>
      </c>
      <c r="C585" s="66">
        <f>B585/B584-1</f>
        <v/>
      </c>
      <c r="D585" s="66">
        <f>(Table134[[#This Row],[Index]]-B573)/B573</f>
        <v/>
      </c>
    </row>
    <row r="586">
      <c r="A586" s="17" t="n">
        <v>43922</v>
      </c>
      <c r="B586" s="58">
        <f>VLOOKUP(Table134[[#This Row],[Date]],database!A:I,8,)</f>
        <v/>
      </c>
      <c r="C586" s="66">
        <f>B586/B585-1</f>
        <v/>
      </c>
      <c r="D586" s="66">
        <f>(Table134[[#This Row],[Index]]-B574)/B574</f>
        <v/>
      </c>
    </row>
    <row r="587">
      <c r="A587" s="17" t="n">
        <v>43952</v>
      </c>
      <c r="B587" s="58">
        <f>VLOOKUP(Table134[[#This Row],[Date]],database!A:I,8,)</f>
        <v/>
      </c>
      <c r="C587" s="66">
        <f>B587/B586-1</f>
        <v/>
      </c>
      <c r="D587" s="66">
        <f>(Table134[[#This Row],[Index]]-B575)/B575</f>
        <v/>
      </c>
    </row>
    <row r="588">
      <c r="A588" s="17" t="n">
        <v>43983</v>
      </c>
      <c r="B588" s="58">
        <f>VLOOKUP(Table134[[#This Row],[Date]],database!A:I,8,)</f>
        <v/>
      </c>
      <c r="C588" s="66">
        <f>B588/B587-1</f>
        <v/>
      </c>
      <c r="D588" s="66">
        <f>(Table134[[#This Row],[Index]]-B576)/B576</f>
        <v/>
      </c>
    </row>
    <row r="589">
      <c r="A589" s="17" t="n">
        <v>44013</v>
      </c>
      <c r="B589" s="58">
        <f>VLOOKUP(Table134[[#This Row],[Date]],database!A:I,8,)</f>
        <v/>
      </c>
      <c r="C589" s="66">
        <f>B589/B588-1</f>
        <v/>
      </c>
      <c r="D589" s="66">
        <f>(Table134[[#This Row],[Index]]-B577)/B577</f>
        <v/>
      </c>
    </row>
    <row r="590">
      <c r="A590" s="17" t="n">
        <v>44044</v>
      </c>
      <c r="B590" s="58">
        <f>VLOOKUP(Table134[[#This Row],[Date]],database!A:I,8,)</f>
        <v/>
      </c>
      <c r="C590" s="66">
        <f>B590/B589-1</f>
        <v/>
      </c>
      <c r="D590" s="66">
        <f>(Table134[[#This Row],[Index]]-B578)/B578</f>
        <v/>
      </c>
    </row>
    <row r="591">
      <c r="A591" s="17" t="n">
        <v>44075</v>
      </c>
      <c r="B591" s="58">
        <f>VLOOKUP(Table134[[#This Row],[Date]],database!A:I,8,)</f>
        <v/>
      </c>
      <c r="C591" s="66">
        <f>B591/B590-1</f>
        <v/>
      </c>
      <c r="D591" s="66">
        <f>(Table134[[#This Row],[Index]]-B579)/B579</f>
        <v/>
      </c>
    </row>
    <row r="592">
      <c r="A592" s="17" t="n">
        <v>44105</v>
      </c>
      <c r="B592" s="58">
        <f>VLOOKUP(Table134[[#This Row],[Date]],database!A:I,8,)</f>
        <v/>
      </c>
      <c r="C592" s="66">
        <f>B592/B591-1</f>
        <v/>
      </c>
      <c r="D592" s="66">
        <f>(Table134[[#This Row],[Index]]-B580)/B580</f>
        <v/>
      </c>
    </row>
    <row r="593">
      <c r="A593" s="17" t="n">
        <v>44136</v>
      </c>
      <c r="B593" s="58">
        <f>VLOOKUP(Table134[[#This Row],[Date]],database!A:I,8,)</f>
        <v/>
      </c>
      <c r="C593" s="66">
        <f>B593/B592-1</f>
        <v/>
      </c>
      <c r="D593" s="66">
        <f>(Table134[[#This Row],[Index]]-B581)/B581</f>
        <v/>
      </c>
    </row>
    <row r="594">
      <c r="A594" s="17" t="n">
        <v>44166</v>
      </c>
      <c r="B594" s="58">
        <f>VLOOKUP(Table134[[#This Row],[Date]],database!A:I,8,)</f>
        <v/>
      </c>
      <c r="C594" s="66">
        <f>B594/B593-1</f>
        <v/>
      </c>
      <c r="D594" s="66">
        <f>(Table134[[#This Row],[Index]]-B582)/B582</f>
        <v/>
      </c>
    </row>
    <row r="595">
      <c r="A595" s="17" t="n">
        <v>44197</v>
      </c>
      <c r="B595" s="58">
        <f>VLOOKUP(Table134[[#This Row],[Date]],database!A:I,8,)</f>
        <v/>
      </c>
      <c r="C595" s="66">
        <f>B595/B594-1</f>
        <v/>
      </c>
      <c r="D595" s="66">
        <f>(Table134[[#This Row],[Index]]-B583)/B583</f>
        <v/>
      </c>
    </row>
    <row r="596">
      <c r="A596" s="17" t="n">
        <v>44228</v>
      </c>
      <c r="B596" s="58">
        <f>VLOOKUP(Table134[[#This Row],[Date]],database!A:I,8,)</f>
        <v/>
      </c>
      <c r="C596" s="66">
        <f>B596/B595-1</f>
        <v/>
      </c>
      <c r="D596" s="66">
        <f>(Table134[[#This Row],[Index]]-B584)/B584</f>
        <v/>
      </c>
    </row>
    <row r="597">
      <c r="A597" s="17" t="n">
        <v>44256</v>
      </c>
      <c r="B597" s="58">
        <f>VLOOKUP(Table134[[#This Row],[Date]],database!A:I,8,)</f>
        <v/>
      </c>
      <c r="C597" s="66">
        <f>B597/B596-1</f>
        <v/>
      </c>
      <c r="D597" s="66">
        <f>(Table134[[#This Row],[Index]]-B585)/B585</f>
        <v/>
      </c>
    </row>
    <row r="598">
      <c r="A598" s="17" t="n">
        <v>44287</v>
      </c>
      <c r="B598" s="58">
        <f>VLOOKUP(Table134[[#This Row],[Date]],database!A:I,8,)</f>
        <v/>
      </c>
      <c r="C598" s="66">
        <f>B598/B597-1</f>
        <v/>
      </c>
      <c r="D598" s="66">
        <f>(Table134[[#This Row],[Index]]-B586)/B586</f>
        <v/>
      </c>
    </row>
    <row r="599">
      <c r="A599" s="17" t="n">
        <v>44317</v>
      </c>
      <c r="B599" s="58">
        <f>VLOOKUP(Table134[[#This Row],[Date]],database!A:I,8,)</f>
        <v/>
      </c>
      <c r="C599" s="66">
        <f>B599/B598-1</f>
        <v/>
      </c>
      <c r="D599" s="66">
        <f>(Table134[[#This Row],[Index]]-B587)/B587</f>
        <v/>
      </c>
    </row>
    <row r="600">
      <c r="A600" s="17" t="n">
        <v>44348</v>
      </c>
      <c r="B600" s="58">
        <f>VLOOKUP(Table134[[#This Row],[Date]],database!A:I,8,)</f>
        <v/>
      </c>
      <c r="C600" s="66">
        <f>B600/B599-1</f>
        <v/>
      </c>
      <c r="D600" s="66">
        <f>(Table134[[#This Row],[Index]]-B588)/B588</f>
        <v/>
      </c>
    </row>
    <row r="601">
      <c r="A601" s="17" t="n">
        <v>44378</v>
      </c>
      <c r="B601" s="58">
        <f>VLOOKUP(Table134[[#This Row],[Date]],database!A:I,8,)</f>
        <v/>
      </c>
      <c r="C601" s="66">
        <f>B601/B600-1</f>
        <v/>
      </c>
      <c r="D601" s="66">
        <f>(Table134[[#This Row],[Index]]-B589)/B589</f>
        <v/>
      </c>
    </row>
    <row r="602">
      <c r="A602" s="17" t="n">
        <v>44409</v>
      </c>
      <c r="B602" s="58">
        <f>VLOOKUP(Table134[[#This Row],[Date]],database!A:I,8,)</f>
        <v/>
      </c>
      <c r="C602" s="66">
        <f>B602/B601-1</f>
        <v/>
      </c>
      <c r="D602" s="66">
        <f>(Table134[[#This Row],[Index]]-B590)/B590</f>
        <v/>
      </c>
    </row>
    <row r="603">
      <c r="A603" s="17" t="n">
        <v>44440</v>
      </c>
      <c r="B603" s="58">
        <f>VLOOKUP(Table134[[#This Row],[Date]],database!A:I,8,)</f>
        <v/>
      </c>
      <c r="C603" s="66">
        <f>B603/B602-1</f>
        <v/>
      </c>
      <c r="D603" s="66">
        <f>(Table134[[#This Row],[Index]]-B591)/B591</f>
        <v/>
      </c>
    </row>
    <row r="604">
      <c r="A604" s="17" t="n">
        <v>44470</v>
      </c>
      <c r="B604" s="58">
        <f>VLOOKUP(Table134[[#This Row],[Date]],database!A:I,8,)</f>
        <v/>
      </c>
      <c r="C604" s="66">
        <f>B604/B603-1</f>
        <v/>
      </c>
      <c r="D604" s="66">
        <f>(Table134[[#This Row],[Index]]-B592)/B592</f>
        <v/>
      </c>
    </row>
    <row r="605">
      <c r="A605" s="17" t="n">
        <v>44501</v>
      </c>
      <c r="B605" s="58">
        <f>VLOOKUP(Table134[[#This Row],[Date]],database!A:I,8,)</f>
        <v/>
      </c>
      <c r="C605" s="66">
        <f>B605/B604-1</f>
        <v/>
      </c>
      <c r="D605" s="66">
        <f>(Table134[[#This Row],[Index]]-B593)/B593</f>
        <v/>
      </c>
    </row>
    <row r="606">
      <c r="A606" s="17" t="n">
        <v>44531</v>
      </c>
      <c r="B606" s="58">
        <f>VLOOKUP(Table134[[#This Row],[Date]],database!A:I,8,)</f>
        <v/>
      </c>
      <c r="C606" s="66">
        <f>B606/B605-1</f>
        <v/>
      </c>
      <c r="D606" s="66">
        <f>(Table134[[#This Row],[Index]]-B594)/B594</f>
        <v/>
      </c>
    </row>
    <row r="607">
      <c r="A607" s="17" t="n">
        <v>44562</v>
      </c>
      <c r="B607" s="58">
        <f>VLOOKUP(Table134[[#This Row],[Date]],database!A:I,8,)</f>
        <v/>
      </c>
      <c r="C607" s="66">
        <f>B607/B606-1</f>
        <v/>
      </c>
      <c r="D607" s="66">
        <f>(Table134[[#This Row],[Index]]-B595)/B595</f>
        <v/>
      </c>
    </row>
    <row r="608">
      <c r="A608" s="17" t="n">
        <v>44593</v>
      </c>
      <c r="B608" s="58">
        <f>VLOOKUP(Table134[[#This Row],[Date]],database!A:I,8,)</f>
        <v/>
      </c>
      <c r="C608" s="66">
        <f>B608/B607-1</f>
        <v/>
      </c>
      <c r="D608" s="66">
        <f>(Table134[[#This Row],[Index]]-B596)/B596</f>
        <v/>
      </c>
    </row>
    <row r="609">
      <c r="A609" s="17" t="n">
        <v>44621</v>
      </c>
      <c r="B609" s="58">
        <f>VLOOKUP(Table134[[#This Row],[Date]],database!A:I,8,)</f>
        <v/>
      </c>
      <c r="C609" s="66">
        <f>B609/B608-1</f>
        <v/>
      </c>
      <c r="D609" s="66">
        <f>(Table134[[#This Row],[Index]]-B597)/B597</f>
        <v/>
      </c>
    </row>
    <row r="610">
      <c r="A610" s="17" t="n">
        <v>44652</v>
      </c>
      <c r="B610" s="58">
        <f>VLOOKUP(Table134[[#This Row],[Date]],database!A:I,8,)</f>
        <v/>
      </c>
      <c r="C610" s="66">
        <f>B610/B609-1</f>
        <v/>
      </c>
      <c r="D610" s="66">
        <f>(Table134[[#This Row],[Index]]-B598)/B598</f>
        <v/>
      </c>
    </row>
    <row r="611">
      <c r="A611" s="17" t="n">
        <v>44682</v>
      </c>
      <c r="B611" s="58">
        <f>VLOOKUP(Table134[[#This Row],[Date]],database!A:I,8,)</f>
        <v/>
      </c>
      <c r="C611" s="66">
        <f>B611/B610-1</f>
        <v/>
      </c>
      <c r="D611" s="66">
        <f>(Table134[[#This Row],[Index]]-B599)/B599</f>
        <v/>
      </c>
    </row>
    <row r="612">
      <c r="A612" s="17" t="n">
        <v>44713</v>
      </c>
      <c r="B612" s="58">
        <f>VLOOKUP(Table134[[#This Row],[Date]],database!A:I,8,)</f>
        <v/>
      </c>
      <c r="C612" s="66">
        <f>B612/B611-1</f>
        <v/>
      </c>
      <c r="D612" s="66">
        <f>(Table134[[#This Row],[Index]]-B600)/B600</f>
        <v/>
      </c>
    </row>
    <row r="613">
      <c r="A613" s="17" t="n">
        <v>44743</v>
      </c>
      <c r="B613" s="58">
        <f>VLOOKUP(Table134[[#This Row],[Date]],database!A:I,8,)</f>
        <v/>
      </c>
      <c r="C613" s="66">
        <f>B613/B612-1</f>
        <v/>
      </c>
      <c r="D613" s="66">
        <f>(Table134[[#This Row],[Index]]-B601)/B601</f>
        <v/>
      </c>
    </row>
    <row r="614">
      <c r="A614" s="17" t="n">
        <v>44774</v>
      </c>
      <c r="B614" s="58">
        <f>VLOOKUP(Table134[[#This Row],[Date]],database!A:I,8,)</f>
        <v/>
      </c>
      <c r="C614" s="66">
        <f>B614/B613-1</f>
        <v/>
      </c>
      <c r="D614" s="66">
        <f>(Table134[[#This Row],[Index]]-B602)/B602</f>
        <v/>
      </c>
    </row>
    <row r="615">
      <c r="A615" s="17" t="n">
        <v>44805</v>
      </c>
      <c r="B615" s="58">
        <f>VLOOKUP(Table134[[#This Row],[Date]],database!A:I,8,)</f>
        <v/>
      </c>
      <c r="C615" s="66">
        <f>B615/B614-1</f>
        <v/>
      </c>
      <c r="D615" s="66">
        <f>(Table134[[#This Row],[Index]]-B603)/B603</f>
        <v/>
      </c>
    </row>
    <row r="616">
      <c r="A616" s="17" t="n">
        <v>44835</v>
      </c>
      <c r="B616" s="58">
        <f>VLOOKUP(Table134[[#This Row],[Date]],database!A:I,8,)</f>
        <v/>
      </c>
      <c r="C616" s="66">
        <f>B616/B615-1</f>
        <v/>
      </c>
      <c r="D616" s="66">
        <f>(Table134[[#This Row],[Index]]-B604)/B604</f>
        <v/>
      </c>
    </row>
    <row r="617">
      <c r="A617" s="17" t="n">
        <v>44866</v>
      </c>
      <c r="B617" s="58">
        <f>VLOOKUP(Table134[[#This Row],[Date]],database!A:I,8,)</f>
        <v/>
      </c>
      <c r="C617" s="66">
        <f>B617/B616-1</f>
        <v/>
      </c>
      <c r="D617" s="66">
        <f>(Table134[[#This Row],[Index]]-B605)/B605</f>
        <v/>
      </c>
    </row>
    <row r="618">
      <c r="A618" s="17" t="n">
        <v>44896</v>
      </c>
      <c r="B618" s="58">
        <f>VLOOKUP(Table134[[#This Row],[Date]],database!A:I,8,)</f>
        <v/>
      </c>
      <c r="C618" s="66">
        <f>B618/B617-1</f>
        <v/>
      </c>
      <c r="D618" s="66">
        <f>(Table134[[#This Row],[Index]]-B606)/B606</f>
        <v/>
      </c>
    </row>
    <row r="619">
      <c r="A619" s="17" t="n">
        <v>44927</v>
      </c>
      <c r="B619" s="58">
        <f>VLOOKUP(Table134[[#This Row],[Date]],database!A:I,8,)</f>
        <v/>
      </c>
      <c r="C619" s="66">
        <f>B619/B618-1</f>
        <v/>
      </c>
      <c r="D619" s="66">
        <f>(Table134[[#This Row],[Index]]-B607)/B607</f>
        <v/>
      </c>
    </row>
    <row r="620">
      <c r="A620" s="17" t="n">
        <v>44958</v>
      </c>
      <c r="B620" s="58">
        <f>VLOOKUP(Table134[[#This Row],[Date]],database!A:I,8,)</f>
        <v/>
      </c>
      <c r="C620" s="66">
        <f>B620/B619-1</f>
        <v/>
      </c>
      <c r="D620" s="66">
        <f>(Table134[[#This Row],[Index]]-B608)/B608</f>
        <v/>
      </c>
    </row>
    <row r="621">
      <c r="A621" s="17" t="n">
        <v>44986</v>
      </c>
      <c r="B621" s="58">
        <f>VLOOKUP(Table134[[#This Row],[Date]],database!A:I,8,)</f>
        <v/>
      </c>
      <c r="C621" s="66">
        <f>B621/B620-1</f>
        <v/>
      </c>
      <c r="D621" s="66">
        <f>(Table134[[#This Row],[Index]]-B609)/B609</f>
        <v/>
      </c>
    </row>
  </sheetData>
  <conditionalFormatting sqref="D463:D621">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21"/>
  <sheetViews>
    <sheetView zoomScale="80" zoomScaleNormal="80" workbookViewId="0">
      <pane ySplit="6" topLeftCell="A598" activePane="bottomLeft" state="frozen"/>
      <selection activeCell="N1259" sqref="N1259"/>
      <selection pane="bottomLeft" activeCell="N626" sqref="N626"/>
    </sheetView>
  </sheetViews>
  <sheetFormatPr baseColWidth="8" defaultColWidth="9.1796875" defaultRowHeight="14.5"/>
  <cols>
    <col width="9.6328125" customWidth="1" style="18" min="1" max="1"/>
    <col width="9.6328125" customWidth="1" style="54" min="2" max="2"/>
    <col width="14" customWidth="1" style="61" min="3" max="3"/>
    <col width="14.6328125" customWidth="1" style="88" min="4" max="4"/>
    <col width="9.1796875" customWidth="1" style="88" min="5" max="32"/>
    <col width="9.1796875" customWidth="1" style="88" min="33" max="16384"/>
  </cols>
  <sheetData>
    <row r="1">
      <c r="A1" s="88" t="inlineStr">
        <is>
          <t>IPUTIL</t>
        </is>
      </c>
      <c r="B1" s="88" t="n"/>
      <c r="C1" s="88" t="n"/>
      <c r="S1" s="20" t="inlineStr">
        <is>
          <t>Industrial Production: Electric and gas utilities</t>
        </is>
      </c>
      <c r="T1" s="62" t="inlineStr">
        <is>
          <t xml:space="preserve"> since 2010</t>
        </is>
      </c>
      <c r="U1" s="88">
        <f>S1&amp;T1</f>
        <v/>
      </c>
      <c r="Y1" s="60">
        <f>U2&amp; T1</f>
        <v/>
      </c>
    </row>
    <row r="2">
      <c r="A2" s="16" t="n"/>
      <c r="B2" s="88" t="n"/>
      <c r="C2" s="88" t="n"/>
      <c r="S2" s="55" t="n"/>
      <c r="T2" s="62" t="n"/>
      <c r="U2" s="88">
        <f>S1&amp;Table1345[[#Headers],[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VLOOKUP(Table1345[[#This Row],[Date]],database!A:I,9,)</f>
        <v/>
      </c>
      <c r="C7" s="66" t="n"/>
      <c r="D7" s="66" t="n"/>
    </row>
    <row r="8">
      <c r="A8" s="17" t="n">
        <v>26330</v>
      </c>
      <c r="B8" s="58">
        <f>VLOOKUP(Table1345[[#This Row],[Date]],database!A:I,9,)</f>
        <v/>
      </c>
      <c r="C8" s="66">
        <f>B8/B7-1</f>
        <v/>
      </c>
      <c r="D8" s="66" t="n"/>
    </row>
    <row r="9">
      <c r="A9" s="17" t="n">
        <v>26359</v>
      </c>
      <c r="B9" s="58">
        <f>VLOOKUP(Table1345[[#This Row],[Date]],database!A:I,9,)</f>
        <v/>
      </c>
      <c r="C9" s="66">
        <f>B9/B8-1</f>
        <v/>
      </c>
      <c r="D9" s="66" t="n"/>
    </row>
    <row r="10">
      <c r="A10" s="17" t="n">
        <v>26390</v>
      </c>
      <c r="B10" s="58">
        <f>VLOOKUP(Table1345[[#This Row],[Date]],database!A:I,9,)</f>
        <v/>
      </c>
      <c r="C10" s="66">
        <f>B10/B9-1</f>
        <v/>
      </c>
      <c r="D10" s="66" t="n"/>
    </row>
    <row r="11">
      <c r="A11" s="17" t="n">
        <v>26420</v>
      </c>
      <c r="B11" s="58">
        <f>VLOOKUP(Table1345[[#This Row],[Date]],database!A:I,9,)</f>
        <v/>
      </c>
      <c r="C11" s="66">
        <f>B11/B10-1</f>
        <v/>
      </c>
      <c r="D11" s="66" t="n"/>
    </row>
    <row r="12">
      <c r="A12" s="17" t="n">
        <v>26451</v>
      </c>
      <c r="B12" s="58">
        <f>VLOOKUP(Table1345[[#This Row],[Date]],database!A:I,9,)</f>
        <v/>
      </c>
      <c r="C12" s="66">
        <f>B12/B11-1</f>
        <v/>
      </c>
      <c r="D12" s="66" t="n"/>
    </row>
    <row r="13">
      <c r="A13" s="17" t="n">
        <v>26481</v>
      </c>
      <c r="B13" s="58">
        <f>VLOOKUP(Table1345[[#This Row],[Date]],database!A:I,9,)</f>
        <v/>
      </c>
      <c r="C13" s="66">
        <f>B13/B12-1</f>
        <v/>
      </c>
      <c r="D13" s="66" t="n"/>
    </row>
    <row r="14">
      <c r="A14" s="17" t="n">
        <v>26512</v>
      </c>
      <c r="B14" s="58">
        <f>VLOOKUP(Table1345[[#This Row],[Date]],database!A:I,9,)</f>
        <v/>
      </c>
      <c r="C14" s="66">
        <f>B14/B13-1</f>
        <v/>
      </c>
      <c r="D14" s="66" t="n"/>
    </row>
    <row r="15">
      <c r="A15" s="17" t="n">
        <v>26543</v>
      </c>
      <c r="B15" s="58">
        <f>VLOOKUP(Table1345[[#This Row],[Date]],database!A:I,9,)</f>
        <v/>
      </c>
      <c r="C15" s="66">
        <f>B15/B14-1</f>
        <v/>
      </c>
      <c r="D15" s="66" t="n"/>
    </row>
    <row r="16">
      <c r="A16" s="17" t="n">
        <v>26573</v>
      </c>
      <c r="B16" s="58">
        <f>VLOOKUP(Table1345[[#This Row],[Date]],database!A:I,9,)</f>
        <v/>
      </c>
      <c r="C16" s="66">
        <f>B16/B15-1</f>
        <v/>
      </c>
      <c r="D16" s="66" t="n"/>
    </row>
    <row r="17">
      <c r="A17" s="17" t="n">
        <v>26604</v>
      </c>
      <c r="B17" s="58">
        <f>VLOOKUP(Table1345[[#This Row],[Date]],database!A:I,9,)</f>
        <v/>
      </c>
      <c r="C17" s="66">
        <f>B17/B16-1</f>
        <v/>
      </c>
      <c r="D17" s="66" t="n"/>
    </row>
    <row r="18">
      <c r="A18" s="17" t="n">
        <v>26634</v>
      </c>
      <c r="B18" s="58">
        <f>VLOOKUP(Table1345[[#This Row],[Date]],database!A:I,9,)</f>
        <v/>
      </c>
      <c r="C18" s="66">
        <f>B18/B17-1</f>
        <v/>
      </c>
      <c r="D18" s="66" t="n"/>
    </row>
    <row r="19">
      <c r="A19" s="17" t="n">
        <v>26665</v>
      </c>
      <c r="B19" s="58">
        <f>VLOOKUP(Table1345[[#This Row],[Date]],database!A:I,9,)</f>
        <v/>
      </c>
      <c r="C19" s="66">
        <f>B19/B18-1</f>
        <v/>
      </c>
      <c r="D19" s="66" t="n"/>
    </row>
    <row r="20">
      <c r="A20" s="17" t="n">
        <v>26696</v>
      </c>
      <c r="B20" s="58">
        <f>VLOOKUP(Table1345[[#This Row],[Date]],database!A:I,9,)</f>
        <v/>
      </c>
      <c r="C20" s="66">
        <f>B20/B19-1</f>
        <v/>
      </c>
      <c r="D20" s="66">
        <f>(Table1345[[#This Row],[Index]]-B8)/B8</f>
        <v/>
      </c>
    </row>
    <row r="21">
      <c r="A21" s="17" t="n">
        <v>26724</v>
      </c>
      <c r="B21" s="58">
        <f>VLOOKUP(Table1345[[#This Row],[Date]],database!A:I,9,)</f>
        <v/>
      </c>
      <c r="C21" s="66">
        <f>B21/B20-1</f>
        <v/>
      </c>
      <c r="D21" s="66">
        <f>(Table1345[[#This Row],[Index]]-B9)/B9</f>
        <v/>
      </c>
    </row>
    <row r="22">
      <c r="A22" s="17" t="n">
        <v>26755</v>
      </c>
      <c r="B22" s="58">
        <f>VLOOKUP(Table1345[[#This Row],[Date]],database!A:I,9,)</f>
        <v/>
      </c>
      <c r="C22" s="66">
        <f>B22/B21-1</f>
        <v/>
      </c>
      <c r="D22" s="66">
        <f>(Table1345[[#This Row],[Index]]-B10)/B10</f>
        <v/>
      </c>
    </row>
    <row r="23">
      <c r="A23" s="17" t="n">
        <v>26785</v>
      </c>
      <c r="B23" s="58">
        <f>VLOOKUP(Table1345[[#This Row],[Date]],database!A:I,9,)</f>
        <v/>
      </c>
      <c r="C23" s="66">
        <f>B23/B22-1</f>
        <v/>
      </c>
      <c r="D23" s="66">
        <f>(Table1345[[#This Row],[Index]]-B11)/B11</f>
        <v/>
      </c>
    </row>
    <row r="24">
      <c r="A24" s="17" t="n">
        <v>26816</v>
      </c>
      <c r="B24" s="58">
        <f>VLOOKUP(Table1345[[#This Row],[Date]],database!A:I,9,)</f>
        <v/>
      </c>
      <c r="C24" s="66">
        <f>B24/B23-1</f>
        <v/>
      </c>
      <c r="D24" s="66">
        <f>(Table1345[[#This Row],[Index]]-B12)/B12</f>
        <v/>
      </c>
    </row>
    <row r="25">
      <c r="A25" s="17" t="n">
        <v>26846</v>
      </c>
      <c r="B25" s="58">
        <f>VLOOKUP(Table1345[[#This Row],[Date]],database!A:I,9,)</f>
        <v/>
      </c>
      <c r="C25" s="66">
        <f>B25/B24-1</f>
        <v/>
      </c>
      <c r="D25" s="66">
        <f>(Table1345[[#This Row],[Index]]-B13)/B13</f>
        <v/>
      </c>
    </row>
    <row r="26">
      <c r="A26" s="17" t="n">
        <v>26877</v>
      </c>
      <c r="B26" s="58">
        <f>VLOOKUP(Table1345[[#This Row],[Date]],database!A:I,9,)</f>
        <v/>
      </c>
      <c r="C26" s="66">
        <f>B26/B25-1</f>
        <v/>
      </c>
      <c r="D26" s="66">
        <f>(Table1345[[#This Row],[Index]]-B14)/B14</f>
        <v/>
      </c>
    </row>
    <row r="27">
      <c r="A27" s="17" t="n">
        <v>26908</v>
      </c>
      <c r="B27" s="58">
        <f>VLOOKUP(Table1345[[#This Row],[Date]],database!A:I,9,)</f>
        <v/>
      </c>
      <c r="C27" s="66">
        <f>B27/B26-1</f>
        <v/>
      </c>
      <c r="D27" s="66">
        <f>(Table1345[[#This Row],[Index]]-B15)/B15</f>
        <v/>
      </c>
    </row>
    <row r="28">
      <c r="A28" s="17" t="n">
        <v>26938</v>
      </c>
      <c r="B28" s="58">
        <f>VLOOKUP(Table1345[[#This Row],[Date]],database!A:I,9,)</f>
        <v/>
      </c>
      <c r="C28" s="66">
        <f>B28/B27-1</f>
        <v/>
      </c>
      <c r="D28" s="66">
        <f>(Table1345[[#This Row],[Index]]-B16)/B16</f>
        <v/>
      </c>
    </row>
    <row r="29">
      <c r="A29" s="17" t="n">
        <v>26969</v>
      </c>
      <c r="B29" s="58">
        <f>VLOOKUP(Table1345[[#This Row],[Date]],database!A:I,9,)</f>
        <v/>
      </c>
      <c r="C29" s="66">
        <f>B29/B28-1</f>
        <v/>
      </c>
      <c r="D29" s="66">
        <f>(Table1345[[#This Row],[Index]]-B17)/B17</f>
        <v/>
      </c>
    </row>
    <row r="30">
      <c r="A30" s="17" t="n">
        <v>26999</v>
      </c>
      <c r="B30" s="58">
        <f>VLOOKUP(Table1345[[#This Row],[Date]],database!A:I,9,)</f>
        <v/>
      </c>
      <c r="C30" s="66">
        <f>B30/B29-1</f>
        <v/>
      </c>
      <c r="D30" s="66">
        <f>(Table1345[[#This Row],[Index]]-B18)/B18</f>
        <v/>
      </c>
    </row>
    <row r="31">
      <c r="A31" s="17" t="n">
        <v>27030</v>
      </c>
      <c r="B31" s="58">
        <f>VLOOKUP(Table1345[[#This Row],[Date]],database!A:I,9,)</f>
        <v/>
      </c>
      <c r="C31" s="66">
        <f>B31/B30-1</f>
        <v/>
      </c>
      <c r="D31" s="66">
        <f>(Table1345[[#This Row],[Index]]-B19)/B19</f>
        <v/>
      </c>
    </row>
    <row r="32">
      <c r="A32" s="17" t="n">
        <v>27061</v>
      </c>
      <c r="B32" s="58">
        <f>VLOOKUP(Table1345[[#This Row],[Date]],database!A:I,9,)</f>
        <v/>
      </c>
      <c r="C32" s="66">
        <f>B32/B31-1</f>
        <v/>
      </c>
      <c r="D32" s="66">
        <f>(Table1345[[#This Row],[Index]]-B20)/B20</f>
        <v/>
      </c>
    </row>
    <row r="33">
      <c r="A33" s="17" t="n">
        <v>27089</v>
      </c>
      <c r="B33" s="58">
        <f>VLOOKUP(Table1345[[#This Row],[Date]],database!A:I,9,)</f>
        <v/>
      </c>
      <c r="C33" s="66">
        <f>B33/B32-1</f>
        <v/>
      </c>
      <c r="D33" s="66">
        <f>(Table1345[[#This Row],[Index]]-B21)/B21</f>
        <v/>
      </c>
    </row>
    <row r="34">
      <c r="A34" s="17" t="n">
        <v>27120</v>
      </c>
      <c r="B34" s="58">
        <f>VLOOKUP(Table1345[[#This Row],[Date]],database!A:I,9,)</f>
        <v/>
      </c>
      <c r="C34" s="66">
        <f>B34/B33-1</f>
        <v/>
      </c>
      <c r="D34" s="66">
        <f>(Table1345[[#This Row],[Index]]-B22)/B22</f>
        <v/>
      </c>
    </row>
    <row r="35">
      <c r="A35" s="17" t="n">
        <v>27150</v>
      </c>
      <c r="B35" s="58">
        <f>VLOOKUP(Table1345[[#This Row],[Date]],database!A:I,9,)</f>
        <v/>
      </c>
      <c r="C35" s="66">
        <f>B35/B34-1</f>
        <v/>
      </c>
      <c r="D35" s="66">
        <f>(Table1345[[#This Row],[Index]]-B23)/B23</f>
        <v/>
      </c>
    </row>
    <row r="36">
      <c r="A36" s="17" t="n">
        <v>27181</v>
      </c>
      <c r="B36" s="58">
        <f>VLOOKUP(Table1345[[#This Row],[Date]],database!A:I,9,)</f>
        <v/>
      </c>
      <c r="C36" s="66">
        <f>B36/B35-1</f>
        <v/>
      </c>
      <c r="D36" s="66">
        <f>(Table1345[[#This Row],[Index]]-B24)/B24</f>
        <v/>
      </c>
    </row>
    <row r="37">
      <c r="A37" s="17" t="n">
        <v>27211</v>
      </c>
      <c r="B37" s="58">
        <f>VLOOKUP(Table1345[[#This Row],[Date]],database!A:I,9,)</f>
        <v/>
      </c>
      <c r="C37" s="66">
        <f>B37/B36-1</f>
        <v/>
      </c>
      <c r="D37" s="66">
        <f>(Table1345[[#This Row],[Index]]-B25)/B25</f>
        <v/>
      </c>
    </row>
    <row r="38">
      <c r="A38" s="17" t="n">
        <v>27242</v>
      </c>
      <c r="B38" s="58">
        <f>VLOOKUP(Table1345[[#This Row],[Date]],database!A:I,9,)</f>
        <v/>
      </c>
      <c r="C38" s="66">
        <f>B38/B37-1</f>
        <v/>
      </c>
      <c r="D38" s="66">
        <f>(Table1345[[#This Row],[Index]]-B26)/B26</f>
        <v/>
      </c>
    </row>
    <row r="39">
      <c r="A39" s="17" t="n">
        <v>27273</v>
      </c>
      <c r="B39" s="58">
        <f>VLOOKUP(Table1345[[#This Row],[Date]],database!A:I,9,)</f>
        <v/>
      </c>
      <c r="C39" s="66">
        <f>B39/B38-1</f>
        <v/>
      </c>
      <c r="D39" s="66">
        <f>(Table1345[[#This Row],[Index]]-B27)/B27</f>
        <v/>
      </c>
    </row>
    <row r="40">
      <c r="A40" s="17" t="n">
        <v>27303</v>
      </c>
      <c r="B40" s="58">
        <f>VLOOKUP(Table1345[[#This Row],[Date]],database!A:I,9,)</f>
        <v/>
      </c>
      <c r="C40" s="66">
        <f>B40/B39-1</f>
        <v/>
      </c>
      <c r="D40" s="66">
        <f>(Table1345[[#This Row],[Index]]-B28)/B28</f>
        <v/>
      </c>
    </row>
    <row r="41">
      <c r="A41" s="17" t="n">
        <v>27334</v>
      </c>
      <c r="B41" s="58">
        <f>VLOOKUP(Table1345[[#This Row],[Date]],database!A:I,9,)</f>
        <v/>
      </c>
      <c r="C41" s="66">
        <f>B41/B40-1</f>
        <v/>
      </c>
      <c r="D41" s="66">
        <f>(Table1345[[#This Row],[Index]]-B29)/B29</f>
        <v/>
      </c>
    </row>
    <row r="42">
      <c r="A42" s="17" t="n">
        <v>27364</v>
      </c>
      <c r="B42" s="58">
        <f>VLOOKUP(Table1345[[#This Row],[Date]],database!A:I,9,)</f>
        <v/>
      </c>
      <c r="C42" s="66">
        <f>B42/B41-1</f>
        <v/>
      </c>
      <c r="D42" s="66">
        <f>(Table1345[[#This Row],[Index]]-B30)/B30</f>
        <v/>
      </c>
    </row>
    <row r="43">
      <c r="A43" s="17" t="n">
        <v>27395</v>
      </c>
      <c r="B43" s="58">
        <f>VLOOKUP(Table1345[[#This Row],[Date]],database!A:I,9,)</f>
        <v/>
      </c>
      <c r="C43" s="66">
        <f>B43/B42-1</f>
        <v/>
      </c>
      <c r="D43" s="66">
        <f>(Table1345[[#This Row],[Index]]-B31)/B31</f>
        <v/>
      </c>
    </row>
    <row r="44">
      <c r="A44" s="17" t="n">
        <v>27426</v>
      </c>
      <c r="B44" s="58">
        <f>VLOOKUP(Table1345[[#This Row],[Date]],database!A:I,9,)</f>
        <v/>
      </c>
      <c r="C44" s="66">
        <f>B44/B43-1</f>
        <v/>
      </c>
      <c r="D44" s="66">
        <f>(Table1345[[#This Row],[Index]]-B32)/B32</f>
        <v/>
      </c>
    </row>
    <row r="45">
      <c r="A45" s="17" t="n">
        <v>27454</v>
      </c>
      <c r="B45" s="58">
        <f>VLOOKUP(Table1345[[#This Row],[Date]],database!A:I,9,)</f>
        <v/>
      </c>
      <c r="C45" s="66">
        <f>B45/B44-1</f>
        <v/>
      </c>
      <c r="D45" s="66">
        <f>(Table1345[[#This Row],[Index]]-B33)/B33</f>
        <v/>
      </c>
    </row>
    <row r="46">
      <c r="A46" s="17" t="n">
        <v>27485</v>
      </c>
      <c r="B46" s="58">
        <f>VLOOKUP(Table1345[[#This Row],[Date]],database!A:I,9,)</f>
        <v/>
      </c>
      <c r="C46" s="66">
        <f>B46/B45-1</f>
        <v/>
      </c>
      <c r="D46" s="66">
        <f>(Table1345[[#This Row],[Index]]-B34)/B34</f>
        <v/>
      </c>
    </row>
    <row r="47">
      <c r="A47" s="17" t="n">
        <v>27515</v>
      </c>
      <c r="B47" s="58">
        <f>VLOOKUP(Table1345[[#This Row],[Date]],database!A:I,9,)</f>
        <v/>
      </c>
      <c r="C47" s="66">
        <f>B47/B46-1</f>
        <v/>
      </c>
      <c r="D47" s="66">
        <f>(Table1345[[#This Row],[Index]]-B35)/B35</f>
        <v/>
      </c>
    </row>
    <row r="48">
      <c r="A48" s="17" t="n">
        <v>27546</v>
      </c>
      <c r="B48" s="58">
        <f>VLOOKUP(Table1345[[#This Row],[Date]],database!A:I,9,)</f>
        <v/>
      </c>
      <c r="C48" s="66">
        <f>B48/B47-1</f>
        <v/>
      </c>
      <c r="D48" s="66">
        <f>(Table1345[[#This Row],[Index]]-B36)/B36</f>
        <v/>
      </c>
    </row>
    <row r="49">
      <c r="A49" s="17" t="n">
        <v>27576</v>
      </c>
      <c r="B49" s="58">
        <f>VLOOKUP(Table1345[[#This Row],[Date]],database!A:I,9,)</f>
        <v/>
      </c>
      <c r="C49" s="66">
        <f>B49/B48-1</f>
        <v/>
      </c>
      <c r="D49" s="66">
        <f>(Table1345[[#This Row],[Index]]-B37)/B37</f>
        <v/>
      </c>
    </row>
    <row r="50">
      <c r="A50" s="17" t="n">
        <v>27607</v>
      </c>
      <c r="B50" s="58">
        <f>VLOOKUP(Table1345[[#This Row],[Date]],database!A:I,9,)</f>
        <v/>
      </c>
      <c r="C50" s="66">
        <f>B50/B49-1</f>
        <v/>
      </c>
      <c r="D50" s="66">
        <f>(Table1345[[#This Row],[Index]]-B38)/B38</f>
        <v/>
      </c>
    </row>
    <row r="51">
      <c r="A51" s="17" t="n">
        <v>27638</v>
      </c>
      <c r="B51" s="58">
        <f>VLOOKUP(Table1345[[#This Row],[Date]],database!A:I,9,)</f>
        <v/>
      </c>
      <c r="C51" s="66">
        <f>B51/B50-1</f>
        <v/>
      </c>
      <c r="D51" s="66">
        <f>(Table1345[[#This Row],[Index]]-B39)/B39</f>
        <v/>
      </c>
    </row>
    <row r="52">
      <c r="A52" s="17" t="n">
        <v>27668</v>
      </c>
      <c r="B52" s="58">
        <f>VLOOKUP(Table1345[[#This Row],[Date]],database!A:I,9,)</f>
        <v/>
      </c>
      <c r="C52" s="66">
        <f>B52/B51-1</f>
        <v/>
      </c>
      <c r="D52" s="66">
        <f>(Table1345[[#This Row],[Index]]-B40)/B40</f>
        <v/>
      </c>
    </row>
    <row r="53">
      <c r="A53" s="17" t="n">
        <v>27699</v>
      </c>
      <c r="B53" s="58">
        <f>VLOOKUP(Table1345[[#This Row],[Date]],database!A:I,9,)</f>
        <v/>
      </c>
      <c r="C53" s="66">
        <f>B53/B52-1</f>
        <v/>
      </c>
      <c r="D53" s="66">
        <f>(Table1345[[#This Row],[Index]]-B41)/B41</f>
        <v/>
      </c>
    </row>
    <row r="54">
      <c r="A54" s="17" t="n">
        <v>27729</v>
      </c>
      <c r="B54" s="58">
        <f>VLOOKUP(Table1345[[#This Row],[Date]],database!A:I,9,)</f>
        <v/>
      </c>
      <c r="C54" s="66">
        <f>B54/B53-1</f>
        <v/>
      </c>
      <c r="D54" s="66">
        <f>(Table1345[[#This Row],[Index]]-B42)/B42</f>
        <v/>
      </c>
    </row>
    <row r="55">
      <c r="A55" s="17" t="n">
        <v>27760</v>
      </c>
      <c r="B55" s="58">
        <f>VLOOKUP(Table1345[[#This Row],[Date]],database!A:I,9,)</f>
        <v/>
      </c>
      <c r="C55" s="66">
        <f>B55/B54-1</f>
        <v/>
      </c>
      <c r="D55" s="66">
        <f>(Table1345[[#This Row],[Index]]-B43)/B43</f>
        <v/>
      </c>
    </row>
    <row r="56">
      <c r="A56" s="17" t="n">
        <v>27791</v>
      </c>
      <c r="B56" s="58">
        <f>VLOOKUP(Table1345[[#This Row],[Date]],database!A:I,9,)</f>
        <v/>
      </c>
      <c r="C56" s="66">
        <f>B56/B55-1</f>
        <v/>
      </c>
      <c r="D56" s="66">
        <f>(Table1345[[#This Row],[Index]]-B44)/B44</f>
        <v/>
      </c>
    </row>
    <row r="57">
      <c r="A57" s="17" t="n">
        <v>27820</v>
      </c>
      <c r="B57" s="58">
        <f>VLOOKUP(Table1345[[#This Row],[Date]],database!A:I,9,)</f>
        <v/>
      </c>
      <c r="C57" s="66">
        <f>B57/B56-1</f>
        <v/>
      </c>
      <c r="D57" s="66">
        <f>(Table1345[[#This Row],[Index]]-B45)/B45</f>
        <v/>
      </c>
    </row>
    <row r="58">
      <c r="A58" s="17" t="n">
        <v>27851</v>
      </c>
      <c r="B58" s="58">
        <f>VLOOKUP(Table1345[[#This Row],[Date]],database!A:I,9,)</f>
        <v/>
      </c>
      <c r="C58" s="66">
        <f>B58/B57-1</f>
        <v/>
      </c>
      <c r="D58" s="66">
        <f>(Table1345[[#This Row],[Index]]-B46)/B46</f>
        <v/>
      </c>
    </row>
    <row r="59">
      <c r="A59" s="17" t="n">
        <v>27881</v>
      </c>
      <c r="B59" s="58">
        <f>VLOOKUP(Table1345[[#This Row],[Date]],database!A:I,9,)</f>
        <v/>
      </c>
      <c r="C59" s="66">
        <f>B59/B58-1</f>
        <v/>
      </c>
      <c r="D59" s="66">
        <f>(Table1345[[#This Row],[Index]]-B47)/B47</f>
        <v/>
      </c>
    </row>
    <row r="60">
      <c r="A60" s="17" t="n">
        <v>27912</v>
      </c>
      <c r="B60" s="58">
        <f>VLOOKUP(Table1345[[#This Row],[Date]],database!A:I,9,)</f>
        <v/>
      </c>
      <c r="C60" s="66">
        <f>B60/B59-1</f>
        <v/>
      </c>
      <c r="D60" s="66">
        <f>(Table1345[[#This Row],[Index]]-B48)/B48</f>
        <v/>
      </c>
    </row>
    <row r="61">
      <c r="A61" s="17" t="n">
        <v>27942</v>
      </c>
      <c r="B61" s="58">
        <f>VLOOKUP(Table1345[[#This Row],[Date]],database!A:I,9,)</f>
        <v/>
      </c>
      <c r="C61" s="66">
        <f>B61/B60-1</f>
        <v/>
      </c>
      <c r="D61" s="66">
        <f>(Table1345[[#This Row],[Index]]-B49)/B49</f>
        <v/>
      </c>
    </row>
    <row r="62">
      <c r="A62" s="17" t="n">
        <v>27973</v>
      </c>
      <c r="B62" s="58">
        <f>VLOOKUP(Table1345[[#This Row],[Date]],database!A:I,9,)</f>
        <v/>
      </c>
      <c r="C62" s="66">
        <f>B62/B61-1</f>
        <v/>
      </c>
      <c r="D62" s="66">
        <f>(Table1345[[#This Row],[Index]]-B50)/B50</f>
        <v/>
      </c>
    </row>
    <row r="63">
      <c r="A63" s="17" t="n">
        <v>28004</v>
      </c>
      <c r="B63" s="58">
        <f>VLOOKUP(Table1345[[#This Row],[Date]],database!A:I,9,)</f>
        <v/>
      </c>
      <c r="C63" s="66">
        <f>B63/B62-1</f>
        <v/>
      </c>
      <c r="D63" s="66">
        <f>(Table1345[[#This Row],[Index]]-B51)/B51</f>
        <v/>
      </c>
    </row>
    <row r="64">
      <c r="A64" s="17" t="n">
        <v>28034</v>
      </c>
      <c r="B64" s="58">
        <f>VLOOKUP(Table1345[[#This Row],[Date]],database!A:I,9,)</f>
        <v/>
      </c>
      <c r="C64" s="66">
        <f>B64/B63-1</f>
        <v/>
      </c>
      <c r="D64" s="66">
        <f>(Table1345[[#This Row],[Index]]-B52)/B52</f>
        <v/>
      </c>
    </row>
    <row r="65">
      <c r="A65" s="17" t="n">
        <v>28065</v>
      </c>
      <c r="B65" s="58">
        <f>VLOOKUP(Table1345[[#This Row],[Date]],database!A:I,9,)</f>
        <v/>
      </c>
      <c r="C65" s="66">
        <f>B65/B64-1</f>
        <v/>
      </c>
      <c r="D65" s="66">
        <f>(Table1345[[#This Row],[Index]]-B53)/B53</f>
        <v/>
      </c>
    </row>
    <row r="66">
      <c r="A66" s="17" t="n">
        <v>28095</v>
      </c>
      <c r="B66" s="58">
        <f>VLOOKUP(Table1345[[#This Row],[Date]],database!A:I,9,)</f>
        <v/>
      </c>
      <c r="C66" s="66">
        <f>B66/B65-1</f>
        <v/>
      </c>
      <c r="D66" s="66">
        <f>(Table1345[[#This Row],[Index]]-B54)/B54</f>
        <v/>
      </c>
    </row>
    <row r="67">
      <c r="A67" s="17" t="n">
        <v>28126</v>
      </c>
      <c r="B67" s="58">
        <f>VLOOKUP(Table1345[[#This Row],[Date]],database!A:I,9,)</f>
        <v/>
      </c>
      <c r="C67" s="66">
        <f>B67/B66-1</f>
        <v/>
      </c>
      <c r="D67" s="66">
        <f>(Table1345[[#This Row],[Index]]-B55)/B55</f>
        <v/>
      </c>
    </row>
    <row r="68">
      <c r="A68" s="17" t="n">
        <v>28157</v>
      </c>
      <c r="B68" s="58">
        <f>VLOOKUP(Table1345[[#This Row],[Date]],database!A:I,9,)</f>
        <v/>
      </c>
      <c r="C68" s="66">
        <f>B68/B67-1</f>
        <v/>
      </c>
      <c r="D68" s="66">
        <f>(Table1345[[#This Row],[Index]]-B56)/B56</f>
        <v/>
      </c>
    </row>
    <row r="69">
      <c r="A69" s="17" t="n">
        <v>28185</v>
      </c>
      <c r="B69" s="58">
        <f>VLOOKUP(Table1345[[#This Row],[Date]],database!A:I,9,)</f>
        <v/>
      </c>
      <c r="C69" s="66">
        <f>B69/B68-1</f>
        <v/>
      </c>
      <c r="D69" s="66">
        <f>(Table1345[[#This Row],[Index]]-B57)/B57</f>
        <v/>
      </c>
    </row>
    <row r="70">
      <c r="A70" s="17" t="n">
        <v>28216</v>
      </c>
      <c r="B70" s="58">
        <f>VLOOKUP(Table1345[[#This Row],[Date]],database!A:I,9,)</f>
        <v/>
      </c>
      <c r="C70" s="66">
        <f>B70/B69-1</f>
        <v/>
      </c>
      <c r="D70" s="66">
        <f>(Table1345[[#This Row],[Index]]-B58)/B58</f>
        <v/>
      </c>
    </row>
    <row r="71">
      <c r="A71" s="17" t="n">
        <v>28246</v>
      </c>
      <c r="B71" s="58">
        <f>VLOOKUP(Table1345[[#This Row],[Date]],database!A:I,9,)</f>
        <v/>
      </c>
      <c r="C71" s="66">
        <f>B71/B70-1</f>
        <v/>
      </c>
      <c r="D71" s="66">
        <f>(Table1345[[#This Row],[Index]]-B59)/B59</f>
        <v/>
      </c>
    </row>
    <row r="72">
      <c r="A72" s="17" t="n">
        <v>28277</v>
      </c>
      <c r="B72" s="58">
        <f>VLOOKUP(Table1345[[#This Row],[Date]],database!A:I,9,)</f>
        <v/>
      </c>
      <c r="C72" s="66">
        <f>B72/B71-1</f>
        <v/>
      </c>
      <c r="D72" s="66">
        <f>(Table1345[[#This Row],[Index]]-B60)/B60</f>
        <v/>
      </c>
    </row>
    <row r="73">
      <c r="A73" s="17" t="n">
        <v>28307</v>
      </c>
      <c r="B73" s="58">
        <f>VLOOKUP(Table1345[[#This Row],[Date]],database!A:I,9,)</f>
        <v/>
      </c>
      <c r="C73" s="66">
        <f>B73/B72-1</f>
        <v/>
      </c>
      <c r="D73" s="66">
        <f>(Table1345[[#This Row],[Index]]-B61)/B61</f>
        <v/>
      </c>
    </row>
    <row r="74">
      <c r="A74" s="17" t="n">
        <v>28338</v>
      </c>
      <c r="B74" s="58">
        <f>VLOOKUP(Table1345[[#This Row],[Date]],database!A:I,9,)</f>
        <v/>
      </c>
      <c r="C74" s="66">
        <f>B74/B73-1</f>
        <v/>
      </c>
      <c r="D74" s="66">
        <f>(Table1345[[#This Row],[Index]]-B62)/B62</f>
        <v/>
      </c>
    </row>
    <row r="75">
      <c r="A75" s="17" t="n">
        <v>28369</v>
      </c>
      <c r="B75" s="58">
        <f>VLOOKUP(Table1345[[#This Row],[Date]],database!A:I,9,)</f>
        <v/>
      </c>
      <c r="C75" s="66">
        <f>B75/B74-1</f>
        <v/>
      </c>
      <c r="D75" s="66">
        <f>(Table1345[[#This Row],[Index]]-B63)/B63</f>
        <v/>
      </c>
    </row>
    <row r="76">
      <c r="A76" s="17" t="n">
        <v>28399</v>
      </c>
      <c r="B76" s="58">
        <f>VLOOKUP(Table1345[[#This Row],[Date]],database!A:I,9,)</f>
        <v/>
      </c>
      <c r="C76" s="66">
        <f>B76/B75-1</f>
        <v/>
      </c>
      <c r="D76" s="66">
        <f>(Table1345[[#This Row],[Index]]-B64)/B64</f>
        <v/>
      </c>
    </row>
    <row r="77">
      <c r="A77" s="17" t="n">
        <v>28430</v>
      </c>
      <c r="B77" s="58">
        <f>VLOOKUP(Table1345[[#This Row],[Date]],database!A:I,9,)</f>
        <v/>
      </c>
      <c r="C77" s="66">
        <f>B77/B76-1</f>
        <v/>
      </c>
      <c r="D77" s="66">
        <f>(Table1345[[#This Row],[Index]]-B65)/B65</f>
        <v/>
      </c>
    </row>
    <row r="78">
      <c r="A78" s="17" t="n">
        <v>28460</v>
      </c>
      <c r="B78" s="58">
        <f>VLOOKUP(Table1345[[#This Row],[Date]],database!A:I,9,)</f>
        <v/>
      </c>
      <c r="C78" s="66">
        <f>B78/B77-1</f>
        <v/>
      </c>
      <c r="D78" s="66">
        <f>(Table1345[[#This Row],[Index]]-B66)/B66</f>
        <v/>
      </c>
    </row>
    <row r="79">
      <c r="A79" s="17" t="n">
        <v>28491</v>
      </c>
      <c r="B79" s="58">
        <f>VLOOKUP(Table1345[[#This Row],[Date]],database!A:I,9,)</f>
        <v/>
      </c>
      <c r="C79" s="66">
        <f>B79/B78-1</f>
        <v/>
      </c>
      <c r="D79" s="66">
        <f>(Table1345[[#This Row],[Index]]-B67)/B67</f>
        <v/>
      </c>
    </row>
    <row r="80">
      <c r="A80" s="17" t="n">
        <v>28522</v>
      </c>
      <c r="B80" s="58">
        <f>VLOOKUP(Table1345[[#This Row],[Date]],database!A:I,9,)</f>
        <v/>
      </c>
      <c r="C80" s="66">
        <f>B80/B79-1</f>
        <v/>
      </c>
      <c r="D80" s="66">
        <f>(Table1345[[#This Row],[Index]]-B68)/B68</f>
        <v/>
      </c>
    </row>
    <row r="81">
      <c r="A81" s="17" t="n">
        <v>28550</v>
      </c>
      <c r="B81" s="58">
        <f>VLOOKUP(Table1345[[#This Row],[Date]],database!A:I,9,)</f>
        <v/>
      </c>
      <c r="C81" s="66">
        <f>B81/B80-1</f>
        <v/>
      </c>
      <c r="D81" s="66">
        <f>(Table1345[[#This Row],[Index]]-B69)/B69</f>
        <v/>
      </c>
    </row>
    <row r="82">
      <c r="A82" s="17" t="n">
        <v>28581</v>
      </c>
      <c r="B82" s="58">
        <f>VLOOKUP(Table1345[[#This Row],[Date]],database!A:I,9,)</f>
        <v/>
      </c>
      <c r="C82" s="66">
        <f>B82/B81-1</f>
        <v/>
      </c>
      <c r="D82" s="66">
        <f>(Table1345[[#This Row],[Index]]-B70)/B70</f>
        <v/>
      </c>
    </row>
    <row r="83">
      <c r="A83" s="17" t="n">
        <v>28611</v>
      </c>
      <c r="B83" s="58">
        <f>VLOOKUP(Table1345[[#This Row],[Date]],database!A:I,9,)</f>
        <v/>
      </c>
      <c r="C83" s="66">
        <f>B83/B82-1</f>
        <v/>
      </c>
      <c r="D83" s="66">
        <f>(Table1345[[#This Row],[Index]]-B71)/B71</f>
        <v/>
      </c>
    </row>
    <row r="84">
      <c r="A84" s="17" t="n">
        <v>28642</v>
      </c>
      <c r="B84" s="58">
        <f>VLOOKUP(Table1345[[#This Row],[Date]],database!A:I,9,)</f>
        <v/>
      </c>
      <c r="C84" s="66">
        <f>B84/B83-1</f>
        <v/>
      </c>
      <c r="D84" s="66">
        <f>(Table1345[[#This Row],[Index]]-B72)/B72</f>
        <v/>
      </c>
    </row>
    <row r="85">
      <c r="A85" s="17" t="n">
        <v>28672</v>
      </c>
      <c r="B85" s="58">
        <f>VLOOKUP(Table1345[[#This Row],[Date]],database!A:I,9,)</f>
        <v/>
      </c>
      <c r="C85" s="66">
        <f>B85/B84-1</f>
        <v/>
      </c>
      <c r="D85" s="66">
        <f>(Table1345[[#This Row],[Index]]-B73)/B73</f>
        <v/>
      </c>
    </row>
    <row r="86">
      <c r="A86" s="17" t="n">
        <v>28703</v>
      </c>
      <c r="B86" s="58">
        <f>VLOOKUP(Table1345[[#This Row],[Date]],database!A:I,9,)</f>
        <v/>
      </c>
      <c r="C86" s="66">
        <f>B86/B85-1</f>
        <v/>
      </c>
      <c r="D86" s="66">
        <f>(Table1345[[#This Row],[Index]]-B74)/B74</f>
        <v/>
      </c>
    </row>
    <row r="87">
      <c r="A87" s="17" t="n">
        <v>28734</v>
      </c>
      <c r="B87" s="58">
        <f>VLOOKUP(Table1345[[#This Row],[Date]],database!A:I,9,)</f>
        <v/>
      </c>
      <c r="C87" s="66">
        <f>B87/B86-1</f>
        <v/>
      </c>
      <c r="D87" s="66">
        <f>(Table1345[[#This Row],[Index]]-B75)/B75</f>
        <v/>
      </c>
    </row>
    <row r="88">
      <c r="A88" s="17" t="n">
        <v>28764</v>
      </c>
      <c r="B88" s="58">
        <f>VLOOKUP(Table1345[[#This Row],[Date]],database!A:I,9,)</f>
        <v/>
      </c>
      <c r="C88" s="66">
        <f>B88/B87-1</f>
        <v/>
      </c>
      <c r="D88" s="66">
        <f>(Table1345[[#This Row],[Index]]-B76)/B76</f>
        <v/>
      </c>
    </row>
    <row r="89">
      <c r="A89" s="17" t="n">
        <v>28795</v>
      </c>
      <c r="B89" s="58">
        <f>VLOOKUP(Table1345[[#This Row],[Date]],database!A:I,9,)</f>
        <v/>
      </c>
      <c r="C89" s="66">
        <f>B89/B88-1</f>
        <v/>
      </c>
      <c r="D89" s="66">
        <f>(Table1345[[#This Row],[Index]]-B77)/B77</f>
        <v/>
      </c>
    </row>
    <row r="90">
      <c r="A90" s="17" t="n">
        <v>28825</v>
      </c>
      <c r="B90" s="58">
        <f>VLOOKUP(Table1345[[#This Row],[Date]],database!A:I,9,)</f>
        <v/>
      </c>
      <c r="C90" s="66">
        <f>B90/B89-1</f>
        <v/>
      </c>
      <c r="D90" s="66">
        <f>(Table1345[[#This Row],[Index]]-B78)/B78</f>
        <v/>
      </c>
    </row>
    <row r="91">
      <c r="A91" s="17" t="n">
        <v>28856</v>
      </c>
      <c r="B91" s="58">
        <f>VLOOKUP(Table1345[[#This Row],[Date]],database!A:I,9,)</f>
        <v/>
      </c>
      <c r="C91" s="66">
        <f>B91/B90-1</f>
        <v/>
      </c>
      <c r="D91" s="66">
        <f>(Table1345[[#This Row],[Index]]-B79)/B79</f>
        <v/>
      </c>
    </row>
    <row r="92">
      <c r="A92" s="17" t="n">
        <v>28887</v>
      </c>
      <c r="B92" s="58">
        <f>VLOOKUP(Table1345[[#This Row],[Date]],database!A:I,9,)</f>
        <v/>
      </c>
      <c r="C92" s="66">
        <f>B92/B91-1</f>
        <v/>
      </c>
      <c r="D92" s="66">
        <f>(Table1345[[#This Row],[Index]]-B80)/B80</f>
        <v/>
      </c>
    </row>
    <row r="93">
      <c r="A93" s="17" t="n">
        <v>28915</v>
      </c>
      <c r="B93" s="58">
        <f>VLOOKUP(Table1345[[#This Row],[Date]],database!A:I,9,)</f>
        <v/>
      </c>
      <c r="C93" s="66">
        <f>B93/B92-1</f>
        <v/>
      </c>
      <c r="D93" s="66">
        <f>(Table1345[[#This Row],[Index]]-B81)/B81</f>
        <v/>
      </c>
    </row>
    <row r="94">
      <c r="A94" s="17" t="n">
        <v>28946</v>
      </c>
      <c r="B94" s="58">
        <f>VLOOKUP(Table1345[[#This Row],[Date]],database!A:I,9,)</f>
        <v/>
      </c>
      <c r="C94" s="66">
        <f>B94/B93-1</f>
        <v/>
      </c>
      <c r="D94" s="66">
        <f>(Table1345[[#This Row],[Index]]-B82)/B82</f>
        <v/>
      </c>
    </row>
    <row r="95">
      <c r="A95" s="17" t="n">
        <v>28976</v>
      </c>
      <c r="B95" s="58">
        <f>VLOOKUP(Table1345[[#This Row],[Date]],database!A:I,9,)</f>
        <v/>
      </c>
      <c r="C95" s="66">
        <f>B95/B94-1</f>
        <v/>
      </c>
      <c r="D95" s="66">
        <f>(Table1345[[#This Row],[Index]]-B83)/B83</f>
        <v/>
      </c>
    </row>
    <row r="96">
      <c r="A96" s="17" t="n">
        <v>29007</v>
      </c>
      <c r="B96" s="58">
        <f>VLOOKUP(Table1345[[#This Row],[Date]],database!A:I,9,)</f>
        <v/>
      </c>
      <c r="C96" s="66">
        <f>B96/B95-1</f>
        <v/>
      </c>
      <c r="D96" s="66">
        <f>(Table1345[[#This Row],[Index]]-B84)/B84</f>
        <v/>
      </c>
    </row>
    <row r="97">
      <c r="A97" s="17" t="n">
        <v>29037</v>
      </c>
      <c r="B97" s="58">
        <f>VLOOKUP(Table1345[[#This Row],[Date]],database!A:I,9,)</f>
        <v/>
      </c>
      <c r="C97" s="66">
        <f>B97/B96-1</f>
        <v/>
      </c>
      <c r="D97" s="66">
        <f>(Table1345[[#This Row],[Index]]-B85)/B85</f>
        <v/>
      </c>
    </row>
    <row r="98">
      <c r="A98" s="17" t="n">
        <v>29068</v>
      </c>
      <c r="B98" s="58">
        <f>VLOOKUP(Table1345[[#This Row],[Date]],database!A:I,9,)</f>
        <v/>
      </c>
      <c r="C98" s="66">
        <f>B98/B97-1</f>
        <v/>
      </c>
      <c r="D98" s="66">
        <f>(Table1345[[#This Row],[Index]]-B86)/B86</f>
        <v/>
      </c>
    </row>
    <row r="99">
      <c r="A99" s="17" t="n">
        <v>29099</v>
      </c>
      <c r="B99" s="58">
        <f>VLOOKUP(Table1345[[#This Row],[Date]],database!A:I,9,)</f>
        <v/>
      </c>
      <c r="C99" s="66">
        <f>B99/B98-1</f>
        <v/>
      </c>
      <c r="D99" s="66">
        <f>(Table1345[[#This Row],[Index]]-B87)/B87</f>
        <v/>
      </c>
    </row>
    <row r="100">
      <c r="A100" s="17" t="n">
        <v>29129</v>
      </c>
      <c r="B100" s="58">
        <f>VLOOKUP(Table1345[[#This Row],[Date]],database!A:I,9,)</f>
        <v/>
      </c>
      <c r="C100" s="66">
        <f>B100/B99-1</f>
        <v/>
      </c>
      <c r="D100" s="66">
        <f>(Table1345[[#This Row],[Index]]-B88)/B88</f>
        <v/>
      </c>
    </row>
    <row r="101">
      <c r="A101" s="17" t="n">
        <v>29160</v>
      </c>
      <c r="B101" s="58">
        <f>VLOOKUP(Table1345[[#This Row],[Date]],database!A:I,9,)</f>
        <v/>
      </c>
      <c r="C101" s="66">
        <f>B101/B100-1</f>
        <v/>
      </c>
      <c r="D101" s="66">
        <f>(Table1345[[#This Row],[Index]]-B89)/B89</f>
        <v/>
      </c>
    </row>
    <row r="102">
      <c r="A102" s="17" t="n">
        <v>29190</v>
      </c>
      <c r="B102" s="58">
        <f>VLOOKUP(Table1345[[#This Row],[Date]],database!A:I,9,)</f>
        <v/>
      </c>
      <c r="C102" s="66">
        <f>B102/B101-1</f>
        <v/>
      </c>
      <c r="D102" s="66">
        <f>(Table1345[[#This Row],[Index]]-B90)/B90</f>
        <v/>
      </c>
    </row>
    <row r="103">
      <c r="A103" s="17" t="n">
        <v>29221</v>
      </c>
      <c r="B103" s="58">
        <f>VLOOKUP(Table1345[[#This Row],[Date]],database!A:I,9,)</f>
        <v/>
      </c>
      <c r="C103" s="66">
        <f>B103/B102-1</f>
        <v/>
      </c>
      <c r="D103" s="66">
        <f>(Table1345[[#This Row],[Index]]-B91)/B91</f>
        <v/>
      </c>
    </row>
    <row r="104">
      <c r="A104" s="17" t="n">
        <v>29252</v>
      </c>
      <c r="B104" s="58">
        <f>VLOOKUP(Table1345[[#This Row],[Date]],database!A:I,9,)</f>
        <v/>
      </c>
      <c r="C104" s="66">
        <f>B104/B103-1</f>
        <v/>
      </c>
      <c r="D104" s="66">
        <f>(Table1345[[#This Row],[Index]]-B92)/B92</f>
        <v/>
      </c>
    </row>
    <row r="105">
      <c r="A105" s="17" t="n">
        <v>29281</v>
      </c>
      <c r="B105" s="58">
        <f>VLOOKUP(Table1345[[#This Row],[Date]],database!A:I,9,)</f>
        <v/>
      </c>
      <c r="C105" s="66">
        <f>B105/B104-1</f>
        <v/>
      </c>
      <c r="D105" s="66">
        <f>(Table1345[[#This Row],[Index]]-B93)/B93</f>
        <v/>
      </c>
    </row>
    <row r="106">
      <c r="A106" s="17" t="n">
        <v>29312</v>
      </c>
      <c r="B106" s="58">
        <f>VLOOKUP(Table1345[[#This Row],[Date]],database!A:I,9,)</f>
        <v/>
      </c>
      <c r="C106" s="66">
        <f>B106/B105-1</f>
        <v/>
      </c>
      <c r="D106" s="66">
        <f>(Table1345[[#This Row],[Index]]-B94)/B94</f>
        <v/>
      </c>
    </row>
    <row r="107">
      <c r="A107" s="17" t="n">
        <v>29342</v>
      </c>
      <c r="B107" s="58">
        <f>VLOOKUP(Table1345[[#This Row],[Date]],database!A:I,9,)</f>
        <v/>
      </c>
      <c r="C107" s="66">
        <f>B107/B106-1</f>
        <v/>
      </c>
      <c r="D107" s="66">
        <f>(Table1345[[#This Row],[Index]]-B95)/B95</f>
        <v/>
      </c>
    </row>
    <row r="108">
      <c r="A108" s="17" t="n">
        <v>29373</v>
      </c>
      <c r="B108" s="58">
        <f>VLOOKUP(Table1345[[#This Row],[Date]],database!A:I,9,)</f>
        <v/>
      </c>
      <c r="C108" s="66">
        <f>B108/B107-1</f>
        <v/>
      </c>
      <c r="D108" s="66">
        <f>(Table1345[[#This Row],[Index]]-B96)/B96</f>
        <v/>
      </c>
    </row>
    <row r="109">
      <c r="A109" s="17" t="n">
        <v>29403</v>
      </c>
      <c r="B109" s="58">
        <f>VLOOKUP(Table1345[[#This Row],[Date]],database!A:I,9,)</f>
        <v/>
      </c>
      <c r="C109" s="66">
        <f>B109/B108-1</f>
        <v/>
      </c>
      <c r="D109" s="66">
        <f>(Table1345[[#This Row],[Index]]-B97)/B97</f>
        <v/>
      </c>
    </row>
    <row r="110">
      <c r="A110" s="17" t="n">
        <v>29434</v>
      </c>
      <c r="B110" s="58">
        <f>VLOOKUP(Table1345[[#This Row],[Date]],database!A:I,9,)</f>
        <v/>
      </c>
      <c r="C110" s="66">
        <f>B110/B109-1</f>
        <v/>
      </c>
      <c r="D110" s="66">
        <f>(Table1345[[#This Row],[Index]]-B98)/B98</f>
        <v/>
      </c>
    </row>
    <row r="111">
      <c r="A111" s="17" t="n">
        <v>29465</v>
      </c>
      <c r="B111" s="58">
        <f>VLOOKUP(Table1345[[#This Row],[Date]],database!A:I,9,)</f>
        <v/>
      </c>
      <c r="C111" s="66">
        <f>B111/B110-1</f>
        <v/>
      </c>
      <c r="D111" s="66">
        <f>(Table1345[[#This Row],[Index]]-B99)/B99</f>
        <v/>
      </c>
    </row>
    <row r="112">
      <c r="A112" s="17" t="n">
        <v>29495</v>
      </c>
      <c r="B112" s="58">
        <f>VLOOKUP(Table1345[[#This Row],[Date]],database!A:I,9,)</f>
        <v/>
      </c>
      <c r="C112" s="66">
        <f>B112/B111-1</f>
        <v/>
      </c>
      <c r="D112" s="66">
        <f>(Table1345[[#This Row],[Index]]-B100)/B100</f>
        <v/>
      </c>
    </row>
    <row r="113">
      <c r="A113" s="17" t="n">
        <v>29526</v>
      </c>
      <c r="B113" s="58">
        <f>VLOOKUP(Table1345[[#This Row],[Date]],database!A:I,9,)</f>
        <v/>
      </c>
      <c r="C113" s="66">
        <f>B113/B112-1</f>
        <v/>
      </c>
      <c r="D113" s="66">
        <f>(Table1345[[#This Row],[Index]]-B101)/B101</f>
        <v/>
      </c>
    </row>
    <row r="114">
      <c r="A114" s="17" t="n">
        <v>29556</v>
      </c>
      <c r="B114" s="58">
        <f>VLOOKUP(Table1345[[#This Row],[Date]],database!A:I,9,)</f>
        <v/>
      </c>
      <c r="C114" s="66">
        <f>B114/B113-1</f>
        <v/>
      </c>
      <c r="D114" s="66">
        <f>(Table1345[[#This Row],[Index]]-B102)/B102</f>
        <v/>
      </c>
    </row>
    <row r="115">
      <c r="A115" s="17" t="n">
        <v>29587</v>
      </c>
      <c r="B115" s="58">
        <f>VLOOKUP(Table1345[[#This Row],[Date]],database!A:I,9,)</f>
        <v/>
      </c>
      <c r="C115" s="66">
        <f>B115/B114-1</f>
        <v/>
      </c>
      <c r="D115" s="66">
        <f>(Table1345[[#This Row],[Index]]-B103)/B103</f>
        <v/>
      </c>
    </row>
    <row r="116">
      <c r="A116" s="17" t="n">
        <v>29618</v>
      </c>
      <c r="B116" s="58">
        <f>VLOOKUP(Table1345[[#This Row],[Date]],database!A:I,9,)</f>
        <v/>
      </c>
      <c r="C116" s="66">
        <f>B116/B115-1</f>
        <v/>
      </c>
      <c r="D116" s="66">
        <f>(Table1345[[#This Row],[Index]]-B104)/B104</f>
        <v/>
      </c>
    </row>
    <row r="117">
      <c r="A117" s="17" t="n">
        <v>29646</v>
      </c>
      <c r="B117" s="58">
        <f>VLOOKUP(Table1345[[#This Row],[Date]],database!A:I,9,)</f>
        <v/>
      </c>
      <c r="C117" s="66">
        <f>B117/B116-1</f>
        <v/>
      </c>
      <c r="D117" s="66">
        <f>(Table1345[[#This Row],[Index]]-B105)/B105</f>
        <v/>
      </c>
    </row>
    <row r="118">
      <c r="A118" s="17" t="n">
        <v>29677</v>
      </c>
      <c r="B118" s="58">
        <f>VLOOKUP(Table1345[[#This Row],[Date]],database!A:I,9,)</f>
        <v/>
      </c>
      <c r="C118" s="66">
        <f>B118/B117-1</f>
        <v/>
      </c>
      <c r="D118" s="66">
        <f>(Table1345[[#This Row],[Index]]-B106)/B106</f>
        <v/>
      </c>
    </row>
    <row r="119">
      <c r="A119" s="17" t="n">
        <v>29707</v>
      </c>
      <c r="B119" s="58">
        <f>VLOOKUP(Table1345[[#This Row],[Date]],database!A:I,9,)</f>
        <v/>
      </c>
      <c r="C119" s="66">
        <f>B119/B118-1</f>
        <v/>
      </c>
      <c r="D119" s="66">
        <f>(Table1345[[#This Row],[Index]]-B107)/B107</f>
        <v/>
      </c>
    </row>
    <row r="120">
      <c r="A120" s="17" t="n">
        <v>29738</v>
      </c>
      <c r="B120" s="58">
        <f>VLOOKUP(Table1345[[#This Row],[Date]],database!A:I,9,)</f>
        <v/>
      </c>
      <c r="C120" s="66">
        <f>B120/B119-1</f>
        <v/>
      </c>
      <c r="D120" s="66">
        <f>(Table1345[[#This Row],[Index]]-B108)/B108</f>
        <v/>
      </c>
    </row>
    <row r="121">
      <c r="A121" s="17" t="n">
        <v>29768</v>
      </c>
      <c r="B121" s="58">
        <f>VLOOKUP(Table1345[[#This Row],[Date]],database!A:I,9,)</f>
        <v/>
      </c>
      <c r="C121" s="66">
        <f>B121/B120-1</f>
        <v/>
      </c>
      <c r="D121" s="66">
        <f>(Table1345[[#This Row],[Index]]-B109)/B109</f>
        <v/>
      </c>
    </row>
    <row r="122">
      <c r="A122" s="17" t="n">
        <v>29799</v>
      </c>
      <c r="B122" s="58">
        <f>VLOOKUP(Table1345[[#This Row],[Date]],database!A:I,9,)</f>
        <v/>
      </c>
      <c r="C122" s="66">
        <f>B122/B121-1</f>
        <v/>
      </c>
      <c r="D122" s="66">
        <f>(Table1345[[#This Row],[Index]]-B110)/B110</f>
        <v/>
      </c>
    </row>
    <row r="123">
      <c r="A123" s="17" t="n">
        <v>29830</v>
      </c>
      <c r="B123" s="58">
        <f>VLOOKUP(Table1345[[#This Row],[Date]],database!A:I,9,)</f>
        <v/>
      </c>
      <c r="C123" s="66">
        <f>B123/B122-1</f>
        <v/>
      </c>
      <c r="D123" s="66">
        <f>(Table1345[[#This Row],[Index]]-B111)/B111</f>
        <v/>
      </c>
    </row>
    <row r="124">
      <c r="A124" s="17" t="n">
        <v>29860</v>
      </c>
      <c r="B124" s="58">
        <f>VLOOKUP(Table1345[[#This Row],[Date]],database!A:I,9,)</f>
        <v/>
      </c>
      <c r="C124" s="66">
        <f>B124/B123-1</f>
        <v/>
      </c>
      <c r="D124" s="66">
        <f>(Table1345[[#This Row],[Index]]-B112)/B112</f>
        <v/>
      </c>
    </row>
    <row r="125">
      <c r="A125" s="17" t="n">
        <v>29891</v>
      </c>
      <c r="B125" s="58">
        <f>VLOOKUP(Table1345[[#This Row],[Date]],database!A:I,9,)</f>
        <v/>
      </c>
      <c r="C125" s="66">
        <f>B125/B124-1</f>
        <v/>
      </c>
      <c r="D125" s="66">
        <f>(Table1345[[#This Row],[Index]]-B113)/B113</f>
        <v/>
      </c>
    </row>
    <row r="126">
      <c r="A126" s="17" t="n">
        <v>29921</v>
      </c>
      <c r="B126" s="58">
        <f>VLOOKUP(Table1345[[#This Row],[Date]],database!A:I,9,)</f>
        <v/>
      </c>
      <c r="C126" s="66">
        <f>B126/B125-1</f>
        <v/>
      </c>
      <c r="D126" s="66">
        <f>(Table1345[[#This Row],[Index]]-B114)/B114</f>
        <v/>
      </c>
    </row>
    <row r="127">
      <c r="A127" s="17" t="n">
        <v>29952</v>
      </c>
      <c r="B127" s="58">
        <f>VLOOKUP(Table1345[[#This Row],[Date]],database!A:I,9,)</f>
        <v/>
      </c>
      <c r="C127" s="66">
        <f>B127/B126-1</f>
        <v/>
      </c>
      <c r="D127" s="66">
        <f>(Table1345[[#This Row],[Index]]-B115)/B115</f>
        <v/>
      </c>
    </row>
    <row r="128">
      <c r="A128" s="17" t="n">
        <v>29983</v>
      </c>
      <c r="B128" s="58">
        <f>VLOOKUP(Table1345[[#This Row],[Date]],database!A:I,9,)</f>
        <v/>
      </c>
      <c r="C128" s="66">
        <f>B128/B127-1</f>
        <v/>
      </c>
      <c r="D128" s="66">
        <f>(Table1345[[#This Row],[Index]]-B116)/B116</f>
        <v/>
      </c>
    </row>
    <row r="129">
      <c r="A129" s="17" t="n">
        <v>30011</v>
      </c>
      <c r="B129" s="58">
        <f>VLOOKUP(Table1345[[#This Row],[Date]],database!A:I,9,)</f>
        <v/>
      </c>
      <c r="C129" s="66">
        <f>B129/B128-1</f>
        <v/>
      </c>
      <c r="D129" s="66">
        <f>(Table1345[[#This Row],[Index]]-B117)/B117</f>
        <v/>
      </c>
    </row>
    <row r="130">
      <c r="A130" s="17" t="n">
        <v>30042</v>
      </c>
      <c r="B130" s="58">
        <f>VLOOKUP(Table1345[[#This Row],[Date]],database!A:I,9,)</f>
        <v/>
      </c>
      <c r="C130" s="66">
        <f>B130/B129-1</f>
        <v/>
      </c>
      <c r="D130" s="66">
        <f>(Table1345[[#This Row],[Index]]-B118)/B118</f>
        <v/>
      </c>
    </row>
    <row r="131">
      <c r="A131" s="17" t="n">
        <v>30072</v>
      </c>
      <c r="B131" s="58">
        <f>VLOOKUP(Table1345[[#This Row],[Date]],database!A:I,9,)</f>
        <v/>
      </c>
      <c r="C131" s="66">
        <f>B131/B130-1</f>
        <v/>
      </c>
      <c r="D131" s="66">
        <f>(Table1345[[#This Row],[Index]]-B119)/B119</f>
        <v/>
      </c>
    </row>
    <row r="132">
      <c r="A132" s="17" t="n">
        <v>30103</v>
      </c>
      <c r="B132" s="58">
        <f>VLOOKUP(Table1345[[#This Row],[Date]],database!A:I,9,)</f>
        <v/>
      </c>
      <c r="C132" s="66">
        <f>B132/B131-1</f>
        <v/>
      </c>
      <c r="D132" s="66">
        <f>(Table1345[[#This Row],[Index]]-B120)/B120</f>
        <v/>
      </c>
    </row>
    <row r="133">
      <c r="A133" s="17" t="n">
        <v>30133</v>
      </c>
      <c r="B133" s="58">
        <f>VLOOKUP(Table1345[[#This Row],[Date]],database!A:I,9,)</f>
        <v/>
      </c>
      <c r="C133" s="66">
        <f>B133/B132-1</f>
        <v/>
      </c>
      <c r="D133" s="66">
        <f>(Table1345[[#This Row],[Index]]-B121)/B121</f>
        <v/>
      </c>
    </row>
    <row r="134">
      <c r="A134" s="17" t="n">
        <v>30164</v>
      </c>
      <c r="B134" s="58">
        <f>VLOOKUP(Table1345[[#This Row],[Date]],database!A:I,9,)</f>
        <v/>
      </c>
      <c r="C134" s="66">
        <f>B134/B133-1</f>
        <v/>
      </c>
      <c r="D134" s="66">
        <f>(Table1345[[#This Row],[Index]]-B122)/B122</f>
        <v/>
      </c>
    </row>
    <row r="135">
      <c r="A135" s="17" t="n">
        <v>30195</v>
      </c>
      <c r="B135" s="58">
        <f>VLOOKUP(Table1345[[#This Row],[Date]],database!A:I,9,)</f>
        <v/>
      </c>
      <c r="C135" s="66">
        <f>B135/B134-1</f>
        <v/>
      </c>
      <c r="D135" s="66">
        <f>(Table1345[[#This Row],[Index]]-B123)/B123</f>
        <v/>
      </c>
    </row>
    <row r="136">
      <c r="A136" s="17" t="n">
        <v>30225</v>
      </c>
      <c r="B136" s="58">
        <f>VLOOKUP(Table1345[[#This Row],[Date]],database!A:I,9,)</f>
        <v/>
      </c>
      <c r="C136" s="66">
        <f>B136/B135-1</f>
        <v/>
      </c>
      <c r="D136" s="66">
        <f>(Table1345[[#This Row],[Index]]-B124)/B124</f>
        <v/>
      </c>
    </row>
    <row r="137">
      <c r="A137" s="17" t="n">
        <v>30256</v>
      </c>
      <c r="B137" s="58">
        <f>VLOOKUP(Table1345[[#This Row],[Date]],database!A:I,9,)</f>
        <v/>
      </c>
      <c r="C137" s="66">
        <f>B137/B136-1</f>
        <v/>
      </c>
      <c r="D137" s="66">
        <f>(Table1345[[#This Row],[Index]]-B125)/B125</f>
        <v/>
      </c>
    </row>
    <row r="138">
      <c r="A138" s="17" t="n">
        <v>30286</v>
      </c>
      <c r="B138" s="58">
        <f>VLOOKUP(Table1345[[#This Row],[Date]],database!A:I,9,)</f>
        <v/>
      </c>
      <c r="C138" s="66">
        <f>B138/B137-1</f>
        <v/>
      </c>
      <c r="D138" s="66">
        <f>(Table1345[[#This Row],[Index]]-B126)/B126</f>
        <v/>
      </c>
    </row>
    <row r="139">
      <c r="A139" s="17" t="n">
        <v>30317</v>
      </c>
      <c r="B139" s="58">
        <f>VLOOKUP(Table1345[[#This Row],[Date]],database!A:I,9,)</f>
        <v/>
      </c>
      <c r="C139" s="66">
        <f>B139/B138-1</f>
        <v/>
      </c>
      <c r="D139" s="66">
        <f>(Table1345[[#This Row],[Index]]-B127)/B127</f>
        <v/>
      </c>
    </row>
    <row r="140">
      <c r="A140" s="17" t="n">
        <v>30348</v>
      </c>
      <c r="B140" s="58">
        <f>VLOOKUP(Table1345[[#This Row],[Date]],database!A:I,9,)</f>
        <v/>
      </c>
      <c r="C140" s="66">
        <f>B140/B139-1</f>
        <v/>
      </c>
      <c r="D140" s="66">
        <f>(Table1345[[#This Row],[Index]]-B128)/B128</f>
        <v/>
      </c>
    </row>
    <row r="141">
      <c r="A141" s="17" t="n">
        <v>30376</v>
      </c>
      <c r="B141" s="58">
        <f>VLOOKUP(Table1345[[#This Row],[Date]],database!A:I,9,)</f>
        <v/>
      </c>
      <c r="C141" s="66">
        <f>B141/B140-1</f>
        <v/>
      </c>
      <c r="D141" s="66">
        <f>(Table1345[[#This Row],[Index]]-B129)/B129</f>
        <v/>
      </c>
    </row>
    <row r="142">
      <c r="A142" s="17" t="n">
        <v>30407</v>
      </c>
      <c r="B142" s="58">
        <f>VLOOKUP(Table1345[[#This Row],[Date]],database!A:I,9,)</f>
        <v/>
      </c>
      <c r="C142" s="66">
        <f>B142/B141-1</f>
        <v/>
      </c>
      <c r="D142" s="66">
        <f>(Table1345[[#This Row],[Index]]-B130)/B130</f>
        <v/>
      </c>
    </row>
    <row r="143">
      <c r="A143" s="17" t="n">
        <v>30437</v>
      </c>
      <c r="B143" s="58">
        <f>VLOOKUP(Table1345[[#This Row],[Date]],database!A:I,9,)</f>
        <v/>
      </c>
      <c r="C143" s="66">
        <f>B143/B142-1</f>
        <v/>
      </c>
      <c r="D143" s="66">
        <f>(Table1345[[#This Row],[Index]]-B131)/B131</f>
        <v/>
      </c>
    </row>
    <row r="144">
      <c r="A144" s="17" t="n">
        <v>30468</v>
      </c>
      <c r="B144" s="58">
        <f>VLOOKUP(Table1345[[#This Row],[Date]],database!A:I,9,)</f>
        <v/>
      </c>
      <c r="C144" s="66">
        <f>B144/B143-1</f>
        <v/>
      </c>
      <c r="D144" s="66">
        <f>(Table1345[[#This Row],[Index]]-B132)/B132</f>
        <v/>
      </c>
    </row>
    <row r="145">
      <c r="A145" s="17" t="n">
        <v>30498</v>
      </c>
      <c r="B145" s="58">
        <f>VLOOKUP(Table1345[[#This Row],[Date]],database!A:I,9,)</f>
        <v/>
      </c>
      <c r="C145" s="66">
        <f>B145/B144-1</f>
        <v/>
      </c>
      <c r="D145" s="66">
        <f>(Table1345[[#This Row],[Index]]-B133)/B133</f>
        <v/>
      </c>
    </row>
    <row r="146">
      <c r="A146" s="17" t="n">
        <v>30529</v>
      </c>
      <c r="B146" s="58">
        <f>VLOOKUP(Table1345[[#This Row],[Date]],database!A:I,9,)</f>
        <v/>
      </c>
      <c r="C146" s="66">
        <f>B146/B145-1</f>
        <v/>
      </c>
      <c r="D146" s="66">
        <f>(Table1345[[#This Row],[Index]]-B134)/B134</f>
        <v/>
      </c>
    </row>
    <row r="147">
      <c r="A147" s="17" t="n">
        <v>30560</v>
      </c>
      <c r="B147" s="58">
        <f>VLOOKUP(Table1345[[#This Row],[Date]],database!A:I,9,)</f>
        <v/>
      </c>
      <c r="C147" s="66">
        <f>B147/B146-1</f>
        <v/>
      </c>
      <c r="D147" s="66">
        <f>(Table1345[[#This Row],[Index]]-B135)/B135</f>
        <v/>
      </c>
    </row>
    <row r="148">
      <c r="A148" s="17" t="n">
        <v>30590</v>
      </c>
      <c r="B148" s="58">
        <f>VLOOKUP(Table1345[[#This Row],[Date]],database!A:I,9,)</f>
        <v/>
      </c>
      <c r="C148" s="66">
        <f>B148/B147-1</f>
        <v/>
      </c>
      <c r="D148" s="66">
        <f>(Table1345[[#This Row],[Index]]-B136)/B136</f>
        <v/>
      </c>
    </row>
    <row r="149">
      <c r="A149" s="17" t="n">
        <v>30621</v>
      </c>
      <c r="B149" s="58">
        <f>VLOOKUP(Table1345[[#This Row],[Date]],database!A:I,9,)</f>
        <v/>
      </c>
      <c r="C149" s="66">
        <f>B149/B148-1</f>
        <v/>
      </c>
      <c r="D149" s="66">
        <f>(Table1345[[#This Row],[Index]]-B137)/B137</f>
        <v/>
      </c>
    </row>
    <row r="150">
      <c r="A150" s="17" t="n">
        <v>30651</v>
      </c>
      <c r="B150" s="58">
        <f>VLOOKUP(Table1345[[#This Row],[Date]],database!A:I,9,)</f>
        <v/>
      </c>
      <c r="C150" s="66">
        <f>B150/B149-1</f>
        <v/>
      </c>
      <c r="D150" s="66">
        <f>(Table1345[[#This Row],[Index]]-B138)/B138</f>
        <v/>
      </c>
    </row>
    <row r="151">
      <c r="A151" s="17" t="n">
        <v>30682</v>
      </c>
      <c r="B151" s="58">
        <f>VLOOKUP(Table1345[[#This Row],[Date]],database!A:I,9,)</f>
        <v/>
      </c>
      <c r="C151" s="66">
        <f>B151/B150-1</f>
        <v/>
      </c>
      <c r="D151" s="66">
        <f>(Table1345[[#This Row],[Index]]-B139)/B139</f>
        <v/>
      </c>
    </row>
    <row r="152">
      <c r="A152" s="17" t="n">
        <v>30713</v>
      </c>
      <c r="B152" s="58">
        <f>VLOOKUP(Table1345[[#This Row],[Date]],database!A:I,9,)</f>
        <v/>
      </c>
      <c r="C152" s="66">
        <f>B152/B151-1</f>
        <v/>
      </c>
      <c r="D152" s="66">
        <f>(Table1345[[#This Row],[Index]]-B140)/B140</f>
        <v/>
      </c>
    </row>
    <row r="153">
      <c r="A153" s="17" t="n">
        <v>30742</v>
      </c>
      <c r="B153" s="58">
        <f>VLOOKUP(Table1345[[#This Row],[Date]],database!A:I,9,)</f>
        <v/>
      </c>
      <c r="C153" s="66">
        <f>B153/B152-1</f>
        <v/>
      </c>
      <c r="D153" s="66">
        <f>(Table1345[[#This Row],[Index]]-B141)/B141</f>
        <v/>
      </c>
    </row>
    <row r="154">
      <c r="A154" s="17" t="n">
        <v>30773</v>
      </c>
      <c r="B154" s="58">
        <f>VLOOKUP(Table1345[[#This Row],[Date]],database!A:I,9,)</f>
        <v/>
      </c>
      <c r="C154" s="66">
        <f>B154/B153-1</f>
        <v/>
      </c>
      <c r="D154" s="66">
        <f>(Table1345[[#This Row],[Index]]-B142)/B142</f>
        <v/>
      </c>
    </row>
    <row r="155">
      <c r="A155" s="17" t="n">
        <v>30803</v>
      </c>
      <c r="B155" s="58">
        <f>VLOOKUP(Table1345[[#This Row],[Date]],database!A:I,9,)</f>
        <v/>
      </c>
      <c r="C155" s="66">
        <f>B155/B154-1</f>
        <v/>
      </c>
      <c r="D155" s="66">
        <f>(Table1345[[#This Row],[Index]]-B143)/B143</f>
        <v/>
      </c>
    </row>
    <row r="156">
      <c r="A156" s="17" t="n">
        <v>30834</v>
      </c>
      <c r="B156" s="58">
        <f>VLOOKUP(Table1345[[#This Row],[Date]],database!A:I,9,)</f>
        <v/>
      </c>
      <c r="C156" s="66">
        <f>B156/B155-1</f>
        <v/>
      </c>
      <c r="D156" s="66">
        <f>(Table1345[[#This Row],[Index]]-B144)/B144</f>
        <v/>
      </c>
    </row>
    <row r="157">
      <c r="A157" s="17" t="n">
        <v>30864</v>
      </c>
      <c r="B157" s="58">
        <f>VLOOKUP(Table1345[[#This Row],[Date]],database!A:I,9,)</f>
        <v/>
      </c>
      <c r="C157" s="66">
        <f>B157/B156-1</f>
        <v/>
      </c>
      <c r="D157" s="66">
        <f>(Table1345[[#This Row],[Index]]-B145)/B145</f>
        <v/>
      </c>
    </row>
    <row r="158">
      <c r="A158" s="17" t="n">
        <v>30895</v>
      </c>
      <c r="B158" s="58">
        <f>VLOOKUP(Table1345[[#This Row],[Date]],database!A:I,9,)</f>
        <v/>
      </c>
      <c r="C158" s="66">
        <f>B158/B157-1</f>
        <v/>
      </c>
      <c r="D158" s="66">
        <f>(Table1345[[#This Row],[Index]]-B146)/B146</f>
        <v/>
      </c>
    </row>
    <row r="159">
      <c r="A159" s="17" t="n">
        <v>30926</v>
      </c>
      <c r="B159" s="58">
        <f>VLOOKUP(Table1345[[#This Row],[Date]],database!A:I,9,)</f>
        <v/>
      </c>
      <c r="C159" s="66">
        <f>B159/B158-1</f>
        <v/>
      </c>
      <c r="D159" s="66">
        <f>(Table1345[[#This Row],[Index]]-B147)/B147</f>
        <v/>
      </c>
    </row>
    <row r="160">
      <c r="A160" s="17" t="n">
        <v>30956</v>
      </c>
      <c r="B160" s="58">
        <f>VLOOKUP(Table1345[[#This Row],[Date]],database!A:I,9,)</f>
        <v/>
      </c>
      <c r="C160" s="66">
        <f>B160/B159-1</f>
        <v/>
      </c>
      <c r="D160" s="66">
        <f>(Table1345[[#This Row],[Index]]-B148)/B148</f>
        <v/>
      </c>
    </row>
    <row r="161">
      <c r="A161" s="17" t="n">
        <v>30987</v>
      </c>
      <c r="B161" s="58">
        <f>VLOOKUP(Table1345[[#This Row],[Date]],database!A:I,9,)</f>
        <v/>
      </c>
      <c r="C161" s="66">
        <f>B161/B160-1</f>
        <v/>
      </c>
      <c r="D161" s="66">
        <f>(Table1345[[#This Row],[Index]]-B149)/B149</f>
        <v/>
      </c>
    </row>
    <row r="162">
      <c r="A162" s="17" t="n">
        <v>31017</v>
      </c>
      <c r="B162" s="58">
        <f>VLOOKUP(Table1345[[#This Row],[Date]],database!A:I,9,)</f>
        <v/>
      </c>
      <c r="C162" s="66">
        <f>B162/B161-1</f>
        <v/>
      </c>
      <c r="D162" s="66">
        <f>(Table1345[[#This Row],[Index]]-B150)/B150</f>
        <v/>
      </c>
    </row>
    <row r="163">
      <c r="A163" s="17" t="n">
        <v>31048</v>
      </c>
      <c r="B163" s="58">
        <f>VLOOKUP(Table1345[[#This Row],[Date]],database!A:I,9,)</f>
        <v/>
      </c>
      <c r="C163" s="66">
        <f>B163/B162-1</f>
        <v/>
      </c>
      <c r="D163" s="66">
        <f>(Table1345[[#This Row],[Index]]-B151)/B151</f>
        <v/>
      </c>
    </row>
    <row r="164">
      <c r="A164" s="17" t="n">
        <v>31079</v>
      </c>
      <c r="B164" s="58">
        <f>VLOOKUP(Table1345[[#This Row],[Date]],database!A:I,9,)</f>
        <v/>
      </c>
      <c r="C164" s="66">
        <f>B164/B163-1</f>
        <v/>
      </c>
      <c r="D164" s="66">
        <f>(Table1345[[#This Row],[Index]]-B152)/B152</f>
        <v/>
      </c>
    </row>
    <row r="165">
      <c r="A165" s="17" t="n">
        <v>31107</v>
      </c>
      <c r="B165" s="58">
        <f>VLOOKUP(Table1345[[#This Row],[Date]],database!A:I,9,)</f>
        <v/>
      </c>
      <c r="C165" s="66">
        <f>B165/B164-1</f>
        <v/>
      </c>
      <c r="D165" s="66">
        <f>(Table1345[[#This Row],[Index]]-B153)/B153</f>
        <v/>
      </c>
    </row>
    <row r="166">
      <c r="A166" s="17" t="n">
        <v>31138</v>
      </c>
      <c r="B166" s="58">
        <f>VLOOKUP(Table1345[[#This Row],[Date]],database!A:I,9,)</f>
        <v/>
      </c>
      <c r="C166" s="66">
        <f>B166/B165-1</f>
        <v/>
      </c>
      <c r="D166" s="66">
        <f>(Table1345[[#This Row],[Index]]-B154)/B154</f>
        <v/>
      </c>
    </row>
    <row r="167">
      <c r="A167" s="17" t="n">
        <v>31168</v>
      </c>
      <c r="B167" s="58">
        <f>VLOOKUP(Table1345[[#This Row],[Date]],database!A:I,9,)</f>
        <v/>
      </c>
      <c r="C167" s="66">
        <f>B167/B166-1</f>
        <v/>
      </c>
      <c r="D167" s="66">
        <f>(Table1345[[#This Row],[Index]]-B155)/B155</f>
        <v/>
      </c>
    </row>
    <row r="168">
      <c r="A168" s="17" t="n">
        <v>31199</v>
      </c>
      <c r="B168" s="58">
        <f>VLOOKUP(Table1345[[#This Row],[Date]],database!A:I,9,)</f>
        <v/>
      </c>
      <c r="C168" s="66">
        <f>B168/B167-1</f>
        <v/>
      </c>
      <c r="D168" s="66">
        <f>(Table1345[[#This Row],[Index]]-B156)/B156</f>
        <v/>
      </c>
    </row>
    <row r="169">
      <c r="A169" s="17" t="n">
        <v>31229</v>
      </c>
      <c r="B169" s="58">
        <f>VLOOKUP(Table1345[[#This Row],[Date]],database!A:I,9,)</f>
        <v/>
      </c>
      <c r="C169" s="66">
        <f>B169/B168-1</f>
        <v/>
      </c>
      <c r="D169" s="66">
        <f>(Table1345[[#This Row],[Index]]-B157)/B157</f>
        <v/>
      </c>
    </row>
    <row r="170">
      <c r="A170" s="17" t="n">
        <v>31260</v>
      </c>
      <c r="B170" s="58">
        <f>VLOOKUP(Table1345[[#This Row],[Date]],database!A:I,9,)</f>
        <v/>
      </c>
      <c r="C170" s="66">
        <f>B170/B169-1</f>
        <v/>
      </c>
      <c r="D170" s="66">
        <f>(Table1345[[#This Row],[Index]]-B158)/B158</f>
        <v/>
      </c>
    </row>
    <row r="171">
      <c r="A171" s="17" t="n">
        <v>31291</v>
      </c>
      <c r="B171" s="58">
        <f>VLOOKUP(Table1345[[#This Row],[Date]],database!A:I,9,)</f>
        <v/>
      </c>
      <c r="C171" s="66">
        <f>B171/B170-1</f>
        <v/>
      </c>
      <c r="D171" s="66">
        <f>(Table1345[[#This Row],[Index]]-B159)/B159</f>
        <v/>
      </c>
    </row>
    <row r="172">
      <c r="A172" s="17" t="n">
        <v>31321</v>
      </c>
      <c r="B172" s="58">
        <f>VLOOKUP(Table1345[[#This Row],[Date]],database!A:I,9,)</f>
        <v/>
      </c>
      <c r="C172" s="66">
        <f>B172/B171-1</f>
        <v/>
      </c>
      <c r="D172" s="66">
        <f>(Table1345[[#This Row],[Index]]-B160)/B160</f>
        <v/>
      </c>
    </row>
    <row r="173">
      <c r="A173" s="17" t="n">
        <v>31352</v>
      </c>
      <c r="B173" s="58">
        <f>VLOOKUP(Table1345[[#This Row],[Date]],database!A:I,9,)</f>
        <v/>
      </c>
      <c r="C173" s="66">
        <f>B173/B172-1</f>
        <v/>
      </c>
      <c r="D173" s="66">
        <f>(Table1345[[#This Row],[Index]]-B161)/B161</f>
        <v/>
      </c>
    </row>
    <row r="174">
      <c r="A174" s="17" t="n">
        <v>31382</v>
      </c>
      <c r="B174" s="58">
        <f>VLOOKUP(Table1345[[#This Row],[Date]],database!A:I,9,)</f>
        <v/>
      </c>
      <c r="C174" s="66">
        <f>B174/B173-1</f>
        <v/>
      </c>
      <c r="D174" s="66">
        <f>(Table1345[[#This Row],[Index]]-B162)/B162</f>
        <v/>
      </c>
    </row>
    <row r="175">
      <c r="A175" s="17" t="n">
        <v>31413</v>
      </c>
      <c r="B175" s="58">
        <f>VLOOKUP(Table1345[[#This Row],[Date]],database!A:I,9,)</f>
        <v/>
      </c>
      <c r="C175" s="66">
        <f>B175/B174-1</f>
        <v/>
      </c>
      <c r="D175" s="66">
        <f>(Table1345[[#This Row],[Index]]-B163)/B163</f>
        <v/>
      </c>
    </row>
    <row r="176">
      <c r="A176" s="17" t="n">
        <v>31444</v>
      </c>
      <c r="B176" s="58">
        <f>VLOOKUP(Table1345[[#This Row],[Date]],database!A:I,9,)</f>
        <v/>
      </c>
      <c r="C176" s="66">
        <f>B176/B175-1</f>
        <v/>
      </c>
      <c r="D176" s="66">
        <f>(Table1345[[#This Row],[Index]]-B164)/B164</f>
        <v/>
      </c>
    </row>
    <row r="177">
      <c r="A177" s="17" t="n">
        <v>31472</v>
      </c>
      <c r="B177" s="58">
        <f>VLOOKUP(Table1345[[#This Row],[Date]],database!A:I,9,)</f>
        <v/>
      </c>
      <c r="C177" s="66">
        <f>B177/B176-1</f>
        <v/>
      </c>
      <c r="D177" s="66">
        <f>(Table1345[[#This Row],[Index]]-B165)/B165</f>
        <v/>
      </c>
    </row>
    <row r="178">
      <c r="A178" s="17" t="n">
        <v>31503</v>
      </c>
      <c r="B178" s="58">
        <f>VLOOKUP(Table1345[[#This Row],[Date]],database!A:I,9,)</f>
        <v/>
      </c>
      <c r="C178" s="66">
        <f>B178/B177-1</f>
        <v/>
      </c>
      <c r="D178" s="66">
        <f>(Table1345[[#This Row],[Index]]-B166)/B166</f>
        <v/>
      </c>
    </row>
    <row r="179">
      <c r="A179" s="17" t="n">
        <v>31533</v>
      </c>
      <c r="B179" s="58">
        <f>VLOOKUP(Table1345[[#This Row],[Date]],database!A:I,9,)</f>
        <v/>
      </c>
      <c r="C179" s="66">
        <f>B179/B178-1</f>
        <v/>
      </c>
      <c r="D179" s="66">
        <f>(Table1345[[#This Row],[Index]]-B167)/B167</f>
        <v/>
      </c>
    </row>
    <row r="180">
      <c r="A180" s="17" t="n">
        <v>31564</v>
      </c>
      <c r="B180" s="58">
        <f>VLOOKUP(Table1345[[#This Row],[Date]],database!A:I,9,)</f>
        <v/>
      </c>
      <c r="C180" s="66">
        <f>B180/B179-1</f>
        <v/>
      </c>
      <c r="D180" s="66">
        <f>(Table1345[[#This Row],[Index]]-B168)/B168</f>
        <v/>
      </c>
    </row>
    <row r="181">
      <c r="A181" s="17" t="n">
        <v>31594</v>
      </c>
      <c r="B181" s="58">
        <f>VLOOKUP(Table1345[[#This Row],[Date]],database!A:I,9,)</f>
        <v/>
      </c>
      <c r="C181" s="66">
        <f>B181/B180-1</f>
        <v/>
      </c>
      <c r="D181" s="66">
        <f>(Table1345[[#This Row],[Index]]-B169)/B169</f>
        <v/>
      </c>
    </row>
    <row r="182">
      <c r="A182" s="17" t="n">
        <v>31625</v>
      </c>
      <c r="B182" s="58">
        <f>VLOOKUP(Table1345[[#This Row],[Date]],database!A:I,9,)</f>
        <v/>
      </c>
      <c r="C182" s="66">
        <f>B182/B181-1</f>
        <v/>
      </c>
      <c r="D182" s="66">
        <f>(Table1345[[#This Row],[Index]]-B170)/B170</f>
        <v/>
      </c>
    </row>
    <row r="183">
      <c r="A183" s="17" t="n">
        <v>31656</v>
      </c>
      <c r="B183" s="58">
        <f>VLOOKUP(Table1345[[#This Row],[Date]],database!A:I,9,)</f>
        <v/>
      </c>
      <c r="C183" s="66">
        <f>B183/B182-1</f>
        <v/>
      </c>
      <c r="D183" s="66">
        <f>(Table1345[[#This Row],[Index]]-B171)/B171</f>
        <v/>
      </c>
    </row>
    <row r="184">
      <c r="A184" s="17" t="n">
        <v>31686</v>
      </c>
      <c r="B184" s="58">
        <f>VLOOKUP(Table1345[[#This Row],[Date]],database!A:I,9,)</f>
        <v/>
      </c>
      <c r="C184" s="66">
        <f>B184/B183-1</f>
        <v/>
      </c>
      <c r="D184" s="66">
        <f>(Table1345[[#This Row],[Index]]-B172)/B172</f>
        <v/>
      </c>
    </row>
    <row r="185">
      <c r="A185" s="17" t="n">
        <v>31717</v>
      </c>
      <c r="B185" s="58">
        <f>VLOOKUP(Table1345[[#This Row],[Date]],database!A:I,9,)</f>
        <v/>
      </c>
      <c r="C185" s="66">
        <f>B185/B184-1</f>
        <v/>
      </c>
      <c r="D185" s="66">
        <f>(Table1345[[#This Row],[Index]]-B173)/B173</f>
        <v/>
      </c>
    </row>
    <row r="186">
      <c r="A186" s="17" t="n">
        <v>31747</v>
      </c>
      <c r="B186" s="58">
        <f>VLOOKUP(Table1345[[#This Row],[Date]],database!A:I,9,)</f>
        <v/>
      </c>
      <c r="C186" s="66">
        <f>B186/B185-1</f>
        <v/>
      </c>
      <c r="D186" s="66">
        <f>(Table1345[[#This Row],[Index]]-B174)/B174</f>
        <v/>
      </c>
    </row>
    <row r="187">
      <c r="A187" s="17" t="n">
        <v>31778</v>
      </c>
      <c r="B187" s="58">
        <f>VLOOKUP(Table1345[[#This Row],[Date]],database!A:I,9,)</f>
        <v/>
      </c>
      <c r="C187" s="66">
        <f>B187/B186-1</f>
        <v/>
      </c>
      <c r="D187" s="66">
        <f>(Table1345[[#This Row],[Index]]-B175)/B175</f>
        <v/>
      </c>
    </row>
    <row r="188">
      <c r="A188" s="17" t="n">
        <v>31809</v>
      </c>
      <c r="B188" s="58">
        <f>VLOOKUP(Table1345[[#This Row],[Date]],database!A:I,9,)</f>
        <v/>
      </c>
      <c r="C188" s="66">
        <f>B188/B187-1</f>
        <v/>
      </c>
      <c r="D188" s="66">
        <f>(Table1345[[#This Row],[Index]]-B176)/B176</f>
        <v/>
      </c>
    </row>
    <row r="189">
      <c r="A189" s="17" t="n">
        <v>31837</v>
      </c>
      <c r="B189" s="58">
        <f>VLOOKUP(Table1345[[#This Row],[Date]],database!A:I,9,)</f>
        <v/>
      </c>
      <c r="C189" s="66">
        <f>B189/B188-1</f>
        <v/>
      </c>
      <c r="D189" s="66">
        <f>(Table1345[[#This Row],[Index]]-B177)/B177</f>
        <v/>
      </c>
    </row>
    <row r="190">
      <c r="A190" s="17" t="n">
        <v>31868</v>
      </c>
      <c r="B190" s="58">
        <f>VLOOKUP(Table1345[[#This Row],[Date]],database!A:I,9,)</f>
        <v/>
      </c>
      <c r="C190" s="66">
        <f>B190/B189-1</f>
        <v/>
      </c>
      <c r="D190" s="66">
        <f>(Table1345[[#This Row],[Index]]-B178)/B178</f>
        <v/>
      </c>
    </row>
    <row r="191">
      <c r="A191" s="17" t="n">
        <v>31898</v>
      </c>
      <c r="B191" s="58">
        <f>VLOOKUP(Table1345[[#This Row],[Date]],database!A:I,9,)</f>
        <v/>
      </c>
      <c r="C191" s="66">
        <f>B191/B190-1</f>
        <v/>
      </c>
      <c r="D191" s="66">
        <f>(Table1345[[#This Row],[Index]]-B179)/B179</f>
        <v/>
      </c>
    </row>
    <row r="192">
      <c r="A192" s="17" t="n">
        <v>31929</v>
      </c>
      <c r="B192" s="58">
        <f>VLOOKUP(Table1345[[#This Row],[Date]],database!A:I,9,)</f>
        <v/>
      </c>
      <c r="C192" s="66">
        <f>B192/B191-1</f>
        <v/>
      </c>
      <c r="D192" s="66">
        <f>(Table1345[[#This Row],[Index]]-B180)/B180</f>
        <v/>
      </c>
    </row>
    <row r="193">
      <c r="A193" s="17" t="n">
        <v>31959</v>
      </c>
      <c r="B193" s="58">
        <f>VLOOKUP(Table1345[[#This Row],[Date]],database!A:I,9,)</f>
        <v/>
      </c>
      <c r="C193" s="66">
        <f>B193/B192-1</f>
        <v/>
      </c>
      <c r="D193" s="66">
        <f>(Table1345[[#This Row],[Index]]-B181)/B181</f>
        <v/>
      </c>
    </row>
    <row r="194">
      <c r="A194" s="17" t="n">
        <v>31990</v>
      </c>
      <c r="B194" s="58">
        <f>VLOOKUP(Table1345[[#This Row],[Date]],database!A:I,9,)</f>
        <v/>
      </c>
      <c r="C194" s="66">
        <f>B194/B193-1</f>
        <v/>
      </c>
      <c r="D194" s="66">
        <f>(Table1345[[#This Row],[Index]]-B182)/B182</f>
        <v/>
      </c>
    </row>
    <row r="195">
      <c r="A195" s="17" t="n">
        <v>32021</v>
      </c>
      <c r="B195" s="58">
        <f>VLOOKUP(Table1345[[#This Row],[Date]],database!A:I,9,)</f>
        <v/>
      </c>
      <c r="C195" s="66">
        <f>B195/B194-1</f>
        <v/>
      </c>
      <c r="D195" s="66">
        <f>(Table1345[[#This Row],[Index]]-B183)/B183</f>
        <v/>
      </c>
    </row>
    <row r="196">
      <c r="A196" s="17" t="n">
        <v>32051</v>
      </c>
      <c r="B196" s="58">
        <f>VLOOKUP(Table1345[[#This Row],[Date]],database!A:I,9,)</f>
        <v/>
      </c>
      <c r="C196" s="66">
        <f>B196/B195-1</f>
        <v/>
      </c>
      <c r="D196" s="66">
        <f>(Table1345[[#This Row],[Index]]-B184)/B184</f>
        <v/>
      </c>
    </row>
    <row r="197">
      <c r="A197" s="17" t="n">
        <v>32082</v>
      </c>
      <c r="B197" s="58">
        <f>VLOOKUP(Table1345[[#This Row],[Date]],database!A:I,9,)</f>
        <v/>
      </c>
      <c r="C197" s="66">
        <f>B197/B196-1</f>
        <v/>
      </c>
      <c r="D197" s="66">
        <f>(Table1345[[#This Row],[Index]]-B185)/B185</f>
        <v/>
      </c>
    </row>
    <row r="198">
      <c r="A198" s="17" t="n">
        <v>32112</v>
      </c>
      <c r="B198" s="58">
        <f>VLOOKUP(Table1345[[#This Row],[Date]],database!A:I,9,)</f>
        <v/>
      </c>
      <c r="C198" s="66">
        <f>B198/B197-1</f>
        <v/>
      </c>
      <c r="D198" s="66">
        <f>(Table1345[[#This Row],[Index]]-B186)/B186</f>
        <v/>
      </c>
    </row>
    <row r="199">
      <c r="A199" s="17" t="n">
        <v>32143</v>
      </c>
      <c r="B199" s="58">
        <f>VLOOKUP(Table1345[[#This Row],[Date]],database!A:I,9,)</f>
        <v/>
      </c>
      <c r="C199" s="66">
        <f>B199/B198-1</f>
        <v/>
      </c>
      <c r="D199" s="66">
        <f>(Table1345[[#This Row],[Index]]-B187)/B187</f>
        <v/>
      </c>
    </row>
    <row r="200">
      <c r="A200" s="17" t="n">
        <v>32174</v>
      </c>
      <c r="B200" s="58">
        <f>VLOOKUP(Table1345[[#This Row],[Date]],database!A:I,9,)</f>
        <v/>
      </c>
      <c r="C200" s="66">
        <f>B200/B199-1</f>
        <v/>
      </c>
      <c r="D200" s="66">
        <f>(Table1345[[#This Row],[Index]]-B188)/B188</f>
        <v/>
      </c>
    </row>
    <row r="201">
      <c r="A201" s="17" t="n">
        <v>32203</v>
      </c>
      <c r="B201" s="58">
        <f>VLOOKUP(Table1345[[#This Row],[Date]],database!A:I,9,)</f>
        <v/>
      </c>
      <c r="C201" s="66">
        <f>B201/B200-1</f>
        <v/>
      </c>
      <c r="D201" s="66">
        <f>(Table1345[[#This Row],[Index]]-B189)/B189</f>
        <v/>
      </c>
    </row>
    <row r="202">
      <c r="A202" s="17" t="n">
        <v>32234</v>
      </c>
      <c r="B202" s="58">
        <f>VLOOKUP(Table1345[[#This Row],[Date]],database!A:I,9,)</f>
        <v/>
      </c>
      <c r="C202" s="66">
        <f>B202/B201-1</f>
        <v/>
      </c>
      <c r="D202" s="66">
        <f>(Table1345[[#This Row],[Index]]-B190)/B190</f>
        <v/>
      </c>
    </row>
    <row r="203">
      <c r="A203" s="17" t="n">
        <v>32264</v>
      </c>
      <c r="B203" s="58">
        <f>VLOOKUP(Table1345[[#This Row],[Date]],database!A:I,9,)</f>
        <v/>
      </c>
      <c r="C203" s="66">
        <f>B203/B202-1</f>
        <v/>
      </c>
      <c r="D203" s="66">
        <f>(Table1345[[#This Row],[Index]]-B191)/B191</f>
        <v/>
      </c>
    </row>
    <row r="204">
      <c r="A204" s="17" t="n">
        <v>32295</v>
      </c>
      <c r="B204" s="58">
        <f>VLOOKUP(Table1345[[#This Row],[Date]],database!A:I,9,)</f>
        <v/>
      </c>
      <c r="C204" s="66">
        <f>B204/B203-1</f>
        <v/>
      </c>
      <c r="D204" s="66">
        <f>(Table1345[[#This Row],[Index]]-B192)/B192</f>
        <v/>
      </c>
    </row>
    <row r="205">
      <c r="A205" s="17" t="n">
        <v>32325</v>
      </c>
      <c r="B205" s="58">
        <f>VLOOKUP(Table1345[[#This Row],[Date]],database!A:I,9,)</f>
        <v/>
      </c>
      <c r="C205" s="66">
        <f>B205/B204-1</f>
        <v/>
      </c>
      <c r="D205" s="66">
        <f>(Table1345[[#This Row],[Index]]-B193)/B193</f>
        <v/>
      </c>
    </row>
    <row r="206">
      <c r="A206" s="17" t="n">
        <v>32356</v>
      </c>
      <c r="B206" s="58">
        <f>VLOOKUP(Table1345[[#This Row],[Date]],database!A:I,9,)</f>
        <v/>
      </c>
      <c r="C206" s="66">
        <f>B206/B205-1</f>
        <v/>
      </c>
      <c r="D206" s="66">
        <f>(Table1345[[#This Row],[Index]]-B194)/B194</f>
        <v/>
      </c>
    </row>
    <row r="207">
      <c r="A207" s="17" t="n">
        <v>32387</v>
      </c>
      <c r="B207" s="58">
        <f>VLOOKUP(Table1345[[#This Row],[Date]],database!A:I,9,)</f>
        <v/>
      </c>
      <c r="C207" s="66">
        <f>B207/B206-1</f>
        <v/>
      </c>
      <c r="D207" s="66">
        <f>(Table1345[[#This Row],[Index]]-B195)/B195</f>
        <v/>
      </c>
    </row>
    <row r="208">
      <c r="A208" s="17" t="n">
        <v>32417</v>
      </c>
      <c r="B208" s="58">
        <f>VLOOKUP(Table1345[[#This Row],[Date]],database!A:I,9,)</f>
        <v/>
      </c>
      <c r="C208" s="66">
        <f>B208/B207-1</f>
        <v/>
      </c>
      <c r="D208" s="66">
        <f>(Table1345[[#This Row],[Index]]-B196)/B196</f>
        <v/>
      </c>
    </row>
    <row r="209">
      <c r="A209" s="17" t="n">
        <v>32448</v>
      </c>
      <c r="B209" s="58">
        <f>VLOOKUP(Table1345[[#This Row],[Date]],database!A:I,9,)</f>
        <v/>
      </c>
      <c r="C209" s="66">
        <f>B209/B208-1</f>
        <v/>
      </c>
      <c r="D209" s="66">
        <f>(Table1345[[#This Row],[Index]]-B197)/B197</f>
        <v/>
      </c>
    </row>
    <row r="210">
      <c r="A210" s="17" t="n">
        <v>32478</v>
      </c>
      <c r="B210" s="58">
        <f>VLOOKUP(Table1345[[#This Row],[Date]],database!A:I,9,)</f>
        <v/>
      </c>
      <c r="C210" s="66">
        <f>B210/B209-1</f>
        <v/>
      </c>
      <c r="D210" s="66">
        <f>(Table1345[[#This Row],[Index]]-B198)/B198</f>
        <v/>
      </c>
    </row>
    <row r="211">
      <c r="A211" s="17" t="n">
        <v>32509</v>
      </c>
      <c r="B211" s="58">
        <f>VLOOKUP(Table1345[[#This Row],[Date]],database!A:I,9,)</f>
        <v/>
      </c>
      <c r="C211" s="66">
        <f>B211/B210-1</f>
        <v/>
      </c>
      <c r="D211" s="66">
        <f>(Table1345[[#This Row],[Index]]-B199)/B199</f>
        <v/>
      </c>
    </row>
    <row r="212">
      <c r="A212" s="17" t="n">
        <v>32540</v>
      </c>
      <c r="B212" s="58">
        <f>VLOOKUP(Table1345[[#This Row],[Date]],database!A:I,9,)</f>
        <v/>
      </c>
      <c r="C212" s="66">
        <f>B212/B211-1</f>
        <v/>
      </c>
      <c r="D212" s="66">
        <f>(Table1345[[#This Row],[Index]]-B200)/B200</f>
        <v/>
      </c>
    </row>
    <row r="213">
      <c r="A213" s="17" t="n">
        <v>32568</v>
      </c>
      <c r="B213" s="58">
        <f>VLOOKUP(Table1345[[#This Row],[Date]],database!A:I,9,)</f>
        <v/>
      </c>
      <c r="C213" s="66">
        <f>B213/B212-1</f>
        <v/>
      </c>
      <c r="D213" s="66">
        <f>(Table1345[[#This Row],[Index]]-B201)/B201</f>
        <v/>
      </c>
    </row>
    <row r="214">
      <c r="A214" s="17" t="n">
        <v>32599</v>
      </c>
      <c r="B214" s="58">
        <f>VLOOKUP(Table1345[[#This Row],[Date]],database!A:I,9,)</f>
        <v/>
      </c>
      <c r="C214" s="66">
        <f>B214/B213-1</f>
        <v/>
      </c>
      <c r="D214" s="66">
        <f>(Table1345[[#This Row],[Index]]-B202)/B202</f>
        <v/>
      </c>
    </row>
    <row r="215">
      <c r="A215" s="17" t="n">
        <v>32629</v>
      </c>
      <c r="B215" s="58">
        <f>VLOOKUP(Table1345[[#This Row],[Date]],database!A:I,9,)</f>
        <v/>
      </c>
      <c r="C215" s="66">
        <f>B215/B214-1</f>
        <v/>
      </c>
      <c r="D215" s="66">
        <f>(Table1345[[#This Row],[Index]]-B203)/B203</f>
        <v/>
      </c>
    </row>
    <row r="216">
      <c r="A216" s="17" t="n">
        <v>32660</v>
      </c>
      <c r="B216" s="58">
        <f>VLOOKUP(Table1345[[#This Row],[Date]],database!A:I,9,)</f>
        <v/>
      </c>
      <c r="C216" s="66">
        <f>B216/B215-1</f>
        <v/>
      </c>
      <c r="D216" s="66">
        <f>(Table1345[[#This Row],[Index]]-B204)/B204</f>
        <v/>
      </c>
    </row>
    <row r="217">
      <c r="A217" s="17" t="n">
        <v>32690</v>
      </c>
      <c r="B217" s="58">
        <f>VLOOKUP(Table1345[[#This Row],[Date]],database!A:I,9,)</f>
        <v/>
      </c>
      <c r="C217" s="66">
        <f>B217/B216-1</f>
        <v/>
      </c>
      <c r="D217" s="66">
        <f>(Table1345[[#This Row],[Index]]-B205)/B205</f>
        <v/>
      </c>
    </row>
    <row r="218">
      <c r="A218" s="17" t="n">
        <v>32721</v>
      </c>
      <c r="B218" s="58">
        <f>VLOOKUP(Table1345[[#This Row],[Date]],database!A:I,9,)</f>
        <v/>
      </c>
      <c r="C218" s="66">
        <f>B218/B217-1</f>
        <v/>
      </c>
      <c r="D218" s="66">
        <f>(Table1345[[#This Row],[Index]]-B206)/B206</f>
        <v/>
      </c>
    </row>
    <row r="219">
      <c r="A219" s="17" t="n">
        <v>32752</v>
      </c>
      <c r="B219" s="58">
        <f>VLOOKUP(Table1345[[#This Row],[Date]],database!A:I,9,)</f>
        <v/>
      </c>
      <c r="C219" s="66">
        <f>B219/B218-1</f>
        <v/>
      </c>
      <c r="D219" s="66">
        <f>(Table1345[[#This Row],[Index]]-B207)/B207</f>
        <v/>
      </c>
    </row>
    <row r="220">
      <c r="A220" s="17" t="n">
        <v>32782</v>
      </c>
      <c r="B220" s="58">
        <f>VLOOKUP(Table1345[[#This Row],[Date]],database!A:I,9,)</f>
        <v/>
      </c>
      <c r="C220" s="66">
        <f>B220/B219-1</f>
        <v/>
      </c>
      <c r="D220" s="66">
        <f>(Table1345[[#This Row],[Index]]-B208)/B208</f>
        <v/>
      </c>
    </row>
    <row r="221">
      <c r="A221" s="17" t="n">
        <v>32813</v>
      </c>
      <c r="B221" s="58">
        <f>VLOOKUP(Table1345[[#This Row],[Date]],database!A:I,9,)</f>
        <v/>
      </c>
      <c r="C221" s="66">
        <f>B221/B220-1</f>
        <v/>
      </c>
      <c r="D221" s="66">
        <f>(Table1345[[#This Row],[Index]]-B209)/B209</f>
        <v/>
      </c>
    </row>
    <row r="222">
      <c r="A222" s="17" t="n">
        <v>32843</v>
      </c>
      <c r="B222" s="58">
        <f>VLOOKUP(Table1345[[#This Row],[Date]],database!A:I,9,)</f>
        <v/>
      </c>
      <c r="C222" s="66">
        <f>B222/B221-1</f>
        <v/>
      </c>
      <c r="D222" s="66">
        <f>(Table1345[[#This Row],[Index]]-B210)/B210</f>
        <v/>
      </c>
    </row>
    <row r="223">
      <c r="A223" s="17" t="n">
        <v>32874</v>
      </c>
      <c r="B223" s="58">
        <f>VLOOKUP(Table1345[[#This Row],[Date]],database!A:I,9,)</f>
        <v/>
      </c>
      <c r="C223" s="66">
        <f>B223/B222-1</f>
        <v/>
      </c>
      <c r="D223" s="66">
        <f>(Table1345[[#This Row],[Index]]-B211)/B211</f>
        <v/>
      </c>
    </row>
    <row r="224">
      <c r="A224" s="17" t="n">
        <v>32905</v>
      </c>
      <c r="B224" s="58">
        <f>VLOOKUP(Table1345[[#This Row],[Date]],database!A:I,9,)</f>
        <v/>
      </c>
      <c r="C224" s="66">
        <f>B224/B223-1</f>
        <v/>
      </c>
      <c r="D224" s="66">
        <f>(Table1345[[#This Row],[Index]]-B212)/B212</f>
        <v/>
      </c>
    </row>
    <row r="225">
      <c r="A225" s="17" t="n">
        <v>32933</v>
      </c>
      <c r="B225" s="58">
        <f>VLOOKUP(Table1345[[#This Row],[Date]],database!A:I,9,)</f>
        <v/>
      </c>
      <c r="C225" s="66">
        <f>B225/B224-1</f>
        <v/>
      </c>
      <c r="D225" s="66">
        <f>(Table1345[[#This Row],[Index]]-B213)/B213</f>
        <v/>
      </c>
    </row>
    <row r="226">
      <c r="A226" s="17" t="n">
        <v>32964</v>
      </c>
      <c r="B226" s="58">
        <f>VLOOKUP(Table1345[[#This Row],[Date]],database!A:I,9,)</f>
        <v/>
      </c>
      <c r="C226" s="66">
        <f>B226/B225-1</f>
        <v/>
      </c>
      <c r="D226" s="66">
        <f>(Table1345[[#This Row],[Index]]-B214)/B214</f>
        <v/>
      </c>
    </row>
    <row r="227">
      <c r="A227" s="17" t="n">
        <v>32994</v>
      </c>
      <c r="B227" s="58">
        <f>VLOOKUP(Table1345[[#This Row],[Date]],database!A:I,9,)</f>
        <v/>
      </c>
      <c r="C227" s="66">
        <f>B227/B226-1</f>
        <v/>
      </c>
      <c r="D227" s="66">
        <f>(Table1345[[#This Row],[Index]]-B215)/B215</f>
        <v/>
      </c>
    </row>
    <row r="228">
      <c r="A228" s="17" t="n">
        <v>33025</v>
      </c>
      <c r="B228" s="58">
        <f>VLOOKUP(Table1345[[#This Row],[Date]],database!A:I,9,)</f>
        <v/>
      </c>
      <c r="C228" s="66">
        <f>B228/B227-1</f>
        <v/>
      </c>
      <c r="D228" s="66">
        <f>(Table1345[[#This Row],[Index]]-B216)/B216</f>
        <v/>
      </c>
    </row>
    <row r="229">
      <c r="A229" s="17" t="n">
        <v>33055</v>
      </c>
      <c r="B229" s="58">
        <f>VLOOKUP(Table1345[[#This Row],[Date]],database!A:I,9,)</f>
        <v/>
      </c>
      <c r="C229" s="66">
        <f>B229/B228-1</f>
        <v/>
      </c>
      <c r="D229" s="66">
        <f>(Table1345[[#This Row],[Index]]-B217)/B217</f>
        <v/>
      </c>
    </row>
    <row r="230">
      <c r="A230" s="17" t="n">
        <v>33086</v>
      </c>
      <c r="B230" s="58">
        <f>VLOOKUP(Table1345[[#This Row],[Date]],database!A:I,9,)</f>
        <v/>
      </c>
      <c r="C230" s="66">
        <f>B230/B229-1</f>
        <v/>
      </c>
      <c r="D230" s="66">
        <f>(Table1345[[#This Row],[Index]]-B218)/B218</f>
        <v/>
      </c>
    </row>
    <row r="231">
      <c r="A231" s="17" t="n">
        <v>33117</v>
      </c>
      <c r="B231" s="58">
        <f>VLOOKUP(Table1345[[#This Row],[Date]],database!A:I,9,)</f>
        <v/>
      </c>
      <c r="C231" s="66">
        <f>B231/B230-1</f>
        <v/>
      </c>
      <c r="D231" s="66">
        <f>(Table1345[[#This Row],[Index]]-B219)/B219</f>
        <v/>
      </c>
    </row>
    <row r="232">
      <c r="A232" s="17" t="n">
        <v>33147</v>
      </c>
      <c r="B232" s="58">
        <f>VLOOKUP(Table1345[[#This Row],[Date]],database!A:I,9,)</f>
        <v/>
      </c>
      <c r="C232" s="66">
        <f>B232/B231-1</f>
        <v/>
      </c>
      <c r="D232" s="66">
        <f>(Table1345[[#This Row],[Index]]-B220)/B220</f>
        <v/>
      </c>
    </row>
    <row r="233">
      <c r="A233" s="17" t="n">
        <v>33178</v>
      </c>
      <c r="B233" s="58">
        <f>VLOOKUP(Table1345[[#This Row],[Date]],database!A:I,9,)</f>
        <v/>
      </c>
      <c r="C233" s="66">
        <f>B233/B232-1</f>
        <v/>
      </c>
      <c r="D233" s="66">
        <f>(Table1345[[#This Row],[Index]]-B221)/B221</f>
        <v/>
      </c>
    </row>
    <row r="234">
      <c r="A234" s="17" t="n">
        <v>33208</v>
      </c>
      <c r="B234" s="58">
        <f>VLOOKUP(Table1345[[#This Row],[Date]],database!A:I,9,)</f>
        <v/>
      </c>
      <c r="C234" s="66">
        <f>B234/B233-1</f>
        <v/>
      </c>
      <c r="D234" s="66">
        <f>(Table1345[[#This Row],[Index]]-B222)/B222</f>
        <v/>
      </c>
    </row>
    <row r="235">
      <c r="A235" s="17" t="n">
        <v>33239</v>
      </c>
      <c r="B235" s="58">
        <f>VLOOKUP(Table1345[[#This Row],[Date]],database!A:I,9,)</f>
        <v/>
      </c>
      <c r="C235" s="66">
        <f>B235/B234-1</f>
        <v/>
      </c>
      <c r="D235" s="66">
        <f>(Table1345[[#This Row],[Index]]-B223)/B223</f>
        <v/>
      </c>
    </row>
    <row r="236">
      <c r="A236" s="17" t="n">
        <v>33270</v>
      </c>
      <c r="B236" s="58">
        <f>VLOOKUP(Table1345[[#This Row],[Date]],database!A:I,9,)</f>
        <v/>
      </c>
      <c r="C236" s="66">
        <f>B236/B235-1</f>
        <v/>
      </c>
      <c r="D236" s="66">
        <f>(Table1345[[#This Row],[Index]]-B224)/B224</f>
        <v/>
      </c>
    </row>
    <row r="237">
      <c r="A237" s="17" t="n">
        <v>33298</v>
      </c>
      <c r="B237" s="58">
        <f>VLOOKUP(Table1345[[#This Row],[Date]],database!A:I,9,)</f>
        <v/>
      </c>
      <c r="C237" s="66">
        <f>B237/B236-1</f>
        <v/>
      </c>
      <c r="D237" s="66">
        <f>(Table1345[[#This Row],[Index]]-B225)/B225</f>
        <v/>
      </c>
    </row>
    <row r="238">
      <c r="A238" s="17" t="n">
        <v>33329</v>
      </c>
      <c r="B238" s="58">
        <f>VLOOKUP(Table1345[[#This Row],[Date]],database!A:I,9,)</f>
        <v/>
      </c>
      <c r="C238" s="66">
        <f>B238/B237-1</f>
        <v/>
      </c>
      <c r="D238" s="66">
        <f>(Table1345[[#This Row],[Index]]-B226)/B226</f>
        <v/>
      </c>
    </row>
    <row r="239">
      <c r="A239" s="17" t="n">
        <v>33359</v>
      </c>
      <c r="B239" s="58">
        <f>VLOOKUP(Table1345[[#This Row],[Date]],database!A:I,9,)</f>
        <v/>
      </c>
      <c r="C239" s="66">
        <f>B239/B238-1</f>
        <v/>
      </c>
      <c r="D239" s="66">
        <f>(Table1345[[#This Row],[Index]]-B227)/B227</f>
        <v/>
      </c>
    </row>
    <row r="240">
      <c r="A240" s="17" t="n">
        <v>33390</v>
      </c>
      <c r="B240" s="58">
        <f>VLOOKUP(Table1345[[#This Row],[Date]],database!A:I,9,)</f>
        <v/>
      </c>
      <c r="C240" s="66">
        <f>B240/B239-1</f>
        <v/>
      </c>
      <c r="D240" s="66">
        <f>(Table1345[[#This Row],[Index]]-B228)/B228</f>
        <v/>
      </c>
    </row>
    <row r="241">
      <c r="A241" s="17" t="n">
        <v>33420</v>
      </c>
      <c r="B241" s="58">
        <f>VLOOKUP(Table1345[[#This Row],[Date]],database!A:I,9,)</f>
        <v/>
      </c>
      <c r="C241" s="66">
        <f>B241/B240-1</f>
        <v/>
      </c>
      <c r="D241" s="66">
        <f>(Table1345[[#This Row],[Index]]-B229)/B229</f>
        <v/>
      </c>
    </row>
    <row r="242">
      <c r="A242" s="17" t="n">
        <v>33451</v>
      </c>
      <c r="B242" s="58">
        <f>VLOOKUP(Table1345[[#This Row],[Date]],database!A:I,9,)</f>
        <v/>
      </c>
      <c r="C242" s="66">
        <f>B242/B241-1</f>
        <v/>
      </c>
      <c r="D242" s="66">
        <f>(Table1345[[#This Row],[Index]]-B230)/B230</f>
        <v/>
      </c>
    </row>
    <row r="243">
      <c r="A243" s="17" t="n">
        <v>33482</v>
      </c>
      <c r="B243" s="58">
        <f>VLOOKUP(Table1345[[#This Row],[Date]],database!A:I,9,)</f>
        <v/>
      </c>
      <c r="C243" s="66">
        <f>B243/B242-1</f>
        <v/>
      </c>
      <c r="D243" s="66">
        <f>(Table1345[[#This Row],[Index]]-B231)/B231</f>
        <v/>
      </c>
    </row>
    <row r="244">
      <c r="A244" s="17" t="n">
        <v>33512</v>
      </c>
      <c r="B244" s="58">
        <f>VLOOKUP(Table1345[[#This Row],[Date]],database!A:I,9,)</f>
        <v/>
      </c>
      <c r="C244" s="66">
        <f>B244/B243-1</f>
        <v/>
      </c>
      <c r="D244" s="66">
        <f>(Table1345[[#This Row],[Index]]-B232)/B232</f>
        <v/>
      </c>
    </row>
    <row r="245">
      <c r="A245" s="17" t="n">
        <v>33543</v>
      </c>
      <c r="B245" s="58">
        <f>VLOOKUP(Table1345[[#This Row],[Date]],database!A:I,9,)</f>
        <v/>
      </c>
      <c r="C245" s="66">
        <f>B245/B244-1</f>
        <v/>
      </c>
      <c r="D245" s="66">
        <f>(Table1345[[#This Row],[Index]]-B233)/B233</f>
        <v/>
      </c>
    </row>
    <row r="246">
      <c r="A246" s="17" t="n">
        <v>33573</v>
      </c>
      <c r="B246" s="58">
        <f>VLOOKUP(Table1345[[#This Row],[Date]],database!A:I,9,)</f>
        <v/>
      </c>
      <c r="C246" s="66">
        <f>B246/B245-1</f>
        <v/>
      </c>
      <c r="D246" s="66">
        <f>(Table1345[[#This Row],[Index]]-B234)/B234</f>
        <v/>
      </c>
    </row>
    <row r="247">
      <c r="A247" s="17" t="n">
        <v>33604</v>
      </c>
      <c r="B247" s="58">
        <f>VLOOKUP(Table1345[[#This Row],[Date]],database!A:I,9,)</f>
        <v/>
      </c>
      <c r="C247" s="66">
        <f>B247/B246-1</f>
        <v/>
      </c>
      <c r="D247" s="66">
        <f>(Table1345[[#This Row],[Index]]-B235)/B235</f>
        <v/>
      </c>
    </row>
    <row r="248">
      <c r="A248" s="17" t="n">
        <v>33635</v>
      </c>
      <c r="B248" s="58">
        <f>VLOOKUP(Table1345[[#This Row],[Date]],database!A:I,9,)</f>
        <v/>
      </c>
      <c r="C248" s="66">
        <f>B248/B247-1</f>
        <v/>
      </c>
      <c r="D248" s="66">
        <f>(Table1345[[#This Row],[Index]]-B236)/B236</f>
        <v/>
      </c>
    </row>
    <row r="249">
      <c r="A249" s="17" t="n">
        <v>33664</v>
      </c>
      <c r="B249" s="58">
        <f>VLOOKUP(Table1345[[#This Row],[Date]],database!A:I,9,)</f>
        <v/>
      </c>
      <c r="C249" s="66">
        <f>B249/B248-1</f>
        <v/>
      </c>
      <c r="D249" s="66">
        <f>(Table1345[[#This Row],[Index]]-B237)/B237</f>
        <v/>
      </c>
    </row>
    <row r="250">
      <c r="A250" s="17" t="n">
        <v>33695</v>
      </c>
      <c r="B250" s="58">
        <f>VLOOKUP(Table1345[[#This Row],[Date]],database!A:I,9,)</f>
        <v/>
      </c>
      <c r="C250" s="66">
        <f>B250/B249-1</f>
        <v/>
      </c>
      <c r="D250" s="66">
        <f>(Table1345[[#This Row],[Index]]-B238)/B238</f>
        <v/>
      </c>
    </row>
    <row r="251">
      <c r="A251" s="17" t="n">
        <v>33725</v>
      </c>
      <c r="B251" s="58">
        <f>VLOOKUP(Table1345[[#This Row],[Date]],database!A:I,9,)</f>
        <v/>
      </c>
      <c r="C251" s="66">
        <f>B251/B250-1</f>
        <v/>
      </c>
      <c r="D251" s="66">
        <f>(Table1345[[#This Row],[Index]]-B239)/B239</f>
        <v/>
      </c>
    </row>
    <row r="252">
      <c r="A252" s="17" t="n">
        <v>33756</v>
      </c>
      <c r="B252" s="58">
        <f>VLOOKUP(Table1345[[#This Row],[Date]],database!A:I,9,)</f>
        <v/>
      </c>
      <c r="C252" s="66">
        <f>B252/B251-1</f>
        <v/>
      </c>
      <c r="D252" s="66">
        <f>(Table1345[[#This Row],[Index]]-B240)/B240</f>
        <v/>
      </c>
    </row>
    <row r="253">
      <c r="A253" s="17" t="n">
        <v>33786</v>
      </c>
      <c r="B253" s="58">
        <f>VLOOKUP(Table1345[[#This Row],[Date]],database!A:I,9,)</f>
        <v/>
      </c>
      <c r="C253" s="66">
        <f>B253/B252-1</f>
        <v/>
      </c>
      <c r="D253" s="66">
        <f>(Table1345[[#This Row],[Index]]-B241)/B241</f>
        <v/>
      </c>
    </row>
    <row r="254">
      <c r="A254" s="17" t="n">
        <v>33817</v>
      </c>
      <c r="B254" s="58">
        <f>VLOOKUP(Table1345[[#This Row],[Date]],database!A:I,9,)</f>
        <v/>
      </c>
      <c r="C254" s="66">
        <f>B254/B253-1</f>
        <v/>
      </c>
      <c r="D254" s="66">
        <f>(Table1345[[#This Row],[Index]]-B242)/B242</f>
        <v/>
      </c>
    </row>
    <row r="255">
      <c r="A255" s="17" t="n">
        <v>33848</v>
      </c>
      <c r="B255" s="58">
        <f>VLOOKUP(Table1345[[#This Row],[Date]],database!A:I,9,)</f>
        <v/>
      </c>
      <c r="C255" s="66">
        <f>B255/B254-1</f>
        <v/>
      </c>
      <c r="D255" s="66">
        <f>(Table1345[[#This Row],[Index]]-B243)/B243</f>
        <v/>
      </c>
    </row>
    <row r="256">
      <c r="A256" s="17" t="n">
        <v>33878</v>
      </c>
      <c r="B256" s="58">
        <f>VLOOKUP(Table1345[[#This Row],[Date]],database!A:I,9,)</f>
        <v/>
      </c>
      <c r="C256" s="66">
        <f>B256/B255-1</f>
        <v/>
      </c>
      <c r="D256" s="66">
        <f>(Table1345[[#This Row],[Index]]-B244)/B244</f>
        <v/>
      </c>
    </row>
    <row r="257">
      <c r="A257" s="17" t="n">
        <v>33909</v>
      </c>
      <c r="B257" s="58">
        <f>VLOOKUP(Table1345[[#This Row],[Date]],database!A:I,9,)</f>
        <v/>
      </c>
      <c r="C257" s="66">
        <f>B257/B256-1</f>
        <v/>
      </c>
      <c r="D257" s="66">
        <f>(Table1345[[#This Row],[Index]]-B245)/B245</f>
        <v/>
      </c>
    </row>
    <row r="258">
      <c r="A258" s="17" t="n">
        <v>33939</v>
      </c>
      <c r="B258" s="58">
        <f>VLOOKUP(Table1345[[#This Row],[Date]],database!A:I,9,)</f>
        <v/>
      </c>
      <c r="C258" s="66">
        <f>B258/B257-1</f>
        <v/>
      </c>
      <c r="D258" s="66">
        <f>(Table1345[[#This Row],[Index]]-B246)/B246</f>
        <v/>
      </c>
    </row>
    <row r="259">
      <c r="A259" s="17" t="n">
        <v>33970</v>
      </c>
      <c r="B259" s="58">
        <f>VLOOKUP(Table1345[[#This Row],[Date]],database!A:I,9,)</f>
        <v/>
      </c>
      <c r="C259" s="66">
        <f>B259/B258-1</f>
        <v/>
      </c>
      <c r="D259" s="66">
        <f>(Table1345[[#This Row],[Index]]-B247)/B247</f>
        <v/>
      </c>
    </row>
    <row r="260">
      <c r="A260" s="17" t="n">
        <v>34001</v>
      </c>
      <c r="B260" s="58">
        <f>VLOOKUP(Table1345[[#This Row],[Date]],database!A:I,9,)</f>
        <v/>
      </c>
      <c r="C260" s="66">
        <f>B260/B259-1</f>
        <v/>
      </c>
      <c r="D260" s="66">
        <f>(Table1345[[#This Row],[Index]]-B248)/B248</f>
        <v/>
      </c>
    </row>
    <row r="261">
      <c r="A261" s="17" t="n">
        <v>34029</v>
      </c>
      <c r="B261" s="58">
        <f>VLOOKUP(Table1345[[#This Row],[Date]],database!A:I,9,)</f>
        <v/>
      </c>
      <c r="C261" s="66">
        <f>B261/B260-1</f>
        <v/>
      </c>
      <c r="D261" s="66">
        <f>(Table1345[[#This Row],[Index]]-B249)/B249</f>
        <v/>
      </c>
    </row>
    <row r="262">
      <c r="A262" s="17" t="n">
        <v>34060</v>
      </c>
      <c r="B262" s="58">
        <f>VLOOKUP(Table1345[[#This Row],[Date]],database!A:I,9,)</f>
        <v/>
      </c>
      <c r="C262" s="66">
        <f>B262/B261-1</f>
        <v/>
      </c>
      <c r="D262" s="66">
        <f>(Table1345[[#This Row],[Index]]-B250)/B250</f>
        <v/>
      </c>
    </row>
    <row r="263">
      <c r="A263" s="17" t="n">
        <v>34090</v>
      </c>
      <c r="B263" s="58">
        <f>VLOOKUP(Table1345[[#This Row],[Date]],database!A:I,9,)</f>
        <v/>
      </c>
      <c r="C263" s="66">
        <f>B263/B262-1</f>
        <v/>
      </c>
      <c r="D263" s="66">
        <f>(Table1345[[#This Row],[Index]]-B251)/B251</f>
        <v/>
      </c>
    </row>
    <row r="264">
      <c r="A264" s="17" t="n">
        <v>34121</v>
      </c>
      <c r="B264" s="58">
        <f>VLOOKUP(Table1345[[#This Row],[Date]],database!A:I,9,)</f>
        <v/>
      </c>
      <c r="C264" s="66">
        <f>B264/B263-1</f>
        <v/>
      </c>
      <c r="D264" s="66">
        <f>(Table1345[[#This Row],[Index]]-B252)/B252</f>
        <v/>
      </c>
    </row>
    <row r="265">
      <c r="A265" s="17" t="n">
        <v>34151</v>
      </c>
      <c r="B265" s="58">
        <f>VLOOKUP(Table1345[[#This Row],[Date]],database!A:I,9,)</f>
        <v/>
      </c>
      <c r="C265" s="66">
        <f>B265/B264-1</f>
        <v/>
      </c>
      <c r="D265" s="66">
        <f>(Table1345[[#This Row],[Index]]-B253)/B253</f>
        <v/>
      </c>
    </row>
    <row r="266">
      <c r="A266" s="17" t="n">
        <v>34182</v>
      </c>
      <c r="B266" s="58">
        <f>VLOOKUP(Table1345[[#This Row],[Date]],database!A:I,9,)</f>
        <v/>
      </c>
      <c r="C266" s="66">
        <f>B266/B265-1</f>
        <v/>
      </c>
      <c r="D266" s="66">
        <f>(Table1345[[#This Row],[Index]]-B254)/B254</f>
        <v/>
      </c>
    </row>
    <row r="267">
      <c r="A267" s="17" t="n">
        <v>34213</v>
      </c>
      <c r="B267" s="58">
        <f>VLOOKUP(Table1345[[#This Row],[Date]],database!A:I,9,)</f>
        <v/>
      </c>
      <c r="C267" s="66">
        <f>B267/B266-1</f>
        <v/>
      </c>
      <c r="D267" s="66">
        <f>(Table1345[[#This Row],[Index]]-B255)/B255</f>
        <v/>
      </c>
    </row>
    <row r="268">
      <c r="A268" s="17" t="n">
        <v>34243</v>
      </c>
      <c r="B268" s="58">
        <f>VLOOKUP(Table1345[[#This Row],[Date]],database!A:I,9,)</f>
        <v/>
      </c>
      <c r="C268" s="66">
        <f>B268/B267-1</f>
        <v/>
      </c>
      <c r="D268" s="66">
        <f>(Table1345[[#This Row],[Index]]-B256)/B256</f>
        <v/>
      </c>
    </row>
    <row r="269">
      <c r="A269" s="17" t="n">
        <v>34274</v>
      </c>
      <c r="B269" s="58">
        <f>VLOOKUP(Table1345[[#This Row],[Date]],database!A:I,9,)</f>
        <v/>
      </c>
      <c r="C269" s="66">
        <f>B269/B268-1</f>
        <v/>
      </c>
      <c r="D269" s="66">
        <f>(Table1345[[#This Row],[Index]]-B257)/B257</f>
        <v/>
      </c>
    </row>
    <row r="270">
      <c r="A270" s="17" t="n">
        <v>34304</v>
      </c>
      <c r="B270" s="58">
        <f>VLOOKUP(Table1345[[#This Row],[Date]],database!A:I,9,)</f>
        <v/>
      </c>
      <c r="C270" s="66">
        <f>B270/B269-1</f>
        <v/>
      </c>
      <c r="D270" s="66">
        <f>(Table1345[[#This Row],[Index]]-B258)/B258</f>
        <v/>
      </c>
    </row>
    <row r="271">
      <c r="A271" s="17" t="n">
        <v>34335</v>
      </c>
      <c r="B271" s="58">
        <f>VLOOKUP(Table1345[[#This Row],[Date]],database!A:I,9,)</f>
        <v/>
      </c>
      <c r="C271" s="66">
        <f>B271/B270-1</f>
        <v/>
      </c>
      <c r="D271" s="66">
        <f>(Table1345[[#This Row],[Index]]-B259)/B259</f>
        <v/>
      </c>
    </row>
    <row r="272">
      <c r="A272" s="17" t="n">
        <v>34366</v>
      </c>
      <c r="B272" s="58">
        <f>VLOOKUP(Table1345[[#This Row],[Date]],database!A:I,9,)</f>
        <v/>
      </c>
      <c r="C272" s="66">
        <f>B272/B271-1</f>
        <v/>
      </c>
      <c r="D272" s="66">
        <f>(Table1345[[#This Row],[Index]]-B260)/B260</f>
        <v/>
      </c>
    </row>
    <row r="273">
      <c r="A273" s="17" t="n">
        <v>34394</v>
      </c>
      <c r="B273" s="58">
        <f>VLOOKUP(Table1345[[#This Row],[Date]],database!A:I,9,)</f>
        <v/>
      </c>
      <c r="C273" s="66">
        <f>B273/B272-1</f>
        <v/>
      </c>
      <c r="D273" s="66">
        <f>(Table1345[[#This Row],[Index]]-B261)/B261</f>
        <v/>
      </c>
    </row>
    <row r="274">
      <c r="A274" s="17" t="n">
        <v>34425</v>
      </c>
      <c r="B274" s="58">
        <f>VLOOKUP(Table1345[[#This Row],[Date]],database!A:I,9,)</f>
        <v/>
      </c>
      <c r="C274" s="66">
        <f>B274/B273-1</f>
        <v/>
      </c>
      <c r="D274" s="66">
        <f>(Table1345[[#This Row],[Index]]-B262)/B262</f>
        <v/>
      </c>
    </row>
    <row r="275">
      <c r="A275" s="17" t="n">
        <v>34455</v>
      </c>
      <c r="B275" s="58">
        <f>VLOOKUP(Table1345[[#This Row],[Date]],database!A:I,9,)</f>
        <v/>
      </c>
      <c r="C275" s="66">
        <f>B275/B274-1</f>
        <v/>
      </c>
      <c r="D275" s="66">
        <f>(Table1345[[#This Row],[Index]]-B263)/B263</f>
        <v/>
      </c>
    </row>
    <row r="276">
      <c r="A276" s="17" t="n">
        <v>34486</v>
      </c>
      <c r="B276" s="58">
        <f>VLOOKUP(Table1345[[#This Row],[Date]],database!A:I,9,)</f>
        <v/>
      </c>
      <c r="C276" s="66">
        <f>B276/B275-1</f>
        <v/>
      </c>
      <c r="D276" s="66">
        <f>(Table1345[[#This Row],[Index]]-B264)/B264</f>
        <v/>
      </c>
    </row>
    <row r="277">
      <c r="A277" s="17" t="n">
        <v>34516</v>
      </c>
      <c r="B277" s="58">
        <f>VLOOKUP(Table1345[[#This Row],[Date]],database!A:I,9,)</f>
        <v/>
      </c>
      <c r="C277" s="66">
        <f>B277/B276-1</f>
        <v/>
      </c>
      <c r="D277" s="66">
        <f>(Table1345[[#This Row],[Index]]-B265)/B265</f>
        <v/>
      </c>
    </row>
    <row r="278">
      <c r="A278" s="17" t="n">
        <v>34547</v>
      </c>
      <c r="B278" s="58">
        <f>VLOOKUP(Table1345[[#This Row],[Date]],database!A:I,9,)</f>
        <v/>
      </c>
      <c r="C278" s="66">
        <f>B278/B277-1</f>
        <v/>
      </c>
      <c r="D278" s="66">
        <f>(Table1345[[#This Row],[Index]]-B266)/B266</f>
        <v/>
      </c>
    </row>
    <row r="279">
      <c r="A279" s="17" t="n">
        <v>34578</v>
      </c>
      <c r="B279" s="58">
        <f>VLOOKUP(Table1345[[#This Row],[Date]],database!A:I,9,)</f>
        <v/>
      </c>
      <c r="C279" s="66">
        <f>B279/B278-1</f>
        <v/>
      </c>
      <c r="D279" s="66">
        <f>(Table1345[[#This Row],[Index]]-B267)/B267</f>
        <v/>
      </c>
    </row>
    <row r="280">
      <c r="A280" s="17" t="n">
        <v>34608</v>
      </c>
      <c r="B280" s="58">
        <f>VLOOKUP(Table1345[[#This Row],[Date]],database!A:I,9,)</f>
        <v/>
      </c>
      <c r="C280" s="66">
        <f>B280/B279-1</f>
        <v/>
      </c>
      <c r="D280" s="66">
        <f>(Table1345[[#This Row],[Index]]-B268)/B268</f>
        <v/>
      </c>
    </row>
    <row r="281">
      <c r="A281" s="17" t="n">
        <v>34639</v>
      </c>
      <c r="B281" s="58">
        <f>VLOOKUP(Table1345[[#This Row],[Date]],database!A:I,9,)</f>
        <v/>
      </c>
      <c r="C281" s="66">
        <f>B281/B280-1</f>
        <v/>
      </c>
      <c r="D281" s="66">
        <f>(Table1345[[#This Row],[Index]]-B269)/B269</f>
        <v/>
      </c>
    </row>
    <row r="282">
      <c r="A282" s="17" t="n">
        <v>34669</v>
      </c>
      <c r="B282" s="58">
        <f>VLOOKUP(Table1345[[#This Row],[Date]],database!A:I,9,)</f>
        <v/>
      </c>
      <c r="C282" s="66">
        <f>B282/B281-1</f>
        <v/>
      </c>
      <c r="D282" s="66">
        <f>(Table1345[[#This Row],[Index]]-B270)/B270</f>
        <v/>
      </c>
    </row>
    <row r="283">
      <c r="A283" s="17" t="n">
        <v>34700</v>
      </c>
      <c r="B283" s="58">
        <f>VLOOKUP(Table1345[[#This Row],[Date]],database!A:I,9,)</f>
        <v/>
      </c>
      <c r="C283" s="66">
        <f>B283/B282-1</f>
        <v/>
      </c>
      <c r="D283" s="66">
        <f>(Table1345[[#This Row],[Index]]-B271)/B271</f>
        <v/>
      </c>
    </row>
    <row r="284">
      <c r="A284" s="17" t="n">
        <v>34731</v>
      </c>
      <c r="B284" s="58">
        <f>VLOOKUP(Table1345[[#This Row],[Date]],database!A:I,9,)</f>
        <v/>
      </c>
      <c r="C284" s="66">
        <f>B284/B283-1</f>
        <v/>
      </c>
      <c r="D284" s="66">
        <f>(Table1345[[#This Row],[Index]]-B272)/B272</f>
        <v/>
      </c>
    </row>
    <row r="285">
      <c r="A285" s="17" t="n">
        <v>34759</v>
      </c>
      <c r="B285" s="58">
        <f>VLOOKUP(Table1345[[#This Row],[Date]],database!A:I,9,)</f>
        <v/>
      </c>
      <c r="C285" s="66">
        <f>B285/B284-1</f>
        <v/>
      </c>
      <c r="D285" s="66">
        <f>(Table1345[[#This Row],[Index]]-B273)/B273</f>
        <v/>
      </c>
    </row>
    <row r="286">
      <c r="A286" s="17" t="n">
        <v>34790</v>
      </c>
      <c r="B286" s="58">
        <f>VLOOKUP(Table1345[[#This Row],[Date]],database!A:I,9,)</f>
        <v/>
      </c>
      <c r="C286" s="66">
        <f>B286/B285-1</f>
        <v/>
      </c>
      <c r="D286" s="66">
        <f>(Table1345[[#This Row],[Index]]-B274)/B274</f>
        <v/>
      </c>
    </row>
    <row r="287">
      <c r="A287" s="17" t="n">
        <v>34820</v>
      </c>
      <c r="B287" s="58">
        <f>VLOOKUP(Table1345[[#This Row],[Date]],database!A:I,9,)</f>
        <v/>
      </c>
      <c r="C287" s="66">
        <f>B287/B286-1</f>
        <v/>
      </c>
      <c r="D287" s="66">
        <f>(Table1345[[#This Row],[Index]]-B275)/B275</f>
        <v/>
      </c>
    </row>
    <row r="288">
      <c r="A288" s="17" t="n">
        <v>34851</v>
      </c>
      <c r="B288" s="58">
        <f>VLOOKUP(Table1345[[#This Row],[Date]],database!A:I,9,)</f>
        <v/>
      </c>
      <c r="C288" s="66">
        <f>B288/B287-1</f>
        <v/>
      </c>
      <c r="D288" s="66">
        <f>(Table1345[[#This Row],[Index]]-B276)/B276</f>
        <v/>
      </c>
    </row>
    <row r="289">
      <c r="A289" s="17" t="n">
        <v>34881</v>
      </c>
      <c r="B289" s="58">
        <f>VLOOKUP(Table1345[[#This Row],[Date]],database!A:I,9,)</f>
        <v/>
      </c>
      <c r="C289" s="66">
        <f>B289/B288-1</f>
        <v/>
      </c>
      <c r="D289" s="66">
        <f>(Table1345[[#This Row],[Index]]-B277)/B277</f>
        <v/>
      </c>
    </row>
    <row r="290">
      <c r="A290" s="17" t="n">
        <v>34912</v>
      </c>
      <c r="B290" s="58">
        <f>VLOOKUP(Table1345[[#This Row],[Date]],database!A:I,9,)</f>
        <v/>
      </c>
      <c r="C290" s="66">
        <f>B290/B289-1</f>
        <v/>
      </c>
      <c r="D290" s="66">
        <f>(Table1345[[#This Row],[Index]]-B278)/B278</f>
        <v/>
      </c>
    </row>
    <row r="291">
      <c r="A291" s="17" t="n">
        <v>34943</v>
      </c>
      <c r="B291" s="58">
        <f>VLOOKUP(Table1345[[#This Row],[Date]],database!A:I,9,)</f>
        <v/>
      </c>
      <c r="C291" s="66">
        <f>B291/B290-1</f>
        <v/>
      </c>
      <c r="D291" s="66">
        <f>(Table1345[[#This Row],[Index]]-B279)/B279</f>
        <v/>
      </c>
    </row>
    <row r="292">
      <c r="A292" s="17" t="n">
        <v>34973</v>
      </c>
      <c r="B292" s="58">
        <f>VLOOKUP(Table1345[[#This Row],[Date]],database!A:I,9,)</f>
        <v/>
      </c>
      <c r="C292" s="66">
        <f>B292/B291-1</f>
        <v/>
      </c>
      <c r="D292" s="66">
        <f>(Table1345[[#This Row],[Index]]-B280)/B280</f>
        <v/>
      </c>
    </row>
    <row r="293">
      <c r="A293" s="17" t="n">
        <v>35004</v>
      </c>
      <c r="B293" s="58">
        <f>VLOOKUP(Table1345[[#This Row],[Date]],database!A:I,9,)</f>
        <v/>
      </c>
      <c r="C293" s="66">
        <f>B293/B292-1</f>
        <v/>
      </c>
      <c r="D293" s="66">
        <f>(Table1345[[#This Row],[Index]]-B281)/B281</f>
        <v/>
      </c>
    </row>
    <row r="294">
      <c r="A294" s="17" t="n">
        <v>35034</v>
      </c>
      <c r="B294" s="58">
        <f>VLOOKUP(Table1345[[#This Row],[Date]],database!A:I,9,)</f>
        <v/>
      </c>
      <c r="C294" s="66">
        <f>B294/B293-1</f>
        <v/>
      </c>
      <c r="D294" s="66">
        <f>(Table1345[[#This Row],[Index]]-B282)/B282</f>
        <v/>
      </c>
    </row>
    <row r="295">
      <c r="A295" s="17" t="n">
        <v>35065</v>
      </c>
      <c r="B295" s="58">
        <f>VLOOKUP(Table1345[[#This Row],[Date]],database!A:I,9,)</f>
        <v/>
      </c>
      <c r="C295" s="66">
        <f>B295/B294-1</f>
        <v/>
      </c>
      <c r="D295" s="66">
        <f>(Table1345[[#This Row],[Index]]-B283)/B283</f>
        <v/>
      </c>
    </row>
    <row r="296">
      <c r="A296" s="17" t="n">
        <v>35096</v>
      </c>
      <c r="B296" s="58">
        <f>VLOOKUP(Table1345[[#This Row],[Date]],database!A:I,9,)</f>
        <v/>
      </c>
      <c r="C296" s="66">
        <f>B296/B295-1</f>
        <v/>
      </c>
      <c r="D296" s="66">
        <f>(Table1345[[#This Row],[Index]]-B284)/B284</f>
        <v/>
      </c>
    </row>
    <row r="297">
      <c r="A297" s="17" t="n">
        <v>35125</v>
      </c>
      <c r="B297" s="58">
        <f>VLOOKUP(Table1345[[#This Row],[Date]],database!A:I,9,)</f>
        <v/>
      </c>
      <c r="C297" s="66">
        <f>B297/B296-1</f>
        <v/>
      </c>
      <c r="D297" s="66">
        <f>(Table1345[[#This Row],[Index]]-B285)/B285</f>
        <v/>
      </c>
    </row>
    <row r="298">
      <c r="A298" s="17" t="n">
        <v>35156</v>
      </c>
      <c r="B298" s="58">
        <f>VLOOKUP(Table1345[[#This Row],[Date]],database!A:I,9,)</f>
        <v/>
      </c>
      <c r="C298" s="66">
        <f>B298/B297-1</f>
        <v/>
      </c>
      <c r="D298" s="66">
        <f>(Table1345[[#This Row],[Index]]-B286)/B286</f>
        <v/>
      </c>
    </row>
    <row r="299">
      <c r="A299" s="17" t="n">
        <v>35186</v>
      </c>
      <c r="B299" s="58">
        <f>VLOOKUP(Table1345[[#This Row],[Date]],database!A:I,9,)</f>
        <v/>
      </c>
      <c r="C299" s="66">
        <f>B299/B298-1</f>
        <v/>
      </c>
      <c r="D299" s="66">
        <f>(Table1345[[#This Row],[Index]]-B287)/B287</f>
        <v/>
      </c>
    </row>
    <row r="300">
      <c r="A300" s="17" t="n">
        <v>35217</v>
      </c>
      <c r="B300" s="58">
        <f>VLOOKUP(Table1345[[#This Row],[Date]],database!A:I,9,)</f>
        <v/>
      </c>
      <c r="C300" s="66">
        <f>B300/B299-1</f>
        <v/>
      </c>
      <c r="D300" s="66">
        <f>(Table1345[[#This Row],[Index]]-B288)/B288</f>
        <v/>
      </c>
    </row>
    <row r="301">
      <c r="A301" s="17" t="n">
        <v>35247</v>
      </c>
      <c r="B301" s="58">
        <f>VLOOKUP(Table1345[[#This Row],[Date]],database!A:I,9,)</f>
        <v/>
      </c>
      <c r="C301" s="66">
        <f>B301/B300-1</f>
        <v/>
      </c>
      <c r="D301" s="66">
        <f>(Table1345[[#This Row],[Index]]-B289)/B289</f>
        <v/>
      </c>
    </row>
    <row r="302">
      <c r="A302" s="17" t="n">
        <v>35278</v>
      </c>
      <c r="B302" s="58">
        <f>VLOOKUP(Table1345[[#This Row],[Date]],database!A:I,9,)</f>
        <v/>
      </c>
      <c r="C302" s="66">
        <f>B302/B301-1</f>
        <v/>
      </c>
      <c r="D302" s="66">
        <f>(Table1345[[#This Row],[Index]]-B290)/B290</f>
        <v/>
      </c>
    </row>
    <row r="303">
      <c r="A303" s="17" t="n">
        <v>35309</v>
      </c>
      <c r="B303" s="58">
        <f>VLOOKUP(Table1345[[#This Row],[Date]],database!A:I,9,)</f>
        <v/>
      </c>
      <c r="C303" s="66">
        <f>B303/B302-1</f>
        <v/>
      </c>
      <c r="D303" s="66">
        <f>(Table1345[[#This Row],[Index]]-B291)/B291</f>
        <v/>
      </c>
    </row>
    <row r="304">
      <c r="A304" s="17" t="n">
        <v>35339</v>
      </c>
      <c r="B304" s="58">
        <f>VLOOKUP(Table1345[[#This Row],[Date]],database!A:I,9,)</f>
        <v/>
      </c>
      <c r="C304" s="66">
        <f>B304/B303-1</f>
        <v/>
      </c>
      <c r="D304" s="66">
        <f>(Table1345[[#This Row],[Index]]-B292)/B292</f>
        <v/>
      </c>
    </row>
    <row r="305">
      <c r="A305" s="17" t="n">
        <v>35370</v>
      </c>
      <c r="B305" s="58">
        <f>VLOOKUP(Table1345[[#This Row],[Date]],database!A:I,9,)</f>
        <v/>
      </c>
      <c r="C305" s="66">
        <f>B305/B304-1</f>
        <v/>
      </c>
      <c r="D305" s="66">
        <f>(Table1345[[#This Row],[Index]]-B293)/B293</f>
        <v/>
      </c>
    </row>
    <row r="306">
      <c r="A306" s="17" t="n">
        <v>35400</v>
      </c>
      <c r="B306" s="58">
        <f>VLOOKUP(Table1345[[#This Row],[Date]],database!A:I,9,)</f>
        <v/>
      </c>
      <c r="C306" s="66">
        <f>B306/B305-1</f>
        <v/>
      </c>
      <c r="D306" s="66">
        <f>(Table1345[[#This Row],[Index]]-B294)/B294</f>
        <v/>
      </c>
    </row>
    <row r="307">
      <c r="A307" s="17" t="n">
        <v>35431</v>
      </c>
      <c r="B307" s="58">
        <f>VLOOKUP(Table1345[[#This Row],[Date]],database!A:I,9,)</f>
        <v/>
      </c>
      <c r="C307" s="66">
        <f>B307/B306-1</f>
        <v/>
      </c>
      <c r="D307" s="66">
        <f>(Table1345[[#This Row],[Index]]-B295)/B295</f>
        <v/>
      </c>
    </row>
    <row r="308">
      <c r="A308" s="17" t="n">
        <v>35462</v>
      </c>
      <c r="B308" s="58">
        <f>VLOOKUP(Table1345[[#This Row],[Date]],database!A:I,9,)</f>
        <v/>
      </c>
      <c r="C308" s="66">
        <f>B308/B307-1</f>
        <v/>
      </c>
      <c r="D308" s="66">
        <f>(Table1345[[#This Row],[Index]]-B296)/B296</f>
        <v/>
      </c>
    </row>
    <row r="309">
      <c r="A309" s="17" t="n">
        <v>35490</v>
      </c>
      <c r="B309" s="58">
        <f>VLOOKUP(Table1345[[#This Row],[Date]],database!A:I,9,)</f>
        <v/>
      </c>
      <c r="C309" s="66">
        <f>B309/B308-1</f>
        <v/>
      </c>
      <c r="D309" s="66">
        <f>(Table1345[[#This Row],[Index]]-B297)/B297</f>
        <v/>
      </c>
    </row>
    <row r="310">
      <c r="A310" s="17" t="n">
        <v>35521</v>
      </c>
      <c r="B310" s="58">
        <f>VLOOKUP(Table1345[[#This Row],[Date]],database!A:I,9,)</f>
        <v/>
      </c>
      <c r="C310" s="66">
        <f>B310/B309-1</f>
        <v/>
      </c>
      <c r="D310" s="66">
        <f>(Table1345[[#This Row],[Index]]-B298)/B298</f>
        <v/>
      </c>
    </row>
    <row r="311">
      <c r="A311" s="17" t="n">
        <v>35551</v>
      </c>
      <c r="B311" s="58">
        <f>VLOOKUP(Table1345[[#This Row],[Date]],database!A:I,9,)</f>
        <v/>
      </c>
      <c r="C311" s="66">
        <f>B311/B310-1</f>
        <v/>
      </c>
      <c r="D311" s="66">
        <f>(Table1345[[#This Row],[Index]]-B299)/B299</f>
        <v/>
      </c>
    </row>
    <row r="312">
      <c r="A312" s="17" t="n">
        <v>35582</v>
      </c>
      <c r="B312" s="58">
        <f>VLOOKUP(Table1345[[#This Row],[Date]],database!A:I,9,)</f>
        <v/>
      </c>
      <c r="C312" s="66">
        <f>B312/B311-1</f>
        <v/>
      </c>
      <c r="D312" s="66">
        <f>(Table1345[[#This Row],[Index]]-B300)/B300</f>
        <v/>
      </c>
    </row>
    <row r="313">
      <c r="A313" s="17" t="n">
        <v>35612</v>
      </c>
      <c r="B313" s="58">
        <f>VLOOKUP(Table1345[[#This Row],[Date]],database!A:I,9,)</f>
        <v/>
      </c>
      <c r="C313" s="66">
        <f>B313/B312-1</f>
        <v/>
      </c>
      <c r="D313" s="66">
        <f>(Table1345[[#This Row],[Index]]-B301)/B301</f>
        <v/>
      </c>
    </row>
    <row r="314">
      <c r="A314" s="17" t="n">
        <v>35643</v>
      </c>
      <c r="B314" s="58">
        <f>VLOOKUP(Table1345[[#This Row],[Date]],database!A:I,9,)</f>
        <v/>
      </c>
      <c r="C314" s="66">
        <f>B314/B313-1</f>
        <v/>
      </c>
      <c r="D314" s="66">
        <f>(Table1345[[#This Row],[Index]]-B302)/B302</f>
        <v/>
      </c>
    </row>
    <row r="315">
      <c r="A315" s="17" t="n">
        <v>35674</v>
      </c>
      <c r="B315" s="58">
        <f>VLOOKUP(Table1345[[#This Row],[Date]],database!A:I,9,)</f>
        <v/>
      </c>
      <c r="C315" s="66">
        <f>B315/B314-1</f>
        <v/>
      </c>
      <c r="D315" s="66">
        <f>(Table1345[[#This Row],[Index]]-B303)/B303</f>
        <v/>
      </c>
    </row>
    <row r="316">
      <c r="A316" s="17" t="n">
        <v>35704</v>
      </c>
      <c r="B316" s="58">
        <f>VLOOKUP(Table1345[[#This Row],[Date]],database!A:I,9,)</f>
        <v/>
      </c>
      <c r="C316" s="66">
        <f>B316/B315-1</f>
        <v/>
      </c>
      <c r="D316" s="66">
        <f>(Table1345[[#This Row],[Index]]-B304)/B304</f>
        <v/>
      </c>
    </row>
    <row r="317">
      <c r="A317" s="17" t="n">
        <v>35735</v>
      </c>
      <c r="B317" s="58">
        <f>VLOOKUP(Table1345[[#This Row],[Date]],database!A:I,9,)</f>
        <v/>
      </c>
      <c r="C317" s="66">
        <f>B317/B316-1</f>
        <v/>
      </c>
      <c r="D317" s="66">
        <f>(Table1345[[#This Row],[Index]]-B305)/B305</f>
        <v/>
      </c>
    </row>
    <row r="318">
      <c r="A318" s="17" t="n">
        <v>35765</v>
      </c>
      <c r="B318" s="58">
        <f>VLOOKUP(Table1345[[#This Row],[Date]],database!A:I,9,)</f>
        <v/>
      </c>
      <c r="C318" s="66">
        <f>B318/B317-1</f>
        <v/>
      </c>
      <c r="D318" s="66">
        <f>(Table1345[[#This Row],[Index]]-B306)/B306</f>
        <v/>
      </c>
    </row>
    <row r="319">
      <c r="A319" s="17" t="n">
        <v>35796</v>
      </c>
      <c r="B319" s="58">
        <f>VLOOKUP(Table1345[[#This Row],[Date]],database!A:I,9,)</f>
        <v/>
      </c>
      <c r="C319" s="66">
        <f>B319/B318-1</f>
        <v/>
      </c>
      <c r="D319" s="66">
        <f>(Table1345[[#This Row],[Index]]-B307)/B307</f>
        <v/>
      </c>
    </row>
    <row r="320">
      <c r="A320" s="17" t="n">
        <v>35827</v>
      </c>
      <c r="B320" s="58">
        <f>VLOOKUP(Table1345[[#This Row],[Date]],database!A:I,9,)</f>
        <v/>
      </c>
      <c r="C320" s="66">
        <f>B320/B319-1</f>
        <v/>
      </c>
      <c r="D320" s="66">
        <f>(Table1345[[#This Row],[Index]]-B308)/B308</f>
        <v/>
      </c>
    </row>
    <row r="321">
      <c r="A321" s="17" t="n">
        <v>35855</v>
      </c>
      <c r="B321" s="58">
        <f>VLOOKUP(Table1345[[#This Row],[Date]],database!A:I,9,)</f>
        <v/>
      </c>
      <c r="C321" s="66">
        <f>B321/B320-1</f>
        <v/>
      </c>
      <c r="D321" s="66">
        <f>(Table1345[[#This Row],[Index]]-B309)/B309</f>
        <v/>
      </c>
    </row>
    <row r="322">
      <c r="A322" s="17" t="n">
        <v>35886</v>
      </c>
      <c r="B322" s="58">
        <f>VLOOKUP(Table1345[[#This Row],[Date]],database!A:I,9,)</f>
        <v/>
      </c>
      <c r="C322" s="66">
        <f>B322/B321-1</f>
        <v/>
      </c>
      <c r="D322" s="66">
        <f>(Table1345[[#This Row],[Index]]-B310)/B310</f>
        <v/>
      </c>
    </row>
    <row r="323">
      <c r="A323" s="17" t="n">
        <v>35916</v>
      </c>
      <c r="B323" s="58">
        <f>VLOOKUP(Table1345[[#This Row],[Date]],database!A:I,9,)</f>
        <v/>
      </c>
      <c r="C323" s="66">
        <f>B323/B322-1</f>
        <v/>
      </c>
      <c r="D323" s="66">
        <f>(Table1345[[#This Row],[Index]]-B311)/B311</f>
        <v/>
      </c>
    </row>
    <row r="324">
      <c r="A324" s="17" t="n">
        <v>35947</v>
      </c>
      <c r="B324" s="58">
        <f>VLOOKUP(Table1345[[#This Row],[Date]],database!A:I,9,)</f>
        <v/>
      </c>
      <c r="C324" s="66">
        <f>B324/B323-1</f>
        <v/>
      </c>
      <c r="D324" s="66">
        <f>(Table1345[[#This Row],[Index]]-B312)/B312</f>
        <v/>
      </c>
    </row>
    <row r="325">
      <c r="A325" s="17" t="n">
        <v>35977</v>
      </c>
      <c r="B325" s="58">
        <f>VLOOKUP(Table1345[[#This Row],[Date]],database!A:I,9,)</f>
        <v/>
      </c>
      <c r="C325" s="66">
        <f>B325/B324-1</f>
        <v/>
      </c>
      <c r="D325" s="66">
        <f>(Table1345[[#This Row],[Index]]-B313)/B313</f>
        <v/>
      </c>
    </row>
    <row r="326">
      <c r="A326" s="17" t="n">
        <v>36008</v>
      </c>
      <c r="B326" s="58">
        <f>VLOOKUP(Table1345[[#This Row],[Date]],database!A:I,9,)</f>
        <v/>
      </c>
      <c r="C326" s="66">
        <f>B326/B325-1</f>
        <v/>
      </c>
      <c r="D326" s="66">
        <f>(Table1345[[#This Row],[Index]]-B314)/B314</f>
        <v/>
      </c>
    </row>
    <row r="327">
      <c r="A327" s="17" t="n">
        <v>36039</v>
      </c>
      <c r="B327" s="58">
        <f>VLOOKUP(Table1345[[#This Row],[Date]],database!A:I,9,)</f>
        <v/>
      </c>
      <c r="C327" s="66">
        <f>B327/B326-1</f>
        <v/>
      </c>
      <c r="D327" s="66">
        <f>(Table1345[[#This Row],[Index]]-B315)/B315</f>
        <v/>
      </c>
    </row>
    <row r="328">
      <c r="A328" s="17" t="n">
        <v>36069</v>
      </c>
      <c r="B328" s="58">
        <f>VLOOKUP(Table1345[[#This Row],[Date]],database!A:I,9,)</f>
        <v/>
      </c>
      <c r="C328" s="66">
        <f>B328/B327-1</f>
        <v/>
      </c>
      <c r="D328" s="66">
        <f>(Table1345[[#This Row],[Index]]-B316)/B316</f>
        <v/>
      </c>
    </row>
    <row r="329">
      <c r="A329" s="17" t="n">
        <v>36100</v>
      </c>
      <c r="B329" s="58">
        <f>VLOOKUP(Table1345[[#This Row],[Date]],database!A:I,9,)</f>
        <v/>
      </c>
      <c r="C329" s="66">
        <f>B329/B328-1</f>
        <v/>
      </c>
      <c r="D329" s="66">
        <f>(Table1345[[#This Row],[Index]]-B317)/B317</f>
        <v/>
      </c>
    </row>
    <row r="330">
      <c r="A330" s="17" t="n">
        <v>36130</v>
      </c>
      <c r="B330" s="58">
        <f>VLOOKUP(Table1345[[#This Row],[Date]],database!A:I,9,)</f>
        <v/>
      </c>
      <c r="C330" s="66">
        <f>B330/B329-1</f>
        <v/>
      </c>
      <c r="D330" s="66">
        <f>(Table1345[[#This Row],[Index]]-B318)/B318</f>
        <v/>
      </c>
    </row>
    <row r="331">
      <c r="A331" s="17" t="n">
        <v>36161</v>
      </c>
      <c r="B331" s="58">
        <f>VLOOKUP(Table1345[[#This Row],[Date]],database!A:I,9,)</f>
        <v/>
      </c>
      <c r="C331" s="66">
        <f>B331/B330-1</f>
        <v/>
      </c>
      <c r="D331" s="66">
        <f>(Table1345[[#This Row],[Index]]-B319)/B319</f>
        <v/>
      </c>
    </row>
    <row r="332">
      <c r="A332" s="17" t="n">
        <v>36192</v>
      </c>
      <c r="B332" s="58">
        <f>VLOOKUP(Table1345[[#This Row],[Date]],database!A:I,9,)</f>
        <v/>
      </c>
      <c r="C332" s="66">
        <f>B332/B331-1</f>
        <v/>
      </c>
      <c r="D332" s="66">
        <f>(Table1345[[#This Row],[Index]]-B320)/B320</f>
        <v/>
      </c>
    </row>
    <row r="333">
      <c r="A333" s="17" t="n">
        <v>36220</v>
      </c>
      <c r="B333" s="58">
        <f>VLOOKUP(Table1345[[#This Row],[Date]],database!A:I,9,)</f>
        <v/>
      </c>
      <c r="C333" s="66">
        <f>B333/B332-1</f>
        <v/>
      </c>
      <c r="D333" s="66">
        <f>(Table1345[[#This Row],[Index]]-B321)/B321</f>
        <v/>
      </c>
    </row>
    <row r="334">
      <c r="A334" s="17" t="n">
        <v>36251</v>
      </c>
      <c r="B334" s="58">
        <f>VLOOKUP(Table1345[[#This Row],[Date]],database!A:I,9,)</f>
        <v/>
      </c>
      <c r="C334" s="66">
        <f>B334/B333-1</f>
        <v/>
      </c>
      <c r="D334" s="66">
        <f>(Table1345[[#This Row],[Index]]-B322)/B322</f>
        <v/>
      </c>
    </row>
    <row r="335">
      <c r="A335" s="17" t="n">
        <v>36281</v>
      </c>
      <c r="B335" s="58">
        <f>VLOOKUP(Table1345[[#This Row],[Date]],database!A:I,9,)</f>
        <v/>
      </c>
      <c r="C335" s="66">
        <f>B335/B334-1</f>
        <v/>
      </c>
      <c r="D335" s="66">
        <f>(Table1345[[#This Row],[Index]]-B323)/B323</f>
        <v/>
      </c>
    </row>
    <row r="336">
      <c r="A336" s="17" t="n">
        <v>36312</v>
      </c>
      <c r="B336" s="58">
        <f>VLOOKUP(Table1345[[#This Row],[Date]],database!A:I,9,)</f>
        <v/>
      </c>
      <c r="C336" s="66">
        <f>B336/B335-1</f>
        <v/>
      </c>
      <c r="D336" s="66">
        <f>(Table1345[[#This Row],[Index]]-B324)/B324</f>
        <v/>
      </c>
    </row>
    <row r="337">
      <c r="A337" s="17" t="n">
        <v>36342</v>
      </c>
      <c r="B337" s="58">
        <f>VLOOKUP(Table1345[[#This Row],[Date]],database!A:I,9,)</f>
        <v/>
      </c>
      <c r="C337" s="66">
        <f>B337/B336-1</f>
        <v/>
      </c>
      <c r="D337" s="66">
        <f>(Table1345[[#This Row],[Index]]-B325)/B325</f>
        <v/>
      </c>
    </row>
    <row r="338">
      <c r="A338" s="17" t="n">
        <v>36373</v>
      </c>
      <c r="B338" s="58">
        <f>VLOOKUP(Table1345[[#This Row],[Date]],database!A:I,9,)</f>
        <v/>
      </c>
      <c r="C338" s="66">
        <f>B338/B337-1</f>
        <v/>
      </c>
      <c r="D338" s="66">
        <f>(Table1345[[#This Row],[Index]]-B326)/B326</f>
        <v/>
      </c>
    </row>
    <row r="339">
      <c r="A339" s="17" t="n">
        <v>36404</v>
      </c>
      <c r="B339" s="58">
        <f>VLOOKUP(Table1345[[#This Row],[Date]],database!A:I,9,)</f>
        <v/>
      </c>
      <c r="C339" s="66">
        <f>B339/B338-1</f>
        <v/>
      </c>
      <c r="D339" s="66">
        <f>(Table1345[[#This Row],[Index]]-B327)/B327</f>
        <v/>
      </c>
    </row>
    <row r="340">
      <c r="A340" s="17" t="n">
        <v>36434</v>
      </c>
      <c r="B340" s="58">
        <f>VLOOKUP(Table1345[[#This Row],[Date]],database!A:I,9,)</f>
        <v/>
      </c>
      <c r="C340" s="66">
        <f>B340/B339-1</f>
        <v/>
      </c>
      <c r="D340" s="66">
        <f>(Table1345[[#This Row],[Index]]-B328)/B328</f>
        <v/>
      </c>
    </row>
    <row r="341">
      <c r="A341" s="17" t="n">
        <v>36465</v>
      </c>
      <c r="B341" s="58">
        <f>VLOOKUP(Table1345[[#This Row],[Date]],database!A:I,9,)</f>
        <v/>
      </c>
      <c r="C341" s="66">
        <f>B341/B340-1</f>
        <v/>
      </c>
      <c r="D341" s="66">
        <f>(Table1345[[#This Row],[Index]]-B329)/B329</f>
        <v/>
      </c>
    </row>
    <row r="342">
      <c r="A342" s="17" t="n">
        <v>36495</v>
      </c>
      <c r="B342" s="58">
        <f>VLOOKUP(Table1345[[#This Row],[Date]],database!A:I,9,)</f>
        <v/>
      </c>
      <c r="C342" s="66">
        <f>B342/B341-1</f>
        <v/>
      </c>
      <c r="D342" s="66">
        <f>(Table1345[[#This Row],[Index]]-B330)/B330</f>
        <v/>
      </c>
    </row>
    <row r="343">
      <c r="A343" s="17" t="n">
        <v>36526</v>
      </c>
      <c r="B343" s="58">
        <f>VLOOKUP(Table1345[[#This Row],[Date]],database!A:I,9,)</f>
        <v/>
      </c>
      <c r="C343" s="66">
        <f>B343/B342-1</f>
        <v/>
      </c>
      <c r="D343" s="66">
        <f>(Table1345[[#This Row],[Index]]-B331)/B331</f>
        <v/>
      </c>
    </row>
    <row r="344">
      <c r="A344" s="17" t="n">
        <v>36557</v>
      </c>
      <c r="B344" s="58">
        <f>VLOOKUP(Table1345[[#This Row],[Date]],database!A:I,9,)</f>
        <v/>
      </c>
      <c r="C344" s="66">
        <f>B344/B343-1</f>
        <v/>
      </c>
      <c r="D344" s="66">
        <f>(Table1345[[#This Row],[Index]]-B332)/B332</f>
        <v/>
      </c>
    </row>
    <row r="345">
      <c r="A345" s="17" t="n">
        <v>36586</v>
      </c>
      <c r="B345" s="58">
        <f>VLOOKUP(Table1345[[#This Row],[Date]],database!A:I,9,)</f>
        <v/>
      </c>
      <c r="C345" s="66">
        <f>B345/B344-1</f>
        <v/>
      </c>
      <c r="D345" s="66">
        <f>(Table1345[[#This Row],[Index]]-B333)/B333</f>
        <v/>
      </c>
    </row>
    <row r="346">
      <c r="A346" s="17" t="n">
        <v>36617</v>
      </c>
      <c r="B346" s="58">
        <f>VLOOKUP(Table1345[[#This Row],[Date]],database!A:I,9,)</f>
        <v/>
      </c>
      <c r="C346" s="66">
        <f>B346/B345-1</f>
        <v/>
      </c>
      <c r="D346" s="66">
        <f>(Table1345[[#This Row],[Index]]-B334)/B334</f>
        <v/>
      </c>
    </row>
    <row r="347">
      <c r="A347" s="17" t="n">
        <v>36647</v>
      </c>
      <c r="B347" s="58">
        <f>VLOOKUP(Table1345[[#This Row],[Date]],database!A:I,9,)</f>
        <v/>
      </c>
      <c r="C347" s="66">
        <f>B347/B346-1</f>
        <v/>
      </c>
      <c r="D347" s="66">
        <f>(Table1345[[#This Row],[Index]]-B335)/B335</f>
        <v/>
      </c>
    </row>
    <row r="348">
      <c r="A348" s="17" t="n">
        <v>36678</v>
      </c>
      <c r="B348" s="58">
        <f>VLOOKUP(Table1345[[#This Row],[Date]],database!A:I,9,)</f>
        <v/>
      </c>
      <c r="C348" s="66">
        <f>B348/B347-1</f>
        <v/>
      </c>
      <c r="D348" s="66">
        <f>(Table1345[[#This Row],[Index]]-B336)/B336</f>
        <v/>
      </c>
    </row>
    <row r="349">
      <c r="A349" s="17" t="n">
        <v>36708</v>
      </c>
      <c r="B349" s="58">
        <f>VLOOKUP(Table1345[[#This Row],[Date]],database!A:I,9,)</f>
        <v/>
      </c>
      <c r="C349" s="66">
        <f>B349/B348-1</f>
        <v/>
      </c>
      <c r="D349" s="66">
        <f>(Table1345[[#This Row],[Index]]-B337)/B337</f>
        <v/>
      </c>
    </row>
    <row r="350">
      <c r="A350" s="17" t="n">
        <v>36739</v>
      </c>
      <c r="B350" s="58">
        <f>VLOOKUP(Table1345[[#This Row],[Date]],database!A:I,9,)</f>
        <v/>
      </c>
      <c r="C350" s="66">
        <f>B350/B349-1</f>
        <v/>
      </c>
      <c r="D350" s="66">
        <f>(Table1345[[#This Row],[Index]]-B338)/B338</f>
        <v/>
      </c>
    </row>
    <row r="351">
      <c r="A351" s="17" t="n">
        <v>36770</v>
      </c>
      <c r="B351" s="58">
        <f>VLOOKUP(Table1345[[#This Row],[Date]],database!A:I,9,)</f>
        <v/>
      </c>
      <c r="C351" s="66">
        <f>B351/B350-1</f>
        <v/>
      </c>
      <c r="D351" s="66">
        <f>(Table1345[[#This Row],[Index]]-B339)/B339</f>
        <v/>
      </c>
    </row>
    <row r="352">
      <c r="A352" s="17" t="n">
        <v>36800</v>
      </c>
      <c r="B352" s="58">
        <f>VLOOKUP(Table1345[[#This Row],[Date]],database!A:I,9,)</f>
        <v/>
      </c>
      <c r="C352" s="66">
        <f>B352/B351-1</f>
        <v/>
      </c>
      <c r="D352" s="66">
        <f>(Table1345[[#This Row],[Index]]-B340)/B340</f>
        <v/>
      </c>
    </row>
    <row r="353">
      <c r="A353" s="17" t="n">
        <v>36831</v>
      </c>
      <c r="B353" s="58">
        <f>VLOOKUP(Table1345[[#This Row],[Date]],database!A:I,9,)</f>
        <v/>
      </c>
      <c r="C353" s="66">
        <f>B353/B352-1</f>
        <v/>
      </c>
      <c r="D353" s="66">
        <f>(Table1345[[#This Row],[Index]]-B341)/B341</f>
        <v/>
      </c>
    </row>
    <row r="354">
      <c r="A354" s="17" t="n">
        <v>36861</v>
      </c>
      <c r="B354" s="58">
        <f>VLOOKUP(Table1345[[#This Row],[Date]],database!A:I,9,)</f>
        <v/>
      </c>
      <c r="C354" s="66">
        <f>B354/B353-1</f>
        <v/>
      </c>
      <c r="D354" s="66">
        <f>(Table1345[[#This Row],[Index]]-B342)/B342</f>
        <v/>
      </c>
    </row>
    <row r="355">
      <c r="A355" s="17" t="n">
        <v>36892</v>
      </c>
      <c r="B355" s="58">
        <f>VLOOKUP(Table1345[[#This Row],[Date]],database!A:I,9,)</f>
        <v/>
      </c>
      <c r="C355" s="66">
        <f>B355/B354-1</f>
        <v/>
      </c>
      <c r="D355" s="66">
        <f>(Table1345[[#This Row],[Index]]-B343)/B343</f>
        <v/>
      </c>
    </row>
    <row r="356">
      <c r="A356" s="17" t="n">
        <v>36923</v>
      </c>
      <c r="B356" s="58">
        <f>VLOOKUP(Table1345[[#This Row],[Date]],database!A:I,9,)</f>
        <v/>
      </c>
      <c r="C356" s="66">
        <f>B356/B355-1</f>
        <v/>
      </c>
      <c r="D356" s="66">
        <f>(Table1345[[#This Row],[Index]]-B344)/B344</f>
        <v/>
      </c>
    </row>
    <row r="357">
      <c r="A357" s="17" t="n">
        <v>36951</v>
      </c>
      <c r="B357" s="58">
        <f>VLOOKUP(Table1345[[#This Row],[Date]],database!A:I,9,)</f>
        <v/>
      </c>
      <c r="C357" s="66">
        <f>B357/B356-1</f>
        <v/>
      </c>
      <c r="D357" s="66">
        <f>(Table1345[[#This Row],[Index]]-B345)/B345</f>
        <v/>
      </c>
    </row>
    <row r="358">
      <c r="A358" s="17" t="n">
        <v>36982</v>
      </c>
      <c r="B358" s="58">
        <f>VLOOKUP(Table1345[[#This Row],[Date]],database!A:I,9,)</f>
        <v/>
      </c>
      <c r="C358" s="66">
        <f>B358/B357-1</f>
        <v/>
      </c>
      <c r="D358" s="66">
        <f>(Table1345[[#This Row],[Index]]-B346)/B346</f>
        <v/>
      </c>
    </row>
    <row r="359">
      <c r="A359" s="17" t="n">
        <v>37012</v>
      </c>
      <c r="B359" s="58">
        <f>VLOOKUP(Table1345[[#This Row],[Date]],database!A:I,9,)</f>
        <v/>
      </c>
      <c r="C359" s="66">
        <f>B359/B358-1</f>
        <v/>
      </c>
      <c r="D359" s="66">
        <f>(Table1345[[#This Row],[Index]]-B347)/B347</f>
        <v/>
      </c>
    </row>
    <row r="360">
      <c r="A360" s="17" t="n">
        <v>37043</v>
      </c>
      <c r="B360" s="58">
        <f>VLOOKUP(Table1345[[#This Row],[Date]],database!A:I,9,)</f>
        <v/>
      </c>
      <c r="C360" s="66">
        <f>B360/B359-1</f>
        <v/>
      </c>
      <c r="D360" s="66">
        <f>(Table1345[[#This Row],[Index]]-B348)/B348</f>
        <v/>
      </c>
    </row>
    <row r="361">
      <c r="A361" s="17" t="n">
        <v>37073</v>
      </c>
      <c r="B361" s="58">
        <f>VLOOKUP(Table1345[[#This Row],[Date]],database!A:I,9,)</f>
        <v/>
      </c>
      <c r="C361" s="66">
        <f>B361/B360-1</f>
        <v/>
      </c>
      <c r="D361" s="66">
        <f>(Table1345[[#This Row],[Index]]-B349)/B349</f>
        <v/>
      </c>
    </row>
    <row r="362">
      <c r="A362" s="17" t="n">
        <v>37104</v>
      </c>
      <c r="B362" s="58">
        <f>VLOOKUP(Table1345[[#This Row],[Date]],database!A:I,9,)</f>
        <v/>
      </c>
      <c r="C362" s="66">
        <f>B362/B361-1</f>
        <v/>
      </c>
      <c r="D362" s="66">
        <f>(Table1345[[#This Row],[Index]]-B350)/B350</f>
        <v/>
      </c>
    </row>
    <row r="363">
      <c r="A363" s="17" t="n">
        <v>37135</v>
      </c>
      <c r="B363" s="58">
        <f>VLOOKUP(Table1345[[#This Row],[Date]],database!A:I,9,)</f>
        <v/>
      </c>
      <c r="C363" s="66">
        <f>B363/B362-1</f>
        <v/>
      </c>
      <c r="D363" s="66">
        <f>(Table1345[[#This Row],[Index]]-B351)/B351</f>
        <v/>
      </c>
    </row>
    <row r="364">
      <c r="A364" s="17" t="n">
        <v>37165</v>
      </c>
      <c r="B364" s="58">
        <f>VLOOKUP(Table1345[[#This Row],[Date]],database!A:I,9,)</f>
        <v/>
      </c>
      <c r="C364" s="66">
        <f>B364/B363-1</f>
        <v/>
      </c>
      <c r="D364" s="66">
        <f>(Table1345[[#This Row],[Index]]-B352)/B352</f>
        <v/>
      </c>
    </row>
    <row r="365">
      <c r="A365" s="17" t="n">
        <v>37196</v>
      </c>
      <c r="B365" s="58">
        <f>VLOOKUP(Table1345[[#This Row],[Date]],database!A:I,9,)</f>
        <v/>
      </c>
      <c r="C365" s="66">
        <f>B365/B364-1</f>
        <v/>
      </c>
      <c r="D365" s="66">
        <f>(Table1345[[#This Row],[Index]]-B353)/B353</f>
        <v/>
      </c>
    </row>
    <row r="366">
      <c r="A366" s="17" t="n">
        <v>37226</v>
      </c>
      <c r="B366" s="58">
        <f>VLOOKUP(Table1345[[#This Row],[Date]],database!A:I,9,)</f>
        <v/>
      </c>
      <c r="C366" s="66">
        <f>B366/B365-1</f>
        <v/>
      </c>
      <c r="D366" s="66">
        <f>(Table1345[[#This Row],[Index]]-B354)/B354</f>
        <v/>
      </c>
    </row>
    <row r="367">
      <c r="A367" s="17" t="n">
        <v>37257</v>
      </c>
      <c r="B367" s="58">
        <f>VLOOKUP(Table1345[[#This Row],[Date]],database!A:I,9,)</f>
        <v/>
      </c>
      <c r="C367" s="66">
        <f>B367/B366-1</f>
        <v/>
      </c>
      <c r="D367" s="66">
        <f>(Table1345[[#This Row],[Index]]-B355)/B355</f>
        <v/>
      </c>
    </row>
    <row r="368">
      <c r="A368" s="17" t="n">
        <v>37288</v>
      </c>
      <c r="B368" s="58">
        <f>VLOOKUP(Table1345[[#This Row],[Date]],database!A:I,9,)</f>
        <v/>
      </c>
      <c r="C368" s="66">
        <f>B368/B367-1</f>
        <v/>
      </c>
      <c r="D368" s="66">
        <f>(Table1345[[#This Row],[Index]]-B356)/B356</f>
        <v/>
      </c>
    </row>
    <row r="369">
      <c r="A369" s="17" t="n">
        <v>37316</v>
      </c>
      <c r="B369" s="58">
        <f>VLOOKUP(Table1345[[#This Row],[Date]],database!A:I,9,)</f>
        <v/>
      </c>
      <c r="C369" s="66">
        <f>B369/B368-1</f>
        <v/>
      </c>
      <c r="D369" s="66">
        <f>(Table1345[[#This Row],[Index]]-B357)/B357</f>
        <v/>
      </c>
    </row>
    <row r="370">
      <c r="A370" s="17" t="n">
        <v>37347</v>
      </c>
      <c r="B370" s="58">
        <f>VLOOKUP(Table1345[[#This Row],[Date]],database!A:I,9,)</f>
        <v/>
      </c>
      <c r="C370" s="66">
        <f>B370/B369-1</f>
        <v/>
      </c>
      <c r="D370" s="66">
        <f>(Table1345[[#This Row],[Index]]-B358)/B358</f>
        <v/>
      </c>
    </row>
    <row r="371">
      <c r="A371" s="17" t="n">
        <v>37377</v>
      </c>
      <c r="B371" s="58">
        <f>VLOOKUP(Table1345[[#This Row],[Date]],database!A:I,9,)</f>
        <v/>
      </c>
      <c r="C371" s="66">
        <f>B371/B370-1</f>
        <v/>
      </c>
      <c r="D371" s="66">
        <f>(Table1345[[#This Row],[Index]]-B359)/B359</f>
        <v/>
      </c>
    </row>
    <row r="372">
      <c r="A372" s="17" t="n">
        <v>37408</v>
      </c>
      <c r="B372" s="58">
        <f>VLOOKUP(Table1345[[#This Row],[Date]],database!A:I,9,)</f>
        <v/>
      </c>
      <c r="C372" s="66">
        <f>B372/B371-1</f>
        <v/>
      </c>
      <c r="D372" s="66">
        <f>(Table1345[[#This Row],[Index]]-B360)/B360</f>
        <v/>
      </c>
    </row>
    <row r="373">
      <c r="A373" s="17" t="n">
        <v>37438</v>
      </c>
      <c r="B373" s="58">
        <f>VLOOKUP(Table1345[[#This Row],[Date]],database!A:I,9,)</f>
        <v/>
      </c>
      <c r="C373" s="66">
        <f>B373/B372-1</f>
        <v/>
      </c>
      <c r="D373" s="66">
        <f>(Table1345[[#This Row],[Index]]-B361)/B361</f>
        <v/>
      </c>
    </row>
    <row r="374">
      <c r="A374" s="17" t="n">
        <v>37469</v>
      </c>
      <c r="B374" s="58">
        <f>VLOOKUP(Table1345[[#This Row],[Date]],database!A:I,9,)</f>
        <v/>
      </c>
      <c r="C374" s="66">
        <f>B374/B373-1</f>
        <v/>
      </c>
      <c r="D374" s="66">
        <f>(Table1345[[#This Row],[Index]]-B362)/B362</f>
        <v/>
      </c>
    </row>
    <row r="375">
      <c r="A375" s="17" t="n">
        <v>37500</v>
      </c>
      <c r="B375" s="58">
        <f>VLOOKUP(Table1345[[#This Row],[Date]],database!A:I,9,)</f>
        <v/>
      </c>
      <c r="C375" s="66">
        <f>B375/B374-1</f>
        <v/>
      </c>
      <c r="D375" s="66">
        <f>(Table1345[[#This Row],[Index]]-B363)/B363</f>
        <v/>
      </c>
    </row>
    <row r="376">
      <c r="A376" s="17" t="n">
        <v>37530</v>
      </c>
      <c r="B376" s="58">
        <f>VLOOKUP(Table1345[[#This Row],[Date]],database!A:I,9,)</f>
        <v/>
      </c>
      <c r="C376" s="66">
        <f>B376/B375-1</f>
        <v/>
      </c>
      <c r="D376" s="66">
        <f>(Table1345[[#This Row],[Index]]-B364)/B364</f>
        <v/>
      </c>
    </row>
    <row r="377">
      <c r="A377" s="17" t="n">
        <v>37561</v>
      </c>
      <c r="B377" s="58">
        <f>VLOOKUP(Table1345[[#This Row],[Date]],database!A:I,9,)</f>
        <v/>
      </c>
      <c r="C377" s="66">
        <f>B377/B376-1</f>
        <v/>
      </c>
      <c r="D377" s="66">
        <f>(Table1345[[#This Row],[Index]]-B365)/B365</f>
        <v/>
      </c>
    </row>
    <row r="378">
      <c r="A378" s="17" t="n">
        <v>37591</v>
      </c>
      <c r="B378" s="58">
        <f>VLOOKUP(Table1345[[#This Row],[Date]],database!A:I,9,)</f>
        <v/>
      </c>
      <c r="C378" s="66">
        <f>B378/B377-1</f>
        <v/>
      </c>
      <c r="D378" s="66">
        <f>(Table1345[[#This Row],[Index]]-B366)/B366</f>
        <v/>
      </c>
    </row>
    <row r="379">
      <c r="A379" s="17" t="n">
        <v>37622</v>
      </c>
      <c r="B379" s="58">
        <f>VLOOKUP(Table1345[[#This Row],[Date]],database!A:I,9,)</f>
        <v/>
      </c>
      <c r="C379" s="66">
        <f>B379/B378-1</f>
        <v/>
      </c>
      <c r="D379" s="66">
        <f>(Table1345[[#This Row],[Index]]-B367)/B367</f>
        <v/>
      </c>
    </row>
    <row r="380">
      <c r="A380" s="17" t="n">
        <v>37653</v>
      </c>
      <c r="B380" s="58">
        <f>VLOOKUP(Table1345[[#This Row],[Date]],database!A:I,9,)</f>
        <v/>
      </c>
      <c r="C380" s="66">
        <f>B380/B379-1</f>
        <v/>
      </c>
      <c r="D380" s="66">
        <f>(Table1345[[#This Row],[Index]]-B368)/B368</f>
        <v/>
      </c>
    </row>
    <row r="381">
      <c r="A381" s="17" t="n">
        <v>37681</v>
      </c>
      <c r="B381" s="58">
        <f>VLOOKUP(Table1345[[#This Row],[Date]],database!A:I,9,)</f>
        <v/>
      </c>
      <c r="C381" s="66">
        <f>B381/B380-1</f>
        <v/>
      </c>
      <c r="D381" s="66">
        <f>(Table1345[[#This Row],[Index]]-B369)/B369</f>
        <v/>
      </c>
    </row>
    <row r="382">
      <c r="A382" s="17" t="n">
        <v>37712</v>
      </c>
      <c r="B382" s="58">
        <f>VLOOKUP(Table1345[[#This Row],[Date]],database!A:I,9,)</f>
        <v/>
      </c>
      <c r="C382" s="66">
        <f>B382/B381-1</f>
        <v/>
      </c>
      <c r="D382" s="66">
        <f>(Table1345[[#This Row],[Index]]-B370)/B370</f>
        <v/>
      </c>
    </row>
    <row r="383">
      <c r="A383" s="17" t="n">
        <v>37742</v>
      </c>
      <c r="B383" s="58">
        <f>VLOOKUP(Table1345[[#This Row],[Date]],database!A:I,9,)</f>
        <v/>
      </c>
      <c r="C383" s="66">
        <f>B383/B382-1</f>
        <v/>
      </c>
      <c r="D383" s="66">
        <f>(Table1345[[#This Row],[Index]]-B371)/B371</f>
        <v/>
      </c>
    </row>
    <row r="384">
      <c r="A384" s="17" t="n">
        <v>37773</v>
      </c>
      <c r="B384" s="58">
        <f>VLOOKUP(Table1345[[#This Row],[Date]],database!A:I,9,)</f>
        <v/>
      </c>
      <c r="C384" s="66">
        <f>B384/B383-1</f>
        <v/>
      </c>
      <c r="D384" s="66">
        <f>(Table1345[[#This Row],[Index]]-B372)/B372</f>
        <v/>
      </c>
    </row>
    <row r="385">
      <c r="A385" s="17" t="n">
        <v>37803</v>
      </c>
      <c r="B385" s="58">
        <f>VLOOKUP(Table1345[[#This Row],[Date]],database!A:I,9,)</f>
        <v/>
      </c>
      <c r="C385" s="66">
        <f>B385/B384-1</f>
        <v/>
      </c>
      <c r="D385" s="66">
        <f>(Table1345[[#This Row],[Index]]-B373)/B373</f>
        <v/>
      </c>
    </row>
    <row r="386">
      <c r="A386" s="17" t="n">
        <v>37834</v>
      </c>
      <c r="B386" s="58">
        <f>VLOOKUP(Table1345[[#This Row],[Date]],database!A:I,9,)</f>
        <v/>
      </c>
      <c r="C386" s="66">
        <f>B386/B385-1</f>
        <v/>
      </c>
      <c r="D386" s="66">
        <f>(Table1345[[#This Row],[Index]]-B374)/B374</f>
        <v/>
      </c>
    </row>
    <row r="387">
      <c r="A387" s="17" t="n">
        <v>37865</v>
      </c>
      <c r="B387" s="58">
        <f>VLOOKUP(Table1345[[#This Row],[Date]],database!A:I,9,)</f>
        <v/>
      </c>
      <c r="C387" s="66">
        <f>B387/B386-1</f>
        <v/>
      </c>
      <c r="D387" s="66">
        <f>(Table1345[[#This Row],[Index]]-B375)/B375</f>
        <v/>
      </c>
    </row>
    <row r="388">
      <c r="A388" s="17" t="n">
        <v>37895</v>
      </c>
      <c r="B388" s="58">
        <f>VLOOKUP(Table1345[[#This Row],[Date]],database!A:I,9,)</f>
        <v/>
      </c>
      <c r="C388" s="66">
        <f>B388/B387-1</f>
        <v/>
      </c>
      <c r="D388" s="66">
        <f>(Table1345[[#This Row],[Index]]-B376)/B376</f>
        <v/>
      </c>
    </row>
    <row r="389">
      <c r="A389" s="17" t="n">
        <v>37926</v>
      </c>
      <c r="B389" s="58">
        <f>VLOOKUP(Table1345[[#This Row],[Date]],database!A:I,9,)</f>
        <v/>
      </c>
      <c r="C389" s="66">
        <f>B389/B388-1</f>
        <v/>
      </c>
      <c r="D389" s="66">
        <f>(Table1345[[#This Row],[Index]]-B377)/B377</f>
        <v/>
      </c>
    </row>
    <row r="390">
      <c r="A390" s="17" t="n">
        <v>37956</v>
      </c>
      <c r="B390" s="58">
        <f>VLOOKUP(Table1345[[#This Row],[Date]],database!A:I,9,)</f>
        <v/>
      </c>
      <c r="C390" s="66">
        <f>B390/B389-1</f>
        <v/>
      </c>
      <c r="D390" s="66">
        <f>(Table1345[[#This Row],[Index]]-B378)/B378</f>
        <v/>
      </c>
    </row>
    <row r="391">
      <c r="A391" s="17" t="n">
        <v>37987</v>
      </c>
      <c r="B391" s="58">
        <f>VLOOKUP(Table1345[[#This Row],[Date]],database!A:I,9,)</f>
        <v/>
      </c>
      <c r="C391" s="66">
        <f>B391/B390-1</f>
        <v/>
      </c>
      <c r="D391" s="66">
        <f>(Table1345[[#This Row],[Index]]-B379)/B379</f>
        <v/>
      </c>
    </row>
    <row r="392">
      <c r="A392" s="17" t="n">
        <v>38018</v>
      </c>
      <c r="B392" s="58">
        <f>VLOOKUP(Table1345[[#This Row],[Date]],database!A:I,9,)</f>
        <v/>
      </c>
      <c r="C392" s="66">
        <f>B392/B391-1</f>
        <v/>
      </c>
      <c r="D392" s="66">
        <f>(Table1345[[#This Row],[Index]]-B380)/B380</f>
        <v/>
      </c>
    </row>
    <row r="393">
      <c r="A393" s="17" t="n">
        <v>38047</v>
      </c>
      <c r="B393" s="58">
        <f>VLOOKUP(Table1345[[#This Row],[Date]],database!A:I,9,)</f>
        <v/>
      </c>
      <c r="C393" s="66">
        <f>B393/B392-1</f>
        <v/>
      </c>
      <c r="D393" s="66">
        <f>(Table1345[[#This Row],[Index]]-B381)/B381</f>
        <v/>
      </c>
    </row>
    <row r="394">
      <c r="A394" s="17" t="n">
        <v>38078</v>
      </c>
      <c r="B394" s="58">
        <f>VLOOKUP(Table1345[[#This Row],[Date]],database!A:I,9,)</f>
        <v/>
      </c>
      <c r="C394" s="66">
        <f>B394/B393-1</f>
        <v/>
      </c>
      <c r="D394" s="66">
        <f>(Table1345[[#This Row],[Index]]-B382)/B382</f>
        <v/>
      </c>
    </row>
    <row r="395">
      <c r="A395" s="17" t="n">
        <v>38108</v>
      </c>
      <c r="B395" s="58">
        <f>VLOOKUP(Table1345[[#This Row],[Date]],database!A:I,9,)</f>
        <v/>
      </c>
      <c r="C395" s="66">
        <f>B395/B394-1</f>
        <v/>
      </c>
      <c r="D395" s="66">
        <f>(Table1345[[#This Row],[Index]]-B383)/B383</f>
        <v/>
      </c>
    </row>
    <row r="396">
      <c r="A396" s="17" t="n">
        <v>38139</v>
      </c>
      <c r="B396" s="58">
        <f>VLOOKUP(Table1345[[#This Row],[Date]],database!A:I,9,)</f>
        <v/>
      </c>
      <c r="C396" s="66">
        <f>B396/B395-1</f>
        <v/>
      </c>
      <c r="D396" s="66">
        <f>(Table1345[[#This Row],[Index]]-B384)/B384</f>
        <v/>
      </c>
    </row>
    <row r="397">
      <c r="A397" s="17" t="n">
        <v>38169</v>
      </c>
      <c r="B397" s="58">
        <f>VLOOKUP(Table1345[[#This Row],[Date]],database!A:I,9,)</f>
        <v/>
      </c>
      <c r="C397" s="66">
        <f>B397/B396-1</f>
        <v/>
      </c>
      <c r="D397" s="66">
        <f>(Table1345[[#This Row],[Index]]-B385)/B385</f>
        <v/>
      </c>
    </row>
    <row r="398">
      <c r="A398" s="17" t="n">
        <v>38200</v>
      </c>
      <c r="B398" s="58">
        <f>VLOOKUP(Table1345[[#This Row],[Date]],database!A:I,9,)</f>
        <v/>
      </c>
      <c r="C398" s="66">
        <f>B398/B397-1</f>
        <v/>
      </c>
      <c r="D398" s="66">
        <f>(Table1345[[#This Row],[Index]]-B386)/B386</f>
        <v/>
      </c>
    </row>
    <row r="399">
      <c r="A399" s="17" t="n">
        <v>38231</v>
      </c>
      <c r="B399" s="58">
        <f>VLOOKUP(Table1345[[#This Row],[Date]],database!A:I,9,)</f>
        <v/>
      </c>
      <c r="C399" s="66">
        <f>B399/B398-1</f>
        <v/>
      </c>
      <c r="D399" s="66">
        <f>(Table1345[[#This Row],[Index]]-B387)/B387</f>
        <v/>
      </c>
    </row>
    <row r="400">
      <c r="A400" s="17" t="n">
        <v>38261</v>
      </c>
      <c r="B400" s="58">
        <f>VLOOKUP(Table1345[[#This Row],[Date]],database!A:I,9,)</f>
        <v/>
      </c>
      <c r="C400" s="66">
        <f>B400/B399-1</f>
        <v/>
      </c>
      <c r="D400" s="66">
        <f>(Table1345[[#This Row],[Index]]-B388)/B388</f>
        <v/>
      </c>
    </row>
    <row r="401">
      <c r="A401" s="17" t="n">
        <v>38292</v>
      </c>
      <c r="B401" s="58">
        <f>VLOOKUP(Table1345[[#This Row],[Date]],database!A:I,9,)</f>
        <v/>
      </c>
      <c r="C401" s="66">
        <f>B401/B400-1</f>
        <v/>
      </c>
      <c r="D401" s="66">
        <f>(Table1345[[#This Row],[Index]]-B389)/B389</f>
        <v/>
      </c>
    </row>
    <row r="402">
      <c r="A402" s="17" t="n">
        <v>38322</v>
      </c>
      <c r="B402" s="58">
        <f>VLOOKUP(Table1345[[#This Row],[Date]],database!A:I,9,)</f>
        <v/>
      </c>
      <c r="C402" s="66">
        <f>B402/B401-1</f>
        <v/>
      </c>
      <c r="D402" s="66">
        <f>(Table1345[[#This Row],[Index]]-B390)/B390</f>
        <v/>
      </c>
    </row>
    <row r="403">
      <c r="A403" s="17" t="n">
        <v>38353</v>
      </c>
      <c r="B403" s="58">
        <f>VLOOKUP(Table1345[[#This Row],[Date]],database!A:I,9,)</f>
        <v/>
      </c>
      <c r="C403" s="66">
        <f>B403/B402-1</f>
        <v/>
      </c>
      <c r="D403" s="66">
        <f>(Table1345[[#This Row],[Index]]-B391)/B391</f>
        <v/>
      </c>
    </row>
    <row r="404">
      <c r="A404" s="17" t="n">
        <v>38384</v>
      </c>
      <c r="B404" s="58">
        <f>VLOOKUP(Table1345[[#This Row],[Date]],database!A:I,9,)</f>
        <v/>
      </c>
      <c r="C404" s="66">
        <f>B404/B403-1</f>
        <v/>
      </c>
      <c r="D404" s="66">
        <f>(Table1345[[#This Row],[Index]]-B392)/B392</f>
        <v/>
      </c>
    </row>
    <row r="405">
      <c r="A405" s="17" t="n">
        <v>38412</v>
      </c>
      <c r="B405" s="58">
        <f>VLOOKUP(Table1345[[#This Row],[Date]],database!A:I,9,)</f>
        <v/>
      </c>
      <c r="C405" s="66">
        <f>B405/B404-1</f>
        <v/>
      </c>
      <c r="D405" s="66">
        <f>(Table1345[[#This Row],[Index]]-B393)/B393</f>
        <v/>
      </c>
    </row>
    <row r="406">
      <c r="A406" s="17" t="n">
        <v>38443</v>
      </c>
      <c r="B406" s="58">
        <f>VLOOKUP(Table1345[[#This Row],[Date]],database!A:I,9,)</f>
        <v/>
      </c>
      <c r="C406" s="66">
        <f>B406/B405-1</f>
        <v/>
      </c>
      <c r="D406" s="66">
        <f>(Table1345[[#This Row],[Index]]-B394)/B394</f>
        <v/>
      </c>
    </row>
    <row r="407">
      <c r="A407" s="17" t="n">
        <v>38473</v>
      </c>
      <c r="B407" s="58">
        <f>VLOOKUP(Table1345[[#This Row],[Date]],database!A:I,9,)</f>
        <v/>
      </c>
      <c r="C407" s="66">
        <f>B407/B406-1</f>
        <v/>
      </c>
      <c r="D407" s="66">
        <f>(Table1345[[#This Row],[Index]]-B395)/B395</f>
        <v/>
      </c>
    </row>
    <row r="408">
      <c r="A408" s="17" t="n">
        <v>38504</v>
      </c>
      <c r="B408" s="58">
        <f>VLOOKUP(Table1345[[#This Row],[Date]],database!A:I,9,)</f>
        <v/>
      </c>
      <c r="C408" s="66">
        <f>B408/B407-1</f>
        <v/>
      </c>
      <c r="D408" s="66">
        <f>(Table1345[[#This Row],[Index]]-B396)/B396</f>
        <v/>
      </c>
    </row>
    <row r="409">
      <c r="A409" s="17" t="n">
        <v>38534</v>
      </c>
      <c r="B409" s="58">
        <f>VLOOKUP(Table1345[[#This Row],[Date]],database!A:I,9,)</f>
        <v/>
      </c>
      <c r="C409" s="66">
        <f>B409/B408-1</f>
        <v/>
      </c>
      <c r="D409" s="66">
        <f>(Table1345[[#This Row],[Index]]-B397)/B397</f>
        <v/>
      </c>
    </row>
    <row r="410">
      <c r="A410" s="17" t="n">
        <v>38565</v>
      </c>
      <c r="B410" s="58">
        <f>VLOOKUP(Table1345[[#This Row],[Date]],database!A:I,9,)</f>
        <v/>
      </c>
      <c r="C410" s="66">
        <f>B410/B409-1</f>
        <v/>
      </c>
      <c r="D410" s="66">
        <f>(Table1345[[#This Row],[Index]]-B398)/B398</f>
        <v/>
      </c>
    </row>
    <row r="411">
      <c r="A411" s="17" t="n">
        <v>38596</v>
      </c>
      <c r="B411" s="58">
        <f>VLOOKUP(Table1345[[#This Row],[Date]],database!A:I,9,)</f>
        <v/>
      </c>
      <c r="C411" s="66">
        <f>B411/B410-1</f>
        <v/>
      </c>
      <c r="D411" s="66">
        <f>(Table1345[[#This Row],[Index]]-B399)/B399</f>
        <v/>
      </c>
    </row>
    <row r="412">
      <c r="A412" s="17" t="n">
        <v>38626</v>
      </c>
      <c r="B412" s="58">
        <f>VLOOKUP(Table1345[[#This Row],[Date]],database!A:I,9,)</f>
        <v/>
      </c>
      <c r="C412" s="66">
        <f>B412/B411-1</f>
        <v/>
      </c>
      <c r="D412" s="66">
        <f>(Table1345[[#This Row],[Index]]-B400)/B400</f>
        <v/>
      </c>
    </row>
    <row r="413">
      <c r="A413" s="17" t="n">
        <v>38657</v>
      </c>
      <c r="B413" s="58">
        <f>VLOOKUP(Table1345[[#This Row],[Date]],database!A:I,9,)</f>
        <v/>
      </c>
      <c r="C413" s="66">
        <f>B413/B412-1</f>
        <v/>
      </c>
      <c r="D413" s="66">
        <f>(Table1345[[#This Row],[Index]]-B401)/B401</f>
        <v/>
      </c>
    </row>
    <row r="414">
      <c r="A414" s="17" t="n">
        <v>38687</v>
      </c>
      <c r="B414" s="58">
        <f>VLOOKUP(Table1345[[#This Row],[Date]],database!A:I,9,)</f>
        <v/>
      </c>
      <c r="C414" s="66">
        <f>B414/B413-1</f>
        <v/>
      </c>
      <c r="D414" s="66">
        <f>(Table1345[[#This Row],[Index]]-B402)/B402</f>
        <v/>
      </c>
    </row>
    <row r="415">
      <c r="A415" s="17" t="n">
        <v>38718</v>
      </c>
      <c r="B415" s="58">
        <f>VLOOKUP(Table1345[[#This Row],[Date]],database!A:I,9,)</f>
        <v/>
      </c>
      <c r="C415" s="66">
        <f>B415/B414-1</f>
        <v/>
      </c>
      <c r="D415" s="66">
        <f>(Table1345[[#This Row],[Index]]-B403)/B403</f>
        <v/>
      </c>
    </row>
    <row r="416">
      <c r="A416" s="17" t="n">
        <v>38749</v>
      </c>
      <c r="B416" s="58">
        <f>VLOOKUP(Table1345[[#This Row],[Date]],database!A:I,9,)</f>
        <v/>
      </c>
      <c r="C416" s="66">
        <f>B416/B415-1</f>
        <v/>
      </c>
      <c r="D416" s="66">
        <f>(Table1345[[#This Row],[Index]]-B404)/B404</f>
        <v/>
      </c>
    </row>
    <row r="417">
      <c r="A417" s="17" t="n">
        <v>38777</v>
      </c>
      <c r="B417" s="58">
        <f>VLOOKUP(Table1345[[#This Row],[Date]],database!A:I,9,)</f>
        <v/>
      </c>
      <c r="C417" s="66">
        <f>B417/B416-1</f>
        <v/>
      </c>
      <c r="D417" s="66">
        <f>(Table1345[[#This Row],[Index]]-B405)/B405</f>
        <v/>
      </c>
    </row>
    <row r="418">
      <c r="A418" s="17" t="n">
        <v>38808</v>
      </c>
      <c r="B418" s="58">
        <f>VLOOKUP(Table1345[[#This Row],[Date]],database!A:I,9,)</f>
        <v/>
      </c>
      <c r="C418" s="66">
        <f>B418/B417-1</f>
        <v/>
      </c>
      <c r="D418" s="66">
        <f>(Table1345[[#This Row],[Index]]-B406)/B406</f>
        <v/>
      </c>
    </row>
    <row r="419">
      <c r="A419" s="17" t="n">
        <v>38838</v>
      </c>
      <c r="B419" s="58">
        <f>VLOOKUP(Table1345[[#This Row],[Date]],database!A:I,9,)</f>
        <v/>
      </c>
      <c r="C419" s="66">
        <f>B419/B418-1</f>
        <v/>
      </c>
      <c r="D419" s="66">
        <f>(Table1345[[#This Row],[Index]]-B407)/B407</f>
        <v/>
      </c>
    </row>
    <row r="420">
      <c r="A420" s="17" t="n">
        <v>38869</v>
      </c>
      <c r="B420" s="58">
        <f>VLOOKUP(Table1345[[#This Row],[Date]],database!A:I,9,)</f>
        <v/>
      </c>
      <c r="C420" s="66">
        <f>B420/B419-1</f>
        <v/>
      </c>
      <c r="D420" s="66">
        <f>(Table1345[[#This Row],[Index]]-B408)/B408</f>
        <v/>
      </c>
    </row>
    <row r="421">
      <c r="A421" s="17" t="n">
        <v>38899</v>
      </c>
      <c r="B421" s="58">
        <f>VLOOKUP(Table1345[[#This Row],[Date]],database!A:I,9,)</f>
        <v/>
      </c>
      <c r="C421" s="66">
        <f>B421/B420-1</f>
        <v/>
      </c>
      <c r="D421" s="66">
        <f>(Table1345[[#This Row],[Index]]-B409)/B409</f>
        <v/>
      </c>
    </row>
    <row r="422">
      <c r="A422" s="17" t="n">
        <v>38930</v>
      </c>
      <c r="B422" s="58">
        <f>VLOOKUP(Table1345[[#This Row],[Date]],database!A:I,9,)</f>
        <v/>
      </c>
      <c r="C422" s="66">
        <f>B422/B421-1</f>
        <v/>
      </c>
      <c r="D422" s="66">
        <f>(Table1345[[#This Row],[Index]]-B410)/B410</f>
        <v/>
      </c>
    </row>
    <row r="423">
      <c r="A423" s="17" t="n">
        <v>38961</v>
      </c>
      <c r="B423" s="58">
        <f>VLOOKUP(Table1345[[#This Row],[Date]],database!A:I,9,)</f>
        <v/>
      </c>
      <c r="C423" s="66">
        <f>B423/B422-1</f>
        <v/>
      </c>
      <c r="D423" s="66">
        <f>(Table1345[[#This Row],[Index]]-B411)/B411</f>
        <v/>
      </c>
    </row>
    <row r="424">
      <c r="A424" s="17" t="n">
        <v>38991</v>
      </c>
      <c r="B424" s="58">
        <f>VLOOKUP(Table1345[[#This Row],[Date]],database!A:I,9,)</f>
        <v/>
      </c>
      <c r="C424" s="66">
        <f>B424/B423-1</f>
        <v/>
      </c>
      <c r="D424" s="66">
        <f>(Table1345[[#This Row],[Index]]-B412)/B412</f>
        <v/>
      </c>
    </row>
    <row r="425">
      <c r="A425" s="17" t="n">
        <v>39022</v>
      </c>
      <c r="B425" s="58">
        <f>VLOOKUP(Table1345[[#This Row],[Date]],database!A:I,9,)</f>
        <v/>
      </c>
      <c r="C425" s="66">
        <f>B425/B424-1</f>
        <v/>
      </c>
      <c r="D425" s="66">
        <f>(Table1345[[#This Row],[Index]]-B413)/B413</f>
        <v/>
      </c>
    </row>
    <row r="426">
      <c r="A426" s="17" t="n">
        <v>39052</v>
      </c>
      <c r="B426" s="58">
        <f>VLOOKUP(Table1345[[#This Row],[Date]],database!A:I,9,)</f>
        <v/>
      </c>
      <c r="C426" s="66">
        <f>B426/B425-1</f>
        <v/>
      </c>
      <c r="D426" s="66">
        <f>(Table1345[[#This Row],[Index]]-B414)/B414</f>
        <v/>
      </c>
    </row>
    <row r="427">
      <c r="A427" s="17" t="n">
        <v>39083</v>
      </c>
      <c r="B427" s="58">
        <f>VLOOKUP(Table1345[[#This Row],[Date]],database!A:I,9,)</f>
        <v/>
      </c>
      <c r="C427" s="66">
        <f>B427/B426-1</f>
        <v/>
      </c>
      <c r="D427" s="66">
        <f>(Table1345[[#This Row],[Index]]-B415)/B415</f>
        <v/>
      </c>
    </row>
    <row r="428">
      <c r="A428" s="17" t="n">
        <v>39114</v>
      </c>
      <c r="B428" s="58">
        <f>VLOOKUP(Table1345[[#This Row],[Date]],database!A:I,9,)</f>
        <v/>
      </c>
      <c r="C428" s="66">
        <f>B428/B427-1</f>
        <v/>
      </c>
      <c r="D428" s="66">
        <f>(Table1345[[#This Row],[Index]]-B416)/B416</f>
        <v/>
      </c>
    </row>
    <row r="429">
      <c r="A429" s="17" t="n">
        <v>39142</v>
      </c>
      <c r="B429" s="58">
        <f>VLOOKUP(Table1345[[#This Row],[Date]],database!A:I,9,)</f>
        <v/>
      </c>
      <c r="C429" s="66">
        <f>B429/B428-1</f>
        <v/>
      </c>
      <c r="D429" s="66">
        <f>(Table1345[[#This Row],[Index]]-B417)/B417</f>
        <v/>
      </c>
    </row>
    <row r="430">
      <c r="A430" s="17" t="n">
        <v>39173</v>
      </c>
      <c r="B430" s="58">
        <f>VLOOKUP(Table1345[[#This Row],[Date]],database!A:I,9,)</f>
        <v/>
      </c>
      <c r="C430" s="66">
        <f>B430/B429-1</f>
        <v/>
      </c>
      <c r="D430" s="66">
        <f>(Table1345[[#This Row],[Index]]-B418)/B418</f>
        <v/>
      </c>
    </row>
    <row r="431">
      <c r="A431" s="17" t="n">
        <v>39203</v>
      </c>
      <c r="B431" s="58">
        <f>VLOOKUP(Table1345[[#This Row],[Date]],database!A:I,9,)</f>
        <v/>
      </c>
      <c r="C431" s="66">
        <f>B431/B430-1</f>
        <v/>
      </c>
      <c r="D431" s="66">
        <f>(Table1345[[#This Row],[Index]]-B419)/B419</f>
        <v/>
      </c>
    </row>
    <row r="432">
      <c r="A432" s="17" t="n">
        <v>39234</v>
      </c>
      <c r="B432" s="58">
        <f>VLOOKUP(Table1345[[#This Row],[Date]],database!A:I,9,)</f>
        <v/>
      </c>
      <c r="C432" s="66">
        <f>B432/B431-1</f>
        <v/>
      </c>
      <c r="D432" s="66">
        <f>(Table1345[[#This Row],[Index]]-B420)/B420</f>
        <v/>
      </c>
    </row>
    <row r="433">
      <c r="A433" s="17" t="n">
        <v>39264</v>
      </c>
      <c r="B433" s="58">
        <f>VLOOKUP(Table1345[[#This Row],[Date]],database!A:I,9,)</f>
        <v/>
      </c>
      <c r="C433" s="66">
        <f>B433/B432-1</f>
        <v/>
      </c>
      <c r="D433" s="66">
        <f>(Table1345[[#This Row],[Index]]-B421)/B421</f>
        <v/>
      </c>
    </row>
    <row r="434">
      <c r="A434" s="17" t="n">
        <v>39295</v>
      </c>
      <c r="B434" s="58">
        <f>VLOOKUP(Table1345[[#This Row],[Date]],database!A:I,9,)</f>
        <v/>
      </c>
      <c r="C434" s="66">
        <f>B434/B433-1</f>
        <v/>
      </c>
      <c r="D434" s="66">
        <f>(Table1345[[#This Row],[Index]]-B422)/B422</f>
        <v/>
      </c>
    </row>
    <row r="435">
      <c r="A435" s="17" t="n">
        <v>39326</v>
      </c>
      <c r="B435" s="58">
        <f>VLOOKUP(Table1345[[#This Row],[Date]],database!A:I,9,)</f>
        <v/>
      </c>
      <c r="C435" s="66">
        <f>B435/B434-1</f>
        <v/>
      </c>
      <c r="D435" s="66">
        <f>(Table1345[[#This Row],[Index]]-B423)/B423</f>
        <v/>
      </c>
    </row>
    <row r="436">
      <c r="A436" s="17" t="n">
        <v>39356</v>
      </c>
      <c r="B436" s="58">
        <f>VLOOKUP(Table1345[[#This Row],[Date]],database!A:I,9,)</f>
        <v/>
      </c>
      <c r="C436" s="66">
        <f>B436/B435-1</f>
        <v/>
      </c>
      <c r="D436" s="66">
        <f>(Table1345[[#This Row],[Index]]-B424)/B424</f>
        <v/>
      </c>
    </row>
    <row r="437">
      <c r="A437" s="17" t="n">
        <v>39387</v>
      </c>
      <c r="B437" s="58">
        <f>VLOOKUP(Table1345[[#This Row],[Date]],database!A:I,9,)</f>
        <v/>
      </c>
      <c r="C437" s="66">
        <f>B437/B436-1</f>
        <v/>
      </c>
      <c r="D437" s="66">
        <f>(Table1345[[#This Row],[Index]]-B425)/B425</f>
        <v/>
      </c>
    </row>
    <row r="438">
      <c r="A438" s="17" t="n">
        <v>39417</v>
      </c>
      <c r="B438" s="58">
        <f>VLOOKUP(Table1345[[#This Row],[Date]],database!A:I,9,)</f>
        <v/>
      </c>
      <c r="C438" s="66">
        <f>B438/B437-1</f>
        <v/>
      </c>
      <c r="D438" s="66">
        <f>(Table1345[[#This Row],[Index]]-B426)/B426</f>
        <v/>
      </c>
    </row>
    <row r="439">
      <c r="A439" s="17" t="n">
        <v>39448</v>
      </c>
      <c r="B439" s="58">
        <f>VLOOKUP(Table1345[[#This Row],[Date]],database!A:I,9,)</f>
        <v/>
      </c>
      <c r="C439" s="66">
        <f>B439/B438-1</f>
        <v/>
      </c>
      <c r="D439" s="66">
        <f>(Table1345[[#This Row],[Index]]-B427)/B427</f>
        <v/>
      </c>
    </row>
    <row r="440">
      <c r="A440" s="17" t="n">
        <v>39479</v>
      </c>
      <c r="B440" s="58">
        <f>VLOOKUP(Table1345[[#This Row],[Date]],database!A:I,9,)</f>
        <v/>
      </c>
      <c r="C440" s="66">
        <f>B440/B439-1</f>
        <v/>
      </c>
      <c r="D440" s="66">
        <f>(Table1345[[#This Row],[Index]]-B428)/B428</f>
        <v/>
      </c>
    </row>
    <row r="441">
      <c r="A441" s="17" t="n">
        <v>39508</v>
      </c>
      <c r="B441" s="58">
        <f>VLOOKUP(Table1345[[#This Row],[Date]],database!A:I,9,)</f>
        <v/>
      </c>
      <c r="C441" s="66">
        <f>B441/B440-1</f>
        <v/>
      </c>
      <c r="D441" s="66">
        <f>(Table1345[[#This Row],[Index]]-B429)/B429</f>
        <v/>
      </c>
    </row>
    <row r="442">
      <c r="A442" s="17" t="n">
        <v>39539</v>
      </c>
      <c r="B442" s="58">
        <f>VLOOKUP(Table1345[[#This Row],[Date]],database!A:I,9,)</f>
        <v/>
      </c>
      <c r="C442" s="66">
        <f>B442/B441-1</f>
        <v/>
      </c>
      <c r="D442" s="66">
        <f>(Table1345[[#This Row],[Index]]-B430)/B430</f>
        <v/>
      </c>
    </row>
    <row r="443">
      <c r="A443" s="17" t="n">
        <v>39569</v>
      </c>
      <c r="B443" s="58">
        <f>VLOOKUP(Table1345[[#This Row],[Date]],database!A:I,9,)</f>
        <v/>
      </c>
      <c r="C443" s="66">
        <f>B443/B442-1</f>
        <v/>
      </c>
      <c r="D443" s="66">
        <f>(Table1345[[#This Row],[Index]]-B431)/B431</f>
        <v/>
      </c>
    </row>
    <row r="444">
      <c r="A444" s="17" t="n">
        <v>39600</v>
      </c>
      <c r="B444" s="58">
        <f>VLOOKUP(Table1345[[#This Row],[Date]],database!A:I,9,)</f>
        <v/>
      </c>
      <c r="C444" s="66">
        <f>B444/B443-1</f>
        <v/>
      </c>
      <c r="D444" s="66">
        <f>(Table1345[[#This Row],[Index]]-B432)/B432</f>
        <v/>
      </c>
    </row>
    <row r="445">
      <c r="A445" s="17" t="n">
        <v>39630</v>
      </c>
      <c r="B445" s="58">
        <f>VLOOKUP(Table1345[[#This Row],[Date]],database!A:I,9,)</f>
        <v/>
      </c>
      <c r="C445" s="66">
        <f>B445/B444-1</f>
        <v/>
      </c>
      <c r="D445" s="66">
        <f>(Table1345[[#This Row],[Index]]-B433)/B433</f>
        <v/>
      </c>
    </row>
    <row r="446">
      <c r="A446" s="17" t="n">
        <v>39661</v>
      </c>
      <c r="B446" s="58">
        <f>VLOOKUP(Table1345[[#This Row],[Date]],database!A:I,9,)</f>
        <v/>
      </c>
      <c r="C446" s="66">
        <f>B446/B445-1</f>
        <v/>
      </c>
      <c r="D446" s="66">
        <f>(Table1345[[#This Row],[Index]]-B434)/B434</f>
        <v/>
      </c>
    </row>
    <row r="447">
      <c r="A447" s="17" t="n">
        <v>39692</v>
      </c>
      <c r="B447" s="58">
        <f>VLOOKUP(Table1345[[#This Row],[Date]],database!A:I,9,)</f>
        <v/>
      </c>
      <c r="C447" s="66">
        <f>B447/B446-1</f>
        <v/>
      </c>
      <c r="D447" s="66">
        <f>(Table1345[[#This Row],[Index]]-B435)/B435</f>
        <v/>
      </c>
    </row>
    <row r="448">
      <c r="A448" s="17" t="n">
        <v>39722</v>
      </c>
      <c r="B448" s="58">
        <f>VLOOKUP(Table1345[[#This Row],[Date]],database!A:I,9,)</f>
        <v/>
      </c>
      <c r="C448" s="66">
        <f>B448/B447-1</f>
        <v/>
      </c>
      <c r="D448" s="66">
        <f>(Table1345[[#This Row],[Index]]-B436)/B436</f>
        <v/>
      </c>
    </row>
    <row r="449">
      <c r="A449" s="17" t="n">
        <v>39753</v>
      </c>
      <c r="B449" s="58">
        <f>VLOOKUP(Table1345[[#This Row],[Date]],database!A:I,9,)</f>
        <v/>
      </c>
      <c r="C449" s="66">
        <f>B449/B448-1</f>
        <v/>
      </c>
      <c r="D449" s="66">
        <f>(Table1345[[#This Row],[Index]]-B437)/B437</f>
        <v/>
      </c>
    </row>
    <row r="450">
      <c r="A450" s="17" t="n">
        <v>39783</v>
      </c>
      <c r="B450" s="58">
        <f>VLOOKUP(Table1345[[#This Row],[Date]],database!A:I,9,)</f>
        <v/>
      </c>
      <c r="C450" s="66">
        <f>B450/B449-1</f>
        <v/>
      </c>
      <c r="D450" s="66">
        <f>(Table1345[[#This Row],[Index]]-B438)/B438</f>
        <v/>
      </c>
    </row>
    <row r="451">
      <c r="A451" s="17" t="n">
        <v>39814</v>
      </c>
      <c r="B451" s="58">
        <f>VLOOKUP(Table1345[[#This Row],[Date]],database!A:I,9,)</f>
        <v/>
      </c>
      <c r="C451" s="66">
        <f>B451/B450-1</f>
        <v/>
      </c>
      <c r="D451" s="66">
        <f>(Table1345[[#This Row],[Index]]-B439)/B439</f>
        <v/>
      </c>
    </row>
    <row r="452">
      <c r="A452" s="17" t="n">
        <v>39845</v>
      </c>
      <c r="B452" s="58">
        <f>VLOOKUP(Table1345[[#This Row],[Date]],database!A:I,9,)</f>
        <v/>
      </c>
      <c r="C452" s="66">
        <f>B452/B451-1</f>
        <v/>
      </c>
      <c r="D452" s="66">
        <f>(Table1345[[#This Row],[Index]]-B440)/B440</f>
        <v/>
      </c>
    </row>
    <row r="453">
      <c r="A453" s="17" t="n">
        <v>39873</v>
      </c>
      <c r="B453" s="58">
        <f>VLOOKUP(Table1345[[#This Row],[Date]],database!A:I,9,)</f>
        <v/>
      </c>
      <c r="C453" s="66">
        <f>B453/B452-1</f>
        <v/>
      </c>
      <c r="D453" s="66">
        <f>(Table1345[[#This Row],[Index]]-B441)/B441</f>
        <v/>
      </c>
    </row>
    <row r="454">
      <c r="A454" s="17" t="n">
        <v>39904</v>
      </c>
      <c r="B454" s="58">
        <f>VLOOKUP(Table1345[[#This Row],[Date]],database!A:I,9,)</f>
        <v/>
      </c>
      <c r="C454" s="66">
        <f>B454/B453-1</f>
        <v/>
      </c>
      <c r="D454" s="66">
        <f>(Table1345[[#This Row],[Index]]-B442)/B442</f>
        <v/>
      </c>
    </row>
    <row r="455">
      <c r="A455" s="17" t="n">
        <v>39934</v>
      </c>
      <c r="B455" s="58">
        <f>VLOOKUP(Table1345[[#This Row],[Date]],database!A:I,9,)</f>
        <v/>
      </c>
      <c r="C455" s="66">
        <f>B455/B454-1</f>
        <v/>
      </c>
      <c r="D455" s="66">
        <f>(Table1345[[#This Row],[Index]]-B443)/B443</f>
        <v/>
      </c>
    </row>
    <row r="456">
      <c r="A456" s="17" t="n">
        <v>39965</v>
      </c>
      <c r="B456" s="58">
        <f>VLOOKUP(Table1345[[#This Row],[Date]],database!A:I,9,)</f>
        <v/>
      </c>
      <c r="C456" s="66">
        <f>B456/B455-1</f>
        <v/>
      </c>
      <c r="D456" s="66">
        <f>(Table1345[[#This Row],[Index]]-B444)/B444</f>
        <v/>
      </c>
    </row>
    <row r="457">
      <c r="A457" s="17" t="n">
        <v>39995</v>
      </c>
      <c r="B457" s="58">
        <f>VLOOKUP(Table1345[[#This Row],[Date]],database!A:I,9,)</f>
        <v/>
      </c>
      <c r="C457" s="66">
        <f>B457/B456-1</f>
        <v/>
      </c>
      <c r="D457" s="66">
        <f>(Table1345[[#This Row],[Index]]-B445)/B445</f>
        <v/>
      </c>
    </row>
    <row r="458">
      <c r="A458" s="17" t="n">
        <v>40026</v>
      </c>
      <c r="B458" s="58">
        <f>VLOOKUP(Table1345[[#This Row],[Date]],database!A:I,9,)</f>
        <v/>
      </c>
      <c r="C458" s="66">
        <f>B458/B457-1</f>
        <v/>
      </c>
      <c r="D458" s="66">
        <f>(Table1345[[#This Row],[Index]]-B446)/B446</f>
        <v/>
      </c>
    </row>
    <row r="459">
      <c r="A459" s="17" t="n">
        <v>40057</v>
      </c>
      <c r="B459" s="58">
        <f>VLOOKUP(Table1345[[#This Row],[Date]],database!A:I,9,)</f>
        <v/>
      </c>
      <c r="C459" s="66">
        <f>B459/B458-1</f>
        <v/>
      </c>
      <c r="D459" s="66">
        <f>(Table1345[[#This Row],[Index]]-B447)/B447</f>
        <v/>
      </c>
    </row>
    <row r="460">
      <c r="A460" s="17" t="n">
        <v>40087</v>
      </c>
      <c r="B460" s="58">
        <f>VLOOKUP(Table1345[[#This Row],[Date]],database!A:I,9,)</f>
        <v/>
      </c>
      <c r="C460" s="66">
        <f>B460/B459-1</f>
        <v/>
      </c>
      <c r="D460" s="66">
        <f>(Table1345[[#This Row],[Index]]-B448)/B448</f>
        <v/>
      </c>
    </row>
    <row r="461">
      <c r="A461" s="17" t="n">
        <v>40118</v>
      </c>
      <c r="B461" s="58">
        <f>VLOOKUP(Table1345[[#This Row],[Date]],database!A:I,9,)</f>
        <v/>
      </c>
      <c r="C461" s="66">
        <f>B461/B460-1</f>
        <v/>
      </c>
      <c r="D461" s="66">
        <f>(Table1345[[#This Row],[Index]]-B449)/B449</f>
        <v/>
      </c>
    </row>
    <row r="462">
      <c r="A462" s="17" t="n">
        <v>40148</v>
      </c>
      <c r="B462" s="58">
        <f>VLOOKUP(Table1345[[#This Row],[Date]],database!A:I,9,)</f>
        <v/>
      </c>
      <c r="C462" s="66">
        <f>B462/B461-1</f>
        <v/>
      </c>
      <c r="D462" s="66">
        <f>(Table1345[[#This Row],[Index]]-B450)/B450</f>
        <v/>
      </c>
    </row>
    <row r="463">
      <c r="A463" s="17" t="n">
        <v>40179</v>
      </c>
      <c r="B463" s="58">
        <f>VLOOKUP(Table1345[[#This Row],[Date]],database!A:I,9,)</f>
        <v/>
      </c>
      <c r="C463" s="66">
        <f>B463/B462-1</f>
        <v/>
      </c>
      <c r="D463" s="66">
        <f>(Table1345[[#This Row],[Index]]-B451)/B451</f>
        <v/>
      </c>
    </row>
    <row r="464">
      <c r="A464" s="17" t="n">
        <v>40210</v>
      </c>
      <c r="B464" s="58">
        <f>VLOOKUP(Table1345[[#This Row],[Date]],database!A:I,9,)</f>
        <v/>
      </c>
      <c r="C464" s="66">
        <f>B464/B463-1</f>
        <v/>
      </c>
      <c r="D464" s="66">
        <f>(Table1345[[#This Row],[Index]]-B452)/B452</f>
        <v/>
      </c>
    </row>
    <row r="465">
      <c r="A465" s="17" t="n">
        <v>40238</v>
      </c>
      <c r="B465" s="58">
        <f>VLOOKUP(Table1345[[#This Row],[Date]],database!A:I,9,)</f>
        <v/>
      </c>
      <c r="C465" s="66">
        <f>B465/B464-1</f>
        <v/>
      </c>
      <c r="D465" s="66">
        <f>(Table1345[[#This Row],[Index]]-B453)/B453</f>
        <v/>
      </c>
    </row>
    <row r="466">
      <c r="A466" s="17" t="n">
        <v>40269</v>
      </c>
      <c r="B466" s="58">
        <f>VLOOKUP(Table1345[[#This Row],[Date]],database!A:I,9,)</f>
        <v/>
      </c>
      <c r="C466" s="66">
        <f>B466/B465-1</f>
        <v/>
      </c>
      <c r="D466" s="66">
        <f>(Table1345[[#This Row],[Index]]-B454)/B454</f>
        <v/>
      </c>
    </row>
    <row r="467">
      <c r="A467" s="17" t="n">
        <v>40299</v>
      </c>
      <c r="B467" s="58">
        <f>VLOOKUP(Table1345[[#This Row],[Date]],database!A:I,9,)</f>
        <v/>
      </c>
      <c r="C467" s="66">
        <f>B467/B466-1</f>
        <v/>
      </c>
      <c r="D467" s="66">
        <f>(Table1345[[#This Row],[Index]]-B455)/B455</f>
        <v/>
      </c>
    </row>
    <row r="468">
      <c r="A468" s="17" t="n">
        <v>40330</v>
      </c>
      <c r="B468" s="58">
        <f>VLOOKUP(Table1345[[#This Row],[Date]],database!A:I,9,)</f>
        <v/>
      </c>
      <c r="C468" s="66">
        <f>B468/B467-1</f>
        <v/>
      </c>
      <c r="D468" s="66">
        <f>(Table1345[[#This Row],[Index]]-B456)/B456</f>
        <v/>
      </c>
    </row>
    <row r="469">
      <c r="A469" s="17" t="n">
        <v>40360</v>
      </c>
      <c r="B469" s="58">
        <f>VLOOKUP(Table1345[[#This Row],[Date]],database!A:I,9,)</f>
        <v/>
      </c>
      <c r="C469" s="66">
        <f>B469/B468-1</f>
        <v/>
      </c>
      <c r="D469" s="66">
        <f>(Table1345[[#This Row],[Index]]-B457)/B457</f>
        <v/>
      </c>
    </row>
    <row r="470">
      <c r="A470" s="17" t="n">
        <v>40391</v>
      </c>
      <c r="B470" s="58">
        <f>VLOOKUP(Table1345[[#This Row],[Date]],database!A:I,9,)</f>
        <v/>
      </c>
      <c r="C470" s="66">
        <f>B470/B469-1</f>
        <v/>
      </c>
      <c r="D470" s="66">
        <f>(Table1345[[#This Row],[Index]]-B458)/B458</f>
        <v/>
      </c>
    </row>
    <row r="471">
      <c r="A471" s="17" t="n">
        <v>40422</v>
      </c>
      <c r="B471" s="58">
        <f>VLOOKUP(Table1345[[#This Row],[Date]],database!A:I,9,)</f>
        <v/>
      </c>
      <c r="C471" s="66">
        <f>B471/B470-1</f>
        <v/>
      </c>
      <c r="D471" s="66">
        <f>(Table1345[[#This Row],[Index]]-B459)/B459</f>
        <v/>
      </c>
    </row>
    <row r="472">
      <c r="A472" s="17" t="n">
        <v>40452</v>
      </c>
      <c r="B472" s="58">
        <f>VLOOKUP(Table1345[[#This Row],[Date]],database!A:I,9,)</f>
        <v/>
      </c>
      <c r="C472" s="66">
        <f>B472/B471-1</f>
        <v/>
      </c>
      <c r="D472" s="66">
        <f>(Table1345[[#This Row],[Index]]-B460)/B460</f>
        <v/>
      </c>
    </row>
    <row r="473">
      <c r="A473" s="17" t="n">
        <v>40483</v>
      </c>
      <c r="B473" s="58">
        <f>VLOOKUP(Table1345[[#This Row],[Date]],database!A:I,9,)</f>
        <v/>
      </c>
      <c r="C473" s="66">
        <f>B473/B472-1</f>
        <v/>
      </c>
      <c r="D473" s="66">
        <f>(Table1345[[#This Row],[Index]]-B461)/B461</f>
        <v/>
      </c>
    </row>
    <row r="474">
      <c r="A474" s="17" t="n">
        <v>40513</v>
      </c>
      <c r="B474" s="58">
        <f>VLOOKUP(Table1345[[#This Row],[Date]],database!A:I,9,)</f>
        <v/>
      </c>
      <c r="C474" s="66">
        <f>B474/B473-1</f>
        <v/>
      </c>
      <c r="D474" s="66">
        <f>(Table1345[[#This Row],[Index]]-B462)/B462</f>
        <v/>
      </c>
    </row>
    <row r="475">
      <c r="A475" s="17" t="n">
        <v>40544</v>
      </c>
      <c r="B475" s="58">
        <f>VLOOKUP(Table1345[[#This Row],[Date]],database!A:I,9,)</f>
        <v/>
      </c>
      <c r="C475" s="66">
        <f>B475/B474-1</f>
        <v/>
      </c>
      <c r="D475" s="66">
        <f>(Table1345[[#This Row],[Index]]-B463)/B463</f>
        <v/>
      </c>
    </row>
    <row r="476">
      <c r="A476" s="17" t="n">
        <v>40575</v>
      </c>
      <c r="B476" s="58">
        <f>VLOOKUP(Table1345[[#This Row],[Date]],database!A:I,9,)</f>
        <v/>
      </c>
      <c r="C476" s="66">
        <f>B476/B475-1</f>
        <v/>
      </c>
      <c r="D476" s="66">
        <f>(Table1345[[#This Row],[Index]]-B464)/B464</f>
        <v/>
      </c>
    </row>
    <row r="477">
      <c r="A477" s="17" t="n">
        <v>40603</v>
      </c>
      <c r="B477" s="58">
        <f>VLOOKUP(Table1345[[#This Row],[Date]],database!A:I,9,)</f>
        <v/>
      </c>
      <c r="C477" s="66">
        <f>B477/B476-1</f>
        <v/>
      </c>
      <c r="D477" s="66">
        <f>(Table1345[[#This Row],[Index]]-B465)/B465</f>
        <v/>
      </c>
    </row>
    <row r="478">
      <c r="A478" s="17" t="n">
        <v>40634</v>
      </c>
      <c r="B478" s="58">
        <f>VLOOKUP(Table1345[[#This Row],[Date]],database!A:I,9,)</f>
        <v/>
      </c>
      <c r="C478" s="67">
        <f>B478/B477-1</f>
        <v/>
      </c>
      <c r="D478" s="66">
        <f>(Table1345[[#This Row],[Index]]-B466)/B466</f>
        <v/>
      </c>
    </row>
    <row r="479">
      <c r="A479" s="17" t="n">
        <v>40664</v>
      </c>
      <c r="B479" s="58">
        <f>VLOOKUP(Table1345[[#This Row],[Date]],database!A:I,9,)</f>
        <v/>
      </c>
      <c r="C479" s="66">
        <f>B479/B478-1</f>
        <v/>
      </c>
      <c r="D479" s="66">
        <f>(Table1345[[#This Row],[Index]]-B467)/B467</f>
        <v/>
      </c>
    </row>
    <row r="480">
      <c r="A480" s="17" t="n">
        <v>40695</v>
      </c>
      <c r="B480" s="58">
        <f>VLOOKUP(Table1345[[#This Row],[Date]],database!A:I,9,)</f>
        <v/>
      </c>
      <c r="C480" s="66">
        <f>B480/B479-1</f>
        <v/>
      </c>
      <c r="D480" s="66">
        <f>(Table1345[[#This Row],[Index]]-B468)/B468</f>
        <v/>
      </c>
    </row>
    <row r="481">
      <c r="A481" s="17" t="n">
        <v>40725</v>
      </c>
      <c r="B481" s="58">
        <f>VLOOKUP(Table1345[[#This Row],[Date]],database!A:I,9,)</f>
        <v/>
      </c>
      <c r="C481" s="66">
        <f>B481/B480-1</f>
        <v/>
      </c>
      <c r="D481" s="66">
        <f>(Table1345[[#This Row],[Index]]-B469)/B469</f>
        <v/>
      </c>
    </row>
    <row r="482">
      <c r="A482" s="17" t="n">
        <v>40756</v>
      </c>
      <c r="B482" s="58">
        <f>VLOOKUP(Table1345[[#This Row],[Date]],database!A:I,9,)</f>
        <v/>
      </c>
      <c r="C482" s="66">
        <f>B482/B481-1</f>
        <v/>
      </c>
      <c r="D482" s="66">
        <f>(Table1345[[#This Row],[Index]]-B470)/B470</f>
        <v/>
      </c>
    </row>
    <row r="483">
      <c r="A483" s="17" t="n">
        <v>40787</v>
      </c>
      <c r="B483" s="58">
        <f>VLOOKUP(Table1345[[#This Row],[Date]],database!A:I,9,)</f>
        <v/>
      </c>
      <c r="C483" s="66">
        <f>B483/B482-1</f>
        <v/>
      </c>
      <c r="D483" s="66">
        <f>(Table1345[[#This Row],[Index]]-B471)/B471</f>
        <v/>
      </c>
    </row>
    <row r="484">
      <c r="A484" s="17" t="n">
        <v>40817</v>
      </c>
      <c r="B484" s="58">
        <f>VLOOKUP(Table1345[[#This Row],[Date]],database!A:I,9,)</f>
        <v/>
      </c>
      <c r="C484" s="66">
        <f>B484/B483-1</f>
        <v/>
      </c>
      <c r="D484" s="66">
        <f>(Table1345[[#This Row],[Index]]-B472)/B472</f>
        <v/>
      </c>
    </row>
    <row r="485">
      <c r="A485" s="17" t="n">
        <v>40848</v>
      </c>
      <c r="B485" s="58">
        <f>VLOOKUP(Table1345[[#This Row],[Date]],database!A:I,9,)</f>
        <v/>
      </c>
      <c r="C485" s="66">
        <f>B485/B484-1</f>
        <v/>
      </c>
      <c r="D485" s="66">
        <f>(Table1345[[#This Row],[Index]]-B473)/B473</f>
        <v/>
      </c>
    </row>
    <row r="486">
      <c r="A486" s="17" t="n">
        <v>40878</v>
      </c>
      <c r="B486" s="58">
        <f>VLOOKUP(Table1345[[#This Row],[Date]],database!A:I,9,)</f>
        <v/>
      </c>
      <c r="C486" s="66">
        <f>B486/B485-1</f>
        <v/>
      </c>
      <c r="D486" s="66">
        <f>(Table1345[[#This Row],[Index]]-B474)/B474</f>
        <v/>
      </c>
    </row>
    <row r="487">
      <c r="A487" s="17" t="n">
        <v>40909</v>
      </c>
      <c r="B487" s="58">
        <f>VLOOKUP(Table1345[[#This Row],[Date]],database!A:I,9,)</f>
        <v/>
      </c>
      <c r="C487" s="66">
        <f>B487/B486-1</f>
        <v/>
      </c>
      <c r="D487" s="66">
        <f>(Table1345[[#This Row],[Index]]-B475)/B475</f>
        <v/>
      </c>
    </row>
    <row r="488">
      <c r="A488" s="17" t="n">
        <v>40940</v>
      </c>
      <c r="B488" s="58">
        <f>VLOOKUP(Table1345[[#This Row],[Date]],database!A:I,9,)</f>
        <v/>
      </c>
      <c r="C488" s="66">
        <f>B488/B487-1</f>
        <v/>
      </c>
      <c r="D488" s="66">
        <f>(Table1345[[#This Row],[Index]]-B476)/B476</f>
        <v/>
      </c>
    </row>
    <row r="489">
      <c r="A489" s="17" t="n">
        <v>40969</v>
      </c>
      <c r="B489" s="58">
        <f>VLOOKUP(Table1345[[#This Row],[Date]],database!A:I,9,)</f>
        <v/>
      </c>
      <c r="C489" s="66">
        <f>B489/B488-1</f>
        <v/>
      </c>
      <c r="D489" s="66">
        <f>(Table1345[[#This Row],[Index]]-B477)/B477</f>
        <v/>
      </c>
    </row>
    <row r="490">
      <c r="A490" s="17" t="n">
        <v>41000</v>
      </c>
      <c r="B490" s="58">
        <f>VLOOKUP(Table1345[[#This Row],[Date]],database!A:I,9,)</f>
        <v/>
      </c>
      <c r="C490" s="66">
        <f>B490/B489-1</f>
        <v/>
      </c>
      <c r="D490" s="66">
        <f>(Table1345[[#This Row],[Index]]-B478)/B478</f>
        <v/>
      </c>
    </row>
    <row r="491">
      <c r="A491" s="17" t="n">
        <v>41030</v>
      </c>
      <c r="B491" s="58">
        <f>VLOOKUP(Table1345[[#This Row],[Date]],database!A:I,9,)</f>
        <v/>
      </c>
      <c r="C491" s="66">
        <f>B491/B490-1</f>
        <v/>
      </c>
      <c r="D491" s="66">
        <f>(Table1345[[#This Row],[Index]]-B479)/B479</f>
        <v/>
      </c>
    </row>
    <row r="492">
      <c r="A492" s="17" t="n">
        <v>41061</v>
      </c>
      <c r="B492" s="58">
        <f>VLOOKUP(Table1345[[#This Row],[Date]],database!A:I,9,)</f>
        <v/>
      </c>
      <c r="C492" s="66">
        <f>B492/B491-1</f>
        <v/>
      </c>
      <c r="D492" s="66">
        <f>(Table1345[[#This Row],[Index]]-B480)/B480</f>
        <v/>
      </c>
    </row>
    <row r="493">
      <c r="A493" s="17" t="n">
        <v>41091</v>
      </c>
      <c r="B493" s="58">
        <f>VLOOKUP(Table1345[[#This Row],[Date]],database!A:I,9,)</f>
        <v/>
      </c>
      <c r="C493" s="66">
        <f>B493/B492-1</f>
        <v/>
      </c>
      <c r="D493" s="66">
        <f>(Table1345[[#This Row],[Index]]-B481)/B481</f>
        <v/>
      </c>
    </row>
    <row r="494">
      <c r="A494" s="17" t="n">
        <v>41122</v>
      </c>
      <c r="B494" s="58">
        <f>VLOOKUP(Table1345[[#This Row],[Date]],database!A:I,9,)</f>
        <v/>
      </c>
      <c r="C494" s="66">
        <f>B494/B493-1</f>
        <v/>
      </c>
      <c r="D494" s="66">
        <f>(Table1345[[#This Row],[Index]]-B482)/B482</f>
        <v/>
      </c>
    </row>
    <row r="495">
      <c r="A495" s="17" t="n">
        <v>41153</v>
      </c>
      <c r="B495" s="58">
        <f>VLOOKUP(Table1345[[#This Row],[Date]],database!A:I,9,)</f>
        <v/>
      </c>
      <c r="C495" s="66">
        <f>B495/B494-1</f>
        <v/>
      </c>
      <c r="D495" s="66">
        <f>(Table1345[[#This Row],[Index]]-B483)/B483</f>
        <v/>
      </c>
    </row>
    <row r="496">
      <c r="A496" s="17" t="n">
        <v>41183</v>
      </c>
      <c r="B496" s="58">
        <f>VLOOKUP(Table1345[[#This Row],[Date]],database!A:I,9,)</f>
        <v/>
      </c>
      <c r="C496" s="66">
        <f>B496/B495-1</f>
        <v/>
      </c>
      <c r="D496" s="66">
        <f>(Table1345[[#This Row],[Index]]-B484)/B484</f>
        <v/>
      </c>
    </row>
    <row r="497">
      <c r="A497" s="17" t="n">
        <v>41214</v>
      </c>
      <c r="B497" s="58">
        <f>VLOOKUP(Table1345[[#This Row],[Date]],database!A:I,9,)</f>
        <v/>
      </c>
      <c r="C497" s="66">
        <f>B497/B496-1</f>
        <v/>
      </c>
      <c r="D497" s="66">
        <f>(Table1345[[#This Row],[Index]]-B485)/B485</f>
        <v/>
      </c>
    </row>
    <row r="498">
      <c r="A498" s="17" t="n">
        <v>41244</v>
      </c>
      <c r="B498" s="58">
        <f>VLOOKUP(Table1345[[#This Row],[Date]],database!A:I,9,)</f>
        <v/>
      </c>
      <c r="C498" s="66">
        <f>B498/B497-1</f>
        <v/>
      </c>
      <c r="D498" s="66">
        <f>(Table1345[[#This Row],[Index]]-B486)/B486</f>
        <v/>
      </c>
    </row>
    <row r="499">
      <c r="A499" s="17" t="n">
        <v>41275</v>
      </c>
      <c r="B499" s="58">
        <f>VLOOKUP(Table1345[[#This Row],[Date]],database!A:I,9,)</f>
        <v/>
      </c>
      <c r="C499" s="66">
        <f>B499/B498-1</f>
        <v/>
      </c>
      <c r="D499" s="66">
        <f>(Table1345[[#This Row],[Index]]-B487)/B487</f>
        <v/>
      </c>
    </row>
    <row r="500">
      <c r="A500" s="17" t="n">
        <v>41306</v>
      </c>
      <c r="B500" s="58">
        <f>VLOOKUP(Table1345[[#This Row],[Date]],database!A:I,9,)</f>
        <v/>
      </c>
      <c r="C500" s="66">
        <f>B500/B499-1</f>
        <v/>
      </c>
      <c r="D500" s="66">
        <f>(Table1345[[#This Row],[Index]]-B488)/B488</f>
        <v/>
      </c>
    </row>
    <row r="501">
      <c r="A501" s="17" t="n">
        <v>41334</v>
      </c>
      <c r="B501" s="58">
        <f>VLOOKUP(Table1345[[#This Row],[Date]],database!A:I,9,)</f>
        <v/>
      </c>
      <c r="C501" s="66">
        <f>B501/B500-1</f>
        <v/>
      </c>
      <c r="D501" s="66">
        <f>(Table1345[[#This Row],[Index]]-B489)/B489</f>
        <v/>
      </c>
    </row>
    <row r="502">
      <c r="A502" s="17" t="n">
        <v>41365</v>
      </c>
      <c r="B502" s="58">
        <f>VLOOKUP(Table1345[[#This Row],[Date]],database!A:I,9,)</f>
        <v/>
      </c>
      <c r="C502" s="66">
        <f>B502/B501-1</f>
        <v/>
      </c>
      <c r="D502" s="66">
        <f>(Table1345[[#This Row],[Index]]-B490)/B490</f>
        <v/>
      </c>
    </row>
    <row r="503">
      <c r="A503" s="17" t="n">
        <v>41395</v>
      </c>
      <c r="B503" s="58">
        <f>VLOOKUP(Table1345[[#This Row],[Date]],database!A:I,9,)</f>
        <v/>
      </c>
      <c r="C503" s="66">
        <f>B503/B502-1</f>
        <v/>
      </c>
      <c r="D503" s="66">
        <f>(Table1345[[#This Row],[Index]]-B491)/B491</f>
        <v/>
      </c>
    </row>
    <row r="504">
      <c r="A504" s="17" t="n">
        <v>41426</v>
      </c>
      <c r="B504" s="58">
        <f>VLOOKUP(Table1345[[#This Row],[Date]],database!A:I,9,)</f>
        <v/>
      </c>
      <c r="C504" s="66">
        <f>B504/B503-1</f>
        <v/>
      </c>
      <c r="D504" s="66">
        <f>(Table1345[[#This Row],[Index]]-B492)/B492</f>
        <v/>
      </c>
    </row>
    <row r="505">
      <c r="A505" s="17" t="n">
        <v>41456</v>
      </c>
      <c r="B505" s="58">
        <f>VLOOKUP(Table1345[[#This Row],[Date]],database!A:I,9,)</f>
        <v/>
      </c>
      <c r="C505" s="66">
        <f>B505/B504-1</f>
        <v/>
      </c>
      <c r="D505" s="66">
        <f>(Table1345[[#This Row],[Index]]-B493)/B493</f>
        <v/>
      </c>
    </row>
    <row r="506">
      <c r="A506" s="17" t="n">
        <v>41487</v>
      </c>
      <c r="B506" s="58">
        <f>VLOOKUP(Table1345[[#This Row],[Date]],database!A:I,9,)</f>
        <v/>
      </c>
      <c r="C506" s="66">
        <f>B506/B505-1</f>
        <v/>
      </c>
      <c r="D506" s="66">
        <f>(Table1345[[#This Row],[Index]]-B494)/B494</f>
        <v/>
      </c>
    </row>
    <row r="507">
      <c r="A507" s="17" t="n">
        <v>41518</v>
      </c>
      <c r="B507" s="58">
        <f>VLOOKUP(Table1345[[#This Row],[Date]],database!A:I,9,)</f>
        <v/>
      </c>
      <c r="C507" s="66">
        <f>B507/B506-1</f>
        <v/>
      </c>
      <c r="D507" s="66">
        <f>(Table1345[[#This Row],[Index]]-B495)/B495</f>
        <v/>
      </c>
    </row>
    <row r="508">
      <c r="A508" s="17" t="n">
        <v>41548</v>
      </c>
      <c r="B508" s="58">
        <f>VLOOKUP(Table1345[[#This Row],[Date]],database!A:I,9,)</f>
        <v/>
      </c>
      <c r="C508" s="66">
        <f>B508/B507-1</f>
        <v/>
      </c>
      <c r="D508" s="66">
        <f>(Table1345[[#This Row],[Index]]-B496)/B496</f>
        <v/>
      </c>
    </row>
    <row r="509">
      <c r="A509" s="17" t="n">
        <v>41579</v>
      </c>
      <c r="B509" s="58">
        <f>VLOOKUP(Table1345[[#This Row],[Date]],database!A:I,9,)</f>
        <v/>
      </c>
      <c r="C509" s="66">
        <f>B509/B508-1</f>
        <v/>
      </c>
      <c r="D509" s="66">
        <f>(Table1345[[#This Row],[Index]]-B497)/B497</f>
        <v/>
      </c>
    </row>
    <row r="510">
      <c r="A510" s="17" t="n">
        <v>41609</v>
      </c>
      <c r="B510" s="58">
        <f>VLOOKUP(Table1345[[#This Row],[Date]],database!A:I,9,)</f>
        <v/>
      </c>
      <c r="C510" s="66">
        <f>B510/B509-1</f>
        <v/>
      </c>
      <c r="D510" s="66">
        <f>(Table1345[[#This Row],[Index]]-B498)/B498</f>
        <v/>
      </c>
    </row>
    <row r="511">
      <c r="A511" s="17" t="n">
        <v>41640</v>
      </c>
      <c r="B511" s="58">
        <f>VLOOKUP(Table1345[[#This Row],[Date]],database!A:I,9,)</f>
        <v/>
      </c>
      <c r="C511" s="66">
        <f>B511/B510-1</f>
        <v/>
      </c>
      <c r="D511" s="66">
        <f>(Table1345[[#This Row],[Index]]-B499)/B499</f>
        <v/>
      </c>
    </row>
    <row r="512">
      <c r="A512" s="17" t="n">
        <v>41671</v>
      </c>
      <c r="B512" s="58">
        <f>VLOOKUP(Table1345[[#This Row],[Date]],database!A:I,9,)</f>
        <v/>
      </c>
      <c r="C512" s="66">
        <f>B512/B511-1</f>
        <v/>
      </c>
      <c r="D512" s="66">
        <f>(Table1345[[#This Row],[Index]]-B500)/B500</f>
        <v/>
      </c>
    </row>
    <row r="513">
      <c r="A513" s="17" t="n">
        <v>41699</v>
      </c>
      <c r="B513" s="58">
        <f>VLOOKUP(Table1345[[#This Row],[Date]],database!A:I,9,)</f>
        <v/>
      </c>
      <c r="C513" s="66">
        <f>B513/B512-1</f>
        <v/>
      </c>
      <c r="D513" s="66">
        <f>(Table1345[[#This Row],[Index]]-B501)/B501</f>
        <v/>
      </c>
    </row>
    <row r="514">
      <c r="A514" s="17" t="n">
        <v>41730</v>
      </c>
      <c r="B514" s="58">
        <f>VLOOKUP(Table1345[[#This Row],[Date]],database!A:I,9,)</f>
        <v/>
      </c>
      <c r="C514" s="66">
        <f>B514/B513-1</f>
        <v/>
      </c>
      <c r="D514" s="66">
        <f>(Table1345[[#This Row],[Index]]-B502)/B502</f>
        <v/>
      </c>
    </row>
    <row r="515">
      <c r="A515" s="17" t="n">
        <v>41760</v>
      </c>
      <c r="B515" s="58">
        <f>VLOOKUP(Table1345[[#This Row],[Date]],database!A:I,9,)</f>
        <v/>
      </c>
      <c r="C515" s="66">
        <f>B515/B514-1</f>
        <v/>
      </c>
      <c r="D515" s="66">
        <f>(Table1345[[#This Row],[Index]]-B503)/B503</f>
        <v/>
      </c>
    </row>
    <row r="516">
      <c r="A516" s="17" t="n">
        <v>41791</v>
      </c>
      <c r="B516" s="58">
        <f>VLOOKUP(Table1345[[#This Row],[Date]],database!A:I,9,)</f>
        <v/>
      </c>
      <c r="C516" s="66">
        <f>B516/B515-1</f>
        <v/>
      </c>
      <c r="D516" s="66">
        <f>(Table1345[[#This Row],[Index]]-B504)/B504</f>
        <v/>
      </c>
    </row>
    <row r="517">
      <c r="A517" s="17" t="n">
        <v>41821</v>
      </c>
      <c r="B517" s="58">
        <f>VLOOKUP(Table1345[[#This Row],[Date]],database!A:I,9,)</f>
        <v/>
      </c>
      <c r="C517" s="66">
        <f>B517/B516-1</f>
        <v/>
      </c>
      <c r="D517" s="66">
        <f>(Table1345[[#This Row],[Index]]-B505)/B505</f>
        <v/>
      </c>
    </row>
    <row r="518">
      <c r="A518" s="17" t="n">
        <v>41852</v>
      </c>
      <c r="B518" s="58">
        <f>VLOOKUP(Table1345[[#This Row],[Date]],database!A:I,9,)</f>
        <v/>
      </c>
      <c r="C518" s="66">
        <f>B518/B517-1</f>
        <v/>
      </c>
      <c r="D518" s="66">
        <f>(Table1345[[#This Row],[Index]]-B506)/B506</f>
        <v/>
      </c>
    </row>
    <row r="519">
      <c r="A519" s="17" t="n">
        <v>41883</v>
      </c>
      <c r="B519" s="58">
        <f>VLOOKUP(Table1345[[#This Row],[Date]],database!A:I,9,)</f>
        <v/>
      </c>
      <c r="C519" s="66">
        <f>B519/B518-1</f>
        <v/>
      </c>
      <c r="D519" s="66">
        <f>(Table1345[[#This Row],[Index]]-B507)/B507</f>
        <v/>
      </c>
    </row>
    <row r="520">
      <c r="A520" s="17" t="n">
        <v>41913</v>
      </c>
      <c r="B520" s="58">
        <f>VLOOKUP(Table1345[[#This Row],[Date]],database!A:I,9,)</f>
        <v/>
      </c>
      <c r="C520" s="66">
        <f>B520/B519-1</f>
        <v/>
      </c>
      <c r="D520" s="66">
        <f>(Table1345[[#This Row],[Index]]-B508)/B508</f>
        <v/>
      </c>
    </row>
    <row r="521">
      <c r="A521" s="17" t="n">
        <v>41944</v>
      </c>
      <c r="B521" s="58">
        <f>VLOOKUP(Table1345[[#This Row],[Date]],database!A:I,9,)</f>
        <v/>
      </c>
      <c r="C521" s="67">
        <f>B521/B520-1</f>
        <v/>
      </c>
      <c r="D521" s="66">
        <f>(Table1345[[#This Row],[Index]]-B509)/B509</f>
        <v/>
      </c>
    </row>
    <row r="522">
      <c r="A522" s="17" t="n">
        <v>41974</v>
      </c>
      <c r="B522" s="58">
        <f>VLOOKUP(Table1345[[#This Row],[Date]],database!A:I,9,)</f>
        <v/>
      </c>
      <c r="C522" s="66">
        <f>B522/B521-1</f>
        <v/>
      </c>
      <c r="D522" s="66">
        <f>(Table1345[[#This Row],[Index]]-B510)/B510</f>
        <v/>
      </c>
    </row>
    <row r="523">
      <c r="A523" s="17" t="n">
        <v>42005</v>
      </c>
      <c r="B523" s="58">
        <f>VLOOKUP(Table1345[[#This Row],[Date]],database!A:I,9,)</f>
        <v/>
      </c>
      <c r="C523" s="67">
        <f>B523/B522-1</f>
        <v/>
      </c>
      <c r="D523" s="66">
        <f>(Table1345[[#This Row],[Index]]-B511)/B511</f>
        <v/>
      </c>
    </row>
    <row r="524">
      <c r="A524" s="17" t="n">
        <v>42036</v>
      </c>
      <c r="B524" s="58">
        <f>VLOOKUP(Table1345[[#This Row],[Date]],database!A:I,9,)</f>
        <v/>
      </c>
      <c r="C524" s="66">
        <f>B524/B523-1</f>
        <v/>
      </c>
      <c r="D524" s="66">
        <f>(Table1345[[#This Row],[Index]]-B512)/B512</f>
        <v/>
      </c>
    </row>
    <row r="525">
      <c r="A525" s="17" t="n">
        <v>42064</v>
      </c>
      <c r="B525" s="58">
        <f>VLOOKUP(Table1345[[#This Row],[Date]],database!A:I,9,)</f>
        <v/>
      </c>
      <c r="C525" s="67">
        <f>B525/B524-1</f>
        <v/>
      </c>
      <c r="D525" s="66">
        <f>(Table1345[[#This Row],[Index]]-B513)/B513</f>
        <v/>
      </c>
    </row>
    <row r="526">
      <c r="A526" s="17" t="n">
        <v>42095</v>
      </c>
      <c r="B526" s="58">
        <f>VLOOKUP(Table1345[[#This Row],[Date]],database!A:I,9,)</f>
        <v/>
      </c>
      <c r="C526" s="66">
        <f>B526/B525-1</f>
        <v/>
      </c>
      <c r="D526" s="66">
        <f>(Table1345[[#This Row],[Index]]-B514)/B514</f>
        <v/>
      </c>
    </row>
    <row r="527">
      <c r="A527" s="17" t="n">
        <v>42125</v>
      </c>
      <c r="B527" s="58">
        <f>VLOOKUP(Table1345[[#This Row],[Date]],database!A:I,9,)</f>
        <v/>
      </c>
      <c r="C527" s="66">
        <f>B527/B526-1</f>
        <v/>
      </c>
      <c r="D527" s="66">
        <f>(Table1345[[#This Row],[Index]]-B515)/B515</f>
        <v/>
      </c>
    </row>
    <row r="528">
      <c r="A528" s="17" t="n">
        <v>42156</v>
      </c>
      <c r="B528" s="58">
        <f>VLOOKUP(Table1345[[#This Row],[Date]],database!A:I,9,)</f>
        <v/>
      </c>
      <c r="C528" s="66">
        <f>B528/B527-1</f>
        <v/>
      </c>
      <c r="D528" s="66">
        <f>(Table1345[[#This Row],[Index]]-B516)/B516</f>
        <v/>
      </c>
    </row>
    <row r="529">
      <c r="A529" s="17" t="n">
        <v>42186</v>
      </c>
      <c r="B529" s="58">
        <f>VLOOKUP(Table1345[[#This Row],[Date]],database!A:I,9,)</f>
        <v/>
      </c>
      <c r="C529" s="66">
        <f>B529/B528-1</f>
        <v/>
      </c>
      <c r="D529" s="66">
        <f>(Table1345[[#This Row],[Index]]-B517)/B517</f>
        <v/>
      </c>
    </row>
    <row r="530">
      <c r="A530" s="17" t="n">
        <v>42217</v>
      </c>
      <c r="B530" s="58">
        <f>VLOOKUP(Table1345[[#This Row],[Date]],database!A:I,9,)</f>
        <v/>
      </c>
      <c r="C530" s="66">
        <f>B530/B529-1</f>
        <v/>
      </c>
      <c r="D530" s="66">
        <f>(Table1345[[#This Row],[Index]]-B518)/B518</f>
        <v/>
      </c>
    </row>
    <row r="531">
      <c r="A531" s="17" t="n">
        <v>42248</v>
      </c>
      <c r="B531" s="58">
        <f>VLOOKUP(Table1345[[#This Row],[Date]],database!A:I,9,)</f>
        <v/>
      </c>
      <c r="C531" s="66">
        <f>B531/B530-1</f>
        <v/>
      </c>
      <c r="D531" s="66">
        <f>(Table1345[[#This Row],[Index]]-B519)/B519</f>
        <v/>
      </c>
    </row>
    <row r="532">
      <c r="A532" s="17" t="n">
        <v>42278</v>
      </c>
      <c r="B532" s="58">
        <f>VLOOKUP(Table1345[[#This Row],[Date]],database!A:I,9,)</f>
        <v/>
      </c>
      <c r="C532" s="66">
        <f>B532/B531-1</f>
        <v/>
      </c>
      <c r="D532" s="66">
        <f>(Table1345[[#This Row],[Index]]-B520)/B520</f>
        <v/>
      </c>
    </row>
    <row r="533">
      <c r="A533" s="17" t="n">
        <v>42309</v>
      </c>
      <c r="B533" s="58">
        <f>VLOOKUP(Table1345[[#This Row],[Date]],database!A:I,9,)</f>
        <v/>
      </c>
      <c r="C533" s="66">
        <f>B533/B532-1</f>
        <v/>
      </c>
      <c r="D533" s="66">
        <f>(Table1345[[#This Row],[Index]]-B521)/B521</f>
        <v/>
      </c>
    </row>
    <row r="534">
      <c r="A534" s="17" t="n">
        <v>42339</v>
      </c>
      <c r="B534" s="58">
        <f>VLOOKUP(Table1345[[#This Row],[Date]],database!A:I,9,)</f>
        <v/>
      </c>
      <c r="C534" s="66">
        <f>B534/B533-1</f>
        <v/>
      </c>
      <c r="D534" s="66">
        <f>(Table1345[[#This Row],[Index]]-B522)/B522</f>
        <v/>
      </c>
    </row>
    <row r="535">
      <c r="A535" s="17" t="n">
        <v>42370</v>
      </c>
      <c r="B535" s="58">
        <f>VLOOKUP(Table1345[[#This Row],[Date]],database!A:I,9,)</f>
        <v/>
      </c>
      <c r="C535" s="66">
        <f>B535/B534-1</f>
        <v/>
      </c>
      <c r="D535" s="66">
        <f>(Table1345[[#This Row],[Index]]-B523)/B523</f>
        <v/>
      </c>
    </row>
    <row r="536">
      <c r="A536" s="17" t="n">
        <v>42401</v>
      </c>
      <c r="B536" s="58">
        <f>VLOOKUP(Table1345[[#This Row],[Date]],database!A:I,9,)</f>
        <v/>
      </c>
      <c r="C536" s="66">
        <f>B536/B535-1</f>
        <v/>
      </c>
      <c r="D536" s="66">
        <f>(Table1345[[#This Row],[Index]]-B524)/B524</f>
        <v/>
      </c>
    </row>
    <row r="537">
      <c r="A537" s="17" t="n">
        <v>42430</v>
      </c>
      <c r="B537" s="58">
        <f>VLOOKUP(Table1345[[#This Row],[Date]],database!A:I,9,)</f>
        <v/>
      </c>
      <c r="C537" s="66">
        <f>B537/B536-1</f>
        <v/>
      </c>
      <c r="D537" s="66">
        <f>(Table1345[[#This Row],[Index]]-B525)/B525</f>
        <v/>
      </c>
    </row>
    <row r="538">
      <c r="A538" s="17" t="n">
        <v>42461</v>
      </c>
      <c r="B538" s="58">
        <f>VLOOKUP(Table1345[[#This Row],[Date]],database!A:I,9,)</f>
        <v/>
      </c>
      <c r="C538" s="66">
        <f>B538/B537-1</f>
        <v/>
      </c>
      <c r="D538" s="66">
        <f>(Table1345[[#This Row],[Index]]-B526)/B526</f>
        <v/>
      </c>
    </row>
    <row r="539">
      <c r="A539" s="17" t="n">
        <v>42491</v>
      </c>
      <c r="B539" s="58">
        <f>VLOOKUP(Table1345[[#This Row],[Date]],database!A:I,9,)</f>
        <v/>
      </c>
      <c r="C539" s="66">
        <f>B539/B538-1</f>
        <v/>
      </c>
      <c r="D539" s="66">
        <f>(Table1345[[#This Row],[Index]]-B527)/B527</f>
        <v/>
      </c>
    </row>
    <row r="540">
      <c r="A540" s="17" t="n">
        <v>42522</v>
      </c>
      <c r="B540" s="58">
        <f>VLOOKUP(Table1345[[#This Row],[Date]],database!A:I,9,)</f>
        <v/>
      </c>
      <c r="C540" s="66">
        <f>B540/B539-1</f>
        <v/>
      </c>
      <c r="D540" s="66">
        <f>(Table1345[[#This Row],[Index]]-B528)/B528</f>
        <v/>
      </c>
    </row>
    <row r="541">
      <c r="A541" s="17" t="n">
        <v>42552</v>
      </c>
      <c r="B541" s="58">
        <f>VLOOKUP(Table1345[[#This Row],[Date]],database!A:I,9,)</f>
        <v/>
      </c>
      <c r="C541" s="66">
        <f>B541/B540-1</f>
        <v/>
      </c>
      <c r="D541" s="66">
        <f>(Table1345[[#This Row],[Index]]-B529)/B529</f>
        <v/>
      </c>
    </row>
    <row r="542">
      <c r="A542" s="17" t="n">
        <v>42583</v>
      </c>
      <c r="B542" s="58">
        <f>VLOOKUP(Table1345[[#This Row],[Date]],database!A:I,9,)</f>
        <v/>
      </c>
      <c r="C542" s="66">
        <f>B542/B541-1</f>
        <v/>
      </c>
      <c r="D542" s="66">
        <f>(Table1345[[#This Row],[Index]]-B530)/B530</f>
        <v/>
      </c>
    </row>
    <row r="543">
      <c r="A543" s="17" t="n">
        <v>42614</v>
      </c>
      <c r="B543" s="58">
        <f>VLOOKUP(Table1345[[#This Row],[Date]],database!A:I,9,)</f>
        <v/>
      </c>
      <c r="C543" s="66">
        <f>B543/B542-1</f>
        <v/>
      </c>
      <c r="D543" s="66">
        <f>(Table1345[[#This Row],[Index]]-B531)/B531</f>
        <v/>
      </c>
    </row>
    <row r="544">
      <c r="A544" s="17" t="n">
        <v>42644</v>
      </c>
      <c r="B544" s="58">
        <f>VLOOKUP(Table1345[[#This Row],[Date]],database!A:I,9,)</f>
        <v/>
      </c>
      <c r="C544" s="66">
        <f>B544/B543-1</f>
        <v/>
      </c>
      <c r="D544" s="66">
        <f>(Table1345[[#This Row],[Index]]-B532)/B532</f>
        <v/>
      </c>
    </row>
    <row r="545">
      <c r="A545" s="17" t="n">
        <v>42675</v>
      </c>
      <c r="B545" s="58">
        <f>VLOOKUP(Table1345[[#This Row],[Date]],database!A:I,9,)</f>
        <v/>
      </c>
      <c r="C545" s="66">
        <f>B545/B544-1</f>
        <v/>
      </c>
      <c r="D545" s="66">
        <f>(Table1345[[#This Row],[Index]]-B533)/B533</f>
        <v/>
      </c>
    </row>
    <row r="546">
      <c r="A546" s="17" t="n">
        <v>42705</v>
      </c>
      <c r="B546" s="58">
        <f>VLOOKUP(Table1345[[#This Row],[Date]],database!A:I,9,)</f>
        <v/>
      </c>
      <c r="C546" s="66">
        <f>B546/B545-1</f>
        <v/>
      </c>
      <c r="D546" s="66">
        <f>(Table1345[[#This Row],[Index]]-B534)/B534</f>
        <v/>
      </c>
    </row>
    <row r="547">
      <c r="A547" s="17" t="n">
        <v>42736</v>
      </c>
      <c r="B547" s="58">
        <f>VLOOKUP(Table1345[[#This Row],[Date]],database!A:I,9,)</f>
        <v/>
      </c>
      <c r="C547" s="66">
        <f>B547/B546-1</f>
        <v/>
      </c>
      <c r="D547" s="66">
        <f>(Table1345[[#This Row],[Index]]-B535)/B535</f>
        <v/>
      </c>
    </row>
    <row r="548">
      <c r="A548" s="17" t="n">
        <v>42767</v>
      </c>
      <c r="B548" s="58">
        <f>VLOOKUP(Table1345[[#This Row],[Date]],database!A:I,9,)</f>
        <v/>
      </c>
      <c r="C548" s="66">
        <f>B548/B547-1</f>
        <v/>
      </c>
      <c r="D548" s="66">
        <f>(Table1345[[#This Row],[Index]]-B536)/B536</f>
        <v/>
      </c>
    </row>
    <row r="549">
      <c r="A549" s="17" t="n">
        <v>42795</v>
      </c>
      <c r="B549" s="58">
        <f>VLOOKUP(Table1345[[#This Row],[Date]],database!A:I,9,)</f>
        <v/>
      </c>
      <c r="C549" s="66">
        <f>B549/B548-1</f>
        <v/>
      </c>
      <c r="D549" s="66">
        <f>(Table1345[[#This Row],[Index]]-B537)/B537</f>
        <v/>
      </c>
    </row>
    <row r="550">
      <c r="A550" s="17" t="n">
        <v>42826</v>
      </c>
      <c r="B550" s="58">
        <f>VLOOKUP(Table1345[[#This Row],[Date]],database!A:I,9,)</f>
        <v/>
      </c>
      <c r="C550" s="66">
        <f>B550/B549-1</f>
        <v/>
      </c>
      <c r="D550" s="66">
        <f>(Table1345[[#This Row],[Index]]-B538)/B538</f>
        <v/>
      </c>
    </row>
    <row r="551">
      <c r="A551" s="17" t="n">
        <v>42856</v>
      </c>
      <c r="B551" s="58">
        <f>VLOOKUP(Table1345[[#This Row],[Date]],database!A:I,9,)</f>
        <v/>
      </c>
      <c r="C551" s="66">
        <f>B551/B550-1</f>
        <v/>
      </c>
      <c r="D551" s="66">
        <f>(Table1345[[#This Row],[Index]]-B539)/B539</f>
        <v/>
      </c>
    </row>
    <row r="552">
      <c r="A552" s="17" t="n">
        <v>42887</v>
      </c>
      <c r="B552" s="58">
        <f>VLOOKUP(Table1345[[#This Row],[Date]],database!A:I,9,)</f>
        <v/>
      </c>
      <c r="C552" s="66">
        <f>B552/B551-1</f>
        <v/>
      </c>
      <c r="D552" s="66">
        <f>(Table1345[[#This Row],[Index]]-B540)/B540</f>
        <v/>
      </c>
    </row>
    <row r="553">
      <c r="A553" s="17" t="n">
        <v>42917</v>
      </c>
      <c r="B553" s="58">
        <f>VLOOKUP(Table1345[[#This Row],[Date]],database!A:I,9,)</f>
        <v/>
      </c>
      <c r="C553" s="66">
        <f>B553/B552-1</f>
        <v/>
      </c>
      <c r="D553" s="66">
        <f>(Table1345[[#This Row],[Index]]-B541)/B541</f>
        <v/>
      </c>
    </row>
    <row r="554">
      <c r="A554" s="17" t="n">
        <v>42948</v>
      </c>
      <c r="B554" s="58">
        <f>VLOOKUP(Table1345[[#This Row],[Date]],database!A:I,9,)</f>
        <v/>
      </c>
      <c r="C554" s="66">
        <f>B554/B553-1</f>
        <v/>
      </c>
      <c r="D554" s="66">
        <f>(Table1345[[#This Row],[Index]]-B542)/B542</f>
        <v/>
      </c>
    </row>
    <row r="555">
      <c r="A555" s="17" t="n">
        <v>42979</v>
      </c>
      <c r="B555" s="58">
        <f>VLOOKUP(Table1345[[#This Row],[Date]],database!A:I,9,)</f>
        <v/>
      </c>
      <c r="C555" s="66">
        <f>B555/B554-1</f>
        <v/>
      </c>
      <c r="D555" s="66">
        <f>(Table1345[[#This Row],[Index]]-B543)/B543</f>
        <v/>
      </c>
    </row>
    <row r="556">
      <c r="A556" s="17" t="n">
        <v>43009</v>
      </c>
      <c r="B556" s="58">
        <f>VLOOKUP(Table1345[[#This Row],[Date]],database!A:I,9,)</f>
        <v/>
      </c>
      <c r="C556" s="66">
        <f>B556/B555-1</f>
        <v/>
      </c>
      <c r="D556" s="66">
        <f>(Table1345[[#This Row],[Index]]-B544)/B544</f>
        <v/>
      </c>
    </row>
    <row r="557">
      <c r="A557" s="17" t="n">
        <v>43040</v>
      </c>
      <c r="B557" s="58">
        <f>VLOOKUP(Table1345[[#This Row],[Date]],database!A:I,9,)</f>
        <v/>
      </c>
      <c r="C557" s="66">
        <f>B557/B556-1</f>
        <v/>
      </c>
      <c r="D557" s="66">
        <f>(Table1345[[#This Row],[Index]]-B545)/B545</f>
        <v/>
      </c>
    </row>
    <row r="558">
      <c r="A558" s="17" t="n">
        <v>43070</v>
      </c>
      <c r="B558" s="58">
        <f>VLOOKUP(Table1345[[#This Row],[Date]],database!A:I,9,)</f>
        <v/>
      </c>
      <c r="C558" s="66">
        <f>B558/B557-1</f>
        <v/>
      </c>
      <c r="D558" s="66">
        <f>(Table1345[[#This Row],[Index]]-B546)/B546</f>
        <v/>
      </c>
    </row>
    <row r="559">
      <c r="A559" s="17" t="n">
        <v>43101</v>
      </c>
      <c r="B559" s="58">
        <f>VLOOKUP(Table1345[[#This Row],[Date]],database!A:I,9,)</f>
        <v/>
      </c>
      <c r="C559" s="66">
        <f>B559/B558-1</f>
        <v/>
      </c>
      <c r="D559" s="66">
        <f>(Table1345[[#This Row],[Index]]-B547)/B547</f>
        <v/>
      </c>
    </row>
    <row r="560">
      <c r="A560" s="17" t="n">
        <v>43132</v>
      </c>
      <c r="B560" s="58">
        <f>VLOOKUP(Table1345[[#This Row],[Date]],database!A:I,9,)</f>
        <v/>
      </c>
      <c r="C560" s="66">
        <f>B560/B559-1</f>
        <v/>
      </c>
      <c r="D560" s="66">
        <f>(Table1345[[#This Row],[Index]]-B548)/B548</f>
        <v/>
      </c>
    </row>
    <row r="561">
      <c r="A561" s="17" t="n">
        <v>43160</v>
      </c>
      <c r="B561" s="58">
        <f>VLOOKUP(Table1345[[#This Row],[Date]],database!A:I,9,)</f>
        <v/>
      </c>
      <c r="C561" s="66">
        <f>B561/B560-1</f>
        <v/>
      </c>
      <c r="D561" s="66">
        <f>(Table1345[[#This Row],[Index]]-B549)/B549</f>
        <v/>
      </c>
    </row>
    <row r="562">
      <c r="A562" s="17" t="n">
        <v>43191</v>
      </c>
      <c r="B562" s="58">
        <f>VLOOKUP(Table1345[[#This Row],[Date]],database!A:I,9,)</f>
        <v/>
      </c>
      <c r="C562" s="66">
        <f>B562/B561-1</f>
        <v/>
      </c>
      <c r="D562" s="66">
        <f>(Table1345[[#This Row],[Index]]-B550)/B550</f>
        <v/>
      </c>
    </row>
    <row r="563">
      <c r="A563" s="17" t="n">
        <v>43221</v>
      </c>
      <c r="B563" s="58">
        <f>VLOOKUP(Table1345[[#This Row],[Date]],database!A:I,9,)</f>
        <v/>
      </c>
      <c r="C563" s="66">
        <f>B563/B562-1</f>
        <v/>
      </c>
      <c r="D563" s="66">
        <f>(Table1345[[#This Row],[Index]]-B551)/B551</f>
        <v/>
      </c>
    </row>
    <row r="564">
      <c r="A564" s="17" t="n">
        <v>43252</v>
      </c>
      <c r="B564" s="58">
        <f>VLOOKUP(Table1345[[#This Row],[Date]],database!A:I,9,)</f>
        <v/>
      </c>
      <c r="C564" s="66">
        <f>B564/B563-1</f>
        <v/>
      </c>
      <c r="D564" s="66">
        <f>(Table1345[[#This Row],[Index]]-B552)/B552</f>
        <v/>
      </c>
    </row>
    <row r="565">
      <c r="A565" s="17" t="n">
        <v>43282</v>
      </c>
      <c r="B565" s="58">
        <f>VLOOKUP(Table1345[[#This Row],[Date]],database!A:I,9,)</f>
        <v/>
      </c>
      <c r="C565" s="66">
        <f>B565/B564-1</f>
        <v/>
      </c>
      <c r="D565" s="66">
        <f>(Table1345[[#This Row],[Index]]-B553)/B553</f>
        <v/>
      </c>
    </row>
    <row r="566">
      <c r="A566" s="17" t="n">
        <v>43313</v>
      </c>
      <c r="B566" s="58">
        <f>VLOOKUP(Table1345[[#This Row],[Date]],database!A:I,9,)</f>
        <v/>
      </c>
      <c r="C566" s="66">
        <f>B566/B565-1</f>
        <v/>
      </c>
      <c r="D566" s="66">
        <f>(Table1345[[#This Row],[Index]]-B554)/B554</f>
        <v/>
      </c>
    </row>
    <row r="567">
      <c r="A567" s="17" t="n">
        <v>43344</v>
      </c>
      <c r="B567" s="58">
        <f>VLOOKUP(Table1345[[#This Row],[Date]],database!A:I,9,)</f>
        <v/>
      </c>
      <c r="C567" s="66">
        <f>B567/B566-1</f>
        <v/>
      </c>
      <c r="D567" s="66">
        <f>(Table1345[[#This Row],[Index]]-B555)/B555</f>
        <v/>
      </c>
    </row>
    <row r="568">
      <c r="A568" s="17" t="n">
        <v>43374</v>
      </c>
      <c r="B568" s="58">
        <f>VLOOKUP(Table1345[[#This Row],[Date]],database!A:I,9,)</f>
        <v/>
      </c>
      <c r="C568" s="66">
        <f>B568/B567-1</f>
        <v/>
      </c>
      <c r="D568" s="66">
        <f>(Table1345[[#This Row],[Index]]-B556)/B556</f>
        <v/>
      </c>
    </row>
    <row r="569">
      <c r="A569" s="17" t="n">
        <v>43405</v>
      </c>
      <c r="B569" s="58">
        <f>VLOOKUP(Table1345[[#This Row],[Date]],database!A:I,9,)</f>
        <v/>
      </c>
      <c r="C569" s="66">
        <f>B569/B568-1</f>
        <v/>
      </c>
      <c r="D569" s="66">
        <f>(Table1345[[#This Row],[Index]]-B557)/B557</f>
        <v/>
      </c>
    </row>
    <row r="570">
      <c r="A570" s="17" t="n">
        <v>43435</v>
      </c>
      <c r="B570" s="58">
        <f>VLOOKUP(Table1345[[#This Row],[Date]],database!A:I,9,)</f>
        <v/>
      </c>
      <c r="C570" s="66">
        <f>B570/B569-1</f>
        <v/>
      </c>
      <c r="D570" s="66">
        <f>(Table1345[[#This Row],[Index]]-B558)/B558</f>
        <v/>
      </c>
    </row>
    <row r="571">
      <c r="A571" s="17" t="n">
        <v>43466</v>
      </c>
      <c r="B571" s="58">
        <f>VLOOKUP(Table1345[[#This Row],[Date]],database!A:I,9,)</f>
        <v/>
      </c>
      <c r="C571" s="66">
        <f>B571/B570-1</f>
        <v/>
      </c>
      <c r="D571" s="66">
        <f>(Table1345[[#This Row],[Index]]-B559)/B559</f>
        <v/>
      </c>
    </row>
    <row r="572">
      <c r="A572" s="17" t="n">
        <v>43497</v>
      </c>
      <c r="B572" s="58">
        <f>VLOOKUP(Table1345[[#This Row],[Date]],database!A:I,9,)</f>
        <v/>
      </c>
      <c r="C572" s="66">
        <f>B572/B571-1</f>
        <v/>
      </c>
      <c r="D572" s="66">
        <f>(Table1345[[#This Row],[Index]]-B560)/B560</f>
        <v/>
      </c>
    </row>
    <row r="573">
      <c r="A573" s="17" t="n">
        <v>43525</v>
      </c>
      <c r="B573" s="58">
        <f>VLOOKUP(Table1345[[#This Row],[Date]],database!A:I,9,)</f>
        <v/>
      </c>
      <c r="C573" s="66">
        <f>B573/B572-1</f>
        <v/>
      </c>
      <c r="D573" s="66">
        <f>(Table1345[[#This Row],[Index]]-B561)/B561</f>
        <v/>
      </c>
    </row>
    <row r="574">
      <c r="A574" s="17" t="n">
        <v>43556</v>
      </c>
      <c r="B574" s="58">
        <f>VLOOKUP(Table1345[[#This Row],[Date]],database!A:I,9,)</f>
        <v/>
      </c>
      <c r="C574" s="66">
        <f>B574/B573-1</f>
        <v/>
      </c>
      <c r="D574" s="66">
        <f>(Table1345[[#This Row],[Index]]-B562)/B562</f>
        <v/>
      </c>
    </row>
    <row r="575">
      <c r="A575" s="17" t="n">
        <v>43586</v>
      </c>
      <c r="B575" s="58">
        <f>VLOOKUP(Table1345[[#This Row],[Date]],database!A:I,9,)</f>
        <v/>
      </c>
      <c r="C575" s="66">
        <f>B575/B574-1</f>
        <v/>
      </c>
      <c r="D575" s="66">
        <f>(Table1345[[#This Row],[Index]]-B563)/B563</f>
        <v/>
      </c>
    </row>
    <row r="576">
      <c r="A576" s="17" t="n">
        <v>43617</v>
      </c>
      <c r="B576" s="58">
        <f>VLOOKUP(Table1345[[#This Row],[Date]],database!A:I,9,)</f>
        <v/>
      </c>
      <c r="C576" s="66">
        <f>B576/B575-1</f>
        <v/>
      </c>
      <c r="D576" s="66">
        <f>(Table1345[[#This Row],[Index]]-B564)/B564</f>
        <v/>
      </c>
    </row>
    <row r="577">
      <c r="A577" s="17" t="n">
        <v>43647</v>
      </c>
      <c r="B577" s="58">
        <f>VLOOKUP(Table1345[[#This Row],[Date]],database!A:I,9,)</f>
        <v/>
      </c>
      <c r="C577" s="66">
        <f>B577/B576-1</f>
        <v/>
      </c>
      <c r="D577" s="66">
        <f>(Table1345[[#This Row],[Index]]-B565)/B565</f>
        <v/>
      </c>
    </row>
    <row r="578">
      <c r="A578" s="17" t="n">
        <v>43678</v>
      </c>
      <c r="B578" s="58">
        <f>VLOOKUP(Table1345[[#This Row],[Date]],database!A:I,9,)</f>
        <v/>
      </c>
      <c r="C578" s="66">
        <f>B578/B577-1</f>
        <v/>
      </c>
      <c r="D578" s="66">
        <f>(Table1345[[#This Row],[Index]]-B566)/B566</f>
        <v/>
      </c>
    </row>
    <row r="579">
      <c r="A579" s="17" t="n">
        <v>43709</v>
      </c>
      <c r="B579" s="58">
        <f>VLOOKUP(Table1345[[#This Row],[Date]],database!A:I,9,)</f>
        <v/>
      </c>
      <c r="C579" s="66">
        <f>B579/B578-1</f>
        <v/>
      </c>
      <c r="D579" s="66">
        <f>(Table1345[[#This Row],[Index]]-B567)/B567</f>
        <v/>
      </c>
    </row>
    <row r="580">
      <c r="A580" s="17" t="n">
        <v>43739</v>
      </c>
      <c r="B580" s="58">
        <f>VLOOKUP(Table1345[[#This Row],[Date]],database!A:I,9,)</f>
        <v/>
      </c>
      <c r="C580" s="66">
        <f>B580/B579-1</f>
        <v/>
      </c>
      <c r="D580" s="66">
        <f>(Table1345[[#This Row],[Index]]-B568)/B568</f>
        <v/>
      </c>
    </row>
    <row r="581">
      <c r="A581" s="17" t="n">
        <v>43770</v>
      </c>
      <c r="B581" s="58">
        <f>VLOOKUP(Table1345[[#This Row],[Date]],database!A:I,9,)</f>
        <v/>
      </c>
      <c r="C581" s="66">
        <f>B581/B580-1</f>
        <v/>
      </c>
      <c r="D581" s="66">
        <f>(Table1345[[#This Row],[Index]]-B569)/B569</f>
        <v/>
      </c>
    </row>
    <row r="582">
      <c r="A582" s="17" t="n">
        <v>43800</v>
      </c>
      <c r="B582" s="58">
        <f>VLOOKUP(Table1345[[#This Row],[Date]],database!A:I,9,)</f>
        <v/>
      </c>
      <c r="C582" s="66">
        <f>B582/B581-1</f>
        <v/>
      </c>
      <c r="D582" s="66">
        <f>(Table1345[[#This Row],[Index]]-B570)/B570</f>
        <v/>
      </c>
    </row>
    <row r="583">
      <c r="A583" s="17" t="n">
        <v>43831</v>
      </c>
      <c r="B583" s="58">
        <f>VLOOKUP(Table1345[[#This Row],[Date]],database!A:I,9,)</f>
        <v/>
      </c>
      <c r="C583" s="66">
        <f>B583/B582-1</f>
        <v/>
      </c>
      <c r="D583" s="66">
        <f>(Table1345[[#This Row],[Index]]-B571)/B571</f>
        <v/>
      </c>
    </row>
    <row r="584">
      <c r="A584" s="17" t="n">
        <v>43862</v>
      </c>
      <c r="B584" s="58">
        <f>VLOOKUP(Table1345[[#This Row],[Date]],database!A:I,9,)</f>
        <v/>
      </c>
      <c r="C584" s="66">
        <f>B584/B583-1</f>
        <v/>
      </c>
      <c r="D584" s="66">
        <f>(Table1345[[#This Row],[Index]]-B572)/B572</f>
        <v/>
      </c>
    </row>
    <row r="585">
      <c r="A585" s="17" t="n">
        <v>43891</v>
      </c>
      <c r="B585" s="58">
        <f>VLOOKUP(Table1345[[#This Row],[Date]],database!A:I,9,)</f>
        <v/>
      </c>
      <c r="C585" s="66">
        <f>B585/B584-1</f>
        <v/>
      </c>
      <c r="D585" s="66">
        <f>(Table1345[[#This Row],[Index]]-B573)/B573</f>
        <v/>
      </c>
    </row>
    <row r="586">
      <c r="A586" s="17" t="n">
        <v>43922</v>
      </c>
      <c r="B586" s="58">
        <f>VLOOKUP(Table1345[[#This Row],[Date]],database!A:I,9,)</f>
        <v/>
      </c>
      <c r="C586" s="66">
        <f>B586/B585-1</f>
        <v/>
      </c>
      <c r="D586" s="66">
        <f>(Table1345[[#This Row],[Index]]-B574)/B574</f>
        <v/>
      </c>
    </row>
    <row r="587">
      <c r="A587" s="17" t="n">
        <v>43952</v>
      </c>
      <c r="B587" s="58">
        <f>VLOOKUP(Table1345[[#This Row],[Date]],database!A:I,9,)</f>
        <v/>
      </c>
      <c r="C587" s="66">
        <f>B587/B586-1</f>
        <v/>
      </c>
      <c r="D587" s="66">
        <f>(Table1345[[#This Row],[Index]]-B575)/B575</f>
        <v/>
      </c>
    </row>
    <row r="588">
      <c r="A588" s="17" t="n">
        <v>43983</v>
      </c>
      <c r="B588" s="58">
        <f>VLOOKUP(Table1345[[#This Row],[Date]],database!A:I,9,)</f>
        <v/>
      </c>
      <c r="C588" s="66">
        <f>B588/B587-1</f>
        <v/>
      </c>
      <c r="D588" s="66">
        <f>(Table1345[[#This Row],[Index]]-B576)/B576</f>
        <v/>
      </c>
    </row>
    <row r="589">
      <c r="A589" s="17" t="n">
        <v>44013</v>
      </c>
      <c r="B589" s="58">
        <f>VLOOKUP(Table1345[[#This Row],[Date]],database!A:I,9,)</f>
        <v/>
      </c>
      <c r="C589" s="66">
        <f>B589/B588-1</f>
        <v/>
      </c>
      <c r="D589" s="66">
        <f>(Table1345[[#This Row],[Index]]-B577)/B577</f>
        <v/>
      </c>
    </row>
    <row r="590">
      <c r="A590" s="17" t="n">
        <v>44044</v>
      </c>
      <c r="B590" s="58">
        <f>VLOOKUP(Table1345[[#This Row],[Date]],database!A:I,9,)</f>
        <v/>
      </c>
      <c r="C590" s="66">
        <f>B590/B589-1</f>
        <v/>
      </c>
      <c r="D590" s="66">
        <f>(Table1345[[#This Row],[Index]]-B578)/B578</f>
        <v/>
      </c>
    </row>
    <row r="591">
      <c r="A591" s="17" t="n">
        <v>44075</v>
      </c>
      <c r="B591" s="58">
        <f>VLOOKUP(Table1345[[#This Row],[Date]],database!A:I,9,)</f>
        <v/>
      </c>
      <c r="C591" s="66">
        <f>B591/B590-1</f>
        <v/>
      </c>
      <c r="D591" s="66">
        <f>(Table1345[[#This Row],[Index]]-B579)/B579</f>
        <v/>
      </c>
    </row>
    <row r="592">
      <c r="A592" s="17" t="n">
        <v>44105</v>
      </c>
      <c r="B592" s="58">
        <f>VLOOKUP(Table1345[[#This Row],[Date]],database!A:I,9,)</f>
        <v/>
      </c>
      <c r="C592" s="66">
        <f>B592/B591-1</f>
        <v/>
      </c>
      <c r="D592" s="66">
        <f>(Table1345[[#This Row],[Index]]-B580)/B580</f>
        <v/>
      </c>
    </row>
    <row r="593">
      <c r="A593" s="17" t="n">
        <v>44136</v>
      </c>
      <c r="B593" s="58">
        <f>VLOOKUP(Table1345[[#This Row],[Date]],database!A:I,9,)</f>
        <v/>
      </c>
      <c r="C593" s="66">
        <f>B593/B592-1</f>
        <v/>
      </c>
      <c r="D593" s="66">
        <f>(Table1345[[#This Row],[Index]]-B581)/B581</f>
        <v/>
      </c>
    </row>
    <row r="594">
      <c r="A594" s="17" t="n">
        <v>44166</v>
      </c>
      <c r="B594" s="58">
        <f>VLOOKUP(Table1345[[#This Row],[Date]],database!A:I,9,)</f>
        <v/>
      </c>
      <c r="C594" s="66">
        <f>B594/B593-1</f>
        <v/>
      </c>
      <c r="D594" s="66">
        <f>(Table1345[[#This Row],[Index]]-B582)/B582</f>
        <v/>
      </c>
    </row>
    <row r="595">
      <c r="A595" s="17" t="n">
        <v>44197</v>
      </c>
      <c r="B595" s="58">
        <f>VLOOKUP(Table1345[[#This Row],[Date]],database!A:I,9,)</f>
        <v/>
      </c>
      <c r="C595" s="66">
        <f>B595/B594-1</f>
        <v/>
      </c>
      <c r="D595" s="66">
        <f>(Table1345[[#This Row],[Index]]-B583)/B583</f>
        <v/>
      </c>
    </row>
    <row r="596">
      <c r="A596" s="17" t="n">
        <v>44228</v>
      </c>
      <c r="B596" s="58">
        <f>VLOOKUP(Table1345[[#This Row],[Date]],database!A:I,9,)</f>
        <v/>
      </c>
      <c r="C596" s="66">
        <f>B596/B595-1</f>
        <v/>
      </c>
      <c r="D596" s="66">
        <f>(Table1345[[#This Row],[Index]]-B584)/B584</f>
        <v/>
      </c>
    </row>
    <row r="597">
      <c r="A597" s="17" t="n">
        <v>44256</v>
      </c>
      <c r="B597" s="58">
        <f>VLOOKUP(Table1345[[#This Row],[Date]],database!A:I,9,)</f>
        <v/>
      </c>
      <c r="C597" s="66">
        <f>B597/B596-1</f>
        <v/>
      </c>
      <c r="D597" s="66">
        <f>(Table1345[[#This Row],[Index]]-B585)/B585</f>
        <v/>
      </c>
    </row>
    <row r="598">
      <c r="A598" s="17" t="n">
        <v>44287</v>
      </c>
      <c r="B598" s="58">
        <f>VLOOKUP(Table1345[[#This Row],[Date]],database!A:I,9,)</f>
        <v/>
      </c>
      <c r="C598" s="66">
        <f>B598/B597-1</f>
        <v/>
      </c>
      <c r="D598" s="66">
        <f>(Table1345[[#This Row],[Index]]-B586)/B586</f>
        <v/>
      </c>
    </row>
    <row r="599">
      <c r="A599" s="17" t="n">
        <v>44317</v>
      </c>
      <c r="B599" s="58">
        <f>VLOOKUP(Table1345[[#This Row],[Date]],database!A:I,9,)</f>
        <v/>
      </c>
      <c r="C599" s="66">
        <f>B599/B598-1</f>
        <v/>
      </c>
      <c r="D599" s="66">
        <f>(Table1345[[#This Row],[Index]]-B587)/B587</f>
        <v/>
      </c>
    </row>
    <row r="600">
      <c r="A600" s="17" t="n">
        <v>44348</v>
      </c>
      <c r="B600" s="58">
        <f>VLOOKUP(Table1345[[#This Row],[Date]],database!A:I,9,)</f>
        <v/>
      </c>
      <c r="C600" s="66">
        <f>B600/B599-1</f>
        <v/>
      </c>
      <c r="D600" s="66">
        <f>(Table1345[[#This Row],[Index]]-B588)/B588</f>
        <v/>
      </c>
    </row>
    <row r="601">
      <c r="A601" s="17" t="n">
        <v>44378</v>
      </c>
      <c r="B601" s="58">
        <f>VLOOKUP(Table1345[[#This Row],[Date]],database!A:I,9,)</f>
        <v/>
      </c>
      <c r="C601" s="66">
        <f>B601/B600-1</f>
        <v/>
      </c>
      <c r="D601" s="66">
        <f>(Table1345[[#This Row],[Index]]-B589)/B589</f>
        <v/>
      </c>
    </row>
    <row r="602">
      <c r="A602" s="17" t="n">
        <v>44409</v>
      </c>
      <c r="B602" s="58">
        <f>VLOOKUP(Table1345[[#This Row],[Date]],database!A:I,9,)</f>
        <v/>
      </c>
      <c r="C602" s="66">
        <f>B602/B601-1</f>
        <v/>
      </c>
      <c r="D602" s="66">
        <f>(Table1345[[#This Row],[Index]]-B590)/B590</f>
        <v/>
      </c>
    </row>
    <row r="603">
      <c r="A603" s="17" t="n">
        <v>44440</v>
      </c>
      <c r="B603" s="58">
        <f>VLOOKUP(Table1345[[#This Row],[Date]],database!A:I,9,)</f>
        <v/>
      </c>
      <c r="C603" s="66">
        <f>B603/B602-1</f>
        <v/>
      </c>
      <c r="D603" s="66">
        <f>(Table1345[[#This Row],[Index]]-B591)/B591</f>
        <v/>
      </c>
    </row>
    <row r="604">
      <c r="A604" s="17" t="n">
        <v>44470</v>
      </c>
      <c r="B604" s="58">
        <f>VLOOKUP(Table1345[[#This Row],[Date]],database!A:I,9,)</f>
        <v/>
      </c>
      <c r="C604" s="66">
        <f>B604/B603-1</f>
        <v/>
      </c>
      <c r="D604" s="66">
        <f>(Table1345[[#This Row],[Index]]-B592)/B592</f>
        <v/>
      </c>
    </row>
    <row r="605">
      <c r="A605" s="17" t="n">
        <v>44501</v>
      </c>
      <c r="B605" s="58">
        <f>VLOOKUP(Table1345[[#This Row],[Date]],database!A:I,9,)</f>
        <v/>
      </c>
      <c r="C605" s="66">
        <f>B605/B604-1</f>
        <v/>
      </c>
      <c r="D605" s="66">
        <f>(Table1345[[#This Row],[Index]]-B593)/B593</f>
        <v/>
      </c>
    </row>
    <row r="606">
      <c r="A606" s="17" t="n">
        <v>44531</v>
      </c>
      <c r="B606" s="58">
        <f>VLOOKUP(Table1345[[#This Row],[Date]],database!A:I,9,)</f>
        <v/>
      </c>
      <c r="C606" s="66">
        <f>B606/B605-1</f>
        <v/>
      </c>
      <c r="D606" s="66">
        <f>(Table1345[[#This Row],[Index]]-B594)/B594</f>
        <v/>
      </c>
    </row>
    <row r="607">
      <c r="A607" s="17" t="n">
        <v>44562</v>
      </c>
      <c r="B607" s="58">
        <f>VLOOKUP(Table1345[[#This Row],[Date]],database!A:I,9,)</f>
        <v/>
      </c>
      <c r="C607" s="66">
        <f>B607/B606-1</f>
        <v/>
      </c>
      <c r="D607" s="66">
        <f>(Table1345[[#This Row],[Index]]-B595)/B595</f>
        <v/>
      </c>
    </row>
    <row r="608">
      <c r="A608" s="17" t="n">
        <v>44593</v>
      </c>
      <c r="B608" s="58">
        <f>VLOOKUP(Table1345[[#This Row],[Date]],database!A:I,9,)</f>
        <v/>
      </c>
      <c r="C608" s="66">
        <f>B608/B607-1</f>
        <v/>
      </c>
      <c r="D608" s="66">
        <f>(Table1345[[#This Row],[Index]]-B596)/B596</f>
        <v/>
      </c>
    </row>
    <row r="609">
      <c r="A609" s="17" t="n">
        <v>44621</v>
      </c>
      <c r="B609" s="58">
        <f>VLOOKUP(Table1345[[#This Row],[Date]],database!A:I,9,)</f>
        <v/>
      </c>
      <c r="C609" s="66">
        <f>B609/B608-1</f>
        <v/>
      </c>
      <c r="D609" s="66">
        <f>(Table1345[[#This Row],[Index]]-B597)/B597</f>
        <v/>
      </c>
    </row>
    <row r="610">
      <c r="A610" s="17" t="n">
        <v>44652</v>
      </c>
      <c r="B610" s="58">
        <f>VLOOKUP(Table1345[[#This Row],[Date]],database!A:I,9,)</f>
        <v/>
      </c>
      <c r="C610" s="66">
        <f>B610/B609-1</f>
        <v/>
      </c>
      <c r="D610" s="66">
        <f>(Table1345[[#This Row],[Index]]-B598)/B598</f>
        <v/>
      </c>
    </row>
    <row r="611">
      <c r="A611" s="17" t="n">
        <v>44682</v>
      </c>
      <c r="B611" s="58">
        <f>VLOOKUP(Table1345[[#This Row],[Date]],database!A:I,9,)</f>
        <v/>
      </c>
      <c r="C611" s="66">
        <f>B611/B610-1</f>
        <v/>
      </c>
      <c r="D611" s="66">
        <f>(Table1345[[#This Row],[Index]]-B599)/B599</f>
        <v/>
      </c>
    </row>
    <row r="612">
      <c r="A612" s="17" t="n">
        <v>44713</v>
      </c>
      <c r="B612" s="58">
        <f>VLOOKUP(Table1345[[#This Row],[Date]],database!A:I,9,)</f>
        <v/>
      </c>
      <c r="C612" s="66">
        <f>B612/B611-1</f>
        <v/>
      </c>
      <c r="D612" s="66">
        <f>(Table1345[[#This Row],[Index]]-B600)/B600</f>
        <v/>
      </c>
    </row>
    <row r="613">
      <c r="A613" s="17" t="n">
        <v>44743</v>
      </c>
      <c r="B613" s="58">
        <f>VLOOKUP(Table1345[[#This Row],[Date]],database!A:I,9,)</f>
        <v/>
      </c>
      <c r="C613" s="66">
        <f>B613/B612-1</f>
        <v/>
      </c>
      <c r="D613" s="66">
        <f>(Table1345[[#This Row],[Index]]-B601)/B601</f>
        <v/>
      </c>
    </row>
    <row r="614">
      <c r="A614" s="17" t="n">
        <v>44774</v>
      </c>
      <c r="B614" s="58">
        <f>VLOOKUP(Table1345[[#This Row],[Date]],database!A:I,9,)</f>
        <v/>
      </c>
      <c r="C614" s="66">
        <f>B614/B613-1</f>
        <v/>
      </c>
      <c r="D614" s="66">
        <f>(Table1345[[#This Row],[Index]]-B602)/B602</f>
        <v/>
      </c>
    </row>
    <row r="615">
      <c r="A615" s="17" t="n">
        <v>44805</v>
      </c>
      <c r="B615" s="58">
        <f>VLOOKUP(Table1345[[#This Row],[Date]],database!A:I,9,)</f>
        <v/>
      </c>
      <c r="C615" s="66">
        <f>B615/B614-1</f>
        <v/>
      </c>
      <c r="D615" s="66">
        <f>(Table1345[[#This Row],[Index]]-B603)/B603</f>
        <v/>
      </c>
    </row>
    <row r="616">
      <c r="A616" s="17" t="n">
        <v>44835</v>
      </c>
      <c r="B616" s="58">
        <f>VLOOKUP(Table1345[[#This Row],[Date]],database!A:I,9,)</f>
        <v/>
      </c>
      <c r="C616" s="66">
        <f>B616/B615-1</f>
        <v/>
      </c>
      <c r="D616" s="66">
        <f>(Table1345[[#This Row],[Index]]-B604)/B604</f>
        <v/>
      </c>
    </row>
    <row r="617">
      <c r="A617" s="17" t="n">
        <v>44866</v>
      </c>
      <c r="B617" s="58">
        <f>VLOOKUP(Table1345[[#This Row],[Date]],database!A:I,9,)</f>
        <v/>
      </c>
      <c r="C617" s="66">
        <f>B617/B616-1</f>
        <v/>
      </c>
      <c r="D617" s="66">
        <f>(Table1345[[#This Row],[Index]]-B605)/B605</f>
        <v/>
      </c>
    </row>
    <row r="618">
      <c r="A618" s="17" t="n">
        <v>44896</v>
      </c>
      <c r="B618" s="58">
        <f>VLOOKUP(Table1345[[#This Row],[Date]],database!A:I,9,)</f>
        <v/>
      </c>
      <c r="C618" s="66">
        <f>B618/B617-1</f>
        <v/>
      </c>
      <c r="D618" s="66">
        <f>(Table1345[[#This Row],[Index]]-B606)/B606</f>
        <v/>
      </c>
    </row>
    <row r="619">
      <c r="A619" s="17" t="n">
        <v>44927</v>
      </c>
      <c r="B619" s="58">
        <f>VLOOKUP(Table1345[[#This Row],[Date]],database!A:I,9,)</f>
        <v/>
      </c>
      <c r="C619" s="66">
        <f>B619/B618-1</f>
        <v/>
      </c>
      <c r="D619" s="66">
        <f>(Table1345[[#This Row],[Index]]-B607)/B607</f>
        <v/>
      </c>
    </row>
    <row r="620">
      <c r="A620" s="17" t="n">
        <v>44958</v>
      </c>
      <c r="B620" s="58">
        <f>VLOOKUP(Table1345[[#This Row],[Date]],database!A:I,9,)</f>
        <v/>
      </c>
      <c r="C620" s="66">
        <f>B620/B619-1</f>
        <v/>
      </c>
      <c r="D620" s="66">
        <f>(Table1345[[#This Row],[Index]]-B608)/B608</f>
        <v/>
      </c>
    </row>
    <row r="621">
      <c r="A621" s="17" t="n">
        <v>44986</v>
      </c>
      <c r="B621" s="58">
        <f>VLOOKUP(Table1345[[#This Row],[Date]],database!A:I,9,)</f>
        <v/>
      </c>
      <c r="C621" s="66">
        <f>B621/B620-1</f>
        <v/>
      </c>
      <c r="D621" s="66">
        <f>(Table1345[[#This Row],[Index]]-B609)/B609</f>
        <v/>
      </c>
    </row>
  </sheetData>
  <conditionalFormatting sqref="D463:D62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2023-04-15T16:57:32Z</dcterms:modified>
  <cp:lastModifiedBy>Mark Mukherjee</cp:lastModifiedBy>
</cp:coreProperties>
</file>