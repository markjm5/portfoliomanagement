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F12B1F62-E6CB-1848-B2CA-3319928CF9A3}" xr6:coauthVersionLast="47" xr6:coauthVersionMax="47" xr10:uidLastSave="{00000000-0000-0000-0000-000000000000}"/>
  <bookViews>
    <workbookView xWindow="-68680" yWindow="860" windowWidth="30720" windowHeight="26680" activeTab="4"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4" i="12" l="1"/>
  <c r="C614" i="12" s="1"/>
  <c r="B613" i="12"/>
  <c r="C613" i="12" s="1"/>
  <c r="C612" i="12"/>
  <c r="B612" i="12"/>
  <c r="B611" i="12"/>
  <c r="C610" i="12"/>
  <c r="B610" i="12"/>
  <c r="C611" i="12" s="1"/>
  <c r="B609" i="12"/>
  <c r="B608" i="12"/>
  <c r="C609" i="12" s="1"/>
  <c r="B607" i="12"/>
  <c r="D607" i="12" s="1"/>
  <c r="B606" i="12"/>
  <c r="C606" i="12" s="1"/>
  <c r="B605" i="12"/>
  <c r="C605" i="12" s="1"/>
  <c r="C604" i="12"/>
  <c r="B604" i="12"/>
  <c r="B603" i="12"/>
  <c r="C603" i="12" s="1"/>
  <c r="C602" i="12"/>
  <c r="B602" i="12"/>
  <c r="D614" i="12" s="1"/>
  <c r="B601" i="12"/>
  <c r="D613" i="12" s="1"/>
  <c r="B600" i="12"/>
  <c r="C601" i="12" s="1"/>
  <c r="B599" i="12"/>
  <c r="D611" i="12" s="1"/>
  <c r="B598" i="12"/>
  <c r="C598" i="12" s="1"/>
  <c r="B597" i="12"/>
  <c r="C597" i="12" s="1"/>
  <c r="C596" i="12"/>
  <c r="B596" i="12"/>
  <c r="D608" i="12" s="1"/>
  <c r="B595" i="12"/>
  <c r="C594" i="12"/>
  <c r="B594" i="12"/>
  <c r="D606" i="12" s="1"/>
  <c r="B593" i="12"/>
  <c r="D605" i="12" s="1"/>
  <c r="B592" i="12"/>
  <c r="C593" i="12" s="1"/>
  <c r="B591" i="12"/>
  <c r="D603" i="12" s="1"/>
  <c r="B590" i="12"/>
  <c r="C590" i="12" s="1"/>
  <c r="B589" i="12"/>
  <c r="C589" i="12" s="1"/>
  <c r="C588" i="12"/>
  <c r="B588" i="12"/>
  <c r="D600" i="12" s="1"/>
  <c r="B587" i="12"/>
  <c r="C586" i="12"/>
  <c r="B586" i="12"/>
  <c r="D598" i="12" s="1"/>
  <c r="B585" i="12"/>
  <c r="D597" i="12" s="1"/>
  <c r="B584" i="12"/>
  <c r="C585" i="12" s="1"/>
  <c r="B583" i="12"/>
  <c r="D595" i="12" s="1"/>
  <c r="B582" i="12"/>
  <c r="C582" i="12" s="1"/>
  <c r="B581" i="12"/>
  <c r="C581" i="12" s="1"/>
  <c r="C580" i="12"/>
  <c r="B580" i="12"/>
  <c r="D592" i="12" s="1"/>
  <c r="B579" i="12"/>
  <c r="C579" i="12" s="1"/>
  <c r="C578" i="12"/>
  <c r="B578" i="12"/>
  <c r="D590" i="12" s="1"/>
  <c r="B577" i="12"/>
  <c r="D589" i="12" s="1"/>
  <c r="B576" i="12"/>
  <c r="C577" i="12" s="1"/>
  <c r="B575" i="12"/>
  <c r="D587" i="12" s="1"/>
  <c r="B574" i="12"/>
  <c r="C574" i="12" s="1"/>
  <c r="B573" i="12"/>
  <c r="C573" i="12" s="1"/>
  <c r="C572" i="12"/>
  <c r="B572" i="12"/>
  <c r="D584" i="12" s="1"/>
  <c r="B571" i="12"/>
  <c r="C570" i="12"/>
  <c r="B570" i="12"/>
  <c r="D582" i="12" s="1"/>
  <c r="B569" i="12"/>
  <c r="D581" i="12" s="1"/>
  <c r="B568" i="12"/>
  <c r="C569" i="12" s="1"/>
  <c r="B567" i="12"/>
  <c r="D579" i="12" s="1"/>
  <c r="B566" i="12"/>
  <c r="C566" i="12" s="1"/>
  <c r="B565" i="12"/>
  <c r="C565" i="12" s="1"/>
  <c r="C564" i="12"/>
  <c r="B564" i="12"/>
  <c r="D576" i="12" s="1"/>
  <c r="B563" i="12"/>
  <c r="C562" i="12"/>
  <c r="B562" i="12"/>
  <c r="D574" i="12" s="1"/>
  <c r="B561" i="12"/>
  <c r="D573" i="12" s="1"/>
  <c r="B560" i="12"/>
  <c r="C561" i="12" s="1"/>
  <c r="B559" i="12"/>
  <c r="D571" i="12" s="1"/>
  <c r="B558" i="12"/>
  <c r="C558" i="12" s="1"/>
  <c r="B557" i="12"/>
  <c r="C557" i="12" s="1"/>
  <c r="C556" i="12"/>
  <c r="B556" i="12"/>
  <c r="D568" i="12" s="1"/>
  <c r="B555" i="12"/>
  <c r="C554" i="12"/>
  <c r="B554" i="12"/>
  <c r="D566" i="12" s="1"/>
  <c r="B553" i="12"/>
  <c r="D565" i="12" s="1"/>
  <c r="B552" i="12"/>
  <c r="C553" i="12" s="1"/>
  <c r="B551" i="12"/>
  <c r="D563" i="12" s="1"/>
  <c r="B550" i="12"/>
  <c r="C550" i="12" s="1"/>
  <c r="B549" i="12"/>
  <c r="C549" i="12" s="1"/>
  <c r="C548" i="12"/>
  <c r="B548" i="12"/>
  <c r="D560" i="12" s="1"/>
  <c r="B547" i="12"/>
  <c r="C547" i="12" s="1"/>
  <c r="C546" i="12"/>
  <c r="B546" i="12"/>
  <c r="D558" i="12" s="1"/>
  <c r="B545" i="12"/>
  <c r="D557" i="12" s="1"/>
  <c r="B544" i="12"/>
  <c r="C545" i="12" s="1"/>
  <c r="D543" i="12"/>
  <c r="B543" i="12"/>
  <c r="D555" i="12" s="1"/>
  <c r="B542" i="12"/>
  <c r="B541" i="12"/>
  <c r="C540" i="12"/>
  <c r="B540" i="12"/>
  <c r="D552" i="12" s="1"/>
  <c r="B539" i="12"/>
  <c r="C539" i="12" s="1"/>
  <c r="C538" i="12"/>
  <c r="B538" i="12"/>
  <c r="D550" i="12" s="1"/>
  <c r="B537" i="12"/>
  <c r="D549" i="12" s="1"/>
  <c r="B536" i="12"/>
  <c r="C537" i="12" s="1"/>
  <c r="B535" i="12"/>
  <c r="B534" i="12"/>
  <c r="C533" i="12"/>
  <c r="B533" i="12"/>
  <c r="D545" i="12" s="1"/>
  <c r="C532" i="12"/>
  <c r="B532" i="12"/>
  <c r="D544" i="12" s="1"/>
  <c r="B531" i="12"/>
  <c r="B530" i="12"/>
  <c r="D529" i="12"/>
  <c r="B529" i="12"/>
  <c r="B528" i="12"/>
  <c r="B527" i="12"/>
  <c r="B526" i="12"/>
  <c r="B525" i="12"/>
  <c r="D537" i="12" s="1"/>
  <c r="C524" i="12"/>
  <c r="B524" i="12"/>
  <c r="D536" i="12" s="1"/>
  <c r="B523" i="12"/>
  <c r="B522" i="12"/>
  <c r="B521" i="12"/>
  <c r="B520" i="12"/>
  <c r="B519" i="12"/>
  <c r="B518" i="12"/>
  <c r="C517" i="12"/>
  <c r="B517" i="12"/>
  <c r="C516" i="12"/>
  <c r="B516" i="12"/>
  <c r="D528" i="12" s="1"/>
  <c r="B515" i="12"/>
  <c r="B514" i="12"/>
  <c r="B513" i="12"/>
  <c r="B512" i="12"/>
  <c r="C511" i="12"/>
  <c r="B511" i="12"/>
  <c r="D523" i="12" s="1"/>
  <c r="B510" i="12"/>
  <c r="C509" i="12"/>
  <c r="B509" i="12"/>
  <c r="D521" i="12" s="1"/>
  <c r="C508" i="12"/>
  <c r="B508" i="12"/>
  <c r="B507" i="12"/>
  <c r="D506" i="12"/>
  <c r="B506" i="12"/>
  <c r="D505" i="12"/>
  <c r="B505" i="12"/>
  <c r="B504" i="12"/>
  <c r="D503" i="12"/>
  <c r="B503" i="12"/>
  <c r="D515" i="12" s="1"/>
  <c r="B502" i="12"/>
  <c r="B501" i="12"/>
  <c r="C501" i="12" s="1"/>
  <c r="C500" i="12"/>
  <c r="B500" i="12"/>
  <c r="D512" i="12" s="1"/>
  <c r="B499" i="12"/>
  <c r="C499" i="12" s="1"/>
  <c r="B498" i="12"/>
  <c r="D497" i="12"/>
  <c r="B497" i="12"/>
  <c r="B496" i="12"/>
  <c r="D495" i="12"/>
  <c r="C495" i="12"/>
  <c r="B495" i="12"/>
  <c r="D507" i="12" s="1"/>
  <c r="B494" i="12"/>
  <c r="B493" i="12"/>
  <c r="C493" i="12" s="1"/>
  <c r="C492" i="12"/>
  <c r="B492" i="12"/>
  <c r="B491" i="12"/>
  <c r="D490" i="12"/>
  <c r="B490" i="12"/>
  <c r="B489" i="12"/>
  <c r="B488" i="12"/>
  <c r="B487" i="12"/>
  <c r="B486" i="12"/>
  <c r="C485" i="12"/>
  <c r="B485" i="12"/>
  <c r="D485" i="12" s="1"/>
  <c r="C484" i="12"/>
  <c r="B484" i="12"/>
  <c r="B483" i="12"/>
  <c r="B482" i="12"/>
  <c r="D481" i="12"/>
  <c r="B481" i="12"/>
  <c r="B480" i="12"/>
  <c r="C479" i="12"/>
  <c r="B479" i="12"/>
  <c r="D491" i="12" s="1"/>
  <c r="B478" i="12"/>
  <c r="B477" i="12"/>
  <c r="C476" i="12"/>
  <c r="B476" i="12"/>
  <c r="B475" i="12"/>
  <c r="B474" i="12"/>
  <c r="D473" i="12"/>
  <c r="B473" i="12"/>
  <c r="B472" i="12"/>
  <c r="D471" i="12"/>
  <c r="B471" i="12"/>
  <c r="D483" i="12" s="1"/>
  <c r="B470" i="12"/>
  <c r="B469" i="12"/>
  <c r="D469" i="12" s="1"/>
  <c r="C468" i="12"/>
  <c r="B468" i="12"/>
  <c r="B467" i="12"/>
  <c r="B466" i="12"/>
  <c r="B465" i="12"/>
  <c r="B464" i="12"/>
  <c r="D463" i="12"/>
  <c r="C463" i="12"/>
  <c r="B463" i="12"/>
  <c r="D475" i="12" s="1"/>
  <c r="B462" i="12"/>
  <c r="B461" i="12"/>
  <c r="D461" i="12" s="1"/>
  <c r="D460" i="12"/>
  <c r="C460" i="12"/>
  <c r="B460" i="12"/>
  <c r="B459" i="12"/>
  <c r="B458" i="12"/>
  <c r="D457" i="12"/>
  <c r="B457" i="12"/>
  <c r="B456" i="12"/>
  <c r="B455" i="12"/>
  <c r="B454" i="12"/>
  <c r="B453" i="12"/>
  <c r="D453" i="12" s="1"/>
  <c r="D452" i="12"/>
  <c r="C452" i="12"/>
  <c r="B452" i="12"/>
  <c r="B451" i="12"/>
  <c r="D450" i="12"/>
  <c r="B450" i="12"/>
  <c r="D449" i="12"/>
  <c r="B449" i="12"/>
  <c r="B448" i="12"/>
  <c r="B447" i="12"/>
  <c r="B446" i="12"/>
  <c r="B445" i="12"/>
  <c r="D445" i="12" s="1"/>
  <c r="D444" i="12"/>
  <c r="C444" i="12"/>
  <c r="B444" i="12"/>
  <c r="B443" i="12"/>
  <c r="B442" i="12"/>
  <c r="B441" i="12"/>
  <c r="B440" i="12"/>
  <c r="B439" i="12"/>
  <c r="B438" i="12"/>
  <c r="C437" i="12"/>
  <c r="B437" i="12"/>
  <c r="D437" i="12" s="1"/>
  <c r="D436" i="12"/>
  <c r="C436" i="12"/>
  <c r="B436" i="12"/>
  <c r="B435" i="12"/>
  <c r="B434" i="12"/>
  <c r="B433" i="12"/>
  <c r="B432" i="12"/>
  <c r="B431" i="12"/>
  <c r="B430" i="12"/>
  <c r="B429" i="12"/>
  <c r="C428" i="12"/>
  <c r="B428" i="12"/>
  <c r="B427" i="12"/>
  <c r="B426" i="12"/>
  <c r="D425" i="12"/>
  <c r="B425" i="12"/>
  <c r="B424" i="12"/>
  <c r="B423" i="12"/>
  <c r="D435" i="12" s="1"/>
  <c r="B422" i="12"/>
  <c r="B421" i="12"/>
  <c r="D420" i="12"/>
  <c r="C420" i="12"/>
  <c r="B420" i="12"/>
  <c r="B419" i="12"/>
  <c r="B418" i="12"/>
  <c r="B417" i="12"/>
  <c r="B416" i="12"/>
  <c r="B415" i="12"/>
  <c r="D427" i="12" s="1"/>
  <c r="B414" i="12"/>
  <c r="B413" i="12"/>
  <c r="D413" i="12" s="1"/>
  <c r="C412" i="12"/>
  <c r="B412" i="12"/>
  <c r="B411" i="12"/>
  <c r="B410" i="12"/>
  <c r="D409" i="12"/>
  <c r="B409" i="12"/>
  <c r="B408" i="12"/>
  <c r="D407" i="12"/>
  <c r="B407" i="12"/>
  <c r="D419" i="12" s="1"/>
  <c r="B406" i="12"/>
  <c r="B405" i="12"/>
  <c r="D404" i="12"/>
  <c r="C404" i="12"/>
  <c r="B404" i="12"/>
  <c r="B403" i="12"/>
  <c r="B402" i="12"/>
  <c r="D401" i="12"/>
  <c r="B401" i="12"/>
  <c r="B400" i="12"/>
  <c r="D399" i="12"/>
  <c r="C399" i="12"/>
  <c r="B399" i="12"/>
  <c r="D411" i="12" s="1"/>
  <c r="B398" i="12"/>
  <c r="B397" i="12"/>
  <c r="D397" i="12" s="1"/>
  <c r="D396" i="12"/>
  <c r="C396" i="12"/>
  <c r="B396" i="12"/>
  <c r="B395" i="12"/>
  <c r="B394" i="12"/>
  <c r="D393" i="12"/>
  <c r="B393" i="12"/>
  <c r="B392" i="12"/>
  <c r="B391" i="12"/>
  <c r="B390" i="12"/>
  <c r="B389" i="12"/>
  <c r="D389" i="12" s="1"/>
  <c r="D388" i="12"/>
  <c r="C388" i="12"/>
  <c r="B388" i="12"/>
  <c r="B387" i="12"/>
  <c r="D386" i="12"/>
  <c r="B386" i="12"/>
  <c r="D385" i="12"/>
  <c r="B385" i="12"/>
  <c r="B384" i="12"/>
  <c r="C383" i="12"/>
  <c r="B383" i="12"/>
  <c r="D395" i="12" s="1"/>
  <c r="B382" i="12"/>
  <c r="B381" i="12"/>
  <c r="D381" i="12" s="1"/>
  <c r="C380" i="12"/>
  <c r="B380" i="12"/>
  <c r="B379" i="12"/>
  <c r="B378" i="12"/>
  <c r="B377" i="12"/>
  <c r="B376" i="12"/>
  <c r="B375" i="12"/>
  <c r="B374" i="12"/>
  <c r="C373" i="12"/>
  <c r="B373" i="12"/>
  <c r="D373" i="12" s="1"/>
  <c r="C372" i="12"/>
  <c r="B372" i="12"/>
  <c r="B371" i="12"/>
  <c r="B370" i="12"/>
  <c r="D369" i="12"/>
  <c r="B369" i="12"/>
  <c r="B368" i="12"/>
  <c r="B367" i="12"/>
  <c r="B366" i="12"/>
  <c r="C365" i="12"/>
  <c r="B365" i="12"/>
  <c r="D365" i="12" s="1"/>
  <c r="C364" i="12"/>
  <c r="B364" i="12"/>
  <c r="B363" i="12"/>
  <c r="B362" i="12"/>
  <c r="B361" i="12"/>
  <c r="B360" i="12"/>
  <c r="B359" i="12"/>
  <c r="D371" i="12" s="1"/>
  <c r="B358" i="12"/>
  <c r="D357" i="12"/>
  <c r="C357" i="12"/>
  <c r="B357" i="12"/>
  <c r="D356" i="12"/>
  <c r="B356" i="12"/>
  <c r="C355" i="12"/>
  <c r="B355" i="12"/>
  <c r="C356" i="12" s="1"/>
  <c r="C354" i="12"/>
  <c r="B354" i="12"/>
  <c r="D353" i="12"/>
  <c r="B353" i="12"/>
  <c r="B352" i="12"/>
  <c r="B351" i="12"/>
  <c r="D363" i="12" s="1"/>
  <c r="B350" i="12"/>
  <c r="D349" i="12"/>
  <c r="B349" i="12"/>
  <c r="D361" i="12" s="1"/>
  <c r="B348" i="12"/>
  <c r="B347" i="12"/>
  <c r="B346" i="12"/>
  <c r="D345" i="12"/>
  <c r="B345" i="12"/>
  <c r="B344" i="12"/>
  <c r="B343" i="12"/>
  <c r="B342" i="12"/>
  <c r="D341" i="12"/>
  <c r="C341" i="12"/>
  <c r="B341" i="12"/>
  <c r="B340" i="12"/>
  <c r="C339" i="12"/>
  <c r="B339" i="12"/>
  <c r="D338" i="12"/>
  <c r="C338" i="12"/>
  <c r="B338" i="12"/>
  <c r="D337" i="12"/>
  <c r="B337" i="12"/>
  <c r="B336" i="12"/>
  <c r="D335" i="12"/>
  <c r="C335" i="12"/>
  <c r="B335" i="12"/>
  <c r="B334" i="12"/>
  <c r="B333" i="12"/>
  <c r="D332" i="12"/>
  <c r="C332" i="12"/>
  <c r="B332" i="12"/>
  <c r="B331" i="12"/>
  <c r="B330" i="12"/>
  <c r="D329" i="12"/>
  <c r="B329" i="12"/>
  <c r="D328" i="12"/>
  <c r="B328" i="12"/>
  <c r="B327" i="12"/>
  <c r="B326" i="12"/>
  <c r="C326" i="12" s="1"/>
  <c r="D325" i="12"/>
  <c r="C325" i="12"/>
  <c r="B325" i="12"/>
  <c r="D324" i="12"/>
  <c r="B324" i="12"/>
  <c r="B323" i="12"/>
  <c r="C324" i="12" s="1"/>
  <c r="D322" i="12"/>
  <c r="C322" i="12"/>
  <c r="B322" i="12"/>
  <c r="D321" i="12"/>
  <c r="B321" i="12"/>
  <c r="B320" i="12"/>
  <c r="C321" i="12" s="1"/>
  <c r="D319" i="12"/>
  <c r="B319" i="12"/>
  <c r="B318" i="12"/>
  <c r="B317" i="12"/>
  <c r="D317" i="12" s="1"/>
  <c r="D316" i="12"/>
  <c r="B316" i="12"/>
  <c r="B315" i="12"/>
  <c r="B314" i="12"/>
  <c r="D313" i="12"/>
  <c r="B313" i="12"/>
  <c r="B312" i="12"/>
  <c r="C311" i="12"/>
  <c r="B311" i="12"/>
  <c r="B310" i="12"/>
  <c r="C310" i="12" s="1"/>
  <c r="D309" i="12"/>
  <c r="C309" i="12"/>
  <c r="B309" i="12"/>
  <c r="C308" i="12"/>
  <c r="B308" i="12"/>
  <c r="B307" i="12"/>
  <c r="C307" i="12" s="1"/>
  <c r="D306" i="12"/>
  <c r="C306" i="12"/>
  <c r="B306" i="12"/>
  <c r="C305" i="12"/>
  <c r="B305" i="12"/>
  <c r="B304" i="12"/>
  <c r="B303" i="12"/>
  <c r="B302" i="12"/>
  <c r="D301" i="12"/>
  <c r="B301" i="12"/>
  <c r="B300" i="12"/>
  <c r="C299" i="12"/>
  <c r="B299" i="12"/>
  <c r="D311" i="12" s="1"/>
  <c r="C298" i="12"/>
  <c r="B298" i="12"/>
  <c r="B297" i="12"/>
  <c r="B296" i="12"/>
  <c r="C297" i="12" s="1"/>
  <c r="C295" i="12"/>
  <c r="B295" i="12"/>
  <c r="B294" i="12"/>
  <c r="B293" i="12"/>
  <c r="D293" i="12" s="1"/>
  <c r="D292" i="12"/>
  <c r="C292" i="12"/>
  <c r="B292" i="12"/>
  <c r="D304" i="12" s="1"/>
  <c r="B291" i="12"/>
  <c r="B290" i="12"/>
  <c r="C290" i="12" s="1"/>
  <c r="D289" i="12"/>
  <c r="C289" i="12"/>
  <c r="B289" i="12"/>
  <c r="B288" i="12"/>
  <c r="B287" i="12"/>
  <c r="B286" i="12"/>
  <c r="C286" i="12" s="1"/>
  <c r="C285" i="12"/>
  <c r="B285" i="12"/>
  <c r="D297" i="12" s="1"/>
  <c r="B284" i="12"/>
  <c r="B283" i="12"/>
  <c r="B282" i="12"/>
  <c r="D281" i="12"/>
  <c r="C281" i="12"/>
  <c r="B281" i="12"/>
  <c r="B280" i="12"/>
  <c r="B279" i="12"/>
  <c r="B278" i="12"/>
  <c r="C278" i="12" s="1"/>
  <c r="C277" i="12"/>
  <c r="B277" i="12"/>
  <c r="B276" i="12"/>
  <c r="D288" i="12" s="1"/>
  <c r="B275" i="12"/>
  <c r="D287" i="12" s="1"/>
  <c r="B274" i="12"/>
  <c r="D273" i="12"/>
  <c r="B273" i="12"/>
  <c r="D285" i="12" s="1"/>
  <c r="B272" i="12"/>
  <c r="D284" i="12" s="1"/>
  <c r="B271" i="12"/>
  <c r="D270" i="12"/>
  <c r="B270" i="12"/>
  <c r="B269" i="12"/>
  <c r="B268" i="12"/>
  <c r="D267" i="12"/>
  <c r="C267" i="12"/>
  <c r="B267" i="12"/>
  <c r="B266" i="12"/>
  <c r="B265" i="12"/>
  <c r="D277" i="12" s="1"/>
  <c r="D264" i="12"/>
  <c r="C264" i="12"/>
  <c r="B264" i="12"/>
  <c r="B263" i="12"/>
  <c r="D275" i="12" s="1"/>
  <c r="D262" i="12"/>
  <c r="B262" i="12"/>
  <c r="C262" i="12" s="1"/>
  <c r="D261" i="12"/>
  <c r="B261" i="12"/>
  <c r="B260" i="12"/>
  <c r="D259" i="12"/>
  <c r="C259" i="12"/>
  <c r="B259" i="12"/>
  <c r="D258" i="12"/>
  <c r="B258" i="12"/>
  <c r="B257" i="12"/>
  <c r="B256" i="12"/>
  <c r="D268" i="12" s="1"/>
  <c r="C255" i="12"/>
  <c r="B255" i="12"/>
  <c r="B254" i="12"/>
  <c r="C253" i="12"/>
  <c r="B253" i="12"/>
  <c r="D252" i="12"/>
  <c r="B252" i="12"/>
  <c r="C252" i="12" s="1"/>
  <c r="C251" i="12"/>
  <c r="B251" i="12"/>
  <c r="D263" i="12" s="1"/>
  <c r="B250" i="12"/>
  <c r="C250" i="12" s="1"/>
  <c r="D249" i="12"/>
  <c r="B249" i="12"/>
  <c r="C248" i="12"/>
  <c r="B248" i="12"/>
  <c r="D260" i="12" s="1"/>
  <c r="C247" i="12"/>
  <c r="B247" i="12"/>
  <c r="D246" i="12"/>
  <c r="B246" i="12"/>
  <c r="C246" i="12" s="1"/>
  <c r="B245" i="12"/>
  <c r="B244" i="12"/>
  <c r="B243" i="12"/>
  <c r="D255" i="12" s="1"/>
  <c r="B242" i="12"/>
  <c r="B241" i="12"/>
  <c r="B240" i="12"/>
  <c r="C240" i="12" s="1"/>
  <c r="C239" i="12"/>
  <c r="B239" i="12"/>
  <c r="D251" i="12" s="1"/>
  <c r="B238" i="12"/>
  <c r="D250" i="12" s="1"/>
  <c r="B237" i="12"/>
  <c r="B236" i="12"/>
  <c r="D235" i="12"/>
  <c r="C235" i="12"/>
  <c r="B235" i="12"/>
  <c r="B234" i="12"/>
  <c r="C233" i="12"/>
  <c r="B233" i="12"/>
  <c r="D232" i="12"/>
  <c r="C232" i="12"/>
  <c r="B232" i="12"/>
  <c r="B231" i="12"/>
  <c r="D243" i="12" s="1"/>
  <c r="B230" i="12"/>
  <c r="D229" i="12"/>
  <c r="C229" i="12"/>
  <c r="B229" i="12"/>
  <c r="B228" i="12"/>
  <c r="C227" i="12"/>
  <c r="B227" i="12"/>
  <c r="D239" i="12" s="1"/>
  <c r="D226" i="12"/>
  <c r="B226" i="12"/>
  <c r="B225" i="12"/>
  <c r="B224" i="12"/>
  <c r="C224" i="12" s="1"/>
  <c r="B223" i="12"/>
  <c r="B222" i="12"/>
  <c r="D221" i="12"/>
  <c r="C221" i="12"/>
  <c r="B221" i="12"/>
  <c r="D220" i="12"/>
  <c r="B220" i="12"/>
  <c r="C220" i="12" s="1"/>
  <c r="B219" i="12"/>
  <c r="D231" i="12" s="1"/>
  <c r="B218" i="12"/>
  <c r="D217" i="12"/>
  <c r="B217" i="12"/>
  <c r="B216" i="12"/>
  <c r="D228" i="12" s="1"/>
  <c r="C215" i="12"/>
  <c r="B215" i="12"/>
  <c r="D227" i="12" s="1"/>
  <c r="D214" i="12"/>
  <c r="B214" i="12"/>
  <c r="C214" i="12" s="1"/>
  <c r="B213" i="12"/>
  <c r="B212" i="12"/>
  <c r="B211" i="12"/>
  <c r="D223" i="12" s="1"/>
  <c r="B210" i="12"/>
  <c r="D209" i="12"/>
  <c r="B209" i="12"/>
  <c r="C209" i="12" s="1"/>
  <c r="B208" i="12"/>
  <c r="C208" i="12" s="1"/>
  <c r="C207" i="12"/>
  <c r="B207" i="12"/>
  <c r="D219" i="12" s="1"/>
  <c r="D206" i="12"/>
  <c r="B206" i="12"/>
  <c r="C206" i="12" s="1"/>
  <c r="B205" i="12"/>
  <c r="B204" i="12"/>
  <c r="D203" i="12"/>
  <c r="C203" i="12"/>
  <c r="B203" i="12"/>
  <c r="B202" i="12"/>
  <c r="B201" i="12"/>
  <c r="D213" i="12" s="1"/>
  <c r="D200" i="12"/>
  <c r="C200" i="12"/>
  <c r="B200" i="12"/>
  <c r="B199" i="12"/>
  <c r="D211" i="12" s="1"/>
  <c r="D198" i="12"/>
  <c r="B198" i="12"/>
  <c r="C198" i="12" s="1"/>
  <c r="C197" i="12"/>
  <c r="B197" i="12"/>
  <c r="B196" i="12"/>
  <c r="D195" i="12"/>
  <c r="C195" i="12"/>
  <c r="B195" i="12"/>
  <c r="B194" i="12"/>
  <c r="C194" i="12" s="1"/>
  <c r="C193" i="12"/>
  <c r="B193" i="12"/>
  <c r="C192" i="12"/>
  <c r="B192" i="12"/>
  <c r="D204" i="12" s="1"/>
  <c r="B191" i="12"/>
  <c r="B190" i="12"/>
  <c r="D189" i="12"/>
  <c r="C189" i="12"/>
  <c r="B189" i="12"/>
  <c r="B188" i="12"/>
  <c r="C188" i="12" s="1"/>
  <c r="B187" i="12"/>
  <c r="D199" i="12" s="1"/>
  <c r="B186" i="12"/>
  <c r="B185" i="12"/>
  <c r="D184" i="12"/>
  <c r="B184" i="12"/>
  <c r="B183" i="12"/>
  <c r="B182" i="12"/>
  <c r="D181" i="12"/>
  <c r="C181" i="12"/>
  <c r="B181" i="12"/>
  <c r="B180" i="12"/>
  <c r="D179" i="12"/>
  <c r="C179" i="12"/>
  <c r="B179" i="12"/>
  <c r="D191" i="12" s="1"/>
  <c r="D178" i="12"/>
  <c r="B178" i="12"/>
  <c r="C178" i="12" s="1"/>
  <c r="B177" i="12"/>
  <c r="D177" i="12" s="1"/>
  <c r="B176" i="12"/>
  <c r="B175" i="12"/>
  <c r="B174" i="12"/>
  <c r="D174" i="12" s="1"/>
  <c r="B173" i="12"/>
  <c r="B172" i="12"/>
  <c r="B171" i="12"/>
  <c r="D170" i="12"/>
  <c r="B170" i="12"/>
  <c r="B169" i="12"/>
  <c r="D169" i="12" s="1"/>
  <c r="D168" i="12"/>
  <c r="B168" i="12"/>
  <c r="B167" i="12"/>
  <c r="C167" i="12" s="1"/>
  <c r="D166" i="12"/>
  <c r="B166" i="12"/>
  <c r="C166" i="12" s="1"/>
  <c r="C165" i="12"/>
  <c r="B165" i="12"/>
  <c r="B164" i="12"/>
  <c r="D163" i="12"/>
  <c r="C163" i="12"/>
  <c r="B163" i="12"/>
  <c r="D175" i="12" s="1"/>
  <c r="B162" i="12"/>
  <c r="C162" i="12" s="1"/>
  <c r="C161" i="12"/>
  <c r="B161" i="12"/>
  <c r="D161" i="12" s="1"/>
  <c r="B160" i="12"/>
  <c r="B159" i="12"/>
  <c r="B158" i="12"/>
  <c r="D157" i="12"/>
  <c r="C157" i="12"/>
  <c r="B157" i="12"/>
  <c r="B156" i="12"/>
  <c r="C156" i="12" s="1"/>
  <c r="B155" i="12"/>
  <c r="D167" i="12" s="1"/>
  <c r="B154" i="12"/>
  <c r="B153" i="12"/>
  <c r="D152" i="12"/>
  <c r="B152" i="12"/>
  <c r="B151" i="12"/>
  <c r="B150" i="12"/>
  <c r="D149" i="12"/>
  <c r="C149" i="12"/>
  <c r="B149" i="12"/>
  <c r="B148" i="12"/>
  <c r="D147" i="12"/>
  <c r="C147" i="12"/>
  <c r="B147" i="12"/>
  <c r="D159" i="12" s="1"/>
  <c r="D146" i="12"/>
  <c r="B146" i="12"/>
  <c r="C146" i="12" s="1"/>
  <c r="B145" i="12"/>
  <c r="D145" i="12" s="1"/>
  <c r="B144" i="12"/>
  <c r="B143" i="12"/>
  <c r="B142" i="12"/>
  <c r="D142" i="12" s="1"/>
  <c r="B141" i="12"/>
  <c r="B140" i="12"/>
  <c r="B139" i="12"/>
  <c r="D138" i="12"/>
  <c r="B138" i="12"/>
  <c r="B137" i="12"/>
  <c r="D137" i="12" s="1"/>
  <c r="D136" i="12"/>
  <c r="B136" i="12"/>
  <c r="B135" i="12"/>
  <c r="C135" i="12" s="1"/>
  <c r="D134" i="12"/>
  <c r="B134" i="12"/>
  <c r="C134" i="12" s="1"/>
  <c r="C133" i="12"/>
  <c r="B133" i="12"/>
  <c r="B132" i="12"/>
  <c r="D131" i="12"/>
  <c r="C131" i="12"/>
  <c r="B131" i="12"/>
  <c r="D143" i="12" s="1"/>
  <c r="B130" i="12"/>
  <c r="C130" i="12" s="1"/>
  <c r="C129" i="12"/>
  <c r="B129" i="12"/>
  <c r="D129" i="12" s="1"/>
  <c r="B128" i="12"/>
  <c r="B127" i="12"/>
  <c r="B126" i="12"/>
  <c r="D125" i="12"/>
  <c r="C125" i="12"/>
  <c r="B125" i="12"/>
  <c r="B124" i="12"/>
  <c r="C124" i="12" s="1"/>
  <c r="B123" i="12"/>
  <c r="D135" i="12" s="1"/>
  <c r="B122" i="12"/>
  <c r="B121" i="12"/>
  <c r="D120" i="12"/>
  <c r="B120" i="12"/>
  <c r="B119" i="12"/>
  <c r="B118" i="12"/>
  <c r="D117" i="12"/>
  <c r="C117" i="12"/>
  <c r="B117" i="12"/>
  <c r="B116" i="12"/>
  <c r="D115" i="12"/>
  <c r="C115" i="12"/>
  <c r="B115" i="12"/>
  <c r="D127" i="12" s="1"/>
  <c r="D114" i="12"/>
  <c r="B114" i="12"/>
  <c r="C114" i="12" s="1"/>
  <c r="B113" i="12"/>
  <c r="D113" i="12" s="1"/>
  <c r="B112" i="12"/>
  <c r="B111" i="12"/>
  <c r="B110" i="12"/>
  <c r="D110" i="12" s="1"/>
  <c r="B109" i="12"/>
  <c r="B108" i="12"/>
  <c r="B107" i="12"/>
  <c r="B106" i="12"/>
  <c r="B105" i="12"/>
  <c r="D105" i="12" s="1"/>
  <c r="D104" i="12"/>
  <c r="B104" i="12"/>
  <c r="B103" i="12"/>
  <c r="C103" i="12" s="1"/>
  <c r="D102" i="12"/>
  <c r="B102" i="12"/>
  <c r="C102" i="12" s="1"/>
  <c r="C101" i="12"/>
  <c r="B101" i="12"/>
  <c r="B100" i="12"/>
  <c r="D99" i="12"/>
  <c r="C99" i="12"/>
  <c r="B99" i="12"/>
  <c r="D111" i="12" s="1"/>
  <c r="B98" i="12"/>
  <c r="C98" i="12" s="1"/>
  <c r="C97" i="12"/>
  <c r="B97" i="12"/>
  <c r="D97" i="12" s="1"/>
  <c r="B96" i="12"/>
  <c r="B95" i="12"/>
  <c r="B94" i="12"/>
  <c r="D93" i="12"/>
  <c r="C93" i="12"/>
  <c r="B93" i="12"/>
  <c r="B92" i="12"/>
  <c r="C92" i="12" s="1"/>
  <c r="B91" i="12"/>
  <c r="D103" i="12" s="1"/>
  <c r="B90" i="12"/>
  <c r="B89" i="12"/>
  <c r="B88" i="12"/>
  <c r="B87" i="12"/>
  <c r="B86" i="12"/>
  <c r="D85" i="12"/>
  <c r="C85" i="12"/>
  <c r="B85" i="12"/>
  <c r="B84" i="12"/>
  <c r="D83" i="12"/>
  <c r="C83" i="12"/>
  <c r="B83" i="12"/>
  <c r="D95" i="12" s="1"/>
  <c r="D82" i="12"/>
  <c r="B82" i="12"/>
  <c r="C82" i="12" s="1"/>
  <c r="B81" i="12"/>
  <c r="D81" i="12" s="1"/>
  <c r="B80" i="12"/>
  <c r="B79" i="12"/>
  <c r="B78" i="12"/>
  <c r="D78" i="12" s="1"/>
  <c r="B77" i="12"/>
  <c r="B76" i="12"/>
  <c r="B75" i="12"/>
  <c r="D74" i="12"/>
  <c r="B74" i="12"/>
  <c r="B73" i="12"/>
  <c r="D73" i="12" s="1"/>
  <c r="D72" i="12"/>
  <c r="B72" i="12"/>
  <c r="B71" i="12"/>
  <c r="C71" i="12" s="1"/>
  <c r="D70" i="12"/>
  <c r="B70" i="12"/>
  <c r="C70" i="12" s="1"/>
  <c r="C69" i="12"/>
  <c r="B69" i="12"/>
  <c r="B68" i="12"/>
  <c r="D67" i="12"/>
  <c r="C67" i="12"/>
  <c r="B67" i="12"/>
  <c r="D79" i="12" s="1"/>
  <c r="B66" i="12"/>
  <c r="C66" i="12" s="1"/>
  <c r="C65" i="12"/>
  <c r="B65" i="12"/>
  <c r="D65" i="12" s="1"/>
  <c r="B64" i="12"/>
  <c r="B63" i="12"/>
  <c r="B62" i="12"/>
  <c r="D61" i="12"/>
  <c r="C61" i="12"/>
  <c r="B61" i="12"/>
  <c r="B60" i="12"/>
  <c r="C60" i="12" s="1"/>
  <c r="B59" i="12"/>
  <c r="D71" i="12" s="1"/>
  <c r="B58" i="12"/>
  <c r="B57" i="12"/>
  <c r="B56" i="12"/>
  <c r="B55" i="12"/>
  <c r="B54" i="12"/>
  <c r="D53" i="12"/>
  <c r="C53" i="12"/>
  <c r="B53" i="12"/>
  <c r="B52" i="12"/>
  <c r="D51" i="12"/>
  <c r="C51" i="12"/>
  <c r="B51" i="12"/>
  <c r="D63" i="12" s="1"/>
  <c r="D50" i="12"/>
  <c r="B50" i="12"/>
  <c r="C50" i="12" s="1"/>
  <c r="C49" i="12"/>
  <c r="B49" i="12"/>
  <c r="D49" i="12" s="1"/>
  <c r="B48" i="12"/>
  <c r="B47" i="12"/>
  <c r="B46" i="12"/>
  <c r="D46" i="12" s="1"/>
  <c r="B45" i="12"/>
  <c r="B44" i="12"/>
  <c r="B43" i="12"/>
  <c r="B42" i="12"/>
  <c r="B41" i="12"/>
  <c r="D41" i="12" s="1"/>
  <c r="D40" i="12"/>
  <c r="B40" i="12"/>
  <c r="B39" i="12"/>
  <c r="C39" i="12" s="1"/>
  <c r="D38" i="12"/>
  <c r="B38" i="12"/>
  <c r="C38" i="12" s="1"/>
  <c r="D37" i="12"/>
  <c r="B37" i="12"/>
  <c r="B36" i="12"/>
  <c r="D35" i="12"/>
  <c r="C35" i="12"/>
  <c r="B35" i="12"/>
  <c r="D47" i="12" s="1"/>
  <c r="B34" i="12"/>
  <c r="C34" i="12" s="1"/>
  <c r="C33" i="12"/>
  <c r="B33" i="12"/>
  <c r="D33" i="12" s="1"/>
  <c r="D32" i="12"/>
  <c r="C32" i="12"/>
  <c r="B32" i="12"/>
  <c r="B31" i="12"/>
  <c r="B30" i="12"/>
  <c r="D29" i="12"/>
  <c r="C29" i="12"/>
  <c r="B29" i="12"/>
  <c r="B28" i="12"/>
  <c r="B27" i="12"/>
  <c r="B26" i="12"/>
  <c r="C26" i="12" s="1"/>
  <c r="D25" i="12"/>
  <c r="C25" i="12"/>
  <c r="B25" i="12"/>
  <c r="B24" i="12"/>
  <c r="B23" i="12"/>
  <c r="B22" i="12"/>
  <c r="D21" i="12"/>
  <c r="B21" i="12"/>
  <c r="C20" i="12"/>
  <c r="B20" i="12"/>
  <c r="C21" i="12" s="1"/>
  <c r="B19" i="12"/>
  <c r="D31" i="12" s="1"/>
  <c r="C18" i="12"/>
  <c r="B18" i="12"/>
  <c r="B17" i="12"/>
  <c r="B16" i="12"/>
  <c r="B15" i="12"/>
  <c r="B14" i="12"/>
  <c r="D26" i="12" s="1"/>
  <c r="B13" i="12"/>
  <c r="B12" i="12"/>
  <c r="D24" i="12" s="1"/>
  <c r="C11" i="12"/>
  <c r="B11" i="12"/>
  <c r="D23" i="12" s="1"/>
  <c r="C10" i="12"/>
  <c r="B10" i="12"/>
  <c r="B9" i="12"/>
  <c r="C9" i="12" s="1"/>
  <c r="B8" i="12"/>
  <c r="B7" i="12"/>
  <c r="U2" i="12"/>
  <c r="Y1" i="12" s="1"/>
  <c r="U1" i="12"/>
  <c r="B614" i="11"/>
  <c r="C614" i="11" s="1"/>
  <c r="D613" i="11"/>
  <c r="B613" i="11"/>
  <c r="C613" i="11" s="1"/>
  <c r="B612" i="11"/>
  <c r="B611" i="11"/>
  <c r="C612" i="11" s="1"/>
  <c r="D610" i="11"/>
  <c r="B610" i="11"/>
  <c r="C610" i="11" s="1"/>
  <c r="D609" i="11"/>
  <c r="B609" i="11"/>
  <c r="C609" i="11" s="1"/>
  <c r="B608" i="11"/>
  <c r="D608" i="11" s="1"/>
  <c r="D607" i="11"/>
  <c r="B607" i="11"/>
  <c r="C607" i="11" s="1"/>
  <c r="B606" i="11"/>
  <c r="D605" i="11"/>
  <c r="B605" i="11"/>
  <c r="C605" i="11" s="1"/>
  <c r="C604" i="11"/>
  <c r="B604" i="11"/>
  <c r="B603" i="11"/>
  <c r="B602" i="11"/>
  <c r="D601" i="11"/>
  <c r="B601" i="11"/>
  <c r="B600" i="11"/>
  <c r="B599" i="11"/>
  <c r="B598" i="11"/>
  <c r="C598" i="11" s="1"/>
  <c r="D597" i="11"/>
  <c r="B597" i="11"/>
  <c r="C597" i="11" s="1"/>
  <c r="D596" i="11"/>
  <c r="C596" i="11"/>
  <c r="B596" i="11"/>
  <c r="B595" i="11"/>
  <c r="C595" i="11" s="1"/>
  <c r="D594" i="11"/>
  <c r="B594" i="11"/>
  <c r="D593" i="11"/>
  <c r="B593" i="11"/>
  <c r="B592" i="11"/>
  <c r="D592" i="11" s="1"/>
  <c r="B591" i="11"/>
  <c r="B590" i="11"/>
  <c r="C590" i="11" s="1"/>
  <c r="B589" i="11"/>
  <c r="C589" i="11" s="1"/>
  <c r="D588" i="11"/>
  <c r="C588" i="11"/>
  <c r="B588" i="11"/>
  <c r="B587" i="11"/>
  <c r="B586" i="11"/>
  <c r="D585" i="11"/>
  <c r="B585" i="11"/>
  <c r="B584" i="11"/>
  <c r="B583" i="11"/>
  <c r="B582" i="11"/>
  <c r="C582" i="11" s="1"/>
  <c r="D581" i="11"/>
  <c r="B581" i="11"/>
  <c r="C581" i="11" s="1"/>
  <c r="D580" i="11"/>
  <c r="B580" i="11"/>
  <c r="B579" i="11"/>
  <c r="D591" i="11" s="1"/>
  <c r="B578" i="11"/>
  <c r="D577" i="11"/>
  <c r="B577" i="11"/>
  <c r="C577" i="11" s="1"/>
  <c r="C576" i="11"/>
  <c r="B576" i="11"/>
  <c r="D576" i="11" s="1"/>
  <c r="B575" i="11"/>
  <c r="B574" i="11"/>
  <c r="B573" i="11"/>
  <c r="D572" i="11"/>
  <c r="C572" i="11"/>
  <c r="B572" i="11"/>
  <c r="B571" i="11"/>
  <c r="C571" i="11" s="1"/>
  <c r="B570" i="11"/>
  <c r="D569" i="11"/>
  <c r="B569" i="11"/>
  <c r="B568" i="11"/>
  <c r="B567" i="11"/>
  <c r="B566" i="11"/>
  <c r="D565" i="11"/>
  <c r="B565" i="11"/>
  <c r="C565" i="11" s="1"/>
  <c r="B564" i="11"/>
  <c r="C563" i="11"/>
  <c r="B563" i="11"/>
  <c r="D575" i="11" s="1"/>
  <c r="D562" i="11"/>
  <c r="B562" i="11"/>
  <c r="D561" i="11"/>
  <c r="B561" i="11"/>
  <c r="B560" i="11"/>
  <c r="D560" i="11" s="1"/>
  <c r="D559" i="11"/>
  <c r="B559" i="11"/>
  <c r="B558" i="11"/>
  <c r="D557" i="11"/>
  <c r="B557" i="11"/>
  <c r="C557" i="11" s="1"/>
  <c r="B556" i="11"/>
  <c r="B555" i="11"/>
  <c r="D554" i="11"/>
  <c r="B554" i="11"/>
  <c r="D553" i="11"/>
  <c r="B553" i="11"/>
  <c r="B552" i="11"/>
  <c r="B551" i="11"/>
  <c r="B550" i="11"/>
  <c r="C550" i="11" s="1"/>
  <c r="D549" i="11"/>
  <c r="B549" i="11"/>
  <c r="C549" i="11" s="1"/>
  <c r="D548" i="11"/>
  <c r="B548" i="11"/>
  <c r="C547" i="11"/>
  <c r="B547" i="11"/>
  <c r="C548" i="11" s="1"/>
  <c r="B546" i="11"/>
  <c r="D545" i="11"/>
  <c r="B545" i="11"/>
  <c r="C545" i="11" s="1"/>
  <c r="B544" i="11"/>
  <c r="D544" i="11" s="1"/>
  <c r="D543" i="11"/>
  <c r="B543" i="11"/>
  <c r="B542" i="11"/>
  <c r="B541" i="11"/>
  <c r="C541" i="11" s="1"/>
  <c r="D540" i="11"/>
  <c r="B540" i="11"/>
  <c r="B539" i="11"/>
  <c r="B538" i="11"/>
  <c r="B537" i="11"/>
  <c r="B536" i="11"/>
  <c r="B535" i="11"/>
  <c r="B534" i="11"/>
  <c r="C534" i="11" s="1"/>
  <c r="D533" i="11"/>
  <c r="B533" i="11"/>
  <c r="C533" i="11" s="1"/>
  <c r="C532" i="11"/>
  <c r="B532" i="11"/>
  <c r="B531" i="11"/>
  <c r="C531" i="11" s="1"/>
  <c r="D530" i="11"/>
  <c r="B530" i="11"/>
  <c r="D529" i="11"/>
  <c r="B529" i="11"/>
  <c r="C528" i="11"/>
  <c r="B528" i="11"/>
  <c r="D528" i="11" s="1"/>
  <c r="B527" i="11"/>
  <c r="B526" i="11"/>
  <c r="C526" i="11" s="1"/>
  <c r="D525" i="11"/>
  <c r="B525" i="11"/>
  <c r="C525" i="11" s="1"/>
  <c r="C524" i="11"/>
  <c r="B524" i="11"/>
  <c r="B523" i="11"/>
  <c r="B522" i="11"/>
  <c r="D521" i="11"/>
  <c r="B521" i="11"/>
  <c r="B520" i="11"/>
  <c r="B519" i="11"/>
  <c r="B518" i="11"/>
  <c r="C518" i="11" s="1"/>
  <c r="D517" i="11"/>
  <c r="B517" i="11"/>
  <c r="C517" i="11" s="1"/>
  <c r="D516" i="11"/>
  <c r="C516" i="11"/>
  <c r="B516" i="11"/>
  <c r="C515" i="11"/>
  <c r="B515" i="11"/>
  <c r="D527" i="11" s="1"/>
  <c r="B514" i="11"/>
  <c r="D513" i="11"/>
  <c r="B513" i="11"/>
  <c r="B512" i="11"/>
  <c r="D512" i="11" s="1"/>
  <c r="D511" i="11"/>
  <c r="B511" i="11"/>
  <c r="B510" i="11"/>
  <c r="B509" i="11"/>
  <c r="B508" i="11"/>
  <c r="B507" i="11"/>
  <c r="B506" i="11"/>
  <c r="D505" i="11"/>
  <c r="B505" i="11"/>
  <c r="B504" i="11"/>
  <c r="B503" i="11"/>
  <c r="B502" i="11"/>
  <c r="D501" i="11"/>
  <c r="B501" i="11"/>
  <c r="C501" i="11" s="1"/>
  <c r="B500" i="11"/>
  <c r="B499" i="11"/>
  <c r="C500" i="11" s="1"/>
  <c r="D498" i="11"/>
  <c r="B498" i="11"/>
  <c r="D497" i="11"/>
  <c r="B497" i="11"/>
  <c r="B496" i="11"/>
  <c r="D496" i="11" s="1"/>
  <c r="B495" i="11"/>
  <c r="B494" i="11"/>
  <c r="C494" i="11" s="1"/>
  <c r="D493" i="11"/>
  <c r="B493" i="11"/>
  <c r="C493" i="11" s="1"/>
  <c r="C492" i="11"/>
  <c r="B492" i="11"/>
  <c r="B491" i="11"/>
  <c r="B490" i="11"/>
  <c r="D489" i="11"/>
  <c r="B489" i="11"/>
  <c r="B488" i="11"/>
  <c r="B487" i="11"/>
  <c r="B486" i="11"/>
  <c r="C486" i="11" s="1"/>
  <c r="D485" i="11"/>
  <c r="B485" i="11"/>
  <c r="C485" i="11" s="1"/>
  <c r="D484" i="11"/>
  <c r="B484" i="11"/>
  <c r="C483" i="11"/>
  <c r="B483" i="11"/>
  <c r="B482" i="11"/>
  <c r="D481" i="11"/>
  <c r="B481" i="11"/>
  <c r="C481" i="11" s="1"/>
  <c r="B480" i="11"/>
  <c r="D480" i="11" s="1"/>
  <c r="D479" i="11"/>
  <c r="B479" i="11"/>
  <c r="B478" i="11"/>
  <c r="B477" i="11"/>
  <c r="C477" i="11" s="1"/>
  <c r="B476" i="11"/>
  <c r="B475" i="11"/>
  <c r="B474" i="11"/>
  <c r="D473" i="11"/>
  <c r="B473" i="11"/>
  <c r="B472" i="11"/>
  <c r="B471" i="11"/>
  <c r="B470" i="11"/>
  <c r="D469" i="11"/>
  <c r="B469" i="11"/>
  <c r="C469" i="11" s="1"/>
  <c r="D468" i="11"/>
  <c r="B468" i="11"/>
  <c r="B467" i="11"/>
  <c r="C468" i="11" s="1"/>
  <c r="D466" i="11"/>
  <c r="B466" i="11"/>
  <c r="D465" i="11"/>
  <c r="B465" i="11"/>
  <c r="C465" i="11" s="1"/>
  <c r="B464" i="11"/>
  <c r="C464" i="11" s="1"/>
  <c r="B463" i="11"/>
  <c r="B462" i="11"/>
  <c r="C462" i="11" s="1"/>
  <c r="D461" i="11"/>
  <c r="C461" i="11"/>
  <c r="B461" i="11"/>
  <c r="B460" i="11"/>
  <c r="B459" i="11"/>
  <c r="B458" i="11"/>
  <c r="D470" i="11" s="1"/>
  <c r="D457" i="11"/>
  <c r="B457" i="11"/>
  <c r="B456" i="11"/>
  <c r="B455" i="11"/>
  <c r="D467" i="11" s="1"/>
  <c r="B454" i="11"/>
  <c r="C454" i="11" s="1"/>
  <c r="D453" i="11"/>
  <c r="B453" i="11"/>
  <c r="C453" i="11" s="1"/>
  <c r="C452" i="11"/>
  <c r="B452" i="11"/>
  <c r="C451" i="11"/>
  <c r="B451" i="11"/>
  <c r="D463" i="11" s="1"/>
  <c r="B450" i="11"/>
  <c r="D449" i="11"/>
  <c r="B449" i="11"/>
  <c r="D448" i="11"/>
  <c r="B448" i="11"/>
  <c r="D460" i="11" s="1"/>
  <c r="B447" i="11"/>
  <c r="B446" i="11"/>
  <c r="D445" i="11"/>
  <c r="B445" i="11"/>
  <c r="C445" i="11" s="1"/>
  <c r="D444" i="11"/>
  <c r="B444" i="11"/>
  <c r="B443" i="11"/>
  <c r="C443" i="11" s="1"/>
  <c r="D442" i="11"/>
  <c r="C442" i="11"/>
  <c r="B442" i="11"/>
  <c r="D441" i="11"/>
  <c r="B441" i="11"/>
  <c r="C441" i="11" s="1"/>
  <c r="B440" i="11"/>
  <c r="B439" i="11"/>
  <c r="D451" i="11" s="1"/>
  <c r="B438" i="11"/>
  <c r="D437" i="11"/>
  <c r="B437" i="11"/>
  <c r="C437" i="11" s="1"/>
  <c r="D436" i="11"/>
  <c r="B436" i="11"/>
  <c r="B435" i="11"/>
  <c r="C436" i="11" s="1"/>
  <c r="B434" i="11"/>
  <c r="D433" i="11"/>
  <c r="B433" i="11"/>
  <c r="C433" i="11" s="1"/>
  <c r="B432" i="11"/>
  <c r="D432" i="11" s="1"/>
  <c r="B431" i="11"/>
  <c r="B430" i="11"/>
  <c r="D429" i="11"/>
  <c r="C429" i="11"/>
  <c r="B429" i="11"/>
  <c r="C428" i="11"/>
  <c r="B428" i="11"/>
  <c r="C427" i="11"/>
  <c r="B427" i="11"/>
  <c r="D426" i="11"/>
  <c r="C426" i="11"/>
  <c r="B426" i="11"/>
  <c r="D425" i="11"/>
  <c r="B425" i="11"/>
  <c r="B424" i="11"/>
  <c r="B423" i="11"/>
  <c r="D435" i="11" s="1"/>
  <c r="B422" i="11"/>
  <c r="C422" i="11" s="1"/>
  <c r="B421" i="11"/>
  <c r="C421" i="11" s="1"/>
  <c r="B420" i="11"/>
  <c r="B419" i="11"/>
  <c r="D418" i="11"/>
  <c r="B418" i="11"/>
  <c r="B417" i="11"/>
  <c r="B416" i="11"/>
  <c r="B415" i="11"/>
  <c r="B414" i="11"/>
  <c r="C414" i="11" s="1"/>
  <c r="C413" i="11"/>
  <c r="B413" i="11"/>
  <c r="B412" i="11"/>
  <c r="C411" i="11"/>
  <c r="B411" i="11"/>
  <c r="D410" i="11"/>
  <c r="B410" i="11"/>
  <c r="B409" i="11"/>
  <c r="B408" i="11"/>
  <c r="B407" i="11"/>
  <c r="D419" i="11" s="1"/>
  <c r="B406" i="11"/>
  <c r="B405" i="11"/>
  <c r="C405" i="11" s="1"/>
  <c r="B404" i="11"/>
  <c r="B403" i="11"/>
  <c r="C404" i="11" s="1"/>
  <c r="B402" i="11"/>
  <c r="B401" i="11"/>
  <c r="C400" i="11"/>
  <c r="B400" i="11"/>
  <c r="C399" i="11"/>
  <c r="B399" i="11"/>
  <c r="B398" i="11"/>
  <c r="B397" i="11"/>
  <c r="C396" i="11"/>
  <c r="B396" i="11"/>
  <c r="C395" i="11"/>
  <c r="B395" i="11"/>
  <c r="D394" i="11"/>
  <c r="B394" i="11"/>
  <c r="B393" i="11"/>
  <c r="B392" i="11"/>
  <c r="B391" i="11"/>
  <c r="B390" i="11"/>
  <c r="B389" i="11"/>
  <c r="D401" i="11" s="1"/>
  <c r="D388" i="11"/>
  <c r="C388" i="11"/>
  <c r="B388" i="11"/>
  <c r="B387" i="11"/>
  <c r="D399" i="11" s="1"/>
  <c r="D386" i="11"/>
  <c r="B386" i="11"/>
  <c r="B385" i="11"/>
  <c r="D384" i="11"/>
  <c r="B384" i="11"/>
  <c r="D396" i="11" s="1"/>
  <c r="D383" i="11"/>
  <c r="C383" i="11"/>
  <c r="B383" i="11"/>
  <c r="C382" i="11"/>
  <c r="B382" i="11"/>
  <c r="D381" i="11"/>
  <c r="C381" i="11"/>
  <c r="B381" i="11"/>
  <c r="D380" i="11"/>
  <c r="C380" i="11"/>
  <c r="B380" i="11"/>
  <c r="B379" i="11"/>
  <c r="C379" i="11" s="1"/>
  <c r="D378" i="11"/>
  <c r="B378" i="11"/>
  <c r="B377" i="11"/>
  <c r="D376" i="11"/>
  <c r="B376" i="11"/>
  <c r="B375" i="11"/>
  <c r="D387" i="11" s="1"/>
  <c r="B374" i="11"/>
  <c r="B373" i="11"/>
  <c r="D372" i="11"/>
  <c r="B372" i="11"/>
  <c r="B371" i="11"/>
  <c r="C370" i="11"/>
  <c r="B370" i="11"/>
  <c r="D382" i="11" s="1"/>
  <c r="C369" i="11"/>
  <c r="B369" i="11"/>
  <c r="B368" i="11"/>
  <c r="C367" i="11"/>
  <c r="B367" i="11"/>
  <c r="D366" i="11"/>
  <c r="C366" i="11"/>
  <c r="B366" i="11"/>
  <c r="B365" i="11"/>
  <c r="B364" i="11"/>
  <c r="C363" i="11"/>
  <c r="B363" i="11"/>
  <c r="D375" i="11" s="1"/>
  <c r="B362" i="11"/>
  <c r="B361" i="11"/>
  <c r="C361" i="11" s="1"/>
  <c r="D360" i="11"/>
  <c r="C360" i="11"/>
  <c r="B360" i="11"/>
  <c r="C359" i="11"/>
  <c r="B359" i="11"/>
  <c r="B358" i="11"/>
  <c r="D357" i="11"/>
  <c r="B357" i="11"/>
  <c r="C357" i="11" s="1"/>
  <c r="B356" i="11"/>
  <c r="B355" i="11"/>
  <c r="B354" i="11"/>
  <c r="B353" i="11"/>
  <c r="D365" i="11" s="1"/>
  <c r="D352" i="11"/>
  <c r="C352" i="11"/>
  <c r="B352" i="11"/>
  <c r="B351" i="11"/>
  <c r="B350" i="11"/>
  <c r="B349" i="11"/>
  <c r="C349" i="11" s="1"/>
  <c r="D348" i="11"/>
  <c r="B348" i="11"/>
  <c r="B347" i="11"/>
  <c r="B346" i="11"/>
  <c r="C346" i="11" s="1"/>
  <c r="C345" i="11"/>
  <c r="B345" i="11"/>
  <c r="C344" i="11"/>
  <c r="B344" i="11"/>
  <c r="B343" i="11"/>
  <c r="D355" i="11" s="1"/>
  <c r="B342" i="11"/>
  <c r="B341" i="11"/>
  <c r="D340" i="11"/>
  <c r="B340" i="11"/>
  <c r="C340" i="11" s="1"/>
  <c r="B339" i="11"/>
  <c r="B338" i="11"/>
  <c r="C338" i="11" s="1"/>
  <c r="C337" i="11"/>
  <c r="B337" i="11"/>
  <c r="D349" i="11" s="1"/>
  <c r="B336" i="11"/>
  <c r="C335" i="11"/>
  <c r="B335" i="11"/>
  <c r="C334" i="11"/>
  <c r="B334" i="11"/>
  <c r="B333" i="11"/>
  <c r="D345" i="11" s="1"/>
  <c r="B332" i="11"/>
  <c r="D344" i="11" s="1"/>
  <c r="D331" i="11"/>
  <c r="C331" i="11"/>
  <c r="B331" i="11"/>
  <c r="D343" i="11" s="1"/>
  <c r="B330" i="11"/>
  <c r="B329" i="11"/>
  <c r="C329" i="11" s="1"/>
  <c r="D328" i="11"/>
  <c r="C328" i="11"/>
  <c r="B328" i="11"/>
  <c r="C327" i="11"/>
  <c r="B327" i="11"/>
  <c r="B326" i="11"/>
  <c r="B325" i="11"/>
  <c r="D337" i="11" s="1"/>
  <c r="B324" i="11"/>
  <c r="B323" i="11"/>
  <c r="B322" i="11"/>
  <c r="C321" i="11"/>
  <c r="B321" i="11"/>
  <c r="D333" i="11" s="1"/>
  <c r="D320" i="11"/>
  <c r="C320" i="11"/>
  <c r="B320" i="11"/>
  <c r="B319" i="11"/>
  <c r="B318" i="11"/>
  <c r="B317" i="11"/>
  <c r="C317" i="11" s="1"/>
  <c r="D316" i="11"/>
  <c r="B316" i="11"/>
  <c r="B315" i="11"/>
  <c r="B314" i="11"/>
  <c r="C314" i="11" s="1"/>
  <c r="C313" i="11"/>
  <c r="B313" i="11"/>
  <c r="C312" i="11"/>
  <c r="B312" i="11"/>
  <c r="B311" i="11"/>
  <c r="D323" i="11" s="1"/>
  <c r="B310" i="11"/>
  <c r="B309" i="11"/>
  <c r="D308" i="11"/>
  <c r="B308" i="11"/>
  <c r="C308" i="11" s="1"/>
  <c r="B307" i="11"/>
  <c r="B306" i="11"/>
  <c r="C306" i="11" s="1"/>
  <c r="C305" i="11"/>
  <c r="B305" i="11"/>
  <c r="D317" i="11" s="1"/>
  <c r="B304" i="11"/>
  <c r="B303" i="11"/>
  <c r="D315" i="11" s="1"/>
  <c r="C302" i="11"/>
  <c r="B302" i="11"/>
  <c r="B301" i="11"/>
  <c r="D313" i="11" s="1"/>
  <c r="B300" i="11"/>
  <c r="D299" i="11"/>
  <c r="B299" i="11"/>
  <c r="D311" i="11" s="1"/>
  <c r="B298" i="11"/>
  <c r="B297" i="11"/>
  <c r="C297" i="11" s="1"/>
  <c r="D296" i="11"/>
  <c r="C296" i="11"/>
  <c r="B296" i="11"/>
  <c r="C295" i="11"/>
  <c r="B295" i="11"/>
  <c r="B294" i="11"/>
  <c r="B293" i="11"/>
  <c r="C293" i="11" s="1"/>
  <c r="B292" i="11"/>
  <c r="B291" i="11"/>
  <c r="B290" i="11"/>
  <c r="B289" i="11"/>
  <c r="D301" i="11" s="1"/>
  <c r="D288" i="11"/>
  <c r="C288" i="11"/>
  <c r="B288" i="11"/>
  <c r="B287" i="11"/>
  <c r="C286" i="11"/>
  <c r="B286" i="11"/>
  <c r="B285" i="11"/>
  <c r="C285" i="11" s="1"/>
  <c r="D284" i="11"/>
  <c r="B284" i="11"/>
  <c r="B283" i="11"/>
  <c r="B282" i="11"/>
  <c r="C282" i="11" s="1"/>
  <c r="C281" i="11"/>
  <c r="B281" i="11"/>
  <c r="D280" i="11"/>
  <c r="C280" i="11"/>
  <c r="B280" i="11"/>
  <c r="B279" i="11"/>
  <c r="D291" i="11" s="1"/>
  <c r="B278" i="11"/>
  <c r="D277" i="11"/>
  <c r="B277" i="11"/>
  <c r="D276" i="11"/>
  <c r="B276" i="11"/>
  <c r="C276" i="11" s="1"/>
  <c r="B275" i="11"/>
  <c r="B274" i="11"/>
  <c r="C274" i="11" s="1"/>
  <c r="C273" i="11"/>
  <c r="B273" i="11"/>
  <c r="D285" i="11" s="1"/>
  <c r="B272" i="11"/>
  <c r="B271" i="11"/>
  <c r="D283" i="11" s="1"/>
  <c r="D270" i="11"/>
  <c r="C270" i="11"/>
  <c r="B270" i="11"/>
  <c r="B269" i="11"/>
  <c r="D281" i="11" s="1"/>
  <c r="B268" i="11"/>
  <c r="B267" i="11"/>
  <c r="D279" i="11" s="1"/>
  <c r="B266" i="11"/>
  <c r="B265" i="11"/>
  <c r="C265" i="11" s="1"/>
  <c r="D264" i="11"/>
  <c r="C264" i="11"/>
  <c r="B264" i="11"/>
  <c r="C263" i="11"/>
  <c r="B263" i="11"/>
  <c r="B262" i="11"/>
  <c r="B261" i="11"/>
  <c r="C261" i="11" s="1"/>
  <c r="C260" i="11"/>
  <c r="B260" i="11"/>
  <c r="B259" i="11"/>
  <c r="B258" i="11"/>
  <c r="B257" i="11"/>
  <c r="D269" i="11" s="1"/>
  <c r="D256" i="11"/>
  <c r="C256" i="11"/>
  <c r="B256" i="11"/>
  <c r="B255" i="11"/>
  <c r="C254" i="11"/>
  <c r="B254" i="11"/>
  <c r="B253" i="11"/>
  <c r="C253" i="11" s="1"/>
  <c r="D252" i="11"/>
  <c r="B252" i="11"/>
  <c r="C251" i="11"/>
  <c r="B251" i="11"/>
  <c r="B250" i="11"/>
  <c r="C250" i="11" s="1"/>
  <c r="C249" i="11"/>
  <c r="B249" i="11"/>
  <c r="D248" i="11"/>
  <c r="C248" i="11"/>
  <c r="B248" i="11"/>
  <c r="B247" i="11"/>
  <c r="D259" i="11" s="1"/>
  <c r="B246" i="11"/>
  <c r="D245" i="11"/>
  <c r="B245" i="11"/>
  <c r="D244" i="11"/>
  <c r="B244" i="11"/>
  <c r="C244" i="11" s="1"/>
  <c r="B243" i="11"/>
  <c r="C242" i="11"/>
  <c r="B242" i="11"/>
  <c r="D254" i="11" s="1"/>
  <c r="C241" i="11"/>
  <c r="B241" i="11"/>
  <c r="D253" i="11" s="1"/>
  <c r="B240" i="11"/>
  <c r="B239" i="11"/>
  <c r="D251" i="11" s="1"/>
  <c r="C238" i="11"/>
  <c r="B238" i="11"/>
  <c r="B237" i="11"/>
  <c r="D249" i="11" s="1"/>
  <c r="B236" i="11"/>
  <c r="B235" i="11"/>
  <c r="D247" i="11" s="1"/>
  <c r="B234" i="11"/>
  <c r="B233" i="11"/>
  <c r="C233" i="11" s="1"/>
  <c r="D232" i="11"/>
  <c r="C232" i="11"/>
  <c r="B232" i="11"/>
  <c r="C231" i="11"/>
  <c r="B231" i="11"/>
  <c r="B230" i="11"/>
  <c r="D229" i="11"/>
  <c r="B229" i="11"/>
  <c r="C229" i="11" s="1"/>
  <c r="B228" i="11"/>
  <c r="B227" i="11"/>
  <c r="B226" i="11"/>
  <c r="D238" i="11" s="1"/>
  <c r="B225" i="11"/>
  <c r="D237" i="11" s="1"/>
  <c r="D224" i="11"/>
  <c r="C224" i="11"/>
  <c r="B224" i="11"/>
  <c r="B223" i="11"/>
  <c r="C222" i="11"/>
  <c r="B222" i="11"/>
  <c r="B221" i="11"/>
  <c r="C221" i="11" s="1"/>
  <c r="D220" i="11"/>
  <c r="B220" i="11"/>
  <c r="C219" i="11"/>
  <c r="B219" i="11"/>
  <c r="B218" i="11"/>
  <c r="C218" i="11" s="1"/>
  <c r="C217" i="11"/>
  <c r="B217" i="11"/>
  <c r="C216" i="11"/>
  <c r="B216" i="11"/>
  <c r="B215" i="11"/>
  <c r="D227" i="11" s="1"/>
  <c r="B214" i="11"/>
  <c r="D213" i="11"/>
  <c r="B213" i="11"/>
  <c r="D212" i="11"/>
  <c r="B212" i="11"/>
  <c r="C212" i="11" s="1"/>
  <c r="B211" i="11"/>
  <c r="B210" i="11"/>
  <c r="C210" i="11" s="1"/>
  <c r="C209" i="11"/>
  <c r="B209" i="11"/>
  <c r="D221" i="11" s="1"/>
  <c r="B208" i="11"/>
  <c r="C207" i="11"/>
  <c r="B207" i="11"/>
  <c r="C206" i="11"/>
  <c r="B206" i="11"/>
  <c r="B205" i="11"/>
  <c r="D217" i="11" s="1"/>
  <c r="B204" i="11"/>
  <c r="D216" i="11" s="1"/>
  <c r="D203" i="11"/>
  <c r="C203" i="11"/>
  <c r="B203" i="11"/>
  <c r="D215" i="11" s="1"/>
  <c r="B202" i="11"/>
  <c r="B201" i="11"/>
  <c r="C201" i="11" s="1"/>
  <c r="D200" i="11"/>
  <c r="C200" i="11"/>
  <c r="B200" i="11"/>
  <c r="C199" i="11"/>
  <c r="B199" i="11"/>
  <c r="B198" i="11"/>
  <c r="B197" i="11"/>
  <c r="D209" i="11" s="1"/>
  <c r="B196" i="11"/>
  <c r="B195" i="11"/>
  <c r="B194" i="11"/>
  <c r="C193" i="11"/>
  <c r="B193" i="11"/>
  <c r="D205" i="11" s="1"/>
  <c r="D192" i="11"/>
  <c r="C192" i="11"/>
  <c r="B192" i="11"/>
  <c r="B191" i="11"/>
  <c r="C190" i="11"/>
  <c r="B190" i="11"/>
  <c r="B189" i="11"/>
  <c r="C189" i="11" s="1"/>
  <c r="D188" i="11"/>
  <c r="B188" i="11"/>
  <c r="C187" i="11"/>
  <c r="B187" i="11"/>
  <c r="B186" i="11"/>
  <c r="C186" i="11" s="1"/>
  <c r="C185" i="11"/>
  <c r="B185" i="11"/>
  <c r="C184" i="11"/>
  <c r="B184" i="11"/>
  <c r="B183" i="11"/>
  <c r="D195" i="11" s="1"/>
  <c r="B182" i="11"/>
  <c r="D181" i="11"/>
  <c r="B181" i="11"/>
  <c r="D180" i="11"/>
  <c r="B180" i="11"/>
  <c r="C180" i="11" s="1"/>
  <c r="B179" i="11"/>
  <c r="B178" i="11"/>
  <c r="C178" i="11" s="1"/>
  <c r="C177" i="11"/>
  <c r="B177" i="11"/>
  <c r="D189" i="11" s="1"/>
  <c r="B176" i="11"/>
  <c r="B175" i="11"/>
  <c r="D187" i="11" s="1"/>
  <c r="C174" i="11"/>
  <c r="B174" i="11"/>
  <c r="B173" i="11"/>
  <c r="D185" i="11" s="1"/>
  <c r="B172" i="11"/>
  <c r="D171" i="11"/>
  <c r="B171" i="11"/>
  <c r="D183" i="11" s="1"/>
  <c r="B170" i="11"/>
  <c r="B169" i="11"/>
  <c r="C169" i="11" s="1"/>
  <c r="D168" i="11"/>
  <c r="C168" i="11"/>
  <c r="B168" i="11"/>
  <c r="C167" i="11"/>
  <c r="B167" i="11"/>
  <c r="B166" i="11"/>
  <c r="B165" i="11"/>
  <c r="C165" i="11" s="1"/>
  <c r="B164" i="11"/>
  <c r="B163" i="11"/>
  <c r="B162" i="11"/>
  <c r="B161" i="11"/>
  <c r="D173" i="11" s="1"/>
  <c r="D160" i="11"/>
  <c r="C160" i="11"/>
  <c r="B160" i="11"/>
  <c r="B159" i="11"/>
  <c r="D158" i="11"/>
  <c r="C158" i="11"/>
  <c r="B158" i="11"/>
  <c r="B157" i="11"/>
  <c r="C157" i="11" s="1"/>
  <c r="B156" i="11"/>
  <c r="D155" i="11"/>
  <c r="B155" i="11"/>
  <c r="B154" i="11"/>
  <c r="C153" i="11"/>
  <c r="B153" i="11"/>
  <c r="D152" i="11"/>
  <c r="C152" i="11"/>
  <c r="B152" i="11"/>
  <c r="C151" i="11"/>
  <c r="B151" i="11"/>
  <c r="D163" i="11" s="1"/>
  <c r="B150" i="11"/>
  <c r="C149" i="11"/>
  <c r="B149" i="11"/>
  <c r="C148" i="11"/>
  <c r="B148" i="11"/>
  <c r="C147" i="11"/>
  <c r="B147" i="11"/>
  <c r="D159" i="11" s="1"/>
  <c r="D146" i="11"/>
  <c r="B146" i="11"/>
  <c r="C146" i="11" s="1"/>
  <c r="B145" i="11"/>
  <c r="B144" i="11"/>
  <c r="D156" i="11" s="1"/>
  <c r="D143" i="11"/>
  <c r="C143" i="11"/>
  <c r="B143" i="11"/>
  <c r="B142" i="11"/>
  <c r="B141" i="11"/>
  <c r="D153" i="11" s="1"/>
  <c r="C140" i="11"/>
  <c r="B140" i="11"/>
  <c r="B139" i="11"/>
  <c r="D151" i="11" s="1"/>
  <c r="B138" i="11"/>
  <c r="C139" i="11" s="1"/>
  <c r="B137" i="11"/>
  <c r="B136" i="11"/>
  <c r="B135" i="11"/>
  <c r="D147" i="11" s="1"/>
  <c r="D134" i="11"/>
  <c r="B134" i="11"/>
  <c r="D133" i="11"/>
  <c r="B133" i="11"/>
  <c r="D132" i="11"/>
  <c r="B132" i="11"/>
  <c r="D144" i="11" s="1"/>
  <c r="C131" i="11"/>
  <c r="B131" i="11"/>
  <c r="B130" i="11"/>
  <c r="C130" i="11" s="1"/>
  <c r="B129" i="11"/>
  <c r="B128" i="11"/>
  <c r="C128" i="11" s="1"/>
  <c r="C127" i="11"/>
  <c r="B127" i="11"/>
  <c r="D139" i="11" s="1"/>
  <c r="B126" i="11"/>
  <c r="D125" i="11"/>
  <c r="B125" i="11"/>
  <c r="D137" i="11" s="1"/>
  <c r="B124" i="11"/>
  <c r="D136" i="11" s="1"/>
  <c r="C123" i="11"/>
  <c r="B123" i="11"/>
  <c r="D122" i="11"/>
  <c r="B122" i="11"/>
  <c r="C122" i="11" s="1"/>
  <c r="C121" i="11"/>
  <c r="B121" i="11"/>
  <c r="D120" i="11"/>
  <c r="C120" i="11"/>
  <c r="B120" i="11"/>
  <c r="B119" i="11"/>
  <c r="D131" i="11" s="1"/>
  <c r="B118" i="11"/>
  <c r="B117" i="11"/>
  <c r="D129" i="11" s="1"/>
  <c r="C116" i="11"/>
  <c r="B116" i="11"/>
  <c r="B115" i="11"/>
  <c r="D127" i="11" s="1"/>
  <c r="D114" i="11"/>
  <c r="B114" i="11"/>
  <c r="D126" i="11" s="1"/>
  <c r="C113" i="11"/>
  <c r="B113" i="11"/>
  <c r="C112" i="11"/>
  <c r="B112" i="11"/>
  <c r="D111" i="11"/>
  <c r="C111" i="11"/>
  <c r="B111" i="11"/>
  <c r="D110" i="11"/>
  <c r="B110" i="11"/>
  <c r="C109" i="11"/>
  <c r="B109" i="11"/>
  <c r="D121" i="11" s="1"/>
  <c r="D108" i="11"/>
  <c r="C108" i="11"/>
  <c r="B108" i="11"/>
  <c r="C107" i="11"/>
  <c r="B107" i="11"/>
  <c r="D119" i="11" s="1"/>
  <c r="C106" i="11"/>
  <c r="B106" i="11"/>
  <c r="D118" i="11" s="1"/>
  <c r="D105" i="11"/>
  <c r="C105" i="11"/>
  <c r="B105" i="11"/>
  <c r="D104" i="11"/>
  <c r="B104" i="11"/>
  <c r="C103" i="11"/>
  <c r="B103" i="11"/>
  <c r="D115" i="11" s="1"/>
  <c r="B102" i="11"/>
  <c r="B101" i="11"/>
  <c r="B100" i="11"/>
  <c r="D112" i="11" s="1"/>
  <c r="B99" i="11"/>
  <c r="B98" i="11"/>
  <c r="C98" i="11" s="1"/>
  <c r="D97" i="11"/>
  <c r="C97" i="11"/>
  <c r="B97" i="11"/>
  <c r="D96" i="11"/>
  <c r="B96" i="11"/>
  <c r="B95" i="11"/>
  <c r="D107" i="11" s="1"/>
  <c r="B94" i="11"/>
  <c r="D93" i="11"/>
  <c r="B93" i="11"/>
  <c r="B92" i="11"/>
  <c r="C92" i="11" s="1"/>
  <c r="B91" i="11"/>
  <c r="D103" i="11" s="1"/>
  <c r="B90" i="11"/>
  <c r="B89" i="11"/>
  <c r="B88" i="11"/>
  <c r="D88" i="11" s="1"/>
  <c r="C87" i="11"/>
  <c r="B87" i="11"/>
  <c r="D99" i="11" s="1"/>
  <c r="B86" i="11"/>
  <c r="C86" i="11" s="1"/>
  <c r="B85" i="11"/>
  <c r="D85" i="11" s="1"/>
  <c r="B84" i="11"/>
  <c r="B83" i="11"/>
  <c r="C84" i="11" s="1"/>
  <c r="D82" i="11"/>
  <c r="B82" i="11"/>
  <c r="C82" i="11" s="1"/>
  <c r="B81" i="11"/>
  <c r="B80" i="11"/>
  <c r="D79" i="11"/>
  <c r="C79" i="11"/>
  <c r="B79" i="11"/>
  <c r="B78" i="11"/>
  <c r="C78" i="11" s="1"/>
  <c r="B77" i="11"/>
  <c r="D76" i="11"/>
  <c r="B76" i="11"/>
  <c r="B75" i="11"/>
  <c r="B74" i="11"/>
  <c r="C74" i="11" s="1"/>
  <c r="D73" i="11"/>
  <c r="B73" i="11"/>
  <c r="C72" i="11"/>
  <c r="B72" i="11"/>
  <c r="D84" i="11" s="1"/>
  <c r="C71" i="11"/>
  <c r="B71" i="11"/>
  <c r="B70" i="11"/>
  <c r="C69" i="11"/>
  <c r="B69" i="11"/>
  <c r="C68" i="11"/>
  <c r="B68" i="11"/>
  <c r="B67" i="11"/>
  <c r="B66" i="11"/>
  <c r="C65" i="11"/>
  <c r="B65" i="11"/>
  <c r="B64" i="11"/>
  <c r="B63" i="11"/>
  <c r="B62" i="11"/>
  <c r="D61" i="11"/>
  <c r="B61" i="11"/>
  <c r="B60" i="11"/>
  <c r="C59" i="11"/>
  <c r="B59" i="11"/>
  <c r="D71" i="11" s="1"/>
  <c r="B58" i="11"/>
  <c r="C58" i="11" s="1"/>
  <c r="B57" i="11"/>
  <c r="B56" i="11"/>
  <c r="C55" i="11"/>
  <c r="B55" i="11"/>
  <c r="D67" i="11" s="1"/>
  <c r="B54" i="11"/>
  <c r="B53" i="11"/>
  <c r="B52" i="11"/>
  <c r="D64" i="11" s="1"/>
  <c r="B51" i="11"/>
  <c r="B50" i="11"/>
  <c r="C49" i="11"/>
  <c r="B49" i="11"/>
  <c r="D48" i="11"/>
  <c r="C48" i="11"/>
  <c r="B48" i="11"/>
  <c r="D47" i="11"/>
  <c r="B47" i="11"/>
  <c r="D46" i="11"/>
  <c r="B46" i="11"/>
  <c r="D45" i="11"/>
  <c r="C45" i="11"/>
  <c r="B45" i="11"/>
  <c r="D57" i="11" s="1"/>
  <c r="B44" i="11"/>
  <c r="B43" i="11"/>
  <c r="D42" i="11"/>
  <c r="C42" i="11"/>
  <c r="B42" i="11"/>
  <c r="D54" i="11" s="1"/>
  <c r="D41" i="11"/>
  <c r="B41" i="11"/>
  <c r="B40" i="11"/>
  <c r="B39" i="11"/>
  <c r="D51" i="11" s="1"/>
  <c r="B38" i="11"/>
  <c r="C37" i="11"/>
  <c r="B37" i="11"/>
  <c r="D49" i="11" s="1"/>
  <c r="B36" i="11"/>
  <c r="C36" i="11" s="1"/>
  <c r="B35" i="11"/>
  <c r="D34" i="11"/>
  <c r="C34" i="11"/>
  <c r="B34" i="11"/>
  <c r="C35" i="11" s="1"/>
  <c r="B33" i="11"/>
  <c r="B32" i="11"/>
  <c r="B31" i="11"/>
  <c r="B30" i="11"/>
  <c r="B29" i="11"/>
  <c r="D28" i="11"/>
  <c r="B28" i="11"/>
  <c r="C28" i="11" s="1"/>
  <c r="C27" i="11"/>
  <c r="B27" i="11"/>
  <c r="D39" i="11" s="1"/>
  <c r="B26" i="11"/>
  <c r="C26" i="11" s="1"/>
  <c r="C25" i="11"/>
  <c r="B25" i="11"/>
  <c r="C24" i="11"/>
  <c r="B24" i="11"/>
  <c r="D36" i="11" s="1"/>
  <c r="B23" i="11"/>
  <c r="D35" i="11" s="1"/>
  <c r="B22" i="11"/>
  <c r="C21" i="11"/>
  <c r="B21" i="11"/>
  <c r="D33" i="11" s="1"/>
  <c r="C20" i="11"/>
  <c r="B20" i="11"/>
  <c r="B19" i="11"/>
  <c r="B18" i="11"/>
  <c r="B17" i="11"/>
  <c r="D29" i="11" s="1"/>
  <c r="C16" i="11"/>
  <c r="B16" i="11"/>
  <c r="B15" i="11"/>
  <c r="B14" i="11"/>
  <c r="D26" i="11" s="1"/>
  <c r="B13" i="11"/>
  <c r="B12" i="11"/>
  <c r="C13" i="11" s="1"/>
  <c r="B11" i="11"/>
  <c r="B10" i="11"/>
  <c r="C10" i="11" s="1"/>
  <c r="B9" i="11"/>
  <c r="C9" i="11" s="1"/>
  <c r="B8" i="11"/>
  <c r="D20" i="11" s="1"/>
  <c r="B7" i="11"/>
  <c r="U4" i="11"/>
  <c r="Y1" i="11" s="1"/>
  <c r="U1" i="11"/>
  <c r="C614" i="10"/>
  <c r="B614" i="10"/>
  <c r="D613" i="10"/>
  <c r="B613" i="10"/>
  <c r="C613" i="10" s="1"/>
  <c r="D612" i="10"/>
  <c r="B612" i="10"/>
  <c r="B611" i="10"/>
  <c r="C611" i="10" s="1"/>
  <c r="B610" i="10"/>
  <c r="C610" i="10" s="1"/>
  <c r="B609" i="10"/>
  <c r="C609" i="10" s="1"/>
  <c r="C608" i="10"/>
  <c r="B608" i="10"/>
  <c r="D607" i="10"/>
  <c r="C607" i="10"/>
  <c r="B607" i="10"/>
  <c r="B606" i="10"/>
  <c r="D605" i="10"/>
  <c r="B605" i="10"/>
  <c r="D604" i="10"/>
  <c r="C604" i="10"/>
  <c r="B604" i="10"/>
  <c r="B603" i="10"/>
  <c r="B602" i="10"/>
  <c r="D601" i="10"/>
  <c r="C601" i="10"/>
  <c r="B601" i="10"/>
  <c r="B600" i="10"/>
  <c r="B599" i="10"/>
  <c r="D598" i="10"/>
  <c r="C598" i="10"/>
  <c r="B598" i="10"/>
  <c r="B597" i="10"/>
  <c r="B596" i="10"/>
  <c r="D608" i="10" s="1"/>
  <c r="D595" i="10"/>
  <c r="C595" i="10"/>
  <c r="B595" i="10"/>
  <c r="B594" i="10"/>
  <c r="D606" i="10" s="1"/>
  <c r="C593" i="10"/>
  <c r="B593" i="10"/>
  <c r="C594" i="10" s="1"/>
  <c r="D592" i="10"/>
  <c r="B592" i="10"/>
  <c r="B591" i="10"/>
  <c r="C590" i="10"/>
  <c r="B590" i="10"/>
  <c r="B589" i="10"/>
  <c r="B588" i="10"/>
  <c r="B587" i="10"/>
  <c r="D599" i="10" s="1"/>
  <c r="B586" i="10"/>
  <c r="B585" i="10"/>
  <c r="D584" i="10"/>
  <c r="C584" i="10"/>
  <c r="B584" i="10"/>
  <c r="D583" i="10"/>
  <c r="B583" i="10"/>
  <c r="C582" i="10"/>
  <c r="B582" i="10"/>
  <c r="D594" i="10" s="1"/>
  <c r="D581" i="10"/>
  <c r="B581" i="10"/>
  <c r="C581" i="10" s="1"/>
  <c r="D580" i="10"/>
  <c r="B580" i="10"/>
  <c r="B579" i="10"/>
  <c r="D591" i="10" s="1"/>
  <c r="B578" i="10"/>
  <c r="C578" i="10" s="1"/>
  <c r="D577" i="10"/>
  <c r="B577" i="10"/>
  <c r="C577" i="10" s="1"/>
  <c r="C576" i="10"/>
  <c r="B576" i="10"/>
  <c r="D575" i="10"/>
  <c r="C575" i="10"/>
  <c r="B575" i="10"/>
  <c r="B574" i="10"/>
  <c r="D586" i="10" s="1"/>
  <c r="B573" i="10"/>
  <c r="D572" i="10"/>
  <c r="C572" i="10"/>
  <c r="B572" i="10"/>
  <c r="B571" i="10"/>
  <c r="B570" i="10"/>
  <c r="D569" i="10"/>
  <c r="C569" i="10"/>
  <c r="B569" i="10"/>
  <c r="B568" i="10"/>
  <c r="B567" i="10"/>
  <c r="D566" i="10"/>
  <c r="C566" i="10"/>
  <c r="B566" i="10"/>
  <c r="B565" i="10"/>
  <c r="B564" i="10"/>
  <c r="D576" i="10" s="1"/>
  <c r="D563" i="10"/>
  <c r="C563" i="10"/>
  <c r="B563" i="10"/>
  <c r="B562" i="10"/>
  <c r="D574" i="10" s="1"/>
  <c r="B561" i="10"/>
  <c r="C562" i="10" s="1"/>
  <c r="D560" i="10"/>
  <c r="B560" i="10"/>
  <c r="B559" i="10"/>
  <c r="D558" i="10"/>
  <c r="B558" i="10"/>
  <c r="B557" i="10"/>
  <c r="B556" i="10"/>
  <c r="B555" i="10"/>
  <c r="D567" i="10" s="1"/>
  <c r="B554" i="10"/>
  <c r="B553" i="10"/>
  <c r="B552" i="10"/>
  <c r="D552" i="10" s="1"/>
  <c r="B551" i="10"/>
  <c r="B550" i="10"/>
  <c r="D549" i="10"/>
  <c r="C549" i="10"/>
  <c r="B549" i="10"/>
  <c r="B548" i="10"/>
  <c r="D547" i="10"/>
  <c r="B547" i="10"/>
  <c r="B546" i="10"/>
  <c r="B545" i="10"/>
  <c r="B544" i="10"/>
  <c r="D556" i="10" s="1"/>
  <c r="B543" i="10"/>
  <c r="B542" i="10"/>
  <c r="D541" i="10"/>
  <c r="C541" i="10"/>
  <c r="B541" i="10"/>
  <c r="D553" i="10" s="1"/>
  <c r="B540" i="10"/>
  <c r="D539" i="10"/>
  <c r="B539" i="10"/>
  <c r="B538" i="10"/>
  <c r="B537" i="10"/>
  <c r="B536" i="10"/>
  <c r="D548" i="10" s="1"/>
  <c r="B535" i="10"/>
  <c r="B534" i="10"/>
  <c r="D534" i="10" s="1"/>
  <c r="D533" i="10"/>
  <c r="C533" i="10"/>
  <c r="B533" i="10"/>
  <c r="D545" i="10" s="1"/>
  <c r="B532" i="10"/>
  <c r="D531" i="10"/>
  <c r="B531" i="10"/>
  <c r="B530" i="10"/>
  <c r="B529" i="10"/>
  <c r="B528" i="10"/>
  <c r="D540" i="10" s="1"/>
  <c r="B527" i="10"/>
  <c r="B526" i="10"/>
  <c r="D526" i="10" s="1"/>
  <c r="D525" i="10"/>
  <c r="C525" i="10"/>
  <c r="B525" i="10"/>
  <c r="D537" i="10" s="1"/>
  <c r="B524" i="10"/>
  <c r="D523" i="10"/>
  <c r="B523" i="10"/>
  <c r="B522" i="10"/>
  <c r="B521" i="10"/>
  <c r="B520" i="10"/>
  <c r="D532" i="10" s="1"/>
  <c r="B519" i="10"/>
  <c r="B518" i="10"/>
  <c r="D518" i="10" s="1"/>
  <c r="D517" i="10"/>
  <c r="C517" i="10"/>
  <c r="B517" i="10"/>
  <c r="D529" i="10" s="1"/>
  <c r="B516" i="10"/>
  <c r="D515" i="10"/>
  <c r="B515" i="10"/>
  <c r="B514" i="10"/>
  <c r="B513" i="10"/>
  <c r="B512" i="10"/>
  <c r="D524" i="10" s="1"/>
  <c r="B511" i="10"/>
  <c r="B510" i="10"/>
  <c r="D510" i="10" s="1"/>
  <c r="D509" i="10"/>
  <c r="C509" i="10"/>
  <c r="B509" i="10"/>
  <c r="D521" i="10" s="1"/>
  <c r="B508" i="10"/>
  <c r="D507" i="10"/>
  <c r="B507" i="10"/>
  <c r="B506" i="10"/>
  <c r="B505" i="10"/>
  <c r="B504" i="10"/>
  <c r="D516" i="10" s="1"/>
  <c r="B503" i="10"/>
  <c r="B502" i="10"/>
  <c r="D502" i="10" s="1"/>
  <c r="D501" i="10"/>
  <c r="C501" i="10"/>
  <c r="B501" i="10"/>
  <c r="D513" i="10" s="1"/>
  <c r="B500" i="10"/>
  <c r="D499" i="10"/>
  <c r="B499" i="10"/>
  <c r="B498" i="10"/>
  <c r="B497" i="10"/>
  <c r="B496" i="10"/>
  <c r="D508" i="10" s="1"/>
  <c r="B495" i="10"/>
  <c r="B494" i="10"/>
  <c r="D494" i="10" s="1"/>
  <c r="D493" i="10"/>
  <c r="C493" i="10"/>
  <c r="B493" i="10"/>
  <c r="D505" i="10" s="1"/>
  <c r="B492" i="10"/>
  <c r="D491" i="10"/>
  <c r="B491" i="10"/>
  <c r="B490" i="10"/>
  <c r="B489" i="10"/>
  <c r="B488" i="10"/>
  <c r="D500" i="10" s="1"/>
  <c r="B487" i="10"/>
  <c r="B486" i="10"/>
  <c r="D486" i="10" s="1"/>
  <c r="D485" i="10"/>
  <c r="C485" i="10"/>
  <c r="B485" i="10"/>
  <c r="D497" i="10" s="1"/>
  <c r="B484" i="10"/>
  <c r="D483" i="10"/>
  <c r="B483" i="10"/>
  <c r="B482" i="10"/>
  <c r="B481" i="10"/>
  <c r="B480" i="10"/>
  <c r="D492" i="10" s="1"/>
  <c r="B479" i="10"/>
  <c r="B478" i="10"/>
  <c r="D478" i="10" s="1"/>
  <c r="D477" i="10"/>
  <c r="C477" i="10"/>
  <c r="B477" i="10"/>
  <c r="D489" i="10" s="1"/>
  <c r="B476" i="10"/>
  <c r="D475" i="10"/>
  <c r="B475" i="10"/>
  <c r="B474" i="10"/>
  <c r="B473" i="10"/>
  <c r="B472" i="10"/>
  <c r="D484" i="10" s="1"/>
  <c r="B471" i="10"/>
  <c r="B470" i="10"/>
  <c r="D470" i="10" s="1"/>
  <c r="D469" i="10"/>
  <c r="C469" i="10"/>
  <c r="B469" i="10"/>
  <c r="D481" i="10" s="1"/>
  <c r="B468" i="10"/>
  <c r="D467" i="10"/>
  <c r="B467" i="10"/>
  <c r="B466" i="10"/>
  <c r="B465" i="10"/>
  <c r="B464" i="10"/>
  <c r="B463" i="10"/>
  <c r="B462" i="10"/>
  <c r="D462" i="10" s="1"/>
  <c r="D461" i="10"/>
  <c r="C461" i="10"/>
  <c r="B461" i="10"/>
  <c r="D473" i="10" s="1"/>
  <c r="B460" i="10"/>
  <c r="D459" i="10"/>
  <c r="B459" i="10"/>
  <c r="B458" i="10"/>
  <c r="B457" i="10"/>
  <c r="B456" i="10"/>
  <c r="B455" i="10"/>
  <c r="B454" i="10"/>
  <c r="D453" i="10"/>
  <c r="C453" i="10"/>
  <c r="B453" i="10"/>
  <c r="D465" i="10" s="1"/>
  <c r="B452" i="10"/>
  <c r="D451" i="10"/>
  <c r="B451" i="10"/>
  <c r="B450" i="10"/>
  <c r="B449" i="10"/>
  <c r="B448" i="10"/>
  <c r="B447" i="10"/>
  <c r="B446" i="10"/>
  <c r="D445" i="10"/>
  <c r="C445" i="10"/>
  <c r="B445" i="10"/>
  <c r="D457" i="10" s="1"/>
  <c r="B444" i="10"/>
  <c r="D443" i="10"/>
  <c r="B443" i="10"/>
  <c r="B442" i="10"/>
  <c r="B441" i="10"/>
  <c r="B440" i="10"/>
  <c r="B439" i="10"/>
  <c r="B438" i="10"/>
  <c r="D437" i="10"/>
  <c r="C437" i="10"/>
  <c r="B437" i="10"/>
  <c r="D449" i="10" s="1"/>
  <c r="B436" i="10"/>
  <c r="D435" i="10"/>
  <c r="B435" i="10"/>
  <c r="B434" i="10"/>
  <c r="B433" i="10"/>
  <c r="B432" i="10"/>
  <c r="B431" i="10"/>
  <c r="B430" i="10"/>
  <c r="D429" i="10"/>
  <c r="C429" i="10"/>
  <c r="B429" i="10"/>
  <c r="D441" i="10" s="1"/>
  <c r="B428" i="10"/>
  <c r="D427" i="10"/>
  <c r="B427" i="10"/>
  <c r="D426" i="10"/>
  <c r="B426" i="10"/>
  <c r="B425" i="10"/>
  <c r="B424" i="10"/>
  <c r="B423" i="10"/>
  <c r="C422" i="10"/>
  <c r="B422" i="10"/>
  <c r="D422" i="10" s="1"/>
  <c r="D421" i="10"/>
  <c r="C421" i="10"/>
  <c r="B421" i="10"/>
  <c r="D433" i="10" s="1"/>
  <c r="B420" i="10"/>
  <c r="B419" i="10"/>
  <c r="B418" i="10"/>
  <c r="B417" i="10"/>
  <c r="B416" i="10"/>
  <c r="B415" i="10"/>
  <c r="C414" i="10"/>
  <c r="B414" i="10"/>
  <c r="D414" i="10" s="1"/>
  <c r="D413" i="10"/>
  <c r="C413" i="10"/>
  <c r="B413" i="10"/>
  <c r="D425" i="10" s="1"/>
  <c r="B412" i="10"/>
  <c r="B411" i="10"/>
  <c r="B410" i="10"/>
  <c r="B409" i="10"/>
  <c r="B408" i="10"/>
  <c r="B407" i="10"/>
  <c r="B406" i="10"/>
  <c r="D406" i="10" s="1"/>
  <c r="D405" i="10"/>
  <c r="C405" i="10"/>
  <c r="B405" i="10"/>
  <c r="D417" i="10" s="1"/>
  <c r="B404" i="10"/>
  <c r="D403" i="10"/>
  <c r="B403" i="10"/>
  <c r="B402" i="10"/>
  <c r="B401" i="10"/>
  <c r="B400" i="10"/>
  <c r="B399" i="10"/>
  <c r="B398" i="10"/>
  <c r="D398" i="10" s="1"/>
  <c r="D397" i="10"/>
  <c r="C397" i="10"/>
  <c r="B397" i="10"/>
  <c r="D409" i="10" s="1"/>
  <c r="B396" i="10"/>
  <c r="D395" i="10"/>
  <c r="B395" i="10"/>
  <c r="B394" i="10"/>
  <c r="B393" i="10"/>
  <c r="B392" i="10"/>
  <c r="B391" i="10"/>
  <c r="B390" i="10"/>
  <c r="D390" i="10" s="1"/>
  <c r="D389" i="10"/>
  <c r="C389" i="10"/>
  <c r="B389" i="10"/>
  <c r="D401" i="10" s="1"/>
  <c r="B388" i="10"/>
  <c r="B387" i="10"/>
  <c r="D386" i="10"/>
  <c r="B386" i="10"/>
  <c r="B385" i="10"/>
  <c r="B384" i="10"/>
  <c r="B383" i="10"/>
  <c r="B382" i="10"/>
  <c r="D382" i="10" s="1"/>
  <c r="D381" i="10"/>
  <c r="C381" i="10"/>
  <c r="B381" i="10"/>
  <c r="D393" i="10" s="1"/>
  <c r="B380" i="10"/>
  <c r="B379" i="10"/>
  <c r="B378" i="10"/>
  <c r="B377" i="10"/>
  <c r="B376" i="10"/>
  <c r="B375" i="10"/>
  <c r="B374" i="10"/>
  <c r="D374" i="10" s="1"/>
  <c r="D373" i="10"/>
  <c r="C373" i="10"/>
  <c r="B373" i="10"/>
  <c r="D385" i="10" s="1"/>
  <c r="B372" i="10"/>
  <c r="D371" i="10"/>
  <c r="B371" i="10"/>
  <c r="B370" i="10"/>
  <c r="B369" i="10"/>
  <c r="B368" i="10"/>
  <c r="B367" i="10"/>
  <c r="B366" i="10"/>
  <c r="D366" i="10" s="1"/>
  <c r="D365" i="10"/>
  <c r="C365" i="10"/>
  <c r="B365" i="10"/>
  <c r="D377" i="10" s="1"/>
  <c r="B364" i="10"/>
  <c r="B363" i="10"/>
  <c r="D362" i="10"/>
  <c r="B362" i="10"/>
  <c r="B361" i="10"/>
  <c r="B360" i="10"/>
  <c r="B359" i="10"/>
  <c r="B358" i="10"/>
  <c r="D358" i="10" s="1"/>
  <c r="D357" i="10"/>
  <c r="C357" i="10"/>
  <c r="B357" i="10"/>
  <c r="D369" i="10" s="1"/>
  <c r="B356" i="10"/>
  <c r="B355" i="10"/>
  <c r="B354" i="10"/>
  <c r="B353" i="10"/>
  <c r="B352" i="10"/>
  <c r="B351" i="10"/>
  <c r="C350" i="10"/>
  <c r="B350" i="10"/>
  <c r="D350" i="10" s="1"/>
  <c r="D349" i="10"/>
  <c r="C349" i="10"/>
  <c r="B349" i="10"/>
  <c r="D361" i="10" s="1"/>
  <c r="B348" i="10"/>
  <c r="B347" i="10"/>
  <c r="B346" i="10"/>
  <c r="B345" i="10"/>
  <c r="B344" i="10"/>
  <c r="B343" i="10"/>
  <c r="B342" i="10"/>
  <c r="D342" i="10" s="1"/>
  <c r="D341" i="10"/>
  <c r="C341" i="10"/>
  <c r="B341" i="10"/>
  <c r="D353" i="10" s="1"/>
  <c r="B340" i="10"/>
  <c r="B339" i="10"/>
  <c r="D338" i="10"/>
  <c r="B338" i="10"/>
  <c r="B337" i="10"/>
  <c r="B336" i="10"/>
  <c r="B335" i="10"/>
  <c r="B334" i="10"/>
  <c r="D334" i="10" s="1"/>
  <c r="D333" i="10"/>
  <c r="C333" i="10"/>
  <c r="B333" i="10"/>
  <c r="D345" i="10" s="1"/>
  <c r="B332" i="10"/>
  <c r="D331" i="10"/>
  <c r="B331" i="10"/>
  <c r="B330" i="10"/>
  <c r="B329" i="10"/>
  <c r="B328" i="10"/>
  <c r="B327" i="10"/>
  <c r="C326" i="10"/>
  <c r="B326" i="10"/>
  <c r="D326" i="10" s="1"/>
  <c r="C325" i="10"/>
  <c r="B325" i="10"/>
  <c r="D337" i="10" s="1"/>
  <c r="B324" i="10"/>
  <c r="B323" i="10"/>
  <c r="D322" i="10"/>
  <c r="B322" i="10"/>
  <c r="B321" i="10"/>
  <c r="B320" i="10"/>
  <c r="B319" i="10"/>
  <c r="B318" i="10"/>
  <c r="D318" i="10" s="1"/>
  <c r="C317" i="10"/>
  <c r="B317" i="10"/>
  <c r="D329" i="10" s="1"/>
  <c r="B316" i="10"/>
  <c r="D315" i="10"/>
  <c r="B315" i="10"/>
  <c r="D314" i="10"/>
  <c r="B314" i="10"/>
  <c r="B313" i="10"/>
  <c r="C314" i="10" s="1"/>
  <c r="C312" i="10"/>
  <c r="B312" i="10"/>
  <c r="D324" i="10" s="1"/>
  <c r="B311" i="10"/>
  <c r="C311" i="10" s="1"/>
  <c r="D310" i="10"/>
  <c r="C310" i="10"/>
  <c r="B310" i="10"/>
  <c r="D309" i="10"/>
  <c r="B309" i="10"/>
  <c r="D321" i="10" s="1"/>
  <c r="B308" i="10"/>
  <c r="C308" i="10" s="1"/>
  <c r="D307" i="10"/>
  <c r="C307" i="10"/>
  <c r="B307" i="10"/>
  <c r="D319" i="10" s="1"/>
  <c r="B306" i="10"/>
  <c r="B305" i="10"/>
  <c r="B304" i="10"/>
  <c r="D316" i="10" s="1"/>
  <c r="B303" i="10"/>
  <c r="C303" i="10" s="1"/>
  <c r="B302" i="10"/>
  <c r="D302" i="10" s="1"/>
  <c r="B301" i="10"/>
  <c r="C300" i="10"/>
  <c r="B300" i="10"/>
  <c r="D312" i="10" s="1"/>
  <c r="C299" i="10"/>
  <c r="B299" i="10"/>
  <c r="D311" i="10" s="1"/>
  <c r="D298" i="10"/>
  <c r="C298" i="10"/>
  <c r="B298" i="10"/>
  <c r="D297" i="10"/>
  <c r="B297" i="10"/>
  <c r="B296" i="10"/>
  <c r="B295" i="10"/>
  <c r="C295" i="10" s="1"/>
  <c r="D294" i="10"/>
  <c r="B294" i="10"/>
  <c r="D306" i="10" s="1"/>
  <c r="B293" i="10"/>
  <c r="B292" i="10"/>
  <c r="D291" i="10"/>
  <c r="C291" i="10"/>
  <c r="B291" i="10"/>
  <c r="B290" i="10"/>
  <c r="C289" i="10"/>
  <c r="B289" i="10"/>
  <c r="D301" i="10" s="1"/>
  <c r="B288" i="10"/>
  <c r="D300" i="10" s="1"/>
  <c r="B287" i="10"/>
  <c r="D286" i="10"/>
  <c r="B286" i="10"/>
  <c r="C286" i="10" s="1"/>
  <c r="B285" i="10"/>
  <c r="B284" i="10"/>
  <c r="B283" i="10"/>
  <c r="D295" i="10" s="1"/>
  <c r="D282" i="10"/>
  <c r="B282" i="10"/>
  <c r="B281" i="10"/>
  <c r="D280" i="10"/>
  <c r="C280" i="10"/>
  <c r="B280" i="10"/>
  <c r="B279" i="10"/>
  <c r="C278" i="10"/>
  <c r="B278" i="10"/>
  <c r="D277" i="10"/>
  <c r="C277" i="10"/>
  <c r="B277" i="10"/>
  <c r="B276" i="10"/>
  <c r="B275" i="10"/>
  <c r="D287" i="10" s="1"/>
  <c r="D274" i="10"/>
  <c r="C274" i="10"/>
  <c r="B274" i="10"/>
  <c r="B273" i="10"/>
  <c r="C272" i="10"/>
  <c r="B272" i="10"/>
  <c r="D271" i="10"/>
  <c r="B271" i="10"/>
  <c r="C271" i="10" s="1"/>
  <c r="B270" i="10"/>
  <c r="D270" i="10" s="1"/>
  <c r="B269" i="10"/>
  <c r="C268" i="10"/>
  <c r="B268" i="10"/>
  <c r="C267" i="10"/>
  <c r="B267" i="10"/>
  <c r="D279" i="10" s="1"/>
  <c r="C266" i="10"/>
  <c r="B266" i="10"/>
  <c r="D265" i="10"/>
  <c r="B265" i="10"/>
  <c r="B264" i="10"/>
  <c r="B263" i="10"/>
  <c r="D262" i="10"/>
  <c r="B262" i="10"/>
  <c r="B261" i="10"/>
  <c r="C260" i="10"/>
  <c r="B260" i="10"/>
  <c r="D272" i="10" s="1"/>
  <c r="D259" i="10"/>
  <c r="C259" i="10"/>
  <c r="B259" i="10"/>
  <c r="B258" i="10"/>
  <c r="B257" i="10"/>
  <c r="C258" i="10" s="1"/>
  <c r="B256" i="10"/>
  <c r="D268" i="10" s="1"/>
  <c r="B255" i="10"/>
  <c r="D254" i="10"/>
  <c r="C254" i="10"/>
  <c r="B254" i="10"/>
  <c r="D266" i="10" s="1"/>
  <c r="B253" i="10"/>
  <c r="B252" i="10"/>
  <c r="D251" i="10"/>
  <c r="B251" i="10"/>
  <c r="C251" i="10" s="1"/>
  <c r="D250" i="10"/>
  <c r="B250" i="10"/>
  <c r="B249" i="10"/>
  <c r="D248" i="10"/>
  <c r="C248" i="10"/>
  <c r="B248" i="10"/>
  <c r="B247" i="10"/>
  <c r="C246" i="10"/>
  <c r="B246" i="10"/>
  <c r="D245" i="10"/>
  <c r="C245" i="10"/>
  <c r="B245" i="10"/>
  <c r="B244" i="10"/>
  <c r="C244" i="10" s="1"/>
  <c r="B243" i="10"/>
  <c r="D255" i="10" s="1"/>
  <c r="D242" i="10"/>
  <c r="C242" i="10"/>
  <c r="B242" i="10"/>
  <c r="B241" i="10"/>
  <c r="C240" i="10"/>
  <c r="B240" i="10"/>
  <c r="D239" i="10"/>
  <c r="B239" i="10"/>
  <c r="C239" i="10" s="1"/>
  <c r="B238" i="10"/>
  <c r="D238" i="10" s="1"/>
  <c r="B237" i="10"/>
  <c r="C236" i="10"/>
  <c r="B236" i="10"/>
  <c r="C235" i="10"/>
  <c r="B235" i="10"/>
  <c r="D247" i="10" s="1"/>
  <c r="C234" i="10"/>
  <c r="B234" i="10"/>
  <c r="D233" i="10"/>
  <c r="B233" i="10"/>
  <c r="B232" i="10"/>
  <c r="B231" i="10"/>
  <c r="D230" i="10"/>
  <c r="B230" i="10"/>
  <c r="B229" i="10"/>
  <c r="B228" i="10"/>
  <c r="D240" i="10" s="1"/>
  <c r="D227" i="10"/>
  <c r="C227" i="10"/>
  <c r="B227" i="10"/>
  <c r="B226" i="10"/>
  <c r="B225" i="10"/>
  <c r="C226" i="10" s="1"/>
  <c r="B224" i="10"/>
  <c r="D236" i="10" s="1"/>
  <c r="B223" i="10"/>
  <c r="D222" i="10"/>
  <c r="C222" i="10"/>
  <c r="B222" i="10"/>
  <c r="D234" i="10" s="1"/>
  <c r="B221" i="10"/>
  <c r="B220" i="10"/>
  <c r="C219" i="10"/>
  <c r="B219" i="10"/>
  <c r="D219" i="10" s="1"/>
  <c r="D218" i="10"/>
  <c r="B218" i="10"/>
  <c r="C217" i="10"/>
  <c r="B217" i="10"/>
  <c r="D216" i="10"/>
  <c r="C216" i="10"/>
  <c r="B216" i="10"/>
  <c r="B215" i="10"/>
  <c r="B214" i="10"/>
  <c r="D213" i="10"/>
  <c r="C213" i="10"/>
  <c r="B213" i="10"/>
  <c r="B212" i="10"/>
  <c r="C211" i="10"/>
  <c r="B211" i="10"/>
  <c r="D223" i="10" s="1"/>
  <c r="D210" i="10"/>
  <c r="C210" i="10"/>
  <c r="B210" i="10"/>
  <c r="B209" i="10"/>
  <c r="B208" i="10"/>
  <c r="D207" i="10"/>
  <c r="B207" i="10"/>
  <c r="C207" i="10" s="1"/>
  <c r="B206" i="10"/>
  <c r="D206" i="10" s="1"/>
  <c r="D205" i="10"/>
  <c r="B205" i="10"/>
  <c r="C204" i="10"/>
  <c r="B204" i="10"/>
  <c r="C203" i="10"/>
  <c r="B203" i="10"/>
  <c r="D215" i="10" s="1"/>
  <c r="C202" i="10"/>
  <c r="B202" i="10"/>
  <c r="D201" i="10"/>
  <c r="B201" i="10"/>
  <c r="B200" i="10"/>
  <c r="B199" i="10"/>
  <c r="D198" i="10"/>
  <c r="B198" i="10"/>
  <c r="B197" i="10"/>
  <c r="B196" i="10"/>
  <c r="D208" i="10" s="1"/>
  <c r="D195" i="10"/>
  <c r="C195" i="10"/>
  <c r="B195" i="10"/>
  <c r="B194" i="10"/>
  <c r="D193" i="10"/>
  <c r="B193" i="10"/>
  <c r="C194" i="10" s="1"/>
  <c r="B192" i="10"/>
  <c r="D204" i="10" s="1"/>
  <c r="B191" i="10"/>
  <c r="D190" i="10"/>
  <c r="B190" i="10"/>
  <c r="C190" i="10" s="1"/>
  <c r="B189" i="10"/>
  <c r="C189" i="10" s="1"/>
  <c r="B188" i="10"/>
  <c r="B187" i="10"/>
  <c r="D187" i="10" s="1"/>
  <c r="D186" i="10"/>
  <c r="B186" i="10"/>
  <c r="C185" i="10"/>
  <c r="B185" i="10"/>
  <c r="D184" i="10"/>
  <c r="C184" i="10"/>
  <c r="B184" i="10"/>
  <c r="B183" i="10"/>
  <c r="C182" i="10"/>
  <c r="B182" i="10"/>
  <c r="D181" i="10"/>
  <c r="C181" i="10"/>
  <c r="B181" i="10"/>
  <c r="B180" i="10"/>
  <c r="B179" i="10"/>
  <c r="D191" i="10" s="1"/>
  <c r="D178" i="10"/>
  <c r="C178" i="10"/>
  <c r="B178" i="10"/>
  <c r="B177" i="10"/>
  <c r="B176" i="10"/>
  <c r="D175" i="10"/>
  <c r="B175" i="10"/>
  <c r="C175" i="10" s="1"/>
  <c r="B174" i="10"/>
  <c r="D174" i="10" s="1"/>
  <c r="D173" i="10"/>
  <c r="C173" i="10"/>
  <c r="B173" i="10"/>
  <c r="C172" i="10"/>
  <c r="B172" i="10"/>
  <c r="C171" i="10"/>
  <c r="B171" i="10"/>
  <c r="D183" i="10" s="1"/>
  <c r="C170" i="10"/>
  <c r="B170" i="10"/>
  <c r="D169" i="10"/>
  <c r="B169" i="10"/>
  <c r="B168" i="10"/>
  <c r="D167" i="10"/>
  <c r="B167" i="10"/>
  <c r="D166" i="10"/>
  <c r="B166" i="10"/>
  <c r="B165" i="10"/>
  <c r="B164" i="10"/>
  <c r="D176" i="10" s="1"/>
  <c r="D163" i="10"/>
  <c r="C163" i="10"/>
  <c r="B163" i="10"/>
  <c r="B162" i="10"/>
  <c r="D161" i="10"/>
  <c r="C161" i="10"/>
  <c r="B161" i="10"/>
  <c r="C162" i="10" s="1"/>
  <c r="B160" i="10"/>
  <c r="D172" i="10" s="1"/>
  <c r="B159" i="10"/>
  <c r="D158" i="10"/>
  <c r="C158" i="10"/>
  <c r="B158" i="10"/>
  <c r="D170" i="10" s="1"/>
  <c r="B157" i="10"/>
  <c r="C157" i="10" s="1"/>
  <c r="B156" i="10"/>
  <c r="B155" i="10"/>
  <c r="D155" i="10" s="1"/>
  <c r="D154" i="10"/>
  <c r="B154" i="10"/>
  <c r="B153" i="10"/>
  <c r="D152" i="10"/>
  <c r="C152" i="10"/>
  <c r="B152" i="10"/>
  <c r="B151" i="10"/>
  <c r="C150" i="10"/>
  <c r="B150" i="10"/>
  <c r="D149" i="10"/>
  <c r="C149" i="10"/>
  <c r="B149" i="10"/>
  <c r="B148" i="10"/>
  <c r="B147" i="10"/>
  <c r="D159" i="10" s="1"/>
  <c r="D146" i="10"/>
  <c r="C146" i="10"/>
  <c r="B146" i="10"/>
  <c r="B145" i="10"/>
  <c r="D144" i="10"/>
  <c r="B144" i="10"/>
  <c r="D143" i="10"/>
  <c r="B143" i="10"/>
  <c r="C143" i="10" s="1"/>
  <c r="B142" i="10"/>
  <c r="D142" i="10" s="1"/>
  <c r="D141" i="10"/>
  <c r="C141" i="10"/>
  <c r="B141" i="10"/>
  <c r="C140" i="10"/>
  <c r="B140" i="10"/>
  <c r="C139" i="10"/>
  <c r="B139" i="10"/>
  <c r="D151" i="10" s="1"/>
  <c r="C138" i="10"/>
  <c r="B138" i="10"/>
  <c r="D137" i="10"/>
  <c r="B137" i="10"/>
  <c r="B136" i="10"/>
  <c r="B135" i="10"/>
  <c r="D134" i="10"/>
  <c r="B134" i="10"/>
  <c r="B133" i="10"/>
  <c r="C132" i="10"/>
  <c r="B132" i="10"/>
  <c r="D131" i="10"/>
  <c r="C131" i="10"/>
  <c r="B131" i="10"/>
  <c r="B130" i="10"/>
  <c r="D129" i="10"/>
  <c r="C129" i="10"/>
  <c r="B129" i="10"/>
  <c r="C130" i="10" s="1"/>
  <c r="B128" i="10"/>
  <c r="D140" i="10" s="1"/>
  <c r="B127" i="10"/>
  <c r="C126" i="10"/>
  <c r="B126" i="10"/>
  <c r="D126" i="10" s="1"/>
  <c r="B125" i="10"/>
  <c r="B124" i="10"/>
  <c r="D123" i="10"/>
  <c r="B123" i="10"/>
  <c r="C123" i="10" s="1"/>
  <c r="D122" i="10"/>
  <c r="B122" i="10"/>
  <c r="C121" i="10"/>
  <c r="B121" i="10"/>
  <c r="D120" i="10"/>
  <c r="C120" i="10"/>
  <c r="B120" i="10"/>
  <c r="B119" i="10"/>
  <c r="B118" i="10"/>
  <c r="D117" i="10"/>
  <c r="C117" i="10"/>
  <c r="B117" i="10"/>
  <c r="B116" i="10"/>
  <c r="C116" i="10" s="1"/>
  <c r="B115" i="10"/>
  <c r="D127" i="10" s="1"/>
  <c r="D114" i="10"/>
  <c r="C114" i="10"/>
  <c r="B114" i="10"/>
  <c r="B113" i="10"/>
  <c r="D112" i="10"/>
  <c r="C112" i="10"/>
  <c r="B112" i="10"/>
  <c r="D111" i="10"/>
  <c r="B111" i="10"/>
  <c r="C111" i="10" s="1"/>
  <c r="B110" i="10"/>
  <c r="D110" i="10" s="1"/>
  <c r="B109" i="10"/>
  <c r="C108" i="10"/>
  <c r="B108" i="10"/>
  <c r="C107" i="10"/>
  <c r="B107" i="10"/>
  <c r="D119" i="10" s="1"/>
  <c r="C106" i="10"/>
  <c r="B106" i="10"/>
  <c r="D105" i="10"/>
  <c r="B105" i="10"/>
  <c r="B104" i="10"/>
  <c r="B103" i="10"/>
  <c r="D102" i="10"/>
  <c r="B102" i="10"/>
  <c r="B101" i="10"/>
  <c r="C100" i="10"/>
  <c r="B100" i="10"/>
  <c r="D99" i="10"/>
  <c r="C99" i="10"/>
  <c r="B99" i="10"/>
  <c r="B98" i="10"/>
  <c r="B97" i="10"/>
  <c r="C98" i="10" s="1"/>
  <c r="B96" i="10"/>
  <c r="D108" i="10" s="1"/>
  <c r="B95" i="10"/>
  <c r="B94" i="10"/>
  <c r="D94" i="10" s="1"/>
  <c r="B93" i="10"/>
  <c r="B92" i="10"/>
  <c r="D91" i="10"/>
  <c r="C91" i="10"/>
  <c r="B91" i="10"/>
  <c r="D90" i="10"/>
  <c r="B90" i="10"/>
  <c r="C89" i="10"/>
  <c r="B89" i="10"/>
  <c r="D88" i="10"/>
  <c r="C88" i="10"/>
  <c r="B88" i="10"/>
  <c r="B87" i="10"/>
  <c r="B86" i="10"/>
  <c r="D85" i="10"/>
  <c r="C85" i="10"/>
  <c r="B85" i="10"/>
  <c r="B84" i="10"/>
  <c r="C84" i="10" s="1"/>
  <c r="C83" i="10"/>
  <c r="B83" i="10"/>
  <c r="D95" i="10" s="1"/>
  <c r="D82" i="10"/>
  <c r="C82" i="10"/>
  <c r="B82" i="10"/>
  <c r="B81" i="10"/>
  <c r="C80" i="10"/>
  <c r="B80" i="10"/>
  <c r="D79" i="10"/>
  <c r="B79" i="10"/>
  <c r="C79" i="10" s="1"/>
  <c r="B78" i="10"/>
  <c r="D78" i="10" s="1"/>
  <c r="D77" i="10"/>
  <c r="B77" i="10"/>
  <c r="C76" i="10"/>
  <c r="B76" i="10"/>
  <c r="C75" i="10"/>
  <c r="B75" i="10"/>
  <c r="D87" i="10" s="1"/>
  <c r="C74" i="10"/>
  <c r="B74" i="10"/>
  <c r="D73" i="10"/>
  <c r="B73" i="10"/>
  <c r="B72" i="10"/>
  <c r="B71" i="10"/>
  <c r="D70" i="10"/>
  <c r="B70" i="10"/>
  <c r="B69" i="10"/>
  <c r="B68" i="10"/>
  <c r="D80" i="10" s="1"/>
  <c r="D67" i="10"/>
  <c r="C67" i="10"/>
  <c r="B67" i="10"/>
  <c r="B66" i="10"/>
  <c r="D65" i="10"/>
  <c r="B65" i="10"/>
  <c r="C66" i="10" s="1"/>
  <c r="B64" i="10"/>
  <c r="D76" i="10" s="1"/>
  <c r="B63" i="10"/>
  <c r="B62" i="10"/>
  <c r="D62" i="10" s="1"/>
  <c r="B61" i="10"/>
  <c r="C61" i="10" s="1"/>
  <c r="B60" i="10"/>
  <c r="D59" i="10"/>
  <c r="C59" i="10"/>
  <c r="B59" i="10"/>
  <c r="D71" i="10" s="1"/>
  <c r="D58" i="10"/>
  <c r="B58" i="10"/>
  <c r="B57" i="10"/>
  <c r="D56" i="10"/>
  <c r="C56" i="10"/>
  <c r="B56" i="10"/>
  <c r="B55" i="10"/>
  <c r="B54" i="10"/>
  <c r="D53" i="10"/>
  <c r="C53" i="10"/>
  <c r="B53" i="10"/>
  <c r="B52" i="10"/>
  <c r="C52" i="10" s="1"/>
  <c r="C51" i="10"/>
  <c r="B51" i="10"/>
  <c r="D63" i="10" s="1"/>
  <c r="D50" i="10"/>
  <c r="C50" i="10"/>
  <c r="B50" i="10"/>
  <c r="B49" i="10"/>
  <c r="B48" i="10"/>
  <c r="D47" i="10"/>
  <c r="B47" i="10"/>
  <c r="C47" i="10" s="1"/>
  <c r="B46" i="10"/>
  <c r="D46" i="10" s="1"/>
  <c r="C45" i="10"/>
  <c r="B45" i="10"/>
  <c r="C44" i="10"/>
  <c r="B44" i="10"/>
  <c r="C43" i="10"/>
  <c r="B43" i="10"/>
  <c r="D55" i="10" s="1"/>
  <c r="C42" i="10"/>
  <c r="B42" i="10"/>
  <c r="D41" i="10"/>
  <c r="B41" i="10"/>
  <c r="B40" i="10"/>
  <c r="B39" i="10"/>
  <c r="D38" i="10"/>
  <c r="B38" i="10"/>
  <c r="B37" i="10"/>
  <c r="B36" i="10"/>
  <c r="D48" i="10" s="1"/>
  <c r="D35" i="10"/>
  <c r="C35" i="10"/>
  <c r="B35" i="10"/>
  <c r="B34" i="10"/>
  <c r="C33" i="10"/>
  <c r="B33" i="10"/>
  <c r="C34" i="10" s="1"/>
  <c r="B32" i="10"/>
  <c r="D44" i="10" s="1"/>
  <c r="B31" i="10"/>
  <c r="B30" i="10"/>
  <c r="C30" i="10" s="1"/>
  <c r="B29" i="10"/>
  <c r="B28" i="10"/>
  <c r="B27" i="10"/>
  <c r="D27" i="10" s="1"/>
  <c r="B26" i="10"/>
  <c r="B25" i="10"/>
  <c r="D24" i="10"/>
  <c r="C24" i="10"/>
  <c r="B24" i="10"/>
  <c r="B23" i="10"/>
  <c r="C22" i="10"/>
  <c r="B22" i="10"/>
  <c r="D34" i="10" s="1"/>
  <c r="D21" i="10"/>
  <c r="C21" i="10"/>
  <c r="B21" i="10"/>
  <c r="B20" i="10"/>
  <c r="C20" i="10" s="1"/>
  <c r="B19" i="10"/>
  <c r="B18" i="10"/>
  <c r="C18" i="10" s="1"/>
  <c r="C17" i="10"/>
  <c r="B17" i="10"/>
  <c r="B16" i="10"/>
  <c r="B15" i="10"/>
  <c r="C14" i="10"/>
  <c r="B14" i="10"/>
  <c r="D26" i="10" s="1"/>
  <c r="C13" i="10"/>
  <c r="B13" i="10"/>
  <c r="B12" i="10"/>
  <c r="C12" i="10" s="1"/>
  <c r="B11" i="10"/>
  <c r="B10" i="10"/>
  <c r="D22" i="10" s="1"/>
  <c r="C9" i="10"/>
  <c r="B9" i="10"/>
  <c r="B8" i="10"/>
  <c r="D20" i="10" s="1"/>
  <c r="B7" i="10"/>
  <c r="U2" i="10"/>
  <c r="Y1" i="10" s="1"/>
  <c r="U1" i="10"/>
  <c r="D614" i="9"/>
  <c r="B614" i="9"/>
  <c r="C614" i="9" s="1"/>
  <c r="B613" i="9"/>
  <c r="D613" i="9" s="1"/>
  <c r="D612" i="9"/>
  <c r="C612" i="9"/>
  <c r="B612" i="9"/>
  <c r="C613" i="9" s="1"/>
  <c r="C611" i="9"/>
  <c r="B611" i="9"/>
  <c r="C610" i="9"/>
  <c r="B610" i="9"/>
  <c r="C609" i="9"/>
  <c r="B609" i="9"/>
  <c r="D608" i="9"/>
  <c r="B608" i="9"/>
  <c r="B607" i="9"/>
  <c r="B606" i="9"/>
  <c r="D605" i="9"/>
  <c r="B605" i="9"/>
  <c r="B604" i="9"/>
  <c r="C603" i="9"/>
  <c r="B603" i="9"/>
  <c r="D602" i="9"/>
  <c r="C602" i="9"/>
  <c r="B602" i="9"/>
  <c r="B601" i="9"/>
  <c r="D600" i="9"/>
  <c r="C600" i="9"/>
  <c r="B600" i="9"/>
  <c r="C601" i="9" s="1"/>
  <c r="B599" i="9"/>
  <c r="D611" i="9" s="1"/>
  <c r="B598" i="9"/>
  <c r="B597" i="9"/>
  <c r="D597" i="9" s="1"/>
  <c r="B596" i="9"/>
  <c r="B595" i="9"/>
  <c r="D594" i="9"/>
  <c r="B594" i="9"/>
  <c r="C594" i="9" s="1"/>
  <c r="D593" i="9"/>
  <c r="B593" i="9"/>
  <c r="C592" i="9"/>
  <c r="B592" i="9"/>
  <c r="D591" i="9"/>
  <c r="C591" i="9"/>
  <c r="B591" i="9"/>
  <c r="B590" i="9"/>
  <c r="B589" i="9"/>
  <c r="D588" i="9"/>
  <c r="C588" i="9"/>
  <c r="B588" i="9"/>
  <c r="B587" i="9"/>
  <c r="B586" i="9"/>
  <c r="D598" i="9" s="1"/>
  <c r="D585" i="9"/>
  <c r="C585" i="9"/>
  <c r="B585" i="9"/>
  <c r="C584" i="9"/>
  <c r="B584" i="9"/>
  <c r="B583" i="9"/>
  <c r="D582" i="9"/>
  <c r="B582" i="9"/>
  <c r="C582" i="9" s="1"/>
  <c r="C581" i="9"/>
  <c r="B581" i="9"/>
  <c r="D581" i="9" s="1"/>
  <c r="C580" i="9"/>
  <c r="B580" i="9"/>
  <c r="C579" i="9"/>
  <c r="B579" i="9"/>
  <c r="C578" i="9"/>
  <c r="B578" i="9"/>
  <c r="D590" i="9" s="1"/>
  <c r="D577" i="9"/>
  <c r="C577" i="9"/>
  <c r="B577" i="9"/>
  <c r="B576" i="9"/>
  <c r="B575" i="9"/>
  <c r="B574" i="9"/>
  <c r="D573" i="9"/>
  <c r="B573" i="9"/>
  <c r="B572" i="9"/>
  <c r="B571" i="9"/>
  <c r="C570" i="9"/>
  <c r="B570" i="9"/>
  <c r="B569" i="9"/>
  <c r="B568" i="9"/>
  <c r="B567" i="9"/>
  <c r="B566" i="9"/>
  <c r="D565" i="9"/>
  <c r="C565" i="9"/>
  <c r="B565" i="9"/>
  <c r="B564" i="9"/>
  <c r="B563" i="9"/>
  <c r="D562" i="9"/>
  <c r="C562" i="9"/>
  <c r="B562" i="9"/>
  <c r="D561" i="9"/>
  <c r="B561" i="9"/>
  <c r="B560" i="9"/>
  <c r="C561" i="9" s="1"/>
  <c r="B559" i="9"/>
  <c r="D571" i="9" s="1"/>
  <c r="B558" i="9"/>
  <c r="C558" i="9" s="1"/>
  <c r="C557" i="9"/>
  <c r="B557" i="9"/>
  <c r="D557" i="9" s="1"/>
  <c r="B556" i="9"/>
  <c r="D556" i="9" s="1"/>
  <c r="B555" i="9"/>
  <c r="C554" i="9"/>
  <c r="B554" i="9"/>
  <c r="D566" i="9" s="1"/>
  <c r="D553" i="9"/>
  <c r="C553" i="9"/>
  <c r="B553" i="9"/>
  <c r="B552" i="9"/>
  <c r="B551" i="9"/>
  <c r="D550" i="9"/>
  <c r="B550" i="9"/>
  <c r="C550" i="9" s="1"/>
  <c r="B549" i="9"/>
  <c r="D549" i="9" s="1"/>
  <c r="C548" i="9"/>
  <c r="B548" i="9"/>
  <c r="C547" i="9"/>
  <c r="B547" i="9"/>
  <c r="C546" i="9"/>
  <c r="B546" i="9"/>
  <c r="C545" i="9"/>
  <c r="B545" i="9"/>
  <c r="D544" i="9"/>
  <c r="C544" i="9"/>
  <c r="B544" i="9"/>
  <c r="B543" i="9"/>
  <c r="B542" i="9"/>
  <c r="D541" i="9"/>
  <c r="C541" i="9"/>
  <c r="B541" i="9"/>
  <c r="D540" i="9"/>
  <c r="B540" i="9"/>
  <c r="B539" i="9"/>
  <c r="C539" i="9" s="1"/>
  <c r="C538" i="9"/>
  <c r="B538" i="9"/>
  <c r="D537" i="9"/>
  <c r="B537" i="9"/>
  <c r="B536" i="9"/>
  <c r="C537" i="9" s="1"/>
  <c r="B535" i="9"/>
  <c r="B534" i="9"/>
  <c r="D533" i="9"/>
  <c r="C533" i="9"/>
  <c r="B533" i="9"/>
  <c r="D545" i="9" s="1"/>
  <c r="B532" i="9"/>
  <c r="B531" i="9"/>
  <c r="D543" i="9" s="1"/>
  <c r="D530" i="9"/>
  <c r="C530" i="9"/>
  <c r="B530" i="9"/>
  <c r="D542" i="9" s="1"/>
  <c r="D529" i="9"/>
  <c r="B529" i="9"/>
  <c r="B528" i="9"/>
  <c r="C529" i="9" s="1"/>
  <c r="B527" i="9"/>
  <c r="D539" i="9" s="1"/>
  <c r="B526" i="9"/>
  <c r="C525" i="9"/>
  <c r="B525" i="9"/>
  <c r="D525" i="9" s="1"/>
  <c r="B524" i="9"/>
  <c r="D524" i="9" s="1"/>
  <c r="B523" i="9"/>
  <c r="C522" i="9"/>
  <c r="B522" i="9"/>
  <c r="D534" i="9" s="1"/>
  <c r="D521" i="9"/>
  <c r="C521" i="9"/>
  <c r="B521" i="9"/>
  <c r="B520" i="9"/>
  <c r="B519" i="9"/>
  <c r="D518" i="9"/>
  <c r="B518" i="9"/>
  <c r="C518" i="9" s="1"/>
  <c r="B517" i="9"/>
  <c r="D517" i="9" s="1"/>
  <c r="C516" i="9"/>
  <c r="B516" i="9"/>
  <c r="B515" i="9"/>
  <c r="C514" i="9"/>
  <c r="B514" i="9"/>
  <c r="C513" i="9"/>
  <c r="B513" i="9"/>
  <c r="D512" i="9"/>
  <c r="C512" i="9"/>
  <c r="B512" i="9"/>
  <c r="B511" i="9"/>
  <c r="B510" i="9"/>
  <c r="D509" i="9"/>
  <c r="C509" i="9"/>
  <c r="B509" i="9"/>
  <c r="D508" i="9"/>
  <c r="B508" i="9"/>
  <c r="B507" i="9"/>
  <c r="C507" i="9" s="1"/>
  <c r="C506" i="9"/>
  <c r="B506" i="9"/>
  <c r="D505" i="9"/>
  <c r="B505" i="9"/>
  <c r="B504" i="9"/>
  <c r="C505" i="9" s="1"/>
  <c r="B503" i="9"/>
  <c r="B502" i="9"/>
  <c r="D501" i="9"/>
  <c r="C501" i="9"/>
  <c r="B501" i="9"/>
  <c r="D513" i="9" s="1"/>
  <c r="B500" i="9"/>
  <c r="B499" i="9"/>
  <c r="D511" i="9" s="1"/>
  <c r="D498" i="9"/>
  <c r="C498" i="9"/>
  <c r="B498" i="9"/>
  <c r="D510" i="9" s="1"/>
  <c r="D497" i="9"/>
  <c r="B497" i="9"/>
  <c r="B496" i="9"/>
  <c r="C497" i="9" s="1"/>
  <c r="B495" i="9"/>
  <c r="D507" i="9" s="1"/>
  <c r="B494" i="9"/>
  <c r="C493" i="9"/>
  <c r="B493" i="9"/>
  <c r="D493" i="9" s="1"/>
  <c r="B492" i="9"/>
  <c r="D492" i="9" s="1"/>
  <c r="B491" i="9"/>
  <c r="C490" i="9"/>
  <c r="B490" i="9"/>
  <c r="D502" i="9" s="1"/>
  <c r="D489" i="9"/>
  <c r="C489" i="9"/>
  <c r="B489" i="9"/>
  <c r="B488" i="9"/>
  <c r="B487" i="9"/>
  <c r="D486" i="9"/>
  <c r="B486" i="9"/>
  <c r="C486" i="9" s="1"/>
  <c r="B485" i="9"/>
  <c r="D485" i="9" s="1"/>
  <c r="C484" i="9"/>
  <c r="B484" i="9"/>
  <c r="B483" i="9"/>
  <c r="C482" i="9"/>
  <c r="B482" i="9"/>
  <c r="D481" i="9"/>
  <c r="C481" i="9"/>
  <c r="B481" i="9"/>
  <c r="D480" i="9"/>
  <c r="C480" i="9"/>
  <c r="B480" i="9"/>
  <c r="B479" i="9"/>
  <c r="B478" i="9"/>
  <c r="D477" i="9"/>
  <c r="C477" i="9"/>
  <c r="B477" i="9"/>
  <c r="B476" i="9"/>
  <c r="B475" i="9"/>
  <c r="C475" i="9" s="1"/>
  <c r="D474" i="9"/>
  <c r="C474" i="9"/>
  <c r="B474" i="9"/>
  <c r="B473" i="9"/>
  <c r="D472" i="9"/>
  <c r="B472" i="9"/>
  <c r="C473" i="9" s="1"/>
  <c r="B471" i="9"/>
  <c r="C470" i="9"/>
  <c r="B470" i="9"/>
  <c r="C469" i="9"/>
  <c r="B469" i="9"/>
  <c r="B468" i="9"/>
  <c r="B467" i="9"/>
  <c r="B466" i="9"/>
  <c r="B465" i="9"/>
  <c r="C466" i="9" s="1"/>
  <c r="D464" i="9"/>
  <c r="B464" i="9"/>
  <c r="D476" i="9" s="1"/>
  <c r="B463" i="9"/>
  <c r="B462" i="9"/>
  <c r="D462" i="9" s="1"/>
  <c r="B461" i="9"/>
  <c r="C461" i="9" s="1"/>
  <c r="C460" i="9"/>
  <c r="B460" i="9"/>
  <c r="B459" i="9"/>
  <c r="C459" i="9" s="1"/>
  <c r="D458" i="9"/>
  <c r="B458" i="9"/>
  <c r="B457" i="9"/>
  <c r="C457" i="9" s="1"/>
  <c r="D456" i="9"/>
  <c r="B456" i="9"/>
  <c r="D468" i="9" s="1"/>
  <c r="B455" i="9"/>
  <c r="B454" i="9"/>
  <c r="D454" i="9" s="1"/>
  <c r="C453" i="9"/>
  <c r="B453" i="9"/>
  <c r="B452" i="9"/>
  <c r="B451" i="9"/>
  <c r="C452" i="9" s="1"/>
  <c r="B450" i="9"/>
  <c r="B449" i="9"/>
  <c r="C450" i="9" s="1"/>
  <c r="C448" i="9"/>
  <c r="B448" i="9"/>
  <c r="D460" i="9" s="1"/>
  <c r="D447" i="9"/>
  <c r="B447" i="9"/>
  <c r="C447" i="9" s="1"/>
  <c r="B446" i="9"/>
  <c r="D446" i="9" s="1"/>
  <c r="B445" i="9"/>
  <c r="C445" i="9" s="1"/>
  <c r="C444" i="9"/>
  <c r="B444" i="9"/>
  <c r="D443" i="9"/>
  <c r="B443" i="9"/>
  <c r="C443" i="9" s="1"/>
  <c r="B442" i="9"/>
  <c r="B441" i="9"/>
  <c r="C441" i="9" s="1"/>
  <c r="D440" i="9"/>
  <c r="B440" i="9"/>
  <c r="D452" i="9" s="1"/>
  <c r="B439" i="9"/>
  <c r="B438" i="9"/>
  <c r="D438" i="9" s="1"/>
  <c r="B437" i="9"/>
  <c r="B436" i="9"/>
  <c r="C436" i="9" s="1"/>
  <c r="D435" i="9"/>
  <c r="C435" i="9"/>
  <c r="B435" i="9"/>
  <c r="B434" i="9"/>
  <c r="B433" i="9"/>
  <c r="D432" i="9"/>
  <c r="C432" i="9"/>
  <c r="B432" i="9"/>
  <c r="D444" i="9" s="1"/>
  <c r="B431" i="9"/>
  <c r="B430" i="9"/>
  <c r="D429" i="9"/>
  <c r="C429" i="9"/>
  <c r="B429" i="9"/>
  <c r="B428" i="9"/>
  <c r="C428" i="9" s="1"/>
  <c r="C427" i="9"/>
  <c r="B427" i="9"/>
  <c r="D439" i="9" s="1"/>
  <c r="D426" i="9"/>
  <c r="C426" i="9"/>
  <c r="B426" i="9"/>
  <c r="B425" i="9"/>
  <c r="C425" i="9" s="1"/>
  <c r="C424" i="9"/>
  <c r="B424" i="9"/>
  <c r="D436" i="9" s="1"/>
  <c r="D423" i="9"/>
  <c r="B423" i="9"/>
  <c r="B422" i="9"/>
  <c r="D422" i="9" s="1"/>
  <c r="C421" i="9"/>
  <c r="B421" i="9"/>
  <c r="C420" i="9"/>
  <c r="B420" i="9"/>
  <c r="B419" i="9"/>
  <c r="D431" i="9" s="1"/>
  <c r="C418" i="9"/>
  <c r="B418" i="9"/>
  <c r="D417" i="9"/>
  <c r="B417" i="9"/>
  <c r="B416" i="9"/>
  <c r="B415" i="9"/>
  <c r="D414" i="9"/>
  <c r="B414" i="9"/>
  <c r="B413" i="9"/>
  <c r="C412" i="9"/>
  <c r="B412" i="9"/>
  <c r="D424" i="9" s="1"/>
  <c r="D411" i="9"/>
  <c r="C411" i="9"/>
  <c r="B411" i="9"/>
  <c r="B410" i="9"/>
  <c r="B409" i="9"/>
  <c r="C410" i="9" s="1"/>
  <c r="D408" i="9"/>
  <c r="B408" i="9"/>
  <c r="B407" i="9"/>
  <c r="D406" i="9"/>
  <c r="B406" i="9"/>
  <c r="D418" i="9" s="1"/>
  <c r="B405" i="9"/>
  <c r="B404" i="9"/>
  <c r="C403" i="9"/>
  <c r="B403" i="9"/>
  <c r="D403" i="9" s="1"/>
  <c r="B402" i="9"/>
  <c r="B401" i="9"/>
  <c r="D400" i="9"/>
  <c r="C400" i="9"/>
  <c r="B400" i="9"/>
  <c r="B399" i="9"/>
  <c r="C398" i="9"/>
  <c r="B398" i="9"/>
  <c r="D397" i="9"/>
  <c r="C397" i="9"/>
  <c r="B397" i="9"/>
  <c r="B396" i="9"/>
  <c r="C396" i="9" s="1"/>
  <c r="B395" i="9"/>
  <c r="D407" i="9" s="1"/>
  <c r="D394" i="9"/>
  <c r="C394" i="9"/>
  <c r="B394" i="9"/>
  <c r="B393" i="9"/>
  <c r="C393" i="9" s="1"/>
  <c r="C392" i="9"/>
  <c r="B392" i="9"/>
  <c r="D391" i="9"/>
  <c r="B391" i="9"/>
  <c r="B390" i="9"/>
  <c r="D390" i="9" s="1"/>
  <c r="C389" i="9"/>
  <c r="B389" i="9"/>
  <c r="C388" i="9"/>
  <c r="B388" i="9"/>
  <c r="B387" i="9"/>
  <c r="D399" i="9" s="1"/>
  <c r="C386" i="9"/>
  <c r="B386" i="9"/>
  <c r="D385" i="9"/>
  <c r="B385" i="9"/>
  <c r="B384" i="9"/>
  <c r="B383" i="9"/>
  <c r="D382" i="9"/>
  <c r="B382" i="9"/>
  <c r="B381" i="9"/>
  <c r="C380" i="9"/>
  <c r="B380" i="9"/>
  <c r="D392" i="9" s="1"/>
  <c r="D379" i="9"/>
  <c r="C379" i="9"/>
  <c r="B379" i="9"/>
  <c r="B378" i="9"/>
  <c r="D377" i="9"/>
  <c r="B377" i="9"/>
  <c r="C378" i="9" s="1"/>
  <c r="D376" i="9"/>
  <c r="B376" i="9"/>
  <c r="B375" i="9"/>
  <c r="D374" i="9"/>
  <c r="B374" i="9"/>
  <c r="D386" i="9" s="1"/>
  <c r="B373" i="9"/>
  <c r="B372" i="9"/>
  <c r="D371" i="9"/>
  <c r="C371" i="9"/>
  <c r="B371" i="9"/>
  <c r="D383" i="9" s="1"/>
  <c r="B370" i="9"/>
  <c r="B369" i="9"/>
  <c r="D368" i="9"/>
  <c r="C368" i="9"/>
  <c r="B368" i="9"/>
  <c r="B367" i="9"/>
  <c r="B366" i="9"/>
  <c r="D365" i="9"/>
  <c r="C365" i="9"/>
  <c r="B365" i="9"/>
  <c r="B364" i="9"/>
  <c r="B363" i="9"/>
  <c r="D375" i="9" s="1"/>
  <c r="D362" i="9"/>
  <c r="C362" i="9"/>
  <c r="B362" i="9"/>
  <c r="B361" i="9"/>
  <c r="C361" i="9" s="1"/>
  <c r="C360" i="9"/>
  <c r="B360" i="9"/>
  <c r="D359" i="9"/>
  <c r="B359" i="9"/>
  <c r="B358" i="9"/>
  <c r="D358" i="9" s="1"/>
  <c r="C357" i="9"/>
  <c r="B357" i="9"/>
  <c r="C356" i="9"/>
  <c r="B356" i="9"/>
  <c r="B355" i="9"/>
  <c r="D367" i="9" s="1"/>
  <c r="C354" i="9"/>
  <c r="B354" i="9"/>
  <c r="D353" i="9"/>
  <c r="B353" i="9"/>
  <c r="B352" i="9"/>
  <c r="B351" i="9"/>
  <c r="D350" i="9"/>
  <c r="B350" i="9"/>
  <c r="B349" i="9"/>
  <c r="C348" i="9"/>
  <c r="B348" i="9"/>
  <c r="D360" i="9" s="1"/>
  <c r="D347" i="9"/>
  <c r="C347" i="9"/>
  <c r="B347" i="9"/>
  <c r="B346" i="9"/>
  <c r="D345" i="9"/>
  <c r="B345" i="9"/>
  <c r="C346" i="9" s="1"/>
  <c r="D344" i="9"/>
  <c r="B344" i="9"/>
  <c r="B343" i="9"/>
  <c r="D342" i="9"/>
  <c r="B342" i="9"/>
  <c r="D354" i="9" s="1"/>
  <c r="B341" i="9"/>
  <c r="B340" i="9"/>
  <c r="C339" i="9"/>
  <c r="B339" i="9"/>
  <c r="D339" i="9" s="1"/>
  <c r="B338" i="9"/>
  <c r="B337" i="9"/>
  <c r="D336" i="9"/>
  <c r="C336" i="9"/>
  <c r="B336" i="9"/>
  <c r="B335" i="9"/>
  <c r="B334" i="9"/>
  <c r="D333" i="9"/>
  <c r="C333" i="9"/>
  <c r="B333" i="9"/>
  <c r="B332" i="9"/>
  <c r="C332" i="9" s="1"/>
  <c r="B331" i="9"/>
  <c r="D343" i="9" s="1"/>
  <c r="D330" i="9"/>
  <c r="C330" i="9"/>
  <c r="B330" i="9"/>
  <c r="B329" i="9"/>
  <c r="C329" i="9" s="1"/>
  <c r="C328" i="9"/>
  <c r="B328" i="9"/>
  <c r="D327" i="9"/>
  <c r="B327" i="9"/>
  <c r="B326" i="9"/>
  <c r="D326" i="9" s="1"/>
  <c r="C325" i="9"/>
  <c r="B325" i="9"/>
  <c r="C324" i="9"/>
  <c r="B324" i="9"/>
  <c r="B323" i="9"/>
  <c r="D335" i="9" s="1"/>
  <c r="C322" i="9"/>
  <c r="B322" i="9"/>
  <c r="D321" i="9"/>
  <c r="B321" i="9"/>
  <c r="B320" i="9"/>
  <c r="B319" i="9"/>
  <c r="D318" i="9"/>
  <c r="B318" i="9"/>
  <c r="B317" i="9"/>
  <c r="C316" i="9"/>
  <c r="B316" i="9"/>
  <c r="D328" i="9" s="1"/>
  <c r="D315" i="9"/>
  <c r="C315" i="9"/>
  <c r="B315" i="9"/>
  <c r="B314" i="9"/>
  <c r="D313" i="9"/>
  <c r="B313" i="9"/>
  <c r="C314" i="9" s="1"/>
  <c r="D312" i="9"/>
  <c r="B312" i="9"/>
  <c r="B311" i="9"/>
  <c r="B310" i="9"/>
  <c r="D310" i="9" s="1"/>
  <c r="B309" i="9"/>
  <c r="B308" i="9"/>
  <c r="D307" i="9"/>
  <c r="C307" i="9"/>
  <c r="B307" i="9"/>
  <c r="D319" i="9" s="1"/>
  <c r="B306" i="9"/>
  <c r="B305" i="9"/>
  <c r="D304" i="9"/>
  <c r="C304" i="9"/>
  <c r="B304" i="9"/>
  <c r="B303" i="9"/>
  <c r="B302" i="9"/>
  <c r="D301" i="9"/>
  <c r="C301" i="9"/>
  <c r="B301" i="9"/>
  <c r="B300" i="9"/>
  <c r="C300" i="9" s="1"/>
  <c r="B299" i="9"/>
  <c r="D311" i="9" s="1"/>
  <c r="D298" i="9"/>
  <c r="C298" i="9"/>
  <c r="B298" i="9"/>
  <c r="B297" i="9"/>
  <c r="C297" i="9" s="1"/>
  <c r="C296" i="9"/>
  <c r="B296" i="9"/>
  <c r="D295" i="9"/>
  <c r="B295" i="9"/>
  <c r="B294" i="9"/>
  <c r="D294" i="9" s="1"/>
  <c r="C293" i="9"/>
  <c r="B293" i="9"/>
  <c r="C292" i="9"/>
  <c r="B292" i="9"/>
  <c r="B291" i="9"/>
  <c r="D303" i="9" s="1"/>
  <c r="C290" i="9"/>
  <c r="B290" i="9"/>
  <c r="D289" i="9"/>
  <c r="B289" i="9"/>
  <c r="B288" i="9"/>
  <c r="B287" i="9"/>
  <c r="D286" i="9"/>
  <c r="B286" i="9"/>
  <c r="B285" i="9"/>
  <c r="C284" i="9"/>
  <c r="B284" i="9"/>
  <c r="D296" i="9" s="1"/>
  <c r="D283" i="9"/>
  <c r="C283" i="9"/>
  <c r="B283" i="9"/>
  <c r="B282" i="9"/>
  <c r="B281" i="9"/>
  <c r="C282" i="9" s="1"/>
  <c r="D280" i="9"/>
  <c r="B280" i="9"/>
  <c r="B279" i="9"/>
  <c r="D278" i="9"/>
  <c r="B278" i="9"/>
  <c r="D290" i="9" s="1"/>
  <c r="B277" i="9"/>
  <c r="B276" i="9"/>
  <c r="C275" i="9"/>
  <c r="B275" i="9"/>
  <c r="D275" i="9" s="1"/>
  <c r="B274" i="9"/>
  <c r="B273" i="9"/>
  <c r="D272" i="9"/>
  <c r="C272" i="9"/>
  <c r="B272" i="9"/>
  <c r="B271" i="9"/>
  <c r="B270" i="9"/>
  <c r="D269" i="9"/>
  <c r="C269" i="9"/>
  <c r="B269" i="9"/>
  <c r="B268" i="9"/>
  <c r="C268" i="9" s="1"/>
  <c r="B267" i="9"/>
  <c r="D279" i="9" s="1"/>
  <c r="D266" i="9"/>
  <c r="C266" i="9"/>
  <c r="B266" i="9"/>
  <c r="B265" i="9"/>
  <c r="C265" i="9" s="1"/>
  <c r="C264" i="9"/>
  <c r="B264" i="9"/>
  <c r="D263" i="9"/>
  <c r="B263" i="9"/>
  <c r="C263" i="9" s="1"/>
  <c r="B262" i="9"/>
  <c r="D262" i="9" s="1"/>
  <c r="C261" i="9"/>
  <c r="B261" i="9"/>
  <c r="C260" i="9"/>
  <c r="B260" i="9"/>
  <c r="B259" i="9"/>
  <c r="D271" i="9" s="1"/>
  <c r="D258" i="9"/>
  <c r="C258" i="9"/>
  <c r="B258" i="9"/>
  <c r="D257" i="9"/>
  <c r="B257" i="9"/>
  <c r="B256" i="9"/>
  <c r="B255" i="9"/>
  <c r="B254" i="9"/>
  <c r="B253" i="9"/>
  <c r="C252" i="9"/>
  <c r="B252" i="9"/>
  <c r="D264" i="9" s="1"/>
  <c r="D251" i="9"/>
  <c r="C251" i="9"/>
  <c r="B251" i="9"/>
  <c r="B250" i="9"/>
  <c r="D249" i="9"/>
  <c r="B249" i="9"/>
  <c r="C250" i="9" s="1"/>
  <c r="B248" i="9"/>
  <c r="C247" i="9"/>
  <c r="B247" i="9"/>
  <c r="D246" i="9"/>
  <c r="C246" i="9"/>
  <c r="B246" i="9"/>
  <c r="B245" i="9"/>
  <c r="B244" i="9"/>
  <c r="D256" i="9" s="1"/>
  <c r="B243" i="9"/>
  <c r="B242" i="9"/>
  <c r="D241" i="9"/>
  <c r="B241" i="9"/>
  <c r="D253" i="9" s="1"/>
  <c r="B240" i="9"/>
  <c r="C239" i="9"/>
  <c r="B239" i="9"/>
  <c r="D239" i="9" s="1"/>
  <c r="D238" i="9"/>
  <c r="C238" i="9"/>
  <c r="B238" i="9"/>
  <c r="D250" i="9" s="1"/>
  <c r="B237" i="9"/>
  <c r="B236" i="9"/>
  <c r="D248" i="9" s="1"/>
  <c r="B235" i="9"/>
  <c r="B234" i="9"/>
  <c r="D233" i="9"/>
  <c r="B233" i="9"/>
  <c r="D245" i="9" s="1"/>
  <c r="B232" i="9"/>
  <c r="C231" i="9"/>
  <c r="B231" i="9"/>
  <c r="D231" i="9" s="1"/>
  <c r="D230" i="9"/>
  <c r="C230" i="9"/>
  <c r="B230" i="9"/>
  <c r="D242" i="9" s="1"/>
  <c r="B229" i="9"/>
  <c r="B228" i="9"/>
  <c r="B227" i="9"/>
  <c r="B226" i="9"/>
  <c r="D225" i="9"/>
  <c r="B225" i="9"/>
  <c r="D237" i="9" s="1"/>
  <c r="B224" i="9"/>
  <c r="C223" i="9"/>
  <c r="B223" i="9"/>
  <c r="D223" i="9" s="1"/>
  <c r="D222" i="9"/>
  <c r="C222" i="9"/>
  <c r="B222" i="9"/>
  <c r="D234" i="9" s="1"/>
  <c r="B221" i="9"/>
  <c r="B220" i="9"/>
  <c r="B219" i="9"/>
  <c r="B218" i="9"/>
  <c r="D217" i="9"/>
  <c r="B217" i="9"/>
  <c r="D229" i="9" s="1"/>
  <c r="B216" i="9"/>
  <c r="C215" i="9"/>
  <c r="B215" i="9"/>
  <c r="D215" i="9" s="1"/>
  <c r="C214" i="9"/>
  <c r="B214" i="9"/>
  <c r="D226" i="9" s="1"/>
  <c r="B213" i="9"/>
  <c r="B212" i="9"/>
  <c r="B211" i="9"/>
  <c r="B210" i="9"/>
  <c r="D209" i="9"/>
  <c r="B209" i="9"/>
  <c r="D221" i="9" s="1"/>
  <c r="B208" i="9"/>
  <c r="C207" i="9"/>
  <c r="B207" i="9"/>
  <c r="D207" i="9" s="1"/>
  <c r="D206" i="9"/>
  <c r="C206" i="9"/>
  <c r="B206" i="9"/>
  <c r="D218" i="9" s="1"/>
  <c r="B205" i="9"/>
  <c r="B204" i="9"/>
  <c r="B203" i="9"/>
  <c r="B202" i="9"/>
  <c r="C203" i="9" s="1"/>
  <c r="C201" i="9"/>
  <c r="B201" i="9"/>
  <c r="D213" i="9" s="1"/>
  <c r="B200" i="9"/>
  <c r="C200" i="9" s="1"/>
  <c r="C199" i="9"/>
  <c r="B199" i="9"/>
  <c r="D211" i="9" s="1"/>
  <c r="B198" i="9"/>
  <c r="B197" i="9"/>
  <c r="D196" i="9"/>
  <c r="B196" i="9"/>
  <c r="D208" i="9" s="1"/>
  <c r="B195" i="9"/>
  <c r="B194" i="9"/>
  <c r="C195" i="9" s="1"/>
  <c r="C193" i="9"/>
  <c r="B193" i="9"/>
  <c r="D205" i="9" s="1"/>
  <c r="D192" i="9"/>
  <c r="B192" i="9"/>
  <c r="C192" i="9" s="1"/>
  <c r="D191" i="9"/>
  <c r="B191" i="9"/>
  <c r="C191" i="9" s="1"/>
  <c r="B190" i="9"/>
  <c r="B189" i="9"/>
  <c r="D188" i="9"/>
  <c r="C188" i="9"/>
  <c r="B188" i="9"/>
  <c r="D200" i="9" s="1"/>
  <c r="B187" i="9"/>
  <c r="B186" i="9"/>
  <c r="C185" i="9"/>
  <c r="B185" i="9"/>
  <c r="D184" i="9"/>
  <c r="B184" i="9"/>
  <c r="D183" i="9"/>
  <c r="B183" i="9"/>
  <c r="D182" i="9"/>
  <c r="C182" i="9"/>
  <c r="B182" i="9"/>
  <c r="B181" i="9"/>
  <c r="C181" i="9" s="1"/>
  <c r="C180" i="9"/>
  <c r="B180" i="9"/>
  <c r="D180" i="9" s="1"/>
  <c r="C179" i="9"/>
  <c r="B179" i="9"/>
  <c r="B178" i="9"/>
  <c r="C178" i="9" s="1"/>
  <c r="C177" i="9"/>
  <c r="B177" i="9"/>
  <c r="D176" i="9"/>
  <c r="B176" i="9"/>
  <c r="C176" i="9" s="1"/>
  <c r="D175" i="9"/>
  <c r="B175" i="9"/>
  <c r="C175" i="9" s="1"/>
  <c r="C174" i="9"/>
  <c r="B174" i="9"/>
  <c r="B173" i="9"/>
  <c r="D172" i="9"/>
  <c r="C172" i="9"/>
  <c r="B172" i="9"/>
  <c r="B171" i="9"/>
  <c r="B170" i="9"/>
  <c r="D169" i="9"/>
  <c r="C169" i="9"/>
  <c r="B169" i="9"/>
  <c r="D168" i="9"/>
  <c r="B168" i="9"/>
  <c r="B167" i="9"/>
  <c r="C167" i="9" s="1"/>
  <c r="C166" i="9"/>
  <c r="B166" i="9"/>
  <c r="B165" i="9"/>
  <c r="C165" i="9" s="1"/>
  <c r="C164" i="9"/>
  <c r="B164" i="9"/>
  <c r="D164" i="9" s="1"/>
  <c r="C163" i="9"/>
  <c r="B163" i="9"/>
  <c r="B162" i="9"/>
  <c r="C162" i="9" s="1"/>
  <c r="C161" i="9"/>
  <c r="B161" i="9"/>
  <c r="D160" i="9"/>
  <c r="B160" i="9"/>
  <c r="C160" i="9" s="1"/>
  <c r="D159" i="9"/>
  <c r="B159" i="9"/>
  <c r="C159" i="9" s="1"/>
  <c r="C158" i="9"/>
  <c r="B158" i="9"/>
  <c r="B157" i="9"/>
  <c r="C157" i="9" s="1"/>
  <c r="D156" i="9"/>
  <c r="C156" i="9"/>
  <c r="B156" i="9"/>
  <c r="B155" i="9"/>
  <c r="B154" i="9"/>
  <c r="D166" i="9" s="1"/>
  <c r="C153" i="9"/>
  <c r="B153" i="9"/>
  <c r="D152" i="9"/>
  <c r="B152" i="9"/>
  <c r="B151" i="9"/>
  <c r="C151" i="9" s="1"/>
  <c r="C150" i="9"/>
  <c r="B150" i="9"/>
  <c r="B149" i="9"/>
  <c r="C149" i="9" s="1"/>
  <c r="C148" i="9"/>
  <c r="B148" i="9"/>
  <c r="D148" i="9" s="1"/>
  <c r="C147" i="9"/>
  <c r="B147" i="9"/>
  <c r="B146" i="9"/>
  <c r="C146" i="9" s="1"/>
  <c r="C145" i="9"/>
  <c r="B145" i="9"/>
  <c r="D144" i="9"/>
  <c r="B144" i="9"/>
  <c r="C144" i="9" s="1"/>
  <c r="D143" i="9"/>
  <c r="B143" i="9"/>
  <c r="C143" i="9" s="1"/>
  <c r="B142" i="9"/>
  <c r="B141" i="9"/>
  <c r="C141" i="9" s="1"/>
  <c r="D140" i="9"/>
  <c r="C140" i="9"/>
  <c r="B140" i="9"/>
  <c r="B139" i="9"/>
  <c r="B138" i="9"/>
  <c r="D150" i="9" s="1"/>
  <c r="D137" i="9"/>
  <c r="C137" i="9"/>
  <c r="B137" i="9"/>
  <c r="D136" i="9"/>
  <c r="B136" i="9"/>
  <c r="B135" i="9"/>
  <c r="C135" i="9" s="1"/>
  <c r="C134" i="9"/>
  <c r="B134" i="9"/>
  <c r="B133" i="9"/>
  <c r="C133" i="9" s="1"/>
  <c r="C132" i="9"/>
  <c r="B132" i="9"/>
  <c r="D132" i="9" s="1"/>
  <c r="C131" i="9"/>
  <c r="B131" i="9"/>
  <c r="B130" i="9"/>
  <c r="C130" i="9" s="1"/>
  <c r="C129" i="9"/>
  <c r="B129" i="9"/>
  <c r="D128" i="9"/>
  <c r="B128" i="9"/>
  <c r="C128" i="9" s="1"/>
  <c r="D127" i="9"/>
  <c r="B127" i="9"/>
  <c r="C127" i="9" s="1"/>
  <c r="C126" i="9"/>
  <c r="B126" i="9"/>
  <c r="B125" i="9"/>
  <c r="C125" i="9" s="1"/>
  <c r="D124" i="9"/>
  <c r="C124" i="9"/>
  <c r="B124" i="9"/>
  <c r="B123" i="9"/>
  <c r="B122" i="9"/>
  <c r="D134" i="9" s="1"/>
  <c r="C121" i="9"/>
  <c r="B121" i="9"/>
  <c r="D120" i="9"/>
  <c r="B120" i="9"/>
  <c r="D119" i="9"/>
  <c r="B119" i="9"/>
  <c r="C119" i="9" s="1"/>
  <c r="D118" i="9"/>
  <c r="C118" i="9"/>
  <c r="B118" i="9"/>
  <c r="B117" i="9"/>
  <c r="C117" i="9" s="1"/>
  <c r="C116" i="9"/>
  <c r="B116" i="9"/>
  <c r="D116" i="9" s="1"/>
  <c r="C115" i="9"/>
  <c r="B115" i="9"/>
  <c r="B114" i="9"/>
  <c r="C114" i="9" s="1"/>
  <c r="C113" i="9"/>
  <c r="B113" i="9"/>
  <c r="D112" i="9"/>
  <c r="B112" i="9"/>
  <c r="C112" i="9" s="1"/>
  <c r="D111" i="9"/>
  <c r="B111" i="9"/>
  <c r="C111" i="9" s="1"/>
  <c r="B110" i="9"/>
  <c r="B109" i="9"/>
  <c r="C109" i="9" s="1"/>
  <c r="D108" i="9"/>
  <c r="C108" i="9"/>
  <c r="B108" i="9"/>
  <c r="B107" i="9"/>
  <c r="B106" i="9"/>
  <c r="C105" i="9"/>
  <c r="B105" i="9"/>
  <c r="D104" i="9"/>
  <c r="B104" i="9"/>
  <c r="B103" i="9"/>
  <c r="C103" i="9" s="1"/>
  <c r="C102" i="9"/>
  <c r="B102" i="9"/>
  <c r="B101" i="9"/>
  <c r="C101" i="9" s="1"/>
  <c r="C100" i="9"/>
  <c r="B100" i="9"/>
  <c r="D100" i="9" s="1"/>
  <c r="C99" i="9"/>
  <c r="B99" i="9"/>
  <c r="B98" i="9"/>
  <c r="C98" i="9" s="1"/>
  <c r="C97" i="9"/>
  <c r="B97" i="9"/>
  <c r="D96" i="9"/>
  <c r="B96" i="9"/>
  <c r="C96" i="9" s="1"/>
  <c r="D95" i="9"/>
  <c r="B95" i="9"/>
  <c r="C95" i="9" s="1"/>
  <c r="B94" i="9"/>
  <c r="B93" i="9"/>
  <c r="C93" i="9" s="1"/>
  <c r="D92" i="9"/>
  <c r="C92" i="9"/>
  <c r="B92" i="9"/>
  <c r="B91" i="9"/>
  <c r="B90" i="9"/>
  <c r="D102" i="9" s="1"/>
  <c r="C89" i="9"/>
  <c r="B89" i="9"/>
  <c r="D88" i="9"/>
  <c r="B88" i="9"/>
  <c r="D87" i="9"/>
  <c r="B87" i="9"/>
  <c r="C87" i="9" s="1"/>
  <c r="D86" i="9"/>
  <c r="C86" i="9"/>
  <c r="B86" i="9"/>
  <c r="B85" i="9"/>
  <c r="C85" i="9" s="1"/>
  <c r="C84" i="9"/>
  <c r="B84" i="9"/>
  <c r="D84" i="9" s="1"/>
  <c r="C83" i="9"/>
  <c r="B83" i="9"/>
  <c r="B82" i="9"/>
  <c r="C82" i="9" s="1"/>
  <c r="C81" i="9"/>
  <c r="B81" i="9"/>
  <c r="D80" i="9"/>
  <c r="B80" i="9"/>
  <c r="C80" i="9" s="1"/>
  <c r="D79" i="9"/>
  <c r="B79" i="9"/>
  <c r="C79" i="9" s="1"/>
  <c r="B78" i="9"/>
  <c r="B77" i="9"/>
  <c r="C77" i="9" s="1"/>
  <c r="D76" i="9"/>
  <c r="C76" i="9"/>
  <c r="B76" i="9"/>
  <c r="B75" i="9"/>
  <c r="B74" i="9"/>
  <c r="C73" i="9"/>
  <c r="B73" i="9"/>
  <c r="D72" i="9"/>
  <c r="B72" i="9"/>
  <c r="B71" i="9"/>
  <c r="C71" i="9" s="1"/>
  <c r="C70" i="9"/>
  <c r="B70" i="9"/>
  <c r="B69" i="9"/>
  <c r="C69" i="9" s="1"/>
  <c r="C68" i="9"/>
  <c r="B68" i="9"/>
  <c r="D68" i="9" s="1"/>
  <c r="C67" i="9"/>
  <c r="B67" i="9"/>
  <c r="B66" i="9"/>
  <c r="C66" i="9" s="1"/>
  <c r="C65" i="9"/>
  <c r="B65" i="9"/>
  <c r="D64" i="9"/>
  <c r="B64" i="9"/>
  <c r="C64" i="9" s="1"/>
  <c r="D63" i="9"/>
  <c r="B63" i="9"/>
  <c r="C63" i="9" s="1"/>
  <c r="B62" i="9"/>
  <c r="B61" i="9"/>
  <c r="C61" i="9" s="1"/>
  <c r="D60" i="9"/>
  <c r="C60" i="9"/>
  <c r="B60" i="9"/>
  <c r="B59" i="9"/>
  <c r="B58" i="9"/>
  <c r="C57" i="9"/>
  <c r="B57" i="9"/>
  <c r="D56" i="9"/>
  <c r="B56" i="9"/>
  <c r="D55" i="9"/>
  <c r="B55" i="9"/>
  <c r="C55" i="9" s="1"/>
  <c r="D54" i="9"/>
  <c r="C54" i="9"/>
  <c r="B54" i="9"/>
  <c r="B53" i="9"/>
  <c r="C53" i="9" s="1"/>
  <c r="C52" i="9"/>
  <c r="B52" i="9"/>
  <c r="D52" i="9" s="1"/>
  <c r="C51" i="9"/>
  <c r="B51" i="9"/>
  <c r="B50" i="9"/>
  <c r="C50" i="9" s="1"/>
  <c r="C49" i="9"/>
  <c r="B49" i="9"/>
  <c r="D48" i="9"/>
  <c r="B48" i="9"/>
  <c r="C48" i="9" s="1"/>
  <c r="D47" i="9"/>
  <c r="B47" i="9"/>
  <c r="C47" i="9" s="1"/>
  <c r="C46" i="9"/>
  <c r="B46" i="9"/>
  <c r="B45" i="9"/>
  <c r="C45" i="9" s="1"/>
  <c r="D44" i="9"/>
  <c r="C44" i="9"/>
  <c r="B44" i="9"/>
  <c r="B43" i="9"/>
  <c r="B42" i="9"/>
  <c r="D41" i="9"/>
  <c r="C41" i="9"/>
  <c r="B41" i="9"/>
  <c r="D40" i="9"/>
  <c r="B40" i="9"/>
  <c r="B39" i="9"/>
  <c r="C39" i="9" s="1"/>
  <c r="C38" i="9"/>
  <c r="B38" i="9"/>
  <c r="B37" i="9"/>
  <c r="C37" i="9" s="1"/>
  <c r="C36" i="9"/>
  <c r="B36" i="9"/>
  <c r="D36" i="9" s="1"/>
  <c r="C35" i="9"/>
  <c r="B35" i="9"/>
  <c r="B34" i="9"/>
  <c r="C34" i="9" s="1"/>
  <c r="C33" i="9"/>
  <c r="B33" i="9"/>
  <c r="D32" i="9"/>
  <c r="B32" i="9"/>
  <c r="C32" i="9" s="1"/>
  <c r="B31" i="9"/>
  <c r="C31" i="9" s="1"/>
  <c r="C30" i="9"/>
  <c r="B30" i="9"/>
  <c r="B29" i="9"/>
  <c r="C29" i="9" s="1"/>
  <c r="C28" i="9"/>
  <c r="B28" i="9"/>
  <c r="B27" i="9"/>
  <c r="B26" i="9"/>
  <c r="D38" i="9" s="1"/>
  <c r="D25" i="9"/>
  <c r="C25" i="9"/>
  <c r="B25" i="9"/>
  <c r="D24" i="9"/>
  <c r="B24" i="9"/>
  <c r="D23" i="9"/>
  <c r="B23" i="9"/>
  <c r="C23" i="9" s="1"/>
  <c r="D22" i="9"/>
  <c r="C22" i="9"/>
  <c r="B22" i="9"/>
  <c r="B21" i="9"/>
  <c r="C21" i="9" s="1"/>
  <c r="B20" i="9"/>
  <c r="B19" i="9"/>
  <c r="C20" i="9" s="1"/>
  <c r="B18" i="9"/>
  <c r="C18" i="9" s="1"/>
  <c r="B17" i="9"/>
  <c r="B16" i="9"/>
  <c r="C16" i="9" s="1"/>
  <c r="B15" i="9"/>
  <c r="B14" i="9"/>
  <c r="C14" i="9" s="1"/>
  <c r="C13" i="9"/>
  <c r="B13" i="9"/>
  <c r="C12" i="9"/>
  <c r="B12" i="9"/>
  <c r="C11" i="9"/>
  <c r="B11" i="9"/>
  <c r="B10" i="9"/>
  <c r="B9" i="9"/>
  <c r="D21" i="9" s="1"/>
  <c r="B8" i="9"/>
  <c r="C8" i="9" s="1"/>
  <c r="B7" i="9"/>
  <c r="W2" i="9"/>
  <c r="AA1" i="9" s="1"/>
  <c r="W1" i="9"/>
  <c r="D614" i="8"/>
  <c r="B614" i="8"/>
  <c r="C614" i="8" s="1"/>
  <c r="B613" i="8"/>
  <c r="B612" i="8"/>
  <c r="B611" i="8"/>
  <c r="D611" i="8" s="1"/>
  <c r="B610" i="8"/>
  <c r="B609" i="8"/>
  <c r="B608" i="8"/>
  <c r="C608" i="8" s="1"/>
  <c r="D607" i="8"/>
  <c r="B607" i="8"/>
  <c r="B606" i="8"/>
  <c r="B605" i="8"/>
  <c r="C605" i="8" s="1"/>
  <c r="B604" i="8"/>
  <c r="C604" i="8" s="1"/>
  <c r="C603" i="8"/>
  <c r="B603" i="8"/>
  <c r="D603" i="8" s="1"/>
  <c r="D602" i="8"/>
  <c r="B602" i="8"/>
  <c r="C601" i="8"/>
  <c r="B601" i="8"/>
  <c r="C600" i="8"/>
  <c r="B600" i="8"/>
  <c r="D599" i="8"/>
  <c r="B599" i="8"/>
  <c r="B598" i="8"/>
  <c r="D598" i="8" s="1"/>
  <c r="B597" i="8"/>
  <c r="B596" i="8"/>
  <c r="B595" i="8"/>
  <c r="D595" i="8" s="1"/>
  <c r="B594" i="8"/>
  <c r="B593" i="8"/>
  <c r="C592" i="8"/>
  <c r="B592" i="8"/>
  <c r="D604" i="8" s="1"/>
  <c r="B591" i="8"/>
  <c r="B590" i="8"/>
  <c r="B589" i="8"/>
  <c r="D601" i="8" s="1"/>
  <c r="B588" i="8"/>
  <c r="C587" i="8"/>
  <c r="B587" i="8"/>
  <c r="D587" i="8" s="1"/>
  <c r="B586" i="8"/>
  <c r="C585" i="8"/>
  <c r="B585" i="8"/>
  <c r="C584" i="8"/>
  <c r="B584" i="8"/>
  <c r="D583" i="8"/>
  <c r="B583" i="8"/>
  <c r="D582" i="8"/>
  <c r="B582" i="8"/>
  <c r="C582" i="8" s="1"/>
  <c r="B581" i="8"/>
  <c r="B580" i="8"/>
  <c r="B579" i="8"/>
  <c r="C579" i="8" s="1"/>
  <c r="B578" i="8"/>
  <c r="B577" i="8"/>
  <c r="C576" i="8"/>
  <c r="B576" i="8"/>
  <c r="D575" i="8"/>
  <c r="B575" i="8"/>
  <c r="B574" i="8"/>
  <c r="D586" i="8" s="1"/>
  <c r="B573" i="8"/>
  <c r="D585" i="8" s="1"/>
  <c r="B572" i="8"/>
  <c r="C571" i="8"/>
  <c r="B571" i="8"/>
  <c r="B570" i="8"/>
  <c r="C569" i="8"/>
  <c r="B569" i="8"/>
  <c r="C568" i="8"/>
  <c r="B568" i="8"/>
  <c r="B567" i="8"/>
  <c r="B566" i="8"/>
  <c r="D566" i="8" s="1"/>
  <c r="C565" i="8"/>
  <c r="B565" i="8"/>
  <c r="B564" i="8"/>
  <c r="D576" i="8" s="1"/>
  <c r="C563" i="8"/>
  <c r="B563" i="8"/>
  <c r="C564" i="8" s="1"/>
  <c r="B562" i="8"/>
  <c r="B561" i="8"/>
  <c r="D560" i="8"/>
  <c r="C560" i="8"/>
  <c r="B560" i="8"/>
  <c r="B559" i="8"/>
  <c r="B558" i="8"/>
  <c r="C558" i="8" s="1"/>
  <c r="D557" i="8"/>
  <c r="C557" i="8"/>
  <c r="B557" i="8"/>
  <c r="B556" i="8"/>
  <c r="D568" i="8" s="1"/>
  <c r="B555" i="8"/>
  <c r="D554" i="8"/>
  <c r="C554" i="8"/>
  <c r="B554" i="8"/>
  <c r="B553" i="8"/>
  <c r="B552" i="8"/>
  <c r="D564" i="8" s="1"/>
  <c r="D551" i="8"/>
  <c r="B551" i="8"/>
  <c r="B550" i="8"/>
  <c r="C549" i="8"/>
  <c r="B549" i="8"/>
  <c r="D561" i="8" s="1"/>
  <c r="C548" i="8"/>
  <c r="B548" i="8"/>
  <c r="B547" i="8"/>
  <c r="C546" i="8"/>
  <c r="B546" i="8"/>
  <c r="D545" i="8"/>
  <c r="B545" i="8"/>
  <c r="C545" i="8" s="1"/>
  <c r="B544" i="8"/>
  <c r="D556" i="8" s="1"/>
  <c r="B543" i="8"/>
  <c r="C543" i="8" s="1"/>
  <c r="D542" i="8"/>
  <c r="B542" i="8"/>
  <c r="C542" i="8" s="1"/>
  <c r="B541" i="8"/>
  <c r="B540" i="8"/>
  <c r="D552" i="8" s="1"/>
  <c r="D539" i="8"/>
  <c r="B539" i="8"/>
  <c r="C539" i="8" s="1"/>
  <c r="B538" i="8"/>
  <c r="D537" i="8"/>
  <c r="C537" i="8"/>
  <c r="B537" i="8"/>
  <c r="D549" i="8" s="1"/>
  <c r="C536" i="8"/>
  <c r="B536" i="8"/>
  <c r="D548" i="8" s="1"/>
  <c r="B535" i="8"/>
  <c r="B534" i="8"/>
  <c r="D546" i="8" s="1"/>
  <c r="C533" i="8"/>
  <c r="B533" i="8"/>
  <c r="B532" i="8"/>
  <c r="D544" i="8" s="1"/>
  <c r="B531" i="8"/>
  <c r="D543" i="8" s="1"/>
  <c r="B530" i="8"/>
  <c r="B529" i="8"/>
  <c r="D528" i="8"/>
  <c r="C528" i="8"/>
  <c r="B528" i="8"/>
  <c r="B527" i="8"/>
  <c r="B526" i="8"/>
  <c r="D525" i="8"/>
  <c r="C525" i="8"/>
  <c r="B525" i="8"/>
  <c r="B524" i="8"/>
  <c r="D536" i="8" s="1"/>
  <c r="B523" i="8"/>
  <c r="D522" i="8"/>
  <c r="C522" i="8"/>
  <c r="B522" i="8"/>
  <c r="B521" i="8"/>
  <c r="B520" i="8"/>
  <c r="D532" i="8" s="1"/>
  <c r="D519" i="8"/>
  <c r="B519" i="8"/>
  <c r="B518" i="8"/>
  <c r="C517" i="8"/>
  <c r="B517" i="8"/>
  <c r="D529" i="8" s="1"/>
  <c r="C516" i="8"/>
  <c r="B516" i="8"/>
  <c r="B515" i="8"/>
  <c r="C514" i="8"/>
  <c r="B514" i="8"/>
  <c r="D513" i="8"/>
  <c r="B513" i="8"/>
  <c r="C513" i="8" s="1"/>
  <c r="B512" i="8"/>
  <c r="D524" i="8" s="1"/>
  <c r="B511" i="8"/>
  <c r="C511" i="8" s="1"/>
  <c r="D510" i="8"/>
  <c r="B510" i="8"/>
  <c r="C510" i="8" s="1"/>
  <c r="B509" i="8"/>
  <c r="B508" i="8"/>
  <c r="D520" i="8" s="1"/>
  <c r="D507" i="8"/>
  <c r="B507" i="8"/>
  <c r="C507" i="8" s="1"/>
  <c r="B506" i="8"/>
  <c r="D505" i="8"/>
  <c r="C505" i="8"/>
  <c r="B505" i="8"/>
  <c r="D517" i="8" s="1"/>
  <c r="C504" i="8"/>
  <c r="B504" i="8"/>
  <c r="D516" i="8" s="1"/>
  <c r="B503" i="8"/>
  <c r="B502" i="8"/>
  <c r="D514" i="8" s="1"/>
  <c r="C501" i="8"/>
  <c r="B501" i="8"/>
  <c r="B500" i="8"/>
  <c r="D512" i="8" s="1"/>
  <c r="B499" i="8"/>
  <c r="D511" i="8" s="1"/>
  <c r="B498" i="8"/>
  <c r="B497" i="8"/>
  <c r="D496" i="8"/>
  <c r="C496" i="8"/>
  <c r="B496" i="8"/>
  <c r="B495" i="8"/>
  <c r="B494" i="8"/>
  <c r="D493" i="8"/>
  <c r="C493" i="8"/>
  <c r="B493" i="8"/>
  <c r="B492" i="8"/>
  <c r="D504" i="8" s="1"/>
  <c r="B491" i="8"/>
  <c r="D490" i="8"/>
  <c r="C490" i="8"/>
  <c r="B490" i="8"/>
  <c r="B489" i="8"/>
  <c r="B488" i="8"/>
  <c r="D500" i="8" s="1"/>
  <c r="D487" i="8"/>
  <c r="B487" i="8"/>
  <c r="B486" i="8"/>
  <c r="C485" i="8"/>
  <c r="B485" i="8"/>
  <c r="D497" i="8" s="1"/>
  <c r="C484" i="8"/>
  <c r="B484" i="8"/>
  <c r="B483" i="8"/>
  <c r="C482" i="8"/>
  <c r="B482" i="8"/>
  <c r="D481" i="8"/>
  <c r="B481" i="8"/>
  <c r="C481" i="8" s="1"/>
  <c r="B480" i="8"/>
  <c r="D492" i="8" s="1"/>
  <c r="B479" i="8"/>
  <c r="C479" i="8" s="1"/>
  <c r="D478" i="8"/>
  <c r="B478" i="8"/>
  <c r="C478" i="8" s="1"/>
  <c r="B477" i="8"/>
  <c r="B476" i="8"/>
  <c r="D488" i="8" s="1"/>
  <c r="D475" i="8"/>
  <c r="B475" i="8"/>
  <c r="C475" i="8" s="1"/>
  <c r="B474" i="8"/>
  <c r="D473" i="8"/>
  <c r="C473" i="8"/>
  <c r="B473" i="8"/>
  <c r="D485" i="8" s="1"/>
  <c r="C472" i="8"/>
  <c r="B472" i="8"/>
  <c r="D484" i="8" s="1"/>
  <c r="B471" i="8"/>
  <c r="B470" i="8"/>
  <c r="C469" i="8"/>
  <c r="B469" i="8"/>
  <c r="B468" i="8"/>
  <c r="D480" i="8" s="1"/>
  <c r="B467" i="8"/>
  <c r="D479" i="8" s="1"/>
  <c r="B466" i="8"/>
  <c r="B465" i="8"/>
  <c r="D464" i="8"/>
  <c r="C464" i="8"/>
  <c r="B464" i="8"/>
  <c r="B463" i="8"/>
  <c r="B462" i="8"/>
  <c r="D461" i="8"/>
  <c r="C461" i="8"/>
  <c r="B461" i="8"/>
  <c r="B460" i="8"/>
  <c r="D472" i="8" s="1"/>
  <c r="B459" i="8"/>
  <c r="D458" i="8"/>
  <c r="B458" i="8"/>
  <c r="B457" i="8"/>
  <c r="B456" i="8"/>
  <c r="D468" i="8" s="1"/>
  <c r="D455" i="8"/>
  <c r="B455" i="8"/>
  <c r="B454" i="8"/>
  <c r="C453" i="8"/>
  <c r="B453" i="8"/>
  <c r="D465" i="8" s="1"/>
  <c r="C452" i="8"/>
  <c r="B452" i="8"/>
  <c r="B451" i="8"/>
  <c r="C450" i="8"/>
  <c r="B450" i="8"/>
  <c r="D449" i="8"/>
  <c r="B449" i="8"/>
  <c r="C449" i="8" s="1"/>
  <c r="B448" i="8"/>
  <c r="D460" i="8" s="1"/>
  <c r="B447" i="8"/>
  <c r="C447" i="8" s="1"/>
  <c r="D446" i="8"/>
  <c r="B446" i="8"/>
  <c r="C446" i="8" s="1"/>
  <c r="B445" i="8"/>
  <c r="B444" i="8"/>
  <c r="D443" i="8"/>
  <c r="B443" i="8"/>
  <c r="C443" i="8" s="1"/>
  <c r="B442" i="8"/>
  <c r="D441" i="8"/>
  <c r="C441" i="8"/>
  <c r="B441" i="8"/>
  <c r="D453" i="8" s="1"/>
  <c r="C440" i="8"/>
  <c r="B440" i="8"/>
  <c r="D452" i="8" s="1"/>
  <c r="B439" i="8"/>
  <c r="C438" i="8"/>
  <c r="B438" i="8"/>
  <c r="C437" i="8"/>
  <c r="B437" i="8"/>
  <c r="B436" i="8"/>
  <c r="D448" i="8" s="1"/>
  <c r="B435" i="8"/>
  <c r="B434" i="8"/>
  <c r="B433" i="8"/>
  <c r="D432" i="8"/>
  <c r="C432" i="8"/>
  <c r="B432" i="8"/>
  <c r="B431" i="8"/>
  <c r="B430" i="8"/>
  <c r="D429" i="8"/>
  <c r="C429" i="8"/>
  <c r="B429" i="8"/>
  <c r="B428" i="8"/>
  <c r="D440" i="8" s="1"/>
  <c r="B427" i="8"/>
  <c r="D426" i="8"/>
  <c r="B426" i="8"/>
  <c r="B425" i="8"/>
  <c r="B424" i="8"/>
  <c r="D436" i="8" s="1"/>
  <c r="D423" i="8"/>
  <c r="B423" i="8"/>
  <c r="B422" i="8"/>
  <c r="C421" i="8"/>
  <c r="B421" i="8"/>
  <c r="D433" i="8" s="1"/>
  <c r="C420" i="8"/>
  <c r="B420" i="8"/>
  <c r="B419" i="8"/>
  <c r="C418" i="8"/>
  <c r="B418" i="8"/>
  <c r="D417" i="8"/>
  <c r="B417" i="8"/>
  <c r="C417" i="8" s="1"/>
  <c r="B416" i="8"/>
  <c r="D428" i="8" s="1"/>
  <c r="B415" i="8"/>
  <c r="C415" i="8" s="1"/>
  <c r="D414" i="8"/>
  <c r="B414" i="8"/>
  <c r="C414" i="8" s="1"/>
  <c r="B413" i="8"/>
  <c r="B412" i="8"/>
  <c r="D411" i="8"/>
  <c r="B411" i="8"/>
  <c r="C411" i="8" s="1"/>
  <c r="B410" i="8"/>
  <c r="D409" i="8"/>
  <c r="C409" i="8"/>
  <c r="B409" i="8"/>
  <c r="D421" i="8" s="1"/>
  <c r="C408" i="8"/>
  <c r="B408" i="8"/>
  <c r="D420" i="8" s="1"/>
  <c r="B407" i="8"/>
  <c r="B406" i="8"/>
  <c r="C405" i="8"/>
  <c r="B405" i="8"/>
  <c r="B404" i="8"/>
  <c r="D416" i="8" s="1"/>
  <c r="B403" i="8"/>
  <c r="B402" i="8"/>
  <c r="B401" i="8"/>
  <c r="D400" i="8"/>
  <c r="C400" i="8"/>
  <c r="B400" i="8"/>
  <c r="B399" i="8"/>
  <c r="D398" i="8"/>
  <c r="B398" i="8"/>
  <c r="D397" i="8"/>
  <c r="C397" i="8"/>
  <c r="B397" i="8"/>
  <c r="B396" i="8"/>
  <c r="D408" i="8" s="1"/>
  <c r="B395" i="8"/>
  <c r="D394" i="8"/>
  <c r="B394" i="8"/>
  <c r="B393" i="8"/>
  <c r="B392" i="8"/>
  <c r="D404" i="8" s="1"/>
  <c r="D391" i="8"/>
  <c r="B391" i="8"/>
  <c r="B390" i="8"/>
  <c r="C389" i="8"/>
  <c r="B389" i="8"/>
  <c r="C388" i="8"/>
  <c r="B388" i="8"/>
  <c r="B387" i="8"/>
  <c r="C386" i="8"/>
  <c r="B386" i="8"/>
  <c r="D385" i="8"/>
  <c r="B385" i="8"/>
  <c r="C385" i="8" s="1"/>
  <c r="B384" i="8"/>
  <c r="D396" i="8" s="1"/>
  <c r="B383" i="8"/>
  <c r="C383" i="8" s="1"/>
  <c r="D382" i="8"/>
  <c r="B382" i="8"/>
  <c r="C382" i="8" s="1"/>
  <c r="B381" i="8"/>
  <c r="B380" i="8"/>
  <c r="D379" i="8"/>
  <c r="B379" i="8"/>
  <c r="C379" i="8" s="1"/>
  <c r="B378" i="8"/>
  <c r="D377" i="8"/>
  <c r="C377" i="8"/>
  <c r="B377" i="8"/>
  <c r="D389" i="8" s="1"/>
  <c r="C376" i="8"/>
  <c r="B376" i="8"/>
  <c r="D388" i="8" s="1"/>
  <c r="B375" i="8"/>
  <c r="B374" i="8"/>
  <c r="D386" i="8" s="1"/>
  <c r="C373" i="8"/>
  <c r="B373" i="8"/>
  <c r="B372" i="8"/>
  <c r="D384" i="8" s="1"/>
  <c r="C371" i="8"/>
  <c r="B371" i="8"/>
  <c r="B370" i="8"/>
  <c r="B369" i="8"/>
  <c r="D368" i="8"/>
  <c r="C368" i="8"/>
  <c r="B368" i="8"/>
  <c r="B367" i="8"/>
  <c r="D366" i="8"/>
  <c r="B366" i="8"/>
  <c r="D365" i="8"/>
  <c r="C365" i="8"/>
  <c r="B365" i="8"/>
  <c r="B364" i="8"/>
  <c r="D376" i="8" s="1"/>
  <c r="B363" i="8"/>
  <c r="D362" i="8"/>
  <c r="C362" i="8"/>
  <c r="B362" i="8"/>
  <c r="B361" i="8"/>
  <c r="B360" i="8"/>
  <c r="D372" i="8" s="1"/>
  <c r="D359" i="8"/>
  <c r="B359" i="8"/>
  <c r="B358" i="8"/>
  <c r="C357" i="8"/>
  <c r="B357" i="8"/>
  <c r="D369" i="8" s="1"/>
  <c r="C356" i="8"/>
  <c r="B356" i="8"/>
  <c r="B355" i="8"/>
  <c r="C354" i="8"/>
  <c r="B354" i="8"/>
  <c r="D353" i="8"/>
  <c r="B353" i="8"/>
  <c r="C353" i="8" s="1"/>
  <c r="B352" i="8"/>
  <c r="D364" i="8" s="1"/>
  <c r="B351" i="8"/>
  <c r="C351" i="8" s="1"/>
  <c r="D350" i="8"/>
  <c r="B350" i="8"/>
  <c r="C350" i="8" s="1"/>
  <c r="B349" i="8"/>
  <c r="D361" i="8" s="1"/>
  <c r="B348" i="8"/>
  <c r="D347" i="8"/>
  <c r="B347" i="8"/>
  <c r="C347" i="8" s="1"/>
  <c r="B346" i="8"/>
  <c r="D345" i="8"/>
  <c r="C345" i="8"/>
  <c r="B345" i="8"/>
  <c r="D357" i="8" s="1"/>
  <c r="C344" i="8"/>
  <c r="B344" i="8"/>
  <c r="D356" i="8" s="1"/>
  <c r="B343" i="8"/>
  <c r="D342" i="8"/>
  <c r="C342" i="8"/>
  <c r="B342" i="8"/>
  <c r="D354" i="8" s="1"/>
  <c r="C341" i="8"/>
  <c r="B341" i="8"/>
  <c r="B340" i="8"/>
  <c r="D352" i="8" s="1"/>
  <c r="C339" i="8"/>
  <c r="B339" i="8"/>
  <c r="B338" i="8"/>
  <c r="B337" i="8"/>
  <c r="D336" i="8"/>
  <c r="C336" i="8"/>
  <c r="B336" i="8"/>
  <c r="B335" i="8"/>
  <c r="B334" i="8"/>
  <c r="D333" i="8"/>
  <c r="C333" i="8"/>
  <c r="B333" i="8"/>
  <c r="B332" i="8"/>
  <c r="D344" i="8" s="1"/>
  <c r="B331" i="8"/>
  <c r="D330" i="8"/>
  <c r="B330" i="8"/>
  <c r="B329" i="8"/>
  <c r="B328" i="8"/>
  <c r="D340" i="8" s="1"/>
  <c r="D327" i="8"/>
  <c r="B327" i="8"/>
  <c r="B326" i="8"/>
  <c r="C325" i="8"/>
  <c r="B325" i="8"/>
  <c r="D337" i="8" s="1"/>
  <c r="C324" i="8"/>
  <c r="B324" i="8"/>
  <c r="B323" i="8"/>
  <c r="C322" i="8"/>
  <c r="B322" i="8"/>
  <c r="D321" i="8"/>
  <c r="B321" i="8"/>
  <c r="C321" i="8" s="1"/>
  <c r="B320" i="8"/>
  <c r="D332" i="8" s="1"/>
  <c r="B319" i="8"/>
  <c r="C319" i="8" s="1"/>
  <c r="D318" i="8"/>
  <c r="B318" i="8"/>
  <c r="C318" i="8" s="1"/>
  <c r="B317" i="8"/>
  <c r="B316" i="8"/>
  <c r="D315" i="8"/>
  <c r="B315" i="8"/>
  <c r="C315" i="8" s="1"/>
  <c r="B314" i="8"/>
  <c r="D313" i="8"/>
  <c r="C313" i="8"/>
  <c r="B313" i="8"/>
  <c r="D325" i="8" s="1"/>
  <c r="C312" i="8"/>
  <c r="B312" i="8"/>
  <c r="D324" i="8" s="1"/>
  <c r="D311" i="8"/>
  <c r="B311" i="8"/>
  <c r="D310" i="8"/>
  <c r="C310" i="8"/>
  <c r="B310" i="8"/>
  <c r="D322" i="8" s="1"/>
  <c r="B309" i="8"/>
  <c r="B308" i="8"/>
  <c r="C309" i="8" s="1"/>
  <c r="B307" i="8"/>
  <c r="B306" i="8"/>
  <c r="B305" i="8"/>
  <c r="D304" i="8"/>
  <c r="C304" i="8"/>
  <c r="B304" i="8"/>
  <c r="B303" i="8"/>
  <c r="B302" i="8"/>
  <c r="D301" i="8"/>
  <c r="C301" i="8"/>
  <c r="B301" i="8"/>
  <c r="B300" i="8"/>
  <c r="D312" i="8" s="1"/>
  <c r="D299" i="8"/>
  <c r="B299" i="8"/>
  <c r="D298" i="8"/>
  <c r="C298" i="8"/>
  <c r="B298" i="8"/>
  <c r="B297" i="8"/>
  <c r="C296" i="8"/>
  <c r="B296" i="8"/>
  <c r="D308" i="8" s="1"/>
  <c r="D295" i="8"/>
  <c r="B295" i="8"/>
  <c r="B294" i="8"/>
  <c r="B293" i="8"/>
  <c r="C293" i="8" s="1"/>
  <c r="C292" i="8"/>
  <c r="B292" i="8"/>
  <c r="B291" i="8"/>
  <c r="C290" i="8"/>
  <c r="B290" i="8"/>
  <c r="D289" i="8"/>
  <c r="B289" i="8"/>
  <c r="C289" i="8" s="1"/>
  <c r="C288" i="8"/>
  <c r="B288" i="8"/>
  <c r="D300" i="8" s="1"/>
  <c r="D287" i="8"/>
  <c r="B287" i="8"/>
  <c r="C287" i="8" s="1"/>
  <c r="D286" i="8"/>
  <c r="B286" i="8"/>
  <c r="C286" i="8" s="1"/>
  <c r="C285" i="8"/>
  <c r="B285" i="8"/>
  <c r="D297" i="8" s="1"/>
  <c r="C284" i="8"/>
  <c r="B284" i="8"/>
  <c r="D296" i="8" s="1"/>
  <c r="D283" i="8"/>
  <c r="B283" i="8"/>
  <c r="C283" i="8" s="1"/>
  <c r="B282" i="8"/>
  <c r="B281" i="8"/>
  <c r="B280" i="8"/>
  <c r="D292" i="8" s="1"/>
  <c r="D279" i="8"/>
  <c r="B279" i="8"/>
  <c r="B278" i="8"/>
  <c r="B277" i="8"/>
  <c r="C276" i="8"/>
  <c r="B276" i="8"/>
  <c r="C277" i="8" s="1"/>
  <c r="D275" i="8"/>
  <c r="B275" i="8"/>
  <c r="C275" i="8" s="1"/>
  <c r="B274" i="8"/>
  <c r="B273" i="8"/>
  <c r="D272" i="8"/>
  <c r="C272" i="8"/>
  <c r="B272" i="8"/>
  <c r="B271" i="8"/>
  <c r="D270" i="8"/>
  <c r="B270" i="8"/>
  <c r="D269" i="8"/>
  <c r="C269" i="8"/>
  <c r="B269" i="8"/>
  <c r="B268" i="8"/>
  <c r="D280" i="8" s="1"/>
  <c r="D267" i="8"/>
  <c r="B267" i="8"/>
  <c r="D266" i="8"/>
  <c r="B266" i="8"/>
  <c r="B265" i="8"/>
  <c r="C264" i="8"/>
  <c r="B264" i="8"/>
  <c r="D276" i="8" s="1"/>
  <c r="D263" i="8"/>
  <c r="B263" i="8"/>
  <c r="B262" i="8"/>
  <c r="B261" i="8"/>
  <c r="C261" i="8" s="1"/>
  <c r="C260" i="8"/>
  <c r="B260" i="8"/>
  <c r="B259" i="8"/>
  <c r="C258" i="8"/>
  <c r="B258" i="8"/>
  <c r="D257" i="8"/>
  <c r="B257" i="8"/>
  <c r="C257" i="8" s="1"/>
  <c r="C256" i="8"/>
  <c r="B256" i="8"/>
  <c r="D268" i="8" s="1"/>
  <c r="B255" i="8"/>
  <c r="C255" i="8" s="1"/>
  <c r="D254" i="8"/>
  <c r="B254" i="8"/>
  <c r="C254" i="8" s="1"/>
  <c r="B253" i="8"/>
  <c r="B252" i="8"/>
  <c r="D251" i="8"/>
  <c r="B251" i="8"/>
  <c r="C251" i="8" s="1"/>
  <c r="B250" i="8"/>
  <c r="B249" i="8"/>
  <c r="B248" i="8"/>
  <c r="D260" i="8" s="1"/>
  <c r="D247" i="8"/>
  <c r="B247" i="8"/>
  <c r="D246" i="8"/>
  <c r="B246" i="8"/>
  <c r="D258" i="8" s="1"/>
  <c r="B245" i="8"/>
  <c r="B244" i="8"/>
  <c r="C245" i="8" s="1"/>
  <c r="B243" i="8"/>
  <c r="C243" i="8" s="1"/>
  <c r="B242" i="8"/>
  <c r="D241" i="8"/>
  <c r="B241" i="8"/>
  <c r="D240" i="8"/>
  <c r="C240" i="8"/>
  <c r="B240" i="8"/>
  <c r="B239" i="8"/>
  <c r="D238" i="8"/>
  <c r="B238" i="8"/>
  <c r="D237" i="8"/>
  <c r="C237" i="8"/>
  <c r="B237" i="8"/>
  <c r="B236" i="8"/>
  <c r="D248" i="8" s="1"/>
  <c r="D235" i="8"/>
  <c r="B235" i="8"/>
  <c r="D234" i="8"/>
  <c r="B234" i="8"/>
  <c r="B233" i="8"/>
  <c r="C232" i="8"/>
  <c r="B232" i="8"/>
  <c r="D244" i="8" s="1"/>
  <c r="D231" i="8"/>
  <c r="B231" i="8"/>
  <c r="B230" i="8"/>
  <c r="C229" i="8"/>
  <c r="B229" i="8"/>
  <c r="C228" i="8"/>
  <c r="B228" i="8"/>
  <c r="B227" i="8"/>
  <c r="D226" i="8"/>
  <c r="C226" i="8"/>
  <c r="B226" i="8"/>
  <c r="D225" i="8"/>
  <c r="B225" i="8"/>
  <c r="C224" i="8"/>
  <c r="B224" i="8"/>
  <c r="D236" i="8" s="1"/>
  <c r="D223" i="8"/>
  <c r="B223" i="8"/>
  <c r="C223" i="8" s="1"/>
  <c r="D222" i="8"/>
  <c r="B222" i="8"/>
  <c r="B221" i="8"/>
  <c r="D233" i="8" s="1"/>
  <c r="B220" i="8"/>
  <c r="D219" i="8"/>
  <c r="B219" i="8"/>
  <c r="C219" i="8" s="1"/>
  <c r="B218" i="8"/>
  <c r="B217" i="8"/>
  <c r="B216" i="8"/>
  <c r="D228" i="8" s="1"/>
  <c r="B215" i="8"/>
  <c r="C214" i="8"/>
  <c r="B214" i="8"/>
  <c r="D214" i="8" s="1"/>
  <c r="C213" i="8"/>
  <c r="B213" i="8"/>
  <c r="C212" i="8"/>
  <c r="B212" i="8"/>
  <c r="D211" i="8"/>
  <c r="B211" i="8"/>
  <c r="C211" i="8" s="1"/>
  <c r="B210" i="8"/>
  <c r="C209" i="8"/>
  <c r="B209" i="8"/>
  <c r="D221" i="8" s="1"/>
  <c r="D208" i="8"/>
  <c r="C208" i="8"/>
  <c r="B208" i="8"/>
  <c r="B207" i="8"/>
  <c r="D206" i="8"/>
  <c r="C206" i="8"/>
  <c r="B206" i="8"/>
  <c r="D218" i="8" s="1"/>
  <c r="D205" i="8"/>
  <c r="C205" i="8"/>
  <c r="B205" i="8"/>
  <c r="B204" i="8"/>
  <c r="D216" i="8" s="1"/>
  <c r="D203" i="8"/>
  <c r="C203" i="8"/>
  <c r="B203" i="8"/>
  <c r="C204" i="8" s="1"/>
  <c r="B202" i="8"/>
  <c r="B201" i="8"/>
  <c r="D200" i="8"/>
  <c r="C200" i="8"/>
  <c r="B200" i="8"/>
  <c r="D212" i="8" s="1"/>
  <c r="D199" i="8"/>
  <c r="B199" i="8"/>
  <c r="D198" i="8"/>
  <c r="B198" i="8"/>
  <c r="D197" i="8"/>
  <c r="B197" i="8"/>
  <c r="D209" i="8" s="1"/>
  <c r="B196" i="8"/>
  <c r="B195" i="8"/>
  <c r="C195" i="8" s="1"/>
  <c r="C194" i="8"/>
  <c r="B194" i="8"/>
  <c r="D193" i="8"/>
  <c r="B193" i="8"/>
  <c r="C193" i="8" s="1"/>
  <c r="C192" i="8"/>
  <c r="B192" i="8"/>
  <c r="D204" i="8" s="1"/>
  <c r="B191" i="8"/>
  <c r="D190" i="8"/>
  <c r="B190" i="8"/>
  <c r="C190" i="8" s="1"/>
  <c r="C189" i="8"/>
  <c r="B189" i="8"/>
  <c r="C188" i="8"/>
  <c r="B188" i="8"/>
  <c r="D187" i="8"/>
  <c r="B187" i="8"/>
  <c r="C187" i="8" s="1"/>
  <c r="B186" i="8"/>
  <c r="B185" i="8"/>
  <c r="C185" i="8" s="1"/>
  <c r="B184" i="8"/>
  <c r="D196" i="8" s="1"/>
  <c r="B183" i="8"/>
  <c r="D182" i="8"/>
  <c r="C182" i="8"/>
  <c r="B182" i="8"/>
  <c r="D194" i="8" s="1"/>
  <c r="C181" i="8"/>
  <c r="B181" i="8"/>
  <c r="B180" i="8"/>
  <c r="D192" i="8" s="1"/>
  <c r="B179" i="8"/>
  <c r="C178" i="8"/>
  <c r="B178" i="8"/>
  <c r="C177" i="8"/>
  <c r="B177" i="8"/>
  <c r="C176" i="8"/>
  <c r="B176" i="8"/>
  <c r="D175" i="8"/>
  <c r="B175" i="8"/>
  <c r="C174" i="8"/>
  <c r="B174" i="8"/>
  <c r="D186" i="8" s="1"/>
  <c r="D173" i="8"/>
  <c r="C173" i="8"/>
  <c r="B173" i="8"/>
  <c r="C172" i="8"/>
  <c r="B172" i="8"/>
  <c r="D184" i="8" s="1"/>
  <c r="C171" i="8"/>
  <c r="B171" i="8"/>
  <c r="D170" i="8"/>
  <c r="C170" i="8"/>
  <c r="B170" i="8"/>
  <c r="D169" i="8"/>
  <c r="B169" i="8"/>
  <c r="D181" i="8" s="1"/>
  <c r="B168" i="8"/>
  <c r="D167" i="8"/>
  <c r="B167" i="8"/>
  <c r="C167" i="8" s="1"/>
  <c r="D166" i="8"/>
  <c r="B166" i="8"/>
  <c r="D178" i="8" s="1"/>
  <c r="B165" i="8"/>
  <c r="B164" i="8"/>
  <c r="D176" i="8" s="1"/>
  <c r="C163" i="8"/>
  <c r="B163" i="8"/>
  <c r="B162" i="8"/>
  <c r="C161" i="8"/>
  <c r="B161" i="8"/>
  <c r="C162" i="8" s="1"/>
  <c r="D160" i="8"/>
  <c r="B160" i="8"/>
  <c r="D172" i="8" s="1"/>
  <c r="B159" i="8"/>
  <c r="D158" i="8"/>
  <c r="C158" i="8"/>
  <c r="B158" i="8"/>
  <c r="D157" i="8"/>
  <c r="B157" i="8"/>
  <c r="B156" i="8"/>
  <c r="C155" i="8"/>
  <c r="B155" i="8"/>
  <c r="D154" i="8"/>
  <c r="B154" i="8"/>
  <c r="B153" i="8"/>
  <c r="B152" i="8"/>
  <c r="B151" i="8"/>
  <c r="D163" i="8" s="1"/>
  <c r="B150" i="8"/>
  <c r="B149" i="8"/>
  <c r="C149" i="8" s="1"/>
  <c r="B148" i="8"/>
  <c r="B147" i="8"/>
  <c r="D159" i="8" s="1"/>
  <c r="D146" i="8"/>
  <c r="C146" i="8"/>
  <c r="B146" i="8"/>
  <c r="B145" i="8"/>
  <c r="B144" i="8"/>
  <c r="B143" i="8"/>
  <c r="B142" i="8"/>
  <c r="D142" i="8" s="1"/>
  <c r="B141" i="8"/>
  <c r="B140" i="8"/>
  <c r="C140" i="8" s="1"/>
  <c r="C139" i="8"/>
  <c r="B139" i="8"/>
  <c r="D151" i="8" s="1"/>
  <c r="D138" i="8"/>
  <c r="C138" i="8"/>
  <c r="B138" i="8"/>
  <c r="B137" i="8"/>
  <c r="B136" i="8"/>
  <c r="B135" i="8"/>
  <c r="D134" i="8"/>
  <c r="C134" i="8"/>
  <c r="B134" i="8"/>
  <c r="B133" i="8"/>
  <c r="B132" i="8"/>
  <c r="C132" i="8" s="1"/>
  <c r="C131" i="8"/>
  <c r="B131" i="8"/>
  <c r="B130" i="8"/>
  <c r="D129" i="8"/>
  <c r="C129" i="8"/>
  <c r="B129" i="8"/>
  <c r="C130" i="8" s="1"/>
  <c r="D128" i="8"/>
  <c r="B128" i="8"/>
  <c r="B127" i="8"/>
  <c r="D126" i="8"/>
  <c r="C126" i="8"/>
  <c r="B126" i="8"/>
  <c r="D125" i="8"/>
  <c r="B125" i="8"/>
  <c r="B124" i="8"/>
  <c r="C123" i="8"/>
  <c r="B123" i="8"/>
  <c r="D122" i="8"/>
  <c r="B122" i="8"/>
  <c r="B121" i="8"/>
  <c r="B120" i="8"/>
  <c r="B119" i="8"/>
  <c r="D131" i="8" s="1"/>
  <c r="B118" i="8"/>
  <c r="D117" i="8"/>
  <c r="B117" i="8"/>
  <c r="C117" i="8" s="1"/>
  <c r="B116" i="8"/>
  <c r="B115" i="8"/>
  <c r="D127" i="8" s="1"/>
  <c r="D114" i="8"/>
  <c r="C114" i="8"/>
  <c r="B114" i="8"/>
  <c r="B113" i="8"/>
  <c r="B112" i="8"/>
  <c r="B111" i="8"/>
  <c r="B110" i="8"/>
  <c r="D110" i="8" s="1"/>
  <c r="D109" i="8"/>
  <c r="C109" i="8"/>
  <c r="B109" i="8"/>
  <c r="B108" i="8"/>
  <c r="C108" i="8" s="1"/>
  <c r="C107" i="8"/>
  <c r="B107" i="8"/>
  <c r="D119" i="8" s="1"/>
  <c r="D106" i="8"/>
  <c r="C106" i="8"/>
  <c r="B106" i="8"/>
  <c r="C105" i="8"/>
  <c r="B105" i="8"/>
  <c r="B104" i="8"/>
  <c r="B103" i="8"/>
  <c r="D102" i="8"/>
  <c r="B102" i="8"/>
  <c r="B101" i="8"/>
  <c r="C100" i="8"/>
  <c r="B100" i="8"/>
  <c r="D112" i="8" s="1"/>
  <c r="C99" i="8"/>
  <c r="B99" i="8"/>
  <c r="B98" i="8"/>
  <c r="C97" i="8"/>
  <c r="B97" i="8"/>
  <c r="C98" i="8" s="1"/>
  <c r="D96" i="8"/>
  <c r="B96" i="8"/>
  <c r="B95" i="8"/>
  <c r="D94" i="8"/>
  <c r="C94" i="8"/>
  <c r="B94" i="8"/>
  <c r="D93" i="8"/>
  <c r="B93" i="8"/>
  <c r="C93" i="8" s="1"/>
  <c r="B92" i="8"/>
  <c r="C91" i="8"/>
  <c r="B91" i="8"/>
  <c r="D90" i="8"/>
  <c r="B90" i="8"/>
  <c r="B89" i="8"/>
  <c r="B88" i="8"/>
  <c r="B87" i="8"/>
  <c r="D99" i="8" s="1"/>
  <c r="B86" i="8"/>
  <c r="B85" i="8"/>
  <c r="C85" i="8" s="1"/>
  <c r="B84" i="8"/>
  <c r="C84" i="8" s="1"/>
  <c r="C83" i="8"/>
  <c r="B83" i="8"/>
  <c r="D95" i="8" s="1"/>
  <c r="D82" i="8"/>
  <c r="C82" i="8"/>
  <c r="B82" i="8"/>
  <c r="B81" i="8"/>
  <c r="C80" i="8"/>
  <c r="B80" i="8"/>
  <c r="B79" i="8"/>
  <c r="B78" i="8"/>
  <c r="D78" i="8" s="1"/>
  <c r="C77" i="8"/>
  <c r="B77" i="8"/>
  <c r="B76" i="8"/>
  <c r="C76" i="8" s="1"/>
  <c r="C75" i="8"/>
  <c r="B75" i="8"/>
  <c r="D87" i="8" s="1"/>
  <c r="D74" i="8"/>
  <c r="C74" i="8"/>
  <c r="B74" i="8"/>
  <c r="C73" i="8"/>
  <c r="B73" i="8"/>
  <c r="B72" i="8"/>
  <c r="D71" i="8"/>
  <c r="B71" i="8"/>
  <c r="D70" i="8"/>
  <c r="B70" i="8"/>
  <c r="B69" i="8"/>
  <c r="B68" i="8"/>
  <c r="C68" i="8" s="1"/>
  <c r="C67" i="8"/>
  <c r="B67" i="8"/>
  <c r="B66" i="8"/>
  <c r="C65" i="8"/>
  <c r="B65" i="8"/>
  <c r="C66" i="8" s="1"/>
  <c r="D64" i="8"/>
  <c r="B64" i="8"/>
  <c r="B63" i="8"/>
  <c r="D62" i="8"/>
  <c r="C62" i="8"/>
  <c r="B62" i="8"/>
  <c r="D61" i="8"/>
  <c r="B61" i="8"/>
  <c r="C61" i="8" s="1"/>
  <c r="B60" i="8"/>
  <c r="C59" i="8"/>
  <c r="B59" i="8"/>
  <c r="D58" i="8"/>
  <c r="B58" i="8"/>
  <c r="B57" i="8"/>
  <c r="B56" i="8"/>
  <c r="B55" i="8"/>
  <c r="D67" i="8" s="1"/>
  <c r="B54" i="8"/>
  <c r="B53" i="8"/>
  <c r="C53" i="8" s="1"/>
  <c r="B52" i="8"/>
  <c r="C52" i="8" s="1"/>
  <c r="B51" i="8"/>
  <c r="D63" i="8" s="1"/>
  <c r="D50" i="8"/>
  <c r="C50" i="8"/>
  <c r="B50" i="8"/>
  <c r="B49" i="8"/>
  <c r="C48" i="8"/>
  <c r="B48" i="8"/>
  <c r="B47" i="8"/>
  <c r="B46" i="8"/>
  <c r="D46" i="8" s="1"/>
  <c r="D45" i="8"/>
  <c r="B45" i="8"/>
  <c r="B44" i="8"/>
  <c r="C44" i="8" s="1"/>
  <c r="C43" i="8"/>
  <c r="B43" i="8"/>
  <c r="D55" i="8" s="1"/>
  <c r="D42" i="8"/>
  <c r="C42" i="8"/>
  <c r="B42" i="8"/>
  <c r="B41" i="8"/>
  <c r="B40" i="8"/>
  <c r="D39" i="8"/>
  <c r="B39" i="8"/>
  <c r="D38" i="8"/>
  <c r="C38" i="8"/>
  <c r="B38" i="8"/>
  <c r="B37" i="8"/>
  <c r="B36" i="8"/>
  <c r="C36" i="8" s="1"/>
  <c r="C35" i="8"/>
  <c r="B35" i="8"/>
  <c r="B34" i="8"/>
  <c r="D33" i="8"/>
  <c r="C33" i="8"/>
  <c r="B33" i="8"/>
  <c r="C34" i="8" s="1"/>
  <c r="D32" i="8"/>
  <c r="B32" i="8"/>
  <c r="B31" i="8"/>
  <c r="C30" i="8"/>
  <c r="B30" i="8"/>
  <c r="D29" i="8"/>
  <c r="B29" i="8"/>
  <c r="C29" i="8" s="1"/>
  <c r="B28" i="8"/>
  <c r="D27" i="8"/>
  <c r="C27" i="8"/>
  <c r="B27" i="8"/>
  <c r="D26" i="8"/>
  <c r="B26" i="8"/>
  <c r="B25" i="8"/>
  <c r="B24" i="8"/>
  <c r="C25" i="8" s="1"/>
  <c r="B23" i="8"/>
  <c r="D35" i="8" s="1"/>
  <c r="B22" i="8"/>
  <c r="D34" i="8" s="1"/>
  <c r="D21" i="8"/>
  <c r="B21" i="8"/>
  <c r="C21" i="8" s="1"/>
  <c r="B20" i="8"/>
  <c r="C20" i="8" s="1"/>
  <c r="B19" i="8"/>
  <c r="B18" i="8"/>
  <c r="C18" i="8" s="1"/>
  <c r="C17" i="8"/>
  <c r="B17" i="8"/>
  <c r="B16" i="8"/>
  <c r="B15" i="8"/>
  <c r="C15" i="8" s="1"/>
  <c r="C14" i="8"/>
  <c r="B14" i="8"/>
  <c r="B13" i="8"/>
  <c r="B12" i="8"/>
  <c r="C12" i="8" s="1"/>
  <c r="B11" i="8"/>
  <c r="B10" i="8"/>
  <c r="D22" i="8" s="1"/>
  <c r="B9" i="8"/>
  <c r="B8" i="8"/>
  <c r="D20" i="8" s="1"/>
  <c r="B7" i="8"/>
  <c r="U2" i="8"/>
  <c r="Y1" i="8"/>
  <c r="U1" i="8"/>
  <c r="B614" i="7"/>
  <c r="B613" i="7"/>
  <c r="D613" i="7" s="1"/>
  <c r="D612" i="7"/>
  <c r="B612" i="7"/>
  <c r="C613" i="7" s="1"/>
  <c r="B611" i="7"/>
  <c r="C611" i="7" s="1"/>
  <c r="C610" i="7"/>
  <c r="B610" i="7"/>
  <c r="D609" i="7"/>
  <c r="C609" i="7"/>
  <c r="B609" i="7"/>
  <c r="B608" i="7"/>
  <c r="B607" i="7"/>
  <c r="D606" i="7"/>
  <c r="B606" i="7"/>
  <c r="C606" i="7" s="1"/>
  <c r="D605" i="7"/>
  <c r="C605" i="7"/>
  <c r="B605" i="7"/>
  <c r="B604" i="7"/>
  <c r="B603" i="7"/>
  <c r="C603" i="7" s="1"/>
  <c r="C602" i="7"/>
  <c r="B602" i="7"/>
  <c r="B601" i="7"/>
  <c r="D600" i="7"/>
  <c r="C600" i="7"/>
  <c r="B600" i="7"/>
  <c r="C601" i="7" s="1"/>
  <c r="D599" i="7"/>
  <c r="B599" i="7"/>
  <c r="B598" i="7"/>
  <c r="D597" i="7"/>
  <c r="C597" i="7"/>
  <c r="B597" i="7"/>
  <c r="D596" i="7"/>
  <c r="B596" i="7"/>
  <c r="C596" i="7" s="1"/>
  <c r="B595" i="7"/>
  <c r="C594" i="7"/>
  <c r="B594" i="7"/>
  <c r="D593" i="7"/>
  <c r="B593" i="7"/>
  <c r="B592" i="7"/>
  <c r="B591" i="7"/>
  <c r="C592" i="7" s="1"/>
  <c r="B590" i="7"/>
  <c r="D602" i="7" s="1"/>
  <c r="B589" i="7"/>
  <c r="D588" i="7"/>
  <c r="B588" i="7"/>
  <c r="C588" i="7" s="1"/>
  <c r="B587" i="7"/>
  <c r="B586" i="7"/>
  <c r="D585" i="7"/>
  <c r="C585" i="7"/>
  <c r="B585" i="7"/>
  <c r="B584" i="7"/>
  <c r="B583" i="7"/>
  <c r="B582" i="7"/>
  <c r="B581" i="7"/>
  <c r="D581" i="7" s="1"/>
  <c r="B580" i="7"/>
  <c r="B579" i="7"/>
  <c r="C579" i="7" s="1"/>
  <c r="C578" i="7"/>
  <c r="B578" i="7"/>
  <c r="D590" i="7" s="1"/>
  <c r="D577" i="7"/>
  <c r="C577" i="7"/>
  <c r="B577" i="7"/>
  <c r="C576" i="7"/>
  <c r="B576" i="7"/>
  <c r="B575" i="7"/>
  <c r="D574" i="7"/>
  <c r="B574" i="7"/>
  <c r="D573" i="7"/>
  <c r="C573" i="7"/>
  <c r="B573" i="7"/>
  <c r="B572" i="7"/>
  <c r="C571" i="7"/>
  <c r="B571" i="7"/>
  <c r="D583" i="7" s="1"/>
  <c r="C570" i="7"/>
  <c r="B570" i="7"/>
  <c r="B569" i="7"/>
  <c r="D568" i="7"/>
  <c r="C568" i="7"/>
  <c r="B568" i="7"/>
  <c r="C569" i="7" s="1"/>
  <c r="B567" i="7"/>
  <c r="B566" i="7"/>
  <c r="D565" i="7"/>
  <c r="C565" i="7"/>
  <c r="B565" i="7"/>
  <c r="D564" i="7"/>
  <c r="B564" i="7"/>
  <c r="C564" i="7" s="1"/>
  <c r="B563" i="7"/>
  <c r="D562" i="7"/>
  <c r="C562" i="7"/>
  <c r="B562" i="7"/>
  <c r="D561" i="7"/>
  <c r="B561" i="7"/>
  <c r="B560" i="7"/>
  <c r="B559" i="7"/>
  <c r="B558" i="7"/>
  <c r="B557" i="7"/>
  <c r="D556" i="7"/>
  <c r="B556" i="7"/>
  <c r="B555" i="7"/>
  <c r="C555" i="7" s="1"/>
  <c r="C554" i="7"/>
  <c r="B554" i="7"/>
  <c r="D566" i="7" s="1"/>
  <c r="D553" i="7"/>
  <c r="C553" i="7"/>
  <c r="B553" i="7"/>
  <c r="C552" i="7"/>
  <c r="B552" i="7"/>
  <c r="D551" i="7"/>
  <c r="C551" i="7"/>
  <c r="B551" i="7"/>
  <c r="B550" i="7"/>
  <c r="B549" i="7"/>
  <c r="D549" i="7" s="1"/>
  <c r="B548" i="7"/>
  <c r="D560" i="7" s="1"/>
  <c r="B547" i="7"/>
  <c r="C547" i="7" s="1"/>
  <c r="C546" i="7"/>
  <c r="B546" i="7"/>
  <c r="D558" i="7" s="1"/>
  <c r="C545" i="7"/>
  <c r="B545" i="7"/>
  <c r="C544" i="7"/>
  <c r="B544" i="7"/>
  <c r="D543" i="7"/>
  <c r="B543" i="7"/>
  <c r="B542" i="7"/>
  <c r="D541" i="7"/>
  <c r="C541" i="7"/>
  <c r="B541" i="7"/>
  <c r="D540" i="7"/>
  <c r="B540" i="7"/>
  <c r="C539" i="7"/>
  <c r="B539" i="7"/>
  <c r="C538" i="7"/>
  <c r="B538" i="7"/>
  <c r="B537" i="7"/>
  <c r="D536" i="7"/>
  <c r="B536" i="7"/>
  <c r="C537" i="7" s="1"/>
  <c r="B535" i="7"/>
  <c r="C536" i="7" s="1"/>
  <c r="B534" i="7"/>
  <c r="B533" i="7"/>
  <c r="D545" i="7" s="1"/>
  <c r="D532" i="7"/>
  <c r="B532" i="7"/>
  <c r="B531" i="7"/>
  <c r="C530" i="7"/>
  <c r="B530" i="7"/>
  <c r="D542" i="7" s="1"/>
  <c r="D529" i="7"/>
  <c r="B529" i="7"/>
  <c r="B528" i="7"/>
  <c r="C529" i="7" s="1"/>
  <c r="B527" i="7"/>
  <c r="D539" i="7" s="1"/>
  <c r="B526" i="7"/>
  <c r="B525" i="7"/>
  <c r="D525" i="7" s="1"/>
  <c r="D524" i="7"/>
  <c r="B524" i="7"/>
  <c r="B523" i="7"/>
  <c r="C522" i="7"/>
  <c r="B522" i="7"/>
  <c r="D521" i="7"/>
  <c r="C521" i="7"/>
  <c r="B521" i="7"/>
  <c r="B520" i="7"/>
  <c r="B519" i="7"/>
  <c r="D531" i="7" s="1"/>
  <c r="B518" i="7"/>
  <c r="C518" i="7" s="1"/>
  <c r="B517" i="7"/>
  <c r="B516" i="7"/>
  <c r="D528" i="7" s="1"/>
  <c r="B515" i="7"/>
  <c r="D527" i="7" s="1"/>
  <c r="C514" i="7"/>
  <c r="B514" i="7"/>
  <c r="C513" i="7"/>
  <c r="B513" i="7"/>
  <c r="D512" i="7"/>
  <c r="C512" i="7"/>
  <c r="B512" i="7"/>
  <c r="B511" i="7"/>
  <c r="D510" i="7"/>
  <c r="B510" i="7"/>
  <c r="D509" i="7"/>
  <c r="B509" i="7"/>
  <c r="B508" i="7"/>
  <c r="C507" i="7"/>
  <c r="B507" i="7"/>
  <c r="B506" i="7"/>
  <c r="B505" i="7"/>
  <c r="D504" i="7"/>
  <c r="B504" i="7"/>
  <c r="D516" i="7" s="1"/>
  <c r="B503" i="7"/>
  <c r="C504" i="7" s="1"/>
  <c r="C502" i="7"/>
  <c r="B502" i="7"/>
  <c r="C501" i="7"/>
  <c r="B501" i="7"/>
  <c r="D513" i="7" s="1"/>
  <c r="B500" i="7"/>
  <c r="C499" i="7"/>
  <c r="B499" i="7"/>
  <c r="C500" i="7" s="1"/>
  <c r="C498" i="7"/>
  <c r="B498" i="7"/>
  <c r="B497" i="7"/>
  <c r="B496" i="7"/>
  <c r="D496" i="7" s="1"/>
  <c r="B495" i="7"/>
  <c r="B494" i="7"/>
  <c r="D494" i="7" s="1"/>
  <c r="B493" i="7"/>
  <c r="C493" i="7" s="1"/>
  <c r="C492" i="7"/>
  <c r="B492" i="7"/>
  <c r="C491" i="7"/>
  <c r="B491" i="7"/>
  <c r="D503" i="7" s="1"/>
  <c r="B490" i="7"/>
  <c r="B489" i="7"/>
  <c r="C489" i="7" s="1"/>
  <c r="D488" i="7"/>
  <c r="B488" i="7"/>
  <c r="D500" i="7" s="1"/>
  <c r="B487" i="7"/>
  <c r="C488" i="7" s="1"/>
  <c r="B486" i="7"/>
  <c r="D486" i="7" s="1"/>
  <c r="C485" i="7"/>
  <c r="B485" i="7"/>
  <c r="D497" i="7" s="1"/>
  <c r="B484" i="7"/>
  <c r="B483" i="7"/>
  <c r="C484" i="7" s="1"/>
  <c r="C482" i="7"/>
  <c r="B482" i="7"/>
  <c r="B481" i="7"/>
  <c r="B480" i="7"/>
  <c r="D492" i="7" s="1"/>
  <c r="B479" i="7"/>
  <c r="C479" i="7" s="1"/>
  <c r="B478" i="7"/>
  <c r="D478" i="7" s="1"/>
  <c r="B477" i="7"/>
  <c r="C477" i="7" s="1"/>
  <c r="C476" i="7"/>
  <c r="B476" i="7"/>
  <c r="C475" i="7"/>
  <c r="B475" i="7"/>
  <c r="D487" i="7" s="1"/>
  <c r="B474" i="7"/>
  <c r="D473" i="7"/>
  <c r="B473" i="7"/>
  <c r="C473" i="7" s="1"/>
  <c r="D472" i="7"/>
  <c r="B472" i="7"/>
  <c r="D484" i="7" s="1"/>
  <c r="B471" i="7"/>
  <c r="C472" i="7" s="1"/>
  <c r="B470" i="7"/>
  <c r="D470" i="7" s="1"/>
  <c r="C469" i="7"/>
  <c r="B469" i="7"/>
  <c r="D481" i="7" s="1"/>
  <c r="B468" i="7"/>
  <c r="B467" i="7"/>
  <c r="C466" i="7"/>
  <c r="B466" i="7"/>
  <c r="B465" i="7"/>
  <c r="B464" i="7"/>
  <c r="B463" i="7"/>
  <c r="C463" i="7" s="1"/>
  <c r="B462" i="7"/>
  <c r="D462" i="7" s="1"/>
  <c r="B461" i="7"/>
  <c r="C461" i="7" s="1"/>
  <c r="C460" i="7"/>
  <c r="B460" i="7"/>
  <c r="C459" i="7"/>
  <c r="B459" i="7"/>
  <c r="D471" i="7" s="1"/>
  <c r="B458" i="7"/>
  <c r="D457" i="7"/>
  <c r="B457" i="7"/>
  <c r="C457" i="7" s="1"/>
  <c r="D456" i="7"/>
  <c r="B456" i="7"/>
  <c r="D468" i="7" s="1"/>
  <c r="B455" i="7"/>
  <c r="C456" i="7" s="1"/>
  <c r="B454" i="7"/>
  <c r="C453" i="7"/>
  <c r="B453" i="7"/>
  <c r="D465" i="7" s="1"/>
  <c r="B452" i="7"/>
  <c r="B451" i="7"/>
  <c r="C450" i="7"/>
  <c r="B450" i="7"/>
  <c r="B449" i="7"/>
  <c r="B448" i="7"/>
  <c r="B447" i="7"/>
  <c r="B446" i="7"/>
  <c r="D446" i="7" s="1"/>
  <c r="B445" i="7"/>
  <c r="C445" i="7" s="1"/>
  <c r="C444" i="7"/>
  <c r="B444" i="7"/>
  <c r="C443" i="7"/>
  <c r="B443" i="7"/>
  <c r="D455" i="7" s="1"/>
  <c r="B442" i="7"/>
  <c r="D441" i="7"/>
  <c r="B441" i="7"/>
  <c r="C441" i="7" s="1"/>
  <c r="D440" i="7"/>
  <c r="B440" i="7"/>
  <c r="D452" i="7" s="1"/>
  <c r="B439" i="7"/>
  <c r="C440" i="7" s="1"/>
  <c r="B438" i="7"/>
  <c r="D437" i="7"/>
  <c r="C437" i="7"/>
  <c r="B437" i="7"/>
  <c r="D449" i="7" s="1"/>
  <c r="B436" i="7"/>
  <c r="C435" i="7"/>
  <c r="B435" i="7"/>
  <c r="C434" i="7"/>
  <c r="B434" i="7"/>
  <c r="B433" i="7"/>
  <c r="B432" i="7"/>
  <c r="B431" i="7"/>
  <c r="C431" i="7" s="1"/>
  <c r="B430" i="7"/>
  <c r="D430" i="7" s="1"/>
  <c r="B429" i="7"/>
  <c r="C428" i="7"/>
  <c r="B428" i="7"/>
  <c r="C427" i="7"/>
  <c r="B427" i="7"/>
  <c r="D439" i="7" s="1"/>
  <c r="B426" i="7"/>
  <c r="B425" i="7"/>
  <c r="D424" i="7"/>
  <c r="B424" i="7"/>
  <c r="D436" i="7" s="1"/>
  <c r="B423" i="7"/>
  <c r="C424" i="7" s="1"/>
  <c r="B422" i="7"/>
  <c r="D422" i="7" s="1"/>
  <c r="C421" i="7"/>
  <c r="B421" i="7"/>
  <c r="D433" i="7" s="1"/>
  <c r="B420" i="7"/>
  <c r="B419" i="7"/>
  <c r="C420" i="7" s="1"/>
  <c r="C418" i="7"/>
  <c r="B418" i="7"/>
  <c r="B417" i="7"/>
  <c r="B416" i="7"/>
  <c r="B415" i="7"/>
  <c r="C415" i="7" s="1"/>
  <c r="B414" i="7"/>
  <c r="D414" i="7" s="1"/>
  <c r="B413" i="7"/>
  <c r="C412" i="7"/>
  <c r="B412" i="7"/>
  <c r="C411" i="7"/>
  <c r="B411" i="7"/>
  <c r="D423" i="7" s="1"/>
  <c r="B410" i="7"/>
  <c r="B409" i="7"/>
  <c r="D421" i="7" s="1"/>
  <c r="D408" i="7"/>
  <c r="B408" i="7"/>
  <c r="D420" i="7" s="1"/>
  <c r="B407" i="7"/>
  <c r="C408" i="7" s="1"/>
  <c r="B406" i="7"/>
  <c r="D406" i="7" s="1"/>
  <c r="C405" i="7"/>
  <c r="B405" i="7"/>
  <c r="D417" i="7" s="1"/>
  <c r="B404" i="7"/>
  <c r="B403" i="7"/>
  <c r="C404" i="7" s="1"/>
  <c r="D402" i="7"/>
  <c r="C402" i="7"/>
  <c r="B402" i="7"/>
  <c r="B401" i="7"/>
  <c r="C400" i="7"/>
  <c r="B400" i="7"/>
  <c r="B399" i="7"/>
  <c r="C399" i="7" s="1"/>
  <c r="B398" i="7"/>
  <c r="D398" i="7" s="1"/>
  <c r="B397" i="7"/>
  <c r="D409" i="7" s="1"/>
  <c r="C396" i="7"/>
  <c r="B396" i="7"/>
  <c r="D395" i="7"/>
  <c r="C395" i="7"/>
  <c r="B395" i="7"/>
  <c r="D407" i="7" s="1"/>
  <c r="B394" i="7"/>
  <c r="B393" i="7"/>
  <c r="D405" i="7" s="1"/>
  <c r="B392" i="7"/>
  <c r="D404" i="7" s="1"/>
  <c r="B391" i="7"/>
  <c r="C392" i="7" s="1"/>
  <c r="C390" i="7"/>
  <c r="B390" i="7"/>
  <c r="D390" i="7" s="1"/>
  <c r="C389" i="7"/>
  <c r="B389" i="7"/>
  <c r="D401" i="7" s="1"/>
  <c r="B388" i="7"/>
  <c r="B387" i="7"/>
  <c r="C388" i="7" s="1"/>
  <c r="D386" i="7"/>
  <c r="C386" i="7"/>
  <c r="B386" i="7"/>
  <c r="D385" i="7"/>
  <c r="B385" i="7"/>
  <c r="C384" i="7"/>
  <c r="B384" i="7"/>
  <c r="D396" i="7" s="1"/>
  <c r="D383" i="7"/>
  <c r="B383" i="7"/>
  <c r="C383" i="7" s="1"/>
  <c r="B382" i="7"/>
  <c r="D382" i="7" s="1"/>
  <c r="B381" i="7"/>
  <c r="B380" i="7"/>
  <c r="C380" i="7" s="1"/>
  <c r="D379" i="7"/>
  <c r="C379" i="7"/>
  <c r="B379" i="7"/>
  <c r="D391" i="7" s="1"/>
  <c r="B378" i="7"/>
  <c r="B377" i="7"/>
  <c r="C378" i="7" s="1"/>
  <c r="D376" i="7"/>
  <c r="B376" i="7"/>
  <c r="D388" i="7" s="1"/>
  <c r="B375" i="7"/>
  <c r="D374" i="7"/>
  <c r="C374" i="7"/>
  <c r="B374" i="7"/>
  <c r="B373" i="7"/>
  <c r="B372" i="7"/>
  <c r="D371" i="7"/>
  <c r="C371" i="7"/>
  <c r="B371" i="7"/>
  <c r="B370" i="7"/>
  <c r="C369" i="7"/>
  <c r="B369" i="7"/>
  <c r="D368" i="7"/>
  <c r="C368" i="7"/>
  <c r="B368" i="7"/>
  <c r="B367" i="7"/>
  <c r="B366" i="7"/>
  <c r="D365" i="7"/>
  <c r="C365" i="7"/>
  <c r="B365" i="7"/>
  <c r="B364" i="7"/>
  <c r="B363" i="7"/>
  <c r="D362" i="7"/>
  <c r="C362" i="7"/>
  <c r="B362" i="7"/>
  <c r="B361" i="7"/>
  <c r="B360" i="7"/>
  <c r="D372" i="7" s="1"/>
  <c r="D359" i="7"/>
  <c r="B359" i="7"/>
  <c r="B358" i="7"/>
  <c r="D358" i="7" s="1"/>
  <c r="D357" i="7"/>
  <c r="B357" i="7"/>
  <c r="D369" i="7" s="1"/>
  <c r="C356" i="7"/>
  <c r="B356" i="7"/>
  <c r="B355" i="7"/>
  <c r="D367" i="7" s="1"/>
  <c r="C354" i="7"/>
  <c r="B354" i="7"/>
  <c r="D353" i="7"/>
  <c r="B353" i="7"/>
  <c r="B352" i="7"/>
  <c r="B351" i="7"/>
  <c r="D350" i="7"/>
  <c r="B350" i="7"/>
  <c r="B349" i="7"/>
  <c r="B348" i="7"/>
  <c r="C348" i="7" s="1"/>
  <c r="D347" i="7"/>
  <c r="C347" i="7"/>
  <c r="B347" i="7"/>
  <c r="B346" i="7"/>
  <c r="D345" i="7"/>
  <c r="C345" i="7"/>
  <c r="B345" i="7"/>
  <c r="C346" i="7" s="1"/>
  <c r="D344" i="7"/>
  <c r="B344" i="7"/>
  <c r="B343" i="7"/>
  <c r="B342" i="7"/>
  <c r="D342" i="7" s="1"/>
  <c r="B341" i="7"/>
  <c r="B340" i="7"/>
  <c r="B339" i="7"/>
  <c r="D339" i="7" s="1"/>
  <c r="B338" i="7"/>
  <c r="B337" i="7"/>
  <c r="D336" i="7"/>
  <c r="C336" i="7"/>
  <c r="B336" i="7"/>
  <c r="B335" i="7"/>
  <c r="C334" i="7"/>
  <c r="B334" i="7"/>
  <c r="D333" i="7"/>
  <c r="C333" i="7"/>
  <c r="B333" i="7"/>
  <c r="B332" i="7"/>
  <c r="B331" i="7"/>
  <c r="D330" i="7"/>
  <c r="C330" i="7"/>
  <c r="B330" i="7"/>
  <c r="B329" i="7"/>
  <c r="C329" i="7" s="1"/>
  <c r="B328" i="7"/>
  <c r="D340" i="7" s="1"/>
  <c r="D327" i="7"/>
  <c r="B327" i="7"/>
  <c r="B326" i="7"/>
  <c r="D326" i="7" s="1"/>
  <c r="C325" i="7"/>
  <c r="B325" i="7"/>
  <c r="C324" i="7"/>
  <c r="B324" i="7"/>
  <c r="B323" i="7"/>
  <c r="D335" i="7" s="1"/>
  <c r="C322" i="7"/>
  <c r="B322" i="7"/>
  <c r="D321" i="7"/>
  <c r="B321" i="7"/>
  <c r="B320" i="7"/>
  <c r="B319" i="7"/>
  <c r="D318" i="7"/>
  <c r="B318" i="7"/>
  <c r="B317" i="7"/>
  <c r="C316" i="7"/>
  <c r="B316" i="7"/>
  <c r="D328" i="7" s="1"/>
  <c r="D315" i="7"/>
  <c r="C315" i="7"/>
  <c r="B315" i="7"/>
  <c r="B314" i="7"/>
  <c r="B313" i="7"/>
  <c r="C314" i="7" s="1"/>
  <c r="D312" i="7"/>
  <c r="B312" i="7"/>
  <c r="B311" i="7"/>
  <c r="B310" i="7"/>
  <c r="D310" i="7" s="1"/>
  <c r="B309" i="7"/>
  <c r="B308" i="7"/>
  <c r="D307" i="7"/>
  <c r="B307" i="7"/>
  <c r="C307" i="7" s="1"/>
  <c r="B306" i="7"/>
  <c r="B305" i="7"/>
  <c r="D304" i="7"/>
  <c r="C304" i="7"/>
  <c r="B304" i="7"/>
  <c r="B303" i="7"/>
  <c r="B302" i="7"/>
  <c r="D301" i="7"/>
  <c r="C301" i="7"/>
  <c r="B301" i="7"/>
  <c r="B300" i="7"/>
  <c r="C299" i="7"/>
  <c r="B299" i="7"/>
  <c r="D298" i="7"/>
  <c r="C298" i="7"/>
  <c r="B298" i="7"/>
  <c r="B297" i="7"/>
  <c r="C297" i="7" s="1"/>
  <c r="C296" i="7"/>
  <c r="B296" i="7"/>
  <c r="D295" i="7"/>
  <c r="B295" i="7"/>
  <c r="B294" i="7"/>
  <c r="D294" i="7" s="1"/>
  <c r="C293" i="7"/>
  <c r="B293" i="7"/>
  <c r="C292" i="7"/>
  <c r="B292" i="7"/>
  <c r="B291" i="7"/>
  <c r="D303" i="7" s="1"/>
  <c r="C290" i="7"/>
  <c r="B290" i="7"/>
  <c r="D289" i="7"/>
  <c r="B289" i="7"/>
  <c r="B288" i="7"/>
  <c r="B287" i="7"/>
  <c r="D286" i="7"/>
  <c r="B286" i="7"/>
  <c r="B285" i="7"/>
  <c r="C284" i="7"/>
  <c r="B284" i="7"/>
  <c r="D296" i="7" s="1"/>
  <c r="D283" i="7"/>
  <c r="C283" i="7"/>
  <c r="B283" i="7"/>
  <c r="B282" i="7"/>
  <c r="B281" i="7"/>
  <c r="C282" i="7" s="1"/>
  <c r="D280" i="7"/>
  <c r="B280" i="7"/>
  <c r="B279" i="7"/>
  <c r="B278" i="7"/>
  <c r="D278" i="7" s="1"/>
  <c r="B277" i="7"/>
  <c r="B276" i="7"/>
  <c r="D275" i="7"/>
  <c r="C275" i="7"/>
  <c r="B275" i="7"/>
  <c r="D287" i="7" s="1"/>
  <c r="B274" i="7"/>
  <c r="B273" i="7"/>
  <c r="D272" i="7"/>
  <c r="C272" i="7"/>
  <c r="B272" i="7"/>
  <c r="B271" i="7"/>
  <c r="C270" i="7"/>
  <c r="B270" i="7"/>
  <c r="D269" i="7"/>
  <c r="C269" i="7"/>
  <c r="B269" i="7"/>
  <c r="B268" i="7"/>
  <c r="B267" i="7"/>
  <c r="D266" i="7"/>
  <c r="C266" i="7"/>
  <c r="B266" i="7"/>
  <c r="B265" i="7"/>
  <c r="C264" i="7"/>
  <c r="B264" i="7"/>
  <c r="D263" i="7"/>
  <c r="B263" i="7"/>
  <c r="B262" i="7"/>
  <c r="D262" i="7" s="1"/>
  <c r="B261" i="7"/>
  <c r="D273" i="7" s="1"/>
  <c r="C260" i="7"/>
  <c r="B260" i="7"/>
  <c r="B259" i="7"/>
  <c r="D271" i="7" s="1"/>
  <c r="D258" i="7"/>
  <c r="C258" i="7"/>
  <c r="B258" i="7"/>
  <c r="D257" i="7"/>
  <c r="B257" i="7"/>
  <c r="B256" i="7"/>
  <c r="B255" i="7"/>
  <c r="D254" i="7"/>
  <c r="B254" i="7"/>
  <c r="B253" i="7"/>
  <c r="B252" i="7"/>
  <c r="C252" i="7" s="1"/>
  <c r="D251" i="7"/>
  <c r="C251" i="7"/>
  <c r="B251" i="7"/>
  <c r="B250" i="7"/>
  <c r="B249" i="7"/>
  <c r="C250" i="7" s="1"/>
  <c r="D248" i="7"/>
  <c r="B248" i="7"/>
  <c r="B247" i="7"/>
  <c r="D246" i="7"/>
  <c r="C246" i="7"/>
  <c r="B246" i="7"/>
  <c r="B245" i="7"/>
  <c r="B244" i="7"/>
  <c r="D243" i="7"/>
  <c r="C243" i="7"/>
  <c r="B243" i="7"/>
  <c r="D255" i="7" s="1"/>
  <c r="B242" i="7"/>
  <c r="C241" i="7"/>
  <c r="B241" i="7"/>
  <c r="D240" i="7"/>
  <c r="C240" i="7"/>
  <c r="B240" i="7"/>
  <c r="B239" i="7"/>
  <c r="B238" i="7"/>
  <c r="D237" i="7"/>
  <c r="C237" i="7"/>
  <c r="B237" i="7"/>
  <c r="B236" i="7"/>
  <c r="B235" i="7"/>
  <c r="D234" i="7"/>
  <c r="C234" i="7"/>
  <c r="B234" i="7"/>
  <c r="B233" i="7"/>
  <c r="B232" i="7"/>
  <c r="D244" i="7" s="1"/>
  <c r="D231" i="7"/>
  <c r="B231" i="7"/>
  <c r="B230" i="7"/>
  <c r="D230" i="7" s="1"/>
  <c r="D229" i="7"/>
  <c r="B229" i="7"/>
  <c r="D241" i="7" s="1"/>
  <c r="C228" i="7"/>
  <c r="B228" i="7"/>
  <c r="B227" i="7"/>
  <c r="D239" i="7" s="1"/>
  <c r="C226" i="7"/>
  <c r="B226" i="7"/>
  <c r="D225" i="7"/>
  <c r="B225" i="7"/>
  <c r="B224" i="7"/>
  <c r="B223" i="7"/>
  <c r="D222" i="7"/>
  <c r="B222" i="7"/>
  <c r="B221" i="7"/>
  <c r="B220" i="7"/>
  <c r="C220" i="7" s="1"/>
  <c r="D219" i="7"/>
  <c r="C219" i="7"/>
  <c r="B219" i="7"/>
  <c r="B218" i="7"/>
  <c r="D217" i="7"/>
  <c r="C217" i="7"/>
  <c r="B217" i="7"/>
  <c r="C218" i="7" s="1"/>
  <c r="D216" i="7"/>
  <c r="B216" i="7"/>
  <c r="B215" i="7"/>
  <c r="B214" i="7"/>
  <c r="D214" i="7" s="1"/>
  <c r="B213" i="7"/>
  <c r="B212" i="7"/>
  <c r="B211" i="7"/>
  <c r="D211" i="7" s="1"/>
  <c r="B210" i="7"/>
  <c r="B209" i="7"/>
  <c r="D208" i="7"/>
  <c r="C208" i="7"/>
  <c r="B208" i="7"/>
  <c r="B207" i="7"/>
  <c r="B206" i="7"/>
  <c r="D205" i="7"/>
  <c r="C205" i="7"/>
  <c r="B205" i="7"/>
  <c r="B204" i="7"/>
  <c r="B203" i="7"/>
  <c r="D202" i="7"/>
  <c r="C202" i="7"/>
  <c r="B202" i="7"/>
  <c r="B201" i="7"/>
  <c r="C201" i="7" s="1"/>
  <c r="B200" i="7"/>
  <c r="D212" i="7" s="1"/>
  <c r="D199" i="7"/>
  <c r="B199" i="7"/>
  <c r="B198" i="7"/>
  <c r="D198" i="7" s="1"/>
  <c r="C197" i="7"/>
  <c r="B197" i="7"/>
  <c r="C196" i="7"/>
  <c r="B196" i="7"/>
  <c r="B195" i="7"/>
  <c r="D207" i="7" s="1"/>
  <c r="C194" i="7"/>
  <c r="B194" i="7"/>
  <c r="D193" i="7"/>
  <c r="B193" i="7"/>
  <c r="B192" i="7"/>
  <c r="B191" i="7"/>
  <c r="D190" i="7"/>
  <c r="B190" i="7"/>
  <c r="B189" i="7"/>
  <c r="C188" i="7"/>
  <c r="B188" i="7"/>
  <c r="D200" i="7" s="1"/>
  <c r="D187" i="7"/>
  <c r="C187" i="7"/>
  <c r="B187" i="7"/>
  <c r="B186" i="7"/>
  <c r="B185" i="7"/>
  <c r="C186" i="7" s="1"/>
  <c r="D184" i="7"/>
  <c r="B184" i="7"/>
  <c r="B183" i="7"/>
  <c r="B182" i="7"/>
  <c r="D182" i="7" s="1"/>
  <c r="B181" i="7"/>
  <c r="B180" i="7"/>
  <c r="D179" i="7"/>
  <c r="B179" i="7"/>
  <c r="C179" i="7" s="1"/>
  <c r="B178" i="7"/>
  <c r="B177" i="7"/>
  <c r="D176" i="7"/>
  <c r="C176" i="7"/>
  <c r="B176" i="7"/>
  <c r="B175" i="7"/>
  <c r="B174" i="7"/>
  <c r="D173" i="7"/>
  <c r="C173" i="7"/>
  <c r="B173" i="7"/>
  <c r="B172" i="7"/>
  <c r="C171" i="7"/>
  <c r="B171" i="7"/>
  <c r="D170" i="7"/>
  <c r="C170" i="7"/>
  <c r="B170" i="7"/>
  <c r="B169" i="7"/>
  <c r="C169" i="7" s="1"/>
  <c r="C168" i="7"/>
  <c r="B168" i="7"/>
  <c r="D167" i="7"/>
  <c r="B167" i="7"/>
  <c r="B166" i="7"/>
  <c r="D166" i="7" s="1"/>
  <c r="C165" i="7"/>
  <c r="B165" i="7"/>
  <c r="C164" i="7"/>
  <c r="B164" i="7"/>
  <c r="B163" i="7"/>
  <c r="D175" i="7" s="1"/>
  <c r="C162" i="7"/>
  <c r="B162" i="7"/>
  <c r="D161" i="7"/>
  <c r="B161" i="7"/>
  <c r="B160" i="7"/>
  <c r="B159" i="7"/>
  <c r="D158" i="7"/>
  <c r="B158" i="7"/>
  <c r="B157" i="7"/>
  <c r="C156" i="7"/>
  <c r="B156" i="7"/>
  <c r="D168" i="7" s="1"/>
  <c r="D155" i="7"/>
  <c r="C155" i="7"/>
  <c r="B155" i="7"/>
  <c r="B154" i="7"/>
  <c r="B153" i="7"/>
  <c r="C154" i="7" s="1"/>
  <c r="D152" i="7"/>
  <c r="B152" i="7"/>
  <c r="B151" i="7"/>
  <c r="B150" i="7"/>
  <c r="D150" i="7" s="1"/>
  <c r="B149" i="7"/>
  <c r="B148" i="7"/>
  <c r="D147" i="7"/>
  <c r="C147" i="7"/>
  <c r="B147" i="7"/>
  <c r="D159" i="7" s="1"/>
  <c r="B146" i="7"/>
  <c r="B145" i="7"/>
  <c r="D144" i="7"/>
  <c r="C144" i="7"/>
  <c r="B144" i="7"/>
  <c r="B143" i="7"/>
  <c r="C142" i="7"/>
  <c r="B142" i="7"/>
  <c r="D141" i="7"/>
  <c r="C141" i="7"/>
  <c r="B141" i="7"/>
  <c r="B140" i="7"/>
  <c r="B139" i="7"/>
  <c r="D138" i="7"/>
  <c r="C138" i="7"/>
  <c r="B138" i="7"/>
  <c r="B137" i="7"/>
  <c r="C136" i="7"/>
  <c r="B136" i="7"/>
  <c r="D135" i="7"/>
  <c r="B135" i="7"/>
  <c r="B134" i="7"/>
  <c r="D134" i="7" s="1"/>
  <c r="B133" i="7"/>
  <c r="D145" i="7" s="1"/>
  <c r="C132" i="7"/>
  <c r="B132" i="7"/>
  <c r="B131" i="7"/>
  <c r="D143" i="7" s="1"/>
  <c r="D130" i="7"/>
  <c r="C130" i="7"/>
  <c r="B130" i="7"/>
  <c r="D129" i="7"/>
  <c r="B129" i="7"/>
  <c r="B128" i="7"/>
  <c r="B127" i="7"/>
  <c r="D126" i="7"/>
  <c r="B126" i="7"/>
  <c r="B125" i="7"/>
  <c r="B124" i="7"/>
  <c r="C124" i="7" s="1"/>
  <c r="D123" i="7"/>
  <c r="C123" i="7"/>
  <c r="B123" i="7"/>
  <c r="B122" i="7"/>
  <c r="B121" i="7"/>
  <c r="C122" i="7" s="1"/>
  <c r="D120" i="7"/>
  <c r="B120" i="7"/>
  <c r="B119" i="7"/>
  <c r="D118" i="7"/>
  <c r="C118" i="7"/>
  <c r="B118" i="7"/>
  <c r="B117" i="7"/>
  <c r="B116" i="7"/>
  <c r="C115" i="7"/>
  <c r="B115" i="7"/>
  <c r="D115" i="7" s="1"/>
  <c r="B114" i="7"/>
  <c r="C113" i="7"/>
  <c r="B113" i="7"/>
  <c r="D112" i="7"/>
  <c r="C112" i="7"/>
  <c r="B112" i="7"/>
  <c r="B111" i="7"/>
  <c r="B110" i="7"/>
  <c r="D109" i="7"/>
  <c r="C109" i="7"/>
  <c r="B109" i="7"/>
  <c r="B108" i="7"/>
  <c r="B107" i="7"/>
  <c r="D106" i="7"/>
  <c r="C106" i="7"/>
  <c r="B106" i="7"/>
  <c r="B105" i="7"/>
  <c r="B104" i="7"/>
  <c r="D116" i="7" s="1"/>
  <c r="D103" i="7"/>
  <c r="B103" i="7"/>
  <c r="B102" i="7"/>
  <c r="D102" i="7" s="1"/>
  <c r="D101" i="7"/>
  <c r="B101" i="7"/>
  <c r="D113" i="7" s="1"/>
  <c r="C100" i="7"/>
  <c r="B100" i="7"/>
  <c r="B99" i="7"/>
  <c r="D111" i="7" s="1"/>
  <c r="C98" i="7"/>
  <c r="B98" i="7"/>
  <c r="D97" i="7"/>
  <c r="B97" i="7"/>
  <c r="B96" i="7"/>
  <c r="B95" i="7"/>
  <c r="D94" i="7"/>
  <c r="B94" i="7"/>
  <c r="B93" i="7"/>
  <c r="B92" i="7"/>
  <c r="C92" i="7" s="1"/>
  <c r="D91" i="7"/>
  <c r="C91" i="7"/>
  <c r="B91" i="7"/>
  <c r="B90" i="7"/>
  <c r="D89" i="7"/>
  <c r="C89" i="7"/>
  <c r="B89" i="7"/>
  <c r="C90" i="7" s="1"/>
  <c r="D88" i="7"/>
  <c r="B88" i="7"/>
  <c r="B87" i="7"/>
  <c r="B86" i="7"/>
  <c r="D86" i="7" s="1"/>
  <c r="B85" i="7"/>
  <c r="B84" i="7"/>
  <c r="B83" i="7"/>
  <c r="D83" i="7" s="1"/>
  <c r="B82" i="7"/>
  <c r="B81" i="7"/>
  <c r="D80" i="7"/>
  <c r="C80" i="7"/>
  <c r="B80" i="7"/>
  <c r="B79" i="7"/>
  <c r="B78" i="7"/>
  <c r="D77" i="7"/>
  <c r="C77" i="7"/>
  <c r="B77" i="7"/>
  <c r="B76" i="7"/>
  <c r="B75" i="7"/>
  <c r="D74" i="7"/>
  <c r="C74" i="7"/>
  <c r="B74" i="7"/>
  <c r="B73" i="7"/>
  <c r="C73" i="7" s="1"/>
  <c r="B72" i="7"/>
  <c r="D84" i="7" s="1"/>
  <c r="D71" i="7"/>
  <c r="B71" i="7"/>
  <c r="B70" i="7"/>
  <c r="D70" i="7" s="1"/>
  <c r="C69" i="7"/>
  <c r="B69" i="7"/>
  <c r="C68" i="7"/>
  <c r="B68" i="7"/>
  <c r="B67" i="7"/>
  <c r="D79" i="7" s="1"/>
  <c r="C66" i="7"/>
  <c r="B66" i="7"/>
  <c r="D65" i="7"/>
  <c r="B65" i="7"/>
  <c r="B64" i="7"/>
  <c r="B63" i="7"/>
  <c r="D62" i="7"/>
  <c r="B62" i="7"/>
  <c r="B61" i="7"/>
  <c r="C60" i="7"/>
  <c r="B60" i="7"/>
  <c r="D72" i="7" s="1"/>
  <c r="D59" i="7"/>
  <c r="C59" i="7"/>
  <c r="B59" i="7"/>
  <c r="B58" i="7"/>
  <c r="B57" i="7"/>
  <c r="C58" i="7" s="1"/>
  <c r="D56" i="7"/>
  <c r="B56" i="7"/>
  <c r="B55" i="7"/>
  <c r="B54" i="7"/>
  <c r="D54" i="7" s="1"/>
  <c r="B53" i="7"/>
  <c r="B52" i="7"/>
  <c r="D51" i="7"/>
  <c r="B51" i="7"/>
  <c r="C51" i="7" s="1"/>
  <c r="B50" i="7"/>
  <c r="B49" i="7"/>
  <c r="D48" i="7"/>
  <c r="C48" i="7"/>
  <c r="B48" i="7"/>
  <c r="B47" i="7"/>
  <c r="B46" i="7"/>
  <c r="D45" i="7"/>
  <c r="C45" i="7"/>
  <c r="B45" i="7"/>
  <c r="B44" i="7"/>
  <c r="C43" i="7"/>
  <c r="B43" i="7"/>
  <c r="D42" i="7"/>
  <c r="C42" i="7"/>
  <c r="B42" i="7"/>
  <c r="B41" i="7"/>
  <c r="C41" i="7" s="1"/>
  <c r="C40" i="7"/>
  <c r="B40" i="7"/>
  <c r="D39" i="7"/>
  <c r="B39" i="7"/>
  <c r="B38" i="7"/>
  <c r="D38" i="7" s="1"/>
  <c r="C37" i="7"/>
  <c r="B37" i="7"/>
  <c r="C36" i="7"/>
  <c r="B36" i="7"/>
  <c r="B35" i="7"/>
  <c r="D47" i="7" s="1"/>
  <c r="C34" i="7"/>
  <c r="B34" i="7"/>
  <c r="D33" i="7"/>
  <c r="B33" i="7"/>
  <c r="B32" i="7"/>
  <c r="B31" i="7"/>
  <c r="D30" i="7"/>
  <c r="B30" i="7"/>
  <c r="B29" i="7"/>
  <c r="C28" i="7"/>
  <c r="B28" i="7"/>
  <c r="D40" i="7" s="1"/>
  <c r="C27" i="7"/>
  <c r="B27" i="7"/>
  <c r="B26" i="7"/>
  <c r="B25" i="7"/>
  <c r="C26" i="7" s="1"/>
  <c r="B24" i="7"/>
  <c r="B23" i="7"/>
  <c r="D22" i="7"/>
  <c r="B22" i="7"/>
  <c r="C22" i="7" s="1"/>
  <c r="D21" i="7"/>
  <c r="B21" i="7"/>
  <c r="B20" i="7"/>
  <c r="B19" i="7"/>
  <c r="C19" i="7" s="1"/>
  <c r="C18" i="7"/>
  <c r="B18" i="7"/>
  <c r="B17" i="7"/>
  <c r="B16" i="7"/>
  <c r="B15" i="7"/>
  <c r="C15" i="7" s="1"/>
  <c r="C14" i="7"/>
  <c r="B14" i="7"/>
  <c r="D26" i="7" s="1"/>
  <c r="B13" i="7"/>
  <c r="B12" i="7"/>
  <c r="B11" i="7"/>
  <c r="C10" i="7"/>
  <c r="B10" i="7"/>
  <c r="B9" i="7"/>
  <c r="B8" i="7"/>
  <c r="B7" i="7"/>
  <c r="U2" i="7"/>
  <c r="Y1" i="7"/>
  <c r="U1" i="7"/>
  <c r="B614" i="6"/>
  <c r="C613" i="6"/>
  <c r="B613" i="6"/>
  <c r="D613" i="6" s="1"/>
  <c r="D612" i="6"/>
  <c r="C612" i="6"/>
  <c r="B612" i="6"/>
  <c r="B611" i="6"/>
  <c r="B610" i="6"/>
  <c r="C611" i="6" s="1"/>
  <c r="D609" i="6"/>
  <c r="C609" i="6"/>
  <c r="B609" i="6"/>
  <c r="B608" i="6"/>
  <c r="B607" i="6"/>
  <c r="C607" i="6" s="1"/>
  <c r="D606" i="6"/>
  <c r="B606" i="6"/>
  <c r="B605" i="6"/>
  <c r="C605" i="6" s="1"/>
  <c r="C604" i="6"/>
  <c r="B604" i="6"/>
  <c r="C603" i="6"/>
  <c r="B603" i="6"/>
  <c r="B602" i="6"/>
  <c r="D614" i="6" s="1"/>
  <c r="D601" i="6"/>
  <c r="C601" i="6"/>
  <c r="B601" i="6"/>
  <c r="D600" i="6"/>
  <c r="B600" i="6"/>
  <c r="B599" i="6"/>
  <c r="B598" i="6"/>
  <c r="D597" i="6"/>
  <c r="B597" i="6"/>
  <c r="B596" i="6"/>
  <c r="C595" i="6"/>
  <c r="B595" i="6"/>
  <c r="D607" i="6" s="1"/>
  <c r="B594" i="6"/>
  <c r="B593" i="6"/>
  <c r="B592" i="6"/>
  <c r="D592" i="6" s="1"/>
  <c r="B591" i="6"/>
  <c r="B590" i="6"/>
  <c r="C589" i="6"/>
  <c r="B589" i="6"/>
  <c r="B588" i="6"/>
  <c r="C588" i="6" s="1"/>
  <c r="D587" i="6"/>
  <c r="C587" i="6"/>
  <c r="B587" i="6"/>
  <c r="B586" i="6"/>
  <c r="B585" i="6"/>
  <c r="B584" i="6"/>
  <c r="D596" i="6" s="1"/>
  <c r="B583" i="6"/>
  <c r="B582" i="6"/>
  <c r="C581" i="6"/>
  <c r="B581" i="6"/>
  <c r="D593" i="6" s="1"/>
  <c r="B580" i="6"/>
  <c r="C580" i="6" s="1"/>
  <c r="D579" i="6"/>
  <c r="C579" i="6"/>
  <c r="B579" i="6"/>
  <c r="D591" i="6" s="1"/>
  <c r="B578" i="6"/>
  <c r="B577" i="6"/>
  <c r="B576" i="6"/>
  <c r="D588" i="6" s="1"/>
  <c r="B575" i="6"/>
  <c r="B574" i="6"/>
  <c r="C573" i="6"/>
  <c r="B573" i="6"/>
  <c r="D585" i="6" s="1"/>
  <c r="B572" i="6"/>
  <c r="C572" i="6" s="1"/>
  <c r="D571" i="6"/>
  <c r="C571" i="6"/>
  <c r="B571" i="6"/>
  <c r="D583" i="6" s="1"/>
  <c r="B570" i="6"/>
  <c r="B569" i="6"/>
  <c r="B568" i="6"/>
  <c r="D580" i="6" s="1"/>
  <c r="B567" i="6"/>
  <c r="B566" i="6"/>
  <c r="C565" i="6"/>
  <c r="B565" i="6"/>
  <c r="D577" i="6" s="1"/>
  <c r="B564" i="6"/>
  <c r="C564" i="6" s="1"/>
  <c r="D563" i="6"/>
  <c r="C563" i="6"/>
  <c r="B563" i="6"/>
  <c r="D575" i="6" s="1"/>
  <c r="B562" i="6"/>
  <c r="B561" i="6"/>
  <c r="B560" i="6"/>
  <c r="D572" i="6" s="1"/>
  <c r="B559" i="6"/>
  <c r="B558" i="6"/>
  <c r="C557" i="6"/>
  <c r="B557" i="6"/>
  <c r="D569" i="6" s="1"/>
  <c r="B556" i="6"/>
  <c r="C556" i="6" s="1"/>
  <c r="D555" i="6"/>
  <c r="C555" i="6"/>
  <c r="B555" i="6"/>
  <c r="D567" i="6" s="1"/>
  <c r="B554" i="6"/>
  <c r="B553" i="6"/>
  <c r="B552" i="6"/>
  <c r="D564" i="6" s="1"/>
  <c r="B551" i="6"/>
  <c r="B550" i="6"/>
  <c r="C549" i="6"/>
  <c r="B549" i="6"/>
  <c r="D561" i="6" s="1"/>
  <c r="B548" i="6"/>
  <c r="C548" i="6" s="1"/>
  <c r="D547" i="6"/>
  <c r="C547" i="6"/>
  <c r="B547" i="6"/>
  <c r="D559" i="6" s="1"/>
  <c r="B546" i="6"/>
  <c r="B545" i="6"/>
  <c r="B544" i="6"/>
  <c r="D556" i="6" s="1"/>
  <c r="B543" i="6"/>
  <c r="B542" i="6"/>
  <c r="C541" i="6"/>
  <c r="B541" i="6"/>
  <c r="D553" i="6" s="1"/>
  <c r="B540" i="6"/>
  <c r="C540" i="6" s="1"/>
  <c r="D539" i="6"/>
  <c r="C539" i="6"/>
  <c r="B539" i="6"/>
  <c r="D551" i="6" s="1"/>
  <c r="B538" i="6"/>
  <c r="B537" i="6"/>
  <c r="B536" i="6"/>
  <c r="D548" i="6" s="1"/>
  <c r="B535" i="6"/>
  <c r="B534" i="6"/>
  <c r="C533" i="6"/>
  <c r="B533" i="6"/>
  <c r="D545" i="6" s="1"/>
  <c r="B532" i="6"/>
  <c r="C532" i="6" s="1"/>
  <c r="D531" i="6"/>
  <c r="C531" i="6"/>
  <c r="B531" i="6"/>
  <c r="D543" i="6" s="1"/>
  <c r="B530" i="6"/>
  <c r="B529" i="6"/>
  <c r="B528" i="6"/>
  <c r="D540" i="6" s="1"/>
  <c r="B527" i="6"/>
  <c r="B526" i="6"/>
  <c r="C525" i="6"/>
  <c r="B525" i="6"/>
  <c r="D537" i="6" s="1"/>
  <c r="B524" i="6"/>
  <c r="C524" i="6" s="1"/>
  <c r="D523" i="6"/>
  <c r="C523" i="6"/>
  <c r="B523" i="6"/>
  <c r="D535" i="6" s="1"/>
  <c r="B522" i="6"/>
  <c r="B521" i="6"/>
  <c r="B520" i="6"/>
  <c r="D532" i="6" s="1"/>
  <c r="B519" i="6"/>
  <c r="B518" i="6"/>
  <c r="C517" i="6"/>
  <c r="B517" i="6"/>
  <c r="D529" i="6" s="1"/>
  <c r="B516" i="6"/>
  <c r="C516" i="6" s="1"/>
  <c r="D515" i="6"/>
  <c r="C515" i="6"/>
  <c r="B515" i="6"/>
  <c r="D527" i="6" s="1"/>
  <c r="B514" i="6"/>
  <c r="B513" i="6"/>
  <c r="B512" i="6"/>
  <c r="D524" i="6" s="1"/>
  <c r="B511" i="6"/>
  <c r="B510" i="6"/>
  <c r="C509" i="6"/>
  <c r="B509" i="6"/>
  <c r="D521" i="6" s="1"/>
  <c r="B508" i="6"/>
  <c r="C508" i="6" s="1"/>
  <c r="D507" i="6"/>
  <c r="C507" i="6"/>
  <c r="B507" i="6"/>
  <c r="D519" i="6" s="1"/>
  <c r="B506" i="6"/>
  <c r="B505" i="6"/>
  <c r="B504" i="6"/>
  <c r="D516" i="6" s="1"/>
  <c r="B503" i="6"/>
  <c r="B502" i="6"/>
  <c r="C501" i="6"/>
  <c r="B501" i="6"/>
  <c r="B500" i="6"/>
  <c r="C500" i="6" s="1"/>
  <c r="D499" i="6"/>
  <c r="C499" i="6"/>
  <c r="B499" i="6"/>
  <c r="D511" i="6" s="1"/>
  <c r="B498" i="6"/>
  <c r="B497" i="6"/>
  <c r="B496" i="6"/>
  <c r="D508" i="6" s="1"/>
  <c r="B495" i="6"/>
  <c r="B494" i="6"/>
  <c r="C493" i="6"/>
  <c r="B493" i="6"/>
  <c r="B492" i="6"/>
  <c r="C492" i="6" s="1"/>
  <c r="D491" i="6"/>
  <c r="C491" i="6"/>
  <c r="B491" i="6"/>
  <c r="D503" i="6" s="1"/>
  <c r="B490" i="6"/>
  <c r="B489" i="6"/>
  <c r="B488" i="6"/>
  <c r="D500" i="6" s="1"/>
  <c r="B487" i="6"/>
  <c r="B486" i="6"/>
  <c r="C485" i="6"/>
  <c r="B485" i="6"/>
  <c r="B484" i="6"/>
  <c r="C484" i="6" s="1"/>
  <c r="D483" i="6"/>
  <c r="C483" i="6"/>
  <c r="B483" i="6"/>
  <c r="D495" i="6" s="1"/>
  <c r="B482" i="6"/>
  <c r="B481" i="6"/>
  <c r="B480" i="6"/>
  <c r="D492" i="6" s="1"/>
  <c r="B479" i="6"/>
  <c r="B478" i="6"/>
  <c r="C477" i="6"/>
  <c r="B477" i="6"/>
  <c r="B476" i="6"/>
  <c r="C476" i="6" s="1"/>
  <c r="D475" i="6"/>
  <c r="C475" i="6"/>
  <c r="B475" i="6"/>
  <c r="D487" i="6" s="1"/>
  <c r="B474" i="6"/>
  <c r="B473" i="6"/>
  <c r="B472" i="6"/>
  <c r="D484" i="6" s="1"/>
  <c r="B471" i="6"/>
  <c r="B470" i="6"/>
  <c r="C469" i="6"/>
  <c r="B469" i="6"/>
  <c r="B468" i="6"/>
  <c r="C468" i="6" s="1"/>
  <c r="D467" i="6"/>
  <c r="C467" i="6"/>
  <c r="B467" i="6"/>
  <c r="D479" i="6" s="1"/>
  <c r="B466" i="6"/>
  <c r="B465" i="6"/>
  <c r="B464" i="6"/>
  <c r="D476" i="6" s="1"/>
  <c r="B463" i="6"/>
  <c r="B462" i="6"/>
  <c r="C461" i="6"/>
  <c r="B461" i="6"/>
  <c r="B460" i="6"/>
  <c r="C460" i="6" s="1"/>
  <c r="D459" i="6"/>
  <c r="C459" i="6"/>
  <c r="B459" i="6"/>
  <c r="D471" i="6" s="1"/>
  <c r="B458" i="6"/>
  <c r="B457" i="6"/>
  <c r="B456" i="6"/>
  <c r="D468" i="6" s="1"/>
  <c r="B455" i="6"/>
  <c r="B454" i="6"/>
  <c r="C453" i="6"/>
  <c r="B453" i="6"/>
  <c r="B452" i="6"/>
  <c r="C452" i="6" s="1"/>
  <c r="D451" i="6"/>
  <c r="C451" i="6"/>
  <c r="B451" i="6"/>
  <c r="D463" i="6" s="1"/>
  <c r="B450" i="6"/>
  <c r="B449" i="6"/>
  <c r="B448" i="6"/>
  <c r="D460" i="6" s="1"/>
  <c r="B447" i="6"/>
  <c r="B446" i="6"/>
  <c r="C445" i="6"/>
  <c r="B445" i="6"/>
  <c r="B444" i="6"/>
  <c r="C444" i="6" s="1"/>
  <c r="D443" i="6"/>
  <c r="C443" i="6"/>
  <c r="B443" i="6"/>
  <c r="D455" i="6" s="1"/>
  <c r="B442" i="6"/>
  <c r="B441" i="6"/>
  <c r="B440" i="6"/>
  <c r="D452" i="6" s="1"/>
  <c r="B439" i="6"/>
  <c r="B438" i="6"/>
  <c r="C437" i="6"/>
  <c r="B437" i="6"/>
  <c r="B436" i="6"/>
  <c r="C436" i="6" s="1"/>
  <c r="D435" i="6"/>
  <c r="C435" i="6"/>
  <c r="B435" i="6"/>
  <c r="D447" i="6" s="1"/>
  <c r="B434" i="6"/>
  <c r="B433" i="6"/>
  <c r="B432" i="6"/>
  <c r="D444" i="6" s="1"/>
  <c r="B431" i="6"/>
  <c r="B430" i="6"/>
  <c r="C429" i="6"/>
  <c r="B429" i="6"/>
  <c r="B428" i="6"/>
  <c r="C428" i="6" s="1"/>
  <c r="D427" i="6"/>
  <c r="C427" i="6"/>
  <c r="B427" i="6"/>
  <c r="D439" i="6" s="1"/>
  <c r="B426" i="6"/>
  <c r="B425" i="6"/>
  <c r="B424" i="6"/>
  <c r="D436" i="6" s="1"/>
  <c r="B423" i="6"/>
  <c r="B422" i="6"/>
  <c r="C421" i="6"/>
  <c r="B421" i="6"/>
  <c r="B420" i="6"/>
  <c r="C420" i="6" s="1"/>
  <c r="D419" i="6"/>
  <c r="C419" i="6"/>
  <c r="B419" i="6"/>
  <c r="D431" i="6" s="1"/>
  <c r="B418" i="6"/>
  <c r="B417" i="6"/>
  <c r="B416" i="6"/>
  <c r="D428" i="6" s="1"/>
  <c r="B415" i="6"/>
  <c r="B414" i="6"/>
  <c r="C413" i="6"/>
  <c r="B413" i="6"/>
  <c r="B412" i="6"/>
  <c r="C412" i="6" s="1"/>
  <c r="D411" i="6"/>
  <c r="C411" i="6"/>
  <c r="B411" i="6"/>
  <c r="D423" i="6" s="1"/>
  <c r="B410" i="6"/>
  <c r="B409" i="6"/>
  <c r="B408" i="6"/>
  <c r="D420" i="6" s="1"/>
  <c r="B407" i="6"/>
  <c r="B406" i="6"/>
  <c r="C405" i="6"/>
  <c r="B405" i="6"/>
  <c r="B404" i="6"/>
  <c r="C404" i="6" s="1"/>
  <c r="D403" i="6"/>
  <c r="C403" i="6"/>
  <c r="B403" i="6"/>
  <c r="D415" i="6" s="1"/>
  <c r="B402" i="6"/>
  <c r="B401" i="6"/>
  <c r="B400" i="6"/>
  <c r="D412" i="6" s="1"/>
  <c r="B399" i="6"/>
  <c r="B398" i="6"/>
  <c r="C397" i="6"/>
  <c r="B397" i="6"/>
  <c r="B396" i="6"/>
  <c r="C396" i="6" s="1"/>
  <c r="D395" i="6"/>
  <c r="C395" i="6"/>
  <c r="B395" i="6"/>
  <c r="D407" i="6" s="1"/>
  <c r="B394" i="6"/>
  <c r="C393" i="6"/>
  <c r="B393" i="6"/>
  <c r="C394" i="6" s="1"/>
  <c r="D392" i="6"/>
  <c r="C392" i="6"/>
  <c r="B392" i="6"/>
  <c r="D404" i="6" s="1"/>
  <c r="B391" i="6"/>
  <c r="B390" i="6"/>
  <c r="C391" i="6" s="1"/>
  <c r="D389" i="6"/>
  <c r="C389" i="6"/>
  <c r="B389" i="6"/>
  <c r="D401" i="6" s="1"/>
  <c r="B388" i="6"/>
  <c r="B387" i="6"/>
  <c r="D399" i="6" s="1"/>
  <c r="D386" i="6"/>
  <c r="B386" i="6"/>
  <c r="B385" i="6"/>
  <c r="C386" i="6" s="1"/>
  <c r="B384" i="6"/>
  <c r="D396" i="6" s="1"/>
  <c r="B383" i="6"/>
  <c r="D382" i="6"/>
  <c r="C382" i="6"/>
  <c r="B382" i="6"/>
  <c r="C383" i="6" s="1"/>
  <c r="D381" i="6"/>
  <c r="B381" i="6"/>
  <c r="B380" i="6"/>
  <c r="C381" i="6" s="1"/>
  <c r="C379" i="6"/>
  <c r="B379" i="6"/>
  <c r="D391" i="6" s="1"/>
  <c r="D378" i="6"/>
  <c r="B378" i="6"/>
  <c r="B377" i="6"/>
  <c r="C378" i="6" s="1"/>
  <c r="B376" i="6"/>
  <c r="D388" i="6" s="1"/>
  <c r="B375" i="6"/>
  <c r="D374" i="6"/>
  <c r="C374" i="6"/>
  <c r="B374" i="6"/>
  <c r="C375" i="6" s="1"/>
  <c r="B373" i="6"/>
  <c r="B372" i="6"/>
  <c r="D384" i="6" s="1"/>
  <c r="B371" i="6"/>
  <c r="D383" i="6" s="1"/>
  <c r="B370" i="6"/>
  <c r="B369" i="6"/>
  <c r="C370" i="6" s="1"/>
  <c r="D368" i="6"/>
  <c r="C368" i="6"/>
  <c r="B368" i="6"/>
  <c r="D380" i="6" s="1"/>
  <c r="B367" i="6"/>
  <c r="D366" i="6"/>
  <c r="B366" i="6"/>
  <c r="C367" i="6" s="1"/>
  <c r="C365" i="6"/>
  <c r="B365" i="6"/>
  <c r="D377" i="6" s="1"/>
  <c r="B364" i="6"/>
  <c r="C364" i="6" s="1"/>
  <c r="D363" i="6"/>
  <c r="C363" i="6"/>
  <c r="B363" i="6"/>
  <c r="D375" i="6" s="1"/>
  <c r="B362" i="6"/>
  <c r="C361" i="6"/>
  <c r="B361" i="6"/>
  <c r="C362" i="6" s="1"/>
  <c r="D360" i="6"/>
  <c r="C360" i="6"/>
  <c r="B360" i="6"/>
  <c r="B359" i="6"/>
  <c r="B358" i="6"/>
  <c r="C359" i="6" s="1"/>
  <c r="D357" i="6"/>
  <c r="C357" i="6"/>
  <c r="B357" i="6"/>
  <c r="D369" i="6" s="1"/>
  <c r="B356" i="6"/>
  <c r="B355" i="6"/>
  <c r="D367" i="6" s="1"/>
  <c r="D354" i="6"/>
  <c r="B354" i="6"/>
  <c r="B353" i="6"/>
  <c r="C354" i="6" s="1"/>
  <c r="B352" i="6"/>
  <c r="B351" i="6"/>
  <c r="D350" i="6"/>
  <c r="C350" i="6"/>
  <c r="B350" i="6"/>
  <c r="C351" i="6" s="1"/>
  <c r="D349" i="6"/>
  <c r="C349" i="6"/>
  <c r="B349" i="6"/>
  <c r="B348" i="6"/>
  <c r="C347" i="6"/>
  <c r="B347" i="6"/>
  <c r="D359" i="6" s="1"/>
  <c r="D346" i="6"/>
  <c r="B346" i="6"/>
  <c r="B345" i="6"/>
  <c r="C346" i="6" s="1"/>
  <c r="B344" i="6"/>
  <c r="D356" i="6" s="1"/>
  <c r="B343" i="6"/>
  <c r="D342" i="6"/>
  <c r="C342" i="6"/>
  <c r="B342" i="6"/>
  <c r="C343" i="6" s="1"/>
  <c r="B341" i="6"/>
  <c r="B340" i="6"/>
  <c r="D352" i="6" s="1"/>
  <c r="B339" i="6"/>
  <c r="D351" i="6" s="1"/>
  <c r="B338" i="6"/>
  <c r="B337" i="6"/>
  <c r="C338" i="6" s="1"/>
  <c r="D336" i="6"/>
  <c r="C336" i="6"/>
  <c r="B336" i="6"/>
  <c r="D348" i="6" s="1"/>
  <c r="B335" i="6"/>
  <c r="D334" i="6"/>
  <c r="B334" i="6"/>
  <c r="C335" i="6" s="1"/>
  <c r="C333" i="6"/>
  <c r="B333" i="6"/>
  <c r="D345" i="6" s="1"/>
  <c r="B332" i="6"/>
  <c r="C332" i="6" s="1"/>
  <c r="D331" i="6"/>
  <c r="C331" i="6"/>
  <c r="B331" i="6"/>
  <c r="D343" i="6" s="1"/>
  <c r="B330" i="6"/>
  <c r="C329" i="6"/>
  <c r="B329" i="6"/>
  <c r="D341" i="6" s="1"/>
  <c r="D328" i="6"/>
  <c r="C328" i="6"/>
  <c r="B328" i="6"/>
  <c r="D327" i="6"/>
  <c r="B327" i="6"/>
  <c r="D326" i="6"/>
  <c r="C326" i="6"/>
  <c r="B326" i="6"/>
  <c r="C327" i="6" s="1"/>
  <c r="D325" i="6"/>
  <c r="B325" i="6"/>
  <c r="B324" i="6"/>
  <c r="C325" i="6" s="1"/>
  <c r="C323" i="6"/>
  <c r="B323" i="6"/>
  <c r="D335" i="6" s="1"/>
  <c r="C322" i="6"/>
  <c r="B322" i="6"/>
  <c r="B321" i="6"/>
  <c r="C321" i="6" s="1"/>
  <c r="C320" i="6"/>
  <c r="B320" i="6"/>
  <c r="D332" i="6" s="1"/>
  <c r="B319" i="6"/>
  <c r="B318" i="6"/>
  <c r="C319" i="6" s="1"/>
  <c r="C317" i="6"/>
  <c r="B317" i="6"/>
  <c r="D329" i="6" s="1"/>
  <c r="B316" i="6"/>
  <c r="C316" i="6" s="1"/>
  <c r="D315" i="6"/>
  <c r="C315" i="6"/>
  <c r="B315" i="6"/>
  <c r="B314" i="6"/>
  <c r="C313" i="6"/>
  <c r="B313" i="6"/>
  <c r="C314" i="6" s="1"/>
  <c r="D312" i="6"/>
  <c r="C312" i="6"/>
  <c r="B312" i="6"/>
  <c r="D311" i="6"/>
  <c r="B311" i="6"/>
  <c r="D310" i="6"/>
  <c r="C310" i="6"/>
  <c r="B310" i="6"/>
  <c r="C311" i="6" s="1"/>
  <c r="D309" i="6"/>
  <c r="B309" i="6"/>
  <c r="B308" i="6"/>
  <c r="C309" i="6" s="1"/>
  <c r="C307" i="6"/>
  <c r="B307" i="6"/>
  <c r="D307" i="6" s="1"/>
  <c r="C306" i="6"/>
  <c r="B306" i="6"/>
  <c r="B305" i="6"/>
  <c r="C305" i="6" s="1"/>
  <c r="C304" i="6"/>
  <c r="B304" i="6"/>
  <c r="D316" i="6" s="1"/>
  <c r="B303" i="6"/>
  <c r="B302" i="6"/>
  <c r="C303" i="6" s="1"/>
  <c r="C301" i="6"/>
  <c r="B301" i="6"/>
  <c r="D313" i="6" s="1"/>
  <c r="B300" i="6"/>
  <c r="C300" i="6" s="1"/>
  <c r="D299" i="6"/>
  <c r="C299" i="6"/>
  <c r="B299" i="6"/>
  <c r="B298" i="6"/>
  <c r="C297" i="6"/>
  <c r="B297" i="6"/>
  <c r="C298" i="6" s="1"/>
  <c r="D296" i="6"/>
  <c r="C296" i="6"/>
  <c r="B296" i="6"/>
  <c r="D295" i="6"/>
  <c r="B295" i="6"/>
  <c r="D294" i="6"/>
  <c r="C294" i="6"/>
  <c r="B294" i="6"/>
  <c r="C295" i="6" s="1"/>
  <c r="D293" i="6"/>
  <c r="B293" i="6"/>
  <c r="B292" i="6"/>
  <c r="C293" i="6" s="1"/>
  <c r="C291" i="6"/>
  <c r="B291" i="6"/>
  <c r="D291" i="6" s="1"/>
  <c r="C290" i="6"/>
  <c r="B290" i="6"/>
  <c r="B289" i="6"/>
  <c r="C289" i="6" s="1"/>
  <c r="C288" i="6"/>
  <c r="B288" i="6"/>
  <c r="D300" i="6" s="1"/>
  <c r="B287" i="6"/>
  <c r="B286" i="6"/>
  <c r="C287" i="6" s="1"/>
  <c r="C285" i="6"/>
  <c r="B285" i="6"/>
  <c r="D297" i="6" s="1"/>
  <c r="B284" i="6"/>
  <c r="C284" i="6" s="1"/>
  <c r="D283" i="6"/>
  <c r="C283" i="6"/>
  <c r="B283" i="6"/>
  <c r="B282" i="6"/>
  <c r="C281" i="6"/>
  <c r="B281" i="6"/>
  <c r="C282" i="6" s="1"/>
  <c r="D280" i="6"/>
  <c r="C280" i="6"/>
  <c r="B280" i="6"/>
  <c r="D279" i="6"/>
  <c r="B279" i="6"/>
  <c r="D278" i="6"/>
  <c r="C278" i="6"/>
  <c r="B278" i="6"/>
  <c r="C279" i="6" s="1"/>
  <c r="D277" i="6"/>
  <c r="B277" i="6"/>
  <c r="B276" i="6"/>
  <c r="C277" i="6" s="1"/>
  <c r="C275" i="6"/>
  <c r="B275" i="6"/>
  <c r="D275" i="6" s="1"/>
  <c r="C274" i="6"/>
  <c r="B274" i="6"/>
  <c r="B273" i="6"/>
  <c r="C273" i="6" s="1"/>
  <c r="C272" i="6"/>
  <c r="B272" i="6"/>
  <c r="D284" i="6" s="1"/>
  <c r="B271" i="6"/>
  <c r="B270" i="6"/>
  <c r="C271" i="6" s="1"/>
  <c r="B269" i="6"/>
  <c r="D281" i="6" s="1"/>
  <c r="B268" i="6"/>
  <c r="C268" i="6" s="1"/>
  <c r="D267" i="6"/>
  <c r="C267" i="6"/>
  <c r="B267" i="6"/>
  <c r="B266" i="6"/>
  <c r="C265" i="6"/>
  <c r="B265" i="6"/>
  <c r="C266" i="6" s="1"/>
  <c r="D264" i="6"/>
  <c r="C264" i="6"/>
  <c r="B264" i="6"/>
  <c r="D263" i="6"/>
  <c r="B263" i="6"/>
  <c r="D262" i="6"/>
  <c r="C262" i="6"/>
  <c r="B262" i="6"/>
  <c r="C263" i="6" s="1"/>
  <c r="D261" i="6"/>
  <c r="B261" i="6"/>
  <c r="B260" i="6"/>
  <c r="D272" i="6" s="1"/>
  <c r="B259" i="6"/>
  <c r="D259" i="6" s="1"/>
  <c r="C258" i="6"/>
  <c r="B258" i="6"/>
  <c r="B257" i="6"/>
  <c r="C257" i="6" s="1"/>
  <c r="B256" i="6"/>
  <c r="D268" i="6" s="1"/>
  <c r="B255" i="6"/>
  <c r="B254" i="6"/>
  <c r="C255" i="6" s="1"/>
  <c r="B253" i="6"/>
  <c r="D265" i="6" s="1"/>
  <c r="B252" i="6"/>
  <c r="C252" i="6" s="1"/>
  <c r="D251" i="6"/>
  <c r="C251" i="6"/>
  <c r="B251" i="6"/>
  <c r="B250" i="6"/>
  <c r="C249" i="6"/>
  <c r="B249" i="6"/>
  <c r="C250" i="6" s="1"/>
  <c r="D248" i="6"/>
  <c r="C248" i="6"/>
  <c r="B248" i="6"/>
  <c r="D247" i="6"/>
  <c r="B247" i="6"/>
  <c r="D246" i="6"/>
  <c r="C246" i="6"/>
  <c r="B246" i="6"/>
  <c r="C247" i="6" s="1"/>
  <c r="D245" i="6"/>
  <c r="B245" i="6"/>
  <c r="B244" i="6"/>
  <c r="D256" i="6" s="1"/>
  <c r="B243" i="6"/>
  <c r="D243" i="6" s="1"/>
  <c r="C242" i="6"/>
  <c r="B242" i="6"/>
  <c r="B241" i="6"/>
  <c r="C241" i="6" s="1"/>
  <c r="B240" i="6"/>
  <c r="D252" i="6" s="1"/>
  <c r="B239" i="6"/>
  <c r="B238" i="6"/>
  <c r="C239" i="6" s="1"/>
  <c r="B237" i="6"/>
  <c r="D249" i="6" s="1"/>
  <c r="B236" i="6"/>
  <c r="C236" i="6" s="1"/>
  <c r="D235" i="6"/>
  <c r="C235" i="6"/>
  <c r="B235" i="6"/>
  <c r="B234" i="6"/>
  <c r="C233" i="6"/>
  <c r="B233" i="6"/>
  <c r="C234" i="6" s="1"/>
  <c r="D232" i="6"/>
  <c r="C232" i="6"/>
  <c r="B232" i="6"/>
  <c r="D231" i="6"/>
  <c r="B231" i="6"/>
  <c r="D230" i="6"/>
  <c r="C230" i="6"/>
  <c r="B230" i="6"/>
  <c r="C231" i="6" s="1"/>
  <c r="D229" i="6"/>
  <c r="B229" i="6"/>
  <c r="B228" i="6"/>
  <c r="D240" i="6" s="1"/>
  <c r="B227" i="6"/>
  <c r="C226" i="6"/>
  <c r="B226" i="6"/>
  <c r="B225" i="6"/>
  <c r="C225" i="6" s="1"/>
  <c r="B224" i="6"/>
  <c r="B223" i="6"/>
  <c r="B222" i="6"/>
  <c r="C223" i="6" s="1"/>
  <c r="B221" i="6"/>
  <c r="B220" i="6"/>
  <c r="C220" i="6" s="1"/>
  <c r="D219" i="6"/>
  <c r="C219" i="6"/>
  <c r="B219" i="6"/>
  <c r="B218" i="6"/>
  <c r="C217" i="6"/>
  <c r="B217" i="6"/>
  <c r="C218" i="6" s="1"/>
  <c r="D216" i="6"/>
  <c r="C216" i="6"/>
  <c r="B216" i="6"/>
  <c r="D215" i="6"/>
  <c r="B215" i="6"/>
  <c r="D214" i="6"/>
  <c r="C214" i="6"/>
  <c r="B214" i="6"/>
  <c r="C215" i="6" s="1"/>
  <c r="D213" i="6"/>
  <c r="B213" i="6"/>
  <c r="B212" i="6"/>
  <c r="D224" i="6" s="1"/>
  <c r="B211" i="6"/>
  <c r="C210" i="6"/>
  <c r="B210" i="6"/>
  <c r="B209" i="6"/>
  <c r="B208" i="6"/>
  <c r="B207" i="6"/>
  <c r="B206" i="6"/>
  <c r="C207" i="6" s="1"/>
  <c r="B205" i="6"/>
  <c r="B204" i="6"/>
  <c r="C204" i="6" s="1"/>
  <c r="D203" i="6"/>
  <c r="C203" i="6"/>
  <c r="B203" i="6"/>
  <c r="B202" i="6"/>
  <c r="C201" i="6"/>
  <c r="B201" i="6"/>
  <c r="C202" i="6" s="1"/>
  <c r="D200" i="6"/>
  <c r="C200" i="6"/>
  <c r="B200" i="6"/>
  <c r="D199" i="6"/>
  <c r="B199" i="6"/>
  <c r="C198" i="6"/>
  <c r="B198" i="6"/>
  <c r="C199" i="6" s="1"/>
  <c r="D197" i="6"/>
  <c r="B197" i="6"/>
  <c r="B196" i="6"/>
  <c r="D208" i="6" s="1"/>
  <c r="B195" i="6"/>
  <c r="C194" i="6"/>
  <c r="B194" i="6"/>
  <c r="B193" i="6"/>
  <c r="B192" i="6"/>
  <c r="B191" i="6"/>
  <c r="B190" i="6"/>
  <c r="C191" i="6" s="1"/>
  <c r="B189" i="6"/>
  <c r="B188" i="6"/>
  <c r="C188" i="6" s="1"/>
  <c r="D187" i="6"/>
  <c r="C187" i="6"/>
  <c r="B187" i="6"/>
  <c r="B186" i="6"/>
  <c r="C185" i="6"/>
  <c r="B185" i="6"/>
  <c r="C186" i="6" s="1"/>
  <c r="D184" i="6"/>
  <c r="C184" i="6"/>
  <c r="B184" i="6"/>
  <c r="D183" i="6"/>
  <c r="B183" i="6"/>
  <c r="C182" i="6"/>
  <c r="B182" i="6"/>
  <c r="C183" i="6" s="1"/>
  <c r="D181" i="6"/>
  <c r="B181" i="6"/>
  <c r="B180" i="6"/>
  <c r="B179" i="6"/>
  <c r="C178" i="6"/>
  <c r="B178" i="6"/>
  <c r="B177" i="6"/>
  <c r="C177" i="6" s="1"/>
  <c r="B176" i="6"/>
  <c r="D175" i="6"/>
  <c r="B175" i="6"/>
  <c r="B174" i="6"/>
  <c r="C175" i="6" s="1"/>
  <c r="B173" i="6"/>
  <c r="B172" i="6"/>
  <c r="C172" i="6" s="1"/>
  <c r="D171" i="6"/>
  <c r="C171" i="6"/>
  <c r="B171" i="6"/>
  <c r="B170" i="6"/>
  <c r="C169" i="6"/>
  <c r="B169" i="6"/>
  <c r="C170" i="6" s="1"/>
  <c r="C168" i="6"/>
  <c r="B168" i="6"/>
  <c r="D167" i="6"/>
  <c r="B167" i="6"/>
  <c r="B166" i="6"/>
  <c r="D165" i="6"/>
  <c r="B165" i="6"/>
  <c r="B164" i="6"/>
  <c r="B163" i="6"/>
  <c r="D162" i="6"/>
  <c r="C162" i="6"/>
  <c r="B162" i="6"/>
  <c r="B161" i="6"/>
  <c r="C161" i="6" s="1"/>
  <c r="B160" i="6"/>
  <c r="B159" i="6"/>
  <c r="B158" i="6"/>
  <c r="C159" i="6" s="1"/>
  <c r="B157" i="6"/>
  <c r="B156" i="6"/>
  <c r="C156" i="6" s="1"/>
  <c r="D155" i="6"/>
  <c r="C155" i="6"/>
  <c r="B155" i="6"/>
  <c r="B154" i="6"/>
  <c r="B153" i="6"/>
  <c r="C154" i="6" s="1"/>
  <c r="D152" i="6"/>
  <c r="C152" i="6"/>
  <c r="B152" i="6"/>
  <c r="D151" i="6"/>
  <c r="B151" i="6"/>
  <c r="B150" i="6"/>
  <c r="B149" i="6"/>
  <c r="B148" i="6"/>
  <c r="D160" i="6" s="1"/>
  <c r="B147" i="6"/>
  <c r="C146" i="6"/>
  <c r="B146" i="6"/>
  <c r="B145" i="6"/>
  <c r="B144" i="6"/>
  <c r="D143" i="6"/>
  <c r="B143" i="6"/>
  <c r="B142" i="6"/>
  <c r="C143" i="6" s="1"/>
  <c r="B141" i="6"/>
  <c r="B140" i="6"/>
  <c r="C140" i="6" s="1"/>
  <c r="D139" i="6"/>
  <c r="C139" i="6"/>
  <c r="B139" i="6"/>
  <c r="B138" i="6"/>
  <c r="C137" i="6"/>
  <c r="B137" i="6"/>
  <c r="C138" i="6" s="1"/>
  <c r="D136" i="6"/>
  <c r="C136" i="6"/>
  <c r="B136" i="6"/>
  <c r="D135" i="6"/>
  <c r="B135" i="6"/>
  <c r="B134" i="6"/>
  <c r="D146" i="6" s="1"/>
  <c r="D133" i="6"/>
  <c r="B133" i="6"/>
  <c r="B132" i="6"/>
  <c r="D144" i="6" s="1"/>
  <c r="B131" i="6"/>
  <c r="D130" i="6"/>
  <c r="C130" i="6"/>
  <c r="B130" i="6"/>
  <c r="B129" i="6"/>
  <c r="C129" i="6" s="1"/>
  <c r="B128" i="6"/>
  <c r="B127" i="6"/>
  <c r="B126" i="6"/>
  <c r="C127" i="6" s="1"/>
  <c r="B125" i="6"/>
  <c r="B124" i="6"/>
  <c r="C124" i="6" s="1"/>
  <c r="D123" i="6"/>
  <c r="C123" i="6"/>
  <c r="B123" i="6"/>
  <c r="D122" i="6"/>
  <c r="B122" i="6"/>
  <c r="B121" i="6"/>
  <c r="C122" i="6" s="1"/>
  <c r="D120" i="6"/>
  <c r="C120" i="6"/>
  <c r="B120" i="6"/>
  <c r="D119" i="6"/>
  <c r="B119" i="6"/>
  <c r="C118" i="6"/>
  <c r="B118" i="6"/>
  <c r="C119" i="6" s="1"/>
  <c r="D117" i="6"/>
  <c r="B117" i="6"/>
  <c r="B116" i="6"/>
  <c r="D128" i="6" s="1"/>
  <c r="B115" i="6"/>
  <c r="D127" i="6" s="1"/>
  <c r="D114" i="6"/>
  <c r="C114" i="6"/>
  <c r="B114" i="6"/>
  <c r="B113" i="6"/>
  <c r="B112" i="6"/>
  <c r="D111" i="6"/>
  <c r="C111" i="6"/>
  <c r="B111" i="6"/>
  <c r="B110" i="6"/>
  <c r="D109" i="6"/>
  <c r="C109" i="6"/>
  <c r="B109" i="6"/>
  <c r="D108" i="6"/>
  <c r="B108" i="6"/>
  <c r="B107" i="6"/>
  <c r="D107" i="6" s="1"/>
  <c r="D106" i="6"/>
  <c r="C106" i="6"/>
  <c r="B106" i="6"/>
  <c r="C105" i="6"/>
  <c r="B105" i="6"/>
  <c r="C104" i="6"/>
  <c r="B104" i="6"/>
  <c r="C103" i="6"/>
  <c r="B103" i="6"/>
  <c r="D102" i="6"/>
  <c r="B102" i="6"/>
  <c r="B101" i="6"/>
  <c r="B100" i="6"/>
  <c r="D99" i="6"/>
  <c r="B99" i="6"/>
  <c r="B98" i="6"/>
  <c r="C97" i="6"/>
  <c r="B97" i="6"/>
  <c r="D96" i="6"/>
  <c r="C96" i="6"/>
  <c r="B96" i="6"/>
  <c r="B95" i="6"/>
  <c r="D94" i="6"/>
  <c r="B94" i="6"/>
  <c r="C95" i="6" s="1"/>
  <c r="B93" i="6"/>
  <c r="D105" i="6" s="1"/>
  <c r="B92" i="6"/>
  <c r="B91" i="6"/>
  <c r="D91" i="6" s="1"/>
  <c r="B90" i="6"/>
  <c r="C90" i="6" s="1"/>
  <c r="B89" i="6"/>
  <c r="D88" i="6"/>
  <c r="C88" i="6"/>
  <c r="B88" i="6"/>
  <c r="B87" i="6"/>
  <c r="B86" i="6"/>
  <c r="D85" i="6"/>
  <c r="C85" i="6"/>
  <c r="B85" i="6"/>
  <c r="B84" i="6"/>
  <c r="B83" i="6"/>
  <c r="D82" i="6"/>
  <c r="C82" i="6"/>
  <c r="B82" i="6"/>
  <c r="B81" i="6"/>
  <c r="C81" i="6" s="1"/>
  <c r="C80" i="6"/>
  <c r="B80" i="6"/>
  <c r="D92" i="6" s="1"/>
  <c r="D79" i="6"/>
  <c r="C79" i="6"/>
  <c r="B79" i="6"/>
  <c r="B78" i="6"/>
  <c r="D90" i="6" s="1"/>
  <c r="D77" i="6"/>
  <c r="B77" i="6"/>
  <c r="D76" i="6"/>
  <c r="B76" i="6"/>
  <c r="B75" i="6"/>
  <c r="D75" i="6" s="1"/>
  <c r="B74" i="6"/>
  <c r="C73" i="6"/>
  <c r="B73" i="6"/>
  <c r="C72" i="6"/>
  <c r="B72" i="6"/>
  <c r="D84" i="6" s="1"/>
  <c r="C71" i="6"/>
  <c r="B71" i="6"/>
  <c r="D70" i="6"/>
  <c r="B70" i="6"/>
  <c r="B69" i="6"/>
  <c r="B68" i="6"/>
  <c r="D67" i="6"/>
  <c r="B67" i="6"/>
  <c r="B66" i="6"/>
  <c r="C65" i="6"/>
  <c r="B65" i="6"/>
  <c r="D64" i="6"/>
  <c r="C64" i="6"/>
  <c r="B64" i="6"/>
  <c r="B63" i="6"/>
  <c r="B62" i="6"/>
  <c r="C63" i="6" s="1"/>
  <c r="B61" i="6"/>
  <c r="D73" i="6" s="1"/>
  <c r="B60" i="6"/>
  <c r="D59" i="6"/>
  <c r="B59" i="6"/>
  <c r="C59" i="6" s="1"/>
  <c r="B58" i="6"/>
  <c r="B57" i="6"/>
  <c r="D56" i="6"/>
  <c r="B56" i="6"/>
  <c r="C56" i="6" s="1"/>
  <c r="B55" i="6"/>
  <c r="B54" i="6"/>
  <c r="D53" i="6"/>
  <c r="C53" i="6"/>
  <c r="B53" i="6"/>
  <c r="B52" i="6"/>
  <c r="C51" i="6"/>
  <c r="B51" i="6"/>
  <c r="D63" i="6" s="1"/>
  <c r="D50" i="6"/>
  <c r="C50" i="6"/>
  <c r="B50" i="6"/>
  <c r="B49" i="6"/>
  <c r="C49" i="6" s="1"/>
  <c r="C48" i="6"/>
  <c r="B48" i="6"/>
  <c r="D60" i="6" s="1"/>
  <c r="D47" i="6"/>
  <c r="C47" i="6"/>
  <c r="B47" i="6"/>
  <c r="B46" i="6"/>
  <c r="D58" i="6" s="1"/>
  <c r="B45" i="6"/>
  <c r="D44" i="6"/>
  <c r="B44" i="6"/>
  <c r="B43" i="6"/>
  <c r="D55" i="6" s="1"/>
  <c r="B42" i="6"/>
  <c r="C41" i="6"/>
  <c r="B41" i="6"/>
  <c r="B40" i="6"/>
  <c r="D52" i="6" s="1"/>
  <c r="D39" i="6"/>
  <c r="C39" i="6"/>
  <c r="B39" i="6"/>
  <c r="B38" i="6"/>
  <c r="B37" i="6"/>
  <c r="D36" i="6"/>
  <c r="B36" i="6"/>
  <c r="D48" i="6" s="1"/>
  <c r="B35" i="6"/>
  <c r="C35" i="6" s="1"/>
  <c r="B34" i="6"/>
  <c r="C33" i="6"/>
  <c r="B33" i="6"/>
  <c r="B32" i="6"/>
  <c r="D31" i="6"/>
  <c r="C31" i="6"/>
  <c r="B31" i="6"/>
  <c r="D30" i="6"/>
  <c r="B30" i="6"/>
  <c r="B29" i="6"/>
  <c r="B28" i="6"/>
  <c r="D40" i="6" s="1"/>
  <c r="B27" i="6"/>
  <c r="C27" i="6" s="1"/>
  <c r="B26" i="6"/>
  <c r="C26" i="6" s="1"/>
  <c r="D25" i="6"/>
  <c r="C25" i="6"/>
  <c r="B25" i="6"/>
  <c r="B24" i="6"/>
  <c r="D23" i="6"/>
  <c r="C23" i="6"/>
  <c r="B23" i="6"/>
  <c r="D22" i="6"/>
  <c r="B22" i="6"/>
  <c r="B21" i="6"/>
  <c r="D20" i="6"/>
  <c r="B20" i="6"/>
  <c r="D32" i="6" s="1"/>
  <c r="B19" i="6"/>
  <c r="B18" i="6"/>
  <c r="C19" i="6" s="1"/>
  <c r="B17" i="6"/>
  <c r="C16" i="6"/>
  <c r="B16" i="6"/>
  <c r="D28" i="6" s="1"/>
  <c r="B15" i="6"/>
  <c r="B14" i="6"/>
  <c r="D26" i="6" s="1"/>
  <c r="C13" i="6"/>
  <c r="B13" i="6"/>
  <c r="C14" i="6" s="1"/>
  <c r="B12" i="6"/>
  <c r="D24" i="6" s="1"/>
  <c r="B11" i="6"/>
  <c r="B10" i="6"/>
  <c r="C11" i="6" s="1"/>
  <c r="B9" i="6"/>
  <c r="C8" i="6"/>
  <c r="B8" i="6"/>
  <c r="B7" i="6"/>
  <c r="U2" i="6"/>
  <c r="Y1" i="6"/>
  <c r="U1" i="6"/>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14" i="4"/>
  <c r="C614" i="4"/>
  <c r="B614" i="4"/>
  <c r="B613" i="4"/>
  <c r="D612" i="4"/>
  <c r="B612" i="4"/>
  <c r="D611" i="4"/>
  <c r="B611" i="4"/>
  <c r="B610" i="4"/>
  <c r="C609" i="4"/>
  <c r="B609" i="4"/>
  <c r="D609" i="4" s="1"/>
  <c r="D608" i="4"/>
  <c r="B608" i="4"/>
  <c r="C607" i="4"/>
  <c r="B607" i="4"/>
  <c r="C608" i="4" s="1"/>
  <c r="C606" i="4"/>
  <c r="B606" i="4"/>
  <c r="B605" i="4"/>
  <c r="D604" i="4"/>
  <c r="B604" i="4"/>
  <c r="D603" i="4"/>
  <c r="B603" i="4"/>
  <c r="B602" i="4"/>
  <c r="C601" i="4"/>
  <c r="B601" i="4"/>
  <c r="D600" i="4"/>
  <c r="B600" i="4"/>
  <c r="C599" i="4"/>
  <c r="B599" i="4"/>
  <c r="C600" i="4" s="1"/>
  <c r="D598" i="4"/>
  <c r="C598" i="4"/>
  <c r="B598" i="4"/>
  <c r="B597" i="4"/>
  <c r="D596" i="4"/>
  <c r="B596" i="4"/>
  <c r="D595" i="4"/>
  <c r="B595" i="4"/>
  <c r="D607" i="4" s="1"/>
  <c r="B594" i="4"/>
  <c r="D606" i="4" s="1"/>
  <c r="C593" i="4"/>
  <c r="B593" i="4"/>
  <c r="D592" i="4"/>
  <c r="B592" i="4"/>
  <c r="C591" i="4"/>
  <c r="B591" i="4"/>
  <c r="C592" i="4" s="1"/>
  <c r="C590" i="4"/>
  <c r="B590" i="4"/>
  <c r="B589" i="4"/>
  <c r="D588" i="4"/>
  <c r="B588" i="4"/>
  <c r="D587" i="4"/>
  <c r="B587" i="4"/>
  <c r="D599" i="4" s="1"/>
  <c r="B586" i="4"/>
  <c r="C585" i="4"/>
  <c r="B585" i="4"/>
  <c r="D584" i="4"/>
  <c r="B584" i="4"/>
  <c r="C583" i="4"/>
  <c r="B583" i="4"/>
  <c r="C584" i="4" s="1"/>
  <c r="C582" i="4"/>
  <c r="B582" i="4"/>
  <c r="B581" i="4"/>
  <c r="D580" i="4"/>
  <c r="B580" i="4"/>
  <c r="D579" i="4"/>
  <c r="B579" i="4"/>
  <c r="D591" i="4" s="1"/>
  <c r="B578" i="4"/>
  <c r="C577" i="4"/>
  <c r="B577" i="4"/>
  <c r="D576" i="4"/>
  <c r="B576" i="4"/>
  <c r="C575" i="4"/>
  <c r="B575" i="4"/>
  <c r="C576" i="4" s="1"/>
  <c r="C574" i="4"/>
  <c r="B574" i="4"/>
  <c r="B573" i="4"/>
  <c r="D572" i="4"/>
  <c r="B572" i="4"/>
  <c r="D571" i="4"/>
  <c r="B571" i="4"/>
  <c r="D583" i="4" s="1"/>
  <c r="B570" i="4"/>
  <c r="D582" i="4" s="1"/>
  <c r="C569" i="4"/>
  <c r="B569" i="4"/>
  <c r="D568" i="4"/>
  <c r="B568" i="4"/>
  <c r="C567" i="4"/>
  <c r="B567" i="4"/>
  <c r="C568" i="4" s="1"/>
  <c r="C566" i="4"/>
  <c r="B566" i="4"/>
  <c r="B565" i="4"/>
  <c r="D564" i="4"/>
  <c r="B564" i="4"/>
  <c r="D563" i="4"/>
  <c r="B563" i="4"/>
  <c r="D575" i="4" s="1"/>
  <c r="B562" i="4"/>
  <c r="D574" i="4" s="1"/>
  <c r="C561" i="4"/>
  <c r="B561" i="4"/>
  <c r="D560" i="4"/>
  <c r="B560" i="4"/>
  <c r="C559" i="4"/>
  <c r="B559" i="4"/>
  <c r="C560" i="4" s="1"/>
  <c r="C558" i="4"/>
  <c r="B558" i="4"/>
  <c r="B557" i="4"/>
  <c r="D556" i="4"/>
  <c r="B556" i="4"/>
  <c r="D555" i="4"/>
  <c r="B555" i="4"/>
  <c r="D567" i="4" s="1"/>
  <c r="B554" i="4"/>
  <c r="D566" i="4" s="1"/>
  <c r="C553" i="4"/>
  <c r="B553" i="4"/>
  <c r="D552" i="4"/>
  <c r="B552" i="4"/>
  <c r="C551" i="4"/>
  <c r="B551" i="4"/>
  <c r="C552" i="4" s="1"/>
  <c r="D550" i="4"/>
  <c r="C550" i="4"/>
  <c r="B550" i="4"/>
  <c r="B549" i="4"/>
  <c r="D548" i="4"/>
  <c r="B548" i="4"/>
  <c r="D547" i="4"/>
  <c r="B547" i="4"/>
  <c r="D559" i="4" s="1"/>
  <c r="B546" i="4"/>
  <c r="D558" i="4" s="1"/>
  <c r="C545" i="4"/>
  <c r="B545" i="4"/>
  <c r="D544" i="4"/>
  <c r="B544" i="4"/>
  <c r="C543" i="4"/>
  <c r="B543" i="4"/>
  <c r="C544" i="4" s="1"/>
  <c r="C542" i="4"/>
  <c r="B542" i="4"/>
  <c r="B541" i="4"/>
  <c r="D540" i="4"/>
  <c r="B540" i="4"/>
  <c r="D539" i="4"/>
  <c r="B539" i="4"/>
  <c r="D551" i="4" s="1"/>
  <c r="B538" i="4"/>
  <c r="B537" i="4"/>
  <c r="D536" i="4"/>
  <c r="B536" i="4"/>
  <c r="B535" i="4"/>
  <c r="C536" i="4" s="1"/>
  <c r="C534" i="4"/>
  <c r="B534" i="4"/>
  <c r="B533" i="4"/>
  <c r="D532" i="4"/>
  <c r="B532" i="4"/>
  <c r="D531" i="4"/>
  <c r="B531" i="4"/>
  <c r="D543" i="4" s="1"/>
  <c r="B530" i="4"/>
  <c r="B529" i="4"/>
  <c r="D528" i="4"/>
  <c r="B528" i="4"/>
  <c r="B527" i="4"/>
  <c r="C528" i="4" s="1"/>
  <c r="D526" i="4"/>
  <c r="C526" i="4"/>
  <c r="B526" i="4"/>
  <c r="B525" i="4"/>
  <c r="D524" i="4"/>
  <c r="B524" i="4"/>
  <c r="D523" i="4"/>
  <c r="B523" i="4"/>
  <c r="D535" i="4" s="1"/>
  <c r="B522" i="4"/>
  <c r="D534" i="4" s="1"/>
  <c r="B521" i="4"/>
  <c r="D520" i="4"/>
  <c r="B520" i="4"/>
  <c r="B519" i="4"/>
  <c r="C520" i="4" s="1"/>
  <c r="C518" i="4"/>
  <c r="B518" i="4"/>
  <c r="B517" i="4"/>
  <c r="D516" i="4"/>
  <c r="B516" i="4"/>
  <c r="D515" i="4"/>
  <c r="B515" i="4"/>
  <c r="D527" i="4" s="1"/>
  <c r="B514" i="4"/>
  <c r="B513" i="4"/>
  <c r="B512" i="4"/>
  <c r="B511" i="4"/>
  <c r="C512" i="4" s="1"/>
  <c r="D510" i="4"/>
  <c r="C510" i="4"/>
  <c r="B510" i="4"/>
  <c r="B509" i="4"/>
  <c r="D508" i="4"/>
  <c r="B508" i="4"/>
  <c r="B507" i="4"/>
  <c r="D519" i="4" s="1"/>
  <c r="B506" i="4"/>
  <c r="B505" i="4"/>
  <c r="B504" i="4"/>
  <c r="B503" i="4"/>
  <c r="C504" i="4" s="1"/>
  <c r="D502" i="4"/>
  <c r="C502" i="4"/>
  <c r="B502" i="4"/>
  <c r="B501" i="4"/>
  <c r="B500" i="4"/>
  <c r="C501" i="4" s="1"/>
  <c r="C499" i="4"/>
  <c r="B499" i="4"/>
  <c r="D511" i="4" s="1"/>
  <c r="B498" i="4"/>
  <c r="C498" i="4" s="1"/>
  <c r="D497" i="4"/>
  <c r="C497" i="4"/>
  <c r="B497" i="4"/>
  <c r="D509" i="4" s="1"/>
  <c r="B496" i="4"/>
  <c r="C495" i="4"/>
  <c r="B495" i="4"/>
  <c r="D494" i="4"/>
  <c r="C494" i="4"/>
  <c r="B494" i="4"/>
  <c r="B493" i="4"/>
  <c r="B492" i="4"/>
  <c r="D491" i="4"/>
  <c r="C491" i="4"/>
  <c r="B491" i="4"/>
  <c r="D503" i="4" s="1"/>
  <c r="B490" i="4"/>
  <c r="C490" i="4" s="1"/>
  <c r="C489" i="4"/>
  <c r="B489" i="4"/>
  <c r="D501" i="4" s="1"/>
  <c r="D488" i="4"/>
  <c r="B488" i="4"/>
  <c r="B487" i="4"/>
  <c r="C488" i="4" s="1"/>
  <c r="B486" i="4"/>
  <c r="B485" i="4"/>
  <c r="D484" i="4"/>
  <c r="C484" i="4"/>
  <c r="B484" i="4"/>
  <c r="C485" i="4" s="1"/>
  <c r="D483" i="4"/>
  <c r="B483" i="4"/>
  <c r="B482" i="4"/>
  <c r="C483" i="4" s="1"/>
  <c r="C481" i="4"/>
  <c r="B481" i="4"/>
  <c r="D480" i="4"/>
  <c r="B480" i="4"/>
  <c r="B479" i="4"/>
  <c r="C480" i="4" s="1"/>
  <c r="B478" i="4"/>
  <c r="B477" i="4"/>
  <c r="D476" i="4"/>
  <c r="C476" i="4"/>
  <c r="B476" i="4"/>
  <c r="C477" i="4" s="1"/>
  <c r="B475" i="4"/>
  <c r="B474" i="4"/>
  <c r="B473" i="4"/>
  <c r="B472" i="4"/>
  <c r="B471" i="4"/>
  <c r="C472" i="4" s="1"/>
  <c r="D470" i="4"/>
  <c r="C470" i="4"/>
  <c r="B470" i="4"/>
  <c r="D482" i="4" s="1"/>
  <c r="B469" i="4"/>
  <c r="B468" i="4"/>
  <c r="C469" i="4" s="1"/>
  <c r="C467" i="4"/>
  <c r="B467" i="4"/>
  <c r="D479" i="4" s="1"/>
  <c r="B466" i="4"/>
  <c r="C466" i="4" s="1"/>
  <c r="D465" i="4"/>
  <c r="C465" i="4"/>
  <c r="B465" i="4"/>
  <c r="D477" i="4" s="1"/>
  <c r="B464" i="4"/>
  <c r="B463" i="4"/>
  <c r="D462" i="4"/>
  <c r="C462" i="4"/>
  <c r="B462" i="4"/>
  <c r="B461" i="4"/>
  <c r="B460" i="4"/>
  <c r="D459" i="4"/>
  <c r="C459" i="4"/>
  <c r="B459" i="4"/>
  <c r="D471" i="4" s="1"/>
  <c r="B458" i="4"/>
  <c r="C458" i="4" s="1"/>
  <c r="C457" i="4"/>
  <c r="B457" i="4"/>
  <c r="D469" i="4" s="1"/>
  <c r="D456" i="4"/>
  <c r="B456" i="4"/>
  <c r="B455" i="4"/>
  <c r="B454" i="4"/>
  <c r="B453" i="4"/>
  <c r="D452" i="4"/>
  <c r="C452" i="4"/>
  <c r="B452" i="4"/>
  <c r="C453" i="4" s="1"/>
  <c r="D451" i="4"/>
  <c r="B451" i="4"/>
  <c r="B450" i="4"/>
  <c r="C451" i="4" s="1"/>
  <c r="B449" i="4"/>
  <c r="D448" i="4"/>
  <c r="B448" i="4"/>
  <c r="B447" i="4"/>
  <c r="C448" i="4" s="1"/>
  <c r="B446" i="4"/>
  <c r="B445" i="4"/>
  <c r="D444" i="4"/>
  <c r="C444" i="4"/>
  <c r="B444" i="4"/>
  <c r="C445" i="4" s="1"/>
  <c r="B443" i="4"/>
  <c r="B442" i="4"/>
  <c r="D441" i="4"/>
  <c r="B441" i="4"/>
  <c r="B440" i="4"/>
  <c r="B439" i="4"/>
  <c r="C440" i="4" s="1"/>
  <c r="D438" i="4"/>
  <c r="C438" i="4"/>
  <c r="B438" i="4"/>
  <c r="D450" i="4" s="1"/>
  <c r="B437" i="4"/>
  <c r="B436" i="4"/>
  <c r="C437" i="4" s="1"/>
  <c r="C435" i="4"/>
  <c r="B435" i="4"/>
  <c r="D447" i="4" s="1"/>
  <c r="B434" i="4"/>
  <c r="C434" i="4" s="1"/>
  <c r="D433" i="4"/>
  <c r="C433" i="4"/>
  <c r="B433" i="4"/>
  <c r="D445" i="4" s="1"/>
  <c r="B432" i="4"/>
  <c r="C431" i="4"/>
  <c r="B431" i="4"/>
  <c r="D430" i="4"/>
  <c r="C430" i="4"/>
  <c r="B430" i="4"/>
  <c r="B429" i="4"/>
  <c r="B428" i="4"/>
  <c r="D427" i="4"/>
  <c r="C427" i="4"/>
  <c r="B427" i="4"/>
  <c r="D439" i="4" s="1"/>
  <c r="B426" i="4"/>
  <c r="C426" i="4" s="1"/>
  <c r="C425" i="4"/>
  <c r="B425" i="4"/>
  <c r="D437" i="4" s="1"/>
  <c r="D424" i="4"/>
  <c r="B424" i="4"/>
  <c r="B423" i="4"/>
  <c r="C423" i="4" s="1"/>
  <c r="B422" i="4"/>
  <c r="B421" i="4"/>
  <c r="D420" i="4"/>
  <c r="B420" i="4"/>
  <c r="D419" i="4"/>
  <c r="B419" i="4"/>
  <c r="B418" i="4"/>
  <c r="C419" i="4" s="1"/>
  <c r="C417" i="4"/>
  <c r="B417" i="4"/>
  <c r="D416" i="4"/>
  <c r="B416" i="4"/>
  <c r="B415" i="4"/>
  <c r="C416" i="4" s="1"/>
  <c r="B414" i="4"/>
  <c r="B413" i="4"/>
  <c r="D412" i="4"/>
  <c r="C412" i="4"/>
  <c r="B412" i="4"/>
  <c r="C413" i="4" s="1"/>
  <c r="B411" i="4"/>
  <c r="B410" i="4"/>
  <c r="B409" i="4"/>
  <c r="D421" i="4" s="1"/>
  <c r="B408" i="4"/>
  <c r="B407" i="4"/>
  <c r="C408" i="4" s="1"/>
  <c r="D406" i="4"/>
  <c r="C406" i="4"/>
  <c r="B406" i="4"/>
  <c r="B405" i="4"/>
  <c r="B404" i="4"/>
  <c r="C405" i="4" s="1"/>
  <c r="C403" i="4"/>
  <c r="B403" i="4"/>
  <c r="D415" i="4" s="1"/>
  <c r="B402" i="4"/>
  <c r="D401" i="4"/>
  <c r="C401" i="4"/>
  <c r="B401" i="4"/>
  <c r="D413" i="4" s="1"/>
  <c r="B400" i="4"/>
  <c r="B399" i="4"/>
  <c r="C399" i="4" s="1"/>
  <c r="D398" i="4"/>
  <c r="C398" i="4"/>
  <c r="B398" i="4"/>
  <c r="B397" i="4"/>
  <c r="B396" i="4"/>
  <c r="D395" i="4"/>
  <c r="C395" i="4"/>
  <c r="B395" i="4"/>
  <c r="D407" i="4" s="1"/>
  <c r="B394" i="4"/>
  <c r="C394" i="4" s="1"/>
  <c r="C393" i="4"/>
  <c r="B393" i="4"/>
  <c r="D405" i="4" s="1"/>
  <c r="D392" i="4"/>
  <c r="B392" i="4"/>
  <c r="B391" i="4"/>
  <c r="B390" i="4"/>
  <c r="B389" i="4"/>
  <c r="D388" i="4"/>
  <c r="C388" i="4"/>
  <c r="B388" i="4"/>
  <c r="D387" i="4"/>
  <c r="B387" i="4"/>
  <c r="B386" i="4"/>
  <c r="C387" i="4" s="1"/>
  <c r="B385" i="4"/>
  <c r="D384" i="4"/>
  <c r="B384" i="4"/>
  <c r="B383" i="4"/>
  <c r="C384" i="4" s="1"/>
  <c r="B382" i="4"/>
  <c r="B381" i="4"/>
  <c r="D380" i="4"/>
  <c r="C380" i="4"/>
  <c r="B380" i="4"/>
  <c r="C381" i="4" s="1"/>
  <c r="B379" i="4"/>
  <c r="B378" i="4"/>
  <c r="D377" i="4"/>
  <c r="B377" i="4"/>
  <c r="D389" i="4" s="1"/>
  <c r="B376" i="4"/>
  <c r="B375" i="4"/>
  <c r="C376" i="4" s="1"/>
  <c r="D374" i="4"/>
  <c r="C374" i="4"/>
  <c r="B374" i="4"/>
  <c r="B373" i="4"/>
  <c r="B372" i="4"/>
  <c r="C373" i="4" s="1"/>
  <c r="B371" i="4"/>
  <c r="D383" i="4" s="1"/>
  <c r="B370" i="4"/>
  <c r="D369" i="4"/>
  <c r="C369" i="4"/>
  <c r="B369" i="4"/>
  <c r="D381" i="4" s="1"/>
  <c r="B368" i="4"/>
  <c r="B367" i="4"/>
  <c r="D366" i="4"/>
  <c r="C366" i="4"/>
  <c r="B366" i="4"/>
  <c r="B365" i="4"/>
  <c r="B364" i="4"/>
  <c r="D363" i="4"/>
  <c r="C363" i="4"/>
  <c r="B363" i="4"/>
  <c r="D375" i="4" s="1"/>
  <c r="B362" i="4"/>
  <c r="C362" i="4" s="1"/>
  <c r="C361" i="4"/>
  <c r="B361" i="4"/>
  <c r="D373" i="4" s="1"/>
  <c r="D360" i="4"/>
  <c r="B360" i="4"/>
  <c r="C359" i="4"/>
  <c r="B359" i="4"/>
  <c r="B358" i="4"/>
  <c r="B357" i="4"/>
  <c r="D356" i="4"/>
  <c r="C356" i="4"/>
  <c r="B356" i="4"/>
  <c r="D355" i="4"/>
  <c r="B355" i="4"/>
  <c r="B354" i="4"/>
  <c r="C355" i="4" s="1"/>
  <c r="B353" i="4"/>
  <c r="D352" i="4"/>
  <c r="B352" i="4"/>
  <c r="B351" i="4"/>
  <c r="C352" i="4" s="1"/>
  <c r="B350" i="4"/>
  <c r="B349" i="4"/>
  <c r="D348" i="4"/>
  <c r="C348" i="4"/>
  <c r="B348" i="4"/>
  <c r="C349" i="4" s="1"/>
  <c r="B347" i="4"/>
  <c r="B346" i="4"/>
  <c r="D345" i="4"/>
  <c r="C345" i="4"/>
  <c r="B345" i="4"/>
  <c r="D357" i="4" s="1"/>
  <c r="B344" i="4"/>
  <c r="B343" i="4"/>
  <c r="C344" i="4" s="1"/>
  <c r="B342" i="4"/>
  <c r="B341" i="4"/>
  <c r="B340" i="4"/>
  <c r="C341" i="4" s="1"/>
  <c r="C339" i="4"/>
  <c r="B339" i="4"/>
  <c r="D351" i="4" s="1"/>
  <c r="B338" i="4"/>
  <c r="D337" i="4"/>
  <c r="C337" i="4"/>
  <c r="B337" i="4"/>
  <c r="D349" i="4" s="1"/>
  <c r="B336" i="4"/>
  <c r="C335" i="4"/>
  <c r="B335" i="4"/>
  <c r="D334" i="4"/>
  <c r="C334" i="4"/>
  <c r="B334" i="4"/>
  <c r="B333" i="4"/>
  <c r="B332" i="4"/>
  <c r="D331" i="4"/>
  <c r="C331" i="4"/>
  <c r="B331" i="4"/>
  <c r="D343" i="4" s="1"/>
  <c r="B330" i="4"/>
  <c r="C330" i="4" s="1"/>
  <c r="C329" i="4"/>
  <c r="B329" i="4"/>
  <c r="D341" i="4" s="1"/>
  <c r="D328" i="4"/>
  <c r="B328" i="4"/>
  <c r="B327" i="4"/>
  <c r="B326" i="4"/>
  <c r="B325" i="4"/>
  <c r="B324" i="4"/>
  <c r="D323" i="4"/>
  <c r="B323" i="4"/>
  <c r="B322" i="4"/>
  <c r="C323" i="4" s="1"/>
  <c r="C321" i="4"/>
  <c r="B321" i="4"/>
  <c r="D320" i="4"/>
  <c r="B320" i="4"/>
  <c r="B319" i="4"/>
  <c r="C320" i="4" s="1"/>
  <c r="B318" i="4"/>
  <c r="B317" i="4"/>
  <c r="D316" i="4"/>
  <c r="C316" i="4"/>
  <c r="B316" i="4"/>
  <c r="C317" i="4" s="1"/>
  <c r="B315" i="4"/>
  <c r="B314" i="4"/>
  <c r="D313" i="4"/>
  <c r="C313" i="4"/>
  <c r="B313" i="4"/>
  <c r="D325" i="4" s="1"/>
  <c r="B312" i="4"/>
  <c r="B311" i="4"/>
  <c r="C312" i="4" s="1"/>
  <c r="B310" i="4"/>
  <c r="B309" i="4"/>
  <c r="B308" i="4"/>
  <c r="C309" i="4" s="1"/>
  <c r="C307" i="4"/>
  <c r="B307" i="4"/>
  <c r="D319" i="4" s="1"/>
  <c r="B306" i="4"/>
  <c r="D305" i="4"/>
  <c r="C305" i="4"/>
  <c r="B305" i="4"/>
  <c r="D317" i="4" s="1"/>
  <c r="B304" i="4"/>
  <c r="C303" i="4"/>
  <c r="B303" i="4"/>
  <c r="D302" i="4"/>
  <c r="C302" i="4"/>
  <c r="B302" i="4"/>
  <c r="B301" i="4"/>
  <c r="B300" i="4"/>
  <c r="D299" i="4"/>
  <c r="C299" i="4"/>
  <c r="B299" i="4"/>
  <c r="D311" i="4" s="1"/>
  <c r="B298" i="4"/>
  <c r="C298" i="4" s="1"/>
  <c r="C297" i="4"/>
  <c r="B297" i="4"/>
  <c r="D309" i="4" s="1"/>
  <c r="D296" i="4"/>
  <c r="B296" i="4"/>
  <c r="B295" i="4"/>
  <c r="B294" i="4"/>
  <c r="B293" i="4"/>
  <c r="D292" i="4"/>
  <c r="B292" i="4"/>
  <c r="D291" i="4"/>
  <c r="B291" i="4"/>
  <c r="B290" i="4"/>
  <c r="C291" i="4" s="1"/>
  <c r="B289" i="4"/>
  <c r="D288" i="4"/>
  <c r="B288" i="4"/>
  <c r="B287" i="4"/>
  <c r="C288" i="4" s="1"/>
  <c r="B286" i="4"/>
  <c r="B285" i="4"/>
  <c r="D284" i="4"/>
  <c r="C284" i="4"/>
  <c r="B284" i="4"/>
  <c r="C285" i="4" s="1"/>
  <c r="B283" i="4"/>
  <c r="B282" i="4"/>
  <c r="B281" i="4"/>
  <c r="D293" i="4" s="1"/>
  <c r="B280" i="4"/>
  <c r="B279" i="4"/>
  <c r="C280" i="4" s="1"/>
  <c r="D278" i="4"/>
  <c r="C278" i="4"/>
  <c r="B278" i="4"/>
  <c r="B277" i="4"/>
  <c r="B276" i="4"/>
  <c r="C277" i="4" s="1"/>
  <c r="C275" i="4"/>
  <c r="B275" i="4"/>
  <c r="D287" i="4" s="1"/>
  <c r="B274" i="4"/>
  <c r="D273" i="4"/>
  <c r="C273" i="4"/>
  <c r="B273" i="4"/>
  <c r="D285" i="4" s="1"/>
  <c r="B272" i="4"/>
  <c r="B271" i="4"/>
  <c r="D270" i="4"/>
  <c r="C270" i="4"/>
  <c r="B270" i="4"/>
  <c r="B269" i="4"/>
  <c r="B268" i="4"/>
  <c r="D267" i="4"/>
  <c r="C267" i="4"/>
  <c r="B267" i="4"/>
  <c r="D279" i="4" s="1"/>
  <c r="B266" i="4"/>
  <c r="C266" i="4" s="1"/>
  <c r="C265" i="4"/>
  <c r="B265" i="4"/>
  <c r="D277" i="4" s="1"/>
  <c r="D264" i="4"/>
  <c r="B264" i="4"/>
  <c r="B263" i="4"/>
  <c r="B262" i="4"/>
  <c r="B261" i="4"/>
  <c r="D260" i="4"/>
  <c r="C260" i="4"/>
  <c r="B260" i="4"/>
  <c r="D259" i="4"/>
  <c r="B259" i="4"/>
  <c r="B258" i="4"/>
  <c r="C259" i="4" s="1"/>
  <c r="B257" i="4"/>
  <c r="D256" i="4"/>
  <c r="B256" i="4"/>
  <c r="B255" i="4"/>
  <c r="C256" i="4" s="1"/>
  <c r="B254" i="4"/>
  <c r="B253" i="4"/>
  <c r="D252" i="4"/>
  <c r="C252" i="4"/>
  <c r="B252" i="4"/>
  <c r="C253" i="4" s="1"/>
  <c r="B251" i="4"/>
  <c r="B250" i="4"/>
  <c r="D249" i="4"/>
  <c r="B249" i="4"/>
  <c r="D261" i="4" s="1"/>
  <c r="B248" i="4"/>
  <c r="B247" i="4"/>
  <c r="C248" i="4" s="1"/>
  <c r="D246" i="4"/>
  <c r="B246" i="4"/>
  <c r="B245" i="4"/>
  <c r="B244" i="4"/>
  <c r="C245" i="4" s="1"/>
  <c r="B243" i="4"/>
  <c r="D255" i="4" s="1"/>
  <c r="B242" i="4"/>
  <c r="C243" i="4" s="1"/>
  <c r="D241" i="4"/>
  <c r="C241" i="4"/>
  <c r="B241" i="4"/>
  <c r="D253" i="4" s="1"/>
  <c r="B240" i="4"/>
  <c r="B239" i="4"/>
  <c r="D238" i="4"/>
  <c r="C238" i="4"/>
  <c r="B238" i="4"/>
  <c r="B237" i="4"/>
  <c r="B236" i="4"/>
  <c r="D235" i="4"/>
  <c r="C235" i="4"/>
  <c r="B235" i="4"/>
  <c r="D247" i="4" s="1"/>
  <c r="B234" i="4"/>
  <c r="C234" i="4" s="1"/>
  <c r="C233" i="4"/>
  <c r="B233" i="4"/>
  <c r="D245" i="4" s="1"/>
  <c r="D232" i="4"/>
  <c r="B232" i="4"/>
  <c r="C231" i="4"/>
  <c r="B231" i="4"/>
  <c r="B230" i="4"/>
  <c r="B229" i="4"/>
  <c r="D228" i="4"/>
  <c r="C228" i="4"/>
  <c r="B228" i="4"/>
  <c r="D227" i="4"/>
  <c r="B227" i="4"/>
  <c r="B226" i="4"/>
  <c r="C227" i="4" s="1"/>
  <c r="B225" i="4"/>
  <c r="D224" i="4"/>
  <c r="B224" i="4"/>
  <c r="B223" i="4"/>
  <c r="C224" i="4" s="1"/>
  <c r="B222" i="4"/>
  <c r="B221" i="4"/>
  <c r="D220" i="4"/>
  <c r="C220" i="4"/>
  <c r="B220" i="4"/>
  <c r="C221" i="4" s="1"/>
  <c r="B219" i="4"/>
  <c r="B218" i="4"/>
  <c r="D217" i="4"/>
  <c r="C217" i="4"/>
  <c r="B217" i="4"/>
  <c r="D229" i="4" s="1"/>
  <c r="B216" i="4"/>
  <c r="B215" i="4"/>
  <c r="C216" i="4" s="1"/>
  <c r="B214" i="4"/>
  <c r="B213" i="4"/>
  <c r="B212" i="4"/>
  <c r="C213" i="4" s="1"/>
  <c r="C211" i="4"/>
  <c r="B211" i="4"/>
  <c r="D223" i="4" s="1"/>
  <c r="B210" i="4"/>
  <c r="D209" i="4"/>
  <c r="C209" i="4"/>
  <c r="B209" i="4"/>
  <c r="D221" i="4" s="1"/>
  <c r="B208" i="4"/>
  <c r="C207" i="4"/>
  <c r="B207" i="4"/>
  <c r="D206" i="4"/>
  <c r="C206" i="4"/>
  <c r="B206" i="4"/>
  <c r="B205" i="4"/>
  <c r="B204" i="4"/>
  <c r="D203" i="4"/>
  <c r="C203" i="4"/>
  <c r="B203" i="4"/>
  <c r="D215" i="4" s="1"/>
  <c r="B202" i="4"/>
  <c r="C202" i="4" s="1"/>
  <c r="C201" i="4"/>
  <c r="B201" i="4"/>
  <c r="D213" i="4" s="1"/>
  <c r="D200" i="4"/>
  <c r="B200" i="4"/>
  <c r="B199" i="4"/>
  <c r="B198" i="4"/>
  <c r="B197" i="4"/>
  <c r="B196" i="4"/>
  <c r="D196" i="4" s="1"/>
  <c r="D195" i="4"/>
  <c r="B195" i="4"/>
  <c r="B194" i="4"/>
  <c r="C195" i="4" s="1"/>
  <c r="C193" i="4"/>
  <c r="B193" i="4"/>
  <c r="D192" i="4"/>
  <c r="B192" i="4"/>
  <c r="B191" i="4"/>
  <c r="C192" i="4" s="1"/>
  <c r="B190" i="4"/>
  <c r="B189" i="4"/>
  <c r="D188" i="4"/>
  <c r="C188" i="4"/>
  <c r="B188" i="4"/>
  <c r="C189" i="4" s="1"/>
  <c r="B187" i="4"/>
  <c r="B186" i="4"/>
  <c r="D185" i="4"/>
  <c r="C185" i="4"/>
  <c r="B185" i="4"/>
  <c r="D197" i="4" s="1"/>
  <c r="B184" i="4"/>
  <c r="B183" i="4"/>
  <c r="C184" i="4" s="1"/>
  <c r="B182" i="4"/>
  <c r="B181" i="4"/>
  <c r="B180" i="4"/>
  <c r="C181" i="4" s="1"/>
  <c r="C179" i="4"/>
  <c r="B179" i="4"/>
  <c r="D191" i="4" s="1"/>
  <c r="B178" i="4"/>
  <c r="D177" i="4"/>
  <c r="C177" i="4"/>
  <c r="B177" i="4"/>
  <c r="D189" i="4" s="1"/>
  <c r="B176" i="4"/>
  <c r="C175" i="4"/>
  <c r="B175" i="4"/>
  <c r="D174" i="4"/>
  <c r="C174" i="4"/>
  <c r="B174" i="4"/>
  <c r="B173" i="4"/>
  <c r="B172" i="4"/>
  <c r="D171" i="4"/>
  <c r="C171" i="4"/>
  <c r="B171" i="4"/>
  <c r="D183" i="4" s="1"/>
  <c r="B170" i="4"/>
  <c r="C170" i="4" s="1"/>
  <c r="C169" i="4"/>
  <c r="B169" i="4"/>
  <c r="D181" i="4" s="1"/>
  <c r="D168" i="4"/>
  <c r="B168" i="4"/>
  <c r="B167" i="4"/>
  <c r="C167" i="4" s="1"/>
  <c r="B166" i="4"/>
  <c r="B165" i="4"/>
  <c r="D164" i="4"/>
  <c r="B164" i="4"/>
  <c r="D163" i="4"/>
  <c r="B163" i="4"/>
  <c r="B162" i="4"/>
  <c r="C163" i="4" s="1"/>
  <c r="B161" i="4"/>
  <c r="D160" i="4"/>
  <c r="B160" i="4"/>
  <c r="B159" i="4"/>
  <c r="C160" i="4" s="1"/>
  <c r="B158" i="4"/>
  <c r="B157" i="4"/>
  <c r="D156" i="4"/>
  <c r="C156" i="4"/>
  <c r="B156" i="4"/>
  <c r="C157" i="4" s="1"/>
  <c r="B155" i="4"/>
  <c r="B154" i="4"/>
  <c r="B153" i="4"/>
  <c r="D165" i="4" s="1"/>
  <c r="B152" i="4"/>
  <c r="B151" i="4"/>
  <c r="C152" i="4" s="1"/>
  <c r="D150" i="4"/>
  <c r="C150" i="4"/>
  <c r="B150" i="4"/>
  <c r="B149" i="4"/>
  <c r="B148" i="4"/>
  <c r="C149" i="4" s="1"/>
  <c r="C147" i="4"/>
  <c r="B147" i="4"/>
  <c r="D159" i="4" s="1"/>
  <c r="B146" i="4"/>
  <c r="D145" i="4"/>
  <c r="C145" i="4"/>
  <c r="B145" i="4"/>
  <c r="D157" i="4" s="1"/>
  <c r="B144" i="4"/>
  <c r="B143" i="4"/>
  <c r="C143" i="4" s="1"/>
  <c r="D142" i="4"/>
  <c r="C142" i="4"/>
  <c r="B142" i="4"/>
  <c r="B141" i="4"/>
  <c r="B140" i="4"/>
  <c r="D139" i="4"/>
  <c r="C139" i="4"/>
  <c r="B139" i="4"/>
  <c r="D151" i="4" s="1"/>
  <c r="B138" i="4"/>
  <c r="C138" i="4" s="1"/>
  <c r="C137" i="4"/>
  <c r="B137" i="4"/>
  <c r="D149" i="4" s="1"/>
  <c r="D136" i="4"/>
  <c r="B136" i="4"/>
  <c r="B135" i="4"/>
  <c r="B134" i="4"/>
  <c r="B133" i="4"/>
  <c r="D132" i="4"/>
  <c r="C132" i="4"/>
  <c r="B132" i="4"/>
  <c r="D131" i="4"/>
  <c r="B131" i="4"/>
  <c r="B130" i="4"/>
  <c r="C131" i="4" s="1"/>
  <c r="B129" i="4"/>
  <c r="D128" i="4"/>
  <c r="B128" i="4"/>
  <c r="B127" i="4"/>
  <c r="C128" i="4" s="1"/>
  <c r="B126" i="4"/>
  <c r="B125" i="4"/>
  <c r="D124" i="4"/>
  <c r="C124" i="4"/>
  <c r="B124" i="4"/>
  <c r="C125" i="4" s="1"/>
  <c r="B123" i="4"/>
  <c r="B122" i="4"/>
  <c r="D121" i="4"/>
  <c r="B121" i="4"/>
  <c r="D133" i="4" s="1"/>
  <c r="B120" i="4"/>
  <c r="B119" i="4"/>
  <c r="C120" i="4" s="1"/>
  <c r="D118" i="4"/>
  <c r="B118" i="4"/>
  <c r="B117" i="4"/>
  <c r="B116" i="4"/>
  <c r="C117" i="4" s="1"/>
  <c r="B115" i="4"/>
  <c r="D127" i="4" s="1"/>
  <c r="B114" i="4"/>
  <c r="D113" i="4"/>
  <c r="C113" i="4"/>
  <c r="B113" i="4"/>
  <c r="D125" i="4" s="1"/>
  <c r="B112" i="4"/>
  <c r="B111" i="4"/>
  <c r="D110" i="4"/>
  <c r="C110" i="4"/>
  <c r="B110" i="4"/>
  <c r="B109" i="4"/>
  <c r="B108" i="4"/>
  <c r="D107" i="4"/>
  <c r="C107" i="4"/>
  <c r="B107" i="4"/>
  <c r="D119" i="4" s="1"/>
  <c r="B106" i="4"/>
  <c r="C106" i="4" s="1"/>
  <c r="C105" i="4"/>
  <c r="B105" i="4"/>
  <c r="D117" i="4" s="1"/>
  <c r="D104" i="4"/>
  <c r="B104" i="4"/>
  <c r="C103" i="4"/>
  <c r="B103" i="4"/>
  <c r="B102" i="4"/>
  <c r="B101" i="4"/>
  <c r="D100" i="4"/>
  <c r="C100" i="4"/>
  <c r="B100" i="4"/>
  <c r="D99" i="4"/>
  <c r="B99" i="4"/>
  <c r="B98" i="4"/>
  <c r="C99" i="4" s="1"/>
  <c r="B97" i="4"/>
  <c r="D96" i="4"/>
  <c r="B96" i="4"/>
  <c r="B95" i="4"/>
  <c r="C96" i="4" s="1"/>
  <c r="B94" i="4"/>
  <c r="B93" i="4"/>
  <c r="D92" i="4"/>
  <c r="C92" i="4"/>
  <c r="B92" i="4"/>
  <c r="C93" i="4" s="1"/>
  <c r="B91" i="4"/>
  <c r="B90" i="4"/>
  <c r="D89" i="4"/>
  <c r="C89" i="4"/>
  <c r="B89" i="4"/>
  <c r="D101" i="4" s="1"/>
  <c r="B88" i="4"/>
  <c r="B87" i="4"/>
  <c r="C88" i="4" s="1"/>
  <c r="B86" i="4"/>
  <c r="B85" i="4"/>
  <c r="B84" i="4"/>
  <c r="C85" i="4" s="1"/>
  <c r="C83" i="4"/>
  <c r="B83" i="4"/>
  <c r="D95" i="4" s="1"/>
  <c r="B82" i="4"/>
  <c r="D81" i="4"/>
  <c r="C81" i="4"/>
  <c r="B81" i="4"/>
  <c r="D93" i="4" s="1"/>
  <c r="B80" i="4"/>
  <c r="C79" i="4"/>
  <c r="B79" i="4"/>
  <c r="D78" i="4"/>
  <c r="C78" i="4"/>
  <c r="B78" i="4"/>
  <c r="B77" i="4"/>
  <c r="B76" i="4"/>
  <c r="D75" i="4"/>
  <c r="C75" i="4"/>
  <c r="B75" i="4"/>
  <c r="D87" i="4" s="1"/>
  <c r="B74" i="4"/>
  <c r="C74" i="4" s="1"/>
  <c r="C73" i="4"/>
  <c r="B73" i="4"/>
  <c r="D85" i="4" s="1"/>
  <c r="D72" i="4"/>
  <c r="B72" i="4"/>
  <c r="B71" i="4"/>
  <c r="B70" i="4"/>
  <c r="B69" i="4"/>
  <c r="B68" i="4"/>
  <c r="D67" i="4"/>
  <c r="B67" i="4"/>
  <c r="B66" i="4"/>
  <c r="C67" i="4" s="1"/>
  <c r="C65" i="4"/>
  <c r="B65" i="4"/>
  <c r="D64" i="4"/>
  <c r="B64" i="4"/>
  <c r="B63" i="4"/>
  <c r="C64" i="4" s="1"/>
  <c r="B62" i="4"/>
  <c r="B61" i="4"/>
  <c r="D60" i="4"/>
  <c r="C60" i="4"/>
  <c r="B60" i="4"/>
  <c r="C61" i="4" s="1"/>
  <c r="B59" i="4"/>
  <c r="B58" i="4"/>
  <c r="D57" i="4"/>
  <c r="C57" i="4"/>
  <c r="B57" i="4"/>
  <c r="D69" i="4" s="1"/>
  <c r="B56" i="4"/>
  <c r="B55" i="4"/>
  <c r="C56" i="4" s="1"/>
  <c r="B54" i="4"/>
  <c r="B53" i="4"/>
  <c r="B52" i="4"/>
  <c r="C53" i="4" s="1"/>
  <c r="C51" i="4"/>
  <c r="B51" i="4"/>
  <c r="D63" i="4" s="1"/>
  <c r="B50" i="4"/>
  <c r="D49" i="4"/>
  <c r="C49" i="4"/>
  <c r="B49" i="4"/>
  <c r="D61" i="4" s="1"/>
  <c r="B48" i="4"/>
  <c r="C47" i="4"/>
  <c r="B47" i="4"/>
  <c r="D46" i="4"/>
  <c r="C46" i="4"/>
  <c r="B46" i="4"/>
  <c r="B45" i="4"/>
  <c r="B44" i="4"/>
  <c r="D43" i="4"/>
  <c r="C43" i="4"/>
  <c r="B43" i="4"/>
  <c r="D55" i="4" s="1"/>
  <c r="B42" i="4"/>
  <c r="C42" i="4" s="1"/>
  <c r="C41" i="4"/>
  <c r="B41" i="4"/>
  <c r="D53" i="4" s="1"/>
  <c r="D40" i="4"/>
  <c r="B40" i="4"/>
  <c r="B39" i="4"/>
  <c r="B38" i="4"/>
  <c r="B37" i="4"/>
  <c r="D36" i="4"/>
  <c r="B36" i="4"/>
  <c r="D35" i="4"/>
  <c r="B35" i="4"/>
  <c r="B34" i="4"/>
  <c r="C35" i="4" s="1"/>
  <c r="B33" i="4"/>
  <c r="D32" i="4"/>
  <c r="B32" i="4"/>
  <c r="B31" i="4"/>
  <c r="C32" i="4" s="1"/>
  <c r="B30" i="4"/>
  <c r="B29" i="4"/>
  <c r="D28" i="4"/>
  <c r="C28" i="4"/>
  <c r="B28" i="4"/>
  <c r="C29" i="4" s="1"/>
  <c r="B27" i="4"/>
  <c r="B26" i="4"/>
  <c r="B25" i="4"/>
  <c r="D37" i="4" s="1"/>
  <c r="B24" i="4"/>
  <c r="B23" i="4"/>
  <c r="C24" i="4" s="1"/>
  <c r="D22" i="4"/>
  <c r="C22" i="4"/>
  <c r="B22" i="4"/>
  <c r="B21" i="4"/>
  <c r="B20" i="4"/>
  <c r="C21" i="4" s="1"/>
  <c r="B19" i="4"/>
  <c r="B18" i="4"/>
  <c r="B17" i="4"/>
  <c r="C16" i="4"/>
  <c r="B16" i="4"/>
  <c r="B15" i="4"/>
  <c r="D27" i="4" s="1"/>
  <c r="B14" i="4"/>
  <c r="B13" i="4"/>
  <c r="B12" i="4"/>
  <c r="D24" i="4" s="1"/>
  <c r="C11" i="4"/>
  <c r="B11" i="4"/>
  <c r="D23" i="4" s="1"/>
  <c r="B10" i="4"/>
  <c r="B9" i="4"/>
  <c r="B8" i="4"/>
  <c r="B7" i="4"/>
  <c r="X2" i="4"/>
  <c r="AB1" i="4" s="1"/>
  <c r="X1" i="4"/>
  <c r="C1250" i="3"/>
  <c r="B1250" i="3"/>
  <c r="B1249" i="3"/>
  <c r="B1248" i="3"/>
  <c r="C1247" i="3"/>
  <c r="B1247" i="3"/>
  <c r="B1246" i="3"/>
  <c r="B1245" i="3"/>
  <c r="C1244" i="3"/>
  <c r="B1244" i="3"/>
  <c r="B1243" i="3"/>
  <c r="C1242" i="3"/>
  <c r="B1242" i="3"/>
  <c r="B1241" i="3"/>
  <c r="C1241" i="3" s="1"/>
  <c r="B1240" i="3"/>
  <c r="B1239" i="3"/>
  <c r="C1238" i="3"/>
  <c r="B1238" i="3"/>
  <c r="B1237" i="3"/>
  <c r="C1249" i="3" s="1"/>
  <c r="B1236" i="3"/>
  <c r="C1248" i="3" s="1"/>
  <c r="B1235" i="3"/>
  <c r="C1234" i="3"/>
  <c r="B1234" i="3"/>
  <c r="C1246" i="3" s="1"/>
  <c r="C1233" i="3"/>
  <c r="B1233" i="3"/>
  <c r="B1232" i="3"/>
  <c r="B1231" i="3"/>
  <c r="C1243" i="3" s="1"/>
  <c r="C1230" i="3"/>
  <c r="B1230" i="3"/>
  <c r="B1229" i="3"/>
  <c r="B1228" i="3"/>
  <c r="C1240" i="3" s="1"/>
  <c r="B1227" i="3"/>
  <c r="C1239" i="3" s="1"/>
  <c r="C1226" i="3"/>
  <c r="B1226" i="3"/>
  <c r="B1225" i="3"/>
  <c r="B1224" i="3"/>
  <c r="B1223" i="3"/>
  <c r="C1235" i="3" s="1"/>
  <c r="B1222" i="3"/>
  <c r="C1221" i="3"/>
  <c r="B1221" i="3"/>
  <c r="B1220" i="3"/>
  <c r="C1232" i="3" s="1"/>
  <c r="B1219" i="3"/>
  <c r="B1218" i="3"/>
  <c r="B1217" i="3"/>
  <c r="C1229" i="3" s="1"/>
  <c r="C1216" i="3"/>
  <c r="B1216" i="3"/>
  <c r="C1228" i="3" s="1"/>
  <c r="B1215" i="3"/>
  <c r="C1214" i="3"/>
  <c r="B1214" i="3"/>
  <c r="W1213" i="3"/>
  <c r="X1213" i="3" s="1"/>
  <c r="X1214" i="3" s="1"/>
  <c r="T1214" i="3" s="1"/>
  <c r="AH1190" i="3" s="1"/>
  <c r="V1213" i="3"/>
  <c r="T1213" i="3"/>
  <c r="AH1189" i="3" s="1"/>
  <c r="B1213" i="3"/>
  <c r="C1225" i="3" s="1"/>
  <c r="V1212" i="3"/>
  <c r="T1212" i="3"/>
  <c r="B1212" i="3"/>
  <c r="C1211" i="3"/>
  <c r="B1211" i="3"/>
  <c r="C1223" i="3" s="1"/>
  <c r="B1210" i="3"/>
  <c r="C1222" i="3" s="1"/>
  <c r="V1209" i="3"/>
  <c r="T1209" i="3"/>
  <c r="U1209" i="3" s="1"/>
  <c r="B1209" i="3"/>
  <c r="T1208" i="3"/>
  <c r="C1208" i="3"/>
  <c r="B1208" i="3"/>
  <c r="C1220" i="3" s="1"/>
  <c r="B1207" i="3"/>
  <c r="C1206" i="3"/>
  <c r="B1206" i="3"/>
  <c r="C1218" i="3" s="1"/>
  <c r="T1205" i="3"/>
  <c r="U1205" i="3" s="1"/>
  <c r="B1205" i="3"/>
  <c r="C1217" i="3" s="1"/>
  <c r="T1204" i="3"/>
  <c r="B1204" i="3"/>
  <c r="B1203" i="3"/>
  <c r="C1215" i="3" s="1"/>
  <c r="B1202" i="3"/>
  <c r="U1201" i="3"/>
  <c r="T1201" i="3"/>
  <c r="B1201" i="3"/>
  <c r="C1213" i="3" s="1"/>
  <c r="T1200" i="3"/>
  <c r="C1200" i="3"/>
  <c r="B1200" i="3"/>
  <c r="C1212" i="3" s="1"/>
  <c r="B1199" i="3"/>
  <c r="B1198" i="3"/>
  <c r="C1210" i="3" s="1"/>
  <c r="T1197" i="3"/>
  <c r="C1197" i="3"/>
  <c r="B1197" i="3"/>
  <c r="C1209" i="3" s="1"/>
  <c r="T1196" i="3"/>
  <c r="C1196" i="3"/>
  <c r="B1196" i="3"/>
  <c r="C1195" i="3"/>
  <c r="B1195" i="3"/>
  <c r="C1207" i="3" s="1"/>
  <c r="C1194" i="3"/>
  <c r="B1194" i="3"/>
  <c r="T1193" i="3"/>
  <c r="B1193" i="3"/>
  <c r="C1193" i="3" s="1"/>
  <c r="T1192" i="3"/>
  <c r="U1193" i="3" s="1"/>
  <c r="B1192" i="3"/>
  <c r="C1204" i="3" s="1"/>
  <c r="C1191" i="3"/>
  <c r="B1191" i="3"/>
  <c r="B1190" i="3"/>
  <c r="C1202" i="3" s="1"/>
  <c r="AG1189" i="3"/>
  <c r="AE1189" i="3"/>
  <c r="AC1189" i="3"/>
  <c r="AA1189" i="3"/>
  <c r="T1189" i="3"/>
  <c r="AB1189" i="3" s="1"/>
  <c r="B1189" i="3"/>
  <c r="AG1188" i="3"/>
  <c r="AF1188" i="3"/>
  <c r="AE1188" i="3"/>
  <c r="AD1188" i="3"/>
  <c r="AC1188" i="3"/>
  <c r="AA1188" i="3"/>
  <c r="T1188" i="3"/>
  <c r="AB1188" i="3" s="1"/>
  <c r="C1188" i="3"/>
  <c r="B1188" i="3"/>
  <c r="B1187" i="3"/>
  <c r="B1186" i="3"/>
  <c r="C1198" i="3" s="1"/>
  <c r="B1185" i="3"/>
  <c r="B1184" i="3"/>
  <c r="C1183" i="3"/>
  <c r="B1183" i="3"/>
  <c r="C1182" i="3"/>
  <c r="B1182" i="3"/>
  <c r="B1181" i="3"/>
  <c r="C1180" i="3"/>
  <c r="B1180" i="3"/>
  <c r="C1192" i="3" s="1"/>
  <c r="B1179" i="3"/>
  <c r="C1178" i="3"/>
  <c r="B1178" i="3"/>
  <c r="C1190" i="3" s="1"/>
  <c r="B1177" i="3"/>
  <c r="C1189" i="3" s="1"/>
  <c r="B1176" i="3"/>
  <c r="C1175" i="3"/>
  <c r="B1175" i="3"/>
  <c r="C1187" i="3" s="1"/>
  <c r="B1174" i="3"/>
  <c r="B1173" i="3"/>
  <c r="C1185" i="3" s="1"/>
  <c r="B1172" i="3"/>
  <c r="C1184" i="3" s="1"/>
  <c r="B1171" i="3"/>
  <c r="C1170" i="3"/>
  <c r="B1170" i="3"/>
  <c r="B1169" i="3"/>
  <c r="C1181" i="3" s="1"/>
  <c r="B1168" i="3"/>
  <c r="B1167" i="3"/>
  <c r="C1179" i="3" s="1"/>
  <c r="C1166" i="3"/>
  <c r="B1166" i="3"/>
  <c r="B1165" i="3"/>
  <c r="C1177" i="3" s="1"/>
  <c r="C1164" i="3"/>
  <c r="B1164" i="3"/>
  <c r="C1176" i="3" s="1"/>
  <c r="B1163" i="3"/>
  <c r="B1162" i="3"/>
  <c r="C1174" i="3" s="1"/>
  <c r="D1185" i="3" s="1"/>
  <c r="C1161" i="3"/>
  <c r="B1161" i="3"/>
  <c r="B1160" i="3"/>
  <c r="B1159" i="3"/>
  <c r="C1158" i="3"/>
  <c r="B1158" i="3"/>
  <c r="B1157" i="3"/>
  <c r="C1156" i="3"/>
  <c r="B1156" i="3"/>
  <c r="C1168" i="3" s="1"/>
  <c r="B1155" i="3"/>
  <c r="B1154" i="3"/>
  <c r="C1154" i="3" s="1"/>
  <c r="B1153" i="3"/>
  <c r="B1152" i="3"/>
  <c r="C1151" i="3"/>
  <c r="B1151" i="3"/>
  <c r="C1163" i="3" s="1"/>
  <c r="C1150" i="3"/>
  <c r="B1150" i="3"/>
  <c r="B1149" i="3"/>
  <c r="C1148" i="3"/>
  <c r="B1148" i="3"/>
  <c r="C1160" i="3" s="1"/>
  <c r="B1147" i="3"/>
  <c r="C1146" i="3"/>
  <c r="B1146" i="3"/>
  <c r="B1145" i="3"/>
  <c r="C1157" i="3" s="1"/>
  <c r="B1144" i="3"/>
  <c r="C1143" i="3"/>
  <c r="B1143" i="3"/>
  <c r="C1155" i="3" s="1"/>
  <c r="B1142" i="3"/>
  <c r="B1141" i="3"/>
  <c r="C1153" i="3" s="1"/>
  <c r="B1140" i="3"/>
  <c r="C1152" i="3" s="1"/>
  <c r="B1139" i="3"/>
  <c r="C1138" i="3"/>
  <c r="B1138" i="3"/>
  <c r="B1137" i="3"/>
  <c r="C1149" i="3" s="1"/>
  <c r="B1136" i="3"/>
  <c r="B1135" i="3"/>
  <c r="C1147" i="3" s="1"/>
  <c r="B1134" i="3"/>
  <c r="B1133" i="3"/>
  <c r="C1132" i="3"/>
  <c r="B1132" i="3"/>
  <c r="C1144" i="3" s="1"/>
  <c r="B1131" i="3"/>
  <c r="C1130" i="3"/>
  <c r="B1130" i="3"/>
  <c r="C1142" i="3" s="1"/>
  <c r="C1129" i="3"/>
  <c r="B1129" i="3"/>
  <c r="B1128" i="3"/>
  <c r="B1127" i="3"/>
  <c r="C1126" i="3"/>
  <c r="B1126" i="3"/>
  <c r="B1125" i="3"/>
  <c r="C1124" i="3"/>
  <c r="B1124" i="3"/>
  <c r="C1136" i="3" s="1"/>
  <c r="B1123" i="3"/>
  <c r="B1122" i="3"/>
  <c r="C1122" i="3" s="1"/>
  <c r="B1121" i="3"/>
  <c r="B1120" i="3"/>
  <c r="B1119" i="3"/>
  <c r="C1131" i="3" s="1"/>
  <c r="C1118" i="3"/>
  <c r="B1118" i="3"/>
  <c r="B1117" i="3"/>
  <c r="C1116" i="3"/>
  <c r="B1116" i="3"/>
  <c r="C1128" i="3" s="1"/>
  <c r="B1115" i="3"/>
  <c r="C1114" i="3"/>
  <c r="B1114" i="3"/>
  <c r="B1113" i="3"/>
  <c r="C1125" i="3" s="1"/>
  <c r="B1112" i="3"/>
  <c r="C1111" i="3"/>
  <c r="B1111" i="3"/>
  <c r="C1123" i="3" s="1"/>
  <c r="B1110" i="3"/>
  <c r="B1109" i="3"/>
  <c r="C1121" i="3" s="1"/>
  <c r="C1108" i="3"/>
  <c r="B1108" i="3"/>
  <c r="C1120" i="3" s="1"/>
  <c r="B1107" i="3"/>
  <c r="C1106" i="3"/>
  <c r="B1106" i="3"/>
  <c r="B1105" i="3"/>
  <c r="C1117" i="3" s="1"/>
  <c r="B1104" i="3"/>
  <c r="B1103" i="3"/>
  <c r="C1115" i="3" s="1"/>
  <c r="B1102" i="3"/>
  <c r="B1101" i="3"/>
  <c r="C1100" i="3"/>
  <c r="B1100" i="3"/>
  <c r="C1112" i="3" s="1"/>
  <c r="B1099" i="3"/>
  <c r="C1098" i="3"/>
  <c r="B1098" i="3"/>
  <c r="C1110" i="3" s="1"/>
  <c r="C1097" i="3"/>
  <c r="B1097" i="3"/>
  <c r="B1096" i="3"/>
  <c r="B1095" i="3"/>
  <c r="C1094" i="3"/>
  <c r="B1094" i="3"/>
  <c r="B1093" i="3"/>
  <c r="C1092" i="3"/>
  <c r="B1092" i="3"/>
  <c r="C1104" i="3" s="1"/>
  <c r="B1091" i="3"/>
  <c r="C1090" i="3"/>
  <c r="B1090" i="3"/>
  <c r="C1102" i="3" s="1"/>
  <c r="B1089" i="3"/>
  <c r="B1088" i="3"/>
  <c r="B1087" i="3"/>
  <c r="C1099" i="3" s="1"/>
  <c r="C1086" i="3"/>
  <c r="B1086" i="3"/>
  <c r="B1085" i="3"/>
  <c r="C1084" i="3"/>
  <c r="B1084" i="3"/>
  <c r="C1096" i="3" s="1"/>
  <c r="B1083" i="3"/>
  <c r="C1082" i="3"/>
  <c r="B1082" i="3"/>
  <c r="B1081" i="3"/>
  <c r="C1093" i="3" s="1"/>
  <c r="B1080" i="3"/>
  <c r="C1079" i="3"/>
  <c r="B1079" i="3"/>
  <c r="C1091" i="3" s="1"/>
  <c r="B1078" i="3"/>
  <c r="B1077" i="3"/>
  <c r="C1089" i="3" s="1"/>
  <c r="B1076" i="3"/>
  <c r="B1075" i="3"/>
  <c r="V1205" i="3" s="1"/>
  <c r="C1074" i="3"/>
  <c r="B1074" i="3"/>
  <c r="B1073" i="3"/>
  <c r="C1085" i="3" s="1"/>
  <c r="B1072" i="3"/>
  <c r="B1071" i="3"/>
  <c r="C1083" i="3" s="1"/>
  <c r="B1070" i="3"/>
  <c r="B1069" i="3"/>
  <c r="C1068" i="3"/>
  <c r="B1068" i="3"/>
  <c r="C1080" i="3" s="1"/>
  <c r="B1067" i="3"/>
  <c r="C1066" i="3"/>
  <c r="B1066" i="3"/>
  <c r="C1078" i="3" s="1"/>
  <c r="C1065" i="3"/>
  <c r="B1065" i="3"/>
  <c r="B1064" i="3"/>
  <c r="B1063" i="3"/>
  <c r="C1062" i="3"/>
  <c r="B1062" i="3"/>
  <c r="B1061" i="3"/>
  <c r="C1060" i="3"/>
  <c r="B1060" i="3"/>
  <c r="C1072" i="3" s="1"/>
  <c r="B1059" i="3"/>
  <c r="B1058" i="3"/>
  <c r="B1057" i="3"/>
  <c r="B1056" i="3"/>
  <c r="B1055" i="3"/>
  <c r="C1067" i="3" s="1"/>
  <c r="C1054" i="3"/>
  <c r="B1054" i="3"/>
  <c r="B1053" i="3"/>
  <c r="B1052" i="3"/>
  <c r="C1064" i="3" s="1"/>
  <c r="B1051" i="3"/>
  <c r="C1050" i="3"/>
  <c r="B1050" i="3"/>
  <c r="B1049" i="3"/>
  <c r="C1061" i="3" s="1"/>
  <c r="B1048" i="3"/>
  <c r="C1047" i="3"/>
  <c r="B1047" i="3"/>
  <c r="C1059" i="3" s="1"/>
  <c r="B1046" i="3"/>
  <c r="B1045" i="3"/>
  <c r="C1057" i="3" s="1"/>
  <c r="C1044" i="3"/>
  <c r="B1044" i="3"/>
  <c r="C1056" i="3" s="1"/>
  <c r="B1043" i="3"/>
  <c r="C1042" i="3"/>
  <c r="B1042" i="3"/>
  <c r="C1041" i="3"/>
  <c r="B1041" i="3"/>
  <c r="C1053" i="3" s="1"/>
  <c r="B1040" i="3"/>
  <c r="B1039" i="3"/>
  <c r="C1051" i="3" s="1"/>
  <c r="B1038" i="3"/>
  <c r="B1037" i="3"/>
  <c r="C1036" i="3"/>
  <c r="B1036" i="3"/>
  <c r="C1048" i="3" s="1"/>
  <c r="B1035" i="3"/>
  <c r="C1034" i="3"/>
  <c r="B1034" i="3"/>
  <c r="C1046" i="3" s="1"/>
  <c r="C1033" i="3"/>
  <c r="B1033" i="3"/>
  <c r="B1032" i="3"/>
  <c r="B1031" i="3"/>
  <c r="C1030" i="3"/>
  <c r="B1030" i="3"/>
  <c r="B1029" i="3"/>
  <c r="C1028" i="3"/>
  <c r="B1028" i="3"/>
  <c r="C1040" i="3" s="1"/>
  <c r="B1027" i="3"/>
  <c r="C1026" i="3"/>
  <c r="B1026" i="3"/>
  <c r="C1038" i="3" s="1"/>
  <c r="B1025" i="3"/>
  <c r="B1024" i="3"/>
  <c r="B1023" i="3"/>
  <c r="C1035" i="3" s="1"/>
  <c r="C1022" i="3"/>
  <c r="B1022" i="3"/>
  <c r="B1021" i="3"/>
  <c r="B1020" i="3"/>
  <c r="C1032" i="3" s="1"/>
  <c r="B1019" i="3"/>
  <c r="C1018" i="3"/>
  <c r="B1018" i="3"/>
  <c r="B1017" i="3"/>
  <c r="C1029" i="3" s="1"/>
  <c r="B1016" i="3"/>
  <c r="C1015" i="3"/>
  <c r="B1015" i="3"/>
  <c r="C1027" i="3" s="1"/>
  <c r="B1014" i="3"/>
  <c r="B1013" i="3"/>
  <c r="C1025" i="3" s="1"/>
  <c r="C1012" i="3"/>
  <c r="B1012" i="3"/>
  <c r="C1024" i="3" s="1"/>
  <c r="B1011" i="3"/>
  <c r="C1010" i="3"/>
  <c r="B1010" i="3"/>
  <c r="B1009" i="3"/>
  <c r="B1008" i="3"/>
  <c r="B1007" i="3"/>
  <c r="C1019" i="3" s="1"/>
  <c r="C1006" i="3"/>
  <c r="B1006" i="3"/>
  <c r="B1005" i="3"/>
  <c r="C1017" i="3" s="1"/>
  <c r="C1004" i="3"/>
  <c r="B1004" i="3"/>
  <c r="C1016" i="3" s="1"/>
  <c r="B1003" i="3"/>
  <c r="B1002" i="3"/>
  <c r="C1014" i="3" s="1"/>
  <c r="C1001" i="3"/>
  <c r="B1001" i="3"/>
  <c r="B1000" i="3"/>
  <c r="B999" i="3"/>
  <c r="C998" i="3"/>
  <c r="B998" i="3"/>
  <c r="B997" i="3"/>
  <c r="C996" i="3"/>
  <c r="B996" i="3"/>
  <c r="C1008" i="3" s="1"/>
  <c r="B995" i="3"/>
  <c r="C994" i="3"/>
  <c r="B994" i="3"/>
  <c r="B993" i="3"/>
  <c r="B992" i="3"/>
  <c r="C991" i="3"/>
  <c r="B991" i="3"/>
  <c r="C990" i="3"/>
  <c r="B990" i="3"/>
  <c r="B989" i="3"/>
  <c r="B988" i="3"/>
  <c r="C1000" i="3" s="1"/>
  <c r="B987" i="3"/>
  <c r="C986" i="3"/>
  <c r="B986" i="3"/>
  <c r="B985" i="3"/>
  <c r="C997" i="3" s="1"/>
  <c r="B984" i="3"/>
  <c r="C983" i="3"/>
  <c r="B983" i="3"/>
  <c r="C995" i="3" s="1"/>
  <c r="B982" i="3"/>
  <c r="B981" i="3"/>
  <c r="C993" i="3" s="1"/>
  <c r="B980" i="3"/>
  <c r="C992" i="3" s="1"/>
  <c r="B979" i="3"/>
  <c r="C978" i="3"/>
  <c r="B978" i="3"/>
  <c r="C977" i="3"/>
  <c r="B977" i="3"/>
  <c r="C989" i="3" s="1"/>
  <c r="B976" i="3"/>
  <c r="B975" i="3"/>
  <c r="C987" i="3" s="1"/>
  <c r="C974" i="3"/>
  <c r="B974" i="3"/>
  <c r="B973" i="3"/>
  <c r="C985" i="3" s="1"/>
  <c r="C972" i="3"/>
  <c r="B972" i="3"/>
  <c r="C984" i="3" s="1"/>
  <c r="B971" i="3"/>
  <c r="B970" i="3"/>
  <c r="C982" i="3" s="1"/>
  <c r="C969" i="3"/>
  <c r="B969" i="3"/>
  <c r="B968" i="3"/>
  <c r="B967" i="3"/>
  <c r="C966" i="3"/>
  <c r="B966" i="3"/>
  <c r="B965" i="3"/>
  <c r="C964" i="3"/>
  <c r="B964" i="3"/>
  <c r="C976" i="3" s="1"/>
  <c r="B963" i="3"/>
  <c r="B962" i="3"/>
  <c r="C962" i="3" s="1"/>
  <c r="B961" i="3"/>
  <c r="B960" i="3"/>
  <c r="B959" i="3"/>
  <c r="C958" i="3"/>
  <c r="B958" i="3"/>
  <c r="B957" i="3"/>
  <c r="B956" i="3"/>
  <c r="C968" i="3" s="1"/>
  <c r="B955" i="3"/>
  <c r="C954" i="3"/>
  <c r="B954" i="3"/>
  <c r="B953" i="3"/>
  <c r="C965" i="3" s="1"/>
  <c r="B952" i="3"/>
  <c r="C951" i="3"/>
  <c r="B951" i="3"/>
  <c r="C963" i="3" s="1"/>
  <c r="B950" i="3"/>
  <c r="B949" i="3"/>
  <c r="C961" i="3" s="1"/>
  <c r="B948" i="3"/>
  <c r="C960" i="3" s="1"/>
  <c r="B947" i="3"/>
  <c r="C946" i="3"/>
  <c r="B946" i="3"/>
  <c r="C945" i="3"/>
  <c r="B945" i="3"/>
  <c r="C957" i="3" s="1"/>
  <c r="B944" i="3"/>
  <c r="B943" i="3"/>
  <c r="C955" i="3" s="1"/>
  <c r="C942" i="3"/>
  <c r="B942" i="3"/>
  <c r="B941" i="3"/>
  <c r="C953" i="3" s="1"/>
  <c r="C940" i="3"/>
  <c r="B940" i="3"/>
  <c r="C952" i="3" s="1"/>
  <c r="B939" i="3"/>
  <c r="B938" i="3"/>
  <c r="C950" i="3" s="1"/>
  <c r="B937" i="3"/>
  <c r="B936" i="3"/>
  <c r="B935" i="3"/>
  <c r="C934" i="3"/>
  <c r="B934" i="3"/>
  <c r="B933" i="3"/>
  <c r="C932" i="3"/>
  <c r="B932" i="3"/>
  <c r="C944" i="3" s="1"/>
  <c r="B931" i="3"/>
  <c r="B930" i="3"/>
  <c r="C930" i="3" s="1"/>
  <c r="B929" i="3"/>
  <c r="C941" i="3" s="1"/>
  <c r="B928" i="3"/>
  <c r="C927" i="3"/>
  <c r="B927" i="3"/>
  <c r="C939" i="3" s="1"/>
  <c r="C926" i="3"/>
  <c r="B926" i="3"/>
  <c r="B925" i="3"/>
  <c r="C937" i="3" s="1"/>
  <c r="C924" i="3"/>
  <c r="B924" i="3"/>
  <c r="C936" i="3" s="1"/>
  <c r="B923" i="3"/>
  <c r="C922" i="3"/>
  <c r="B922" i="3"/>
  <c r="B921" i="3"/>
  <c r="C933" i="3" s="1"/>
  <c r="B920" i="3"/>
  <c r="C919" i="3"/>
  <c r="B919" i="3"/>
  <c r="C931" i="3" s="1"/>
  <c r="B918" i="3"/>
  <c r="B917" i="3"/>
  <c r="C929" i="3" s="1"/>
  <c r="C916" i="3"/>
  <c r="B916" i="3"/>
  <c r="C928" i="3" s="1"/>
  <c r="B915" i="3"/>
  <c r="C914" i="3"/>
  <c r="B914" i="3"/>
  <c r="B913" i="3"/>
  <c r="C925" i="3" s="1"/>
  <c r="B912" i="3"/>
  <c r="B911" i="3"/>
  <c r="C910" i="3"/>
  <c r="B910" i="3"/>
  <c r="B909" i="3"/>
  <c r="C908" i="3"/>
  <c r="B908" i="3"/>
  <c r="C920" i="3" s="1"/>
  <c r="B907" i="3"/>
  <c r="C906" i="3"/>
  <c r="B906" i="3"/>
  <c r="C918" i="3" s="1"/>
  <c r="C905" i="3"/>
  <c r="B905" i="3"/>
  <c r="B904" i="3"/>
  <c r="B903" i="3"/>
  <c r="C902" i="3"/>
  <c r="B902" i="3"/>
  <c r="B901" i="3"/>
  <c r="C900" i="3"/>
  <c r="B900" i="3"/>
  <c r="C912" i="3" s="1"/>
  <c r="B899" i="3"/>
  <c r="C898" i="3"/>
  <c r="B898" i="3"/>
  <c r="B897" i="3"/>
  <c r="C909" i="3" s="1"/>
  <c r="B896" i="3"/>
  <c r="B895" i="3"/>
  <c r="C907" i="3" s="1"/>
  <c r="C894" i="3"/>
  <c r="B894" i="3"/>
  <c r="B893" i="3"/>
  <c r="B892" i="3"/>
  <c r="C904" i="3" s="1"/>
  <c r="B891" i="3"/>
  <c r="C890" i="3"/>
  <c r="B890" i="3"/>
  <c r="B889" i="3"/>
  <c r="C901" i="3" s="1"/>
  <c r="B888" i="3"/>
  <c r="C887" i="3"/>
  <c r="B887" i="3"/>
  <c r="C899" i="3" s="1"/>
  <c r="B886" i="3"/>
  <c r="B885" i="3"/>
  <c r="C897" i="3" s="1"/>
  <c r="B884" i="3"/>
  <c r="C896" i="3" s="1"/>
  <c r="B883" i="3"/>
  <c r="C882" i="3"/>
  <c r="B882" i="3"/>
  <c r="C881" i="3"/>
  <c r="B881" i="3"/>
  <c r="C893" i="3" s="1"/>
  <c r="B880" i="3"/>
  <c r="B879" i="3"/>
  <c r="B878" i="3"/>
  <c r="B877" i="3"/>
  <c r="C889" i="3" s="1"/>
  <c r="C876" i="3"/>
  <c r="B876" i="3"/>
  <c r="C888" i="3" s="1"/>
  <c r="B875" i="3"/>
  <c r="B874" i="3"/>
  <c r="C886" i="3" s="1"/>
  <c r="C873" i="3"/>
  <c r="B873" i="3"/>
  <c r="B872" i="3"/>
  <c r="B871" i="3"/>
  <c r="C870" i="3"/>
  <c r="B870" i="3"/>
  <c r="B869" i="3"/>
  <c r="C868" i="3"/>
  <c r="B868" i="3"/>
  <c r="C880" i="3" s="1"/>
  <c r="B867" i="3"/>
  <c r="B866" i="3"/>
  <c r="C878" i="3" s="1"/>
  <c r="B865" i="3"/>
  <c r="C877" i="3" s="1"/>
  <c r="B864" i="3"/>
  <c r="B863" i="3"/>
  <c r="C875" i="3" s="1"/>
  <c r="C862" i="3"/>
  <c r="B862" i="3"/>
  <c r="B861" i="3"/>
  <c r="C860" i="3"/>
  <c r="B860" i="3"/>
  <c r="C872" i="3" s="1"/>
  <c r="B859" i="3"/>
  <c r="C858" i="3"/>
  <c r="B858" i="3"/>
  <c r="B857" i="3"/>
  <c r="C869" i="3" s="1"/>
  <c r="B856" i="3"/>
  <c r="C855" i="3"/>
  <c r="B855" i="3"/>
  <c r="C867" i="3" s="1"/>
  <c r="C854" i="3"/>
  <c r="B854" i="3"/>
  <c r="B853" i="3"/>
  <c r="C865" i="3" s="1"/>
  <c r="C852" i="3"/>
  <c r="B852" i="3"/>
  <c r="C864" i="3" s="1"/>
  <c r="B851" i="3"/>
  <c r="C850" i="3"/>
  <c r="B850" i="3"/>
  <c r="C849" i="3"/>
  <c r="B849" i="3"/>
  <c r="C861" i="3" s="1"/>
  <c r="B848" i="3"/>
  <c r="B847" i="3"/>
  <c r="B846" i="3"/>
  <c r="B845" i="3"/>
  <c r="C844" i="3"/>
  <c r="B844" i="3"/>
  <c r="C856" i="3" s="1"/>
  <c r="B843" i="3"/>
  <c r="B842" i="3"/>
  <c r="C842" i="3" s="1"/>
  <c r="C841" i="3"/>
  <c r="B841" i="3"/>
  <c r="B840" i="3"/>
  <c r="B839" i="3"/>
  <c r="C838" i="3"/>
  <c r="B838" i="3"/>
  <c r="B837" i="3"/>
  <c r="C836" i="3"/>
  <c r="B836" i="3"/>
  <c r="C848" i="3" s="1"/>
  <c r="B835" i="3"/>
  <c r="B834" i="3"/>
  <c r="C846" i="3" s="1"/>
  <c r="B833" i="3"/>
  <c r="C845" i="3" s="1"/>
  <c r="B832" i="3"/>
  <c r="B831" i="3"/>
  <c r="C830" i="3"/>
  <c r="B830" i="3"/>
  <c r="B829" i="3"/>
  <c r="B828" i="3"/>
  <c r="C840" i="3" s="1"/>
  <c r="B827" i="3"/>
  <c r="C826" i="3"/>
  <c r="B826" i="3"/>
  <c r="B825" i="3"/>
  <c r="C837" i="3" s="1"/>
  <c r="B824" i="3"/>
  <c r="C823" i="3"/>
  <c r="B823" i="3"/>
  <c r="C835" i="3" s="1"/>
  <c r="B822" i="3"/>
  <c r="B821" i="3"/>
  <c r="B820" i="3"/>
  <c r="C832" i="3" s="1"/>
  <c r="B819" i="3"/>
  <c r="C818" i="3"/>
  <c r="B818" i="3"/>
  <c r="B817" i="3"/>
  <c r="C829" i="3" s="1"/>
  <c r="B816" i="3"/>
  <c r="B815" i="3"/>
  <c r="B814" i="3"/>
  <c r="B813" i="3"/>
  <c r="C812" i="3"/>
  <c r="B812" i="3"/>
  <c r="C824" i="3" s="1"/>
  <c r="B811" i="3"/>
  <c r="B810" i="3"/>
  <c r="B809" i="3"/>
  <c r="B808" i="3"/>
  <c r="B807" i="3"/>
  <c r="C806" i="3"/>
  <c r="B806" i="3"/>
  <c r="B805" i="3"/>
  <c r="C804" i="3"/>
  <c r="B804" i="3"/>
  <c r="C816" i="3" s="1"/>
  <c r="B803" i="3"/>
  <c r="B802" i="3"/>
  <c r="B801" i="3"/>
  <c r="C813" i="3" s="1"/>
  <c r="B800" i="3"/>
  <c r="B799" i="3"/>
  <c r="C811" i="3" s="1"/>
  <c r="C798" i="3"/>
  <c r="B798" i="3"/>
  <c r="B797" i="3"/>
  <c r="C809" i="3" s="1"/>
  <c r="B796" i="3"/>
  <c r="C808" i="3" s="1"/>
  <c r="B795" i="3"/>
  <c r="C794" i="3"/>
  <c r="B794" i="3"/>
  <c r="B793" i="3"/>
  <c r="C805" i="3" s="1"/>
  <c r="B792" i="3"/>
  <c r="C791" i="3"/>
  <c r="B791" i="3"/>
  <c r="C803" i="3" s="1"/>
  <c r="C790" i="3"/>
  <c r="B790" i="3"/>
  <c r="B789" i="3"/>
  <c r="C801" i="3" s="1"/>
  <c r="B788" i="3"/>
  <c r="C800" i="3" s="1"/>
  <c r="B787" i="3"/>
  <c r="C786" i="3"/>
  <c r="B786" i="3"/>
  <c r="C785" i="3"/>
  <c r="B785" i="3"/>
  <c r="C797" i="3" s="1"/>
  <c r="B784" i="3"/>
  <c r="B783" i="3"/>
  <c r="B782" i="3"/>
  <c r="B781" i="3"/>
  <c r="C793" i="3" s="1"/>
  <c r="C780" i="3"/>
  <c r="B780" i="3"/>
  <c r="C792" i="3" s="1"/>
  <c r="B779" i="3"/>
  <c r="B778" i="3"/>
  <c r="B777" i="3"/>
  <c r="B776" i="3"/>
  <c r="B775" i="3"/>
  <c r="C787" i="3" s="1"/>
  <c r="B774" i="3"/>
  <c r="B773" i="3"/>
  <c r="C772" i="3"/>
  <c r="B772" i="3"/>
  <c r="C784" i="3" s="1"/>
  <c r="C771" i="3"/>
  <c r="B771" i="3"/>
  <c r="B770" i="3"/>
  <c r="C782" i="3" s="1"/>
  <c r="C769" i="3"/>
  <c r="B769" i="3"/>
  <c r="C781" i="3" s="1"/>
  <c r="C768" i="3"/>
  <c r="B768" i="3"/>
  <c r="B767" i="3"/>
  <c r="C779" i="3" s="1"/>
  <c r="B766" i="3"/>
  <c r="C766" i="3" s="1"/>
  <c r="B765" i="3"/>
  <c r="C777" i="3" s="1"/>
  <c r="C764" i="3"/>
  <c r="B764" i="3"/>
  <c r="C776" i="3" s="1"/>
  <c r="B763" i="3"/>
  <c r="C775" i="3" s="1"/>
  <c r="C762" i="3"/>
  <c r="B762" i="3"/>
  <c r="C774" i="3" s="1"/>
  <c r="C761" i="3"/>
  <c r="B761" i="3"/>
  <c r="B760" i="3"/>
  <c r="B759" i="3"/>
  <c r="B758" i="3"/>
  <c r="B757" i="3"/>
  <c r="C756" i="3"/>
  <c r="B756" i="3"/>
  <c r="B755" i="3"/>
  <c r="C767" i="3" s="1"/>
  <c r="C754" i="3"/>
  <c r="B754" i="3"/>
  <c r="B753" i="3"/>
  <c r="B752" i="3"/>
  <c r="C751" i="3"/>
  <c r="B751" i="3"/>
  <c r="B750" i="3"/>
  <c r="B749" i="3"/>
  <c r="B748" i="3"/>
  <c r="C748" i="3" s="1"/>
  <c r="B747" i="3"/>
  <c r="C759" i="3" s="1"/>
  <c r="B746" i="3"/>
  <c r="C758" i="3" s="1"/>
  <c r="B745" i="3"/>
  <c r="C757" i="3" s="1"/>
  <c r="B744" i="3"/>
  <c r="B743" i="3"/>
  <c r="C742" i="3"/>
  <c r="B742" i="3"/>
  <c r="B741" i="3"/>
  <c r="C753" i="3" s="1"/>
  <c r="B740" i="3"/>
  <c r="C752" i="3" s="1"/>
  <c r="C739" i="3"/>
  <c r="B739" i="3"/>
  <c r="B738" i="3"/>
  <c r="C750" i="3" s="1"/>
  <c r="B737" i="3"/>
  <c r="C736" i="3"/>
  <c r="B736" i="3"/>
  <c r="C735" i="3"/>
  <c r="B735" i="3"/>
  <c r="C747" i="3" s="1"/>
  <c r="B734" i="3"/>
  <c r="B733" i="3"/>
  <c r="C732" i="3"/>
  <c r="B732" i="3"/>
  <c r="C744" i="3" s="1"/>
  <c r="C731" i="3"/>
  <c r="B731" i="3"/>
  <c r="B730" i="3"/>
  <c r="B729" i="3"/>
  <c r="C728" i="3"/>
  <c r="B728" i="3"/>
  <c r="B727" i="3"/>
  <c r="B726" i="3"/>
  <c r="B725" i="3"/>
  <c r="C737" i="3" s="1"/>
  <c r="C724" i="3"/>
  <c r="B724" i="3"/>
  <c r="B723" i="3"/>
  <c r="B722" i="3"/>
  <c r="C722" i="3" s="1"/>
  <c r="B721" i="3"/>
  <c r="B720" i="3"/>
  <c r="B719" i="3"/>
  <c r="C719" i="3" s="1"/>
  <c r="B718" i="3"/>
  <c r="C730" i="3" s="1"/>
  <c r="B717" i="3"/>
  <c r="C729" i="3" s="1"/>
  <c r="C716" i="3"/>
  <c r="B716" i="3"/>
  <c r="B715" i="3"/>
  <c r="C727" i="3" s="1"/>
  <c r="B714" i="3"/>
  <c r="B713" i="3"/>
  <c r="C725" i="3" s="1"/>
  <c r="B712" i="3"/>
  <c r="C711" i="3"/>
  <c r="B711" i="3"/>
  <c r="C723" i="3" s="1"/>
  <c r="C710" i="3"/>
  <c r="B710" i="3"/>
  <c r="B709" i="3"/>
  <c r="C721" i="3" s="1"/>
  <c r="B708" i="3"/>
  <c r="C720" i="3" s="1"/>
  <c r="C707" i="3"/>
  <c r="B707" i="3"/>
  <c r="B706" i="3"/>
  <c r="B705" i="3"/>
  <c r="C704" i="3"/>
  <c r="B704" i="3"/>
  <c r="B703" i="3"/>
  <c r="C715" i="3" s="1"/>
  <c r="B702" i="3"/>
  <c r="C714" i="3" s="1"/>
  <c r="B701" i="3"/>
  <c r="C700" i="3"/>
  <c r="B700" i="3"/>
  <c r="C712" i="3" s="1"/>
  <c r="B699" i="3"/>
  <c r="B698" i="3"/>
  <c r="C697" i="3"/>
  <c r="B697" i="3"/>
  <c r="B696" i="3"/>
  <c r="B695" i="3"/>
  <c r="B694" i="3"/>
  <c r="C706" i="3" s="1"/>
  <c r="B693" i="3"/>
  <c r="C692" i="3"/>
  <c r="B692" i="3"/>
  <c r="B691" i="3"/>
  <c r="C703" i="3" s="1"/>
  <c r="B690" i="3"/>
  <c r="B689" i="3"/>
  <c r="B688" i="3"/>
  <c r="B687" i="3"/>
  <c r="C699" i="3" s="1"/>
  <c r="B686" i="3"/>
  <c r="C698" i="3" s="1"/>
  <c r="B685" i="3"/>
  <c r="B684" i="3"/>
  <c r="C696" i="3" s="1"/>
  <c r="B683" i="3"/>
  <c r="C695" i="3" s="1"/>
  <c r="B682" i="3"/>
  <c r="C681" i="3"/>
  <c r="B681" i="3"/>
  <c r="C693" i="3" s="1"/>
  <c r="B680" i="3"/>
  <c r="B679" i="3"/>
  <c r="C678" i="3"/>
  <c r="B678" i="3"/>
  <c r="B677" i="3"/>
  <c r="C689" i="3" s="1"/>
  <c r="C676" i="3"/>
  <c r="B676" i="3"/>
  <c r="C688" i="3" s="1"/>
  <c r="C675" i="3"/>
  <c r="B675" i="3"/>
  <c r="B674" i="3"/>
  <c r="B673" i="3"/>
  <c r="C672" i="3"/>
  <c r="B672" i="3"/>
  <c r="C671" i="3"/>
  <c r="B671" i="3"/>
  <c r="B670" i="3"/>
  <c r="B669" i="3"/>
  <c r="C668" i="3"/>
  <c r="B668" i="3"/>
  <c r="C680" i="3" s="1"/>
  <c r="B667" i="3"/>
  <c r="C679" i="3" s="1"/>
  <c r="C666" i="3"/>
  <c r="B666" i="3"/>
  <c r="B665" i="3"/>
  <c r="B664" i="3"/>
  <c r="B663" i="3"/>
  <c r="B662" i="3"/>
  <c r="B661" i="3"/>
  <c r="C660" i="3"/>
  <c r="B660" i="3"/>
  <c r="B659" i="3"/>
  <c r="B658" i="3"/>
  <c r="C658" i="3" s="1"/>
  <c r="B657" i="3"/>
  <c r="B656" i="3"/>
  <c r="C655" i="3"/>
  <c r="B655" i="3"/>
  <c r="B654" i="3"/>
  <c r="B653" i="3"/>
  <c r="C665" i="3" s="1"/>
  <c r="B652" i="3"/>
  <c r="C652" i="3" s="1"/>
  <c r="B651" i="3"/>
  <c r="C663" i="3" s="1"/>
  <c r="B650" i="3"/>
  <c r="C662" i="3" s="1"/>
  <c r="B649" i="3"/>
  <c r="C661" i="3" s="1"/>
  <c r="B648" i="3"/>
  <c r="B647" i="3"/>
  <c r="C659" i="3" s="1"/>
  <c r="C646" i="3"/>
  <c r="B646" i="3"/>
  <c r="B645" i="3"/>
  <c r="C657" i="3" s="1"/>
  <c r="B644" i="3"/>
  <c r="C656" i="3" s="1"/>
  <c r="C643" i="3"/>
  <c r="B643" i="3"/>
  <c r="B642" i="3"/>
  <c r="C654" i="3" s="1"/>
  <c r="B641" i="3"/>
  <c r="C640" i="3"/>
  <c r="B640" i="3"/>
  <c r="C639" i="3"/>
  <c r="B639" i="3"/>
  <c r="B638" i="3"/>
  <c r="B637" i="3"/>
  <c r="C636" i="3"/>
  <c r="B636" i="3"/>
  <c r="C648" i="3" s="1"/>
  <c r="B635" i="3"/>
  <c r="B634" i="3"/>
  <c r="B633" i="3"/>
  <c r="C632" i="3"/>
  <c r="B632" i="3"/>
  <c r="B631" i="3"/>
  <c r="B630" i="3"/>
  <c r="C642" i="3" s="1"/>
  <c r="B629" i="3"/>
  <c r="C641" i="3" s="1"/>
  <c r="C628" i="3"/>
  <c r="B628" i="3"/>
  <c r="B627" i="3"/>
  <c r="B626" i="3"/>
  <c r="C638" i="3" s="1"/>
  <c r="B625" i="3"/>
  <c r="B624" i="3"/>
  <c r="B623" i="3"/>
  <c r="C623" i="3" s="1"/>
  <c r="B622" i="3"/>
  <c r="C634" i="3" s="1"/>
  <c r="B621" i="3"/>
  <c r="C633" i="3" s="1"/>
  <c r="C620" i="3"/>
  <c r="B620" i="3"/>
  <c r="B619" i="3"/>
  <c r="C631" i="3" s="1"/>
  <c r="B618" i="3"/>
  <c r="B617" i="3"/>
  <c r="C629" i="3" s="1"/>
  <c r="B616" i="3"/>
  <c r="B615" i="3"/>
  <c r="C614" i="3"/>
  <c r="B614" i="3"/>
  <c r="B613" i="3"/>
  <c r="C625" i="3" s="1"/>
  <c r="B612" i="3"/>
  <c r="C611" i="3"/>
  <c r="B611" i="3"/>
  <c r="B610" i="3"/>
  <c r="B609" i="3"/>
  <c r="C609" i="3" s="1"/>
  <c r="C608" i="3"/>
  <c r="B608" i="3"/>
  <c r="B607" i="3"/>
  <c r="C619" i="3" s="1"/>
  <c r="B606" i="3"/>
  <c r="C618" i="3" s="1"/>
  <c r="B605" i="3"/>
  <c r="C604" i="3"/>
  <c r="B604" i="3"/>
  <c r="C616" i="3" s="1"/>
  <c r="B603" i="3"/>
  <c r="C615" i="3" s="1"/>
  <c r="C602" i="3"/>
  <c r="B602" i="3"/>
  <c r="C601" i="3"/>
  <c r="B601" i="3"/>
  <c r="B600" i="3"/>
  <c r="B599" i="3"/>
  <c r="B598" i="3"/>
  <c r="C610" i="3" s="1"/>
  <c r="B597" i="3"/>
  <c r="B596" i="3"/>
  <c r="B595" i="3"/>
  <c r="C607" i="3" s="1"/>
  <c r="B594" i="3"/>
  <c r="C593" i="3"/>
  <c r="B593" i="3"/>
  <c r="B592" i="3"/>
  <c r="B591" i="3"/>
  <c r="B590" i="3"/>
  <c r="B589" i="3"/>
  <c r="B588" i="3"/>
  <c r="C600" i="3" s="1"/>
  <c r="B587" i="3"/>
  <c r="C599" i="3" s="1"/>
  <c r="B586" i="3"/>
  <c r="C585" i="3"/>
  <c r="B585" i="3"/>
  <c r="C597" i="3" s="1"/>
  <c r="B584" i="3"/>
  <c r="C596" i="3" s="1"/>
  <c r="B583" i="3"/>
  <c r="C583" i="3" s="1"/>
  <c r="C582" i="3"/>
  <c r="B582" i="3"/>
  <c r="B581" i="3"/>
  <c r="B580" i="3"/>
  <c r="C592" i="3" s="1"/>
  <c r="B579" i="3"/>
  <c r="B578" i="3"/>
  <c r="C590" i="3" s="1"/>
  <c r="B577" i="3"/>
  <c r="C589" i="3" s="1"/>
  <c r="B576" i="3"/>
  <c r="C588" i="3" s="1"/>
  <c r="B575" i="3"/>
  <c r="C587" i="3" s="1"/>
  <c r="B574" i="3"/>
  <c r="B573" i="3"/>
  <c r="B572" i="3"/>
  <c r="C584" i="3" s="1"/>
  <c r="B571" i="3"/>
  <c r="B570" i="3"/>
  <c r="B569" i="3"/>
  <c r="C581" i="3" s="1"/>
  <c r="B568" i="3"/>
  <c r="C580" i="3" s="1"/>
  <c r="C567" i="3"/>
  <c r="B567" i="3"/>
  <c r="C579" i="3" s="1"/>
  <c r="B566" i="3"/>
  <c r="C578" i="3" s="1"/>
  <c r="C565" i="3"/>
  <c r="B565" i="3"/>
  <c r="C564" i="3"/>
  <c r="B564" i="3"/>
  <c r="B563" i="3"/>
  <c r="B562" i="3"/>
  <c r="C574" i="3" s="1"/>
  <c r="B561" i="3"/>
  <c r="B560" i="3"/>
  <c r="B559" i="3"/>
  <c r="C571" i="3" s="1"/>
  <c r="C558" i="3"/>
  <c r="B558" i="3"/>
  <c r="C570" i="3" s="1"/>
  <c r="C557" i="3"/>
  <c r="B557" i="3"/>
  <c r="B556" i="3"/>
  <c r="B555" i="3"/>
  <c r="B554" i="3"/>
  <c r="C566" i="3" s="1"/>
  <c r="C553" i="3"/>
  <c r="B553" i="3"/>
  <c r="B552" i="3"/>
  <c r="B551" i="3"/>
  <c r="C563" i="3" s="1"/>
  <c r="C550" i="3"/>
  <c r="B550" i="3"/>
  <c r="C562" i="3" s="1"/>
  <c r="B549" i="3"/>
  <c r="B548" i="3"/>
  <c r="C560" i="3" s="1"/>
  <c r="B547" i="3"/>
  <c r="B546" i="3"/>
  <c r="B545" i="3"/>
  <c r="C545" i="3" s="1"/>
  <c r="B544" i="3"/>
  <c r="C556" i="3" s="1"/>
  <c r="B543" i="3"/>
  <c r="C555" i="3" s="1"/>
  <c r="B542" i="3"/>
  <c r="B541" i="3"/>
  <c r="B540" i="3"/>
  <c r="C552" i="3" s="1"/>
  <c r="B539" i="3"/>
  <c r="B538" i="3"/>
  <c r="B537" i="3"/>
  <c r="C537" i="3" s="1"/>
  <c r="B536" i="3"/>
  <c r="C548" i="3" s="1"/>
  <c r="C535" i="3"/>
  <c r="B535" i="3"/>
  <c r="C547" i="3" s="1"/>
  <c r="B534" i="3"/>
  <c r="C546" i="3" s="1"/>
  <c r="C533" i="3"/>
  <c r="B533" i="3"/>
  <c r="C532" i="3"/>
  <c r="B532" i="3"/>
  <c r="B531" i="3"/>
  <c r="B530" i="3"/>
  <c r="C542" i="3" s="1"/>
  <c r="B529" i="3"/>
  <c r="B528" i="3"/>
  <c r="B527" i="3"/>
  <c r="C539" i="3" s="1"/>
  <c r="C526" i="3"/>
  <c r="B526" i="3"/>
  <c r="C538" i="3" s="1"/>
  <c r="C525" i="3"/>
  <c r="B525" i="3"/>
  <c r="B524" i="3"/>
  <c r="B523" i="3"/>
  <c r="B522" i="3"/>
  <c r="C534" i="3" s="1"/>
  <c r="C521" i="3"/>
  <c r="B521" i="3"/>
  <c r="B520" i="3"/>
  <c r="B519" i="3"/>
  <c r="C531" i="3" s="1"/>
  <c r="C518" i="3"/>
  <c r="B518" i="3"/>
  <c r="C530" i="3" s="1"/>
  <c r="B517" i="3"/>
  <c r="B516" i="3"/>
  <c r="C528" i="3" s="1"/>
  <c r="B515" i="3"/>
  <c r="B514" i="3"/>
  <c r="B513" i="3"/>
  <c r="C513" i="3" s="1"/>
  <c r="B512" i="3"/>
  <c r="C524" i="3" s="1"/>
  <c r="B511" i="3"/>
  <c r="C523" i="3" s="1"/>
  <c r="B510" i="3"/>
  <c r="B509" i="3"/>
  <c r="B508" i="3"/>
  <c r="C520" i="3" s="1"/>
  <c r="B507" i="3"/>
  <c r="B506" i="3"/>
  <c r="B505" i="3"/>
  <c r="C505" i="3" s="1"/>
  <c r="B504" i="3"/>
  <c r="C516" i="3" s="1"/>
  <c r="C503" i="3"/>
  <c r="B503" i="3"/>
  <c r="C515" i="3" s="1"/>
  <c r="B502" i="3"/>
  <c r="C514" i="3" s="1"/>
  <c r="C501" i="3"/>
  <c r="B501" i="3"/>
  <c r="C500" i="3"/>
  <c r="B500" i="3"/>
  <c r="B499" i="3"/>
  <c r="B498" i="3"/>
  <c r="C510" i="3" s="1"/>
  <c r="B497" i="3"/>
  <c r="B496" i="3"/>
  <c r="B495" i="3"/>
  <c r="C507" i="3" s="1"/>
  <c r="C494" i="3"/>
  <c r="B494" i="3"/>
  <c r="C506" i="3" s="1"/>
  <c r="C493" i="3"/>
  <c r="B493" i="3"/>
  <c r="B492" i="3"/>
  <c r="B491" i="3"/>
  <c r="B490" i="3"/>
  <c r="C502" i="3" s="1"/>
  <c r="C489" i="3"/>
  <c r="B489" i="3"/>
  <c r="B488" i="3"/>
  <c r="B487" i="3"/>
  <c r="C499" i="3" s="1"/>
  <c r="C486" i="3"/>
  <c r="B486" i="3"/>
  <c r="C498" i="3" s="1"/>
  <c r="B485" i="3"/>
  <c r="B484" i="3"/>
  <c r="C496" i="3" s="1"/>
  <c r="B483" i="3"/>
  <c r="B482" i="3"/>
  <c r="B481" i="3"/>
  <c r="C481" i="3" s="1"/>
  <c r="B480" i="3"/>
  <c r="C492" i="3" s="1"/>
  <c r="B479" i="3"/>
  <c r="C491" i="3" s="1"/>
  <c r="B478" i="3"/>
  <c r="B477" i="3"/>
  <c r="B476" i="3"/>
  <c r="C488" i="3" s="1"/>
  <c r="B475" i="3"/>
  <c r="B474" i="3"/>
  <c r="B473" i="3"/>
  <c r="C485" i="3" s="1"/>
  <c r="B472" i="3"/>
  <c r="C484" i="3" s="1"/>
  <c r="C471" i="3"/>
  <c r="B471" i="3"/>
  <c r="C483" i="3" s="1"/>
  <c r="B470" i="3"/>
  <c r="C482" i="3" s="1"/>
  <c r="C469" i="3"/>
  <c r="B469" i="3"/>
  <c r="C468" i="3"/>
  <c r="B468" i="3"/>
  <c r="B467" i="3"/>
  <c r="B466" i="3"/>
  <c r="C478" i="3" s="1"/>
  <c r="B465" i="3"/>
  <c r="B464" i="3"/>
  <c r="B463" i="3"/>
  <c r="C475" i="3" s="1"/>
  <c r="C462" i="3"/>
  <c r="B462" i="3"/>
  <c r="C474" i="3" s="1"/>
  <c r="C461" i="3"/>
  <c r="B461" i="3"/>
  <c r="B460" i="3"/>
  <c r="B459" i="3"/>
  <c r="B458" i="3"/>
  <c r="C470" i="3" s="1"/>
  <c r="C457" i="3"/>
  <c r="B457" i="3"/>
  <c r="B456" i="3"/>
  <c r="B455" i="3"/>
  <c r="C467" i="3" s="1"/>
  <c r="C454" i="3"/>
  <c r="B454" i="3"/>
  <c r="C466" i="3" s="1"/>
  <c r="B453" i="3"/>
  <c r="B452" i="3"/>
  <c r="C464" i="3" s="1"/>
  <c r="B451" i="3"/>
  <c r="B450" i="3"/>
  <c r="B449" i="3"/>
  <c r="C449" i="3" s="1"/>
  <c r="B448" i="3"/>
  <c r="C460" i="3" s="1"/>
  <c r="B447" i="3"/>
  <c r="C459" i="3" s="1"/>
  <c r="B446" i="3"/>
  <c r="B445" i="3"/>
  <c r="B444" i="3"/>
  <c r="C456" i="3" s="1"/>
  <c r="B443" i="3"/>
  <c r="B442" i="3"/>
  <c r="B441" i="3"/>
  <c r="C453" i="3" s="1"/>
  <c r="B440" i="3"/>
  <c r="C452" i="3" s="1"/>
  <c r="C439" i="3"/>
  <c r="B439" i="3"/>
  <c r="C451" i="3" s="1"/>
  <c r="C438" i="3"/>
  <c r="B438" i="3"/>
  <c r="C450" i="3" s="1"/>
  <c r="B437" i="3"/>
  <c r="C436" i="3"/>
  <c r="B436" i="3"/>
  <c r="B435" i="3"/>
  <c r="B434" i="3"/>
  <c r="C446" i="3" s="1"/>
  <c r="C433" i="3"/>
  <c r="B433" i="3"/>
  <c r="C445" i="3" s="1"/>
  <c r="B432" i="3"/>
  <c r="B431" i="3"/>
  <c r="C443" i="3" s="1"/>
  <c r="B430" i="3"/>
  <c r="B429" i="3"/>
  <c r="B428" i="3"/>
  <c r="C427" i="3"/>
  <c r="B427" i="3"/>
  <c r="B426" i="3"/>
  <c r="B425" i="3"/>
  <c r="C425" i="3" s="1"/>
  <c r="B424" i="3"/>
  <c r="C423" i="3"/>
  <c r="B423" i="3"/>
  <c r="C435" i="3" s="1"/>
  <c r="B422" i="3"/>
  <c r="B421" i="3"/>
  <c r="C420" i="3"/>
  <c r="B420" i="3"/>
  <c r="C432" i="3" s="1"/>
  <c r="B419" i="3"/>
  <c r="B418" i="3"/>
  <c r="C417" i="3"/>
  <c r="B417" i="3"/>
  <c r="C429" i="3" s="1"/>
  <c r="B416" i="3"/>
  <c r="B415" i="3"/>
  <c r="C415" i="3" s="1"/>
  <c r="B414" i="3"/>
  <c r="B413" i="3"/>
  <c r="B412" i="3"/>
  <c r="C411" i="3"/>
  <c r="B411" i="3"/>
  <c r="B410" i="3"/>
  <c r="B409" i="3"/>
  <c r="C409" i="3" s="1"/>
  <c r="B408" i="3"/>
  <c r="C407" i="3"/>
  <c r="B407" i="3"/>
  <c r="C419" i="3" s="1"/>
  <c r="B406" i="3"/>
  <c r="B405" i="3"/>
  <c r="C404" i="3"/>
  <c r="B404" i="3"/>
  <c r="C416" i="3" s="1"/>
  <c r="B403" i="3"/>
  <c r="B402" i="3"/>
  <c r="C401" i="3"/>
  <c r="B401" i="3"/>
  <c r="C413" i="3" s="1"/>
  <c r="B400" i="3"/>
  <c r="B399" i="3"/>
  <c r="C399" i="3" s="1"/>
  <c r="B398" i="3"/>
  <c r="B397" i="3"/>
  <c r="B396" i="3"/>
  <c r="C396" i="3" s="1"/>
  <c r="C395" i="3"/>
  <c r="B395" i="3"/>
  <c r="B394" i="3"/>
  <c r="B393" i="3"/>
  <c r="C405" i="3" s="1"/>
  <c r="B392" i="3"/>
  <c r="C391" i="3"/>
  <c r="B391" i="3"/>
  <c r="C403" i="3" s="1"/>
  <c r="B390" i="3"/>
  <c r="B389" i="3"/>
  <c r="C388" i="3"/>
  <c r="B388" i="3"/>
  <c r="C400" i="3" s="1"/>
  <c r="B387" i="3"/>
  <c r="B386" i="3"/>
  <c r="C385" i="3"/>
  <c r="B385" i="3"/>
  <c r="C397" i="3" s="1"/>
  <c r="B384" i="3"/>
  <c r="B383" i="3"/>
  <c r="C383" i="3" s="1"/>
  <c r="B382" i="3"/>
  <c r="B381" i="3"/>
  <c r="B380" i="3"/>
  <c r="C380" i="3" s="1"/>
  <c r="C379" i="3"/>
  <c r="B379" i="3"/>
  <c r="B378" i="3"/>
  <c r="B377" i="3"/>
  <c r="C389" i="3" s="1"/>
  <c r="B376" i="3"/>
  <c r="C375" i="3"/>
  <c r="B375" i="3"/>
  <c r="C387" i="3" s="1"/>
  <c r="B374" i="3"/>
  <c r="B373" i="3"/>
  <c r="C372" i="3"/>
  <c r="B372" i="3"/>
  <c r="C384" i="3" s="1"/>
  <c r="B371" i="3"/>
  <c r="B370" i="3"/>
  <c r="C369" i="3"/>
  <c r="B369" i="3"/>
  <c r="C381" i="3" s="1"/>
  <c r="B368" i="3"/>
  <c r="B367" i="3"/>
  <c r="C367" i="3" s="1"/>
  <c r="B366" i="3"/>
  <c r="B365" i="3"/>
  <c r="B364" i="3"/>
  <c r="C363" i="3"/>
  <c r="B363" i="3"/>
  <c r="B362" i="3"/>
  <c r="B361" i="3"/>
  <c r="C361" i="3" s="1"/>
  <c r="B360" i="3"/>
  <c r="C359" i="3"/>
  <c r="B359" i="3"/>
  <c r="C371" i="3" s="1"/>
  <c r="B358" i="3"/>
  <c r="B357" i="3"/>
  <c r="C356" i="3"/>
  <c r="B356" i="3"/>
  <c r="C368" i="3" s="1"/>
  <c r="B355" i="3"/>
  <c r="B354" i="3"/>
  <c r="C353" i="3"/>
  <c r="B353" i="3"/>
  <c r="C365" i="3" s="1"/>
  <c r="B352" i="3"/>
  <c r="B351" i="3"/>
  <c r="C351" i="3" s="1"/>
  <c r="B350" i="3"/>
  <c r="B349" i="3"/>
  <c r="B348" i="3"/>
  <c r="C348" i="3" s="1"/>
  <c r="C347" i="3"/>
  <c r="B347" i="3"/>
  <c r="B346" i="3"/>
  <c r="B345" i="3"/>
  <c r="C357" i="3" s="1"/>
  <c r="B344" i="3"/>
  <c r="C343" i="3"/>
  <c r="B343" i="3"/>
  <c r="C355" i="3" s="1"/>
  <c r="B342" i="3"/>
  <c r="B341" i="3"/>
  <c r="C340" i="3"/>
  <c r="B340" i="3"/>
  <c r="C352" i="3" s="1"/>
  <c r="B339" i="3"/>
  <c r="B338" i="3"/>
  <c r="C337" i="3"/>
  <c r="B337" i="3"/>
  <c r="C349" i="3" s="1"/>
  <c r="B336" i="3"/>
  <c r="B335" i="3"/>
  <c r="C335" i="3" s="1"/>
  <c r="B334" i="3"/>
  <c r="B333" i="3"/>
  <c r="B332" i="3"/>
  <c r="C331" i="3"/>
  <c r="B331" i="3"/>
  <c r="B330" i="3"/>
  <c r="B329" i="3"/>
  <c r="C341" i="3" s="1"/>
  <c r="B328" i="3"/>
  <c r="C327" i="3"/>
  <c r="B327" i="3"/>
  <c r="C339" i="3" s="1"/>
  <c r="B326" i="3"/>
  <c r="B325" i="3"/>
  <c r="C324" i="3"/>
  <c r="B324" i="3"/>
  <c r="C336" i="3" s="1"/>
  <c r="B323" i="3"/>
  <c r="B322" i="3"/>
  <c r="C321" i="3"/>
  <c r="B321" i="3"/>
  <c r="C333" i="3" s="1"/>
  <c r="B320" i="3"/>
  <c r="B319" i="3"/>
  <c r="C319" i="3" s="1"/>
  <c r="B318" i="3"/>
  <c r="B317" i="3"/>
  <c r="B316" i="3"/>
  <c r="C316" i="3" s="1"/>
  <c r="C315" i="3"/>
  <c r="B315" i="3"/>
  <c r="B314" i="3"/>
  <c r="B313" i="3"/>
  <c r="C325" i="3" s="1"/>
  <c r="B312" i="3"/>
  <c r="C311" i="3"/>
  <c r="B311" i="3"/>
  <c r="C323" i="3" s="1"/>
  <c r="B310" i="3"/>
  <c r="B309" i="3"/>
  <c r="C308" i="3"/>
  <c r="B308" i="3"/>
  <c r="C320" i="3" s="1"/>
  <c r="B307" i="3"/>
  <c r="B306" i="3"/>
  <c r="C305" i="3"/>
  <c r="B305" i="3"/>
  <c r="C317" i="3" s="1"/>
  <c r="B304" i="3"/>
  <c r="B303" i="3"/>
  <c r="C303" i="3" s="1"/>
  <c r="B302" i="3"/>
  <c r="B301" i="3"/>
  <c r="B300" i="3"/>
  <c r="C299" i="3"/>
  <c r="B299" i="3"/>
  <c r="B298" i="3"/>
  <c r="B297" i="3"/>
  <c r="C309" i="3" s="1"/>
  <c r="B296" i="3"/>
  <c r="C295" i="3"/>
  <c r="B295" i="3"/>
  <c r="C307" i="3" s="1"/>
  <c r="B294" i="3"/>
  <c r="B293" i="3"/>
  <c r="C292" i="3"/>
  <c r="B292" i="3"/>
  <c r="C304" i="3" s="1"/>
  <c r="B291" i="3"/>
  <c r="B290" i="3"/>
  <c r="C289" i="3"/>
  <c r="B289" i="3"/>
  <c r="C301" i="3" s="1"/>
  <c r="B288" i="3"/>
  <c r="B287" i="3"/>
  <c r="C287" i="3" s="1"/>
  <c r="B286" i="3"/>
  <c r="B285" i="3"/>
  <c r="B284" i="3"/>
  <c r="C284" i="3" s="1"/>
  <c r="C283" i="3"/>
  <c r="B283" i="3"/>
  <c r="B282" i="3"/>
  <c r="B281" i="3"/>
  <c r="C281" i="3" s="1"/>
  <c r="B280" i="3"/>
  <c r="C279" i="3"/>
  <c r="B279" i="3"/>
  <c r="C291" i="3" s="1"/>
  <c r="B278" i="3"/>
  <c r="B277" i="3"/>
  <c r="B276" i="3"/>
  <c r="C288" i="3" s="1"/>
  <c r="B275" i="3"/>
  <c r="B274" i="3"/>
  <c r="C273" i="3"/>
  <c r="B273" i="3"/>
  <c r="C285" i="3" s="1"/>
  <c r="B272" i="3"/>
  <c r="B271" i="3"/>
  <c r="C271" i="3" s="1"/>
  <c r="B270" i="3"/>
  <c r="C269" i="3"/>
  <c r="B269" i="3"/>
  <c r="B268" i="3"/>
  <c r="C267" i="3"/>
  <c r="B267" i="3"/>
  <c r="B266" i="3"/>
  <c r="C278" i="3" s="1"/>
  <c r="B265" i="3"/>
  <c r="C277" i="3" s="1"/>
  <c r="B264" i="3"/>
  <c r="C276" i="3" s="1"/>
  <c r="B263" i="3"/>
  <c r="C263" i="3" s="1"/>
  <c r="B262" i="3"/>
  <c r="C274" i="3" s="1"/>
  <c r="B261" i="3"/>
  <c r="C261" i="3" s="1"/>
  <c r="B260" i="3"/>
  <c r="C272" i="3" s="1"/>
  <c r="B259" i="3"/>
  <c r="C258" i="3"/>
  <c r="B258" i="3"/>
  <c r="B257" i="3"/>
  <c r="B256" i="3"/>
  <c r="C268" i="3" s="1"/>
  <c r="C255" i="3"/>
  <c r="B255" i="3"/>
  <c r="B254" i="3"/>
  <c r="C266" i="3" s="1"/>
  <c r="B253" i="3"/>
  <c r="C265" i="3" s="1"/>
  <c r="C252" i="3"/>
  <c r="B252" i="3"/>
  <c r="B251" i="3"/>
  <c r="B250" i="3"/>
  <c r="C262" i="3" s="1"/>
  <c r="C249" i="3"/>
  <c r="B249" i="3"/>
  <c r="B248" i="3"/>
  <c r="C260" i="3" s="1"/>
  <c r="B247" i="3"/>
  <c r="V1192" i="3" s="1"/>
  <c r="C246" i="3"/>
  <c r="B246" i="3"/>
  <c r="B245" i="3"/>
  <c r="C257" i="3" s="1"/>
  <c r="B244" i="3"/>
  <c r="C256" i="3" s="1"/>
  <c r="C243" i="3"/>
  <c r="B243" i="3"/>
  <c r="B242" i="3"/>
  <c r="C254" i="3" s="1"/>
  <c r="B241" i="3"/>
  <c r="C253" i="3" s="1"/>
  <c r="B240" i="3"/>
  <c r="B239" i="3"/>
  <c r="C251" i="3" s="1"/>
  <c r="B238" i="3"/>
  <c r="C237" i="3"/>
  <c r="B237" i="3"/>
  <c r="B236" i="3"/>
  <c r="C248" i="3" s="1"/>
  <c r="C235" i="3"/>
  <c r="B235" i="3"/>
  <c r="B234" i="3"/>
  <c r="B233" i="3"/>
  <c r="C245" i="3" s="1"/>
  <c r="B232" i="3"/>
  <c r="C244" i="3" s="1"/>
  <c r="B231" i="3"/>
  <c r="C231" i="3" s="1"/>
  <c r="B230" i="3"/>
  <c r="C242" i="3" s="1"/>
  <c r="B229" i="3"/>
  <c r="B228" i="3"/>
  <c r="C240" i="3" s="1"/>
  <c r="B227" i="3"/>
  <c r="C226" i="3"/>
  <c r="B226" i="3"/>
  <c r="B225" i="3"/>
  <c r="B224" i="3"/>
  <c r="C236" i="3" s="1"/>
  <c r="C223" i="3"/>
  <c r="B223" i="3"/>
  <c r="B222" i="3"/>
  <c r="C234" i="3" s="1"/>
  <c r="B221" i="3"/>
  <c r="C233" i="3" s="1"/>
  <c r="C220" i="3"/>
  <c r="B220" i="3"/>
  <c r="B219" i="3"/>
  <c r="B218" i="3"/>
  <c r="C230" i="3" s="1"/>
  <c r="C217" i="3"/>
  <c r="B217" i="3"/>
  <c r="B216" i="3"/>
  <c r="C228" i="3" s="1"/>
  <c r="B215" i="3"/>
  <c r="C215" i="3" s="1"/>
  <c r="C214" i="3"/>
  <c r="B214" i="3"/>
  <c r="B213" i="3"/>
  <c r="C225" i="3" s="1"/>
  <c r="B212" i="3"/>
  <c r="C224" i="3" s="1"/>
  <c r="C211" i="3"/>
  <c r="B211" i="3"/>
  <c r="B210" i="3"/>
  <c r="C222" i="3" s="1"/>
  <c r="B209" i="3"/>
  <c r="C221" i="3" s="1"/>
  <c r="B208" i="3"/>
  <c r="B207" i="3"/>
  <c r="C219" i="3" s="1"/>
  <c r="B206" i="3"/>
  <c r="C205" i="3"/>
  <c r="B205" i="3"/>
  <c r="B204" i="3"/>
  <c r="C216" i="3" s="1"/>
  <c r="C203" i="3"/>
  <c r="B203" i="3"/>
  <c r="B202" i="3"/>
  <c r="B201" i="3"/>
  <c r="C213" i="3" s="1"/>
  <c r="B200" i="3"/>
  <c r="C212" i="3" s="1"/>
  <c r="B199" i="3"/>
  <c r="C199" i="3" s="1"/>
  <c r="B198" i="3"/>
  <c r="C210" i="3" s="1"/>
  <c r="B197" i="3"/>
  <c r="B196" i="3"/>
  <c r="C208" i="3" s="1"/>
  <c r="B195" i="3"/>
  <c r="C194" i="3"/>
  <c r="B194" i="3"/>
  <c r="B193" i="3"/>
  <c r="B192" i="3"/>
  <c r="C204" i="3" s="1"/>
  <c r="C191" i="3"/>
  <c r="B191" i="3"/>
  <c r="B190" i="3"/>
  <c r="C202" i="3" s="1"/>
  <c r="B189" i="3"/>
  <c r="C201" i="3" s="1"/>
  <c r="C188" i="3"/>
  <c r="B188" i="3"/>
  <c r="B187" i="3"/>
  <c r="B186" i="3"/>
  <c r="C198" i="3" s="1"/>
  <c r="C185" i="3"/>
  <c r="B185" i="3"/>
  <c r="B184" i="3"/>
  <c r="C196" i="3" s="1"/>
  <c r="B183" i="3"/>
  <c r="C195" i="3" s="1"/>
  <c r="C182" i="3"/>
  <c r="B182" i="3"/>
  <c r="B181" i="3"/>
  <c r="C193" i="3" s="1"/>
  <c r="B180" i="3"/>
  <c r="C192" i="3" s="1"/>
  <c r="C179" i="3"/>
  <c r="B179" i="3"/>
  <c r="B178" i="3"/>
  <c r="C190" i="3" s="1"/>
  <c r="B177" i="3"/>
  <c r="C189" i="3" s="1"/>
  <c r="B176" i="3"/>
  <c r="B175" i="3"/>
  <c r="C175" i="3" s="1"/>
  <c r="B174" i="3"/>
  <c r="C173" i="3"/>
  <c r="B173" i="3"/>
  <c r="B172" i="3"/>
  <c r="C184" i="3" s="1"/>
  <c r="C171" i="3"/>
  <c r="B171" i="3"/>
  <c r="B170" i="3"/>
  <c r="B169" i="3"/>
  <c r="C181" i="3" s="1"/>
  <c r="B168" i="3"/>
  <c r="C180" i="3" s="1"/>
  <c r="B167" i="3"/>
  <c r="C167" i="3" s="1"/>
  <c r="B166" i="3"/>
  <c r="C178" i="3" s="1"/>
  <c r="B165" i="3"/>
  <c r="B164" i="3"/>
  <c r="C176" i="3" s="1"/>
  <c r="B163" i="3"/>
  <c r="C162" i="3"/>
  <c r="B162" i="3"/>
  <c r="B161" i="3"/>
  <c r="B160" i="3"/>
  <c r="C172" i="3" s="1"/>
  <c r="C159" i="3"/>
  <c r="B159" i="3"/>
  <c r="B158" i="3"/>
  <c r="C170" i="3" s="1"/>
  <c r="B157" i="3"/>
  <c r="C169" i="3" s="1"/>
  <c r="C156" i="3"/>
  <c r="B156" i="3"/>
  <c r="B155" i="3"/>
  <c r="B154" i="3"/>
  <c r="C166" i="3" s="1"/>
  <c r="C153" i="3"/>
  <c r="B153" i="3"/>
  <c r="B152" i="3"/>
  <c r="C164" i="3" s="1"/>
  <c r="B151" i="3"/>
  <c r="C163" i="3" s="1"/>
  <c r="C150" i="3"/>
  <c r="B150" i="3"/>
  <c r="B149" i="3"/>
  <c r="C161" i="3" s="1"/>
  <c r="B148" i="3"/>
  <c r="C160" i="3" s="1"/>
  <c r="C147" i="3"/>
  <c r="B147" i="3"/>
  <c r="B146" i="3"/>
  <c r="C158" i="3" s="1"/>
  <c r="B145" i="3"/>
  <c r="C157" i="3" s="1"/>
  <c r="B144" i="3"/>
  <c r="B143" i="3"/>
  <c r="C155" i="3" s="1"/>
  <c r="B142" i="3"/>
  <c r="C141" i="3"/>
  <c r="B141" i="3"/>
  <c r="B140" i="3"/>
  <c r="C152" i="3" s="1"/>
  <c r="C139" i="3"/>
  <c r="B139" i="3"/>
  <c r="B138" i="3"/>
  <c r="B137" i="3"/>
  <c r="C149" i="3" s="1"/>
  <c r="B136" i="3"/>
  <c r="C148" i="3" s="1"/>
  <c r="B135" i="3"/>
  <c r="C135" i="3" s="1"/>
  <c r="B134" i="3"/>
  <c r="C146" i="3" s="1"/>
  <c r="B133" i="3"/>
  <c r="B132" i="3"/>
  <c r="C144" i="3" s="1"/>
  <c r="B131" i="3"/>
  <c r="C130" i="3"/>
  <c r="B130" i="3"/>
  <c r="B129" i="3"/>
  <c r="B128" i="3"/>
  <c r="C140" i="3" s="1"/>
  <c r="C127" i="3"/>
  <c r="B127" i="3"/>
  <c r="B126" i="3"/>
  <c r="C138" i="3" s="1"/>
  <c r="B125" i="3"/>
  <c r="C137" i="3" s="1"/>
  <c r="C124" i="3"/>
  <c r="B124" i="3"/>
  <c r="B123" i="3"/>
  <c r="B122" i="3"/>
  <c r="C134" i="3" s="1"/>
  <c r="C121" i="3"/>
  <c r="B121" i="3"/>
  <c r="B120" i="3"/>
  <c r="C132" i="3" s="1"/>
  <c r="B119" i="3"/>
  <c r="C131" i="3" s="1"/>
  <c r="C118" i="3"/>
  <c r="B118" i="3"/>
  <c r="B117" i="3"/>
  <c r="C129" i="3" s="1"/>
  <c r="B116" i="3"/>
  <c r="C128" i="3" s="1"/>
  <c r="C115" i="3"/>
  <c r="B115" i="3"/>
  <c r="B114" i="3"/>
  <c r="C126" i="3" s="1"/>
  <c r="B113" i="3"/>
  <c r="C125" i="3" s="1"/>
  <c r="B112" i="3"/>
  <c r="B111" i="3"/>
  <c r="C123" i="3" s="1"/>
  <c r="B110" i="3"/>
  <c r="C109" i="3"/>
  <c r="B109" i="3"/>
  <c r="B108" i="3"/>
  <c r="C120" i="3" s="1"/>
  <c r="C107" i="3"/>
  <c r="B107" i="3"/>
  <c r="B106" i="3"/>
  <c r="B105" i="3"/>
  <c r="C117" i="3" s="1"/>
  <c r="B104" i="3"/>
  <c r="C116" i="3" s="1"/>
  <c r="B103" i="3"/>
  <c r="C103" i="3" s="1"/>
  <c r="B102" i="3"/>
  <c r="C114" i="3" s="1"/>
  <c r="B101" i="3"/>
  <c r="B100" i="3"/>
  <c r="C112" i="3" s="1"/>
  <c r="B99" i="3"/>
  <c r="C98" i="3"/>
  <c r="B98" i="3"/>
  <c r="B97" i="3"/>
  <c r="B96" i="3"/>
  <c r="C108" i="3" s="1"/>
  <c r="C95" i="3"/>
  <c r="B95" i="3"/>
  <c r="B94" i="3"/>
  <c r="C106" i="3" s="1"/>
  <c r="B93" i="3"/>
  <c r="C105" i="3" s="1"/>
  <c r="C92" i="3"/>
  <c r="B92" i="3"/>
  <c r="B91" i="3"/>
  <c r="B90" i="3"/>
  <c r="C102" i="3" s="1"/>
  <c r="C89" i="3"/>
  <c r="B89" i="3"/>
  <c r="B88" i="3"/>
  <c r="C100" i="3" s="1"/>
  <c r="B87" i="3"/>
  <c r="C99" i="3" s="1"/>
  <c r="C86" i="3"/>
  <c r="B86" i="3"/>
  <c r="B85" i="3"/>
  <c r="C97" i="3" s="1"/>
  <c r="B84" i="3"/>
  <c r="C96" i="3" s="1"/>
  <c r="C83" i="3"/>
  <c r="B83" i="3"/>
  <c r="B82" i="3"/>
  <c r="C94" i="3" s="1"/>
  <c r="B81" i="3"/>
  <c r="C93" i="3" s="1"/>
  <c r="B80" i="3"/>
  <c r="B79" i="3"/>
  <c r="C91" i="3" s="1"/>
  <c r="B78" i="3"/>
  <c r="C77" i="3"/>
  <c r="B77" i="3"/>
  <c r="B76" i="3"/>
  <c r="C88" i="3" s="1"/>
  <c r="C75" i="3"/>
  <c r="B75" i="3"/>
  <c r="B74" i="3"/>
  <c r="B73" i="3"/>
  <c r="C85" i="3" s="1"/>
  <c r="B72" i="3"/>
  <c r="C84" i="3" s="1"/>
  <c r="B71" i="3"/>
  <c r="C71" i="3" s="1"/>
  <c r="B70" i="3"/>
  <c r="C82" i="3" s="1"/>
  <c r="B69" i="3"/>
  <c r="B68" i="3"/>
  <c r="C80" i="3" s="1"/>
  <c r="B67" i="3"/>
  <c r="C66" i="3"/>
  <c r="B66" i="3"/>
  <c r="B65" i="3"/>
  <c r="B64" i="3"/>
  <c r="C76" i="3" s="1"/>
  <c r="C63" i="3"/>
  <c r="B63" i="3"/>
  <c r="B62" i="3"/>
  <c r="C74" i="3" s="1"/>
  <c r="B61" i="3"/>
  <c r="C73" i="3" s="1"/>
  <c r="C60" i="3"/>
  <c r="B60" i="3"/>
  <c r="B59" i="3"/>
  <c r="B58" i="3"/>
  <c r="C70" i="3" s="1"/>
  <c r="C57" i="3"/>
  <c r="B57" i="3"/>
  <c r="B56" i="3"/>
  <c r="C68" i="3" s="1"/>
  <c r="B55" i="3"/>
  <c r="C67" i="3" s="1"/>
  <c r="C54" i="3"/>
  <c r="D65" i="3" s="1"/>
  <c r="B54" i="3"/>
  <c r="B53" i="3"/>
  <c r="C65" i="3" s="1"/>
  <c r="B52" i="3"/>
  <c r="C64" i="3" s="1"/>
  <c r="C51" i="3"/>
  <c r="B51" i="3"/>
  <c r="B50" i="3"/>
  <c r="C62" i="3" s="1"/>
  <c r="C49" i="3"/>
  <c r="B49" i="3"/>
  <c r="C61" i="3" s="1"/>
  <c r="B48" i="3"/>
  <c r="B47" i="3"/>
  <c r="C59" i="3" s="1"/>
  <c r="B46" i="3"/>
  <c r="C58" i="3" s="1"/>
  <c r="B45" i="3"/>
  <c r="B44" i="3"/>
  <c r="C56" i="3" s="1"/>
  <c r="D67" i="3" s="1"/>
  <c r="C43" i="3"/>
  <c r="B43" i="3"/>
  <c r="C55" i="3" s="1"/>
  <c r="B42" i="3"/>
  <c r="B41" i="3"/>
  <c r="C53" i="3" s="1"/>
  <c r="C40" i="3"/>
  <c r="B40" i="3"/>
  <c r="B39" i="3"/>
  <c r="B38" i="3"/>
  <c r="C50" i="3" s="1"/>
  <c r="B37" i="3"/>
  <c r="B36" i="3"/>
  <c r="C48" i="3" s="1"/>
  <c r="B35" i="3"/>
  <c r="C47" i="3" s="1"/>
  <c r="B34" i="3"/>
  <c r="B33" i="3"/>
  <c r="C45" i="3" s="1"/>
  <c r="C32" i="3"/>
  <c r="B32" i="3"/>
  <c r="C44" i="3" s="1"/>
  <c r="B31" i="3"/>
  <c r="B30" i="3"/>
  <c r="C42" i="3" s="1"/>
  <c r="C29" i="3"/>
  <c r="B29" i="3"/>
  <c r="B28" i="3"/>
  <c r="B27" i="3"/>
  <c r="C39" i="3" s="1"/>
  <c r="B26" i="3"/>
  <c r="C25" i="3"/>
  <c r="B25" i="3"/>
  <c r="C37" i="3" s="1"/>
  <c r="B24" i="3"/>
  <c r="B23" i="3"/>
  <c r="B22" i="3"/>
  <c r="C34" i="3" s="1"/>
  <c r="C21" i="3"/>
  <c r="B21" i="3"/>
  <c r="B20" i="3"/>
  <c r="B19" i="3"/>
  <c r="C31" i="3" s="1"/>
  <c r="B18" i="3"/>
  <c r="B17" i="3"/>
  <c r="B16" i="3"/>
  <c r="C28" i="3" s="1"/>
  <c r="B15" i="3"/>
  <c r="C27" i="3" s="1"/>
  <c r="B14" i="3"/>
  <c r="B13" i="3"/>
  <c r="B12" i="3"/>
  <c r="C24" i="3" s="1"/>
  <c r="B11" i="3"/>
  <c r="C23" i="3" s="1"/>
  <c r="B10" i="3"/>
  <c r="B9" i="3"/>
  <c r="B8" i="3"/>
  <c r="C20" i="3" s="1"/>
  <c r="B7" i="3"/>
  <c r="V1188" i="3" s="1"/>
  <c r="N29" i="1"/>
  <c r="N28" i="1"/>
  <c r="P20" i="1" s="1"/>
  <c r="Q23" i="1"/>
  <c r="P23" i="1"/>
  <c r="Q22" i="1"/>
  <c r="P22" i="1"/>
  <c r="Q21" i="1"/>
  <c r="P21" i="1"/>
  <c r="Q20" i="1"/>
  <c r="Q19" i="1"/>
  <c r="P19" i="1"/>
  <c r="Q18" i="1"/>
  <c r="P18" i="1"/>
  <c r="Q17" i="1"/>
  <c r="P17" i="1"/>
  <c r="Q16" i="1"/>
  <c r="C90" i="3" l="1"/>
  <c r="C78" i="3"/>
  <c r="D84" i="3" s="1"/>
  <c r="D368" i="3"/>
  <c r="D1164" i="3"/>
  <c r="D428" i="3"/>
  <c r="D97" i="3"/>
  <c r="C122" i="3"/>
  <c r="D131" i="3" s="1"/>
  <c r="C110" i="3"/>
  <c r="C145" i="3"/>
  <c r="C133" i="3"/>
  <c r="D163" i="3"/>
  <c r="D245" i="3"/>
  <c r="D346" i="3"/>
  <c r="D494" i="3"/>
  <c r="C702" i="3"/>
  <c r="C690" i="3"/>
  <c r="D701" i="3" s="1"/>
  <c r="D817" i="3"/>
  <c r="C1021" i="3"/>
  <c r="C1009" i="3"/>
  <c r="D1036" i="3"/>
  <c r="D407" i="3"/>
  <c r="D100" i="3"/>
  <c r="D106" i="3"/>
  <c r="C197" i="3"/>
  <c r="D203" i="3" s="1"/>
  <c r="C209" i="3"/>
  <c r="D219" i="3" s="1"/>
  <c r="D524" i="3"/>
  <c r="C682" i="3"/>
  <c r="C670" i="3"/>
  <c r="D244" i="3"/>
  <c r="C378" i="3"/>
  <c r="C366" i="3"/>
  <c r="C442" i="3"/>
  <c r="C430" i="3"/>
  <c r="D652" i="3"/>
  <c r="D1244" i="3"/>
  <c r="D193" i="3"/>
  <c r="C241" i="3"/>
  <c r="C229" i="3"/>
  <c r="C509" i="3"/>
  <c r="C497" i="3"/>
  <c r="D64" i="3"/>
  <c r="C81" i="3"/>
  <c r="C69" i="3"/>
  <c r="D80" i="3" s="1"/>
  <c r="D187" i="3"/>
  <c r="D254" i="3"/>
  <c r="D366" i="3"/>
  <c r="C606" i="3"/>
  <c r="C594" i="3"/>
  <c r="D649" i="3"/>
  <c r="C814" i="3"/>
  <c r="C802" i="3"/>
  <c r="D812" i="3" s="1"/>
  <c r="C113" i="3"/>
  <c r="C101" i="3"/>
  <c r="D107" i="3" s="1"/>
  <c r="D178" i="3"/>
  <c r="D73" i="3"/>
  <c r="C477" i="3"/>
  <c r="D488" i="3" s="1"/>
  <c r="C465" i="3"/>
  <c r="C603" i="3"/>
  <c r="D612" i="3" s="1"/>
  <c r="C591" i="3"/>
  <c r="D598" i="3" s="1"/>
  <c r="D803" i="3"/>
  <c r="C314" i="3"/>
  <c r="C302" i="3"/>
  <c r="C410" i="3"/>
  <c r="C398" i="3"/>
  <c r="C46" i="3"/>
  <c r="D105" i="3"/>
  <c r="C218" i="3"/>
  <c r="D222" i="3" s="1"/>
  <c r="C206" i="3"/>
  <c r="D215" i="3" s="1"/>
  <c r="D591" i="3"/>
  <c r="D670" i="3"/>
  <c r="D68" i="3"/>
  <c r="D99" i="3"/>
  <c r="D199" i="3"/>
  <c r="C330" i="3"/>
  <c r="C318" i="3"/>
  <c r="D348" i="3"/>
  <c r="C362" i="3"/>
  <c r="C350" i="3"/>
  <c r="D360" i="3" s="1"/>
  <c r="C426" i="3"/>
  <c r="C414" i="3"/>
  <c r="D575" i="3"/>
  <c r="D593" i="3"/>
  <c r="C685" i="3"/>
  <c r="D696" i="3" s="1"/>
  <c r="C673" i="3"/>
  <c r="D796" i="3"/>
  <c r="C971" i="3"/>
  <c r="C959" i="3"/>
  <c r="C1011" i="3"/>
  <c r="C999" i="3"/>
  <c r="D1004" i="3" s="1"/>
  <c r="D1231" i="3"/>
  <c r="D723" i="3"/>
  <c r="C186" i="3"/>
  <c r="C174" i="3"/>
  <c r="D180" i="3" s="1"/>
  <c r="D237" i="3"/>
  <c r="D645" i="3"/>
  <c r="C843" i="3"/>
  <c r="D853" i="3" s="1"/>
  <c r="C831" i="3"/>
  <c r="D114" i="3"/>
  <c r="C282" i="3"/>
  <c r="C270" i="3"/>
  <c r="C346" i="3"/>
  <c r="D357" i="3" s="1"/>
  <c r="C334" i="3"/>
  <c r="D370" i="3"/>
  <c r="C573" i="3"/>
  <c r="C561" i="3"/>
  <c r="D921" i="3"/>
  <c r="C35" i="3"/>
  <c r="D223" i="3"/>
  <c r="C624" i="3"/>
  <c r="C612" i="3"/>
  <c r="D621" i="3" s="1"/>
  <c r="C22" i="3"/>
  <c r="C30" i="3"/>
  <c r="D111" i="3"/>
  <c r="C154" i="3"/>
  <c r="D165" i="3" s="1"/>
  <c r="C142" i="3"/>
  <c r="D148" i="3" s="1"/>
  <c r="D164" i="3"/>
  <c r="C177" i="3"/>
  <c r="C165" i="3"/>
  <c r="D195" i="3"/>
  <c r="C298" i="3"/>
  <c r="C286" i="3"/>
  <c r="C394" i="3"/>
  <c r="C382" i="3"/>
  <c r="C38" i="3"/>
  <c r="D48" i="3" s="1"/>
  <c r="C26" i="3"/>
  <c r="D66" i="3"/>
  <c r="D87" i="3"/>
  <c r="D166" i="3"/>
  <c r="D225" i="3"/>
  <c r="C238" i="3"/>
  <c r="D239" i="3" s="1"/>
  <c r="C250" i="3"/>
  <c r="D259" i="3" s="1"/>
  <c r="D272" i="3"/>
  <c r="D438" i="3"/>
  <c r="C541" i="3"/>
  <c r="C529" i="3"/>
  <c r="D594" i="3"/>
  <c r="C651" i="3"/>
  <c r="D758" i="3"/>
  <c r="C810" i="3"/>
  <c r="C822" i="3"/>
  <c r="D948" i="3"/>
  <c r="C1058" i="3"/>
  <c r="C1070" i="3"/>
  <c r="C1088" i="3"/>
  <c r="C1076" i="3"/>
  <c r="C151" i="3"/>
  <c r="D162" i="3" s="1"/>
  <c r="C183" i="3"/>
  <c r="C247" i="3"/>
  <c r="D258" i="3" s="1"/>
  <c r="C444" i="3"/>
  <c r="C647" i="3"/>
  <c r="C694" i="3"/>
  <c r="C755" i="3"/>
  <c r="D851" i="3"/>
  <c r="C40" i="4"/>
  <c r="D51" i="4"/>
  <c r="C90" i="4"/>
  <c r="C91" i="4"/>
  <c r="D102" i="4"/>
  <c r="D202" i="4"/>
  <c r="C190" i="4"/>
  <c r="C191" i="4"/>
  <c r="D226" i="4"/>
  <c r="C215" i="4"/>
  <c r="C333" i="4"/>
  <c r="D332" i="4"/>
  <c r="C332" i="4"/>
  <c r="D344" i="4"/>
  <c r="C33" i="3"/>
  <c r="D38" i="3" s="1"/>
  <c r="C312" i="3"/>
  <c r="C376" i="3"/>
  <c r="C373" i="3"/>
  <c r="D384" i="3" s="1"/>
  <c r="C424" i="3"/>
  <c r="C440" i="3"/>
  <c r="D449" i="3" s="1"/>
  <c r="C437" i="3"/>
  <c r="C441" i="3"/>
  <c r="C473" i="3"/>
  <c r="C569" i="3"/>
  <c r="C683" i="3"/>
  <c r="D694" i="3" s="1"/>
  <c r="C717" i="3"/>
  <c r="C713" i="3"/>
  <c r="D722" i="3" s="1"/>
  <c r="C874" i="3"/>
  <c r="D884" i="3" s="1"/>
  <c r="C956" i="3"/>
  <c r="C1073" i="3"/>
  <c r="C1162" i="3"/>
  <c r="U1189" i="3"/>
  <c r="C1203" i="3"/>
  <c r="D31" i="4"/>
  <c r="C19" i="4"/>
  <c r="C114" i="4"/>
  <c r="D126" i="4"/>
  <c r="C72" i="3"/>
  <c r="D81" i="3" s="1"/>
  <c r="C104" i="3"/>
  <c r="C136" i="3"/>
  <c r="D147" i="3" s="1"/>
  <c r="C168" i="3"/>
  <c r="C200" i="3"/>
  <c r="D211" i="3" s="1"/>
  <c r="C232" i="3"/>
  <c r="C264" i="3"/>
  <c r="D273" i="3" s="1"/>
  <c r="C448" i="3"/>
  <c r="C480" i="3"/>
  <c r="C512" i="3"/>
  <c r="C517" i="3"/>
  <c r="C544" i="3"/>
  <c r="C549" i="3"/>
  <c r="C576" i="3"/>
  <c r="D590" i="3"/>
  <c r="C635" i="3"/>
  <c r="D673" i="3"/>
  <c r="C734" i="3"/>
  <c r="C770" i="3"/>
  <c r="D777" i="3" s="1"/>
  <c r="D788" i="3"/>
  <c r="C825" i="3"/>
  <c r="C851" i="3"/>
  <c r="C839" i="3"/>
  <c r="C859" i="3"/>
  <c r="C847" i="3"/>
  <c r="D883" i="3"/>
  <c r="C979" i="3"/>
  <c r="C967" i="3"/>
  <c r="D1122" i="3"/>
  <c r="C1145" i="3"/>
  <c r="C50" i="4"/>
  <c r="D62" i="4"/>
  <c r="C80" i="4"/>
  <c r="D91" i="4"/>
  <c r="C133" i="4"/>
  <c r="D144" i="4"/>
  <c r="C178" i="4"/>
  <c r="D190" i="4"/>
  <c r="C208" i="4"/>
  <c r="D219" i="4"/>
  <c r="C261" i="4"/>
  <c r="D272" i="4"/>
  <c r="C306" i="4"/>
  <c r="D318" i="4"/>
  <c r="C336" i="4"/>
  <c r="D347" i="4"/>
  <c r="C389" i="4"/>
  <c r="D400" i="4"/>
  <c r="C456" i="4"/>
  <c r="D467" i="4"/>
  <c r="C455" i="4"/>
  <c r="C474" i="4"/>
  <c r="C475" i="4"/>
  <c r="D486" i="4"/>
  <c r="C530" i="4"/>
  <c r="C531" i="4"/>
  <c r="C578" i="4"/>
  <c r="C579" i="4"/>
  <c r="D1154" i="3"/>
  <c r="C1205" i="3"/>
  <c r="D45" i="4"/>
  <c r="D33" i="4"/>
  <c r="C72" i="4"/>
  <c r="D83" i="4"/>
  <c r="D106" i="4"/>
  <c r="C94" i="4"/>
  <c r="C95" i="4"/>
  <c r="C109" i="4"/>
  <c r="D108" i="4"/>
  <c r="C108" i="4"/>
  <c r="D120" i="4"/>
  <c r="D130" i="4"/>
  <c r="C119" i="4"/>
  <c r="C122" i="4"/>
  <c r="C123" i="4"/>
  <c r="D134" i="4"/>
  <c r="D173" i="4"/>
  <c r="D161" i="4"/>
  <c r="C200" i="4"/>
  <c r="D211" i="4"/>
  <c r="D234" i="4"/>
  <c r="C222" i="4"/>
  <c r="C223" i="4"/>
  <c r="C237" i="4"/>
  <c r="D236" i="4"/>
  <c r="C236" i="4"/>
  <c r="D248" i="4"/>
  <c r="D258" i="4"/>
  <c r="C247" i="4"/>
  <c r="C250" i="4"/>
  <c r="C251" i="4"/>
  <c r="D262" i="4"/>
  <c r="D301" i="4"/>
  <c r="D289" i="4"/>
  <c r="C328" i="4"/>
  <c r="D339" i="4"/>
  <c r="D362" i="4"/>
  <c r="C350" i="4"/>
  <c r="C351" i="4"/>
  <c r="C365" i="4"/>
  <c r="D364" i="4"/>
  <c r="C364" i="4"/>
  <c r="D376" i="4"/>
  <c r="D386" i="4"/>
  <c r="C375" i="4"/>
  <c r="C378" i="4"/>
  <c r="C379" i="4"/>
  <c r="D390" i="4"/>
  <c r="D429" i="4"/>
  <c r="D417" i="4"/>
  <c r="C461" i="4"/>
  <c r="D460" i="4"/>
  <c r="C460" i="4"/>
  <c r="D472" i="4"/>
  <c r="C570" i="4"/>
  <c r="C571" i="4"/>
  <c r="C915" i="3"/>
  <c r="C903" i="3"/>
  <c r="D914" i="3" s="1"/>
  <c r="C923" i="3"/>
  <c r="D934" i="3" s="1"/>
  <c r="C911" i="3"/>
  <c r="D939" i="3"/>
  <c r="C1003" i="3"/>
  <c r="V1204" i="3"/>
  <c r="V1201" i="3"/>
  <c r="C1043" i="3"/>
  <c r="D1054" i="3" s="1"/>
  <c r="C1031" i="3"/>
  <c r="D1131" i="3"/>
  <c r="D1153" i="3"/>
  <c r="C1134" i="3"/>
  <c r="D1159" i="3"/>
  <c r="AF1189" i="3"/>
  <c r="D1219" i="3"/>
  <c r="D29" i="4"/>
  <c r="C18" i="4"/>
  <c r="C17" i="4"/>
  <c r="C33" i="4"/>
  <c r="C48" i="4"/>
  <c r="D59" i="4"/>
  <c r="C71" i="4"/>
  <c r="C101" i="4"/>
  <c r="D112" i="4"/>
  <c r="C118" i="4"/>
  <c r="C146" i="4"/>
  <c r="D158" i="4"/>
  <c r="C161" i="4"/>
  <c r="C176" i="4"/>
  <c r="D187" i="4"/>
  <c r="C199" i="4"/>
  <c r="C229" i="4"/>
  <c r="D240" i="4"/>
  <c r="C246" i="4"/>
  <c r="C274" i="4"/>
  <c r="D286" i="4"/>
  <c r="C289" i="4"/>
  <c r="C304" i="4"/>
  <c r="D315" i="4"/>
  <c r="C327" i="4"/>
  <c r="C357" i="4"/>
  <c r="D368" i="4"/>
  <c r="C402" i="4"/>
  <c r="D414" i="4"/>
  <c r="C432" i="4"/>
  <c r="D443" i="4"/>
  <c r="D453" i="4"/>
  <c r="C441" i="4"/>
  <c r="D458" i="4"/>
  <c r="C446" i="4"/>
  <c r="C447" i="4"/>
  <c r="D493" i="4"/>
  <c r="D481" i="4"/>
  <c r="C496" i="4"/>
  <c r="D507" i="4"/>
  <c r="C562" i="4"/>
  <c r="C563" i="4"/>
  <c r="C506" i="4"/>
  <c r="C507" i="4"/>
  <c r="C522" i="4"/>
  <c r="C523" i="4"/>
  <c r="C554" i="4"/>
  <c r="C555" i="4"/>
  <c r="D650" i="3"/>
  <c r="C87" i="3"/>
  <c r="D98" i="3" s="1"/>
  <c r="C119" i="3"/>
  <c r="D130" i="3" s="1"/>
  <c r="C447" i="3"/>
  <c r="D458" i="3" s="1"/>
  <c r="C476" i="3"/>
  <c r="C508" i="3"/>
  <c r="D610" i="3"/>
  <c r="C667" i="3"/>
  <c r="D847" i="3"/>
  <c r="D996" i="3"/>
  <c r="C1075" i="3"/>
  <c r="C1063" i="3"/>
  <c r="D1074" i="3" s="1"/>
  <c r="D98" i="4"/>
  <c r="C87" i="4"/>
  <c r="C205" i="4"/>
  <c r="D204" i="4"/>
  <c r="C204" i="4"/>
  <c r="D216" i="4"/>
  <c r="C296" i="4"/>
  <c r="D307" i="4"/>
  <c r="D354" i="4"/>
  <c r="C343" i="4"/>
  <c r="C41" i="3"/>
  <c r="C227" i="3"/>
  <c r="D238" i="3" s="1"/>
  <c r="C293" i="3"/>
  <c r="C344" i="3"/>
  <c r="D355" i="3" s="1"/>
  <c r="C421" i="3"/>
  <c r="C664" i="3"/>
  <c r="D667" i="3" s="1"/>
  <c r="C743" i="3"/>
  <c r="D753" i="3" s="1"/>
  <c r="C820" i="3"/>
  <c r="C1023" i="3"/>
  <c r="AD1189" i="3"/>
  <c r="U1197" i="3"/>
  <c r="C69" i="4"/>
  <c r="D80" i="4"/>
  <c r="C272" i="4"/>
  <c r="D283" i="4"/>
  <c r="C325" i="4"/>
  <c r="D336" i="4"/>
  <c r="C370" i="4"/>
  <c r="D382" i="4"/>
  <c r="C19" i="3"/>
  <c r="C79" i="3"/>
  <c r="D90" i="3" s="1"/>
  <c r="C111" i="3"/>
  <c r="D122" i="3" s="1"/>
  <c r="C143" i="3"/>
  <c r="D154" i="3" s="1"/>
  <c r="C290" i="3"/>
  <c r="D301" i="3" s="1"/>
  <c r="C306" i="3"/>
  <c r="D314" i="3" s="1"/>
  <c r="C297" i="3"/>
  <c r="C300" i="3"/>
  <c r="C322" i="3"/>
  <c r="C313" i="3"/>
  <c r="D324" i="3" s="1"/>
  <c r="C338" i="3"/>
  <c r="D349" i="3" s="1"/>
  <c r="C329" i="3"/>
  <c r="C332" i="3"/>
  <c r="D343" i="3" s="1"/>
  <c r="C354" i="3"/>
  <c r="D364" i="3" s="1"/>
  <c r="C345" i="3"/>
  <c r="D356" i="3" s="1"/>
  <c r="C370" i="3"/>
  <c r="D379" i="3" s="1"/>
  <c r="C364" i="3"/>
  <c r="C386" i="3"/>
  <c r="C377" i="3"/>
  <c r="C402" i="3"/>
  <c r="C393" i="3"/>
  <c r="D404" i="3" s="1"/>
  <c r="C418" i="3"/>
  <c r="C412" i="3"/>
  <c r="D422" i="3" s="1"/>
  <c r="C434" i="3"/>
  <c r="D444" i="3" s="1"/>
  <c r="C428" i="3"/>
  <c r="D439" i="3" s="1"/>
  <c r="C431" i="3"/>
  <c r="D442" i="3" s="1"/>
  <c r="D461" i="3"/>
  <c r="C455" i="3"/>
  <c r="D493" i="3"/>
  <c r="C487" i="3"/>
  <c r="C519" i="3"/>
  <c r="C551" i="3"/>
  <c r="D589" i="3"/>
  <c r="C622" i="3"/>
  <c r="C630" i="3"/>
  <c r="D641" i="3" s="1"/>
  <c r="C644" i="3"/>
  <c r="C691" i="3"/>
  <c r="D702" i="3" s="1"/>
  <c r="C705" i="3"/>
  <c r="C738" i="3"/>
  <c r="D748" i="3" s="1"/>
  <c r="C760" i="3"/>
  <c r="D771" i="3" s="1"/>
  <c r="C778" i="3"/>
  <c r="D786" i="3" s="1"/>
  <c r="C799" i="3"/>
  <c r="D808" i="3" s="1"/>
  <c r="D848" i="3"/>
  <c r="C857" i="3"/>
  <c r="C883" i="3"/>
  <c r="V1197" i="3"/>
  <c r="C871" i="3"/>
  <c r="C891" i="3"/>
  <c r="C879" i="3"/>
  <c r="D887" i="3" s="1"/>
  <c r="D915" i="3"/>
  <c r="C913" i="3"/>
  <c r="C938" i="3"/>
  <c r="D993" i="3"/>
  <c r="C988" i="3"/>
  <c r="D1026" i="3"/>
  <c r="C1049" i="3"/>
  <c r="C1055" i="3"/>
  <c r="C1105" i="3"/>
  <c r="C1139" i="3"/>
  <c r="C1127" i="3"/>
  <c r="D1132" i="3" s="1"/>
  <c r="D1158" i="3"/>
  <c r="C1172" i="3"/>
  <c r="D1200" i="3"/>
  <c r="V1189" i="3"/>
  <c r="W1189" i="3" s="1"/>
  <c r="X1189" i="3" s="1"/>
  <c r="X1190" i="3" s="1"/>
  <c r="T1190" i="3" s="1"/>
  <c r="AB1190" i="3" s="1"/>
  <c r="V1200" i="3"/>
  <c r="C1231" i="3"/>
  <c r="C14" i="4"/>
  <c r="C13" i="4"/>
  <c r="C25" i="4"/>
  <c r="D42" i="4"/>
  <c r="D30" i="4"/>
  <c r="C30" i="4"/>
  <c r="C31" i="4"/>
  <c r="C45" i="4"/>
  <c r="D44" i="4"/>
  <c r="C44" i="4"/>
  <c r="D56" i="4"/>
  <c r="D66" i="4"/>
  <c r="C55" i="4"/>
  <c r="C58" i="4"/>
  <c r="C59" i="4"/>
  <c r="D70" i="4"/>
  <c r="C68" i="4"/>
  <c r="D86" i="4"/>
  <c r="D109" i="4"/>
  <c r="D97" i="4"/>
  <c r="C136" i="4"/>
  <c r="D147" i="4"/>
  <c r="C153" i="4"/>
  <c r="D170" i="4"/>
  <c r="C158" i="4"/>
  <c r="C159" i="4"/>
  <c r="C173" i="4"/>
  <c r="D172" i="4"/>
  <c r="C172" i="4"/>
  <c r="D184" i="4"/>
  <c r="D194" i="4"/>
  <c r="C183" i="4"/>
  <c r="C186" i="4"/>
  <c r="C187" i="4"/>
  <c r="D198" i="4"/>
  <c r="C196" i="4"/>
  <c r="D214" i="4"/>
  <c r="D237" i="4"/>
  <c r="D225" i="4"/>
  <c r="C264" i="4"/>
  <c r="D275" i="4"/>
  <c r="C271" i="4"/>
  <c r="C281" i="4"/>
  <c r="D298" i="4"/>
  <c r="C286" i="4"/>
  <c r="C287" i="4"/>
  <c r="C301" i="4"/>
  <c r="D300" i="4"/>
  <c r="C300" i="4"/>
  <c r="D312" i="4"/>
  <c r="D322" i="4"/>
  <c r="C311" i="4"/>
  <c r="C314" i="4"/>
  <c r="C315" i="4"/>
  <c r="D326" i="4"/>
  <c r="C324" i="4"/>
  <c r="D342" i="4"/>
  <c r="D365" i="4"/>
  <c r="D353" i="4"/>
  <c r="C392" i="4"/>
  <c r="D403" i="4"/>
  <c r="C409" i="4"/>
  <c r="D426" i="4"/>
  <c r="C414" i="4"/>
  <c r="C415" i="4"/>
  <c r="C429" i="4"/>
  <c r="D428" i="4"/>
  <c r="C428" i="4"/>
  <c r="D440" i="4"/>
  <c r="C493" i="4"/>
  <c r="D492" i="4"/>
  <c r="C492" i="4"/>
  <c r="D504" i="4"/>
  <c r="C538" i="4"/>
  <c r="C539" i="4"/>
  <c r="D542" i="4"/>
  <c r="C602" i="4"/>
  <c r="C603" i="4"/>
  <c r="C598" i="3"/>
  <c r="C52" i="3"/>
  <c r="D63" i="3" s="1"/>
  <c r="C543" i="3"/>
  <c r="C572" i="3"/>
  <c r="C686" i="3"/>
  <c r="C687" i="3"/>
  <c r="C827" i="3"/>
  <c r="C815" i="3"/>
  <c r="D1002" i="3"/>
  <c r="D1222" i="3"/>
  <c r="C77" i="4"/>
  <c r="D76" i="4"/>
  <c r="C76" i="4"/>
  <c r="D88" i="4"/>
  <c r="D141" i="4"/>
  <c r="D129" i="4"/>
  <c r="C218" i="4"/>
  <c r="C219" i="4"/>
  <c r="D230" i="4"/>
  <c r="D397" i="4"/>
  <c r="D385" i="4"/>
  <c r="C259" i="3"/>
  <c r="D270" i="3" s="1"/>
  <c r="C296" i="3"/>
  <c r="D307" i="3" s="1"/>
  <c r="C360" i="3"/>
  <c r="D371" i="3" s="1"/>
  <c r="C392" i="3"/>
  <c r="C626" i="3"/>
  <c r="D636" i="3" s="1"/>
  <c r="C763" i="3"/>
  <c r="D774" i="3" s="1"/>
  <c r="D814" i="3"/>
  <c r="C828" i="3"/>
  <c r="C866" i="3"/>
  <c r="C895" i="3"/>
  <c r="D994" i="3"/>
  <c r="C1107" i="3"/>
  <c r="C1095" i="3"/>
  <c r="C1140" i="3"/>
  <c r="D1151" i="3" s="1"/>
  <c r="C39" i="4"/>
  <c r="C129" i="4"/>
  <c r="C214" i="4"/>
  <c r="C295" i="4"/>
  <c r="C385" i="4"/>
  <c r="C400" i="4"/>
  <c r="D411" i="4"/>
  <c r="C546" i="4"/>
  <c r="C547" i="4"/>
  <c r="C610" i="4"/>
  <c r="C611" i="4"/>
  <c r="C36" i="3"/>
  <c r="D47" i="3" s="1"/>
  <c r="C187" i="3"/>
  <c r="D198" i="3" s="1"/>
  <c r="C294" i="3"/>
  <c r="C310" i="3"/>
  <c r="D321" i="3" s="1"/>
  <c r="C326" i="3"/>
  <c r="D334" i="3" s="1"/>
  <c r="C342" i="3"/>
  <c r="D352" i="3" s="1"/>
  <c r="C358" i="3"/>
  <c r="D367" i="3" s="1"/>
  <c r="C374" i="3"/>
  <c r="C390" i="3"/>
  <c r="C406" i="3"/>
  <c r="D415" i="3" s="1"/>
  <c r="C422" i="3"/>
  <c r="C472" i="3"/>
  <c r="C504" i="3"/>
  <c r="D511" i="3" s="1"/>
  <c r="C536" i="3"/>
  <c r="D547" i="3" s="1"/>
  <c r="C568" i="3"/>
  <c r="D573" i="3" s="1"/>
  <c r="C577" i="3"/>
  <c r="D588" i="3" s="1"/>
  <c r="C650" i="3"/>
  <c r="C653" i="3"/>
  <c r="D664" i="3" s="1"/>
  <c r="C649" i="3"/>
  <c r="C684" i="3"/>
  <c r="D703" i="3"/>
  <c r="C718" i="3"/>
  <c r="D729" i="3" s="1"/>
  <c r="C726" i="3"/>
  <c r="C740" i="3"/>
  <c r="C795" i="3"/>
  <c r="D802" i="3" s="1"/>
  <c r="C783" i="3"/>
  <c r="D787" i="3" s="1"/>
  <c r="D819" i="3"/>
  <c r="D815" i="3"/>
  <c r="C817" i="3"/>
  <c r="C833" i="3"/>
  <c r="C884" i="3"/>
  <c r="D895" i="3" s="1"/>
  <c r="C892" i="3"/>
  <c r="D903" i="3" s="1"/>
  <c r="C948" i="3"/>
  <c r="C970" i="3"/>
  <c r="C1020" i="3"/>
  <c r="D1028" i="3" s="1"/>
  <c r="D1075" i="3"/>
  <c r="C1081" i="3"/>
  <c r="C1087" i="3"/>
  <c r="D1096" i="3" s="1"/>
  <c r="C1137" i="3"/>
  <c r="C1171" i="3"/>
  <c r="C1159" i="3"/>
  <c r="D1165" i="3" s="1"/>
  <c r="C1186" i="3"/>
  <c r="D1197" i="3" s="1"/>
  <c r="D1198" i="3"/>
  <c r="D1217" i="3"/>
  <c r="D1225" i="3"/>
  <c r="D1223" i="3"/>
  <c r="C8" i="4"/>
  <c r="D20" i="4"/>
  <c r="D25" i="4"/>
  <c r="C37" i="4"/>
  <c r="D48" i="4"/>
  <c r="C54" i="4"/>
  <c r="D68" i="4"/>
  <c r="C82" i="4"/>
  <c r="D94" i="4"/>
  <c r="C97" i="4"/>
  <c r="C112" i="4"/>
  <c r="D123" i="4"/>
  <c r="C115" i="4"/>
  <c r="C135" i="4"/>
  <c r="D153" i="4"/>
  <c r="C165" i="4"/>
  <c r="D176" i="4"/>
  <c r="C182" i="4"/>
  <c r="C210" i="4"/>
  <c r="D222" i="4"/>
  <c r="C225" i="4"/>
  <c r="C240" i="4"/>
  <c r="D251" i="4"/>
  <c r="C263" i="4"/>
  <c r="D281" i="4"/>
  <c r="C293" i="4"/>
  <c r="D304" i="4"/>
  <c r="C310" i="4"/>
  <c r="D324" i="4"/>
  <c r="C338" i="4"/>
  <c r="D350" i="4"/>
  <c r="C353" i="4"/>
  <c r="C368" i="4"/>
  <c r="D379" i="4"/>
  <c r="C371" i="4"/>
  <c r="C391" i="4"/>
  <c r="D409" i="4"/>
  <c r="C421" i="4"/>
  <c r="D432" i="4"/>
  <c r="D461" i="4"/>
  <c r="D449" i="4"/>
  <c r="C464" i="4"/>
  <c r="D475" i="4"/>
  <c r="D485" i="4"/>
  <c r="C473" i="4"/>
  <c r="D490" i="4"/>
  <c r="C478" i="4"/>
  <c r="C479" i="4"/>
  <c r="C514" i="4"/>
  <c r="C515" i="4"/>
  <c r="D518" i="4"/>
  <c r="C594" i="4"/>
  <c r="C595" i="4"/>
  <c r="C479" i="3"/>
  <c r="C511" i="3"/>
  <c r="D522" i="3" s="1"/>
  <c r="C540" i="3"/>
  <c r="D548" i="3" s="1"/>
  <c r="C575" i="3"/>
  <c r="D585" i="3" s="1"/>
  <c r="C621" i="3"/>
  <c r="D631" i="3" s="1"/>
  <c r="C617" i="3"/>
  <c r="C708" i="3"/>
  <c r="D801" i="3"/>
  <c r="C819" i="3"/>
  <c r="C807" i="3"/>
  <c r="D811" i="3" s="1"/>
  <c r="D910" i="3"/>
  <c r="D1094" i="3"/>
  <c r="D1218" i="3"/>
  <c r="D74" i="4"/>
  <c r="C62" i="4"/>
  <c r="C63" i="4"/>
  <c r="C168" i="4"/>
  <c r="D179" i="4"/>
  <c r="D269" i="4"/>
  <c r="D257" i="4"/>
  <c r="D330" i="4"/>
  <c r="C318" i="4"/>
  <c r="C319" i="4"/>
  <c r="C346" i="4"/>
  <c r="C347" i="4"/>
  <c r="D358" i="4"/>
  <c r="C424" i="4"/>
  <c r="D435" i="4"/>
  <c r="C280" i="3"/>
  <c r="D290" i="3" s="1"/>
  <c r="C328" i="3"/>
  <c r="D335" i="3" s="1"/>
  <c r="C408" i="3"/>
  <c r="D419" i="3" s="1"/>
  <c r="C595" i="3"/>
  <c r="D706" i="3"/>
  <c r="C12" i="4"/>
  <c r="C86" i="4"/>
  <c r="C144" i="4"/>
  <c r="D155" i="4"/>
  <c r="C197" i="4"/>
  <c r="D208" i="4"/>
  <c r="C242" i="4"/>
  <c r="D254" i="4"/>
  <c r="C257" i="4"/>
  <c r="C342" i="4"/>
  <c r="C442" i="4"/>
  <c r="C443" i="4"/>
  <c r="D454" i="4"/>
  <c r="C207" i="3"/>
  <c r="D218" i="3" s="1"/>
  <c r="C239" i="3"/>
  <c r="D250" i="3" s="1"/>
  <c r="P16" i="1"/>
  <c r="C275" i="3"/>
  <c r="D286" i="3" s="1"/>
  <c r="C458" i="3"/>
  <c r="D467" i="3" s="1"/>
  <c r="C463" i="3"/>
  <c r="D471" i="3" s="1"/>
  <c r="C490" i="3"/>
  <c r="D495" i="3" s="1"/>
  <c r="C495" i="3"/>
  <c r="D506" i="3" s="1"/>
  <c r="C522" i="3"/>
  <c r="C527" i="3"/>
  <c r="D538" i="3" s="1"/>
  <c r="C554" i="3"/>
  <c r="C559" i="3"/>
  <c r="D570" i="3" s="1"/>
  <c r="C586" i="3"/>
  <c r="D592" i="3" s="1"/>
  <c r="C627" i="3"/>
  <c r="C674" i="3"/>
  <c r="C746" i="3"/>
  <c r="D757" i="3" s="1"/>
  <c r="C749" i="3"/>
  <c r="D759" i="3" s="1"/>
  <c r="C745" i="3"/>
  <c r="C788" i="3"/>
  <c r="D792" i="3" s="1"/>
  <c r="C796" i="3"/>
  <c r="D807" i="3" s="1"/>
  <c r="C834" i="3"/>
  <c r="D845" i="3" s="1"/>
  <c r="C863" i="3"/>
  <c r="D912" i="3"/>
  <c r="C921" i="3"/>
  <c r="C947" i="3"/>
  <c r="C935" i="3"/>
  <c r="D968" i="3"/>
  <c r="C980" i="3"/>
  <c r="C1002" i="3"/>
  <c r="D1035" i="3"/>
  <c r="C1052" i="3"/>
  <c r="D1107" i="3"/>
  <c r="C1113" i="3"/>
  <c r="D1121" i="3" s="1"/>
  <c r="C1119" i="3"/>
  <c r="D1128" i="3" s="1"/>
  <c r="C1169" i="3"/>
  <c r="D1189" i="3"/>
  <c r="C1199" i="3"/>
  <c r="D1203" i="3" s="1"/>
  <c r="C1219" i="3"/>
  <c r="D1220" i="3" s="1"/>
  <c r="C1224" i="3"/>
  <c r="D1233" i="3" s="1"/>
  <c r="C1236" i="3"/>
  <c r="D1243" i="3" s="1"/>
  <c r="D34" i="4"/>
  <c r="C23" i="4"/>
  <c r="C26" i="4"/>
  <c r="C27" i="4"/>
  <c r="D38" i="4"/>
  <c r="C36" i="4"/>
  <c r="D54" i="4"/>
  <c r="D77" i="4"/>
  <c r="D65" i="4"/>
  <c r="C104" i="4"/>
  <c r="D115" i="4"/>
  <c r="C111" i="4"/>
  <c r="C121" i="4"/>
  <c r="D138" i="4"/>
  <c r="C126" i="4"/>
  <c r="C127" i="4"/>
  <c r="C141" i="4"/>
  <c r="D140" i="4"/>
  <c r="C140" i="4"/>
  <c r="D152" i="4"/>
  <c r="D162" i="4"/>
  <c r="C151" i="4"/>
  <c r="C154" i="4"/>
  <c r="C155" i="4"/>
  <c r="D166" i="4"/>
  <c r="C164" i="4"/>
  <c r="D182" i="4"/>
  <c r="D205" i="4"/>
  <c r="D193" i="4"/>
  <c r="C232" i="4"/>
  <c r="D243" i="4"/>
  <c r="C239" i="4"/>
  <c r="C249" i="4"/>
  <c r="D266" i="4"/>
  <c r="C254" i="4"/>
  <c r="C255" i="4"/>
  <c r="C269" i="4"/>
  <c r="D268" i="4"/>
  <c r="C268" i="4"/>
  <c r="D280" i="4"/>
  <c r="D290" i="4"/>
  <c r="C279" i="4"/>
  <c r="C282" i="4"/>
  <c r="C283" i="4"/>
  <c r="D294" i="4"/>
  <c r="C292" i="4"/>
  <c r="D310" i="4"/>
  <c r="D333" i="4"/>
  <c r="D321" i="4"/>
  <c r="C360" i="4"/>
  <c r="D371" i="4"/>
  <c r="C367" i="4"/>
  <c r="C377" i="4"/>
  <c r="D394" i="4"/>
  <c r="C382" i="4"/>
  <c r="C383" i="4"/>
  <c r="C397" i="4"/>
  <c r="D396" i="4"/>
  <c r="C396" i="4"/>
  <c r="D408" i="4"/>
  <c r="D418" i="4"/>
  <c r="C407" i="4"/>
  <c r="C410" i="4"/>
  <c r="C411" i="4"/>
  <c r="D422" i="4"/>
  <c r="C420" i="4"/>
  <c r="C449" i="4"/>
  <c r="C463" i="4"/>
  <c r="D473" i="4"/>
  <c r="C586" i="4"/>
  <c r="C587" i="4"/>
  <c r="D590" i="4"/>
  <c r="D805" i="3"/>
  <c r="C821" i="3"/>
  <c r="C853" i="3"/>
  <c r="D864" i="3" s="1"/>
  <c r="C885" i="3"/>
  <c r="C917" i="3"/>
  <c r="D928" i="3" s="1"/>
  <c r="D933" i="3"/>
  <c r="C949" i="3"/>
  <c r="C981" i="3"/>
  <c r="D992" i="3" s="1"/>
  <c r="C1013" i="3"/>
  <c r="C1045" i="3"/>
  <c r="D1056" i="3" s="1"/>
  <c r="C1077" i="3"/>
  <c r="D1093" i="3"/>
  <c r="C1109" i="3"/>
  <c r="D1120" i="3" s="1"/>
  <c r="C1141" i="3"/>
  <c r="D1152" i="3" s="1"/>
  <c r="D1157" i="3"/>
  <c r="C1173" i="3"/>
  <c r="D1184" i="3" s="1"/>
  <c r="C1245" i="3"/>
  <c r="D1249" i="3" s="1"/>
  <c r="D58" i="4"/>
  <c r="D52" i="4"/>
  <c r="D90" i="4"/>
  <c r="D84" i="4"/>
  <c r="D122" i="4"/>
  <c r="D116" i="4"/>
  <c r="D154" i="4"/>
  <c r="D148" i="4"/>
  <c r="D186" i="4"/>
  <c r="D180" i="4"/>
  <c r="D218" i="4"/>
  <c r="D212" i="4"/>
  <c r="D250" i="4"/>
  <c r="D244" i="4"/>
  <c r="D282" i="4"/>
  <c r="D276" i="4"/>
  <c r="D314" i="4"/>
  <c r="D308" i="4"/>
  <c r="D346" i="4"/>
  <c r="D340" i="4"/>
  <c r="D378" i="4"/>
  <c r="D372" i="4"/>
  <c r="D410" i="4"/>
  <c r="D404" i="4"/>
  <c r="D442" i="4"/>
  <c r="D436" i="4"/>
  <c r="D474" i="4"/>
  <c r="D468" i="4"/>
  <c r="D506" i="4"/>
  <c r="D500" i="4"/>
  <c r="D512" i="4"/>
  <c r="D517" i="4"/>
  <c r="D505" i="4"/>
  <c r="D525" i="4"/>
  <c r="D513" i="4"/>
  <c r="D533" i="4"/>
  <c r="D521" i="4"/>
  <c r="D541" i="4"/>
  <c r="D529" i="4"/>
  <c r="D549" i="4"/>
  <c r="D537" i="4"/>
  <c r="D557" i="4"/>
  <c r="D545" i="4"/>
  <c r="D565" i="4"/>
  <c r="D553" i="4"/>
  <c r="D573" i="4"/>
  <c r="D561" i="4"/>
  <c r="D581" i="4"/>
  <c r="D569" i="4"/>
  <c r="D589" i="4"/>
  <c r="D577" i="4"/>
  <c r="D597" i="4"/>
  <c r="D585" i="4"/>
  <c r="D605" i="4"/>
  <c r="D593" i="4"/>
  <c r="D613" i="4"/>
  <c r="D601" i="4"/>
  <c r="C487" i="4"/>
  <c r="D514" i="4"/>
  <c r="C505" i="4"/>
  <c r="D522" i="4"/>
  <c r="C513" i="4"/>
  <c r="D530" i="4"/>
  <c r="C521" i="4"/>
  <c r="D538" i="4"/>
  <c r="C529" i="4"/>
  <c r="D546" i="4"/>
  <c r="C537" i="4"/>
  <c r="D554" i="4"/>
  <c r="D562" i="4"/>
  <c r="D570" i="4"/>
  <c r="D578" i="4"/>
  <c r="D586" i="4"/>
  <c r="D594" i="4"/>
  <c r="D602" i="4"/>
  <c r="D610" i="4"/>
  <c r="C613" i="3"/>
  <c r="D618" i="3" s="1"/>
  <c r="C645" i="3"/>
  <c r="D654" i="3" s="1"/>
  <c r="C677" i="3"/>
  <c r="D683" i="3" s="1"/>
  <c r="C709" i="3"/>
  <c r="D720" i="3" s="1"/>
  <c r="C741" i="3"/>
  <c r="C773" i="3"/>
  <c r="D784" i="3" s="1"/>
  <c r="U1213" i="3"/>
  <c r="AH1188" i="3"/>
  <c r="D26" i="4"/>
  <c r="D39" i="4"/>
  <c r="D71" i="4"/>
  <c r="D103" i="4"/>
  <c r="D135" i="4"/>
  <c r="D167" i="4"/>
  <c r="D199" i="4"/>
  <c r="D231" i="4"/>
  <c r="D263" i="4"/>
  <c r="D295" i="4"/>
  <c r="D327" i="4"/>
  <c r="D359" i="4"/>
  <c r="D391" i="4"/>
  <c r="D423" i="4"/>
  <c r="D455" i="4"/>
  <c r="D487" i="4"/>
  <c r="D499" i="4"/>
  <c r="C973" i="3"/>
  <c r="C1005" i="3"/>
  <c r="C1037" i="3"/>
  <c r="C1069" i="3"/>
  <c r="D1077" i="3" s="1"/>
  <c r="C1101" i="3"/>
  <c r="D1110" i="3" s="1"/>
  <c r="C1133" i="3"/>
  <c r="C1165" i="3"/>
  <c r="D1199" i="3"/>
  <c r="C1237" i="3"/>
  <c r="D1248" i="3" s="1"/>
  <c r="D21" i="4"/>
  <c r="C10" i="4"/>
  <c r="C9" i="4"/>
  <c r="C34" i="4"/>
  <c r="D50" i="4"/>
  <c r="C66" i="4"/>
  <c r="D82" i="4"/>
  <c r="C98" i="4"/>
  <c r="D114" i="4"/>
  <c r="C130" i="4"/>
  <c r="D146" i="4"/>
  <c r="C162" i="4"/>
  <c r="D178" i="4"/>
  <c r="C194" i="4"/>
  <c r="D210" i="4"/>
  <c r="C226" i="4"/>
  <c r="D242" i="4"/>
  <c r="C258" i="4"/>
  <c r="D274" i="4"/>
  <c r="C290" i="4"/>
  <c r="D306" i="4"/>
  <c r="C322" i="4"/>
  <c r="D338" i="4"/>
  <c r="C354" i="4"/>
  <c r="D370" i="4"/>
  <c r="C386" i="4"/>
  <c r="D402" i="4"/>
  <c r="C418" i="4"/>
  <c r="D434" i="4"/>
  <c r="C439" i="4"/>
  <c r="D446" i="4"/>
  <c r="C450" i="4"/>
  <c r="D466" i="4"/>
  <c r="D464" i="4"/>
  <c r="C471" i="4"/>
  <c r="D478" i="4"/>
  <c r="C482" i="4"/>
  <c r="D498" i="4"/>
  <c r="D496" i="4"/>
  <c r="C503" i="4"/>
  <c r="C511" i="4"/>
  <c r="C519" i="4"/>
  <c r="C527" i="4"/>
  <c r="C535" i="4"/>
  <c r="V1193" i="3"/>
  <c r="W1193" i="3" s="1"/>
  <c r="X1193" i="3" s="1"/>
  <c r="X1194" i="3" s="1"/>
  <c r="T1194" i="3" s="1"/>
  <c r="AC1190" i="3" s="1"/>
  <c r="V1196" i="3"/>
  <c r="C605" i="3"/>
  <c r="D616" i="3" s="1"/>
  <c r="C637" i="3"/>
  <c r="D648" i="3" s="1"/>
  <c r="C669" i="3"/>
  <c r="D680" i="3" s="1"/>
  <c r="C701" i="3"/>
  <c r="C733" i="3"/>
  <c r="D744" i="3" s="1"/>
  <c r="C765" i="3"/>
  <c r="C789" i="3"/>
  <c r="C943" i="3"/>
  <c r="D950" i="3" s="1"/>
  <c r="C975" i="3"/>
  <c r="D985" i="3" s="1"/>
  <c r="C1007" i="3"/>
  <c r="C1039" i="3"/>
  <c r="C1071" i="3"/>
  <c r="W1205" i="3"/>
  <c r="X1205" i="3" s="1"/>
  <c r="X1206" i="3" s="1"/>
  <c r="T1206" i="3" s="1"/>
  <c r="AF1190" i="3" s="1"/>
  <c r="C1103" i="3"/>
  <c r="C1135" i="3"/>
  <c r="C1167" i="3"/>
  <c r="D1177" i="3" s="1"/>
  <c r="D1201" i="3"/>
  <c r="C1201" i="3"/>
  <c r="D1212" i="3" s="1"/>
  <c r="C1227" i="3"/>
  <c r="D1237" i="3" s="1"/>
  <c r="C15" i="4"/>
  <c r="C20" i="4"/>
  <c r="D47" i="4"/>
  <c r="C38" i="4"/>
  <c r="D41" i="4"/>
  <c r="C52" i="4"/>
  <c r="D79" i="4"/>
  <c r="C70" i="4"/>
  <c r="D73" i="4"/>
  <c r="C84" i="4"/>
  <c r="D111" i="4"/>
  <c r="C102" i="4"/>
  <c r="D105" i="4"/>
  <c r="C116" i="4"/>
  <c r="D143" i="4"/>
  <c r="C134" i="4"/>
  <c r="D137" i="4"/>
  <c r="C148" i="4"/>
  <c r="D175" i="4"/>
  <c r="C166" i="4"/>
  <c r="D169" i="4"/>
  <c r="C180" i="4"/>
  <c r="D207" i="4"/>
  <c r="C198" i="4"/>
  <c r="D201" i="4"/>
  <c r="C212" i="4"/>
  <c r="D239" i="4"/>
  <c r="C230" i="4"/>
  <c r="D233" i="4"/>
  <c r="C244" i="4"/>
  <c r="D271" i="4"/>
  <c r="C262" i="4"/>
  <c r="D265" i="4"/>
  <c r="C276" i="4"/>
  <c r="D303" i="4"/>
  <c r="C294" i="4"/>
  <c r="D297" i="4"/>
  <c r="C308" i="4"/>
  <c r="D335" i="4"/>
  <c r="C326" i="4"/>
  <c r="D329" i="4"/>
  <c r="C340" i="4"/>
  <c r="D367" i="4"/>
  <c r="C358" i="4"/>
  <c r="D361" i="4"/>
  <c r="C372" i="4"/>
  <c r="D399" i="4"/>
  <c r="C390" i="4"/>
  <c r="D393" i="4"/>
  <c r="C404" i="4"/>
  <c r="D431" i="4"/>
  <c r="C422" i="4"/>
  <c r="D425" i="4"/>
  <c r="C436" i="4"/>
  <c r="D463" i="4"/>
  <c r="C454" i="4"/>
  <c r="D457" i="4"/>
  <c r="C468" i="4"/>
  <c r="D495" i="4"/>
  <c r="C486" i="4"/>
  <c r="D489" i="4"/>
  <c r="C500" i="4"/>
  <c r="C509" i="4"/>
  <c r="C508" i="4"/>
  <c r="C517" i="4"/>
  <c r="C516" i="4"/>
  <c r="C525" i="4"/>
  <c r="C524" i="4"/>
  <c r="C533" i="4"/>
  <c r="C532" i="4"/>
  <c r="C541" i="4"/>
  <c r="C540" i="4"/>
  <c r="C549" i="4"/>
  <c r="C548" i="4"/>
  <c r="C557" i="4"/>
  <c r="C556" i="4"/>
  <c r="C565" i="4"/>
  <c r="C564" i="4"/>
  <c r="C573" i="4"/>
  <c r="C572" i="4"/>
  <c r="C581" i="4"/>
  <c r="C580" i="4"/>
  <c r="C589" i="4"/>
  <c r="C588" i="4"/>
  <c r="C597" i="4"/>
  <c r="C596" i="4"/>
  <c r="C605" i="4"/>
  <c r="C604" i="4"/>
  <c r="C613" i="4"/>
  <c r="C612" i="4"/>
  <c r="D68" i="6"/>
  <c r="D172" i="6"/>
  <c r="C160" i="6"/>
  <c r="D192" i="6"/>
  <c r="D195" i="6"/>
  <c r="C195" i="6"/>
  <c r="D207" i="6"/>
  <c r="D21" i="6"/>
  <c r="C10" i="6"/>
  <c r="C60" i="6"/>
  <c r="D72" i="6"/>
  <c r="D81" i="6"/>
  <c r="C69" i="6"/>
  <c r="C70" i="6"/>
  <c r="D89" i="6"/>
  <c r="C78" i="6"/>
  <c r="C107" i="6"/>
  <c r="D118" i="6"/>
  <c r="D153" i="6"/>
  <c r="C141" i="6"/>
  <c r="C167" i="6"/>
  <c r="D166" i="6"/>
  <c r="D178" i="6"/>
  <c r="D201" i="6"/>
  <c r="C189" i="6"/>
  <c r="D211" i="6"/>
  <c r="C211" i="6"/>
  <c r="D223" i="6"/>
  <c r="C9" i="6"/>
  <c r="C20" i="6"/>
  <c r="C28" i="6"/>
  <c r="C36" i="6"/>
  <c r="C77" i="6"/>
  <c r="D101" i="6"/>
  <c r="C89" i="6"/>
  <c r="C94" i="6"/>
  <c r="D110" i="6"/>
  <c r="C98" i="6"/>
  <c r="C99" i="6"/>
  <c r="D140" i="6"/>
  <c r="C128" i="6"/>
  <c r="D147" i="6"/>
  <c r="C147" i="6"/>
  <c r="C166" i="6"/>
  <c r="D217" i="6"/>
  <c r="C205" i="6"/>
  <c r="D57" i="6"/>
  <c r="C46" i="6"/>
  <c r="C75" i="6"/>
  <c r="D86" i="6"/>
  <c r="D115" i="6"/>
  <c r="C115" i="6"/>
  <c r="C135" i="6"/>
  <c r="D134" i="6"/>
  <c r="D188" i="6"/>
  <c r="C176" i="6"/>
  <c r="D227" i="6"/>
  <c r="C227" i="6"/>
  <c r="D239" i="6"/>
  <c r="C21" i="6"/>
  <c r="C22" i="6"/>
  <c r="D41" i="6"/>
  <c r="C29" i="6"/>
  <c r="C30" i="6"/>
  <c r="D49" i="6"/>
  <c r="D37" i="6"/>
  <c r="C37" i="6"/>
  <c r="C38" i="6"/>
  <c r="C45" i="6"/>
  <c r="D69" i="6"/>
  <c r="C57" i="6"/>
  <c r="C62" i="6"/>
  <c r="D78" i="6"/>
  <c r="C66" i="6"/>
  <c r="C67" i="6"/>
  <c r="C74" i="6"/>
  <c r="C87" i="6"/>
  <c r="D98" i="6"/>
  <c r="D103" i="6"/>
  <c r="C134" i="6"/>
  <c r="D169" i="6"/>
  <c r="C157" i="6"/>
  <c r="D204" i="6"/>
  <c r="C192" i="6"/>
  <c r="D233" i="6"/>
  <c r="C221" i="6"/>
  <c r="V1208" i="3"/>
  <c r="W1209" i="3" s="1"/>
  <c r="X1209" i="3" s="1"/>
  <c r="X1210" i="3" s="1"/>
  <c r="T1210" i="3" s="1"/>
  <c r="AG1190" i="3" s="1"/>
  <c r="D29" i="6"/>
  <c r="C18" i="6"/>
  <c r="D33" i="6"/>
  <c r="C43" i="6"/>
  <c r="D54" i="6"/>
  <c r="D45" i="6"/>
  <c r="C58" i="6"/>
  <c r="D62" i="6"/>
  <c r="D74" i="6"/>
  <c r="C86" i="6"/>
  <c r="C91" i="6"/>
  <c r="C100" i="6"/>
  <c r="D112" i="6"/>
  <c r="D156" i="6"/>
  <c r="C144" i="6"/>
  <c r="D149" i="6"/>
  <c r="D163" i="6"/>
  <c r="C163" i="6"/>
  <c r="C193" i="6"/>
  <c r="D220" i="6"/>
  <c r="C208" i="6"/>
  <c r="C12" i="6"/>
  <c r="C17" i="6"/>
  <c r="D46" i="6"/>
  <c r="D34" i="6"/>
  <c r="D38" i="6"/>
  <c r="C42" i="6"/>
  <c r="C55" i="6"/>
  <c r="D66" i="6"/>
  <c r="D71" i="6"/>
  <c r="D95" i="6"/>
  <c r="D83" i="6"/>
  <c r="D100" i="6"/>
  <c r="D124" i="6"/>
  <c r="C112" i="6"/>
  <c r="D137" i="6"/>
  <c r="C125" i="6"/>
  <c r="C145" i="6"/>
  <c r="C151" i="6"/>
  <c r="D150" i="6"/>
  <c r="C153" i="6"/>
  <c r="D176" i="6"/>
  <c r="C209" i="6"/>
  <c r="C24" i="6"/>
  <c r="D35" i="6"/>
  <c r="D43" i="6"/>
  <c r="C32" i="6"/>
  <c r="C34" i="6"/>
  <c r="C40" i="6"/>
  <c r="D51" i="6"/>
  <c r="D42" i="6"/>
  <c r="C54" i="6"/>
  <c r="C68" i="6"/>
  <c r="D80" i="6"/>
  <c r="C83" i="6"/>
  <c r="C92" i="6"/>
  <c r="D104" i="6"/>
  <c r="D113" i="6"/>
  <c r="C101" i="6"/>
  <c r="C102" i="6"/>
  <c r="D121" i="6"/>
  <c r="C110" i="6"/>
  <c r="C113" i="6"/>
  <c r="C121" i="6"/>
  <c r="D131" i="6"/>
  <c r="C131" i="6"/>
  <c r="C150" i="6"/>
  <c r="D159" i="6"/>
  <c r="D168" i="6"/>
  <c r="D185" i="6"/>
  <c r="C173" i="6"/>
  <c r="D179" i="6"/>
  <c r="C179" i="6"/>
  <c r="D191" i="6"/>
  <c r="D236" i="6"/>
  <c r="C224" i="6"/>
  <c r="C15" i="6"/>
  <c r="D27" i="6"/>
  <c r="C44" i="6"/>
  <c r="D65" i="6"/>
  <c r="D61" i="6"/>
  <c r="C76" i="6"/>
  <c r="D97" i="6"/>
  <c r="D87" i="6"/>
  <c r="D93" i="6"/>
  <c r="C108" i="6"/>
  <c r="C117" i="6"/>
  <c r="D126" i="6"/>
  <c r="C133" i="6"/>
  <c r="D142" i="6"/>
  <c r="C149" i="6"/>
  <c r="D158" i="6"/>
  <c r="C165" i="6"/>
  <c r="D174" i="6"/>
  <c r="C181" i="6"/>
  <c r="D190" i="6"/>
  <c r="C197" i="6"/>
  <c r="D206" i="6"/>
  <c r="C213" i="6"/>
  <c r="D222" i="6"/>
  <c r="C229" i="6"/>
  <c r="D238" i="6"/>
  <c r="C245" i="6"/>
  <c r="D254" i="6"/>
  <c r="C261" i="6"/>
  <c r="D270" i="6"/>
  <c r="D286" i="6"/>
  <c r="D302" i="6"/>
  <c r="D318" i="6"/>
  <c r="D338" i="6"/>
  <c r="C345" i="6"/>
  <c r="C356" i="6"/>
  <c r="D372" i="6"/>
  <c r="D370" i="6"/>
  <c r="C377" i="6"/>
  <c r="C388" i="6"/>
  <c r="C608" i="6"/>
  <c r="D31" i="7"/>
  <c r="D52" i="7"/>
  <c r="D81" i="7"/>
  <c r="D105" i="7"/>
  <c r="C93" i="7"/>
  <c r="C94" i="7"/>
  <c r="C151" i="7"/>
  <c r="D163" i="7"/>
  <c r="C152" i="7"/>
  <c r="D180" i="7"/>
  <c r="D209" i="7"/>
  <c r="D233" i="7"/>
  <c r="C221" i="7"/>
  <c r="C222" i="7"/>
  <c r="C279" i="7"/>
  <c r="D291" i="7"/>
  <c r="C280" i="7"/>
  <c r="D308" i="7"/>
  <c r="D337" i="7"/>
  <c r="D361" i="7"/>
  <c r="C349" i="7"/>
  <c r="C350" i="7"/>
  <c r="D412" i="7"/>
  <c r="D400" i="7"/>
  <c r="C436" i="7"/>
  <c r="D447" i="7"/>
  <c r="D608" i="6"/>
  <c r="C596" i="6"/>
  <c r="C597" i="6"/>
  <c r="D604" i="6"/>
  <c r="D20" i="7"/>
  <c r="C9" i="7"/>
  <c r="C8" i="7"/>
  <c r="C23" i="7"/>
  <c r="D35" i="7"/>
  <c r="C24" i="7"/>
  <c r="D27" i="7"/>
  <c r="D44" i="7"/>
  <c r="C32" i="7"/>
  <c r="C33" i="7"/>
  <c r="C53" i="7"/>
  <c r="D64" i="7"/>
  <c r="C52" i="7"/>
  <c r="C82" i="7"/>
  <c r="D93" i="7"/>
  <c r="D122" i="7"/>
  <c r="D110" i="7"/>
  <c r="C127" i="7"/>
  <c r="D139" i="7"/>
  <c r="C140" i="7"/>
  <c r="D151" i="7"/>
  <c r="D172" i="7"/>
  <c r="C160" i="7"/>
  <c r="C161" i="7"/>
  <c r="C181" i="7"/>
  <c r="D192" i="7"/>
  <c r="C180" i="7"/>
  <c r="C210" i="7"/>
  <c r="D221" i="7"/>
  <c r="D250" i="7"/>
  <c r="D238" i="7"/>
  <c r="C255" i="7"/>
  <c r="D267" i="7"/>
  <c r="C268" i="7"/>
  <c r="D279" i="7"/>
  <c r="D300" i="7"/>
  <c r="C288" i="7"/>
  <c r="C289" i="7"/>
  <c r="C309" i="7"/>
  <c r="D320" i="7"/>
  <c r="C308" i="7"/>
  <c r="C338" i="7"/>
  <c r="D349" i="7"/>
  <c r="D378" i="7"/>
  <c r="D366" i="7"/>
  <c r="C409" i="7"/>
  <c r="C410" i="7"/>
  <c r="C413" i="7"/>
  <c r="C414" i="7"/>
  <c r="D431" i="7"/>
  <c r="C452" i="7"/>
  <c r="C451" i="7"/>
  <c r="D463" i="7"/>
  <c r="D194" i="6"/>
  <c r="D210" i="6"/>
  <c r="D226" i="6"/>
  <c r="D242" i="6"/>
  <c r="D255" i="6"/>
  <c r="D258" i="6"/>
  <c r="D271" i="6"/>
  <c r="D274" i="6"/>
  <c r="D287" i="6"/>
  <c r="D290" i="6"/>
  <c r="D303" i="6"/>
  <c r="D306" i="6"/>
  <c r="D319" i="6"/>
  <c r="D322" i="6"/>
  <c r="C339" i="6"/>
  <c r="C353" i="6"/>
  <c r="C371" i="6"/>
  <c r="C385" i="6"/>
  <c r="C400" i="6"/>
  <c r="C408" i="6"/>
  <c r="C416" i="6"/>
  <c r="C424" i="6"/>
  <c r="C432" i="6"/>
  <c r="C440" i="6"/>
  <c r="C448" i="6"/>
  <c r="C456" i="6"/>
  <c r="C464" i="6"/>
  <c r="C472" i="6"/>
  <c r="C480" i="6"/>
  <c r="C488" i="6"/>
  <c r="C496" i="6"/>
  <c r="C504" i="6"/>
  <c r="C512" i="6"/>
  <c r="C520" i="6"/>
  <c r="C528" i="6"/>
  <c r="C536" i="6"/>
  <c r="C544" i="6"/>
  <c r="C552" i="6"/>
  <c r="C560" i="6"/>
  <c r="C568" i="6"/>
  <c r="C576" i="6"/>
  <c r="C584" i="6"/>
  <c r="C592" i="6"/>
  <c r="D49" i="7"/>
  <c r="C57" i="7"/>
  <c r="D73" i="7"/>
  <c r="C61" i="7"/>
  <c r="C62" i="7"/>
  <c r="D69" i="7"/>
  <c r="C81" i="7"/>
  <c r="C86" i="7"/>
  <c r="D98" i="7"/>
  <c r="C110" i="7"/>
  <c r="C119" i="7"/>
  <c r="D131" i="7"/>
  <c r="C120" i="7"/>
  <c r="D127" i="7"/>
  <c r="D148" i="7"/>
  <c r="C139" i="7"/>
  <c r="D177" i="7"/>
  <c r="C185" i="7"/>
  <c r="D201" i="7"/>
  <c r="C189" i="7"/>
  <c r="C190" i="7"/>
  <c r="D197" i="7"/>
  <c r="C209" i="7"/>
  <c r="C214" i="7"/>
  <c r="D226" i="7"/>
  <c r="C238" i="7"/>
  <c r="C247" i="7"/>
  <c r="D259" i="7"/>
  <c r="C248" i="7"/>
  <c r="D276" i="7"/>
  <c r="C267" i="7"/>
  <c r="D305" i="7"/>
  <c r="C313" i="7"/>
  <c r="D329" i="7"/>
  <c r="C317" i="7"/>
  <c r="C318" i="7"/>
  <c r="D325" i="7"/>
  <c r="C337" i="7"/>
  <c r="C342" i="7"/>
  <c r="D354" i="7"/>
  <c r="C366" i="7"/>
  <c r="C375" i="7"/>
  <c r="C376" i="7"/>
  <c r="D387" i="7"/>
  <c r="C387" i="7"/>
  <c r="D418" i="7"/>
  <c r="C422" i="7"/>
  <c r="D444" i="7"/>
  <c r="D432" i="7"/>
  <c r="D339" i="6"/>
  <c r="D371" i="6"/>
  <c r="D409" i="6"/>
  <c r="D400" i="6"/>
  <c r="D417" i="6"/>
  <c r="D408" i="6"/>
  <c r="D425" i="6"/>
  <c r="D416" i="6"/>
  <c r="D433" i="6"/>
  <c r="D424" i="6"/>
  <c r="D441" i="6"/>
  <c r="D432" i="6"/>
  <c r="D449" i="6"/>
  <c r="D440" i="6"/>
  <c r="D457" i="6"/>
  <c r="D448" i="6"/>
  <c r="D465" i="6"/>
  <c r="D456" i="6"/>
  <c r="D473" i="6"/>
  <c r="D464" i="6"/>
  <c r="D481" i="6"/>
  <c r="D472" i="6"/>
  <c r="D489" i="6"/>
  <c r="D480" i="6"/>
  <c r="D497" i="6"/>
  <c r="D488" i="6"/>
  <c r="D505" i="6"/>
  <c r="D496" i="6"/>
  <c r="D513" i="6"/>
  <c r="D504" i="6"/>
  <c r="D512" i="6"/>
  <c r="D520" i="6"/>
  <c r="D528" i="6"/>
  <c r="D536" i="6"/>
  <c r="D544" i="6"/>
  <c r="D552" i="6"/>
  <c r="D560" i="6"/>
  <c r="D568" i="6"/>
  <c r="D576" i="6"/>
  <c r="D584" i="6"/>
  <c r="C21" i="7"/>
  <c r="D32" i="7"/>
  <c r="C20" i="7"/>
  <c r="C50" i="7"/>
  <c r="D61" i="7"/>
  <c r="D57" i="7"/>
  <c r="D90" i="7"/>
  <c r="D78" i="7"/>
  <c r="C95" i="7"/>
  <c r="D107" i="7"/>
  <c r="C108" i="7"/>
  <c r="D119" i="7"/>
  <c r="D140" i="7"/>
  <c r="C128" i="7"/>
  <c r="C129" i="7"/>
  <c r="C149" i="7"/>
  <c r="D160" i="7"/>
  <c r="C148" i="7"/>
  <c r="C178" i="7"/>
  <c r="D189" i="7"/>
  <c r="D185" i="7"/>
  <c r="D218" i="7"/>
  <c r="D206" i="7"/>
  <c r="C223" i="7"/>
  <c r="D235" i="7"/>
  <c r="C236" i="7"/>
  <c r="D247" i="7"/>
  <c r="D268" i="7"/>
  <c r="C256" i="7"/>
  <c r="C257" i="7"/>
  <c r="C277" i="7"/>
  <c r="D288" i="7"/>
  <c r="C276" i="7"/>
  <c r="C306" i="7"/>
  <c r="D317" i="7"/>
  <c r="D313" i="7"/>
  <c r="D346" i="7"/>
  <c r="D334" i="7"/>
  <c r="C351" i="7"/>
  <c r="D363" i="7"/>
  <c r="C364" i="7"/>
  <c r="D375" i="7"/>
  <c r="D392" i="7"/>
  <c r="D427" i="7"/>
  <c r="C432" i="7"/>
  <c r="D476" i="7"/>
  <c r="D464" i="7"/>
  <c r="C464" i="7"/>
  <c r="D182" i="6"/>
  <c r="D198" i="6"/>
  <c r="C237" i="6"/>
  <c r="C240" i="6"/>
  <c r="C243" i="6"/>
  <c r="C253" i="6"/>
  <c r="C256" i="6"/>
  <c r="C259" i="6"/>
  <c r="C269" i="6"/>
  <c r="C340" i="6"/>
  <c r="C372" i="6"/>
  <c r="C401" i="6"/>
  <c r="C402" i="6"/>
  <c r="C409" i="6"/>
  <c r="C410" i="6"/>
  <c r="C417" i="6"/>
  <c r="C418" i="6"/>
  <c r="C425" i="6"/>
  <c r="C426" i="6"/>
  <c r="C433" i="6"/>
  <c r="C434" i="6"/>
  <c r="C441" i="6"/>
  <c r="C442" i="6"/>
  <c r="C449" i="6"/>
  <c r="C450" i="6"/>
  <c r="C457" i="6"/>
  <c r="C458" i="6"/>
  <c r="C465" i="6"/>
  <c r="C466" i="6"/>
  <c r="C473" i="6"/>
  <c r="C474" i="6"/>
  <c r="C481" i="6"/>
  <c r="C482" i="6"/>
  <c r="C489" i="6"/>
  <c r="C490" i="6"/>
  <c r="C497" i="6"/>
  <c r="C498" i="6"/>
  <c r="C505" i="6"/>
  <c r="C506" i="6"/>
  <c r="C513" i="6"/>
  <c r="C514" i="6"/>
  <c r="C521" i="6"/>
  <c r="C522" i="6"/>
  <c r="C529" i="6"/>
  <c r="C530" i="6"/>
  <c r="C537" i="6"/>
  <c r="C538" i="6"/>
  <c r="C545" i="6"/>
  <c r="C546" i="6"/>
  <c r="C553" i="6"/>
  <c r="C554" i="6"/>
  <c r="C561" i="6"/>
  <c r="C562" i="6"/>
  <c r="C569" i="6"/>
  <c r="C570" i="6"/>
  <c r="C577" i="6"/>
  <c r="C578" i="6"/>
  <c r="C585" i="6"/>
  <c r="C586" i="6"/>
  <c r="D605" i="6"/>
  <c r="C593" i="6"/>
  <c r="C594" i="6"/>
  <c r="C598" i="6"/>
  <c r="D610" i="6"/>
  <c r="C25" i="7"/>
  <c r="D41" i="7"/>
  <c r="D29" i="7"/>
  <c r="C29" i="7"/>
  <c r="C30" i="7"/>
  <c r="D37" i="7"/>
  <c r="C49" i="7"/>
  <c r="C54" i="7"/>
  <c r="D66" i="7"/>
  <c r="C78" i="7"/>
  <c r="C87" i="7"/>
  <c r="D99" i="7"/>
  <c r="C88" i="7"/>
  <c r="D95" i="7"/>
  <c r="C107" i="7"/>
  <c r="D136" i="7"/>
  <c r="C153" i="7"/>
  <c r="D169" i="7"/>
  <c r="C157" i="7"/>
  <c r="C158" i="7"/>
  <c r="D165" i="7"/>
  <c r="C177" i="7"/>
  <c r="C182" i="7"/>
  <c r="D194" i="7"/>
  <c r="C206" i="7"/>
  <c r="C215" i="7"/>
  <c r="D227" i="7"/>
  <c r="C216" i="7"/>
  <c r="D223" i="7"/>
  <c r="C235" i="7"/>
  <c r="D264" i="7"/>
  <c r="C281" i="7"/>
  <c r="D297" i="7"/>
  <c r="C285" i="7"/>
  <c r="C286" i="7"/>
  <c r="D293" i="7"/>
  <c r="C305" i="7"/>
  <c r="C310" i="7"/>
  <c r="D322" i="7"/>
  <c r="C343" i="7"/>
  <c r="D355" i="7"/>
  <c r="C344" i="7"/>
  <c r="D351" i="7"/>
  <c r="C363" i="7"/>
  <c r="C393" i="7"/>
  <c r="C394" i="7"/>
  <c r="C397" i="7"/>
  <c r="C398" i="7"/>
  <c r="D415" i="7"/>
  <c r="C419" i="7"/>
  <c r="C447" i="7"/>
  <c r="D459" i="7"/>
  <c r="D116" i="6"/>
  <c r="D125" i="6"/>
  <c r="D141" i="6"/>
  <c r="D157" i="6"/>
  <c r="D173" i="6"/>
  <c r="D189" i="6"/>
  <c r="D205" i="6"/>
  <c r="D221" i="6"/>
  <c r="D237" i="6"/>
  <c r="D253" i="6"/>
  <c r="D269" i="6"/>
  <c r="D285" i="6"/>
  <c r="D288" i="6"/>
  <c r="D301" i="6"/>
  <c r="D304" i="6"/>
  <c r="D317" i="6"/>
  <c r="D320" i="6"/>
  <c r="D323" i="6"/>
  <c r="C330" i="6"/>
  <c r="D333" i="6"/>
  <c r="D353" i="6"/>
  <c r="C344" i="6"/>
  <c r="D347" i="6"/>
  <c r="C358" i="6"/>
  <c r="D365" i="6"/>
  <c r="D385" i="6"/>
  <c r="C376" i="6"/>
  <c r="D379" i="6"/>
  <c r="C390" i="6"/>
  <c r="D397" i="6"/>
  <c r="D405" i="6"/>
  <c r="D413" i="6"/>
  <c r="D421" i="6"/>
  <c r="D429" i="6"/>
  <c r="D437" i="6"/>
  <c r="D445" i="6"/>
  <c r="D453" i="6"/>
  <c r="D461" i="6"/>
  <c r="D469" i="6"/>
  <c r="D477" i="6"/>
  <c r="D485" i="6"/>
  <c r="D493" i="6"/>
  <c r="D501" i="6"/>
  <c r="D509" i="6"/>
  <c r="D517" i="6"/>
  <c r="D525" i="6"/>
  <c r="D533" i="6"/>
  <c r="D541" i="6"/>
  <c r="D549" i="6"/>
  <c r="D557" i="6"/>
  <c r="D565" i="6"/>
  <c r="D573" i="6"/>
  <c r="D581" i="6"/>
  <c r="D589" i="6"/>
  <c r="D598" i="6"/>
  <c r="C610" i="6"/>
  <c r="D23" i="7"/>
  <c r="D28" i="7"/>
  <c r="C17" i="7"/>
  <c r="C16" i="7"/>
  <c r="D25" i="7"/>
  <c r="D58" i="7"/>
  <c r="D46" i="7"/>
  <c r="C63" i="7"/>
  <c r="D75" i="7"/>
  <c r="C76" i="7"/>
  <c r="D87" i="7"/>
  <c r="C83" i="7"/>
  <c r="D108" i="7"/>
  <c r="C96" i="7"/>
  <c r="C97" i="7"/>
  <c r="C104" i="7"/>
  <c r="C117" i="7"/>
  <c r="D128" i="7"/>
  <c r="C116" i="7"/>
  <c r="C133" i="7"/>
  <c r="C137" i="7"/>
  <c r="C146" i="7"/>
  <c r="D157" i="7"/>
  <c r="D153" i="7"/>
  <c r="D186" i="7"/>
  <c r="D174" i="7"/>
  <c r="C191" i="7"/>
  <c r="D203" i="7"/>
  <c r="C204" i="7"/>
  <c r="D215" i="7"/>
  <c r="C211" i="7"/>
  <c r="D236" i="7"/>
  <c r="C224" i="7"/>
  <c r="C225" i="7"/>
  <c r="C232" i="7"/>
  <c r="C245" i="7"/>
  <c r="D256" i="7"/>
  <c r="C244" i="7"/>
  <c r="C261" i="7"/>
  <c r="C265" i="7"/>
  <c r="C274" i="7"/>
  <c r="D285" i="7"/>
  <c r="D281" i="7"/>
  <c r="D314" i="7"/>
  <c r="D302" i="7"/>
  <c r="C319" i="7"/>
  <c r="D331" i="7"/>
  <c r="C332" i="7"/>
  <c r="D343" i="7"/>
  <c r="C339" i="7"/>
  <c r="D364" i="7"/>
  <c r="C352" i="7"/>
  <c r="C353" i="7"/>
  <c r="C360" i="7"/>
  <c r="C373" i="7"/>
  <c r="D384" i="7"/>
  <c r="C372" i="7"/>
  <c r="D393" i="7"/>
  <c r="C406" i="7"/>
  <c r="D428" i="7"/>
  <c r="D416" i="7"/>
  <c r="D460" i="7"/>
  <c r="D448" i="7"/>
  <c r="C448" i="7"/>
  <c r="D454" i="7"/>
  <c r="C454" i="7"/>
  <c r="D466" i="7"/>
  <c r="C52" i="6"/>
  <c r="C84" i="6"/>
  <c r="C116" i="6"/>
  <c r="C132" i="6"/>
  <c r="D138" i="6"/>
  <c r="C148" i="6"/>
  <c r="D154" i="6"/>
  <c r="C164" i="6"/>
  <c r="D170" i="6"/>
  <c r="C180" i="6"/>
  <c r="D186" i="6"/>
  <c r="C196" i="6"/>
  <c r="D202" i="6"/>
  <c r="C212" i="6"/>
  <c r="D218" i="6"/>
  <c r="C228" i="6"/>
  <c r="D234" i="6"/>
  <c r="C244" i="6"/>
  <c r="D250" i="6"/>
  <c r="C260" i="6"/>
  <c r="D266" i="6"/>
  <c r="C276" i="6"/>
  <c r="D282" i="6"/>
  <c r="C292" i="6"/>
  <c r="D298" i="6"/>
  <c r="C308" i="6"/>
  <c r="D314" i="6"/>
  <c r="C324" i="6"/>
  <c r="D330" i="6"/>
  <c r="C337" i="6"/>
  <c r="C341" i="6"/>
  <c r="D344" i="6"/>
  <c r="C348" i="6"/>
  <c r="D364" i="6"/>
  <c r="C355" i="6"/>
  <c r="D358" i="6"/>
  <c r="D362" i="6"/>
  <c r="C369" i="6"/>
  <c r="C373" i="6"/>
  <c r="D376" i="6"/>
  <c r="C380" i="6"/>
  <c r="C387" i="6"/>
  <c r="D390" i="6"/>
  <c r="D394" i="6"/>
  <c r="C399" i="6"/>
  <c r="D398" i="6"/>
  <c r="D402" i="6"/>
  <c r="C407" i="6"/>
  <c r="D406" i="6"/>
  <c r="D410" i="6"/>
  <c r="C415" i="6"/>
  <c r="D414" i="6"/>
  <c r="D418" i="6"/>
  <c r="C423" i="6"/>
  <c r="D422" i="6"/>
  <c r="D426" i="6"/>
  <c r="C431" i="6"/>
  <c r="D430" i="6"/>
  <c r="D434" i="6"/>
  <c r="C439" i="6"/>
  <c r="D438" i="6"/>
  <c r="D442" i="6"/>
  <c r="C447" i="6"/>
  <c r="D446" i="6"/>
  <c r="D450" i="6"/>
  <c r="C455" i="6"/>
  <c r="D454" i="6"/>
  <c r="D458" i="6"/>
  <c r="C463" i="6"/>
  <c r="D462" i="6"/>
  <c r="D466" i="6"/>
  <c r="C471" i="6"/>
  <c r="D470" i="6"/>
  <c r="D474" i="6"/>
  <c r="C479" i="6"/>
  <c r="D478" i="6"/>
  <c r="D482" i="6"/>
  <c r="C487" i="6"/>
  <c r="D486" i="6"/>
  <c r="D490" i="6"/>
  <c r="C495" i="6"/>
  <c r="D494" i="6"/>
  <c r="D498" i="6"/>
  <c r="C503" i="6"/>
  <c r="D502" i="6"/>
  <c r="D506" i="6"/>
  <c r="C511" i="6"/>
  <c r="D510" i="6"/>
  <c r="D514" i="6"/>
  <c r="C519" i="6"/>
  <c r="D518" i="6"/>
  <c r="D522" i="6"/>
  <c r="C527" i="6"/>
  <c r="D526" i="6"/>
  <c r="D530" i="6"/>
  <c r="C535" i="6"/>
  <c r="D534" i="6"/>
  <c r="D538" i="6"/>
  <c r="C543" i="6"/>
  <c r="D542" i="6"/>
  <c r="D546" i="6"/>
  <c r="C551" i="6"/>
  <c r="D550" i="6"/>
  <c r="D554" i="6"/>
  <c r="C559" i="6"/>
  <c r="D558" i="6"/>
  <c r="D562" i="6"/>
  <c r="C567" i="6"/>
  <c r="D566" i="6"/>
  <c r="D570" i="6"/>
  <c r="C575" i="6"/>
  <c r="D574" i="6"/>
  <c r="D578" i="6"/>
  <c r="C583" i="6"/>
  <c r="D582" i="6"/>
  <c r="D586" i="6"/>
  <c r="D602" i="6"/>
  <c r="C591" i="6"/>
  <c r="D590" i="6"/>
  <c r="D594" i="6"/>
  <c r="D611" i="6"/>
  <c r="C599" i="6"/>
  <c r="C600" i="6"/>
  <c r="C11" i="7"/>
  <c r="D34" i="7"/>
  <c r="C46" i="7"/>
  <c r="C55" i="7"/>
  <c r="D67" i="7"/>
  <c r="C56" i="7"/>
  <c r="D63" i="7"/>
  <c r="C75" i="7"/>
  <c r="D104" i="7"/>
  <c r="C121" i="7"/>
  <c r="D137" i="7"/>
  <c r="C125" i="7"/>
  <c r="C126" i="7"/>
  <c r="D133" i="7"/>
  <c r="C145" i="7"/>
  <c r="C150" i="7"/>
  <c r="D162" i="7"/>
  <c r="C174" i="7"/>
  <c r="C183" i="7"/>
  <c r="D195" i="7"/>
  <c r="C184" i="7"/>
  <c r="D191" i="7"/>
  <c r="C203" i="7"/>
  <c r="D232" i="7"/>
  <c r="C249" i="7"/>
  <c r="D265" i="7"/>
  <c r="C253" i="7"/>
  <c r="C254" i="7"/>
  <c r="D261" i="7"/>
  <c r="C273" i="7"/>
  <c r="C278" i="7"/>
  <c r="D290" i="7"/>
  <c r="C302" i="7"/>
  <c r="C311" i="7"/>
  <c r="D323" i="7"/>
  <c r="C312" i="7"/>
  <c r="D319" i="7"/>
  <c r="C331" i="7"/>
  <c r="D360" i="7"/>
  <c r="C377" i="7"/>
  <c r="C381" i="7"/>
  <c r="C382" i="7"/>
  <c r="D389" i="7"/>
  <c r="D411" i="7"/>
  <c r="C416" i="7"/>
  <c r="C425" i="7"/>
  <c r="C426" i="7"/>
  <c r="C429" i="7"/>
  <c r="C430" i="7"/>
  <c r="D438" i="7"/>
  <c r="C438" i="7"/>
  <c r="D450" i="7"/>
  <c r="C61" i="6"/>
  <c r="C93" i="6"/>
  <c r="D129" i="6"/>
  <c r="D132" i="6"/>
  <c r="C126" i="6"/>
  <c r="D145" i="6"/>
  <c r="D148" i="6"/>
  <c r="C142" i="6"/>
  <c r="D161" i="6"/>
  <c r="D164" i="6"/>
  <c r="C158" i="6"/>
  <c r="D177" i="6"/>
  <c r="D180" i="6"/>
  <c r="C174" i="6"/>
  <c r="D193" i="6"/>
  <c r="D196" i="6"/>
  <c r="C190" i="6"/>
  <c r="D209" i="6"/>
  <c r="D212" i="6"/>
  <c r="C206" i="6"/>
  <c r="D225" i="6"/>
  <c r="D228" i="6"/>
  <c r="C222" i="6"/>
  <c r="D241" i="6"/>
  <c r="D244" i="6"/>
  <c r="C238" i="6"/>
  <c r="D257" i="6"/>
  <c r="D260" i="6"/>
  <c r="C254" i="6"/>
  <c r="D273" i="6"/>
  <c r="D276" i="6"/>
  <c r="C270" i="6"/>
  <c r="D289" i="6"/>
  <c r="D292" i="6"/>
  <c r="C286" i="6"/>
  <c r="D305" i="6"/>
  <c r="D308" i="6"/>
  <c r="C302" i="6"/>
  <c r="D321" i="6"/>
  <c r="D324" i="6"/>
  <c r="C318" i="6"/>
  <c r="D337" i="6"/>
  <c r="D340" i="6"/>
  <c r="C334" i="6"/>
  <c r="D361" i="6"/>
  <c r="C352" i="6"/>
  <c r="D355" i="6"/>
  <c r="C366" i="6"/>
  <c r="D373" i="6"/>
  <c r="D393" i="6"/>
  <c r="C384" i="6"/>
  <c r="D387" i="6"/>
  <c r="C398" i="6"/>
  <c r="C406" i="6"/>
  <c r="C414" i="6"/>
  <c r="C422" i="6"/>
  <c r="C430" i="6"/>
  <c r="C438" i="6"/>
  <c r="C446" i="6"/>
  <c r="C454" i="6"/>
  <c r="C462" i="6"/>
  <c r="C470" i="6"/>
  <c r="C478" i="6"/>
  <c r="C486" i="6"/>
  <c r="C494" i="6"/>
  <c r="C502" i="6"/>
  <c r="C510" i="6"/>
  <c r="C518" i="6"/>
  <c r="C526" i="6"/>
  <c r="C534" i="6"/>
  <c r="C542" i="6"/>
  <c r="C550" i="6"/>
  <c r="C558" i="6"/>
  <c r="C566" i="6"/>
  <c r="C574" i="6"/>
  <c r="C582" i="6"/>
  <c r="D599" i="6"/>
  <c r="C590" i="6"/>
  <c r="C13" i="7"/>
  <c r="C12" i="7"/>
  <c r="D24" i="7"/>
  <c r="C31" i="7"/>
  <c r="D43" i="7"/>
  <c r="C44" i="7"/>
  <c r="D55" i="7"/>
  <c r="D76" i="7"/>
  <c r="C64" i="7"/>
  <c r="C65" i="7"/>
  <c r="C72" i="7"/>
  <c r="C85" i="7"/>
  <c r="D96" i="7"/>
  <c r="C84" i="7"/>
  <c r="C101" i="7"/>
  <c r="C105" i="7"/>
  <c r="C114" i="7"/>
  <c r="D125" i="7"/>
  <c r="D121" i="7"/>
  <c r="D154" i="7"/>
  <c r="D142" i="7"/>
  <c r="C159" i="7"/>
  <c r="D171" i="7"/>
  <c r="C172" i="7"/>
  <c r="D183" i="7"/>
  <c r="D204" i="7"/>
  <c r="C192" i="7"/>
  <c r="C193" i="7"/>
  <c r="C200" i="7"/>
  <c r="C213" i="7"/>
  <c r="D224" i="7"/>
  <c r="C212" i="7"/>
  <c r="C229" i="7"/>
  <c r="C233" i="7"/>
  <c r="C242" i="7"/>
  <c r="D253" i="7"/>
  <c r="D249" i="7"/>
  <c r="D282" i="7"/>
  <c r="D270" i="7"/>
  <c r="C287" i="7"/>
  <c r="D299" i="7"/>
  <c r="C300" i="7"/>
  <c r="D311" i="7"/>
  <c r="D332" i="7"/>
  <c r="C320" i="7"/>
  <c r="C321" i="7"/>
  <c r="C328" i="7"/>
  <c r="C341" i="7"/>
  <c r="D352" i="7"/>
  <c r="C340" i="7"/>
  <c r="C357" i="7"/>
  <c r="C361" i="7"/>
  <c r="C370" i="7"/>
  <c r="D381" i="7"/>
  <c r="D377" i="7"/>
  <c r="D399" i="7"/>
  <c r="C403" i="7"/>
  <c r="D425" i="7"/>
  <c r="D434" i="7"/>
  <c r="D443" i="7"/>
  <c r="C468" i="7"/>
  <c r="C467" i="7"/>
  <c r="D479" i="7"/>
  <c r="C606" i="6"/>
  <c r="C39" i="7"/>
  <c r="D60" i="7"/>
  <c r="D50" i="7"/>
  <c r="D53" i="7"/>
  <c r="C71" i="7"/>
  <c r="D92" i="7"/>
  <c r="D82" i="7"/>
  <c r="D85" i="7"/>
  <c r="C103" i="7"/>
  <c r="D124" i="7"/>
  <c r="D114" i="7"/>
  <c r="D117" i="7"/>
  <c r="C135" i="7"/>
  <c r="D156" i="7"/>
  <c r="D146" i="7"/>
  <c r="D149" i="7"/>
  <c r="C167" i="7"/>
  <c r="D188" i="7"/>
  <c r="D178" i="7"/>
  <c r="D181" i="7"/>
  <c r="C199" i="7"/>
  <c r="D220" i="7"/>
  <c r="D210" i="7"/>
  <c r="D213" i="7"/>
  <c r="C231" i="7"/>
  <c r="D252" i="7"/>
  <c r="D242" i="7"/>
  <c r="D245" i="7"/>
  <c r="C263" i="7"/>
  <c r="D284" i="7"/>
  <c r="D274" i="7"/>
  <c r="D277" i="7"/>
  <c r="C295" i="7"/>
  <c r="D316" i="7"/>
  <c r="D306" i="7"/>
  <c r="D309" i="7"/>
  <c r="C327" i="7"/>
  <c r="D348" i="7"/>
  <c r="D338" i="7"/>
  <c r="D341" i="7"/>
  <c r="C359" i="7"/>
  <c r="D380" i="7"/>
  <c r="D370" i="7"/>
  <c r="D373" i="7"/>
  <c r="C446" i="7"/>
  <c r="C462" i="7"/>
  <c r="C478" i="7"/>
  <c r="C494" i="7"/>
  <c r="D523" i="7"/>
  <c r="C511" i="7"/>
  <c r="D526" i="7"/>
  <c r="C517" i="7"/>
  <c r="C528" i="7"/>
  <c r="D555" i="7"/>
  <c r="C543" i="7"/>
  <c r="D563" i="7"/>
  <c r="D571" i="7"/>
  <c r="C559" i="7"/>
  <c r="D587" i="7"/>
  <c r="C575" i="7"/>
  <c r="C54" i="8"/>
  <c r="C71" i="8"/>
  <c r="D83" i="8"/>
  <c r="D92" i="8"/>
  <c r="C81" i="8"/>
  <c r="D88" i="8"/>
  <c r="D104" i="8"/>
  <c r="C92" i="8"/>
  <c r="C110" i="8"/>
  <c r="D121" i="8"/>
  <c r="C159" i="8"/>
  <c r="D171" i="8"/>
  <c r="D183" i="8"/>
  <c r="C186" i="8"/>
  <c r="D255" i="8"/>
  <c r="D277" i="8"/>
  <c r="C265" i="8"/>
  <c r="C266" i="8"/>
  <c r="D273" i="8"/>
  <c r="C338" i="8"/>
  <c r="D349" i="8"/>
  <c r="C337" i="8"/>
  <c r="D378" i="8"/>
  <c r="C366" i="8"/>
  <c r="D383" i="8"/>
  <c r="C372" i="8"/>
  <c r="D371" i="8"/>
  <c r="C434" i="8"/>
  <c r="D445" i="8"/>
  <c r="C433" i="8"/>
  <c r="D475" i="7"/>
  <c r="D491" i="7"/>
  <c r="D507" i="7"/>
  <c r="C495" i="7"/>
  <c r="D520" i="7"/>
  <c r="C508" i="7"/>
  <c r="D511" i="7"/>
  <c r="D552" i="7"/>
  <c r="C540" i="7"/>
  <c r="D559" i="7"/>
  <c r="D575" i="7"/>
  <c r="C563" i="7"/>
  <c r="D567" i="7"/>
  <c r="C581" i="7"/>
  <c r="D592" i="7"/>
  <c r="C63" i="8"/>
  <c r="D75" i="8"/>
  <c r="C90" i="8"/>
  <c r="D101" i="8"/>
  <c r="D113" i="8"/>
  <c r="C101" i="8"/>
  <c r="D130" i="8"/>
  <c r="D118" i="8"/>
  <c r="C143" i="8"/>
  <c r="D143" i="8"/>
  <c r="D164" i="8"/>
  <c r="C152" i="8"/>
  <c r="D155" i="8"/>
  <c r="D180" i="8"/>
  <c r="C168" i="8"/>
  <c r="C215" i="8"/>
  <c r="D227" i="8"/>
  <c r="D232" i="8"/>
  <c r="C221" i="8"/>
  <c r="D341" i="8"/>
  <c r="C329" i="8"/>
  <c r="D392" i="8"/>
  <c r="C380" i="8"/>
  <c r="D402" i="8"/>
  <c r="D390" i="8"/>
  <c r="C390" i="8"/>
  <c r="D437" i="8"/>
  <c r="D425" i="8"/>
  <c r="C425" i="8"/>
  <c r="D456" i="8"/>
  <c r="C444" i="8"/>
  <c r="D482" i="8"/>
  <c r="D470" i="8"/>
  <c r="C470" i="8"/>
  <c r="D453" i="7"/>
  <c r="D469" i="7"/>
  <c r="D482" i="7"/>
  <c r="D485" i="7"/>
  <c r="D495" i="7"/>
  <c r="D498" i="7"/>
  <c r="D501" i="7"/>
  <c r="D517" i="7"/>
  <c r="C505" i="7"/>
  <c r="D508" i="7"/>
  <c r="D518" i="7"/>
  <c r="C525" i="7"/>
  <c r="C533" i="7"/>
  <c r="C561" i="7"/>
  <c r="D572" i="7"/>
  <c r="D584" i="7"/>
  <c r="C572" i="7"/>
  <c r="C580" i="7"/>
  <c r="D601" i="7"/>
  <c r="D589" i="7"/>
  <c r="C614" i="7"/>
  <c r="D614" i="7"/>
  <c r="C10" i="8"/>
  <c r="C47" i="8"/>
  <c r="D47" i="8"/>
  <c r="D68" i="8"/>
  <c r="C56" i="8"/>
  <c r="D59" i="8"/>
  <c r="D84" i="8"/>
  <c r="C72" i="8"/>
  <c r="D80" i="8"/>
  <c r="C89" i="8"/>
  <c r="C118" i="8"/>
  <c r="C135" i="8"/>
  <c r="D147" i="8"/>
  <c r="D156" i="8"/>
  <c r="C145" i="8"/>
  <c r="C147" i="8"/>
  <c r="D152" i="8"/>
  <c r="D168" i="8"/>
  <c r="C156" i="8"/>
  <c r="C164" i="8"/>
  <c r="D191" i="8"/>
  <c r="C180" i="8"/>
  <c r="C220" i="8"/>
  <c r="D264" i="8"/>
  <c r="C253" i="8"/>
  <c r="D305" i="8"/>
  <c r="D346" i="8"/>
  <c r="C334" i="8"/>
  <c r="D351" i="8"/>
  <c r="C340" i="8"/>
  <c r="D339" i="8"/>
  <c r="D418" i="8"/>
  <c r="D406" i="8"/>
  <c r="D442" i="8"/>
  <c r="C430" i="8"/>
  <c r="D447" i="8"/>
  <c r="C436" i="8"/>
  <c r="D435" i="8"/>
  <c r="C435" i="8"/>
  <c r="D489" i="7"/>
  <c r="D514" i="7"/>
  <c r="D502" i="7"/>
  <c r="D505" i="7"/>
  <c r="C515" i="7"/>
  <c r="D534" i="7"/>
  <c r="C526" i="7"/>
  <c r="D533" i="7"/>
  <c r="D537" i="7"/>
  <c r="C548" i="7"/>
  <c r="C556" i="7"/>
  <c r="C560" i="7"/>
  <c r="D580" i="7"/>
  <c r="C589" i="7"/>
  <c r="D23" i="8"/>
  <c r="C11" i="8"/>
  <c r="C22" i="8"/>
  <c r="D30" i="8"/>
  <c r="C39" i="8"/>
  <c r="D51" i="8"/>
  <c r="D60" i="8"/>
  <c r="C49" i="8"/>
  <c r="C51" i="8"/>
  <c r="D56" i="8"/>
  <c r="D72" i="8"/>
  <c r="C60" i="8"/>
  <c r="C78" i="8"/>
  <c r="D89" i="8"/>
  <c r="D85" i="8"/>
  <c r="D97" i="8"/>
  <c r="C102" i="8"/>
  <c r="C127" i="8"/>
  <c r="D139" i="8"/>
  <c r="D135" i="8"/>
  <c r="C144" i="8"/>
  <c r="C148" i="8"/>
  <c r="C154" i="8"/>
  <c r="D165" i="8"/>
  <c r="C157" i="8"/>
  <c r="D177" i="8"/>
  <c r="C165" i="8"/>
  <c r="C169" i="8"/>
  <c r="C179" i="8"/>
  <c r="C183" i="8"/>
  <c r="D195" i="8"/>
  <c r="C184" i="8"/>
  <c r="C197" i="8"/>
  <c r="C216" i="8"/>
  <c r="C252" i="8"/>
  <c r="D293" i="8"/>
  <c r="C282" i="8"/>
  <c r="D314" i="8"/>
  <c r="C302" i="8"/>
  <c r="C330" i="8"/>
  <c r="D334" i="8"/>
  <c r="D360" i="8"/>
  <c r="C348" i="8"/>
  <c r="D370" i="8"/>
  <c r="D358" i="8"/>
  <c r="C358" i="8"/>
  <c r="C364" i="8"/>
  <c r="C363" i="8"/>
  <c r="D375" i="8"/>
  <c r="C381" i="8"/>
  <c r="C406" i="8"/>
  <c r="C426" i="8"/>
  <c r="D430" i="8"/>
  <c r="C445" i="8"/>
  <c r="C470" i="7"/>
  <c r="C480" i="7"/>
  <c r="C483" i="7"/>
  <c r="C486" i="7"/>
  <c r="C496" i="7"/>
  <c r="C509" i="7"/>
  <c r="C519" i="7"/>
  <c r="C534" i="7"/>
  <c r="D546" i="7"/>
  <c r="D548" i="7"/>
  <c r="C598" i="7"/>
  <c r="D610" i="7"/>
  <c r="C31" i="8"/>
  <c r="D43" i="8"/>
  <c r="C58" i="8"/>
  <c r="D69" i="8"/>
  <c r="D81" i="8"/>
  <c r="C69" i="8"/>
  <c r="D98" i="8"/>
  <c r="D86" i="8"/>
  <c r="C111" i="8"/>
  <c r="D111" i="8"/>
  <c r="D132" i="8"/>
  <c r="C120" i="8"/>
  <c r="D123" i="8"/>
  <c r="D148" i="8"/>
  <c r="C136" i="8"/>
  <c r="D144" i="8"/>
  <c r="C153" i="8"/>
  <c r="D179" i="8"/>
  <c r="D213" i="8"/>
  <c r="C201" i="8"/>
  <c r="C202" i="8"/>
  <c r="D229" i="8"/>
  <c r="D217" i="8"/>
  <c r="C217" i="8"/>
  <c r="D242" i="8"/>
  <c r="D230" i="8"/>
  <c r="C230" i="8"/>
  <c r="D243" i="8"/>
  <c r="C281" i="8"/>
  <c r="D306" i="8"/>
  <c r="D294" i="8"/>
  <c r="C294" i="8"/>
  <c r="D302" i="8"/>
  <c r="D319" i="8"/>
  <c r="D307" i="8"/>
  <c r="C307" i="8"/>
  <c r="C402" i="8"/>
  <c r="D413" i="8"/>
  <c r="C401" i="8"/>
  <c r="C391" i="7"/>
  <c r="D403" i="7"/>
  <c r="C407" i="7"/>
  <c r="D419" i="7"/>
  <c r="C423" i="7"/>
  <c r="D435" i="7"/>
  <c r="C439" i="7"/>
  <c r="C442" i="7"/>
  <c r="D451" i="7"/>
  <c r="C455" i="7"/>
  <c r="C458" i="7"/>
  <c r="D467" i="7"/>
  <c r="C471" i="7"/>
  <c r="C474" i="7"/>
  <c r="D480" i="7"/>
  <c r="D483" i="7"/>
  <c r="C487" i="7"/>
  <c r="C490" i="7"/>
  <c r="D499" i="7"/>
  <c r="D515" i="7"/>
  <c r="C503" i="7"/>
  <c r="C506" i="7"/>
  <c r="C516" i="7"/>
  <c r="D519" i="7"/>
  <c r="C523" i="7"/>
  <c r="C527" i="7"/>
  <c r="D530" i="7"/>
  <c r="D547" i="7"/>
  <c r="C535" i="7"/>
  <c r="D569" i="7"/>
  <c r="D557" i="7"/>
  <c r="C582" i="7"/>
  <c r="D582" i="7"/>
  <c r="D598" i="7"/>
  <c r="D603" i="7"/>
  <c r="C591" i="7"/>
  <c r="D594" i="7"/>
  <c r="C607" i="7"/>
  <c r="D36" i="8"/>
  <c r="C24" i="8"/>
  <c r="D52" i="8"/>
  <c r="C40" i="8"/>
  <c r="D48" i="8"/>
  <c r="C57" i="8"/>
  <c r="D77" i="8"/>
  <c r="C86" i="8"/>
  <c r="C103" i="8"/>
  <c r="D115" i="8"/>
  <c r="D124" i="8"/>
  <c r="C113" i="8"/>
  <c r="C115" i="8"/>
  <c r="D120" i="8"/>
  <c r="D136" i="8"/>
  <c r="C124" i="8"/>
  <c r="C142" i="8"/>
  <c r="D153" i="8"/>
  <c r="D149" i="8"/>
  <c r="D161" i="8"/>
  <c r="C166" i="8"/>
  <c r="D201" i="8"/>
  <c r="D261" i="8"/>
  <c r="D249" i="8"/>
  <c r="C249" i="8"/>
  <c r="D281" i="8"/>
  <c r="D328" i="8"/>
  <c r="C316" i="8"/>
  <c r="D338" i="8"/>
  <c r="D326" i="8"/>
  <c r="C326" i="8"/>
  <c r="C332" i="8"/>
  <c r="C331" i="8"/>
  <c r="D343" i="8"/>
  <c r="C349" i="8"/>
  <c r="D405" i="8"/>
  <c r="D393" i="8"/>
  <c r="C393" i="8"/>
  <c r="D424" i="8"/>
  <c r="C412" i="8"/>
  <c r="D434" i="8"/>
  <c r="D422" i="8"/>
  <c r="C422" i="8"/>
  <c r="D469" i="8"/>
  <c r="D457" i="8"/>
  <c r="C457" i="8"/>
  <c r="D595" i="6"/>
  <c r="D603" i="6"/>
  <c r="C602" i="6"/>
  <c r="C614" i="6"/>
  <c r="D36" i="7"/>
  <c r="C35" i="7"/>
  <c r="C38" i="7"/>
  <c r="C47" i="7"/>
  <c r="D68" i="7"/>
  <c r="C67" i="7"/>
  <c r="C70" i="7"/>
  <c r="C79" i="7"/>
  <c r="D100" i="7"/>
  <c r="C99" i="7"/>
  <c r="C102" i="7"/>
  <c r="C111" i="7"/>
  <c r="D132" i="7"/>
  <c r="C131" i="7"/>
  <c r="C134" i="7"/>
  <c r="C143" i="7"/>
  <c r="D164" i="7"/>
  <c r="C163" i="7"/>
  <c r="C166" i="7"/>
  <c r="C175" i="7"/>
  <c r="D196" i="7"/>
  <c r="C195" i="7"/>
  <c r="C198" i="7"/>
  <c r="C207" i="7"/>
  <c r="D228" i="7"/>
  <c r="C227" i="7"/>
  <c r="C230" i="7"/>
  <c r="C239" i="7"/>
  <c r="D260" i="7"/>
  <c r="C259" i="7"/>
  <c r="C262" i="7"/>
  <c r="C271" i="7"/>
  <c r="D292" i="7"/>
  <c r="C291" i="7"/>
  <c r="C294" i="7"/>
  <c r="C303" i="7"/>
  <c r="D324" i="7"/>
  <c r="C323" i="7"/>
  <c r="C326" i="7"/>
  <c r="C335" i="7"/>
  <c r="D356" i="7"/>
  <c r="C355" i="7"/>
  <c r="C358" i="7"/>
  <c r="C367" i="7"/>
  <c r="C385" i="7"/>
  <c r="D394" i="7"/>
  <c r="D397" i="7"/>
  <c r="C401" i="7"/>
  <c r="D410" i="7"/>
  <c r="D413" i="7"/>
  <c r="C417" i="7"/>
  <c r="D426" i="7"/>
  <c r="D429" i="7"/>
  <c r="C433" i="7"/>
  <c r="D442" i="7"/>
  <c r="D445" i="7"/>
  <c r="C449" i="7"/>
  <c r="D458" i="7"/>
  <c r="D461" i="7"/>
  <c r="C465" i="7"/>
  <c r="D474" i="7"/>
  <c r="D477" i="7"/>
  <c r="C481" i="7"/>
  <c r="D490" i="7"/>
  <c r="D493" i="7"/>
  <c r="C497" i="7"/>
  <c r="D506" i="7"/>
  <c r="C510" i="7"/>
  <c r="D522" i="7"/>
  <c r="C531" i="7"/>
  <c r="D535" i="7"/>
  <c r="D538" i="7"/>
  <c r="C542" i="7"/>
  <c r="D554" i="7"/>
  <c r="C549" i="7"/>
  <c r="C557" i="7"/>
  <c r="C574" i="7"/>
  <c r="D586" i="7"/>
  <c r="D595" i="7"/>
  <c r="C584" i="7"/>
  <c r="C586" i="7"/>
  <c r="D591" i="7"/>
  <c r="D607" i="7"/>
  <c r="C595" i="7"/>
  <c r="D31" i="8"/>
  <c r="C19" i="8"/>
  <c r="D24" i="8"/>
  <c r="D40" i="8"/>
  <c r="C28" i="8"/>
  <c r="C46" i="8"/>
  <c r="D57" i="8"/>
  <c r="D53" i="8"/>
  <c r="D65" i="8"/>
  <c r="C70" i="8"/>
  <c r="C95" i="8"/>
  <c r="D107" i="8"/>
  <c r="D103" i="8"/>
  <c r="C112" i="8"/>
  <c r="C116" i="8"/>
  <c r="C122" i="8"/>
  <c r="D133" i="8"/>
  <c r="C125" i="8"/>
  <c r="D145" i="8"/>
  <c r="C133" i="8"/>
  <c r="C137" i="8"/>
  <c r="C141" i="8"/>
  <c r="D162" i="8"/>
  <c r="D150" i="8"/>
  <c r="D185" i="8"/>
  <c r="D202" i="8"/>
  <c r="C218" i="8"/>
  <c r="C244" i="8"/>
  <c r="C308" i="8"/>
  <c r="D329" i="8"/>
  <c r="C370" i="8"/>
  <c r="D381" i="8"/>
  <c r="C369" i="8"/>
  <c r="C374" i="8"/>
  <c r="D410" i="8"/>
  <c r="C398" i="8"/>
  <c r="D415" i="8"/>
  <c r="C404" i="8"/>
  <c r="D403" i="8"/>
  <c r="C403" i="8"/>
  <c r="D450" i="8"/>
  <c r="D438" i="8"/>
  <c r="D474" i="8"/>
  <c r="C462" i="8"/>
  <c r="D462" i="8"/>
  <c r="C520" i="7"/>
  <c r="C524" i="7"/>
  <c r="C532" i="7"/>
  <c r="D544" i="7"/>
  <c r="C550" i="7"/>
  <c r="D550" i="7"/>
  <c r="C558" i="7"/>
  <c r="D570" i="7"/>
  <c r="C566" i="7"/>
  <c r="D578" i="7"/>
  <c r="C583" i="7"/>
  <c r="C587" i="7"/>
  <c r="C593" i="7"/>
  <c r="D604" i="7"/>
  <c r="C604" i="7"/>
  <c r="C608" i="7"/>
  <c r="C612" i="7"/>
  <c r="C26" i="8"/>
  <c r="D37" i="8"/>
  <c r="D25" i="8"/>
  <c r="D49" i="8"/>
  <c r="C37" i="8"/>
  <c r="C41" i="8"/>
  <c r="C45" i="8"/>
  <c r="D66" i="8"/>
  <c r="D54" i="8"/>
  <c r="C79" i="8"/>
  <c r="D79" i="8"/>
  <c r="D100" i="8"/>
  <c r="C88" i="8"/>
  <c r="D91" i="8"/>
  <c r="D116" i="8"/>
  <c r="C104" i="8"/>
  <c r="C121" i="8"/>
  <c r="D141" i="8"/>
  <c r="C150" i="8"/>
  <c r="D239" i="8"/>
  <c r="C227" i="8"/>
  <c r="C250" i="8"/>
  <c r="C274" i="8"/>
  <c r="D285" i="8"/>
  <c r="C273" i="8"/>
  <c r="D290" i="8"/>
  <c r="D278" i="8"/>
  <c r="C278" i="8"/>
  <c r="C317" i="8"/>
  <c r="D373" i="8"/>
  <c r="C361" i="8"/>
  <c r="D374" i="8"/>
  <c r="D401" i="8"/>
  <c r="C394" i="8"/>
  <c r="C413" i="8"/>
  <c r="C458" i="8"/>
  <c r="C466" i="8"/>
  <c r="D477" i="8"/>
  <c r="C465" i="8"/>
  <c r="D501" i="8"/>
  <c r="D489" i="8"/>
  <c r="C489" i="8"/>
  <c r="C498" i="8"/>
  <c r="D509" i="8"/>
  <c r="C497" i="8"/>
  <c r="D533" i="8"/>
  <c r="D521" i="8"/>
  <c r="C521" i="8"/>
  <c r="C530" i="8"/>
  <c r="D541" i="8"/>
  <c r="C529" i="8"/>
  <c r="D565" i="8"/>
  <c r="D553" i="8"/>
  <c r="C553" i="8"/>
  <c r="C562" i="8"/>
  <c r="D573" i="8"/>
  <c r="C561" i="8"/>
  <c r="D591" i="8"/>
  <c r="C596" i="8"/>
  <c r="C597" i="8"/>
  <c r="D608" i="8"/>
  <c r="C59" i="9"/>
  <c r="C58" i="9"/>
  <c r="D83" i="9"/>
  <c r="D576" i="7"/>
  <c r="D608" i="7"/>
  <c r="C9" i="8"/>
  <c r="C13" i="8"/>
  <c r="D41" i="8"/>
  <c r="D73" i="8"/>
  <c r="D105" i="8"/>
  <c r="D137" i="8"/>
  <c r="C196" i="8"/>
  <c r="D224" i="8"/>
  <c r="D215" i="8"/>
  <c r="C236" i="8"/>
  <c r="C235" i="8"/>
  <c r="D271" i="8"/>
  <c r="C259" i="8"/>
  <c r="D309" i="8"/>
  <c r="C297" i="8"/>
  <c r="C306" i="8"/>
  <c r="D317" i="8"/>
  <c r="C305" i="8"/>
  <c r="C320" i="8"/>
  <c r="C352" i="8"/>
  <c r="C384" i="8"/>
  <c r="C416" i="8"/>
  <c r="C448" i="8"/>
  <c r="C476" i="8"/>
  <c r="C480" i="8"/>
  <c r="C508" i="8"/>
  <c r="C512" i="8"/>
  <c r="C540" i="8"/>
  <c r="C544" i="8"/>
  <c r="D581" i="8"/>
  <c r="C570" i="8"/>
  <c r="C573" i="8"/>
  <c r="D578" i="8"/>
  <c r="D613" i="8"/>
  <c r="C602" i="8"/>
  <c r="D610" i="8"/>
  <c r="C43" i="9"/>
  <c r="C42" i="9"/>
  <c r="D67" i="9"/>
  <c r="D71" i="9"/>
  <c r="D153" i="9"/>
  <c r="C171" i="9"/>
  <c r="C170" i="9"/>
  <c r="C183" i="9"/>
  <c r="D195" i="9"/>
  <c r="D232" i="9"/>
  <c r="D220" i="9"/>
  <c r="C220" i="9"/>
  <c r="D506" i="8"/>
  <c r="C494" i="8"/>
  <c r="D538" i="8"/>
  <c r="C526" i="8"/>
  <c r="D574" i="8"/>
  <c r="C574" i="8"/>
  <c r="D606" i="8"/>
  <c r="C606" i="8"/>
  <c r="C27" i="9"/>
  <c r="C26" i="9"/>
  <c r="D51" i="9"/>
  <c r="C142" i="9"/>
  <c r="C155" i="9"/>
  <c r="C154" i="9"/>
  <c r="D179" i="9"/>
  <c r="D216" i="9"/>
  <c r="D204" i="9"/>
  <c r="C204" i="9"/>
  <c r="D466" i="8"/>
  <c r="D454" i="8"/>
  <c r="C454" i="8"/>
  <c r="C477" i="8"/>
  <c r="D498" i="8"/>
  <c r="D486" i="8"/>
  <c r="C486" i="8"/>
  <c r="D494" i="8"/>
  <c r="C502" i="8"/>
  <c r="C509" i="8"/>
  <c r="D530" i="8"/>
  <c r="D518" i="8"/>
  <c r="C518" i="8"/>
  <c r="D526" i="8"/>
  <c r="C534" i="8"/>
  <c r="C541" i="8"/>
  <c r="D562" i="8"/>
  <c r="D550" i="8"/>
  <c r="C550" i="8"/>
  <c r="D558" i="8"/>
  <c r="C566" i="8"/>
  <c r="C588" i="8"/>
  <c r="D600" i="8"/>
  <c r="C594" i="8"/>
  <c r="C593" i="8"/>
  <c r="D605" i="8"/>
  <c r="C598" i="8"/>
  <c r="C611" i="8"/>
  <c r="D31" i="9"/>
  <c r="D35" i="9"/>
  <c r="D39" i="9"/>
  <c r="D121" i="9"/>
  <c r="C139" i="9"/>
  <c r="C138" i="9"/>
  <c r="D163" i="9"/>
  <c r="D167" i="9"/>
  <c r="C396" i="8"/>
  <c r="C395" i="8"/>
  <c r="C428" i="8"/>
  <c r="C427" i="8"/>
  <c r="C460" i="8"/>
  <c r="C459" i="8"/>
  <c r="C467" i="8"/>
  <c r="C492" i="8"/>
  <c r="C491" i="8"/>
  <c r="C499" i="8"/>
  <c r="D502" i="8"/>
  <c r="C524" i="8"/>
  <c r="C523" i="8"/>
  <c r="C531" i="8"/>
  <c r="D534" i="8"/>
  <c r="C556" i="8"/>
  <c r="C555" i="8"/>
  <c r="D570" i="8"/>
  <c r="C580" i="8"/>
  <c r="C581" i="8"/>
  <c r="D592" i="8"/>
  <c r="C612" i="8"/>
  <c r="C613" i="8"/>
  <c r="C19" i="9"/>
  <c r="D105" i="9"/>
  <c r="C110" i="9"/>
  <c r="C123" i="9"/>
  <c r="C122" i="9"/>
  <c r="D147" i="9"/>
  <c r="D151" i="9"/>
  <c r="C189" i="9"/>
  <c r="D201" i="9"/>
  <c r="D189" i="8"/>
  <c r="C191" i="8"/>
  <c r="D210" i="8"/>
  <c r="C198" i="8"/>
  <c r="D207" i="8"/>
  <c r="C210" i="8"/>
  <c r="C225" i="8"/>
  <c r="D245" i="8"/>
  <c r="C233" i="8"/>
  <c r="C242" i="8"/>
  <c r="D253" i="8"/>
  <c r="C241" i="8"/>
  <c r="D265" i="8"/>
  <c r="D282" i="8"/>
  <c r="C270" i="8"/>
  <c r="C300" i="8"/>
  <c r="C299" i="8"/>
  <c r="C314" i="8"/>
  <c r="D331" i="8"/>
  <c r="C346" i="8"/>
  <c r="D363" i="8"/>
  <c r="C378" i="8"/>
  <c r="D395" i="8"/>
  <c r="C410" i="8"/>
  <c r="D427" i="8"/>
  <c r="C442" i="8"/>
  <c r="D459" i="8"/>
  <c r="D467" i="8"/>
  <c r="C474" i="8"/>
  <c r="D491" i="8"/>
  <c r="D499" i="8"/>
  <c r="C506" i="8"/>
  <c r="D523" i="8"/>
  <c r="D531" i="8"/>
  <c r="C538" i="8"/>
  <c r="D555" i="8"/>
  <c r="D563" i="8"/>
  <c r="D588" i="8"/>
  <c r="D597" i="8"/>
  <c r="C586" i="8"/>
  <c r="C589" i="8"/>
  <c r="D594" i="8"/>
  <c r="D89" i="9"/>
  <c r="C94" i="9"/>
  <c r="C107" i="9"/>
  <c r="C106" i="9"/>
  <c r="D131" i="9"/>
  <c r="D135" i="9"/>
  <c r="D240" i="9"/>
  <c r="D228" i="9"/>
  <c r="C228" i="9"/>
  <c r="D579" i="7"/>
  <c r="C590" i="7"/>
  <c r="D611" i="7"/>
  <c r="D28" i="8"/>
  <c r="C23" i="8"/>
  <c r="D44" i="8"/>
  <c r="C55" i="8"/>
  <c r="D76" i="8"/>
  <c r="C87" i="8"/>
  <c r="D108" i="8"/>
  <c r="C119" i="8"/>
  <c r="D140" i="8"/>
  <c r="C151" i="8"/>
  <c r="D274" i="8"/>
  <c r="D262" i="8"/>
  <c r="C262" i="8"/>
  <c r="D335" i="8"/>
  <c r="C323" i="8"/>
  <c r="D367" i="8"/>
  <c r="C355" i="8"/>
  <c r="D399" i="8"/>
  <c r="C387" i="8"/>
  <c r="D407" i="8"/>
  <c r="D431" i="8"/>
  <c r="D419" i="8"/>
  <c r="C419" i="8"/>
  <c r="D439" i="8"/>
  <c r="D463" i="8"/>
  <c r="D451" i="8"/>
  <c r="C451" i="8"/>
  <c r="D471" i="8"/>
  <c r="D495" i="8"/>
  <c r="D483" i="8"/>
  <c r="C483" i="8"/>
  <c r="D503" i="8"/>
  <c r="D527" i="8"/>
  <c r="D515" i="8"/>
  <c r="C515" i="8"/>
  <c r="D535" i="8"/>
  <c r="D559" i="8"/>
  <c r="D547" i="8"/>
  <c r="C547" i="8"/>
  <c r="D567" i="8"/>
  <c r="D590" i="8"/>
  <c r="C590" i="8"/>
  <c r="C9" i="9"/>
  <c r="D28" i="9"/>
  <c r="D73" i="9"/>
  <c r="C78" i="9"/>
  <c r="C91" i="9"/>
  <c r="C90" i="9"/>
  <c r="D115" i="9"/>
  <c r="C173" i="9"/>
  <c r="D185" i="9"/>
  <c r="C190" i="9"/>
  <c r="D224" i="9"/>
  <c r="D212" i="9"/>
  <c r="C212" i="9"/>
  <c r="C567" i="7"/>
  <c r="C599" i="7"/>
  <c r="C8" i="8"/>
  <c r="C16" i="8"/>
  <c r="C32" i="8"/>
  <c r="C64" i="8"/>
  <c r="C96" i="8"/>
  <c r="C128" i="8"/>
  <c r="C160" i="8"/>
  <c r="D174" i="8"/>
  <c r="C222" i="8"/>
  <c r="C234" i="8"/>
  <c r="D250" i="8"/>
  <c r="C238" i="8"/>
  <c r="C246" i="8"/>
  <c r="C268" i="8"/>
  <c r="C267" i="8"/>
  <c r="D303" i="8"/>
  <c r="C291" i="8"/>
  <c r="C328" i="8"/>
  <c r="C360" i="8"/>
  <c r="C392" i="8"/>
  <c r="C424" i="8"/>
  <c r="C456" i="8"/>
  <c r="C468" i="8"/>
  <c r="C488" i="8"/>
  <c r="C500" i="8"/>
  <c r="C520" i="8"/>
  <c r="C532" i="8"/>
  <c r="C552" i="8"/>
  <c r="C572" i="8"/>
  <c r="D584" i="8"/>
  <c r="C578" i="8"/>
  <c r="C577" i="8"/>
  <c r="D589" i="8"/>
  <c r="C595" i="8"/>
  <c r="C610" i="8"/>
  <c r="C609" i="8"/>
  <c r="C10" i="9"/>
  <c r="D27" i="9"/>
  <c r="C15" i="9"/>
  <c r="D57" i="9"/>
  <c r="C62" i="9"/>
  <c r="D70" i="9"/>
  <c r="C75" i="9"/>
  <c r="C74" i="9"/>
  <c r="D99" i="9"/>
  <c r="D103" i="9"/>
  <c r="C187" i="9"/>
  <c r="C186" i="9"/>
  <c r="D198" i="9"/>
  <c r="D282" i="9"/>
  <c r="D270" i="9"/>
  <c r="C287" i="9"/>
  <c r="D299" i="9"/>
  <c r="D332" i="9"/>
  <c r="C320" i="9"/>
  <c r="C321" i="9"/>
  <c r="D352" i="9"/>
  <c r="C340" i="9"/>
  <c r="C370" i="9"/>
  <c r="D381" i="9"/>
  <c r="D410" i="9"/>
  <c r="D398" i="9"/>
  <c r="C415" i="9"/>
  <c r="D427" i="9"/>
  <c r="D515" i="9"/>
  <c r="C503" i="9"/>
  <c r="D547" i="9"/>
  <c r="C535" i="9"/>
  <c r="D579" i="9"/>
  <c r="C567" i="9"/>
  <c r="C202" i="9"/>
  <c r="C210" i="9"/>
  <c r="C211" i="9"/>
  <c r="C218" i="9"/>
  <c r="C219" i="9"/>
  <c r="C226" i="9"/>
  <c r="C227" i="9"/>
  <c r="C234" i="9"/>
  <c r="C235" i="9"/>
  <c r="C242" i="9"/>
  <c r="C243" i="9"/>
  <c r="D254" i="9"/>
  <c r="C270" i="9"/>
  <c r="C279" i="9"/>
  <c r="D291" i="9"/>
  <c r="D287" i="9"/>
  <c r="D308" i="9"/>
  <c r="C299" i="9"/>
  <c r="D337" i="9"/>
  <c r="C341" i="9"/>
  <c r="C345" i="9"/>
  <c r="D361" i="9"/>
  <c r="C349" i="9"/>
  <c r="C350" i="9"/>
  <c r="D357" i="9"/>
  <c r="C369" i="9"/>
  <c r="C374" i="9"/>
  <c r="C407" i="9"/>
  <c r="D419" i="9"/>
  <c r="D415" i="9"/>
  <c r="D448" i="9"/>
  <c r="D473" i="9"/>
  <c r="C494" i="9"/>
  <c r="D506" i="9"/>
  <c r="C526" i="9"/>
  <c r="D538" i="9"/>
  <c r="C569" i="9"/>
  <c r="C568" i="9"/>
  <c r="C604" i="9"/>
  <c r="C605" i="9"/>
  <c r="D214" i="9"/>
  <c r="C255" i="9"/>
  <c r="D267" i="9"/>
  <c r="D300" i="9"/>
  <c r="C288" i="9"/>
  <c r="C289" i="9"/>
  <c r="D320" i="9"/>
  <c r="C308" i="9"/>
  <c r="C338" i="9"/>
  <c r="D349" i="9"/>
  <c r="D378" i="9"/>
  <c r="D366" i="9"/>
  <c r="C383" i="9"/>
  <c r="D395" i="9"/>
  <c r="D428" i="9"/>
  <c r="C416" i="9"/>
  <c r="C417" i="9"/>
  <c r="D457" i="9"/>
  <c r="D469" i="9"/>
  <c r="C574" i="9"/>
  <c r="D586" i="9"/>
  <c r="D607" i="9"/>
  <c r="C595" i="9"/>
  <c r="D609" i="9"/>
  <c r="C247" i="8"/>
  <c r="C279" i="8"/>
  <c r="C311" i="8"/>
  <c r="C343" i="8"/>
  <c r="C375" i="8"/>
  <c r="C407" i="8"/>
  <c r="C439" i="8"/>
  <c r="C471" i="8"/>
  <c r="C503" i="8"/>
  <c r="C535" i="8"/>
  <c r="C567" i="8"/>
  <c r="D579" i="8"/>
  <c r="C583" i="8"/>
  <c r="C599" i="8"/>
  <c r="D42" i="9"/>
  <c r="D45" i="9"/>
  <c r="D58" i="9"/>
  <c r="D61" i="9"/>
  <c r="D74" i="9"/>
  <c r="D77" i="9"/>
  <c r="D90" i="9"/>
  <c r="D93" i="9"/>
  <c r="D106" i="9"/>
  <c r="D109" i="9"/>
  <c r="D122" i="9"/>
  <c r="D125" i="9"/>
  <c r="D138" i="9"/>
  <c r="D141" i="9"/>
  <c r="D154" i="9"/>
  <c r="D157" i="9"/>
  <c r="D170" i="9"/>
  <c r="D173" i="9"/>
  <c r="D186" i="9"/>
  <c r="D189" i="9"/>
  <c r="D202" i="9"/>
  <c r="C196" i="9"/>
  <c r="D199" i="9"/>
  <c r="D203" i="9"/>
  <c r="D219" i="9"/>
  <c r="D227" i="9"/>
  <c r="D235" i="9"/>
  <c r="D243" i="9"/>
  <c r="D259" i="9"/>
  <c r="D247" i="9"/>
  <c r="D255" i="9"/>
  <c r="D276" i="9"/>
  <c r="C267" i="9"/>
  <c r="D305" i="9"/>
  <c r="C309" i="9"/>
  <c r="C313" i="9"/>
  <c r="D329" i="9"/>
  <c r="C317" i="9"/>
  <c r="C318" i="9"/>
  <c r="D325" i="9"/>
  <c r="C337" i="9"/>
  <c r="C342" i="9"/>
  <c r="C366" i="9"/>
  <c r="C375" i="9"/>
  <c r="D387" i="9"/>
  <c r="D404" i="9"/>
  <c r="C395" i="9"/>
  <c r="D433" i="9"/>
  <c r="C437" i="9"/>
  <c r="D441" i="9"/>
  <c r="D453" i="9"/>
  <c r="D466" i="9"/>
  <c r="D482" i="9"/>
  <c r="D470" i="9"/>
  <c r="C495" i="9"/>
  <c r="C527" i="9"/>
  <c r="C559" i="9"/>
  <c r="D574" i="9"/>
  <c r="D268" i="9"/>
  <c r="C256" i="9"/>
  <c r="C257" i="9"/>
  <c r="D288" i="9"/>
  <c r="C276" i="9"/>
  <c r="C306" i="9"/>
  <c r="D317" i="9"/>
  <c r="D346" i="9"/>
  <c r="D334" i="9"/>
  <c r="C351" i="9"/>
  <c r="D363" i="9"/>
  <c r="D396" i="9"/>
  <c r="C384" i="9"/>
  <c r="C385" i="9"/>
  <c r="D416" i="9"/>
  <c r="C404" i="9"/>
  <c r="C434" i="9"/>
  <c r="D445" i="9"/>
  <c r="D450" i="9"/>
  <c r="C458" i="9"/>
  <c r="C468" i="9"/>
  <c r="D479" i="9"/>
  <c r="D499" i="9"/>
  <c r="C488" i="9"/>
  <c r="D531" i="9"/>
  <c r="C520" i="9"/>
  <c r="D563" i="9"/>
  <c r="C552" i="9"/>
  <c r="D587" i="9"/>
  <c r="C575" i="9"/>
  <c r="C576" i="9"/>
  <c r="C606" i="9"/>
  <c r="D606" i="9"/>
  <c r="C175" i="8"/>
  <c r="C207" i="8"/>
  <c r="C239" i="8"/>
  <c r="D256" i="8"/>
  <c r="C271" i="8"/>
  <c r="D288" i="8"/>
  <c r="C303" i="8"/>
  <c r="D320" i="8"/>
  <c r="C335" i="8"/>
  <c r="C367" i="8"/>
  <c r="C399" i="8"/>
  <c r="C431" i="8"/>
  <c r="C463" i="8"/>
  <c r="C495" i="8"/>
  <c r="C527" i="8"/>
  <c r="C559" i="8"/>
  <c r="D577" i="8"/>
  <c r="D580" i="8"/>
  <c r="D593" i="8"/>
  <c r="D596" i="8"/>
  <c r="D609" i="8"/>
  <c r="D612" i="8"/>
  <c r="D20" i="9"/>
  <c r="C24" i="9"/>
  <c r="D30" i="9"/>
  <c r="D33" i="9"/>
  <c r="C40" i="9"/>
  <c r="D46" i="9"/>
  <c r="D49" i="9"/>
  <c r="C56" i="9"/>
  <c r="D62" i="9"/>
  <c r="D65" i="9"/>
  <c r="C72" i="9"/>
  <c r="D78" i="9"/>
  <c r="D81" i="9"/>
  <c r="C88" i="9"/>
  <c r="D94" i="9"/>
  <c r="D97" i="9"/>
  <c r="C104" i="9"/>
  <c r="D110" i="9"/>
  <c r="D113" i="9"/>
  <c r="C120" i="9"/>
  <c r="D126" i="9"/>
  <c r="D129" i="9"/>
  <c r="C136" i="9"/>
  <c r="D142" i="9"/>
  <c r="D145" i="9"/>
  <c r="C152" i="9"/>
  <c r="D158" i="9"/>
  <c r="D161" i="9"/>
  <c r="C168" i="9"/>
  <c r="D174" i="9"/>
  <c r="D177" i="9"/>
  <c r="C184" i="9"/>
  <c r="D190" i="9"/>
  <c r="D193" i="9"/>
  <c r="C197" i="9"/>
  <c r="C208" i="9"/>
  <c r="C216" i="9"/>
  <c r="C224" i="9"/>
  <c r="C232" i="9"/>
  <c r="C236" i="9"/>
  <c r="C244" i="9"/>
  <c r="D273" i="9"/>
  <c r="C277" i="9"/>
  <c r="C281" i="9"/>
  <c r="D297" i="9"/>
  <c r="C285" i="9"/>
  <c r="C286" i="9"/>
  <c r="D293" i="9"/>
  <c r="C305" i="9"/>
  <c r="C310" i="9"/>
  <c r="D322" i="9"/>
  <c r="C334" i="9"/>
  <c r="C343" i="9"/>
  <c r="D355" i="9"/>
  <c r="D351" i="9"/>
  <c r="D372" i="9"/>
  <c r="C363" i="9"/>
  <c r="D401" i="9"/>
  <c r="C405" i="9"/>
  <c r="C409" i="9"/>
  <c r="D425" i="9"/>
  <c r="C413" i="9"/>
  <c r="C414" i="9"/>
  <c r="D421" i="9"/>
  <c r="C433" i="9"/>
  <c r="C438" i="9"/>
  <c r="C442" i="9"/>
  <c r="C454" i="9"/>
  <c r="D463" i="9"/>
  <c r="C467" i="9"/>
  <c r="D483" i="9"/>
  <c r="C471" i="9"/>
  <c r="D471" i="9"/>
  <c r="D495" i="9"/>
  <c r="C487" i="9"/>
  <c r="C491" i="9"/>
  <c r="D503" i="9"/>
  <c r="D527" i="9"/>
  <c r="C519" i="9"/>
  <c r="C523" i="9"/>
  <c r="D535" i="9"/>
  <c r="D559" i="9"/>
  <c r="C551" i="9"/>
  <c r="C555" i="9"/>
  <c r="D567" i="9"/>
  <c r="D570" i="9"/>
  <c r="C597" i="9"/>
  <c r="C248" i="8"/>
  <c r="D259" i="8"/>
  <c r="C280" i="8"/>
  <c r="D291" i="8"/>
  <c r="D323" i="8"/>
  <c r="D355" i="8"/>
  <c r="D387" i="8"/>
  <c r="D29" i="9"/>
  <c r="D43" i="9"/>
  <c r="D59" i="9"/>
  <c r="D75" i="9"/>
  <c r="D91" i="9"/>
  <c r="D107" i="9"/>
  <c r="D123" i="9"/>
  <c r="D139" i="9"/>
  <c r="D155" i="9"/>
  <c r="D171" i="9"/>
  <c r="D187" i="9"/>
  <c r="D210" i="9"/>
  <c r="D236" i="9"/>
  <c r="D244" i="9"/>
  <c r="C274" i="9"/>
  <c r="D285" i="9"/>
  <c r="D281" i="9"/>
  <c r="D314" i="9"/>
  <c r="D302" i="9"/>
  <c r="C319" i="9"/>
  <c r="D331" i="9"/>
  <c r="D364" i="9"/>
  <c r="C352" i="9"/>
  <c r="C353" i="9"/>
  <c r="C364" i="9"/>
  <c r="D384" i="9"/>
  <c r="C372" i="9"/>
  <c r="C402" i="9"/>
  <c r="D413" i="9"/>
  <c r="D409" i="9"/>
  <c r="D442" i="9"/>
  <c r="D430" i="9"/>
  <c r="C451" i="9"/>
  <c r="C455" i="9"/>
  <c r="D455" i="9"/>
  <c r="D467" i="9"/>
  <c r="C483" i="9"/>
  <c r="D487" i="9"/>
  <c r="C515" i="9"/>
  <c r="D519" i="9"/>
  <c r="D551" i="9"/>
  <c r="C571" i="9"/>
  <c r="D583" i="9"/>
  <c r="D188" i="8"/>
  <c r="C199" i="8"/>
  <c r="D220" i="8"/>
  <c r="C231" i="8"/>
  <c r="D252" i="8"/>
  <c r="C263" i="8"/>
  <c r="D284" i="8"/>
  <c r="C295" i="8"/>
  <c r="D316" i="8"/>
  <c r="C327" i="8"/>
  <c r="D348" i="8"/>
  <c r="C359" i="8"/>
  <c r="D380" i="8"/>
  <c r="C391" i="8"/>
  <c r="D412" i="8"/>
  <c r="C423" i="8"/>
  <c r="D444" i="8"/>
  <c r="C455" i="8"/>
  <c r="D476" i="8"/>
  <c r="C487" i="8"/>
  <c r="D508" i="8"/>
  <c r="C519" i="8"/>
  <c r="D540" i="8"/>
  <c r="C551" i="8"/>
  <c r="D569" i="8"/>
  <c r="D572" i="8"/>
  <c r="D571" i="8"/>
  <c r="C575" i="8"/>
  <c r="C591" i="8"/>
  <c r="C607" i="8"/>
  <c r="C17" i="9"/>
  <c r="D34" i="9"/>
  <c r="D37" i="9"/>
  <c r="D50" i="9"/>
  <c r="D53" i="9"/>
  <c r="D66" i="9"/>
  <c r="D69" i="9"/>
  <c r="D82" i="9"/>
  <c r="D85" i="9"/>
  <c r="D98" i="9"/>
  <c r="D101" i="9"/>
  <c r="D114" i="9"/>
  <c r="D117" i="9"/>
  <c r="D130" i="9"/>
  <c r="D133" i="9"/>
  <c r="D146" i="9"/>
  <c r="D149" i="9"/>
  <c r="D162" i="9"/>
  <c r="D165" i="9"/>
  <c r="D178" i="9"/>
  <c r="D181" i="9"/>
  <c r="D194" i="9"/>
  <c r="D197" i="9"/>
  <c r="C194" i="9"/>
  <c r="C198" i="9"/>
  <c r="C205" i="9"/>
  <c r="C209" i="9"/>
  <c r="C213" i="9"/>
  <c r="C217" i="9"/>
  <c r="C221" i="9"/>
  <c r="C225" i="9"/>
  <c r="C229" i="9"/>
  <c r="C233" i="9"/>
  <c r="C237" i="9"/>
  <c r="C241" i="9"/>
  <c r="C245" i="9"/>
  <c r="C249" i="9"/>
  <c r="D265" i="9"/>
  <c r="C253" i="9"/>
  <c r="C254" i="9"/>
  <c r="D261" i="9"/>
  <c r="C273" i="9"/>
  <c r="C278" i="9"/>
  <c r="C302" i="9"/>
  <c r="C311" i="9"/>
  <c r="D323" i="9"/>
  <c r="D340" i="9"/>
  <c r="C331" i="9"/>
  <c r="D369" i="9"/>
  <c r="C373" i="9"/>
  <c r="C377" i="9"/>
  <c r="D393" i="9"/>
  <c r="C381" i="9"/>
  <c r="C382" i="9"/>
  <c r="D389" i="9"/>
  <c r="C401" i="9"/>
  <c r="C406" i="9"/>
  <c r="C430" i="9"/>
  <c r="C439" i="9"/>
  <c r="D451" i="9"/>
  <c r="C464" i="9"/>
  <c r="D496" i="9"/>
  <c r="C485" i="9"/>
  <c r="D484" i="9"/>
  <c r="C502" i="9"/>
  <c r="D514" i="9"/>
  <c r="D528" i="9"/>
  <c r="C517" i="9"/>
  <c r="D516" i="9"/>
  <c r="C534" i="9"/>
  <c r="D546" i="9"/>
  <c r="D560" i="9"/>
  <c r="C549" i="9"/>
  <c r="D548" i="9"/>
  <c r="C566" i="9"/>
  <c r="D578" i="9"/>
  <c r="D580" i="9"/>
  <c r="D601" i="9"/>
  <c r="D589" i="9"/>
  <c r="C589" i="9"/>
  <c r="D284" i="9"/>
  <c r="D274" i="9"/>
  <c r="D277" i="9"/>
  <c r="C295" i="9"/>
  <c r="D316" i="9"/>
  <c r="D306" i="9"/>
  <c r="D309" i="9"/>
  <c r="C327" i="9"/>
  <c r="D348" i="9"/>
  <c r="D338" i="9"/>
  <c r="D341" i="9"/>
  <c r="C359" i="9"/>
  <c r="D380" i="9"/>
  <c r="D370" i="9"/>
  <c r="D373" i="9"/>
  <c r="C391" i="9"/>
  <c r="D412" i="9"/>
  <c r="D402" i="9"/>
  <c r="D405" i="9"/>
  <c r="C423" i="9"/>
  <c r="D434" i="9"/>
  <c r="D437" i="9"/>
  <c r="D459" i="9"/>
  <c r="D475" i="9"/>
  <c r="C463" i="9"/>
  <c r="D488" i="9"/>
  <c r="C476" i="9"/>
  <c r="D504" i="9"/>
  <c r="D520" i="9"/>
  <c r="C508" i="9"/>
  <c r="D536" i="9"/>
  <c r="D552" i="9"/>
  <c r="C540" i="9"/>
  <c r="D569" i="9"/>
  <c r="C587" i="9"/>
  <c r="D599" i="9"/>
  <c r="D30" i="10"/>
  <c r="D39" i="10"/>
  <c r="C63" i="10"/>
  <c r="D75" i="10"/>
  <c r="D84" i="10"/>
  <c r="C72" i="10"/>
  <c r="C73" i="10"/>
  <c r="D92" i="10"/>
  <c r="C81" i="10"/>
  <c r="C142" i="10"/>
  <c r="D153" i="10"/>
  <c r="D168" i="10"/>
  <c r="C156" i="10"/>
  <c r="D177" i="10"/>
  <c r="C165" i="10"/>
  <c r="C166" i="10"/>
  <c r="C186" i="10"/>
  <c r="D197" i="10"/>
  <c r="D258" i="10"/>
  <c r="D246" i="10"/>
  <c r="C263" i="10"/>
  <c r="D275" i="10"/>
  <c r="D313" i="10"/>
  <c r="C302" i="10"/>
  <c r="C301" i="10"/>
  <c r="D348" i="10"/>
  <c r="D336" i="10"/>
  <c r="C336" i="10"/>
  <c r="D346" i="10"/>
  <c r="D383" i="10"/>
  <c r="C371" i="10"/>
  <c r="D412" i="10"/>
  <c r="D400" i="10"/>
  <c r="C400" i="10"/>
  <c r="D410" i="10"/>
  <c r="C31" i="10"/>
  <c r="D43" i="10"/>
  <c r="D52" i="10"/>
  <c r="C40" i="10"/>
  <c r="C41" i="10"/>
  <c r="D60" i="10"/>
  <c r="C49" i="10"/>
  <c r="C110" i="10"/>
  <c r="D121" i="10"/>
  <c r="D136" i="10"/>
  <c r="C124" i="10"/>
  <c r="D145" i="10"/>
  <c r="C133" i="10"/>
  <c r="C134" i="10"/>
  <c r="C154" i="10"/>
  <c r="D165" i="10"/>
  <c r="D202" i="10"/>
  <c r="D226" i="10"/>
  <c r="D214" i="10"/>
  <c r="C231" i="10"/>
  <c r="D243" i="10"/>
  <c r="D263" i="10"/>
  <c r="C287" i="10"/>
  <c r="D299" i="10"/>
  <c r="D304" i="10"/>
  <c r="C292" i="10"/>
  <c r="D359" i="10"/>
  <c r="C347" i="10"/>
  <c r="D388" i="10"/>
  <c r="D376" i="10"/>
  <c r="C376" i="10"/>
  <c r="C390" i="10"/>
  <c r="C412" i="10"/>
  <c r="D423" i="10"/>
  <c r="C411" i="10"/>
  <c r="D430" i="10"/>
  <c r="C430" i="10"/>
  <c r="D446" i="10"/>
  <c r="C446" i="10"/>
  <c r="C593" i="9"/>
  <c r="D604" i="9"/>
  <c r="C596" i="9"/>
  <c r="C27" i="10"/>
  <c r="C48" i="10"/>
  <c r="C68" i="10"/>
  <c r="C78" i="10"/>
  <c r="D89" i="10"/>
  <c r="D104" i="10"/>
  <c r="C92" i="10"/>
  <c r="C97" i="10"/>
  <c r="D113" i="10"/>
  <c r="C101" i="10"/>
  <c r="C102" i="10"/>
  <c r="C109" i="10"/>
  <c r="C122" i="10"/>
  <c r="D133" i="10"/>
  <c r="C125" i="10"/>
  <c r="C153" i="10"/>
  <c r="D194" i="10"/>
  <c r="D182" i="10"/>
  <c r="C199" i="10"/>
  <c r="D211" i="10"/>
  <c r="C214" i="10"/>
  <c r="D231" i="10"/>
  <c r="C255" i="10"/>
  <c r="D267" i="10"/>
  <c r="D276" i="10"/>
  <c r="C264" i="10"/>
  <c r="C265" i="10"/>
  <c r="D284" i="10"/>
  <c r="C273" i="10"/>
  <c r="C275" i="10"/>
  <c r="C283" i="10"/>
  <c r="D305" i="10"/>
  <c r="C293" i="10"/>
  <c r="C294" i="10"/>
  <c r="D347" i="10"/>
  <c r="D364" i="10"/>
  <c r="D352" i="10"/>
  <c r="C352" i="10"/>
  <c r="C366" i="10"/>
  <c r="D399" i="10"/>
  <c r="C387" i="10"/>
  <c r="D411" i="10"/>
  <c r="D428" i="10"/>
  <c r="D416" i="10"/>
  <c r="C416" i="10"/>
  <c r="D442" i="10"/>
  <c r="D458" i="10"/>
  <c r="D31" i="10"/>
  <c r="C19" i="10"/>
  <c r="C36" i="10"/>
  <c r="C46" i="10"/>
  <c r="D57" i="10"/>
  <c r="D72" i="10"/>
  <c r="C60" i="10"/>
  <c r="C65" i="10"/>
  <c r="D81" i="10"/>
  <c r="C69" i="10"/>
  <c r="C70" i="10"/>
  <c r="C77" i="10"/>
  <c r="C90" i="10"/>
  <c r="D101" i="10"/>
  <c r="C93" i="10"/>
  <c r="D97" i="10"/>
  <c r="D109" i="10"/>
  <c r="D138" i="10"/>
  <c r="D162" i="10"/>
  <c r="D150" i="10"/>
  <c r="C167" i="10"/>
  <c r="D179" i="10"/>
  <c r="D199" i="10"/>
  <c r="C223" i="10"/>
  <c r="D235" i="10"/>
  <c r="D244" i="10"/>
  <c r="C232" i="10"/>
  <c r="C233" i="10"/>
  <c r="D252" i="10"/>
  <c r="C241" i="10"/>
  <c r="C243" i="10"/>
  <c r="C276" i="10"/>
  <c r="D283" i="10"/>
  <c r="C290" i="10"/>
  <c r="D289" i="10"/>
  <c r="D335" i="10"/>
  <c r="C323" i="10"/>
  <c r="D340" i="10"/>
  <c r="D328" i="10"/>
  <c r="C328" i="10"/>
  <c r="C342" i="10"/>
  <c r="D375" i="10"/>
  <c r="C363" i="10"/>
  <c r="D387" i="10"/>
  <c r="D404" i="10"/>
  <c r="D392" i="10"/>
  <c r="C392" i="10"/>
  <c r="D402" i="10"/>
  <c r="C406" i="10"/>
  <c r="D444" i="10"/>
  <c r="D432" i="10"/>
  <c r="C432" i="10"/>
  <c r="D460" i="10"/>
  <c r="D448" i="10"/>
  <c r="C448" i="10"/>
  <c r="D476" i="10"/>
  <c r="D464" i="10"/>
  <c r="C464" i="10"/>
  <c r="D40" i="10"/>
  <c r="C28" i="10"/>
  <c r="D49" i="10"/>
  <c r="C37" i="10"/>
  <c r="C38" i="10"/>
  <c r="C58" i="10"/>
  <c r="D69" i="10"/>
  <c r="D106" i="10"/>
  <c r="D130" i="10"/>
  <c r="D118" i="10"/>
  <c r="C135" i="10"/>
  <c r="D147" i="10"/>
  <c r="C191" i="10"/>
  <c r="D203" i="10"/>
  <c r="D212" i="10"/>
  <c r="C200" i="10"/>
  <c r="C201" i="10"/>
  <c r="D220" i="10"/>
  <c r="C209" i="10"/>
  <c r="C270" i="10"/>
  <c r="D281" i="10"/>
  <c r="D296" i="10"/>
  <c r="C284" i="10"/>
  <c r="D323" i="10"/>
  <c r="D351" i="10"/>
  <c r="C339" i="10"/>
  <c r="D363" i="10"/>
  <c r="D380" i="10"/>
  <c r="D368" i="10"/>
  <c r="C368" i="10"/>
  <c r="D378" i="10"/>
  <c r="C382" i="10"/>
  <c r="C404" i="10"/>
  <c r="D415" i="10"/>
  <c r="C403" i="10"/>
  <c r="C449" i="9"/>
  <c r="D461" i="9"/>
  <c r="C465" i="9"/>
  <c r="C478" i="9"/>
  <c r="D490" i="9"/>
  <c r="C499" i="9"/>
  <c r="C510" i="9"/>
  <c r="D522" i="9"/>
  <c r="C531" i="9"/>
  <c r="C542" i="9"/>
  <c r="D554" i="9"/>
  <c r="C563" i="9"/>
  <c r="D575" i="9"/>
  <c r="C15" i="10"/>
  <c r="C29" i="10"/>
  <c r="D33" i="10"/>
  <c r="D45" i="10"/>
  <c r="C57" i="10"/>
  <c r="D74" i="10"/>
  <c r="D98" i="10"/>
  <c r="D86" i="10"/>
  <c r="C94" i="10"/>
  <c r="C103" i="10"/>
  <c r="D115" i="10"/>
  <c r="C118" i="10"/>
  <c r="D135" i="10"/>
  <c r="C159" i="10"/>
  <c r="D171" i="10"/>
  <c r="D180" i="10"/>
  <c r="C168" i="10"/>
  <c r="C169" i="10"/>
  <c r="D188" i="10"/>
  <c r="C177" i="10"/>
  <c r="C179" i="10"/>
  <c r="C187" i="10"/>
  <c r="C208" i="10"/>
  <c r="C212" i="10"/>
  <c r="C228" i="10"/>
  <c r="C238" i="10"/>
  <c r="D249" i="10"/>
  <c r="D264" i="10"/>
  <c r="C252" i="10"/>
  <c r="C257" i="10"/>
  <c r="D273" i="10"/>
  <c r="C261" i="10"/>
  <c r="C262" i="10"/>
  <c r="C269" i="10"/>
  <c r="C282" i="10"/>
  <c r="D293" i="10"/>
  <c r="C285" i="10"/>
  <c r="C304" i="10"/>
  <c r="C318" i="10"/>
  <c r="D339" i="10"/>
  <c r="D356" i="10"/>
  <c r="D344" i="10"/>
  <c r="C344" i="10"/>
  <c r="D354" i="10"/>
  <c r="C358" i="10"/>
  <c r="D391" i="10"/>
  <c r="C379" i="10"/>
  <c r="D420" i="10"/>
  <c r="D408" i="10"/>
  <c r="C408" i="10"/>
  <c r="D418" i="10"/>
  <c r="D438" i="10"/>
  <c r="C438" i="10"/>
  <c r="D454" i="10"/>
  <c r="C454" i="10"/>
  <c r="D466" i="10"/>
  <c r="D26" i="9"/>
  <c r="D252" i="9"/>
  <c r="D260" i="9"/>
  <c r="C259" i="9"/>
  <c r="C262" i="9"/>
  <c r="C271" i="9"/>
  <c r="D292" i="9"/>
  <c r="C291" i="9"/>
  <c r="C294" i="9"/>
  <c r="C303" i="9"/>
  <c r="D324" i="9"/>
  <c r="C323" i="9"/>
  <c r="C326" i="9"/>
  <c r="C335" i="9"/>
  <c r="D356" i="9"/>
  <c r="C355" i="9"/>
  <c r="C358" i="9"/>
  <c r="C367" i="9"/>
  <c r="D388" i="9"/>
  <c r="C387" i="9"/>
  <c r="C390" i="9"/>
  <c r="C399" i="9"/>
  <c r="D420" i="9"/>
  <c r="C419" i="9"/>
  <c r="C422" i="9"/>
  <c r="C431" i="9"/>
  <c r="D449" i="9"/>
  <c r="D465" i="9"/>
  <c r="D478" i="9"/>
  <c r="C492" i="9"/>
  <c r="C500" i="9"/>
  <c r="C524" i="9"/>
  <c r="C532" i="9"/>
  <c r="C556" i="9"/>
  <c r="C564" i="9"/>
  <c r="D564" i="9"/>
  <c r="D568" i="9"/>
  <c r="D584" i="9"/>
  <c r="C572" i="9"/>
  <c r="C573" i="9"/>
  <c r="D595" i="9"/>
  <c r="C590" i="9"/>
  <c r="C598" i="9"/>
  <c r="D610" i="9"/>
  <c r="C607" i="9"/>
  <c r="C608" i="9"/>
  <c r="C10" i="10"/>
  <c r="C26" i="10"/>
  <c r="D37" i="10"/>
  <c r="D25" i="10"/>
  <c r="D42" i="10"/>
  <c r="D66" i="10"/>
  <c r="D54" i="10"/>
  <c r="C62" i="10"/>
  <c r="C71" i="10"/>
  <c r="D83" i="10"/>
  <c r="C86" i="10"/>
  <c r="D103" i="10"/>
  <c r="C127" i="10"/>
  <c r="D139" i="10"/>
  <c r="D148" i="10"/>
  <c r="C136" i="10"/>
  <c r="C137" i="10"/>
  <c r="D156" i="10"/>
  <c r="C145" i="10"/>
  <c r="C147" i="10"/>
  <c r="C155" i="10"/>
  <c r="C176" i="10"/>
  <c r="C180" i="10"/>
  <c r="C196" i="10"/>
  <c r="C206" i="10"/>
  <c r="D217" i="10"/>
  <c r="D232" i="10"/>
  <c r="C220" i="10"/>
  <c r="C225" i="10"/>
  <c r="D241" i="10"/>
  <c r="C229" i="10"/>
  <c r="C230" i="10"/>
  <c r="C237" i="10"/>
  <c r="C250" i="10"/>
  <c r="D261" i="10"/>
  <c r="C253" i="10"/>
  <c r="D257" i="10"/>
  <c r="D269" i="10"/>
  <c r="C281" i="10"/>
  <c r="D308" i="10"/>
  <c r="C296" i="10"/>
  <c r="C297" i="10"/>
  <c r="C306" i="10"/>
  <c r="C305" i="10"/>
  <c r="D317" i="10"/>
  <c r="D330" i="10"/>
  <c r="C334" i="10"/>
  <c r="D367" i="10"/>
  <c r="C355" i="10"/>
  <c r="D379" i="10"/>
  <c r="D396" i="10"/>
  <c r="D384" i="10"/>
  <c r="C384" i="10"/>
  <c r="D394" i="10"/>
  <c r="C398" i="10"/>
  <c r="C420" i="10"/>
  <c r="D431" i="10"/>
  <c r="C419" i="10"/>
  <c r="D434" i="10"/>
  <c r="D450" i="10"/>
  <c r="C240" i="9"/>
  <c r="C248" i="9"/>
  <c r="C280" i="9"/>
  <c r="C312" i="9"/>
  <c r="C344" i="9"/>
  <c r="C376" i="9"/>
  <c r="C408" i="9"/>
  <c r="C440" i="9"/>
  <c r="C446" i="9"/>
  <c r="C456" i="9"/>
  <c r="C462" i="9"/>
  <c r="C472" i="9"/>
  <c r="D491" i="9"/>
  <c r="C479" i="9"/>
  <c r="D494" i="9"/>
  <c r="C496" i="9"/>
  <c r="D500" i="9"/>
  <c r="C504" i="9"/>
  <c r="D523" i="9"/>
  <c r="C511" i="9"/>
  <c r="D526" i="9"/>
  <c r="C528" i="9"/>
  <c r="D532" i="9"/>
  <c r="C536" i="9"/>
  <c r="D555" i="9"/>
  <c r="C543" i="9"/>
  <c r="D558" i="9"/>
  <c r="C560" i="9"/>
  <c r="D572" i="9"/>
  <c r="D576" i="9"/>
  <c r="D592" i="9"/>
  <c r="C583" i="9"/>
  <c r="C586" i="9"/>
  <c r="D23" i="10"/>
  <c r="C11" i="10"/>
  <c r="C25" i="10"/>
  <c r="C39" i="10"/>
  <c r="D51" i="10"/>
  <c r="C54" i="10"/>
  <c r="C95" i="10"/>
  <c r="D107" i="10"/>
  <c r="D116" i="10"/>
  <c r="C104" i="10"/>
  <c r="C105" i="10"/>
  <c r="D124" i="10"/>
  <c r="C113" i="10"/>
  <c r="C115" i="10"/>
  <c r="C144" i="10"/>
  <c r="C148" i="10"/>
  <c r="C164" i="10"/>
  <c r="C174" i="10"/>
  <c r="D185" i="10"/>
  <c r="D200" i="10"/>
  <c r="C188" i="10"/>
  <c r="C193" i="10"/>
  <c r="D209" i="10"/>
  <c r="C197" i="10"/>
  <c r="C198" i="10"/>
  <c r="C205" i="10"/>
  <c r="C218" i="10"/>
  <c r="D229" i="10"/>
  <c r="C221" i="10"/>
  <c r="D225" i="10"/>
  <c r="D237" i="10"/>
  <c r="C249" i="10"/>
  <c r="D290" i="10"/>
  <c r="D278" i="10"/>
  <c r="D327" i="10"/>
  <c r="C315" i="10"/>
  <c r="D332" i="10"/>
  <c r="C320" i="10"/>
  <c r="D343" i="10"/>
  <c r="C331" i="10"/>
  <c r="D355" i="10"/>
  <c r="D372" i="10"/>
  <c r="D360" i="10"/>
  <c r="C360" i="10"/>
  <c r="D370" i="10"/>
  <c r="C374" i="10"/>
  <c r="D407" i="10"/>
  <c r="C395" i="10"/>
  <c r="D419" i="10"/>
  <c r="D436" i="10"/>
  <c r="D424" i="10"/>
  <c r="C424" i="10"/>
  <c r="D452" i="10"/>
  <c r="D440" i="10"/>
  <c r="C440" i="10"/>
  <c r="D468" i="10"/>
  <c r="D456" i="10"/>
  <c r="C456" i="10"/>
  <c r="D603" i="9"/>
  <c r="D596" i="9"/>
  <c r="D36" i="10"/>
  <c r="D29" i="10"/>
  <c r="D32" i="10"/>
  <c r="D68" i="10"/>
  <c r="D61" i="10"/>
  <c r="D64" i="10"/>
  <c r="D100" i="10"/>
  <c r="D93" i="10"/>
  <c r="D96" i="10"/>
  <c r="D132" i="10"/>
  <c r="D125" i="10"/>
  <c r="D128" i="10"/>
  <c r="D164" i="10"/>
  <c r="D157" i="10"/>
  <c r="D160" i="10"/>
  <c r="D196" i="10"/>
  <c r="D189" i="10"/>
  <c r="D192" i="10"/>
  <c r="D228" i="10"/>
  <c r="D221" i="10"/>
  <c r="D224" i="10"/>
  <c r="D260" i="10"/>
  <c r="D253" i="10"/>
  <c r="D256" i="10"/>
  <c r="D292" i="10"/>
  <c r="D285" i="10"/>
  <c r="D288" i="10"/>
  <c r="D325" i="10"/>
  <c r="D573" i="10"/>
  <c r="D597" i="10"/>
  <c r="C585" i="10"/>
  <c r="C586" i="10"/>
  <c r="C605" i="10"/>
  <c r="C606" i="10"/>
  <c r="D24" i="11"/>
  <c r="C46" i="11"/>
  <c r="C47" i="11"/>
  <c r="D81" i="11"/>
  <c r="D69" i="11"/>
  <c r="C90" i="11"/>
  <c r="D102" i="11"/>
  <c r="C91" i="11"/>
  <c r="D90" i="11"/>
  <c r="D474" i="10"/>
  <c r="D482" i="10"/>
  <c r="D490" i="10"/>
  <c r="D498" i="10"/>
  <c r="D506" i="10"/>
  <c r="D514" i="10"/>
  <c r="D522" i="10"/>
  <c r="D530" i="10"/>
  <c r="D538" i="10"/>
  <c r="D554" i="10"/>
  <c r="D542" i="10"/>
  <c r="D546" i="10"/>
  <c r="D562" i="10"/>
  <c r="D550" i="10"/>
  <c r="D571" i="10"/>
  <c r="C559" i="10"/>
  <c r="C560" i="10"/>
  <c r="C571" i="10"/>
  <c r="D582" i="10"/>
  <c r="D590" i="10"/>
  <c r="D50" i="11"/>
  <c r="C50" i="11"/>
  <c r="D62" i="11"/>
  <c r="C51" i="11"/>
  <c r="C428" i="10"/>
  <c r="D439" i="10"/>
  <c r="C436" i="10"/>
  <c r="D447" i="10"/>
  <c r="C444" i="10"/>
  <c r="D455" i="10"/>
  <c r="C452" i="10"/>
  <c r="D463" i="10"/>
  <c r="C460" i="10"/>
  <c r="D471" i="10"/>
  <c r="C462" i="10"/>
  <c r="C468" i="10"/>
  <c r="D479" i="10"/>
  <c r="C470" i="10"/>
  <c r="C476" i="10"/>
  <c r="D487" i="10"/>
  <c r="C478" i="10"/>
  <c r="C484" i="10"/>
  <c r="D495" i="10"/>
  <c r="C486" i="10"/>
  <c r="C492" i="10"/>
  <c r="D503" i="10"/>
  <c r="C494" i="10"/>
  <c r="C500" i="10"/>
  <c r="D511" i="10"/>
  <c r="C502" i="10"/>
  <c r="C508" i="10"/>
  <c r="D519" i="10"/>
  <c r="C510" i="10"/>
  <c r="C516" i="10"/>
  <c r="D527" i="10"/>
  <c r="C518" i="10"/>
  <c r="C524" i="10"/>
  <c r="D535" i="10"/>
  <c r="C526" i="10"/>
  <c r="C532" i="10"/>
  <c r="D543" i="10"/>
  <c r="C534" i="10"/>
  <c r="C540" i="10"/>
  <c r="D551" i="10"/>
  <c r="C542" i="10"/>
  <c r="D559" i="10"/>
  <c r="C548" i="10"/>
  <c r="C550" i="10"/>
  <c r="C555" i="10"/>
  <c r="C568" i="10"/>
  <c r="D579" i="10"/>
  <c r="C570" i="10"/>
  <c r="D603" i="10"/>
  <c r="C591" i="10"/>
  <c r="C592" i="10"/>
  <c r="C603" i="10"/>
  <c r="D614" i="10"/>
  <c r="D52" i="11"/>
  <c r="C41" i="11"/>
  <c r="D55" i="11"/>
  <c r="C44" i="11"/>
  <c r="C57" i="11"/>
  <c r="D68" i="11"/>
  <c r="D60" i="11"/>
  <c r="D72" i="11"/>
  <c r="C60" i="11"/>
  <c r="D87" i="11"/>
  <c r="C76" i="11"/>
  <c r="C75" i="11"/>
  <c r="D92" i="11"/>
  <c r="C81" i="11"/>
  <c r="D80" i="11"/>
  <c r="C80" i="11"/>
  <c r="C319" i="10"/>
  <c r="C327" i="10"/>
  <c r="C335" i="10"/>
  <c r="C343" i="10"/>
  <c r="C351" i="10"/>
  <c r="C359" i="10"/>
  <c r="C367" i="10"/>
  <c r="C375" i="10"/>
  <c r="C383" i="10"/>
  <c r="C391" i="10"/>
  <c r="C399" i="10"/>
  <c r="C407" i="10"/>
  <c r="C415" i="10"/>
  <c r="C423" i="10"/>
  <c r="C427" i="10"/>
  <c r="C431" i="10"/>
  <c r="C435" i="10"/>
  <c r="C439" i="10"/>
  <c r="C443" i="10"/>
  <c r="C447" i="10"/>
  <c r="C451" i="10"/>
  <c r="C455" i="10"/>
  <c r="C459" i="10"/>
  <c r="C463" i="10"/>
  <c r="C467" i="10"/>
  <c r="C471" i="10"/>
  <c r="C475" i="10"/>
  <c r="C479" i="10"/>
  <c r="C483" i="10"/>
  <c r="C487" i="10"/>
  <c r="C491" i="10"/>
  <c r="C495" i="10"/>
  <c r="C499" i="10"/>
  <c r="C503" i="10"/>
  <c r="C507" i="10"/>
  <c r="C511" i="10"/>
  <c r="C515" i="10"/>
  <c r="C519" i="10"/>
  <c r="C523" i="10"/>
  <c r="C527" i="10"/>
  <c r="C531" i="10"/>
  <c r="C535" i="10"/>
  <c r="C539" i="10"/>
  <c r="C543" i="10"/>
  <c r="C547" i="10"/>
  <c r="C551" i="10"/>
  <c r="D555" i="10"/>
  <c r="C567" i="10"/>
  <c r="C583" i="10"/>
  <c r="C587" i="10"/>
  <c r="C600" i="10"/>
  <c r="D611" i="10"/>
  <c r="C602" i="10"/>
  <c r="D21" i="11"/>
  <c r="D43" i="11"/>
  <c r="C40" i="11"/>
  <c r="C43" i="11"/>
  <c r="C56" i="11"/>
  <c r="C67" i="11"/>
  <c r="D78" i="11"/>
  <c r="D86" i="11"/>
  <c r="D568" i="10"/>
  <c r="C556" i="10"/>
  <c r="C564" i="10"/>
  <c r="C579" i="10"/>
  <c r="D587" i="10"/>
  <c r="C599" i="10"/>
  <c r="C12" i="11"/>
  <c r="C17" i="11"/>
  <c r="C22" i="11"/>
  <c r="C31" i="11"/>
  <c r="D40" i="11"/>
  <c r="C52" i="11"/>
  <c r="D56" i="11"/>
  <c r="C66" i="11"/>
  <c r="C309" i="10"/>
  <c r="C316" i="10"/>
  <c r="C324" i="10"/>
  <c r="C332" i="10"/>
  <c r="C340" i="10"/>
  <c r="C348" i="10"/>
  <c r="C356" i="10"/>
  <c r="C364" i="10"/>
  <c r="C372" i="10"/>
  <c r="C380" i="10"/>
  <c r="C388" i="10"/>
  <c r="C396" i="10"/>
  <c r="C472" i="10"/>
  <c r="C480" i="10"/>
  <c r="C488" i="10"/>
  <c r="C496" i="10"/>
  <c r="C504" i="10"/>
  <c r="C512" i="10"/>
  <c r="C520" i="10"/>
  <c r="C528" i="10"/>
  <c r="C536" i="10"/>
  <c r="C544" i="10"/>
  <c r="C552" i="10"/>
  <c r="C561" i="10"/>
  <c r="D564" i="10"/>
  <c r="C580" i="10"/>
  <c r="D600" i="10"/>
  <c r="D588" i="10"/>
  <c r="C588" i="10"/>
  <c r="C596" i="10"/>
  <c r="C612" i="10"/>
  <c r="C14" i="11"/>
  <c r="D25" i="11"/>
  <c r="C18" i="11"/>
  <c r="D30" i="11"/>
  <c r="D31" i="11"/>
  <c r="D53" i="11"/>
  <c r="D65" i="11"/>
  <c r="C62" i="11"/>
  <c r="D74" i="11"/>
  <c r="D89" i="11"/>
  <c r="D77" i="11"/>
  <c r="C77" i="11"/>
  <c r="C94" i="11"/>
  <c r="D106" i="11"/>
  <c r="C95" i="11"/>
  <c r="D94" i="11"/>
  <c r="D28" i="10"/>
  <c r="C23" i="10"/>
  <c r="C55" i="10"/>
  <c r="C87" i="10"/>
  <c r="C119" i="10"/>
  <c r="C151" i="10"/>
  <c r="C183" i="10"/>
  <c r="C215" i="10"/>
  <c r="C247" i="10"/>
  <c r="C279" i="10"/>
  <c r="D320" i="10"/>
  <c r="D472" i="10"/>
  <c r="D480" i="10"/>
  <c r="D488" i="10"/>
  <c r="D496" i="10"/>
  <c r="D504" i="10"/>
  <c r="D512" i="10"/>
  <c r="D520" i="10"/>
  <c r="D528" i="10"/>
  <c r="D536" i="10"/>
  <c r="D544" i="10"/>
  <c r="D570" i="10"/>
  <c r="D561" i="10"/>
  <c r="D596" i="10"/>
  <c r="C32" i="11"/>
  <c r="C33" i="11"/>
  <c r="D44" i="11"/>
  <c r="D32" i="11"/>
  <c r="C53" i="11"/>
  <c r="D75" i="11"/>
  <c r="D63" i="11"/>
  <c r="D95" i="11"/>
  <c r="C83" i="11"/>
  <c r="C599" i="9"/>
  <c r="C8" i="10"/>
  <c r="C16" i="10"/>
  <c r="C32" i="10"/>
  <c r="C64" i="10"/>
  <c r="C96" i="10"/>
  <c r="C128" i="10"/>
  <c r="C160" i="10"/>
  <c r="C192" i="10"/>
  <c r="C224" i="10"/>
  <c r="C256" i="10"/>
  <c r="C288" i="10"/>
  <c r="D303" i="10"/>
  <c r="C313" i="10"/>
  <c r="C321" i="10"/>
  <c r="C322" i="10"/>
  <c r="C329" i="10"/>
  <c r="C330" i="10"/>
  <c r="C337" i="10"/>
  <c r="C338" i="10"/>
  <c r="C345" i="10"/>
  <c r="C346" i="10"/>
  <c r="C353" i="10"/>
  <c r="C354" i="10"/>
  <c r="C361" i="10"/>
  <c r="C362" i="10"/>
  <c r="C369" i="10"/>
  <c r="C370" i="10"/>
  <c r="C377" i="10"/>
  <c r="C378" i="10"/>
  <c r="C385" i="10"/>
  <c r="C386" i="10"/>
  <c r="C393" i="10"/>
  <c r="C394" i="10"/>
  <c r="C401" i="10"/>
  <c r="C402" i="10"/>
  <c r="C409" i="10"/>
  <c r="C410" i="10"/>
  <c r="C417" i="10"/>
  <c r="C418" i="10"/>
  <c r="C425" i="10"/>
  <c r="C426" i="10"/>
  <c r="C433" i="10"/>
  <c r="C434" i="10"/>
  <c r="C441" i="10"/>
  <c r="C442" i="10"/>
  <c r="C449" i="10"/>
  <c r="C450" i="10"/>
  <c r="C457" i="10"/>
  <c r="C458" i="10"/>
  <c r="C465" i="10"/>
  <c r="C466" i="10"/>
  <c r="C473" i="10"/>
  <c r="C474" i="10"/>
  <c r="C481" i="10"/>
  <c r="C482" i="10"/>
  <c r="C489" i="10"/>
  <c r="C490" i="10"/>
  <c r="C497" i="10"/>
  <c r="C498" i="10"/>
  <c r="C505" i="10"/>
  <c r="C506" i="10"/>
  <c r="C513" i="10"/>
  <c r="C514" i="10"/>
  <c r="C521" i="10"/>
  <c r="C522" i="10"/>
  <c r="C529" i="10"/>
  <c r="C530" i="10"/>
  <c r="C537" i="10"/>
  <c r="C538" i="10"/>
  <c r="C545" i="10"/>
  <c r="D557" i="10"/>
  <c r="C546" i="10"/>
  <c r="D565" i="10"/>
  <c r="C553" i="10"/>
  <c r="C554" i="10"/>
  <c r="C558" i="10"/>
  <c r="C573" i="10"/>
  <c r="D585" i="10"/>
  <c r="C574" i="10"/>
  <c r="D602" i="10"/>
  <c r="D593" i="10"/>
  <c r="C8" i="11"/>
  <c r="D37" i="11"/>
  <c r="D66" i="11"/>
  <c r="D58" i="11"/>
  <c r="C63" i="11"/>
  <c r="D113" i="11"/>
  <c r="C101" i="11"/>
  <c r="D101" i="11"/>
  <c r="D589" i="10"/>
  <c r="D609" i="10"/>
  <c r="C11" i="11"/>
  <c r="D23" i="11"/>
  <c r="D83" i="11"/>
  <c r="C89" i="11"/>
  <c r="D100" i="11"/>
  <c r="D116" i="11"/>
  <c r="C104" i="11"/>
  <c r="D140" i="11"/>
  <c r="D162" i="11"/>
  <c r="C150" i="11"/>
  <c r="C163" i="11"/>
  <c r="C162" i="11"/>
  <c r="C208" i="11"/>
  <c r="D207" i="11"/>
  <c r="D260" i="11"/>
  <c r="D272" i="11"/>
  <c r="C291" i="11"/>
  <c r="C290" i="11"/>
  <c r="C336" i="11"/>
  <c r="D335" i="11"/>
  <c r="D395" i="11"/>
  <c r="C384" i="11"/>
  <c r="D423" i="11"/>
  <c r="C412" i="11"/>
  <c r="C416" i="11"/>
  <c r="D428" i="11"/>
  <c r="D416" i="11"/>
  <c r="C478" i="11"/>
  <c r="D490" i="11"/>
  <c r="D520" i="11"/>
  <c r="C520" i="11"/>
  <c r="D532" i="11"/>
  <c r="C558" i="11"/>
  <c r="D570" i="11"/>
  <c r="D150" i="11"/>
  <c r="C154" i="11"/>
  <c r="D166" i="11"/>
  <c r="D172" i="11"/>
  <c r="C172" i="11"/>
  <c r="C181" i="11"/>
  <c r="D193" i="11"/>
  <c r="D202" i="11"/>
  <c r="C191" i="11"/>
  <c r="D273" i="11"/>
  <c r="D290" i="11"/>
  <c r="C278" i="11"/>
  <c r="C279" i="11"/>
  <c r="D278" i="11"/>
  <c r="D295" i="11"/>
  <c r="C284" i="11"/>
  <c r="D286" i="11"/>
  <c r="D300" i="11"/>
  <c r="C300" i="11"/>
  <c r="C309" i="11"/>
  <c r="D321" i="11"/>
  <c r="D330" i="11"/>
  <c r="C319" i="11"/>
  <c r="D392" i="11"/>
  <c r="D404" i="11"/>
  <c r="D443" i="11"/>
  <c r="C431" i="11"/>
  <c r="C432" i="11"/>
  <c r="C446" i="11"/>
  <c r="D458" i="11"/>
  <c r="C521" i="11"/>
  <c r="C117" i="11"/>
  <c r="C124" i="11"/>
  <c r="D128" i="11"/>
  <c r="C135" i="11"/>
  <c r="C138" i="11"/>
  <c r="C141" i="11"/>
  <c r="C144" i="11"/>
  <c r="D167" i="11"/>
  <c r="C156" i="11"/>
  <c r="D164" i="11"/>
  <c r="D176" i="11"/>
  <c r="C195" i="11"/>
  <c r="C194" i="11"/>
  <c r="C240" i="11"/>
  <c r="D239" i="11"/>
  <c r="C283" i="11"/>
  <c r="D292" i="11"/>
  <c r="D304" i="11"/>
  <c r="D309" i="11"/>
  <c r="C318" i="11"/>
  <c r="C323" i="11"/>
  <c r="C322" i="11"/>
  <c r="C368" i="11"/>
  <c r="D379" i="11"/>
  <c r="D367" i="11"/>
  <c r="C392" i="11"/>
  <c r="C407" i="11"/>
  <c r="C423" i="11"/>
  <c r="D506" i="11"/>
  <c r="C512" i="11"/>
  <c r="D98" i="11"/>
  <c r="C114" i="11"/>
  <c r="D117" i="11"/>
  <c r="C125" i="11"/>
  <c r="C132" i="11"/>
  <c r="D135" i="11"/>
  <c r="D138" i="11"/>
  <c r="D141" i="11"/>
  <c r="C155" i="11"/>
  <c r="C164" i="11"/>
  <c r="D177" i="11"/>
  <c r="D194" i="11"/>
  <c r="C182" i="11"/>
  <c r="C183" i="11"/>
  <c r="D182" i="11"/>
  <c r="D199" i="11"/>
  <c r="C188" i="11"/>
  <c r="D190" i="11"/>
  <c r="D204" i="11"/>
  <c r="C204" i="11"/>
  <c r="C213" i="11"/>
  <c r="D225" i="11"/>
  <c r="D234" i="11"/>
  <c r="C223" i="11"/>
  <c r="C225" i="11"/>
  <c r="C235" i="11"/>
  <c r="C239" i="11"/>
  <c r="D261" i="11"/>
  <c r="C292" i="11"/>
  <c r="D305" i="11"/>
  <c r="D322" i="11"/>
  <c r="C310" i="11"/>
  <c r="C311" i="11"/>
  <c r="D310" i="11"/>
  <c r="D327" i="11"/>
  <c r="C316" i="11"/>
  <c r="D318" i="11"/>
  <c r="D332" i="11"/>
  <c r="C332" i="11"/>
  <c r="C341" i="11"/>
  <c r="D353" i="11"/>
  <c r="D362" i="11"/>
  <c r="C351" i="11"/>
  <c r="C353" i="11"/>
  <c r="C377" i="11"/>
  <c r="D389" i="11"/>
  <c r="C378" i="11"/>
  <c r="C393" i="11"/>
  <c r="D405" i="11"/>
  <c r="C394" i="11"/>
  <c r="D409" i="11"/>
  <c r="D397" i="11"/>
  <c r="C397" i="11"/>
  <c r="D407" i="11"/>
  <c r="D424" i="11"/>
  <c r="C424" i="11"/>
  <c r="D486" i="11"/>
  <c r="C474" i="11"/>
  <c r="C507" i="11"/>
  <c r="C508" i="11"/>
  <c r="C118" i="11"/>
  <c r="C129" i="11"/>
  <c r="D148" i="11"/>
  <c r="C136" i="11"/>
  <c r="D196" i="11"/>
  <c r="D208" i="11"/>
  <c r="C227" i="11"/>
  <c r="C226" i="11"/>
  <c r="D235" i="11"/>
  <c r="C272" i="11"/>
  <c r="D271" i="11"/>
  <c r="C315" i="11"/>
  <c r="D324" i="11"/>
  <c r="D336" i="11"/>
  <c r="D341" i="11"/>
  <c r="C350" i="11"/>
  <c r="C355" i="11"/>
  <c r="C354" i="11"/>
  <c r="D363" i="11"/>
  <c r="D377" i="11"/>
  <c r="D393" i="11"/>
  <c r="C398" i="11"/>
  <c r="C403" i="11"/>
  <c r="D408" i="11"/>
  <c r="D420" i="11"/>
  <c r="C408" i="11"/>
  <c r="D431" i="11"/>
  <c r="C420" i="11"/>
  <c r="C438" i="11"/>
  <c r="D450" i="11"/>
  <c r="C458" i="11"/>
  <c r="D474" i="11"/>
  <c r="C502" i="11"/>
  <c r="D514" i="11"/>
  <c r="C539" i="11"/>
  <c r="C540" i="11"/>
  <c r="D551" i="11"/>
  <c r="C565" i="10"/>
  <c r="C597" i="10"/>
  <c r="D22" i="11"/>
  <c r="C29" i="11"/>
  <c r="D38" i="11"/>
  <c r="C88" i="11"/>
  <c r="C96" i="11"/>
  <c r="C99" i="11"/>
  <c r="D124" i="11"/>
  <c r="C126" i="11"/>
  <c r="D145" i="11"/>
  <c r="C133" i="11"/>
  <c r="D142" i="11"/>
  <c r="C145" i="11"/>
  <c r="D161" i="11"/>
  <c r="D165" i="11"/>
  <c r="D174" i="11"/>
  <c r="C196" i="11"/>
  <c r="D226" i="11"/>
  <c r="C214" i="11"/>
  <c r="C215" i="11"/>
  <c r="D214" i="11"/>
  <c r="D231" i="11"/>
  <c r="C220" i="11"/>
  <c r="D222" i="11"/>
  <c r="D236" i="11"/>
  <c r="C236" i="11"/>
  <c r="C245" i="11"/>
  <c r="D257" i="11"/>
  <c r="D266" i="11"/>
  <c r="C255" i="11"/>
  <c r="C257" i="11"/>
  <c r="C267" i="11"/>
  <c r="C271" i="11"/>
  <c r="D293" i="11"/>
  <c r="D302" i="11"/>
  <c r="C324" i="11"/>
  <c r="D354" i="11"/>
  <c r="C342" i="11"/>
  <c r="C343" i="11"/>
  <c r="D342" i="11"/>
  <c r="D359" i="11"/>
  <c r="C348" i="11"/>
  <c r="D350" i="11"/>
  <c r="D364" i="11"/>
  <c r="C364" i="11"/>
  <c r="C373" i="11"/>
  <c r="D385" i="11"/>
  <c r="D403" i="11"/>
  <c r="C419" i="11"/>
  <c r="C475" i="11"/>
  <c r="C476" i="11"/>
  <c r="D515" i="11"/>
  <c r="C503" i="11"/>
  <c r="D503" i="11"/>
  <c r="C19" i="11"/>
  <c r="C54" i="11"/>
  <c r="C64" i="11"/>
  <c r="C85" i="11"/>
  <c r="C115" i="11"/>
  <c r="C176" i="11"/>
  <c r="D175" i="11"/>
  <c r="C197" i="11"/>
  <c r="D228" i="11"/>
  <c r="D240" i="11"/>
  <c r="C259" i="11"/>
  <c r="C258" i="11"/>
  <c r="D267" i="11"/>
  <c r="C304" i="11"/>
  <c r="D303" i="11"/>
  <c r="C325" i="11"/>
  <c r="C347" i="11"/>
  <c r="D356" i="11"/>
  <c r="D368" i="11"/>
  <c r="D373" i="11"/>
  <c r="D398" i="11"/>
  <c r="C387" i="11"/>
  <c r="C389" i="11"/>
  <c r="D427" i="11"/>
  <c r="C415" i="11"/>
  <c r="D434" i="11"/>
  <c r="C470" i="11"/>
  <c r="D482" i="11"/>
  <c r="D579" i="11"/>
  <c r="C567" i="11"/>
  <c r="D567" i="11"/>
  <c r="C557" i="10"/>
  <c r="D578" i="10"/>
  <c r="C589" i="10"/>
  <c r="D610" i="10"/>
  <c r="D27" i="11"/>
  <c r="C15" i="11"/>
  <c r="C23" i="11"/>
  <c r="C30" i="11"/>
  <c r="C39" i="11"/>
  <c r="C61" i="11"/>
  <c r="D70" i="11"/>
  <c r="C73" i="11"/>
  <c r="C93" i="11"/>
  <c r="C100" i="11"/>
  <c r="D109" i="11"/>
  <c r="C119" i="11"/>
  <c r="D130" i="11"/>
  <c r="C137" i="11"/>
  <c r="D149" i="11"/>
  <c r="D170" i="11"/>
  <c r="C159" i="11"/>
  <c r="C161" i="11"/>
  <c r="C171" i="11"/>
  <c r="C175" i="11"/>
  <c r="D184" i="11"/>
  <c r="D197" i="11"/>
  <c r="D206" i="11"/>
  <c r="D219" i="11"/>
  <c r="C228" i="11"/>
  <c r="D241" i="11"/>
  <c r="D258" i="11"/>
  <c r="C246" i="11"/>
  <c r="C247" i="11"/>
  <c r="D246" i="11"/>
  <c r="D263" i="11"/>
  <c r="C252" i="11"/>
  <c r="D268" i="11"/>
  <c r="C268" i="11"/>
  <c r="C277" i="11"/>
  <c r="D289" i="11"/>
  <c r="D298" i="11"/>
  <c r="C287" i="11"/>
  <c r="C289" i="11"/>
  <c r="C299" i="11"/>
  <c r="C303" i="11"/>
  <c r="D312" i="11"/>
  <c r="D325" i="11"/>
  <c r="D334" i="11"/>
  <c r="D347" i="11"/>
  <c r="C356" i="11"/>
  <c r="D369" i="11"/>
  <c r="C374" i="11"/>
  <c r="C386" i="11"/>
  <c r="D402" i="11"/>
  <c r="C391" i="11"/>
  <c r="C390" i="11"/>
  <c r="D412" i="11"/>
  <c r="D400" i="11"/>
  <c r="D415" i="11"/>
  <c r="C484" i="11"/>
  <c r="D495" i="11"/>
  <c r="D487" i="11"/>
  <c r="D519" i="11"/>
  <c r="D524" i="11"/>
  <c r="D600" i="11"/>
  <c r="C600" i="11"/>
  <c r="D612" i="11"/>
  <c r="D604" i="11"/>
  <c r="D55" i="12"/>
  <c r="D43" i="12"/>
  <c r="D92" i="12"/>
  <c r="C80" i="12"/>
  <c r="D89" i="12"/>
  <c r="D101" i="12"/>
  <c r="D94" i="12"/>
  <c r="C94" i="12"/>
  <c r="D253" i="12"/>
  <c r="D241" i="12"/>
  <c r="C241" i="12"/>
  <c r="D566" i="11"/>
  <c r="C554" i="11"/>
  <c r="D598" i="11"/>
  <c r="C586" i="11"/>
  <c r="D586" i="11"/>
  <c r="C601" i="11"/>
  <c r="C43" i="12"/>
  <c r="C89" i="12"/>
  <c r="D121" i="12"/>
  <c r="D133" i="12"/>
  <c r="C121" i="12"/>
  <c r="D153" i="12"/>
  <c r="D165" i="12"/>
  <c r="C153" i="12"/>
  <c r="D185" i="12"/>
  <c r="D197" i="12"/>
  <c r="C185" i="12"/>
  <c r="D568" i="11"/>
  <c r="C568" i="11"/>
  <c r="D30" i="12"/>
  <c r="C30" i="12"/>
  <c r="C44" i="12"/>
  <c r="C45" i="12"/>
  <c r="D87" i="12"/>
  <c r="D75" i="12"/>
  <c r="C81" i="12"/>
  <c r="D124" i="12"/>
  <c r="C112" i="12"/>
  <c r="C113" i="12"/>
  <c r="D156" i="12"/>
  <c r="C144" i="12"/>
  <c r="C145" i="12"/>
  <c r="D188" i="12"/>
  <c r="C176" i="12"/>
  <c r="C177" i="12"/>
  <c r="C237" i="12"/>
  <c r="D248" i="12"/>
  <c r="D236" i="12"/>
  <c r="C236" i="12"/>
  <c r="D536" i="11"/>
  <c r="C536" i="11"/>
  <c r="C555" i="11"/>
  <c r="C569" i="11"/>
  <c r="C573" i="11"/>
  <c r="D573" i="11"/>
  <c r="C592" i="11"/>
  <c r="D614" i="11"/>
  <c r="C602" i="11"/>
  <c r="C75" i="12"/>
  <c r="D106" i="12"/>
  <c r="D178" i="11"/>
  <c r="C179" i="11"/>
  <c r="D210" i="11"/>
  <c r="C211" i="11"/>
  <c r="D242" i="11"/>
  <c r="C243" i="11"/>
  <c r="D274" i="11"/>
  <c r="C275" i="11"/>
  <c r="D306" i="11"/>
  <c r="C307" i="11"/>
  <c r="D338" i="11"/>
  <c r="C339" i="11"/>
  <c r="D370" i="11"/>
  <c r="C371" i="11"/>
  <c r="D483" i="11"/>
  <c r="D502" i="11"/>
  <c r="C490" i="11"/>
  <c r="C513" i="11"/>
  <c r="D534" i="11"/>
  <c r="C522" i="11"/>
  <c r="D522" i="11"/>
  <c r="C537" i="11"/>
  <c r="D541" i="11"/>
  <c r="D546" i="11"/>
  <c r="D563" i="11"/>
  <c r="C551" i="11"/>
  <c r="C560" i="11"/>
  <c r="C564" i="11"/>
  <c r="D595" i="11"/>
  <c r="C583" i="11"/>
  <c r="C593" i="11"/>
  <c r="D602" i="11"/>
  <c r="D27" i="12"/>
  <c r="C15" i="12"/>
  <c r="C76" i="12"/>
  <c r="C77" i="12"/>
  <c r="D119" i="12"/>
  <c r="D107" i="12"/>
  <c r="D151" i="12"/>
  <c r="D139" i="12"/>
  <c r="D183" i="12"/>
  <c r="D171" i="12"/>
  <c r="C274" i="12"/>
  <c r="D286" i="12"/>
  <c r="D274" i="12"/>
  <c r="D374" i="12"/>
  <c r="C363" i="12"/>
  <c r="D362" i="12"/>
  <c r="C362" i="12"/>
  <c r="C110" i="11"/>
  <c r="D154" i="11"/>
  <c r="C142" i="11"/>
  <c r="C166" i="11"/>
  <c r="D179" i="11"/>
  <c r="D191" i="11"/>
  <c r="C198" i="11"/>
  <c r="D211" i="11"/>
  <c r="D223" i="11"/>
  <c r="C230" i="11"/>
  <c r="D243" i="11"/>
  <c r="D255" i="11"/>
  <c r="C262" i="11"/>
  <c r="D275" i="11"/>
  <c r="D287" i="11"/>
  <c r="C294" i="11"/>
  <c r="D307" i="11"/>
  <c r="D319" i="11"/>
  <c r="C326" i="11"/>
  <c r="D339" i="11"/>
  <c r="D351" i="11"/>
  <c r="C358" i="11"/>
  <c r="D371" i="11"/>
  <c r="C375" i="11"/>
  <c r="C401" i="11"/>
  <c r="C409" i="11"/>
  <c r="C417" i="11"/>
  <c r="C425" i="11"/>
  <c r="C435" i="11"/>
  <c r="C439" i="11"/>
  <c r="D447" i="11"/>
  <c r="C455" i="11"/>
  <c r="C459" i="11"/>
  <c r="D471" i="11"/>
  <c r="C467" i="11"/>
  <c r="C471" i="11"/>
  <c r="D476" i="11"/>
  <c r="C499" i="11"/>
  <c r="D504" i="11"/>
  <c r="C504" i="11"/>
  <c r="D508" i="11"/>
  <c r="D537" i="11"/>
  <c r="C542" i="11"/>
  <c r="C556" i="11"/>
  <c r="C579" i="11"/>
  <c r="D583" i="11"/>
  <c r="D22" i="12"/>
  <c r="D28" i="12"/>
  <c r="C16" i="12"/>
  <c r="D56" i="12"/>
  <c r="C107" i="12"/>
  <c r="C139" i="12"/>
  <c r="C171" i="12"/>
  <c r="D169" i="11"/>
  <c r="C173" i="11"/>
  <c r="D198" i="11"/>
  <c r="D201" i="11"/>
  <c r="C205" i="11"/>
  <c r="D230" i="11"/>
  <c r="D233" i="11"/>
  <c r="C237" i="11"/>
  <c r="D262" i="11"/>
  <c r="D265" i="11"/>
  <c r="C269" i="11"/>
  <c r="D294" i="11"/>
  <c r="D297" i="11"/>
  <c r="C301" i="11"/>
  <c r="D326" i="11"/>
  <c r="D329" i="11"/>
  <c r="C333" i="11"/>
  <c r="D358" i="11"/>
  <c r="D361" i="11"/>
  <c r="C365" i="11"/>
  <c r="D422" i="11"/>
  <c r="D417" i="11"/>
  <c r="D439" i="11"/>
  <c r="D455" i="11"/>
  <c r="D472" i="11"/>
  <c r="C472" i="11"/>
  <c r="C491" i="11"/>
  <c r="C505" i="11"/>
  <c r="C509" i="11"/>
  <c r="D509" i="11"/>
  <c r="D550" i="11"/>
  <c r="C538" i="11"/>
  <c r="D584" i="11"/>
  <c r="C584" i="11"/>
  <c r="D34" i="12"/>
  <c r="C22" i="12"/>
  <c r="D60" i="12"/>
  <c r="C48" i="12"/>
  <c r="D57" i="12"/>
  <c r="D69" i="12"/>
  <c r="D62" i="12"/>
  <c r="C62" i="12"/>
  <c r="C38" i="11"/>
  <c r="D59" i="11"/>
  <c r="C70" i="11"/>
  <c r="D91" i="11"/>
  <c r="C102" i="11"/>
  <c r="D123" i="11"/>
  <c r="C134" i="11"/>
  <c r="D157" i="11"/>
  <c r="C170" i="11"/>
  <c r="D186" i="11"/>
  <c r="C202" i="11"/>
  <c r="D218" i="11"/>
  <c r="C234" i="11"/>
  <c r="D250" i="11"/>
  <c r="C266" i="11"/>
  <c r="D282" i="11"/>
  <c r="C298" i="11"/>
  <c r="D314" i="11"/>
  <c r="C330" i="11"/>
  <c r="D346" i="11"/>
  <c r="D374" i="11"/>
  <c r="C362" i="11"/>
  <c r="C372" i="11"/>
  <c r="C376" i="11"/>
  <c r="D391" i="11"/>
  <c r="D414" i="11"/>
  <c r="C402" i="11"/>
  <c r="C406" i="11"/>
  <c r="C410" i="11"/>
  <c r="D413" i="11"/>
  <c r="D430" i="11"/>
  <c r="C418" i="11"/>
  <c r="D421" i="11"/>
  <c r="D438" i="11"/>
  <c r="D440" i="11"/>
  <c r="C440" i="11"/>
  <c r="D452" i="11"/>
  <c r="C444" i="11"/>
  <c r="C448" i="11"/>
  <c r="D456" i="11"/>
  <c r="C456" i="11"/>
  <c r="C460" i="11"/>
  <c r="D464" i="11"/>
  <c r="C473" i="11"/>
  <c r="D477" i="11"/>
  <c r="D499" i="11"/>
  <c r="C487" i="11"/>
  <c r="C496" i="11"/>
  <c r="D531" i="11"/>
  <c r="C519" i="11"/>
  <c r="C529" i="11"/>
  <c r="D538" i="11"/>
  <c r="C566" i="11"/>
  <c r="D578" i="11"/>
  <c r="C580" i="11"/>
  <c r="C585" i="11"/>
  <c r="D589" i="11"/>
  <c r="D42" i="12"/>
  <c r="C57" i="12"/>
  <c r="D88" i="12"/>
  <c r="C401" i="12"/>
  <c r="D400" i="12"/>
  <c r="C400" i="12"/>
  <c r="D412" i="12"/>
  <c r="D405" i="12"/>
  <c r="C405" i="12"/>
  <c r="D417" i="12"/>
  <c r="D454" i="12"/>
  <c r="C443" i="12"/>
  <c r="C442" i="12"/>
  <c r="D442" i="12"/>
  <c r="D224" i="12"/>
  <c r="D212" i="12"/>
  <c r="C212" i="12"/>
  <c r="D291" i="12"/>
  <c r="C280" i="12"/>
  <c r="D279" i="12"/>
  <c r="C279" i="12"/>
  <c r="D403" i="12"/>
  <c r="D391" i="12"/>
  <c r="C391" i="12"/>
  <c r="C108" i="12"/>
  <c r="C109" i="12"/>
  <c r="D126" i="12"/>
  <c r="C126" i="12"/>
  <c r="C140" i="12"/>
  <c r="C141" i="12"/>
  <c r="D158" i="12"/>
  <c r="C158" i="12"/>
  <c r="C172" i="12"/>
  <c r="C173" i="12"/>
  <c r="D202" i="12"/>
  <c r="D190" i="12"/>
  <c r="C190" i="12"/>
  <c r="C213" i="12"/>
  <c r="C218" i="12"/>
  <c r="D230" i="12"/>
  <c r="C219" i="12"/>
  <c r="D234" i="12"/>
  <c r="C222" i="12"/>
  <c r="C223" i="12"/>
  <c r="D272" i="12"/>
  <c r="C260" i="12"/>
  <c r="C261" i="12"/>
  <c r="D282" i="12"/>
  <c r="C271" i="12"/>
  <c r="D382" i="12"/>
  <c r="C371" i="12"/>
  <c r="D387" i="12"/>
  <c r="D375" i="12"/>
  <c r="D438" i="12"/>
  <c r="C427" i="12"/>
  <c r="C426" i="12"/>
  <c r="D467" i="12"/>
  <c r="C455" i="12"/>
  <c r="D39" i="12"/>
  <c r="C27" i="12"/>
  <c r="D44" i="12"/>
  <c r="D52" i="12"/>
  <c r="C40" i="12"/>
  <c r="D84" i="12"/>
  <c r="C72" i="12"/>
  <c r="D116" i="12"/>
  <c r="C104" i="12"/>
  <c r="D148" i="12"/>
  <c r="C136" i="12"/>
  <c r="D180" i="12"/>
  <c r="C168" i="12"/>
  <c r="C205" i="12"/>
  <c r="D216" i="12"/>
  <c r="C204" i="12"/>
  <c r="D218" i="12"/>
  <c r="D245" i="12"/>
  <c r="D233" i="12"/>
  <c r="C256" i="12"/>
  <c r="C270" i="12"/>
  <c r="C349" i="12"/>
  <c r="C370" i="12"/>
  <c r="C375" i="12"/>
  <c r="D426" i="12"/>
  <c r="D455" i="12"/>
  <c r="C603" i="11"/>
  <c r="C611" i="11"/>
  <c r="C36" i="12"/>
  <c r="D48" i="12"/>
  <c r="D66" i="12"/>
  <c r="C54" i="12"/>
  <c r="D58" i="12"/>
  <c r="D76" i="12"/>
  <c r="D98" i="12"/>
  <c r="C86" i="12"/>
  <c r="D90" i="12"/>
  <c r="D108" i="12"/>
  <c r="D130" i="12"/>
  <c r="C118" i="12"/>
  <c r="D122" i="12"/>
  <c r="D140" i="12"/>
  <c r="D162" i="12"/>
  <c r="C150" i="12"/>
  <c r="D154" i="12"/>
  <c r="D172" i="12"/>
  <c r="D194" i="12"/>
  <c r="C182" i="12"/>
  <c r="D186" i="12"/>
  <c r="C245" i="12"/>
  <c r="D256" i="12"/>
  <c r="C302" i="12"/>
  <c r="D314" i="12"/>
  <c r="D351" i="12"/>
  <c r="C340" i="12"/>
  <c r="D421" i="12"/>
  <c r="D433" i="12"/>
  <c r="C421" i="12"/>
  <c r="D488" i="11"/>
  <c r="C488" i="11"/>
  <c r="D492" i="11"/>
  <c r="C497" i="11"/>
  <c r="D500" i="11"/>
  <c r="D547" i="11"/>
  <c r="C535" i="11"/>
  <c r="D552" i="11"/>
  <c r="C552" i="11"/>
  <c r="D556" i="11"/>
  <c r="C561" i="11"/>
  <c r="D564" i="11"/>
  <c r="D611" i="11"/>
  <c r="C599" i="11"/>
  <c r="C19" i="12"/>
  <c r="C28" i="12"/>
  <c r="C46" i="12"/>
  <c r="D54" i="12"/>
  <c r="C64" i="12"/>
  <c r="C68" i="12"/>
  <c r="D80" i="12"/>
  <c r="C78" i="12"/>
  <c r="D86" i="12"/>
  <c r="C96" i="12"/>
  <c r="C100" i="12"/>
  <c r="D112" i="12"/>
  <c r="C110" i="12"/>
  <c r="D118" i="12"/>
  <c r="C128" i="12"/>
  <c r="C132" i="12"/>
  <c r="D144" i="12"/>
  <c r="C142" i="12"/>
  <c r="D150" i="12"/>
  <c r="C160" i="12"/>
  <c r="C164" i="12"/>
  <c r="D176" i="12"/>
  <c r="C174" i="12"/>
  <c r="D182" i="12"/>
  <c r="D208" i="12"/>
  <c r="C196" i="12"/>
  <c r="C210" i="12"/>
  <c r="D222" i="12"/>
  <c r="D237" i="12"/>
  <c r="D225" i="12"/>
  <c r="C225" i="12"/>
  <c r="C244" i="12"/>
  <c r="D294" i="12"/>
  <c r="C282" i="12"/>
  <c r="D302" i="12"/>
  <c r="C337" i="12"/>
  <c r="D336" i="12"/>
  <c r="D348" i="12"/>
  <c r="C366" i="12"/>
  <c r="D378" i="12"/>
  <c r="C417" i="12"/>
  <c r="D416" i="12"/>
  <c r="C416" i="12"/>
  <c r="D428" i="12"/>
  <c r="D390" i="11"/>
  <c r="D411" i="11"/>
  <c r="C430" i="11"/>
  <c r="D446" i="11"/>
  <c r="C434" i="11"/>
  <c r="D454" i="11"/>
  <c r="C449" i="11"/>
  <c r="C457" i="11"/>
  <c r="C480" i="11"/>
  <c r="C489" i="11"/>
  <c r="D518" i="11"/>
  <c r="C506" i="11"/>
  <c r="C510" i="11"/>
  <c r="C523" i="11"/>
  <c r="D535" i="11"/>
  <c r="C544" i="11"/>
  <c r="C553" i="11"/>
  <c r="D582" i="11"/>
  <c r="C570" i="11"/>
  <c r="C574" i="11"/>
  <c r="C587" i="11"/>
  <c r="D599" i="11"/>
  <c r="C608" i="11"/>
  <c r="C14" i="12"/>
  <c r="D36" i="12"/>
  <c r="C24" i="12"/>
  <c r="C37" i="12"/>
  <c r="D64" i="12"/>
  <c r="D96" i="12"/>
  <c r="D128" i="12"/>
  <c r="D160" i="12"/>
  <c r="D192" i="12"/>
  <c r="D210" i="12"/>
  <c r="D242" i="12"/>
  <c r="C230" i="12"/>
  <c r="D244" i="12"/>
  <c r="C283" i="12"/>
  <c r="D298" i="12"/>
  <c r="D315" i="12"/>
  <c r="C303" i="12"/>
  <c r="D303" i="12"/>
  <c r="C318" i="12"/>
  <c r="D330" i="12"/>
  <c r="C319" i="12"/>
  <c r="C336" i="12"/>
  <c r="D459" i="12"/>
  <c r="D447" i="12"/>
  <c r="C447" i="12"/>
  <c r="C465" i="12"/>
  <c r="D464" i="12"/>
  <c r="C464" i="12"/>
  <c r="D476" i="12"/>
  <c r="D526" i="12"/>
  <c r="C515" i="12"/>
  <c r="C514" i="12"/>
  <c r="D514" i="12"/>
  <c r="D443" i="12"/>
  <c r="D431" i="12"/>
  <c r="C431" i="12"/>
  <c r="D499" i="12"/>
  <c r="D487" i="12"/>
  <c r="C487" i="12"/>
  <c r="D477" i="12"/>
  <c r="D489" i="12"/>
  <c r="D494" i="12"/>
  <c r="C483" i="12"/>
  <c r="C482" i="12"/>
  <c r="D482" i="12"/>
  <c r="C23" i="12"/>
  <c r="C47" i="12"/>
  <c r="C58" i="12"/>
  <c r="C79" i="12"/>
  <c r="C90" i="12"/>
  <c r="C111" i="12"/>
  <c r="C122" i="12"/>
  <c r="C143" i="12"/>
  <c r="C154" i="12"/>
  <c r="C175" i="12"/>
  <c r="C186" i="12"/>
  <c r="D205" i="12"/>
  <c r="D193" i="12"/>
  <c r="C249" i="12"/>
  <c r="D283" i="12"/>
  <c r="D299" i="12"/>
  <c r="C287" i="12"/>
  <c r="D295" i="12"/>
  <c r="C329" i="12"/>
  <c r="C328" i="12"/>
  <c r="D340" i="12"/>
  <c r="D358" i="12"/>
  <c r="D346" i="12"/>
  <c r="D379" i="12"/>
  <c r="C367" i="12"/>
  <c r="C457" i="12"/>
  <c r="D456" i="12"/>
  <c r="C456" i="12"/>
  <c r="C473" i="12"/>
  <c r="D472" i="12"/>
  <c r="C472" i="12"/>
  <c r="D484" i="12"/>
  <c r="C477" i="12"/>
  <c r="D269" i="12"/>
  <c r="D257" i="12"/>
  <c r="C257" i="12"/>
  <c r="C269" i="12"/>
  <c r="D280" i="12"/>
  <c r="C304" i="12"/>
  <c r="C315" i="12"/>
  <c r="D327" i="12"/>
  <c r="D333" i="12"/>
  <c r="C333" i="12"/>
  <c r="C346" i="12"/>
  <c r="C358" i="12"/>
  <c r="D370" i="12"/>
  <c r="D367" i="12"/>
  <c r="C606" i="11"/>
  <c r="C55" i="12"/>
  <c r="C87" i="12"/>
  <c r="C119" i="12"/>
  <c r="C151" i="12"/>
  <c r="C183" i="12"/>
  <c r="C238" i="12"/>
  <c r="C242" i="12"/>
  <c r="D254" i="12"/>
  <c r="C268" i="12"/>
  <c r="C276" i="12"/>
  <c r="C288" i="12"/>
  <c r="C296" i="12"/>
  <c r="C300" i="12"/>
  <c r="D300" i="12"/>
  <c r="C353" i="12"/>
  <c r="D364" i="12"/>
  <c r="D390" i="12"/>
  <c r="C379" i="12"/>
  <c r="C378" i="12"/>
  <c r="C393" i="12"/>
  <c r="D392" i="12"/>
  <c r="C392" i="12"/>
  <c r="D430" i="12"/>
  <c r="C419" i="12"/>
  <c r="C418" i="12"/>
  <c r="D418" i="12"/>
  <c r="D446" i="12"/>
  <c r="C435" i="12"/>
  <c r="C434" i="12"/>
  <c r="D459" i="11"/>
  <c r="D462" i="11"/>
  <c r="D475" i="11"/>
  <c r="D478" i="11"/>
  <c r="D491" i="11"/>
  <c r="D494" i="11"/>
  <c r="D507" i="11"/>
  <c r="D510" i="11"/>
  <c r="D523" i="11"/>
  <c r="D526" i="11"/>
  <c r="D539" i="11"/>
  <c r="D542" i="11"/>
  <c r="D555" i="11"/>
  <c r="D558" i="11"/>
  <c r="D571" i="11"/>
  <c r="D574" i="11"/>
  <c r="D587" i="11"/>
  <c r="D590" i="11"/>
  <c r="D603" i="11"/>
  <c r="D606" i="11"/>
  <c r="D20" i="12"/>
  <c r="C12" i="12"/>
  <c r="C17" i="12"/>
  <c r="C41" i="12"/>
  <c r="C52" i="12"/>
  <c r="D68" i="12"/>
  <c r="C59" i="12"/>
  <c r="C73" i="12"/>
  <c r="C84" i="12"/>
  <c r="D100" i="12"/>
  <c r="C91" i="12"/>
  <c r="C105" i="12"/>
  <c r="C116" i="12"/>
  <c r="D132" i="12"/>
  <c r="C123" i="12"/>
  <c r="C137" i="12"/>
  <c r="C148" i="12"/>
  <c r="D164" i="12"/>
  <c r="C155" i="12"/>
  <c r="C169" i="12"/>
  <c r="C180" i="12"/>
  <c r="D196" i="12"/>
  <c r="C187" i="12"/>
  <c r="C201" i="12"/>
  <c r="C216" i="12"/>
  <c r="D240" i="12"/>
  <c r="C228" i="12"/>
  <c r="D238" i="12"/>
  <c r="D266" i="12"/>
  <c r="C254" i="12"/>
  <c r="C265" i="12"/>
  <c r="D276" i="12"/>
  <c r="C284" i="12"/>
  <c r="D296" i="12"/>
  <c r="C301" i="12"/>
  <c r="D308" i="12"/>
  <c r="C313" i="12"/>
  <c r="C312" i="12"/>
  <c r="C316" i="12"/>
  <c r="C342" i="12"/>
  <c r="D354" i="12"/>
  <c r="C352" i="12"/>
  <c r="C359" i="12"/>
  <c r="D383" i="12"/>
  <c r="C409" i="12"/>
  <c r="D408" i="12"/>
  <c r="C408" i="12"/>
  <c r="D429" i="12"/>
  <c r="D441" i="12"/>
  <c r="D434" i="12"/>
  <c r="D451" i="12"/>
  <c r="D439" i="12"/>
  <c r="D468" i="12"/>
  <c r="C385" i="11"/>
  <c r="D406" i="11"/>
  <c r="C447" i="11"/>
  <c r="C450" i="11"/>
  <c r="C463" i="11"/>
  <c r="C466" i="11"/>
  <c r="C479" i="11"/>
  <c r="C482" i="11"/>
  <c r="C495" i="11"/>
  <c r="C498" i="11"/>
  <c r="C511" i="11"/>
  <c r="C514" i="11"/>
  <c r="C527" i="11"/>
  <c r="C530" i="11"/>
  <c r="C543" i="11"/>
  <c r="C546" i="11"/>
  <c r="C559" i="11"/>
  <c r="C562" i="11"/>
  <c r="C575" i="11"/>
  <c r="C578" i="11"/>
  <c r="C591" i="11"/>
  <c r="C594" i="11"/>
  <c r="C8" i="12"/>
  <c r="C13" i="12"/>
  <c r="C31" i="12"/>
  <c r="C42" i="12"/>
  <c r="D45" i="12"/>
  <c r="C56" i="12"/>
  <c r="D59" i="12"/>
  <c r="C63" i="12"/>
  <c r="C74" i="12"/>
  <c r="D77" i="12"/>
  <c r="C88" i="12"/>
  <c r="D91" i="12"/>
  <c r="C95" i="12"/>
  <c r="C106" i="12"/>
  <c r="D109" i="12"/>
  <c r="C120" i="12"/>
  <c r="D123" i="12"/>
  <c r="C127" i="12"/>
  <c r="C138" i="12"/>
  <c r="D141" i="12"/>
  <c r="C152" i="12"/>
  <c r="D155" i="12"/>
  <c r="C159" i="12"/>
  <c r="C170" i="12"/>
  <c r="D173" i="12"/>
  <c r="C184" i="12"/>
  <c r="D187" i="12"/>
  <c r="C191" i="12"/>
  <c r="D207" i="12"/>
  <c r="D201" i="12"/>
  <c r="C217" i="12"/>
  <c r="D271" i="12"/>
  <c r="D265" i="12"/>
  <c r="C273" i="12"/>
  <c r="C293" i="12"/>
  <c r="D305" i="12"/>
  <c r="D312" i="12"/>
  <c r="D355" i="12"/>
  <c r="D343" i="12"/>
  <c r="C343" i="12"/>
  <c r="D352" i="12"/>
  <c r="D359" i="12"/>
  <c r="C413" i="12"/>
  <c r="C429" i="12"/>
  <c r="C439" i="12"/>
  <c r="D502" i="12"/>
  <c r="C491" i="12"/>
  <c r="C490" i="12"/>
  <c r="C505" i="12"/>
  <c r="C504" i="12"/>
  <c r="D516" i="12"/>
  <c r="D513" i="12"/>
  <c r="D531" i="12"/>
  <c r="D519" i="12"/>
  <c r="C519" i="12"/>
  <c r="D542" i="12"/>
  <c r="C530" i="12"/>
  <c r="D547" i="12"/>
  <c r="D535" i="12"/>
  <c r="C535" i="12"/>
  <c r="D504" i="12"/>
  <c r="C497" i="12"/>
  <c r="C496" i="12"/>
  <c r="D508" i="12"/>
  <c r="C521" i="12"/>
  <c r="C520" i="12"/>
  <c r="D532" i="12"/>
  <c r="D530" i="12"/>
  <c r="D342" i="12"/>
  <c r="C350" i="12"/>
  <c r="C361" i="12"/>
  <c r="C360" i="12"/>
  <c r="C369" i="12"/>
  <c r="C368" i="12"/>
  <c r="C385" i="12"/>
  <c r="D384" i="12"/>
  <c r="C384" i="12"/>
  <c r="D422" i="12"/>
  <c r="C411" i="12"/>
  <c r="C410" i="12"/>
  <c r="C449" i="12"/>
  <c r="D448" i="12"/>
  <c r="C448" i="12"/>
  <c r="D465" i="12"/>
  <c r="C469" i="12"/>
  <c r="D486" i="12"/>
  <c r="C475" i="12"/>
  <c r="C474" i="12"/>
  <c r="D518" i="12"/>
  <c r="C507" i="12"/>
  <c r="C506" i="12"/>
  <c r="C525" i="12"/>
  <c r="C202" i="12"/>
  <c r="C234" i="12"/>
  <c r="C266" i="12"/>
  <c r="C320" i="12"/>
  <c r="C323" i="12"/>
  <c r="D339" i="12"/>
  <c r="C330" i="12"/>
  <c r="C347" i="12"/>
  <c r="D360" i="12"/>
  <c r="D368" i="12"/>
  <c r="C377" i="12"/>
  <c r="D376" i="12"/>
  <c r="C376" i="12"/>
  <c r="D380" i="12"/>
  <c r="C397" i="12"/>
  <c r="D414" i="12"/>
  <c r="C403" i="12"/>
  <c r="C402" i="12"/>
  <c r="D410" i="12"/>
  <c r="C423" i="12"/>
  <c r="C441" i="12"/>
  <c r="D440" i="12"/>
  <c r="C440" i="12"/>
  <c r="C461" i="12"/>
  <c r="D478" i="12"/>
  <c r="C467" i="12"/>
  <c r="C466" i="12"/>
  <c r="D474" i="12"/>
  <c r="D496" i="12"/>
  <c r="C489" i="12"/>
  <c r="D488" i="12"/>
  <c r="C488" i="12"/>
  <c r="D500" i="12"/>
  <c r="C199" i="12"/>
  <c r="C211" i="12"/>
  <c r="C231" i="12"/>
  <c r="C243" i="12"/>
  <c r="C263" i="12"/>
  <c r="C272" i="12"/>
  <c r="C275" i="12"/>
  <c r="D290" i="12"/>
  <c r="C294" i="12"/>
  <c r="D326" i="12"/>
  <c r="C317" i="12"/>
  <c r="D320" i="12"/>
  <c r="C327" i="12"/>
  <c r="C334" i="12"/>
  <c r="C345" i="12"/>
  <c r="C344" i="12"/>
  <c r="C351" i="12"/>
  <c r="D372" i="12"/>
  <c r="C389" i="12"/>
  <c r="D406" i="12"/>
  <c r="C395" i="12"/>
  <c r="C394" i="12"/>
  <c r="D402" i="12"/>
  <c r="C415" i="12"/>
  <c r="D423" i="12"/>
  <c r="C433" i="12"/>
  <c r="D432" i="12"/>
  <c r="C432" i="12"/>
  <c r="C453" i="12"/>
  <c r="D470" i="12"/>
  <c r="C459" i="12"/>
  <c r="C458" i="12"/>
  <c r="D466" i="12"/>
  <c r="D479" i="12"/>
  <c r="D510" i="12"/>
  <c r="C498" i="12"/>
  <c r="D511" i="12"/>
  <c r="D534" i="12"/>
  <c r="C523" i="12"/>
  <c r="C522" i="12"/>
  <c r="D539" i="12"/>
  <c r="D527" i="12"/>
  <c r="C527" i="12"/>
  <c r="D215" i="12"/>
  <c r="C226" i="12"/>
  <c r="D247" i="12"/>
  <c r="C258" i="12"/>
  <c r="D278" i="12"/>
  <c r="C291" i="12"/>
  <c r="D307" i="12"/>
  <c r="D310" i="12"/>
  <c r="D323" i="12"/>
  <c r="C314" i="12"/>
  <c r="C331" i="12"/>
  <c r="D344" i="12"/>
  <c r="C348" i="12"/>
  <c r="D377" i="12"/>
  <c r="C381" i="12"/>
  <c r="D398" i="12"/>
  <c r="C387" i="12"/>
  <c r="C386" i="12"/>
  <c r="D394" i="12"/>
  <c r="C407" i="12"/>
  <c r="D415" i="12"/>
  <c r="C425" i="12"/>
  <c r="D424" i="12"/>
  <c r="C424" i="12"/>
  <c r="C445" i="12"/>
  <c r="D462" i="12"/>
  <c r="C451" i="12"/>
  <c r="C450" i="12"/>
  <c r="D458" i="12"/>
  <c r="C471" i="12"/>
  <c r="C481" i="12"/>
  <c r="D480" i="12"/>
  <c r="C480" i="12"/>
  <c r="D492" i="12"/>
  <c r="D498" i="12"/>
  <c r="C503" i="12"/>
  <c r="D520" i="12"/>
  <c r="C513" i="12"/>
  <c r="C512" i="12"/>
  <c r="D524" i="12"/>
  <c r="D522" i="12"/>
  <c r="C529" i="12"/>
  <c r="C528" i="12"/>
  <c r="D540" i="12"/>
  <c r="C531" i="12"/>
  <c r="C541" i="12"/>
  <c r="D553" i="12"/>
  <c r="D493" i="12"/>
  <c r="D501" i="12"/>
  <c r="D509" i="12"/>
  <c r="D517" i="12"/>
  <c r="D525" i="12"/>
  <c r="D533" i="12"/>
  <c r="D541" i="12"/>
  <c r="C542" i="12"/>
  <c r="D318" i="12"/>
  <c r="D331" i="12"/>
  <c r="D334" i="12"/>
  <c r="D347" i="12"/>
  <c r="D350" i="12"/>
  <c r="D366" i="12"/>
  <c r="C374" i="12"/>
  <c r="C382" i="12"/>
  <c r="C390" i="12"/>
  <c r="C398" i="12"/>
  <c r="C406" i="12"/>
  <c r="C414" i="12"/>
  <c r="C422" i="12"/>
  <c r="C430" i="12"/>
  <c r="C438" i="12"/>
  <c r="C446" i="12"/>
  <c r="C454" i="12"/>
  <c r="C462" i="12"/>
  <c r="C470" i="12"/>
  <c r="C478" i="12"/>
  <c r="C486" i="12"/>
  <c r="C494" i="12"/>
  <c r="C502" i="12"/>
  <c r="C510" i="12"/>
  <c r="C518" i="12"/>
  <c r="C526" i="12"/>
  <c r="C534" i="12"/>
  <c r="D561" i="12"/>
  <c r="D569" i="12"/>
  <c r="D577" i="12"/>
  <c r="D585" i="12"/>
  <c r="D593" i="12"/>
  <c r="D601" i="12"/>
  <c r="D609" i="12"/>
  <c r="C543" i="12"/>
  <c r="D548" i="12"/>
  <c r="C551" i="12"/>
  <c r="D556" i="12"/>
  <c r="C559" i="12"/>
  <c r="D564" i="12"/>
  <c r="C567" i="12"/>
  <c r="D572" i="12"/>
  <c r="C575" i="12"/>
  <c r="D580" i="12"/>
  <c r="C583" i="12"/>
  <c r="D588" i="12"/>
  <c r="C591" i="12"/>
  <c r="D596" i="12"/>
  <c r="C599" i="12"/>
  <c r="D604" i="12"/>
  <c r="C607" i="12"/>
  <c r="D612" i="12"/>
  <c r="D551" i="12"/>
  <c r="D559" i="12"/>
  <c r="D567" i="12"/>
  <c r="D575" i="12"/>
  <c r="D583" i="12"/>
  <c r="D591" i="12"/>
  <c r="D599" i="12"/>
  <c r="D538" i="12"/>
  <c r="D546" i="12"/>
  <c r="D554" i="12"/>
  <c r="D562" i="12"/>
  <c r="D570" i="12"/>
  <c r="D578" i="12"/>
  <c r="D586" i="12"/>
  <c r="D594" i="12"/>
  <c r="D602" i="12"/>
  <c r="D610" i="12"/>
  <c r="C536" i="12"/>
  <c r="C544" i="12"/>
  <c r="C552" i="12"/>
  <c r="C560" i="12"/>
  <c r="C568" i="12"/>
  <c r="C576" i="12"/>
  <c r="C584" i="12"/>
  <c r="C592" i="12"/>
  <c r="C600" i="12"/>
  <c r="C608" i="12"/>
  <c r="C555" i="12"/>
  <c r="C563" i="12"/>
  <c r="C571" i="12"/>
  <c r="C587" i="12"/>
  <c r="C595" i="12"/>
  <c r="D1176" i="3" l="1"/>
  <c r="D1175" i="3"/>
  <c r="D1048" i="3"/>
  <c r="D1047" i="3"/>
  <c r="D859" i="3"/>
  <c r="D1092" i="3"/>
  <c r="D1091" i="3"/>
  <c r="D981" i="3"/>
  <c r="D844" i="3"/>
  <c r="D843" i="3"/>
  <c r="D751" i="3"/>
  <c r="D483" i="3"/>
  <c r="D482" i="3"/>
  <c r="D877" i="3"/>
  <c r="D876" i="3"/>
  <c r="D512" i="3"/>
  <c r="D838" i="3"/>
  <c r="D1150" i="3"/>
  <c r="D868" i="3"/>
  <c r="D867" i="3"/>
  <c r="D1034" i="3"/>
  <c r="D1033" i="3"/>
  <c r="D653" i="3"/>
  <c r="D872" i="3"/>
  <c r="D1188" i="3"/>
  <c r="D978" i="3"/>
  <c r="D977" i="3"/>
  <c r="D560" i="3"/>
  <c r="D967" i="3"/>
  <c r="D966" i="3"/>
  <c r="D963" i="3"/>
  <c r="D285" i="3"/>
  <c r="D1087" i="3"/>
  <c r="D310" i="3"/>
  <c r="D393" i="3"/>
  <c r="D297" i="3"/>
  <c r="D59" i="3"/>
  <c r="D635" i="3"/>
  <c r="D970" i="3"/>
  <c r="D969" i="3"/>
  <c r="D473" i="3"/>
  <c r="D399" i="3"/>
  <c r="D320" i="3"/>
  <c r="D338" i="3"/>
  <c r="D1073" i="3"/>
  <c r="D479" i="3"/>
  <c r="D556" i="3"/>
  <c r="D972" i="3"/>
  <c r="D481" i="3"/>
  <c r="D1020" i="3"/>
  <c r="D1019" i="3"/>
  <c r="D1049" i="3"/>
  <c r="D332" i="3"/>
  <c r="D829" i="3"/>
  <c r="D318" i="3"/>
  <c r="D61" i="3"/>
  <c r="D553" i="3"/>
  <c r="D1082" i="3"/>
  <c r="D712" i="3"/>
  <c r="D1149" i="3"/>
  <c r="D1021" i="3"/>
  <c r="D965" i="3"/>
  <c r="D837" i="3"/>
  <c r="D1196" i="3"/>
  <c r="D1090" i="3"/>
  <c r="D946" i="3"/>
  <c r="D940" i="3"/>
  <c r="D945" i="3"/>
  <c r="D866" i="3"/>
  <c r="D738" i="3"/>
  <c r="D565" i="3"/>
  <c r="D564" i="3"/>
  <c r="D1250" i="3"/>
  <c r="D606" i="3"/>
  <c r="D1052" i="3"/>
  <c r="D719" i="3"/>
  <c r="D490" i="3"/>
  <c r="D1192" i="3"/>
  <c r="D1071" i="3"/>
  <c r="D976" i="3"/>
  <c r="D828" i="3"/>
  <c r="D827" i="3"/>
  <c r="D737" i="3"/>
  <c r="D734" i="3"/>
  <c r="D661" i="3"/>
  <c r="D433" i="3"/>
  <c r="D305" i="3"/>
  <c r="D1106" i="3"/>
  <c r="D839" i="3"/>
  <c r="D403" i="3"/>
  <c r="D804" i="3"/>
  <c r="D1209" i="3"/>
  <c r="D1116" i="3"/>
  <c r="D1115" i="3"/>
  <c r="D999" i="3"/>
  <c r="D998" i="3"/>
  <c r="D856" i="3"/>
  <c r="D747" i="3"/>
  <c r="D633" i="3"/>
  <c r="D466" i="3"/>
  <c r="D413" i="3"/>
  <c r="D340" i="3"/>
  <c r="D432" i="3"/>
  <c r="D1086" i="3"/>
  <c r="D519" i="3"/>
  <c r="D518" i="3"/>
  <c r="D1145" i="3"/>
  <c r="W1201" i="3"/>
  <c r="X1201" i="3" s="1"/>
  <c r="X1202" i="3" s="1"/>
  <c r="T1202" i="3" s="1"/>
  <c r="AE1190" i="3" s="1"/>
  <c r="D922" i="3"/>
  <c r="D834" i="3"/>
  <c r="D1167" i="3"/>
  <c r="D1095" i="3"/>
  <c r="D990" i="3"/>
  <c r="D858" i="3"/>
  <c r="D665" i="3"/>
  <c r="D555" i="3"/>
  <c r="D179" i="3"/>
  <c r="D1214" i="3"/>
  <c r="D953" i="3"/>
  <c r="D580" i="3"/>
  <c r="D387" i="3"/>
  <c r="D766" i="3"/>
  <c r="D765" i="3"/>
  <c r="D1099" i="3"/>
  <c r="D907" i="3"/>
  <c r="D769" i="3"/>
  <c r="D600" i="3"/>
  <c r="D426" i="3"/>
  <c r="D298" i="3"/>
  <c r="D232" i="3"/>
  <c r="D160" i="3"/>
  <c r="D405" i="3"/>
  <c r="D309" i="3"/>
  <c r="D176" i="3"/>
  <c r="D93" i="3"/>
  <c r="D41" i="3"/>
  <c r="D502" i="3"/>
  <c r="D175" i="3"/>
  <c r="D730" i="3"/>
  <c r="D345" i="3"/>
  <c r="D71" i="3"/>
  <c r="D595" i="3"/>
  <c r="D227" i="3"/>
  <c r="D674" i="3"/>
  <c r="D1226" i="3"/>
  <c r="D982" i="3"/>
  <c r="D783" i="3"/>
  <c r="D672" i="3"/>
  <c r="D546" i="3"/>
  <c r="D386" i="3"/>
  <c r="D329" i="3"/>
  <c r="D171" i="3"/>
  <c r="D70" i="3"/>
  <c r="D629" i="3"/>
  <c r="D289" i="3"/>
  <c r="D57" i="3"/>
  <c r="D313" i="3"/>
  <c r="D780" i="3"/>
  <c r="D382" i="3"/>
  <c r="D1195" i="3"/>
  <c r="D141" i="3"/>
  <c r="D913" i="3"/>
  <c r="D253" i="3"/>
  <c r="D181" i="3"/>
  <c r="D92" i="3"/>
  <c r="D508" i="3"/>
  <c r="D507" i="3"/>
  <c r="D566" i="3"/>
  <c r="D221" i="3"/>
  <c r="D973" i="3"/>
  <c r="D470" i="3"/>
  <c r="D56" i="3"/>
  <c r="D336" i="3"/>
  <c r="D1207" i="3"/>
  <c r="D1032" i="3"/>
  <c r="D713" i="3"/>
  <c r="D326" i="3"/>
  <c r="D216" i="3"/>
  <c r="D144" i="3"/>
  <c r="D104" i="3"/>
  <c r="D319" i="3"/>
  <c r="D721" i="3"/>
  <c r="D274" i="3"/>
  <c r="D256" i="3"/>
  <c r="D478" i="3"/>
  <c r="D1238" i="3"/>
  <c r="D1236" i="3"/>
  <c r="D1050" i="3"/>
  <c r="D1144" i="3"/>
  <c r="D1143" i="3"/>
  <c r="D1016" i="3"/>
  <c r="D1015" i="3"/>
  <c r="D752" i="3"/>
  <c r="D1088" i="3"/>
  <c r="D960" i="3"/>
  <c r="D832" i="3"/>
  <c r="D1180" i="3"/>
  <c r="D1179" i="3"/>
  <c r="D1063" i="3"/>
  <c r="D1062" i="3"/>
  <c r="D955" i="3"/>
  <c r="D958" i="3"/>
  <c r="D1206" i="3"/>
  <c r="D480" i="3"/>
  <c r="D1046" i="3"/>
  <c r="D671" i="3"/>
  <c r="D717" i="3"/>
  <c r="D1170" i="3"/>
  <c r="D959" i="3"/>
  <c r="D642" i="3"/>
  <c r="D417" i="3"/>
  <c r="D1118" i="3"/>
  <c r="D1101" i="3"/>
  <c r="D746" i="3"/>
  <c r="D609" i="3"/>
  <c r="D608" i="3"/>
  <c r="D1242" i="3"/>
  <c r="D1241" i="3"/>
  <c r="D890" i="3"/>
  <c r="D749" i="3"/>
  <c r="D388" i="3"/>
  <c r="D961" i="3"/>
  <c r="D1006" i="3"/>
  <c r="D487" i="3"/>
  <c r="D486" i="3"/>
  <c r="D1227" i="3"/>
  <c r="D1171" i="3"/>
  <c r="D1245" i="3"/>
  <c r="D1089" i="3"/>
  <c r="D956" i="3"/>
  <c r="D870" i="3"/>
  <c r="D646" i="3"/>
  <c r="D528" i="3"/>
  <c r="D952" i="3"/>
  <c r="D576" i="3"/>
  <c r="D323" i="3"/>
  <c r="D1191" i="3"/>
  <c r="D705" i="3"/>
  <c r="D704" i="3"/>
  <c r="D194" i="3"/>
  <c r="D1081" i="3"/>
  <c r="D909" i="3"/>
  <c r="D727" i="3"/>
  <c r="D569" i="3"/>
  <c r="D406" i="3"/>
  <c r="D212" i="3"/>
  <c r="D118" i="3"/>
  <c r="D72" i="3"/>
  <c r="D354" i="3"/>
  <c r="D278" i="3"/>
  <c r="D188" i="3"/>
  <c r="D76" i="3"/>
  <c r="D33" i="3"/>
  <c r="D32" i="3"/>
  <c r="D436" i="3"/>
  <c r="D157" i="3"/>
  <c r="D596" i="3"/>
  <c r="D558" i="3"/>
  <c r="D185" i="3"/>
  <c r="D420" i="3"/>
  <c r="D1205" i="3"/>
  <c r="D941" i="3"/>
  <c r="D779" i="3"/>
  <c r="D643" i="3"/>
  <c r="D563" i="3"/>
  <c r="D431" i="3"/>
  <c r="D380" i="3"/>
  <c r="D341" i="3"/>
  <c r="D159" i="3"/>
  <c r="D742" i="3"/>
  <c r="D325" i="3"/>
  <c r="D741" i="3"/>
  <c r="D312" i="3"/>
  <c r="D1105" i="3"/>
  <c r="D112" i="3"/>
  <c r="D605" i="3"/>
  <c r="D234" i="3"/>
  <c r="D152" i="3"/>
  <c r="D520" i="3"/>
  <c r="D158" i="3"/>
  <c r="D441" i="3"/>
  <c r="D202" i="3"/>
  <c r="D852" i="3"/>
  <c r="D414" i="3"/>
  <c r="D1100" i="3"/>
  <c r="D213" i="3"/>
  <c r="D1137" i="3"/>
  <c r="D1001" i="3"/>
  <c r="D603" i="3"/>
  <c r="D460" i="3"/>
  <c r="D210" i="3"/>
  <c r="D156" i="3"/>
  <c r="D699" i="3"/>
  <c r="D402" i="3"/>
  <c r="D299" i="3"/>
  <c r="D763" i="3"/>
  <c r="D489" i="3"/>
  <c r="D1018" i="3"/>
  <c r="D1117" i="3"/>
  <c r="D989" i="3"/>
  <c r="D1061" i="3"/>
  <c r="D1174" i="3"/>
  <c r="D1057" i="3"/>
  <c r="D932" i="3"/>
  <c r="D931" i="3"/>
  <c r="D685" i="3"/>
  <c r="D533" i="3"/>
  <c r="D532" i="3"/>
  <c r="D979" i="3"/>
  <c r="D647" i="3"/>
  <c r="D504" i="3"/>
  <c r="D1182" i="3"/>
  <c r="D1058" i="3"/>
  <c r="D607" i="3"/>
  <c r="D401" i="3"/>
  <c r="D1038" i="3"/>
  <c r="D698" i="3"/>
  <c r="D568" i="3"/>
  <c r="D1228" i="3"/>
  <c r="D1183" i="3"/>
  <c r="D1066" i="3"/>
  <c r="D1065" i="3"/>
  <c r="D899" i="3"/>
  <c r="D902" i="3"/>
  <c r="D840" i="3"/>
  <c r="D716" i="3"/>
  <c r="D562" i="3"/>
  <c r="D397" i="3"/>
  <c r="D891" i="3"/>
  <c r="D304" i="3"/>
  <c r="D485" i="3"/>
  <c r="D1014" i="3"/>
  <c r="D773" i="3"/>
  <c r="D1162" i="3"/>
  <c r="D1067" i="3"/>
  <c r="D850" i="3"/>
  <c r="D849" i="3"/>
  <c r="D772" i="3"/>
  <c r="D639" i="3"/>
  <c r="D523" i="3"/>
  <c r="D115" i="3"/>
  <c r="D1173" i="3"/>
  <c r="D936" i="3"/>
  <c r="D484" i="3"/>
  <c r="D44" i="3"/>
  <c r="D1141" i="3"/>
  <c r="D658" i="3"/>
  <c r="D657" i="3"/>
  <c r="D1069" i="3"/>
  <c r="D875" i="3"/>
  <c r="D726" i="3"/>
  <c r="D540" i="3"/>
  <c r="D539" i="3"/>
  <c r="D394" i="3"/>
  <c r="D260" i="3"/>
  <c r="D207" i="3"/>
  <c r="D137" i="3"/>
  <c r="D248" i="3"/>
  <c r="D55" i="3"/>
  <c r="D980" i="3"/>
  <c r="D359" i="3"/>
  <c r="D140" i="3"/>
  <c r="D572" i="3"/>
  <c r="D571" i="3"/>
  <c r="D281" i="3"/>
  <c r="D280" i="3"/>
  <c r="D1204" i="3"/>
  <c r="D559" i="3"/>
  <c r="D197" i="3"/>
  <c r="D400" i="3"/>
  <c r="D1169" i="3"/>
  <c r="D930" i="3"/>
  <c r="D545" i="3"/>
  <c r="D425" i="3"/>
  <c r="D116" i="3"/>
  <c r="D916" i="3"/>
  <c r="D537" i="3"/>
  <c r="D228" i="3"/>
  <c r="D634" i="3"/>
  <c r="D264" i="3"/>
  <c r="D711" i="3"/>
  <c r="D279" i="3"/>
  <c r="D740" i="3"/>
  <c r="D124" i="3"/>
  <c r="D813" i="3"/>
  <c r="D617" i="3"/>
  <c r="D456" i="3"/>
  <c r="D328" i="3"/>
  <c r="D236" i="3"/>
  <c r="D146" i="3"/>
  <c r="D391" i="3"/>
  <c r="D138" i="3"/>
  <c r="D927" i="3"/>
  <c r="D453" i="3"/>
  <c r="D186" i="3"/>
  <c r="D350" i="3"/>
  <c r="D863" i="3"/>
  <c r="D183" i="3"/>
  <c r="D1119" i="3"/>
  <c r="D937" i="3"/>
  <c r="D561" i="3"/>
  <c r="D294" i="3"/>
  <c r="D132" i="3"/>
  <c r="D79" i="3"/>
  <c r="D640" i="3"/>
  <c r="D383" i="3"/>
  <c r="D300" i="3"/>
  <c r="D663" i="3"/>
  <c r="D226" i="3"/>
  <c r="D710" i="3"/>
  <c r="D184" i="3"/>
  <c r="D457" i="3"/>
  <c r="D521" i="3"/>
  <c r="D986" i="3"/>
  <c r="D1232" i="3"/>
  <c r="D1112" i="3"/>
  <c r="D1108" i="3"/>
  <c r="D1111" i="3"/>
  <c r="D984" i="3"/>
  <c r="D983" i="3"/>
  <c r="D688" i="3"/>
  <c r="D687" i="3"/>
  <c r="D1247" i="3"/>
  <c r="D1130" i="3"/>
  <c r="D1129" i="3"/>
  <c r="D920" i="3"/>
  <c r="D799" i="3"/>
  <c r="D798" i="3"/>
  <c r="D638" i="3"/>
  <c r="D1011" i="3"/>
  <c r="D339" i="3"/>
  <c r="D627" i="3"/>
  <c r="D628" i="3"/>
  <c r="D1148" i="3"/>
  <c r="D1147" i="3"/>
  <c r="D1031" i="3"/>
  <c r="D1027" i="3"/>
  <c r="D1030" i="3"/>
  <c r="D791" i="3"/>
  <c r="D695" i="3"/>
  <c r="D385" i="3"/>
  <c r="D767" i="3"/>
  <c r="D962" i="3"/>
  <c r="D697" i="3"/>
  <c r="D1229" i="3"/>
  <c r="D1070" i="3"/>
  <c r="D971" i="3"/>
  <c r="D882" i="3"/>
  <c r="D881" i="3"/>
  <c r="D810" i="3"/>
  <c r="D809" i="3"/>
  <c r="D557" i="3"/>
  <c r="D375" i="3"/>
  <c r="D333" i="3"/>
  <c r="R1227" i="3"/>
  <c r="D30" i="3"/>
  <c r="D831" i="3"/>
  <c r="D1208" i="3"/>
  <c r="D1109" i="3"/>
  <c r="D974" i="3"/>
  <c r="D926" i="3"/>
  <c r="D770" i="3"/>
  <c r="D1127" i="3"/>
  <c r="D1166" i="3"/>
  <c r="D1045" i="3"/>
  <c r="D942" i="3"/>
  <c r="D862" i="3"/>
  <c r="D781" i="3"/>
  <c r="D615" i="3"/>
  <c r="D491" i="3"/>
  <c r="D83" i="3"/>
  <c r="D1168" i="3"/>
  <c r="D885" i="3"/>
  <c r="D452" i="3"/>
  <c r="D1136" i="3"/>
  <c r="D708" i="3"/>
  <c r="D1068" i="3"/>
  <c r="D833" i="3"/>
  <c r="D709" i="3"/>
  <c r="D552" i="3"/>
  <c r="D374" i="3"/>
  <c r="D267" i="3"/>
  <c r="D190" i="3"/>
  <c r="D123" i="3"/>
  <c r="D43" i="3"/>
  <c r="D322" i="3"/>
  <c r="D242" i="3"/>
  <c r="D153" i="3"/>
  <c r="D150" i="3"/>
  <c r="D42" i="3"/>
  <c r="D871" i="3"/>
  <c r="D327" i="3"/>
  <c r="D91" i="3"/>
  <c r="D584" i="3"/>
  <c r="D293" i="3"/>
  <c r="D995" i="3"/>
  <c r="D505" i="3"/>
  <c r="D125" i="3"/>
  <c r="D268" i="3"/>
  <c r="D1126" i="3"/>
  <c r="D908" i="3"/>
  <c r="D739" i="3"/>
  <c r="D510" i="3"/>
  <c r="D437" i="3"/>
  <c r="D283" i="3"/>
  <c r="D94" i="3"/>
  <c r="D917" i="3"/>
  <c r="D509" i="3"/>
  <c r="D217" i="3"/>
  <c r="D214" i="3"/>
  <c r="D192" i="3"/>
  <c r="D669" i="3"/>
  <c r="D196" i="3"/>
  <c r="D823" i="3"/>
  <c r="D825" i="3"/>
  <c r="D430" i="3"/>
  <c r="D302" i="3"/>
  <c r="D230" i="3"/>
  <c r="D151" i="3"/>
  <c r="D1072" i="3"/>
  <c r="D134" i="3"/>
  <c r="D778" i="3"/>
  <c r="D377" i="3"/>
  <c r="D155" i="3"/>
  <c r="D231" i="3"/>
  <c r="D644" i="3"/>
  <c r="D142" i="3"/>
  <c r="D1076" i="3"/>
  <c r="D938" i="3"/>
  <c r="D567" i="3"/>
  <c r="D410" i="3"/>
  <c r="D282" i="3"/>
  <c r="D209" i="3"/>
  <c r="D139" i="3"/>
  <c r="D62" i="3"/>
  <c r="D535" i="3"/>
  <c r="D135" i="3"/>
  <c r="D54" i="3"/>
  <c r="D1178" i="3"/>
  <c r="D954" i="3"/>
  <c r="D1211" i="3"/>
  <c r="D1085" i="3"/>
  <c r="D957" i="3"/>
  <c r="D656" i="3"/>
  <c r="D1029" i="3"/>
  <c r="D901" i="3"/>
  <c r="D1235" i="3"/>
  <c r="D1134" i="3"/>
  <c r="D1013" i="3"/>
  <c r="D1012" i="3"/>
  <c r="D756" i="3"/>
  <c r="D755" i="3"/>
  <c r="D622" i="3"/>
  <c r="D501" i="3"/>
  <c r="D500" i="3"/>
  <c r="D944" i="3"/>
  <c r="D291" i="3"/>
  <c r="D1240" i="3"/>
  <c r="D860" i="3"/>
  <c r="D630" i="3"/>
  <c r="D632" i="3"/>
  <c r="D1142" i="3"/>
  <c r="D1017" i="3"/>
  <c r="D886" i="3"/>
  <c r="D794" i="3"/>
  <c r="D679" i="3"/>
  <c r="D579" i="3"/>
  <c r="D578" i="3"/>
  <c r="D369" i="3"/>
  <c r="D951" i="3"/>
  <c r="D743" i="3"/>
  <c r="D935" i="3"/>
  <c r="D583" i="3"/>
  <c r="D582" i="3"/>
  <c r="D1140" i="3"/>
  <c r="D1060" i="3"/>
  <c r="D1059" i="3"/>
  <c r="D949" i="3"/>
  <c r="W1197" i="3"/>
  <c r="X1197" i="3" s="1"/>
  <c r="X1198" i="3" s="1"/>
  <c r="T1198" i="3" s="1"/>
  <c r="AD1190" i="3" s="1"/>
  <c r="D686" i="3"/>
  <c r="D530" i="3"/>
  <c r="D445" i="3"/>
  <c r="D443" i="3"/>
  <c r="D381" i="3"/>
  <c r="D311" i="3"/>
  <c r="D754" i="3"/>
  <c r="D52" i="3"/>
  <c r="D750" i="3"/>
  <c r="D1194" i="3"/>
  <c r="D1104" i="3"/>
  <c r="D964" i="3"/>
  <c r="D900" i="3"/>
  <c r="D1239" i="3"/>
  <c r="D1156" i="3"/>
  <c r="D1155" i="3"/>
  <c r="D1040" i="3"/>
  <c r="D925" i="3"/>
  <c r="D836" i="3"/>
  <c r="D835" i="3"/>
  <c r="D745" i="3"/>
  <c r="D601" i="3"/>
  <c r="D459" i="3"/>
  <c r="D1084" i="3"/>
  <c r="D1083" i="3"/>
  <c r="D797" i="3"/>
  <c r="D448" i="3"/>
  <c r="D446" i="3"/>
  <c r="D549" i="3"/>
  <c r="D536" i="3"/>
  <c r="D1044" i="3"/>
  <c r="D821" i="3"/>
  <c r="D541" i="3"/>
  <c r="D362" i="3"/>
  <c r="D261" i="3"/>
  <c r="D189" i="3"/>
  <c r="D117" i="3"/>
  <c r="D37" i="3"/>
  <c r="D316" i="3"/>
  <c r="D241" i="3"/>
  <c r="D34" i="3"/>
  <c r="D714" i="3"/>
  <c r="D295" i="3"/>
  <c r="D46" i="3"/>
  <c r="D434" i="3"/>
  <c r="D842" i="3"/>
  <c r="D841" i="3"/>
  <c r="D477" i="3"/>
  <c r="D108" i="3"/>
  <c r="D233" i="3"/>
  <c r="D1055" i="3"/>
  <c r="D897" i="3"/>
  <c r="D733" i="3"/>
  <c r="D611" i="3"/>
  <c r="D526" i="3"/>
  <c r="D418" i="3"/>
  <c r="D361" i="3"/>
  <c r="D284" i="3"/>
  <c r="D74" i="3"/>
  <c r="D857" i="3"/>
  <c r="D496" i="3"/>
  <c r="D229" i="3"/>
  <c r="D77" i="3"/>
  <c r="D602" i="3"/>
  <c r="D191" i="3"/>
  <c r="D292" i="3"/>
  <c r="D1234" i="3"/>
  <c r="D762" i="3"/>
  <c r="D424" i="3"/>
  <c r="D296" i="3"/>
  <c r="D224" i="3"/>
  <c r="D145" i="3"/>
  <c r="D269" i="3"/>
  <c r="D85" i="3"/>
  <c r="D691" i="3"/>
  <c r="D389" i="3"/>
  <c r="D149" i="3"/>
  <c r="D681" i="3"/>
  <c r="D220" i="3"/>
  <c r="D625" i="3"/>
  <c r="D929" i="3"/>
  <c r="D736" i="3"/>
  <c r="D543" i="3"/>
  <c r="D390" i="3"/>
  <c r="D288" i="3"/>
  <c r="D173" i="3"/>
  <c r="D121" i="3"/>
  <c r="D69" i="3"/>
  <c r="D465" i="3"/>
  <c r="D363" i="3"/>
  <c r="D120" i="3"/>
  <c r="D464" i="3"/>
  <c r="D161" i="3"/>
  <c r="D499" i="3"/>
  <c r="D40" i="3"/>
  <c r="D287" i="3"/>
  <c r="D1146" i="3"/>
  <c r="D800" i="3"/>
  <c r="D1080" i="3"/>
  <c r="D1079" i="3"/>
  <c r="D624" i="3"/>
  <c r="D1024" i="3"/>
  <c r="D1023" i="3"/>
  <c r="D896" i="3"/>
  <c r="D1230" i="3"/>
  <c r="D1124" i="3"/>
  <c r="D1123" i="3"/>
  <c r="D1008" i="3"/>
  <c r="D904" i="3"/>
  <c r="D764" i="3"/>
  <c r="D604" i="3"/>
  <c r="D474" i="3"/>
  <c r="D822" i="3"/>
  <c r="D818" i="3"/>
  <c r="D586" i="3"/>
  <c r="D1224" i="3"/>
  <c r="D1098" i="3"/>
  <c r="D1097" i="3"/>
  <c r="D1025" i="3"/>
  <c r="D878" i="3"/>
  <c r="D806" i="3"/>
  <c r="D660" i="3"/>
  <c r="D659" i="3"/>
  <c r="D353" i="3"/>
  <c r="D906" i="3"/>
  <c r="D905" i="3"/>
  <c r="D637" i="3"/>
  <c r="D918" i="3"/>
  <c r="D581" i="3"/>
  <c r="D1221" i="3"/>
  <c r="D1160" i="3"/>
  <c r="D1039" i="3"/>
  <c r="D924" i="3"/>
  <c r="D923" i="3"/>
  <c r="D894" i="3"/>
  <c r="D789" i="3"/>
  <c r="D682" i="3"/>
  <c r="D525" i="3"/>
  <c r="D423" i="3"/>
  <c r="D308" i="3"/>
  <c r="D675" i="3"/>
  <c r="D678" i="3"/>
  <c r="D1064" i="3"/>
  <c r="D943" i="3"/>
  <c r="D888" i="3"/>
  <c r="D1216" i="3"/>
  <c r="D1215" i="3"/>
  <c r="D1135" i="3"/>
  <c r="D1005" i="3"/>
  <c r="D892" i="3"/>
  <c r="D824" i="3"/>
  <c r="D718" i="3"/>
  <c r="D275" i="3"/>
  <c r="D1078" i="3"/>
  <c r="D724" i="3"/>
  <c r="D451" i="3"/>
  <c r="D450" i="3"/>
  <c r="D975" i="3"/>
  <c r="D517" i="3"/>
  <c r="D472" i="3"/>
  <c r="D987" i="3"/>
  <c r="D820" i="3"/>
  <c r="D662" i="3"/>
  <c r="D534" i="3"/>
  <c r="D342" i="3"/>
  <c r="D249" i="3"/>
  <c r="D246" i="3"/>
  <c r="D170" i="3"/>
  <c r="D88" i="3"/>
  <c r="D49" i="3"/>
  <c r="D315" i="3"/>
  <c r="D205" i="3"/>
  <c r="D129" i="3"/>
  <c r="D110" i="3"/>
  <c r="D677" i="3"/>
  <c r="D263" i="3"/>
  <c r="D1172" i="3"/>
  <c r="D395" i="3"/>
  <c r="D204" i="3"/>
  <c r="D854" i="3"/>
  <c r="D440" i="3"/>
  <c r="D1193" i="3"/>
  <c r="D177" i="3"/>
  <c r="D1010" i="3"/>
  <c r="D1009" i="3"/>
  <c r="D846" i="3"/>
  <c r="D689" i="3"/>
  <c r="D527" i="3"/>
  <c r="D411" i="3"/>
  <c r="D373" i="3"/>
  <c r="D277" i="3"/>
  <c r="D36" i="3"/>
  <c r="D785" i="3"/>
  <c r="D416" i="3"/>
  <c r="D200" i="3"/>
  <c r="D409" i="3"/>
  <c r="D45" i="3"/>
  <c r="D614" i="3"/>
  <c r="D126" i="3"/>
  <c r="D266" i="3"/>
  <c r="D1161" i="3"/>
  <c r="D761" i="3"/>
  <c r="D497" i="3"/>
  <c r="D398" i="3"/>
  <c r="D276" i="3"/>
  <c r="D182" i="3"/>
  <c r="D109" i="3"/>
  <c r="D700" i="3"/>
  <c r="D240" i="3"/>
  <c r="D53" i="3"/>
  <c r="D692" i="3"/>
  <c r="D306" i="3"/>
  <c r="D119" i="3"/>
  <c r="D693" i="3"/>
  <c r="D208" i="3"/>
  <c r="D626" i="3"/>
  <c r="D60" i="3"/>
  <c r="D889" i="3"/>
  <c r="D707" i="3"/>
  <c r="D531" i="3"/>
  <c r="D378" i="3"/>
  <c r="D265" i="3"/>
  <c r="D167" i="3"/>
  <c r="D133" i="3"/>
  <c r="D58" i="3"/>
  <c r="D447" i="3"/>
  <c r="D351" i="3"/>
  <c r="D113" i="3"/>
  <c r="D408" i="3"/>
  <c r="D168" i="3"/>
  <c r="D462" i="3"/>
  <c r="D89" i="3"/>
  <c r="D86" i="3"/>
  <c r="D620" i="3"/>
  <c r="D51" i="3"/>
  <c r="D1114" i="3"/>
  <c r="D776" i="3"/>
  <c r="D1181" i="3"/>
  <c r="D1053" i="3"/>
  <c r="D1125" i="3"/>
  <c r="D997" i="3"/>
  <c r="D869" i="3"/>
  <c r="D1210" i="3"/>
  <c r="D1103" i="3"/>
  <c r="D991" i="3"/>
  <c r="D874" i="3"/>
  <c r="D873" i="3"/>
  <c r="D760" i="3"/>
  <c r="D597" i="3"/>
  <c r="D469" i="3"/>
  <c r="D468" i="3"/>
  <c r="D732" i="3"/>
  <c r="D1163" i="3"/>
  <c r="D830" i="3"/>
  <c r="D551" i="3"/>
  <c r="D550" i="3"/>
  <c r="D1102" i="3"/>
  <c r="D1003" i="3"/>
  <c r="D861" i="3"/>
  <c r="D782" i="3"/>
  <c r="D668" i="3"/>
  <c r="D515" i="3"/>
  <c r="D514" i="3"/>
  <c r="D337" i="3"/>
  <c r="D1246" i="3"/>
  <c r="D898" i="3"/>
  <c r="D544" i="3"/>
  <c r="D826" i="3"/>
  <c r="D554" i="3"/>
  <c r="D1190" i="3"/>
  <c r="D1138" i="3"/>
  <c r="D1043" i="3"/>
  <c r="D911" i="3"/>
  <c r="D865" i="3"/>
  <c r="D790" i="3"/>
  <c r="D655" i="3"/>
  <c r="D498" i="3"/>
  <c r="D429" i="3"/>
  <c r="D365" i="3"/>
  <c r="D317" i="3"/>
  <c r="D1213" i="3"/>
  <c r="D651" i="3"/>
  <c r="D613" i="3"/>
  <c r="D715" i="3"/>
  <c r="D1186" i="3"/>
  <c r="D1042" i="3"/>
  <c r="D1041" i="3"/>
  <c r="D947" i="3"/>
  <c r="D880" i="3"/>
  <c r="D1202" i="3"/>
  <c r="D1139" i="3"/>
  <c r="D1000" i="3"/>
  <c r="D879" i="3"/>
  <c r="D816" i="3"/>
  <c r="D666" i="3"/>
  <c r="D587" i="3"/>
  <c r="D243" i="3"/>
  <c r="D1007" i="3"/>
  <c r="D728" i="3"/>
  <c r="D435" i="3"/>
  <c r="D893" i="3"/>
  <c r="D455" i="3"/>
  <c r="D454" i="3"/>
  <c r="D1187" i="3"/>
  <c r="D988" i="3"/>
  <c r="D768" i="3"/>
  <c r="D619" i="3"/>
  <c r="D516" i="3"/>
  <c r="D330" i="3"/>
  <c r="D255" i="3"/>
  <c r="D172" i="3"/>
  <c r="D82" i="3"/>
  <c r="D35" i="3"/>
  <c r="D303" i="3"/>
  <c r="D206" i="3"/>
  <c r="D136" i="3"/>
  <c r="D75" i="3"/>
  <c r="D623" i="3"/>
  <c r="D235" i="3"/>
  <c r="D919" i="3"/>
  <c r="D396" i="3"/>
  <c r="D169" i="3"/>
  <c r="D735" i="3"/>
  <c r="D344" i="3"/>
  <c r="D775" i="3"/>
  <c r="D95" i="3"/>
  <c r="D1022" i="3"/>
  <c r="D795" i="3"/>
  <c r="D684" i="3"/>
  <c r="D599" i="3"/>
  <c r="D492" i="3"/>
  <c r="D412" i="3"/>
  <c r="D347" i="3"/>
  <c r="D247" i="3"/>
  <c r="D731" i="3"/>
  <c r="D372" i="3"/>
  <c r="D128" i="3"/>
  <c r="D421" i="3"/>
  <c r="D1051" i="3"/>
  <c r="D476" i="3"/>
  <c r="D475" i="3"/>
  <c r="D96" i="3"/>
  <c r="D262" i="3"/>
  <c r="D1133" i="3"/>
  <c r="D690" i="3"/>
  <c r="D503" i="3"/>
  <c r="D392" i="3"/>
  <c r="D271" i="3"/>
  <c r="D201" i="3"/>
  <c r="D103" i="3"/>
  <c r="D574" i="3"/>
  <c r="D252" i="3"/>
  <c r="D39" i="3"/>
  <c r="D676" i="3"/>
  <c r="D257" i="3"/>
  <c r="D78" i="3"/>
  <c r="D577" i="3"/>
  <c r="D143" i="3"/>
  <c r="D529" i="3"/>
  <c r="D50" i="3"/>
  <c r="D1037" i="3"/>
  <c r="D855" i="3"/>
  <c r="D725" i="3"/>
  <c r="D513" i="3"/>
  <c r="D358" i="3"/>
  <c r="D251" i="3"/>
  <c r="D174" i="3"/>
  <c r="D127" i="3"/>
  <c r="D31" i="3"/>
  <c r="D427" i="3"/>
  <c r="D331" i="3"/>
  <c r="D1113" i="3"/>
  <c r="D376" i="3"/>
  <c r="D102" i="3"/>
  <c r="D463" i="3"/>
  <c r="D101" i="3"/>
  <c r="D542" i="3"/>
  <c r="D793"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<sst xmlns="http://schemas.openxmlformats.org/spreadsheetml/2006/main" count="152" uniqueCount="73">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</sst>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164" fontId="0" fillId="2" borderId="0" xfId="0" applyNumberFormat="1" applyFill="1" applyAlignment="1">
      <alignment horizontal="left" vertical="center" wrapText="1"/>
    </xf>
    <xf numFmtId="0" fontId="6" fillId="2" borderId="0" xfId="3" applyFill="1"/>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104.2577</c:v>
                </c:pt>
                <c:pt idx="268">
                  <c:v>104.18680000000001</c:v>
                </c:pt>
                <c:pt idx="269">
                  <c:v>104.1778</c:v>
                </c:pt>
                <c:pt idx="270">
                  <c:v>104.7189</c:v>
                </c:pt>
                <c:pt idx="271">
                  <c:v>104.54640000000001</c:v>
                </c:pt>
              </c:numCache>
            </c:numRef>
          </c:val>
          <c:smooth val="0"/>
          <c:extLst>
            <c:ext xmlns:c16="http://schemas.microsoft.com/office/drawing/2014/chart" uri="{C3380CC4-5D6E-409C-BE32-E72D297353CC}">
              <c16:uniqueId val="{00000000-9AF7-CC4B-A9CC-93CC01689633}"/>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start'!$A$1099:$A$1253</c:f>
              <c:numCache>
                <c:formatCode>m/d/yy</c:formatCode>
                <c:ptCount val="15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'IP from start'!$B$1099:$B$1253</c:f>
              <c:numCache>
                <c:formatCode>General</c:formatCode>
                <c:ptCount val="155"/>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104.2577</c:v>
                </c:pt>
                <c:pt idx="148">
                  <c:v>104.18680000000001</c:v>
                </c:pt>
                <c:pt idx="149">
                  <c:v>104.1778</c:v>
                </c:pt>
                <c:pt idx="150">
                  <c:v>104.7189</c:v>
                </c:pt>
                <c:pt idx="151">
                  <c:v>104.54640000000001</c:v>
                </c:pt>
              </c:numCache>
            </c:numRef>
          </c:val>
          <c:smooth val="0"/>
          <c:extLst>
            <c:ext xmlns:c16="http://schemas.microsoft.com/office/drawing/2014/chart" uri="{C3380CC4-5D6E-409C-BE32-E72D297353CC}">
              <c16:uniqueId val="{00000000-1EF9-2F4E-A131-F66884F6B61A}"/>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start'!$A$1099:$A$1255</c:f>
              <c:numCache>
                <c:formatCode>m/d/yy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'IP from start'!$C$1099:$C$1255</c:f>
              <c:numCache>
                <c:formatCode>0.00%</c:formatCode>
                <c:ptCount val="157"/>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5.2846464413893041E-2</c:v>
                </c:pt>
                <c:pt idx="148">
                  <c:v>4.418086060624294E-2</c:v>
                </c:pt>
                <c:pt idx="149">
                  <c:v>3.9778505933090687E-2</c:v>
                </c:pt>
                <c:pt idx="150">
                  <c:v>3.813233352235107E-2</c:v>
                </c:pt>
                <c:pt idx="151">
                  <c:v>3.6786100340152943E-2</c:v>
                </c:pt>
              </c:numCache>
            </c:numRef>
          </c:val>
          <c:smooth val="0"/>
          <c:extLst>
            <c:ext xmlns:c16="http://schemas.microsoft.com/office/drawing/2014/chart" uri="{C3380CC4-5D6E-409C-BE32-E72D297353CC}">
              <c16:uniqueId val="{00000000-1238-6A42-BB67-092747155194}"/>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Production'!$A$8:$A$614</c:f>
              <c:numCache>
                <c:formatCode>mmm\-yy</c:formatCode>
                <c:ptCount val="607"/>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numCache>
            </c:numRef>
          </c:cat>
          <c:val>
            <c:numRef>
              <c:f>'Industrial Production'!$B$8:$B$614</c:f>
              <c:numCache>
                <c:formatCode>0.0</c:formatCode>
                <c:ptCount val="607"/>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104.2577</c:v>
                </c:pt>
                <c:pt idx="603">
                  <c:v>104.18680000000001</c:v>
                </c:pt>
                <c:pt idx="604">
                  <c:v>104.1778</c:v>
                </c:pt>
                <c:pt idx="605">
                  <c:v>104.7189</c:v>
                </c:pt>
                <c:pt idx="606">
                  <c:v>104.54640000000001</c:v>
                </c:pt>
              </c:numCache>
            </c:numRef>
          </c:val>
          <c:smooth val="0"/>
          <c:extLst>
            <c:ext xmlns:c16="http://schemas.microsoft.com/office/drawing/2014/chart" uri="{C3380CC4-5D6E-409C-BE32-E72D297353CC}">
              <c16:uniqueId val="{00000000-355B-5A46-A61A-D7B001EF14CA}"/>
            </c:ext>
          </c:extLst>
        </c:ser>
        <c:dLbls>
          <c:showLegendKey val="0"/>
          <c:showVal val="0"/>
          <c:showCatName val="0"/>
          <c:showSerName val="0"/>
          <c:showPercent val="0"/>
          <c:showBubbleSize val="0"/>
        </c:dLbls>
        <c:smooth val="0"/>
        <c:axId val="489545072"/>
        <c:axId val="489545464"/>
      </c:lineChart>
      <c:dateAx>
        <c:axId val="489545072"/>
        <c:scaling>
          <c:orientation val="minMax"/>
          <c:max val="44774"/>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104.2577</c:v>
                </c:pt>
                <c:pt idx="268">
                  <c:v>104.18680000000001</c:v>
                </c:pt>
                <c:pt idx="269">
                  <c:v>104.1778</c:v>
                </c:pt>
                <c:pt idx="270">
                  <c:v>104.7189</c:v>
                </c:pt>
                <c:pt idx="271">
                  <c:v>104.54640000000001</c:v>
                </c:pt>
              </c:numCache>
            </c:numRef>
          </c:val>
          <c:smooth val="0"/>
          <c:extLst>
            <c:ext xmlns:c16="http://schemas.microsoft.com/office/drawing/2014/chart" uri="{C3380CC4-5D6E-409C-BE32-E72D297353CC}">
              <c16:uniqueId val="{00000000-5741-9742-ABB9-E2779FB408D9}"/>
            </c:ext>
          </c:extLst>
        </c:ser>
        <c:dLbls>
          <c:showLegendKey val="0"/>
          <c:showVal val="0"/>
          <c:showCatName val="0"/>
          <c:showSerName val="0"/>
          <c:showPercent val="0"/>
          <c:showBubbleSize val="0"/>
        </c:dLbls>
        <c:smooth val="0"/>
        <c:axId val="489546248"/>
        <c:axId val="489546640"/>
      </c:lineChart>
      <c:dateAx>
        <c:axId val="489546248"/>
        <c:scaling>
          <c:orientation val="minMax"/>
          <c:max val="44774"/>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'Industrial Production'!$D$20:$D$614</c:f>
              <c:numCache>
                <c:formatCode>0.0%</c:formatCode>
                <c:ptCount val="595"/>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5.2846464413893041E-2</c:v>
                </c:pt>
                <c:pt idx="591">
                  <c:v>4.418086060624294E-2</c:v>
                </c:pt>
                <c:pt idx="592">
                  <c:v>3.9778505933090687E-2</c:v>
                </c:pt>
                <c:pt idx="593">
                  <c:v>3.813233352235107E-2</c:v>
                </c:pt>
                <c:pt idx="594">
                  <c:v>3.6786100340152943E-2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A7B-8246-870D-3E79B98ABCF3}"/>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Production'!$A$343:$A$615</c:f>
              <c:numCache>
                <c:formatCode>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'Industrial Production'!$D$343:$D$615</c:f>
              <c:numCache>
                <c:formatCode>0.0%</c:formatCode>
                <c:ptCount val="273"/>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5.2846464413893041E-2</c:v>
                </c:pt>
                <c:pt idx="268">
                  <c:v>4.418086060624294E-2</c:v>
                </c:pt>
                <c:pt idx="269">
                  <c:v>3.9778505933090687E-2</c:v>
                </c:pt>
                <c:pt idx="270">
                  <c:v>3.813233352235107E-2</c:v>
                </c:pt>
                <c:pt idx="271">
                  <c:v>3.6786100340152943E-2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3F0-9742-A654-9F7117F4B645}"/>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104.2577</c:v>
                </c:pt>
                <c:pt idx="1240">
                  <c:v>104.18680000000001</c:v>
                </c:pt>
                <c:pt idx="1241">
                  <c:v>104.1778</c:v>
                </c:pt>
              </c:numCache>
            </c:numRef>
          </c:val>
          <c:smooth val="0"/>
          <c:extLst>
            <c:ext xmlns:c16="http://schemas.microsoft.com/office/drawing/2014/chart" uri="{C3380CC4-5D6E-409C-BE32-E72D297353CC}">
              <c16:uniqueId val="{00000000-5E34-0244-811D-385FD201C1D0}"/>
            </c:ext>
          </c:extLst>
        </c:ser>
        <c:dLbls>
          <c:showLegendKey val="0"/>
          <c:showVal val="0"/>
          <c:showCatName val="0"/>
          <c:showSerName val="0"/>
          <c:showPercent val="0"/>
          <c:showBubbleSize val="0"/>
        </c:dLbls>
        <c:smooth val="0"/>
        <c:axId val="699395760"/>
        <c:axId val="699395432"/>
      </c:lineChart>
      <c:dateAx>
        <c:axId val="699395760"/>
        <c:scaling>
          <c:orientation val="minMax"/>
          <c:max val="44743"/>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Utilization'!$A$6:$A$673</c:f>
              <c:numCache>
                <c:formatCode>mmm\-yy</c:formatCode>
                <c:ptCount val="668"/>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numCache>
            </c:numRef>
          </c:cat>
          <c:val>
            <c:numRef>
              <c:f>'Capacity Utilization'!$B$6:$B$673</c:f>
              <c:numCache>
                <c:formatCode>0.00</c:formatCode>
                <c:ptCount val="668"/>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80.218299999999999</c:v>
                </c:pt>
                <c:pt idx="664">
                  <c:v>80.036900000000003</c:v>
                </c:pt>
                <c:pt idx="665">
                  <c:v>79.905500000000004</c:v>
                </c:pt>
                <c:pt idx="666">
                  <c:v>80.202399999999997</c:v>
                </c:pt>
                <c:pt idx="667">
                  <c:v>79.960499999999996</c:v>
                </c:pt>
              </c:numCache>
            </c:numRef>
          </c:val>
          <c:smooth val="0"/>
          <c:extLst>
            <c:ext xmlns:c16="http://schemas.microsoft.com/office/drawing/2014/chart" uri="{C3380CC4-5D6E-409C-BE32-E72D297353CC}">
              <c16:uniqueId val="{00000000-2E36-6B42-A4C0-3CD63775E3D1}"/>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Utilization'!$A$6:$A$673</c:f>
              <c:numCache>
                <c:formatCode>mmm\-yy</c:formatCode>
                <c:ptCount val="668"/>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numCache>
            </c:numRef>
          </c:cat>
          <c:val>
            <c:numRef>
              <c:f>'Capacity Utilization'!$C$6:$C$673</c:f>
              <c:numCache>
                <c:formatCode>General</c:formatCode>
                <c:ptCount val="668"/>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8.8926919518963921E-2</c:v>
                </c:pt>
                <c:pt idx="665" formatCode="0.0%">
                  <c:v>8.9223702342673433E-2</c:v>
                </c:pt>
                <c:pt idx="666" formatCode="0.0%">
                  <c:v>8.8023107776971712E-2</c:v>
                </c:pt>
                <c:pt idx="667" formatCode="0.0%">
                  <c:v>8.8305164042024556E-2</c:v>
                </c:pt>
              </c:numCache>
            </c:numRef>
          </c:val>
          <c:smooth val="0"/>
          <c:extLst>
            <c:ext xmlns:c16="http://schemas.microsoft.com/office/drawing/2014/chart" uri="{C3380CC4-5D6E-409C-BE32-E72D297353CC}">
              <c16:uniqueId val="{00000001-2E36-6B42-A4C0-3CD63775E3D1}"/>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8.8926919518963921E-2</c:v>
                </c:pt>
                <c:pt idx="569">
                  <c:v>8.9223702342673433E-2</c:v>
                </c:pt>
                <c:pt idx="570">
                  <c:v>8.8023107776971712E-2</c:v>
                </c:pt>
                <c:pt idx="571">
                  <c:v>8.8305164042024556E-2</c:v>
                </c:pt>
              </c:numCache>
            </c:numRef>
          </c:val>
          <c:extLst>
            <c:ext xmlns:c16="http://schemas.microsoft.com/office/drawing/2014/chart" uri="{C3380CC4-5D6E-409C-BE32-E72D297353CC}">
              <c16:uniqueId val="{00000000-7A30-1E41-BD75-DF95B61D4BB2}"/>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80.218299999999999</c:v>
                </c:pt>
                <c:pt idx="568">
                  <c:v>80.036900000000003</c:v>
                </c:pt>
                <c:pt idx="569">
                  <c:v>79.905500000000004</c:v>
                </c:pt>
                <c:pt idx="570">
                  <c:v>80.202399999999997</c:v>
                </c:pt>
                <c:pt idx="571">
                  <c:v>79.960499999999996</c:v>
                </c:pt>
              </c:numCache>
            </c:numRef>
          </c:val>
          <c:smooth val="0"/>
          <c:extLst>
            <c:ext xmlns:c16="http://schemas.microsoft.com/office/drawing/2014/chart" uri="{C3380CC4-5D6E-409C-BE32-E72D297353CC}">
              <c16:uniqueId val="{00000001-7A30-1E41-BD75-DF95B61D4BB2}"/>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numCache>
            </c:numRef>
          </c:cat>
          <c:val>
            <c:numRef>
              <c:f>Materials!$B$8:$B$616</c:f>
              <c:numCache>
                <c:formatCode>0.0</c:formatCode>
                <c:ptCount val="609"/>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103.6339</c:v>
                </c:pt>
                <c:pt idx="603">
                  <c:v>103.94370000000001</c:v>
                </c:pt>
                <c:pt idx="604">
                  <c:v>104.5029</c:v>
                </c:pt>
                <c:pt idx="605">
                  <c:v>105.06319999999999</c:v>
                </c:pt>
                <c:pt idx="606">
                  <c:v>104.60420000000001</c:v>
                </c:pt>
              </c:numCache>
            </c:numRef>
          </c:val>
          <c:smooth val="0"/>
          <c:extLst>
            <c:ext xmlns:c16="http://schemas.microsoft.com/office/drawing/2014/chart" uri="{C3380CC4-5D6E-409C-BE32-E72D297353CC}">
              <c16:uniqueId val="{00000000-8679-334E-A46B-74D45BF97184}"/>
            </c:ext>
          </c:extLst>
        </c:ser>
        <c:dLbls>
          <c:showLegendKey val="0"/>
          <c:showVal val="0"/>
          <c:showCatName val="0"/>
          <c:showSerName val="0"/>
          <c:showPercent val="0"/>
          <c:showBubbleSize val="0"/>
        </c:dLbls>
        <c:smooth val="0"/>
        <c:axId val="494113096"/>
        <c:axId val="494113488"/>
      </c:lineChart>
      <c:dateAx>
        <c:axId val="494113096"/>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4.679861172839006E-2</c:v>
                </c:pt>
                <c:pt idx="591">
                  <c:v>4.049518360172296E-2</c:v>
                </c:pt>
                <c:pt idx="592">
                  <c:v>3.6004365968052281E-2</c:v>
                </c:pt>
                <c:pt idx="593">
                  <c:v>3.9602853329032205E-2</c:v>
                </c:pt>
                <c:pt idx="594">
                  <c:v>3.6417824085541686E-2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F3A-7448-BE70-0C0B86D6D186}"/>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4.679861172839006E-2</c:v>
                </c:pt>
                <c:pt idx="148">
                  <c:v>4.049518360172296E-2</c:v>
                </c:pt>
                <c:pt idx="149">
                  <c:v>3.6004365968052281E-2</c:v>
                </c:pt>
                <c:pt idx="150">
                  <c:v>3.9602853329032205E-2</c:v>
                </c:pt>
                <c:pt idx="151">
                  <c:v>3.6417824085541686E-2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6FE6-0C4E-A44F-95BE5E64F557}"/>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103.6339</c:v>
                </c:pt>
                <c:pt idx="148">
                  <c:v>103.94370000000001</c:v>
                </c:pt>
                <c:pt idx="149">
                  <c:v>104.5029</c:v>
                </c:pt>
                <c:pt idx="150">
                  <c:v>105.06319999999999</c:v>
                </c:pt>
                <c:pt idx="151">
                  <c:v>104.60420000000001</c:v>
                </c:pt>
              </c:numCache>
            </c:numRef>
          </c:val>
          <c:smooth val="0"/>
          <c:extLst>
            <c:ext xmlns:c16="http://schemas.microsoft.com/office/drawing/2014/chart" uri="{C3380CC4-5D6E-409C-BE32-E72D297353CC}">
              <c16:uniqueId val="{00000000-D6B8-5242-8077-D820DE6C9DC8}"/>
            </c:ext>
          </c:extLst>
        </c:ser>
        <c:dLbls>
          <c:showLegendKey val="0"/>
          <c:showVal val="0"/>
          <c:showCatName val="0"/>
          <c:showSerName val="0"/>
          <c:showPercent val="0"/>
          <c:showBubbleSize val="0"/>
        </c:dLbls>
        <c:smooth val="0"/>
        <c:axId val="538322847"/>
        <c:axId val="538324495"/>
      </c:lineChart>
      <c:dateAx>
        <c:axId val="538322847"/>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106.0938</c:v>
                </c:pt>
                <c:pt idx="591">
                  <c:v>105.2516</c:v>
                </c:pt>
                <c:pt idx="592">
                  <c:v>104.5492</c:v>
                </c:pt>
                <c:pt idx="593">
                  <c:v>104.8974</c:v>
                </c:pt>
                <c:pt idx="594">
                  <c:v>104.7295</c:v>
                </c:pt>
              </c:numCache>
            </c:numRef>
          </c:val>
          <c:smooth val="0"/>
          <c:extLst>
            <c:ext xmlns:c16="http://schemas.microsoft.com/office/drawing/2014/chart" uri="{C3380CC4-5D6E-409C-BE32-E72D297353CC}">
              <c16:uniqueId val="{00000000-D03F-AE41-B4D9-856B9A629E30}"/>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106.0938</c:v>
                </c:pt>
                <c:pt idx="148">
                  <c:v>105.2516</c:v>
                </c:pt>
                <c:pt idx="149">
                  <c:v>104.5492</c:v>
                </c:pt>
                <c:pt idx="150">
                  <c:v>104.8974</c:v>
                </c:pt>
                <c:pt idx="151">
                  <c:v>104.7295</c:v>
                </c:pt>
              </c:numCache>
            </c:numRef>
          </c:val>
          <c:smooth val="0"/>
          <c:extLst>
            <c:ext xmlns:c16="http://schemas.microsoft.com/office/drawing/2014/chart" uri="{C3380CC4-5D6E-409C-BE32-E72D297353CC}">
              <c16:uniqueId val="{00000000-8377-304D-B4BF-2E14880402B9}"/>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4.347441223680492E-2</c:v>
                </c:pt>
                <c:pt idx="591">
                  <c:v>2.9620332662582186E-2</c:v>
                </c:pt>
                <c:pt idx="592">
                  <c:v>2.3665406208815649E-2</c:v>
                </c:pt>
                <c:pt idx="593">
                  <c:v>2.1575349136167998E-2</c:v>
                </c:pt>
                <c:pt idx="594">
                  <c:v>2.1514028937671129E-2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C6C-9D43-A7FB-4DA9734F3F82}"/>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4.347441223680492E-2</c:v>
                </c:pt>
                <c:pt idx="148">
                  <c:v>2.9620332662582186E-2</c:v>
                </c:pt>
                <c:pt idx="149">
                  <c:v>2.3665406208815649E-2</c:v>
                </c:pt>
                <c:pt idx="150">
                  <c:v>2.1575349136167998E-2</c:v>
                </c:pt>
                <c:pt idx="151">
                  <c:v>2.1514028937671129E-2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ABC-0B45-B135-F4A22F1D2245}"/>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97.299599999999998</c:v>
                </c:pt>
                <c:pt idx="591">
                  <c:v>97.0137</c:v>
                </c:pt>
                <c:pt idx="592">
                  <c:v>96.848500000000001</c:v>
                </c:pt>
                <c:pt idx="593">
                  <c:v>97.377200000000002</c:v>
                </c:pt>
                <c:pt idx="594">
                  <c:v>98.069800000000001</c:v>
                </c:pt>
              </c:numCache>
            </c:numRef>
          </c:val>
          <c:smooth val="0"/>
          <c:extLst>
            <c:ext xmlns:c16="http://schemas.microsoft.com/office/drawing/2014/chart" uri="{C3380CC4-5D6E-409C-BE32-E72D297353CC}">
              <c16:uniqueId val="{00000000-6643-8B42-8F12-F17E1F0BB2CB}"/>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97.299599999999998</c:v>
                </c:pt>
                <c:pt idx="148">
                  <c:v>97.0137</c:v>
                </c:pt>
                <c:pt idx="149">
                  <c:v>96.848500000000001</c:v>
                </c:pt>
                <c:pt idx="150">
                  <c:v>97.377200000000002</c:v>
                </c:pt>
                <c:pt idx="151">
                  <c:v>98.069800000000001</c:v>
                </c:pt>
              </c:numCache>
            </c:numRef>
          </c:val>
          <c:smooth val="0"/>
          <c:extLst>
            <c:ext xmlns:c16="http://schemas.microsoft.com/office/drawing/2014/chart" uri="{C3380CC4-5D6E-409C-BE32-E72D297353CC}">
              <c16:uniqueId val="{00000000-5A20-5942-B74D-69854DB42E2F}"/>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9.0758668932644018E-2</c:v>
                </c:pt>
                <c:pt idx="591">
                  <c:v>6.7076644880845207E-2</c:v>
                </c:pt>
                <c:pt idx="592">
                  <c:v>7.4216951927353572E-2</c:v>
                </c:pt>
                <c:pt idx="593">
                  <c:v>5.0861066085931876E-2</c:v>
                </c:pt>
                <c:pt idx="594">
                  <c:v>5.7965448570929216E-2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49D-1740-8997-AA9FFB2973DE}"/>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9.0758668932644018E-2</c:v>
                </c:pt>
                <c:pt idx="148">
                  <c:v>6.7076644880845207E-2</c:v>
                </c:pt>
                <c:pt idx="149">
                  <c:v>7.4216951927353572E-2</c:v>
                </c:pt>
                <c:pt idx="150">
                  <c:v>5.0861066085931876E-2</c:v>
                </c:pt>
                <c:pt idx="151">
                  <c:v>5.7965448570929216E-2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EE1-4D41-A261-105BCDFDB901}"/>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104.9893</c:v>
                </c:pt>
                <c:pt idx="591">
                  <c:v>105.1751</c:v>
                </c:pt>
                <c:pt idx="592">
                  <c:v>104.0767</c:v>
                </c:pt>
                <c:pt idx="593">
                  <c:v>104.87949999999999</c:v>
                </c:pt>
                <c:pt idx="594">
                  <c:v>104.2602</c:v>
                </c:pt>
              </c:numCache>
            </c:numRef>
          </c:val>
          <c:smooth val="0"/>
          <c:extLst>
            <c:ext xmlns:c16="http://schemas.microsoft.com/office/drawing/2014/chart" uri="{C3380CC4-5D6E-409C-BE32-E72D297353CC}">
              <c16:uniqueId val="{00000000-06F1-A341-AAA8-CB699733071D}"/>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Construction!$B$463:$B$615</c:f>
              <c:numCache>
                <c:formatCode>0.0</c:formatCode>
                <c:ptCount val="153"/>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104.9893</c:v>
                </c:pt>
                <c:pt idx="148">
                  <c:v>105.1751</c:v>
                </c:pt>
                <c:pt idx="149">
                  <c:v>104.0767</c:v>
                </c:pt>
                <c:pt idx="150">
                  <c:v>104.87949999999999</c:v>
                </c:pt>
                <c:pt idx="151">
                  <c:v>104.2602</c:v>
                </c:pt>
              </c:numCache>
            </c:numRef>
          </c:val>
          <c:smooth val="0"/>
          <c:extLst>
            <c:ext xmlns:c16="http://schemas.microsoft.com/office/drawing/2014/chart" uri="{C3380CC4-5D6E-409C-BE32-E72D297353CC}">
              <c16:uniqueId val="{00000000-6DDB-C444-A7D4-77CB24DD8F4A}"/>
            </c:ext>
          </c:extLst>
        </c:ser>
        <c:dLbls>
          <c:showLegendKey val="0"/>
          <c:showVal val="0"/>
          <c:showCatName val="0"/>
          <c:showSerName val="0"/>
          <c:showPercent val="0"/>
          <c:showBubbleSize val="0"/>
        </c:dLbls>
        <c:smooth val="0"/>
        <c:axId val="1514186047"/>
        <c:axId val="1514189167"/>
      </c:lineChart>
      <c:dateAx>
        <c:axId val="1514186047"/>
        <c:scaling>
          <c:orientation val="minMax"/>
          <c:max val="44774"/>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5.2500042605533849E-2</c:v>
                </c:pt>
                <c:pt idx="591">
                  <c:v>5.7551670914968656E-2</c:v>
                </c:pt>
                <c:pt idx="592">
                  <c:v>5.0531692077863816E-2</c:v>
                </c:pt>
                <c:pt idx="593">
                  <c:v>4.6327759143938552E-2</c:v>
                </c:pt>
                <c:pt idx="594">
                  <c:v>3.6225070913597758E-2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430-ED42-8300-E31DC576A17B}"/>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74"/>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5.2500042605533849E-2</c:v>
                </c:pt>
                <c:pt idx="148">
                  <c:v>5.7551670914968656E-2</c:v>
                </c:pt>
                <c:pt idx="149">
                  <c:v>5.0531692077863816E-2</c:v>
                </c:pt>
                <c:pt idx="150">
                  <c:v>4.6327759143938552E-2</c:v>
                </c:pt>
                <c:pt idx="151">
                  <c:v>3.6225070913597758E-2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680-704F-9ED5-645B45A45B2A}"/>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74"/>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Manu!$B$20:$B$616</c:f>
              <c:numCache>
                <c:formatCode>0.0</c:formatCode>
                <c:ptCount val="597"/>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102.93559999999999</c:v>
                </c:pt>
                <c:pt idx="591">
                  <c:v>102.5035</c:v>
                </c:pt>
                <c:pt idx="592">
                  <c:v>101.9307</c:v>
                </c:pt>
                <c:pt idx="593">
                  <c:v>102.5658</c:v>
                </c:pt>
                <c:pt idx="594">
                  <c:v>102.6574</c:v>
                </c:pt>
              </c:numCache>
            </c:numRef>
          </c:val>
          <c:smooth val="0"/>
          <c:extLst>
            <c:ext xmlns:c16="http://schemas.microsoft.com/office/drawing/2014/chart" uri="{C3380CC4-5D6E-409C-BE32-E72D297353CC}">
              <c16:uniqueId val="{00000000-E4B8-F64D-A338-DE8611BE9217}"/>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Manu!$D$20:$D$616</c:f>
              <c:numCache>
                <c:formatCode>0.0%</c:formatCode>
                <c:ptCount val="597"/>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5.3904599844170231E-2</c:v>
                </c:pt>
                <c:pt idx="591">
                  <c:v>3.9480662770522021E-2</c:v>
                </c:pt>
                <c:pt idx="592">
                  <c:v>3.4016924771803722E-2</c:v>
                </c:pt>
                <c:pt idx="593">
                  <c:v>2.8975416743581284E-2</c:v>
                </c:pt>
                <c:pt idx="594">
                  <c:v>3.326230691264552E-2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6DA-F848-B5B9-D35524AEFD78}"/>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102.93559999999999</c:v>
                </c:pt>
                <c:pt idx="148">
                  <c:v>102.5035</c:v>
                </c:pt>
                <c:pt idx="149">
                  <c:v>101.9307</c:v>
                </c:pt>
                <c:pt idx="150">
                  <c:v>102.5658</c:v>
                </c:pt>
                <c:pt idx="151">
                  <c:v>102.6574</c:v>
                </c:pt>
              </c:numCache>
            </c:numRef>
          </c:val>
          <c:smooth val="0"/>
          <c:extLst>
            <c:ext xmlns:c16="http://schemas.microsoft.com/office/drawing/2014/chart" uri="{C3380CC4-5D6E-409C-BE32-E72D297353CC}">
              <c16:uniqueId val="{00000000-D114-AB47-9703-DF4D5217F07B}"/>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5.3904599844170231E-2</c:v>
                </c:pt>
                <c:pt idx="148">
                  <c:v>3.9480662770522021E-2</c:v>
                </c:pt>
                <c:pt idx="149">
                  <c:v>3.4016924771803722E-2</c:v>
                </c:pt>
                <c:pt idx="150">
                  <c:v>2.8975416743581284E-2</c:v>
                </c:pt>
                <c:pt idx="151">
                  <c:v>3.326230691264552E-2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EA5-AB4D-9D6D-941526DBF6EA}"/>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Mining!$B$20:$B$615</c:f>
              <c:numCache>
                <c:formatCode>0.0</c:formatCode>
                <c:ptCount val="596"/>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112.01600000000001</c:v>
                </c:pt>
                <c:pt idx="591">
                  <c:v>113.2068</c:v>
                </c:pt>
                <c:pt idx="592">
                  <c:v>115.4004</c:v>
                </c:pt>
                <c:pt idx="593">
                  <c:v>116.55029999999999</c:v>
                </c:pt>
                <c:pt idx="594">
                  <c:v>116.5504</c:v>
                </c:pt>
              </c:numCache>
            </c:numRef>
          </c:val>
          <c:smooth val="0"/>
          <c:extLst>
            <c:ext xmlns:c16="http://schemas.microsoft.com/office/drawing/2014/chart" uri="{C3380CC4-5D6E-409C-BE32-E72D297353CC}">
              <c16:uniqueId val="{00000000-8D84-EE49-9422-95DC457A81C9}"/>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5.3159151048232768E-3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6.614788214276536E-2</c:v>
                </c:pt>
                <c:pt idx="591">
                  <c:v>6.3602822699979619E-2</c:v>
                </c:pt>
                <c:pt idx="592">
                  <c:v>7.9641530316397577E-2</c:v>
                </c:pt>
                <c:pt idx="593">
                  <c:v>8.3104724945078118E-2</c:v>
                </c:pt>
                <c:pt idx="594">
                  <c:v>8.363031179251644E-2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689-0743-B3BA-C318A3E3090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6.614788214276536E-2</c:v>
                </c:pt>
                <c:pt idx="148">
                  <c:v>6.3602822699979619E-2</c:v>
                </c:pt>
                <c:pt idx="149">
                  <c:v>7.9641530316397577E-2</c:v>
                </c:pt>
                <c:pt idx="150">
                  <c:v>8.3104724945078118E-2</c:v>
                </c:pt>
                <c:pt idx="151">
                  <c:v>8.363031179251644E-2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F1E-164D-BA21-D32D67E1C594}"/>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112.01600000000001</c:v>
                </c:pt>
                <c:pt idx="148">
                  <c:v>113.2068</c:v>
                </c:pt>
                <c:pt idx="149">
                  <c:v>115.4004</c:v>
                </c:pt>
                <c:pt idx="150">
                  <c:v>116.55029999999999</c:v>
                </c:pt>
                <c:pt idx="151">
                  <c:v>116.5504</c:v>
                </c:pt>
              </c:numCache>
            </c:numRef>
          </c:val>
          <c:smooth val="0"/>
          <c:extLst>
            <c:ext xmlns:c16="http://schemas.microsoft.com/office/drawing/2014/chart" uri="{C3380CC4-5D6E-409C-BE32-E72D297353CC}">
              <c16:uniqueId val="{00000000-7E2C-3E4B-8775-0CA10A8093FA}"/>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106.7777</c:v>
                </c:pt>
                <c:pt idx="591">
                  <c:v>107.04430000000001</c:v>
                </c:pt>
                <c:pt idx="592">
                  <c:v>107.36790000000001</c:v>
                </c:pt>
                <c:pt idx="593">
                  <c:v>106.0779</c:v>
                </c:pt>
                <c:pt idx="594">
                  <c:v>103.598</c:v>
                </c:pt>
              </c:numCache>
            </c:numRef>
          </c:val>
          <c:smooth val="0"/>
          <c:extLst>
            <c:ext xmlns:c16="http://schemas.microsoft.com/office/drawing/2014/chart" uri="{C3380CC4-5D6E-409C-BE32-E72D297353CC}">
              <c16:uniqueId val="{00000000-8539-FE4C-A211-AF8FA1F3E0B8}"/>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4.5753432707186667E-2</c:v>
                </c:pt>
                <c:pt idx="591">
                  <c:v>5.379929395133265E-2</c:v>
                </c:pt>
                <c:pt idx="592">
                  <c:v>1.4272070555494183E-2</c:v>
                </c:pt>
                <c:pt idx="593">
                  <c:v>2.4080066728709906E-2</c:v>
                </c:pt>
                <c:pt idx="594">
                  <c:v>-1.5707184336140569E-2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C43-124D-8CA1-D8EE3D90F785}"/>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106.7777</c:v>
                </c:pt>
                <c:pt idx="148">
                  <c:v>107.04430000000001</c:v>
                </c:pt>
                <c:pt idx="149">
                  <c:v>107.36790000000001</c:v>
                </c:pt>
                <c:pt idx="150">
                  <c:v>106.0779</c:v>
                </c:pt>
                <c:pt idx="151">
                  <c:v>103.598</c:v>
                </c:pt>
              </c:numCache>
            </c:numRef>
          </c:val>
          <c:smooth val="0"/>
          <c:extLst>
            <c:ext xmlns:c16="http://schemas.microsoft.com/office/drawing/2014/chart" uri="{C3380CC4-5D6E-409C-BE32-E72D297353CC}">
              <c16:uniqueId val="{00000000-A04D-694C-9B8B-BB0C9E506C5D}"/>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4.5753432707186667E-2</c:v>
                </c:pt>
                <c:pt idx="148">
                  <c:v>5.379929395133265E-2</c:v>
                </c:pt>
                <c:pt idx="149">
                  <c:v>1.4272070555494183E-2</c:v>
                </c:pt>
                <c:pt idx="150">
                  <c:v>2.4080066728709906E-2</c:v>
                </c:pt>
                <c:pt idx="151">
                  <c:v>-1.5707184336140569E-2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455-234F-8294-BD5CED7E60AA}"/>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478365</xdr:colOff>
      <xdr:row>652</xdr:row>
      <xdr:rowOff>73026</xdr:rowOff>
    </xdr:from>
    <xdr:to>
      <xdr:col>16</xdr:col>
      <xdr:colOff>645583</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338665</xdr:colOff>
      <xdr:row>566</xdr:row>
      <xdr:rowOff>110067</xdr:rowOff>
    </xdr:from>
    <xdr:to>
      <xdr:col>14</xdr:col>
      <xdr:colOff>448734</xdr:colOff>
      <xdr:row>590</xdr:row>
      <xdr:rowOff>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118532</xdr:colOff>
      <xdr:row>590</xdr:row>
      <xdr:rowOff>105831</xdr:rowOff>
    </xdr:from>
    <xdr:to>
      <xdr:col>14</xdr:col>
      <xdr:colOff>431801</xdr:colOff>
      <xdr:row>612</xdr:row>
      <xdr:rowOff>152400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643465</xdr:colOff>
      <xdr:row>566</xdr:row>
      <xdr:rowOff>122765</xdr:rowOff>
    </xdr:from>
    <xdr:to>
      <xdr:col>26</xdr:col>
      <xdr:colOff>211666</xdr:colOff>
      <xdr:row>590</xdr:row>
      <xdr:rowOff>25400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635000</xdr:colOff>
      <xdr:row>590</xdr:row>
      <xdr:rowOff>97366</xdr:rowOff>
    </xdr:from>
    <xdr:to>
      <xdr:col>26</xdr:col>
      <xdr:colOff>177801</xdr:colOff>
      <xdr:row>613</xdr:row>
      <xdr:rowOff>1</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575732</xdr:colOff>
      <xdr:row>548</xdr:row>
      <xdr:rowOff>46565</xdr:rowOff>
    </xdr:from>
    <xdr:to>
      <xdr:col>28</xdr:col>
      <xdr:colOff>533400</xdr:colOff>
      <xdr:row>573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592665</xdr:colOff>
      <xdr:row>574</xdr:row>
      <xdr:rowOff>114300</xdr:rowOff>
    </xdr:from>
    <xdr:to>
      <xdr:col>28</xdr:col>
      <xdr:colOff>533400</xdr:colOff>
      <xdr:row>599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23</xdr:col>
      <xdr:colOff>55562</xdr:colOff>
      <xdr:row>597</xdr:row>
      <xdr:rowOff>7938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570</xdr:row>
      <xdr:rowOff>87314</xdr:rowOff>
    </xdr:from>
    <xdr:to>
      <xdr:col>26</xdr:col>
      <xdr:colOff>150812</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0" totalsRowShown="0" headerRowDxfId="68" dataDxfId="66" headerRowBorderDxfId="67">
  <autoFilter ref="A6:D1250"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4" totalsRowShown="0" headerRowDxfId="61" dataDxfId="59" headerRowBorderDxfId="60" tableBorderDxfId="58">
  <autoFilter ref="A6:D614"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3" totalsRowShown="0" headerRowDxfId="53" dataDxfId="51" headerRowBorderDxfId="52">
  <autoFilter ref="A5:C673"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4" totalsRowShown="0" headerRowDxfId="47" dataDxfId="45" headerRowBorderDxfId="46" tableBorderDxfId="44">
  <autoFilter ref="A6:D614"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4" totalsRowShown="0" headerRowBorderDxfId="39" tableBorderDxfId="38">
  <autoFilter ref="A6:D614"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4" totalsRowShown="0" headerRowBorderDxfId="33" tableBorderDxfId="32">
  <autoFilter ref="A6:D614"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4" totalsRowShown="0" headerRowBorderDxfId="27" tableBorderDxfId="26">
  <autoFilter ref="A6:D614"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4" totalsRowShown="0" headerRowBorderDxfId="21" tableBorderDxfId="20">
  <autoFilter ref="A6:D614"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4" totalsRowShown="0" headerRowDxfId="15" dataDxfId="13" headerRowBorderDxfId="14" tableBorderDxfId="12">
  <autoFilter ref="A6:D614"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4" totalsRowShown="0" headerRowDxfId="7" dataDxfId="5" headerRowBorderDxfId="6" tableBorderDxfId="4">
  <autoFilter ref="A6:D614"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D7" zoomScale="150" zoomScaleNormal="150" workbookViewId="0">
      <selection activeCell="P15" sqref="P15"/>
    </sheetView>
  </sheetViews>
  <sheetFormatPr baseColWidth="10" defaultColWidth="9.1640625" defaultRowHeight="15" x14ac:dyDescent="0.2"/>
  <cols>
    <col min="1" max="1" width="9.1640625" style="75" customWidth="1"/>
    <col min="2" max="10" width="12.83203125" style="75" customWidth="1"/>
    <col min="11" max="13" width="3" style="75" customWidth="1"/>
    <col min="14" max="14" width="19" style="75" customWidth="1"/>
    <col min="15" max="15" width="9.1640625" style="75" customWidth="1"/>
    <col min="16" max="19" width="12.33203125" style="75" customWidth="1"/>
    <col min="20" max="31" width="9.1640625" style="75" customWidth="1"/>
    <col min="32" max="16384" width="9.1640625" style="75"/>
  </cols>
  <sheetData>
    <row r="1" spans="2:19" x14ac:dyDescent="0.2">
      <c r="B1" s="88"/>
      <c r="C1" s="89"/>
      <c r="D1" s="89"/>
      <c r="E1" s="89"/>
      <c r="F1" s="89"/>
      <c r="G1" s="89"/>
      <c r="H1" s="89"/>
      <c r="I1" s="89"/>
      <c r="J1" s="89"/>
    </row>
    <row r="2" spans="2:19" ht="16" customHeight="1" thickBot="1" x14ac:dyDescent="0.25">
      <c r="B2" s="90"/>
      <c r="C2" s="90"/>
      <c r="D2" s="90"/>
      <c r="E2" s="90"/>
      <c r="F2" s="90"/>
      <c r="G2" s="90"/>
      <c r="H2" s="90"/>
      <c r="I2" s="90"/>
      <c r="J2" s="90"/>
    </row>
    <row r="3" spans="2:19" ht="16" customHeight="1" thickBot="1" x14ac:dyDescent="0.25">
      <c r="B3" s="91" t="s">
        <v>0</v>
      </c>
      <c r="C3" s="92"/>
      <c r="D3" s="92"/>
      <c r="E3" s="92"/>
      <c r="F3" s="92"/>
      <c r="G3" s="92"/>
      <c r="H3" s="92"/>
      <c r="I3" s="92"/>
      <c r="J3" s="93"/>
    </row>
    <row r="5" spans="2:19" x14ac:dyDescent="0.2">
      <c r="B5" s="83" t="s">
        <v>1</v>
      </c>
      <c r="C5" s="84"/>
      <c r="D5" s="84"/>
      <c r="E5" s="84"/>
      <c r="F5" s="84"/>
      <c r="G5" s="84"/>
      <c r="H5" s="84"/>
      <c r="I5" s="84"/>
      <c r="J5" s="85"/>
    </row>
    <row r="7" spans="2:19" ht="245.25" customHeight="1" x14ac:dyDescent="0.2">
      <c r="B7" s="94" t="s">
        <v>2</v>
      </c>
      <c r="C7" s="89"/>
      <c r="D7" s="89"/>
      <c r="E7" s="89"/>
      <c r="F7" s="89"/>
      <c r="G7" s="89"/>
      <c r="H7" s="89"/>
      <c r="I7" s="89"/>
      <c r="J7" s="89"/>
    </row>
    <row r="8" spans="2:19" ht="15" customHeight="1" x14ac:dyDescent="0.2">
      <c r="B8" s="95" t="s">
        <v>3</v>
      </c>
      <c r="C8" s="89"/>
      <c r="D8" s="89"/>
      <c r="E8" s="89"/>
      <c r="F8" s="89"/>
      <c r="G8" s="89"/>
      <c r="H8" s="89"/>
      <c r="I8" s="89"/>
      <c r="J8" s="89"/>
    </row>
    <row r="9" spans="2:19" ht="15" customHeight="1" x14ac:dyDescent="0.2">
      <c r="B9" s="2" t="s">
        <v>4</v>
      </c>
    </row>
    <row r="10" spans="2:19" ht="15" customHeight="1" x14ac:dyDescent="0.2">
      <c r="B10" s="2" t="s">
        <v>5</v>
      </c>
      <c r="N10" s="83" t="s">
        <v>6</v>
      </c>
      <c r="O10" s="84"/>
      <c r="P10" s="84"/>
      <c r="Q10" s="84"/>
      <c r="R10" s="84"/>
      <c r="S10" s="85"/>
    </row>
    <row r="11" spans="2:19" x14ac:dyDescent="0.2">
      <c r="B11" s="22"/>
      <c r="C11" s="22"/>
      <c r="D11" s="22"/>
      <c r="E11" s="22"/>
    </row>
    <row r="12" spans="2:19" x14ac:dyDescent="0.2">
      <c r="B12" s="83" t="s">
        <v>7</v>
      </c>
      <c r="C12" s="84"/>
      <c r="D12" s="84"/>
      <c r="E12" s="84"/>
      <c r="F12" s="84"/>
      <c r="G12" s="84"/>
      <c r="H12" s="84"/>
      <c r="I12" s="84"/>
      <c r="J12" s="85"/>
      <c r="N12" s="40" t="s">
        <v>8</v>
      </c>
    </row>
    <row r="13" spans="2:19" ht="16" customHeight="1" thickBot="1" x14ac:dyDescent="0.25"/>
    <row r="14" spans="2:19" x14ac:dyDescent="0.2">
      <c r="B14" s="83" t="s">
        <v>9</v>
      </c>
      <c r="C14" s="84"/>
      <c r="D14" s="84"/>
      <c r="E14" s="84"/>
      <c r="F14" s="85"/>
      <c r="G14" s="83" t="s">
        <v>10</v>
      </c>
      <c r="H14" s="84"/>
      <c r="I14" s="84"/>
      <c r="J14" s="85"/>
      <c r="P14" s="41">
        <v>44774</v>
      </c>
      <c r="Q14" s="42"/>
    </row>
    <row r="15" spans="2:19" ht="16" customHeight="1" thickBot="1" x14ac:dyDescent="0.25">
      <c r="P15" s="43" t="s">
        <v>11</v>
      </c>
      <c r="Q15" s="43" t="s">
        <v>12</v>
      </c>
    </row>
    <row r="16" spans="2:19" ht="16" customHeight="1" x14ac:dyDescent="0.2">
      <c r="B16" s="1" t="s">
        <v>13</v>
      </c>
      <c r="I16" s="11"/>
      <c r="J16" s="12" t="s">
        <v>14</v>
      </c>
      <c r="N16" s="86" t="s">
        <v>15</v>
      </c>
      <c r="O16" s="87"/>
      <c r="P16" s="44">
        <f>(VLOOKUP($P$14,database!A:J,MATCH(Note!S16,database!$A$1:$J$1,),)-VLOOKUP($N$28,database!A:J,MATCH(Note!S16,database!$A$1:$J$1,),))/VLOOKUP($N$28,database!A:J,MATCH(Note!S16,database!$A$1:$J$1,),)</f>
        <v>-1.6472671122404782E-3</v>
      </c>
      <c r="Q16" s="45">
        <f>(VLOOKUP($P$14,database!A:J,MATCH(Note!S16,database!$A$1:$J$1,),)-VLOOKUP($N$29,database!A:J,MATCH(Note!S16,database!$A$1:$J$1,),))/VLOOKUP($N$29,database!A:J,MATCH(Note!S16,database!$A$1:$J$1,),)</f>
        <v>3.6786100340152943E-2</v>
      </c>
      <c r="S16" s="75" t="s">
        <v>16</v>
      </c>
    </row>
    <row r="17" spans="2:19" x14ac:dyDescent="0.2">
      <c r="B17" s="75" t="s">
        <v>17</v>
      </c>
      <c r="D17" s="75" t="s">
        <v>18</v>
      </c>
      <c r="I17" s="11">
        <v>2447752</v>
      </c>
      <c r="J17" s="25">
        <v>0.72596839700733096</v>
      </c>
      <c r="N17" s="79" t="s">
        <v>17</v>
      </c>
      <c r="O17" s="80"/>
      <c r="P17" s="46">
        <f>(VLOOKUP($P$14,database!A:J,MATCH(Note!S17,database!$A$1:$J$1,),)-VLOOKUP($N$28,database!A:J,MATCH(Note!S17,database!$A$1:$J$1,),))/VLOOKUP($N$28,database!A:J,MATCH(Note!S17,database!$A$1:$J$1,),)</f>
        <v>8.9308521943961519E-4</v>
      </c>
      <c r="Q17" s="47">
        <f>(VLOOKUP($P$14,database!A:J,MATCH(Note!S17,database!$A$1:$J$1,),)-VLOOKUP($N$29,database!A:J,MATCH(Note!S17,database!$A$1:$J$1,),))/VLOOKUP($N$29,database!A:J,MATCH(Note!S17,database!$A$1:$J$1,),)</f>
        <v>3.326230691264552E-2</v>
      </c>
      <c r="S17" s="51" t="s">
        <v>19</v>
      </c>
    </row>
    <row r="18" spans="2:19" ht="15.75" customHeight="1" x14ac:dyDescent="0.2">
      <c r="B18" s="75" t="s">
        <v>20</v>
      </c>
      <c r="D18" s="75" t="s">
        <v>21</v>
      </c>
      <c r="G18" s="76"/>
      <c r="H18" s="76"/>
      <c r="I18" s="23">
        <v>608173</v>
      </c>
      <c r="J18" s="26">
        <v>0.18037545385036541</v>
      </c>
      <c r="N18" s="79" t="s">
        <v>20</v>
      </c>
      <c r="O18" s="80"/>
      <c r="P18" s="46">
        <f>(VLOOKUP($P$14,database!A:J,MATCH(Note!S18,database!$A$1:$J$1,),)-VLOOKUP($N$28,database!A:J,MATCH(Note!S18,database!$A$1:$J$1,),))/VLOOKUP($N$28,database!A:J,MATCH(Note!S18,database!$A$1:$J$1,),)</f>
        <v>8.579986495386083E-7</v>
      </c>
      <c r="Q18" s="47">
        <f>(VLOOKUP($P$14,database!A:J,MATCH(Note!S18,database!$A$1:$J$1,),)-VLOOKUP($N$29,database!A:J,MATCH(Note!S18,database!$A$1:$J$1,),))/VLOOKUP($N$29,database!A:J,MATCH(Note!S18,database!$A$1:$J$1,),)</f>
        <v>8.363031179251644E-2</v>
      </c>
      <c r="S18" s="51" t="s">
        <v>22</v>
      </c>
    </row>
    <row r="19" spans="2:19" ht="15.75" customHeight="1" x14ac:dyDescent="0.2">
      <c r="B19" s="75" t="s">
        <v>23</v>
      </c>
      <c r="D19" s="75" t="s">
        <v>24</v>
      </c>
      <c r="G19" s="76"/>
      <c r="H19" s="76"/>
      <c r="I19" s="23">
        <v>315781</v>
      </c>
      <c r="J19" s="26">
        <v>9.3656149142303635E-2</v>
      </c>
      <c r="N19" s="79" t="s">
        <v>23</v>
      </c>
      <c r="O19" s="80"/>
      <c r="P19" s="46">
        <f>(VLOOKUP($P$14,database!A:J,MATCH(Note!S19,database!$A$1:$J$1,),)-VLOOKUP($N$28,database!A:J,MATCH(Note!S19,database!$A$1:$J$1,),))/VLOOKUP($N$28,database!A:J,MATCH(Note!S19,database!$A$1:$J$1,),)</f>
        <v>-2.3378102319144712E-2</v>
      </c>
      <c r="Q19" s="47">
        <f>(VLOOKUP($P$14,database!A:J,MATCH(Note!S19,database!$A$1:$J$1,),)-VLOOKUP($N$29,database!A:J,MATCH(Note!S19,database!$A$1:$J$1,),))/VLOOKUP($N$29,database!A:J,MATCH(Note!S19,database!$A$1:$J$1,),)</f>
        <v>-1.5707184336140569E-2</v>
      </c>
      <c r="S19" s="51" t="s">
        <v>25</v>
      </c>
    </row>
    <row r="20" spans="2:19" ht="15.75" customHeight="1" x14ac:dyDescent="0.2">
      <c r="B20" s="75" t="s">
        <v>15</v>
      </c>
      <c r="D20" s="75" t="s">
        <v>26</v>
      </c>
      <c r="G20" s="53"/>
      <c r="H20" s="53"/>
      <c r="I20" s="24">
        <v>3371706</v>
      </c>
      <c r="J20" s="27">
        <v>1</v>
      </c>
      <c r="N20" s="79" t="s">
        <v>27</v>
      </c>
      <c r="O20" s="80"/>
      <c r="P20" s="46">
        <f>(VLOOKUP($P$14,database!A:J,MATCH(Note!S20,database!$A$1:$J$1,),)-VLOOKUP($N$28,database!A:J,MATCH(Note!S20,database!$A$1:$J$1,),))/VLOOKUP($N$28,database!A:J,MATCH(Note!S20,database!$A$1:$J$1,),)</f>
        <v>-4.3687989705243034E-3</v>
      </c>
      <c r="Q20" s="47">
        <f>(VLOOKUP($P$14,database!A:J,MATCH(Note!S20,database!$A$1:$J$1,),)-VLOOKUP($N$29,database!A:J,MATCH(Note!S20,database!$A$1:$J$1,),))/VLOOKUP($N$29,database!A:J,MATCH(Note!S20,database!$A$1:$J$1,),)</f>
        <v>3.6417824085541686E-2</v>
      </c>
      <c r="S20" s="75" t="s">
        <v>28</v>
      </c>
    </row>
    <row r="21" spans="2:19" ht="15.75" customHeight="1" x14ac:dyDescent="0.2">
      <c r="G21" s="97"/>
      <c r="H21" s="89"/>
      <c r="I21" s="89"/>
      <c r="J21" s="89"/>
      <c r="N21" s="79" t="s">
        <v>29</v>
      </c>
      <c r="O21" s="80"/>
      <c r="P21" s="46">
        <f>(VLOOKUP($P$14,database!A:J,MATCH(Note!S21,database!$A$1:$J$1,),)-VLOOKUP($N$28,database!A:J,MATCH(Note!S21,database!$A$1:$J$1,),))/VLOOKUP($N$28,database!A:J,MATCH(Note!S21,database!$A$1:$J$1,),)</f>
        <v>-1.6006116452838969E-3</v>
      </c>
      <c r="Q21" s="47">
        <f>(VLOOKUP($P$14,database!A:J,MATCH(Note!S21,database!$A$1:$J$1,),)-VLOOKUP($N$29,database!A:J,MATCH(Note!S21,database!$A$1:$J$1,),))/VLOOKUP($N$29,database!A:J,MATCH(Note!S21,database!$A$1:$J$1,),)</f>
        <v>2.1514028937671129E-2</v>
      </c>
      <c r="S21" s="75" t="s">
        <v>30</v>
      </c>
    </row>
    <row r="22" spans="2:19" ht="15.75" customHeight="1" x14ac:dyDescent="0.2">
      <c r="B22" s="1" t="s">
        <v>31</v>
      </c>
      <c r="I22" s="11"/>
      <c r="J22" s="12" t="s">
        <v>14</v>
      </c>
      <c r="N22" s="79" t="s">
        <v>32</v>
      </c>
      <c r="O22" s="80"/>
      <c r="P22" s="46">
        <f>(VLOOKUP($P$14,database!A:J,MATCH(Note!S22,database!$A$1:$J$1,),)-VLOOKUP($N$28,database!A:J,MATCH(Note!S22,database!$A$1:$J$1,),))/VLOOKUP($N$28,database!A:J,MATCH(Note!S22,database!$A$1:$J$1,),)</f>
        <v>7.1125479064914456E-3</v>
      </c>
      <c r="Q22" s="47">
        <f>(VLOOKUP($P$14,database!A:J,MATCH(Note!S22,database!$A$1:$J$1,),)-VLOOKUP($N$29,database!A:J,MATCH(Note!S22,database!$A$1:$J$1,),))/VLOOKUP($N$29,database!A:J,MATCH(Note!S22,database!$A$1:$J$1,),)</f>
        <v>5.7965448570929216E-2</v>
      </c>
      <c r="S22" s="75" t="s">
        <v>33</v>
      </c>
    </row>
    <row r="23" spans="2:19" ht="17.25" customHeight="1" thickBot="1" x14ac:dyDescent="0.25">
      <c r="B23" s="75" t="s">
        <v>15</v>
      </c>
      <c r="D23" s="75" t="s">
        <v>26</v>
      </c>
      <c r="I23" s="11">
        <v>3371706</v>
      </c>
      <c r="J23" s="25">
        <v>1</v>
      </c>
      <c r="N23" s="81" t="s">
        <v>34</v>
      </c>
      <c r="O23" s="82"/>
      <c r="P23" s="48">
        <f>(VLOOKUP($P$14,database!A:J,MATCH(Note!S23,database!$A$1:$J$1,),)-VLOOKUP($N$28,database!A:J,MATCH(Note!S23,database!$A$1:$J$1,),))/VLOOKUP($N$28,database!A:J,MATCH(Note!S23,database!$A$1:$J$1,),)</f>
        <v>-5.904871781425308E-3</v>
      </c>
      <c r="Q23" s="49">
        <f>(VLOOKUP($P$14,database!A:J,MATCH(Note!S23,database!$A$1:$J$1,),)-VLOOKUP($N$29,database!A:J,MATCH(Note!S23,database!$A$1:$J$1,),))/VLOOKUP($N$29,database!A:J,MATCH(Note!S23,database!$A$1:$J$1,),)</f>
        <v>3.6225070913597758E-2</v>
      </c>
      <c r="S23" s="75" t="s">
        <v>35</v>
      </c>
    </row>
    <row r="24" spans="2:19" ht="15.75" customHeight="1" x14ac:dyDescent="0.2">
      <c r="B24" s="75" t="s">
        <v>27</v>
      </c>
      <c r="D24" s="75" t="s">
        <v>36</v>
      </c>
      <c r="G24" s="76"/>
      <c r="H24" s="76"/>
      <c r="I24" s="23">
        <v>1624304</v>
      </c>
      <c r="J24" s="26">
        <v>0.48170000000000002</v>
      </c>
    </row>
    <row r="25" spans="2:19" ht="15.75" customHeight="1" x14ac:dyDescent="0.2">
      <c r="B25" s="75" t="s">
        <v>29</v>
      </c>
      <c r="D25" s="75" t="s">
        <v>37</v>
      </c>
      <c r="G25" s="76"/>
      <c r="H25" s="76"/>
      <c r="I25" s="23">
        <v>850761</v>
      </c>
      <c r="J25" s="26">
        <v>0.25230000000000002</v>
      </c>
    </row>
    <row r="26" spans="2:19" ht="15.75" customHeight="1" x14ac:dyDescent="0.2">
      <c r="B26" s="75" t="s">
        <v>38</v>
      </c>
      <c r="G26" s="53"/>
      <c r="H26" s="53"/>
      <c r="I26" s="24">
        <v>423708</v>
      </c>
      <c r="J26" s="27">
        <v>0.1258</v>
      </c>
    </row>
    <row r="27" spans="2:19" ht="15.75" customHeight="1" thickBot="1" x14ac:dyDescent="0.25">
      <c r="B27" s="75" t="s">
        <v>32</v>
      </c>
      <c r="D27" s="75" t="s">
        <v>39</v>
      </c>
      <c r="G27" s="54"/>
      <c r="H27" s="54"/>
      <c r="I27" s="24">
        <v>333915</v>
      </c>
      <c r="J27" s="27">
        <v>9.9000000000000005E-2</v>
      </c>
    </row>
    <row r="28" spans="2:19" ht="15.75" customHeight="1" thickBot="1" x14ac:dyDescent="0.25">
      <c r="B28" s="75" t="s">
        <v>34</v>
      </c>
      <c r="D28" s="75" t="s">
        <v>40</v>
      </c>
      <c r="G28" s="54"/>
      <c r="H28" s="54"/>
      <c r="I28" s="24">
        <v>139018</v>
      </c>
      <c r="J28" s="27">
        <v>4.1200000000000001E-2</v>
      </c>
      <c r="N28" s="42">
        <f>DATE(YEAR($P$14),MONTH($P$14)-1,DAY($P$14))</f>
        <v>44743</v>
      </c>
    </row>
    <row r="29" spans="2:19" ht="15.75" customHeight="1" thickBot="1" x14ac:dyDescent="0.25">
      <c r="B29" s="89"/>
      <c r="C29" s="89"/>
      <c r="D29" s="89"/>
      <c r="E29" s="89"/>
      <c r="F29" s="89"/>
      <c r="G29" s="97" t="s">
        <v>41</v>
      </c>
      <c r="H29" s="89"/>
      <c r="I29" s="89"/>
      <c r="J29" s="89"/>
      <c r="N29" s="50">
        <f>DATE(YEAR($P$14)-1,MONTH($P$14),DAY($P$14))</f>
        <v>44409</v>
      </c>
    </row>
    <row r="30" spans="2:19" x14ac:dyDescent="0.2">
      <c r="G30" s="97" t="s">
        <v>42</v>
      </c>
      <c r="H30" s="89"/>
      <c r="I30" s="89"/>
      <c r="J30" s="89"/>
    </row>
    <row r="32" spans="2:19" x14ac:dyDescent="0.2">
      <c r="B32" s="1" t="s">
        <v>43</v>
      </c>
      <c r="D32" s="77" t="s">
        <v>44</v>
      </c>
    </row>
    <row r="34" spans="2:10" x14ac:dyDescent="0.2">
      <c r="B34" s="1"/>
    </row>
    <row r="35" spans="2:10" ht="33.75" customHeight="1" x14ac:dyDescent="0.2">
      <c r="B35" s="96"/>
      <c r="C35" s="89"/>
      <c r="D35" s="89"/>
      <c r="E35" s="89"/>
      <c r="F35" s="89"/>
      <c r="G35" s="89"/>
      <c r="H35" s="89"/>
      <c r="I35" s="89"/>
      <c r="J35" s="89"/>
    </row>
    <row r="36" spans="2:10" x14ac:dyDescent="0.2">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5"/>
  <sheetViews>
    <sheetView workbookViewId="0">
      <pane ySplit="1" topLeftCell="A1216" activePane="bottomLeft" state="frozen"/>
      <selection activeCell="E1215" sqref="E1215"/>
      <selection pane="bottomLeft" activeCell="E1216" sqref="E1216"/>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8">
        <v>6941</v>
      </c>
      <c r="B2">
        <v>4.8773</v>
      </c>
      <c r="C2"/>
      <c r="D2"/>
      <c r="E2"/>
      <c r="F2"/>
      <c r="G2"/>
      <c r="H2">
        <v>23.5503</v>
      </c>
      <c r="I2"/>
      <c r="J2"/>
      <c r="K2"/>
    </row>
    <row r="3" spans="1:11" x14ac:dyDescent="0.2">
      <c r="A3" s="78">
        <v>6972</v>
      </c>
      <c r="B3">
        <v>4.6616999999999997</v>
      </c>
      <c r="C3"/>
      <c r="D3"/>
      <c r="E3"/>
      <c r="F3"/>
      <c r="G3"/>
      <c r="H3">
        <v>20.803899999999999</v>
      </c>
      <c r="I3"/>
      <c r="J3"/>
      <c r="K3"/>
    </row>
    <row r="4" spans="1:11" x14ac:dyDescent="0.2">
      <c r="A4" s="78">
        <v>7000</v>
      </c>
      <c r="B4">
        <v>4.5270000000000001</v>
      </c>
      <c r="C4"/>
      <c r="D4"/>
      <c r="E4"/>
      <c r="F4"/>
      <c r="G4"/>
      <c r="H4">
        <v>19.842600000000001</v>
      </c>
      <c r="I4"/>
      <c r="J4"/>
      <c r="K4"/>
    </row>
    <row r="5" spans="1:11" x14ac:dyDescent="0.2">
      <c r="A5" s="78">
        <v>7031</v>
      </c>
      <c r="B5">
        <v>4.6078000000000001</v>
      </c>
      <c r="C5"/>
      <c r="D5"/>
      <c r="E5"/>
      <c r="F5"/>
      <c r="G5"/>
      <c r="H5">
        <v>21.215800000000002</v>
      </c>
      <c r="I5"/>
      <c r="J5"/>
      <c r="K5"/>
    </row>
    <row r="6" spans="1:11" x14ac:dyDescent="0.2">
      <c r="A6" s="78">
        <v>7061</v>
      </c>
      <c r="B6">
        <v>4.6348000000000003</v>
      </c>
      <c r="C6"/>
      <c r="D6"/>
      <c r="E6"/>
      <c r="F6"/>
      <c r="G6"/>
      <c r="H6">
        <v>22.1084</v>
      </c>
      <c r="I6"/>
      <c r="J6"/>
      <c r="K6"/>
    </row>
    <row r="7" spans="1:11" x14ac:dyDescent="0.2">
      <c r="A7" s="78">
        <v>7092</v>
      </c>
      <c r="B7">
        <v>4.9311999999999996</v>
      </c>
      <c r="C7"/>
      <c r="D7"/>
      <c r="E7"/>
      <c r="F7"/>
      <c r="G7"/>
      <c r="H7">
        <v>22.726299999999998</v>
      </c>
      <c r="I7"/>
      <c r="J7"/>
      <c r="K7"/>
    </row>
    <row r="8" spans="1:11" x14ac:dyDescent="0.2">
      <c r="A8" s="78">
        <v>7122</v>
      </c>
      <c r="B8">
        <v>5.2275999999999998</v>
      </c>
      <c r="C8"/>
      <c r="D8"/>
      <c r="E8"/>
      <c r="F8"/>
      <c r="G8"/>
      <c r="H8">
        <v>24.099499999999999</v>
      </c>
      <c r="I8"/>
      <c r="J8"/>
      <c r="K8"/>
    </row>
    <row r="9" spans="1:11" x14ac:dyDescent="0.2">
      <c r="A9" s="78">
        <v>7153</v>
      </c>
      <c r="B9">
        <v>5.3083999999999998</v>
      </c>
      <c r="C9"/>
      <c r="D9"/>
      <c r="E9"/>
      <c r="F9"/>
      <c r="G9"/>
      <c r="H9">
        <v>23.413</v>
      </c>
      <c r="I9"/>
      <c r="J9"/>
      <c r="K9"/>
    </row>
    <row r="10" spans="1:11" x14ac:dyDescent="0.2">
      <c r="A10" s="78">
        <v>7184</v>
      </c>
      <c r="B10">
        <v>5.2005999999999997</v>
      </c>
      <c r="C10"/>
      <c r="D10"/>
      <c r="E10"/>
      <c r="F10"/>
      <c r="G10"/>
      <c r="H10">
        <v>25.2668</v>
      </c>
      <c r="I10"/>
      <c r="J10"/>
      <c r="K10"/>
    </row>
    <row r="11" spans="1:11" x14ac:dyDescent="0.2">
      <c r="A11" s="78">
        <v>7214</v>
      </c>
      <c r="B11">
        <v>5.1467000000000001</v>
      </c>
      <c r="C11"/>
      <c r="D11"/>
      <c r="E11"/>
      <c r="F11"/>
      <c r="G11"/>
      <c r="H11">
        <v>26.021999999999998</v>
      </c>
      <c r="I11"/>
      <c r="J11"/>
      <c r="K11"/>
    </row>
    <row r="12" spans="1:11" x14ac:dyDescent="0.2">
      <c r="A12" s="78">
        <v>7245</v>
      </c>
      <c r="B12">
        <v>5.0659000000000001</v>
      </c>
      <c r="C12"/>
      <c r="D12"/>
      <c r="E12"/>
      <c r="F12"/>
      <c r="G12"/>
      <c r="H12">
        <v>18.7441</v>
      </c>
      <c r="I12"/>
      <c r="J12"/>
      <c r="K12"/>
    </row>
    <row r="13" spans="1:11" x14ac:dyDescent="0.2">
      <c r="A13" s="78">
        <v>7275</v>
      </c>
      <c r="B13">
        <v>5.1467000000000001</v>
      </c>
      <c r="C13"/>
      <c r="D13"/>
      <c r="E13"/>
      <c r="F13"/>
      <c r="G13"/>
      <c r="H13">
        <v>22.932300000000001</v>
      </c>
      <c r="I13"/>
      <c r="J13"/>
      <c r="K13"/>
    </row>
    <row r="14" spans="1:11" x14ac:dyDescent="0.2">
      <c r="A14" s="78">
        <v>7306</v>
      </c>
      <c r="B14">
        <v>5.6318000000000001</v>
      </c>
      <c r="C14"/>
      <c r="D14"/>
      <c r="E14"/>
      <c r="F14"/>
      <c r="G14"/>
      <c r="H14">
        <v>25.61</v>
      </c>
      <c r="I14"/>
      <c r="J14"/>
      <c r="K14"/>
    </row>
    <row r="15" spans="1:11" x14ac:dyDescent="0.2">
      <c r="A15" s="78">
        <v>7337</v>
      </c>
      <c r="B15">
        <v>5.6318000000000001</v>
      </c>
      <c r="C15"/>
      <c r="D15"/>
      <c r="E15"/>
      <c r="F15"/>
      <c r="G15"/>
      <c r="H15">
        <v>25.2668</v>
      </c>
      <c r="I15"/>
      <c r="J15"/>
      <c r="K15"/>
    </row>
    <row r="16" spans="1:11" x14ac:dyDescent="0.2">
      <c r="A16" s="78">
        <v>7366</v>
      </c>
      <c r="B16">
        <v>5.524</v>
      </c>
      <c r="C16"/>
      <c r="D16"/>
      <c r="E16"/>
      <c r="F16"/>
      <c r="G16"/>
      <c r="H16">
        <v>25.884699999999999</v>
      </c>
      <c r="I16"/>
      <c r="J16"/>
      <c r="K16"/>
    </row>
    <row r="17" spans="1:11" x14ac:dyDescent="0.2">
      <c r="A17" s="78">
        <v>7397</v>
      </c>
      <c r="B17">
        <v>5.2275999999999998</v>
      </c>
      <c r="C17"/>
      <c r="D17"/>
      <c r="E17"/>
      <c r="F17"/>
      <c r="G17"/>
      <c r="H17">
        <v>24.374199999999998</v>
      </c>
      <c r="I17"/>
      <c r="J17"/>
      <c r="K17"/>
    </row>
    <row r="18" spans="1:11" x14ac:dyDescent="0.2">
      <c r="A18" s="78">
        <v>7427</v>
      </c>
      <c r="B18">
        <v>5.3623000000000003</v>
      </c>
      <c r="C18"/>
      <c r="D18"/>
      <c r="E18"/>
      <c r="F18"/>
      <c r="G18"/>
      <c r="H18">
        <v>25.2667</v>
      </c>
      <c r="I18"/>
      <c r="J18"/>
      <c r="K18"/>
    </row>
    <row r="19" spans="1:11" x14ac:dyDescent="0.2">
      <c r="A19" s="78">
        <v>7458</v>
      </c>
      <c r="B19">
        <v>5.4161999999999999</v>
      </c>
      <c r="C19"/>
      <c r="D19"/>
      <c r="E19"/>
      <c r="F19"/>
      <c r="G19"/>
      <c r="H19">
        <v>26.365300000000001</v>
      </c>
      <c r="I19"/>
      <c r="J19"/>
      <c r="K19"/>
    </row>
    <row r="20" spans="1:11" x14ac:dyDescent="0.2">
      <c r="A20" s="78">
        <v>7488</v>
      </c>
      <c r="B20">
        <v>5.2815000000000003</v>
      </c>
      <c r="C20"/>
      <c r="D20"/>
      <c r="E20"/>
      <c r="F20"/>
      <c r="G20"/>
      <c r="H20">
        <v>26.228000000000002</v>
      </c>
      <c r="I20"/>
      <c r="J20"/>
      <c r="K20"/>
    </row>
    <row r="21" spans="1:11" x14ac:dyDescent="0.2">
      <c r="A21" s="78">
        <v>7519</v>
      </c>
      <c r="B21">
        <v>5.3083999999999998</v>
      </c>
      <c r="C21"/>
      <c r="D21"/>
      <c r="E21"/>
      <c r="F21"/>
      <c r="G21"/>
      <c r="H21">
        <v>27.1206</v>
      </c>
      <c r="I21"/>
      <c r="J21"/>
      <c r="K21"/>
    </row>
    <row r="22" spans="1:11" x14ac:dyDescent="0.2">
      <c r="A22" s="78">
        <v>7550</v>
      </c>
      <c r="B22">
        <v>5.1197999999999997</v>
      </c>
      <c r="C22"/>
      <c r="D22"/>
      <c r="E22"/>
      <c r="F22"/>
      <c r="G22"/>
      <c r="H22">
        <v>25.2668</v>
      </c>
      <c r="I22"/>
      <c r="J22"/>
      <c r="K22"/>
    </row>
    <row r="23" spans="1:11" x14ac:dyDescent="0.2">
      <c r="A23" s="78">
        <v>7580</v>
      </c>
      <c r="B23">
        <v>4.9042000000000003</v>
      </c>
      <c r="C23"/>
      <c r="D23"/>
      <c r="E23"/>
      <c r="F23"/>
      <c r="G23"/>
      <c r="H23">
        <v>27.1892</v>
      </c>
      <c r="I23"/>
      <c r="J23"/>
      <c r="K23"/>
    </row>
    <row r="24" spans="1:11" x14ac:dyDescent="0.2">
      <c r="A24" s="78">
        <v>7611</v>
      </c>
      <c r="B24">
        <v>4.5</v>
      </c>
      <c r="C24"/>
      <c r="D24"/>
      <c r="E24"/>
      <c r="F24"/>
      <c r="G24"/>
      <c r="H24">
        <v>27.944500000000001</v>
      </c>
      <c r="I24"/>
      <c r="J24"/>
      <c r="K24"/>
    </row>
    <row r="25" spans="1:11" x14ac:dyDescent="0.2">
      <c r="A25" s="78">
        <v>7641</v>
      </c>
      <c r="B25">
        <v>4.2305999999999999</v>
      </c>
      <c r="C25"/>
      <c r="D25"/>
      <c r="E25"/>
      <c r="F25"/>
      <c r="G25"/>
      <c r="H25">
        <v>28.219100000000001</v>
      </c>
      <c r="I25"/>
      <c r="J25"/>
      <c r="K25"/>
    </row>
    <row r="26" spans="1:11" x14ac:dyDescent="0.2">
      <c r="A26" s="78">
        <v>7672</v>
      </c>
      <c r="B26">
        <v>3.9881000000000002</v>
      </c>
      <c r="C26"/>
      <c r="D26"/>
      <c r="E26"/>
      <c r="F26"/>
      <c r="G26"/>
      <c r="H26">
        <v>24.305499999999999</v>
      </c>
      <c r="I26"/>
      <c r="J26"/>
      <c r="K26"/>
    </row>
    <row r="27" spans="1:11" x14ac:dyDescent="0.2">
      <c r="A27" s="78">
        <v>7703</v>
      </c>
      <c r="B27">
        <v>3.9072</v>
      </c>
      <c r="C27"/>
      <c r="D27"/>
      <c r="E27"/>
      <c r="F27"/>
      <c r="G27"/>
      <c r="H27">
        <v>23.069600000000001</v>
      </c>
      <c r="I27"/>
      <c r="J27"/>
      <c r="K27"/>
    </row>
    <row r="28" spans="1:11" x14ac:dyDescent="0.2">
      <c r="A28" s="78">
        <v>7731</v>
      </c>
      <c r="B28">
        <v>3.7993999999999999</v>
      </c>
      <c r="C28"/>
      <c r="D28"/>
      <c r="E28"/>
      <c r="F28"/>
      <c r="G28"/>
      <c r="H28">
        <v>21.490500000000001</v>
      </c>
      <c r="I28"/>
      <c r="J28"/>
      <c r="K28"/>
    </row>
    <row r="29" spans="1:11" x14ac:dyDescent="0.2">
      <c r="A29" s="78">
        <v>7762</v>
      </c>
      <c r="B29">
        <v>3.7993999999999999</v>
      </c>
      <c r="C29"/>
      <c r="D29"/>
      <c r="E29"/>
      <c r="F29"/>
      <c r="G29"/>
      <c r="H29">
        <v>21.490500000000001</v>
      </c>
      <c r="I29"/>
      <c r="J29"/>
      <c r="K29"/>
    </row>
    <row r="30" spans="1:11" x14ac:dyDescent="0.2">
      <c r="A30" s="78">
        <v>7792</v>
      </c>
      <c r="B30">
        <v>3.9072</v>
      </c>
      <c r="C30"/>
      <c r="D30"/>
      <c r="E30"/>
      <c r="F30"/>
      <c r="G30"/>
      <c r="H30">
        <v>21.9024</v>
      </c>
      <c r="I30"/>
      <c r="J30"/>
      <c r="K30"/>
    </row>
    <row r="31" spans="1:11" x14ac:dyDescent="0.2">
      <c r="A31" s="78">
        <v>7823</v>
      </c>
      <c r="B31">
        <v>3.8803000000000001</v>
      </c>
      <c r="C31"/>
      <c r="D31"/>
      <c r="E31"/>
      <c r="F31"/>
      <c r="G31"/>
      <c r="H31">
        <v>21.078499999999998</v>
      </c>
      <c r="I31"/>
      <c r="J31"/>
      <c r="K31"/>
    </row>
    <row r="32" spans="1:11" x14ac:dyDescent="0.2">
      <c r="A32" s="78">
        <v>7853</v>
      </c>
      <c r="B32">
        <v>3.8532999999999999</v>
      </c>
      <c r="C32"/>
      <c r="D32"/>
      <c r="E32"/>
      <c r="F32"/>
      <c r="G32"/>
      <c r="H32">
        <v>20.1859</v>
      </c>
      <c r="I32"/>
      <c r="J32"/>
      <c r="K32"/>
    </row>
    <row r="33" spans="1:11" x14ac:dyDescent="0.2">
      <c r="A33" s="78">
        <v>7884</v>
      </c>
      <c r="B33">
        <v>3.9881000000000002</v>
      </c>
      <c r="C33"/>
      <c r="D33"/>
      <c r="E33"/>
      <c r="F33"/>
      <c r="G33"/>
      <c r="H33">
        <v>20.3919</v>
      </c>
      <c r="I33"/>
      <c r="J33"/>
      <c r="K33"/>
    </row>
    <row r="34" spans="1:11" x14ac:dyDescent="0.2">
      <c r="A34" s="78">
        <v>7915</v>
      </c>
      <c r="B34">
        <v>4.0149999999999997</v>
      </c>
      <c r="C34"/>
      <c r="D34"/>
      <c r="E34"/>
      <c r="F34"/>
      <c r="G34"/>
      <c r="H34">
        <v>19.98</v>
      </c>
      <c r="I34"/>
      <c r="J34"/>
      <c r="K34"/>
    </row>
    <row r="35" spans="1:11" x14ac:dyDescent="0.2">
      <c r="A35" s="78">
        <v>7945</v>
      </c>
      <c r="B35">
        <v>4.2575000000000003</v>
      </c>
      <c r="C35"/>
      <c r="D35"/>
      <c r="E35"/>
      <c r="F35"/>
      <c r="G35"/>
      <c r="H35">
        <v>21.284500000000001</v>
      </c>
      <c r="I35"/>
      <c r="J35"/>
      <c r="K35"/>
    </row>
    <row r="36" spans="1:11" x14ac:dyDescent="0.2">
      <c r="A36" s="78">
        <v>7976</v>
      </c>
      <c r="B36">
        <v>4.2035999999999998</v>
      </c>
      <c r="C36"/>
      <c r="D36"/>
      <c r="E36"/>
      <c r="F36"/>
      <c r="G36"/>
      <c r="H36">
        <v>20.3919</v>
      </c>
      <c r="I36"/>
      <c r="J36"/>
      <c r="K36"/>
    </row>
    <row r="37" spans="1:11" x14ac:dyDescent="0.2">
      <c r="A37" s="78">
        <v>8006</v>
      </c>
      <c r="B37">
        <v>4.1767000000000003</v>
      </c>
      <c r="C37"/>
      <c r="D37"/>
      <c r="E37"/>
      <c r="F37"/>
      <c r="G37"/>
      <c r="H37">
        <v>20.666499999999999</v>
      </c>
      <c r="I37"/>
      <c r="J37"/>
      <c r="K37"/>
    </row>
    <row r="38" spans="1:11" x14ac:dyDescent="0.2">
      <c r="A38" s="78">
        <v>8037</v>
      </c>
      <c r="B38">
        <v>4.3384</v>
      </c>
      <c r="C38"/>
      <c r="D38"/>
      <c r="E38"/>
      <c r="F38"/>
      <c r="G38"/>
      <c r="H38">
        <v>23.001000000000001</v>
      </c>
      <c r="I38"/>
      <c r="J38"/>
      <c r="K38"/>
    </row>
    <row r="39" spans="1:11" x14ac:dyDescent="0.2">
      <c r="A39" s="78">
        <v>8068</v>
      </c>
      <c r="B39">
        <v>4.5270000000000001</v>
      </c>
      <c r="C39"/>
      <c r="D39"/>
      <c r="E39"/>
      <c r="F39"/>
      <c r="G39"/>
      <c r="H39">
        <v>25.3354</v>
      </c>
      <c r="I39"/>
      <c r="J39"/>
      <c r="K39"/>
    </row>
    <row r="40" spans="1:11" x14ac:dyDescent="0.2">
      <c r="A40" s="78">
        <v>8096</v>
      </c>
      <c r="B40">
        <v>4.7694999999999999</v>
      </c>
      <c r="C40"/>
      <c r="D40"/>
      <c r="E40"/>
      <c r="F40"/>
      <c r="G40"/>
      <c r="H40">
        <v>27.326499999999999</v>
      </c>
      <c r="I40"/>
      <c r="J40"/>
      <c r="K40"/>
    </row>
    <row r="41" spans="1:11" x14ac:dyDescent="0.2">
      <c r="A41" s="78">
        <v>8127</v>
      </c>
      <c r="B41">
        <v>4.6078000000000001</v>
      </c>
      <c r="C41"/>
      <c r="D41"/>
      <c r="E41"/>
      <c r="F41"/>
      <c r="G41"/>
      <c r="H41">
        <v>15.8604</v>
      </c>
      <c r="I41"/>
      <c r="J41"/>
      <c r="K41"/>
    </row>
    <row r="42" spans="1:11" x14ac:dyDescent="0.2">
      <c r="A42" s="78">
        <v>8157</v>
      </c>
      <c r="B42">
        <v>4.8502999999999998</v>
      </c>
      <c r="C42"/>
      <c r="D42"/>
      <c r="E42"/>
      <c r="F42"/>
      <c r="G42"/>
      <c r="H42">
        <v>16.066299999999998</v>
      </c>
      <c r="I42"/>
      <c r="J42"/>
      <c r="K42"/>
    </row>
    <row r="43" spans="1:11" x14ac:dyDescent="0.2">
      <c r="A43" s="78">
        <v>8188</v>
      </c>
      <c r="B43">
        <v>5.0929000000000002</v>
      </c>
      <c r="C43"/>
      <c r="D43"/>
      <c r="E43"/>
      <c r="F43"/>
      <c r="G43"/>
      <c r="H43">
        <v>17.576899999999998</v>
      </c>
      <c r="I43"/>
      <c r="J43"/>
      <c r="K43"/>
    </row>
    <row r="44" spans="1:11" x14ac:dyDescent="0.2">
      <c r="A44" s="78">
        <v>8218</v>
      </c>
      <c r="B44">
        <v>5.0929000000000002</v>
      </c>
      <c r="C44"/>
      <c r="D44"/>
      <c r="E44"/>
      <c r="F44"/>
      <c r="G44"/>
      <c r="H44">
        <v>16.8903</v>
      </c>
      <c r="I44"/>
      <c r="J44"/>
      <c r="K44"/>
    </row>
    <row r="45" spans="1:11" x14ac:dyDescent="0.2">
      <c r="A45" s="78">
        <v>8249</v>
      </c>
      <c r="B45">
        <v>4.9851000000000001</v>
      </c>
      <c r="C45"/>
      <c r="D45"/>
      <c r="E45"/>
      <c r="F45"/>
      <c r="G45"/>
      <c r="H45">
        <v>18.6068</v>
      </c>
      <c r="I45"/>
      <c r="J45"/>
      <c r="K45"/>
    </row>
    <row r="46" spans="1:11" x14ac:dyDescent="0.2">
      <c r="A46" s="78">
        <v>8280</v>
      </c>
      <c r="B46">
        <v>5.2545000000000002</v>
      </c>
      <c r="C46"/>
      <c r="D46"/>
      <c r="E46"/>
      <c r="F46"/>
      <c r="G46"/>
      <c r="H46">
        <v>24.374199999999998</v>
      </c>
      <c r="I46"/>
      <c r="J46"/>
      <c r="K46"/>
    </row>
    <row r="47" spans="1:11" x14ac:dyDescent="0.2">
      <c r="A47" s="78">
        <v>8310</v>
      </c>
      <c r="B47">
        <v>5.5509000000000004</v>
      </c>
      <c r="C47"/>
      <c r="D47"/>
      <c r="E47"/>
      <c r="F47"/>
      <c r="G47"/>
      <c r="H47">
        <v>26.8459</v>
      </c>
      <c r="I47"/>
      <c r="J47"/>
      <c r="K47"/>
    </row>
    <row r="48" spans="1:11" x14ac:dyDescent="0.2">
      <c r="A48" s="78">
        <v>8341</v>
      </c>
      <c r="B48">
        <v>5.7934999999999999</v>
      </c>
      <c r="C48"/>
      <c r="D48"/>
      <c r="E48"/>
      <c r="F48"/>
      <c r="G48"/>
      <c r="H48">
        <v>28.150500000000001</v>
      </c>
      <c r="I48"/>
      <c r="J48"/>
      <c r="K48"/>
    </row>
    <row r="49" spans="1:11" x14ac:dyDescent="0.2">
      <c r="A49" s="78">
        <v>8371</v>
      </c>
      <c r="B49">
        <v>5.9550999999999998</v>
      </c>
      <c r="C49"/>
      <c r="D49"/>
      <c r="E49"/>
      <c r="F49"/>
      <c r="G49"/>
      <c r="H49">
        <v>29.935600000000001</v>
      </c>
      <c r="I49"/>
      <c r="J49"/>
      <c r="K49"/>
    </row>
    <row r="50" spans="1:11" x14ac:dyDescent="0.2">
      <c r="A50" s="78">
        <v>8402</v>
      </c>
      <c r="B50">
        <v>5.8204000000000002</v>
      </c>
      <c r="C50"/>
      <c r="D50"/>
      <c r="E50"/>
      <c r="F50"/>
      <c r="G50"/>
      <c r="H50">
        <v>29.661000000000001</v>
      </c>
      <c r="I50"/>
      <c r="J50"/>
      <c r="K50"/>
    </row>
    <row r="51" spans="1:11" x14ac:dyDescent="0.2">
      <c r="A51" s="78">
        <v>8433</v>
      </c>
      <c r="B51">
        <v>5.9012000000000002</v>
      </c>
      <c r="C51"/>
      <c r="D51"/>
      <c r="E51"/>
      <c r="F51"/>
      <c r="G51"/>
      <c r="H51">
        <v>29.866900000000001</v>
      </c>
      <c r="I51"/>
      <c r="J51"/>
      <c r="K51"/>
    </row>
    <row r="52" spans="1:11" x14ac:dyDescent="0.2">
      <c r="A52" s="78">
        <v>8461</v>
      </c>
      <c r="B52">
        <v>6.0899000000000001</v>
      </c>
      <c r="C52"/>
      <c r="D52"/>
      <c r="E52"/>
      <c r="F52"/>
      <c r="G52"/>
      <c r="H52">
        <v>30.965499999999999</v>
      </c>
      <c r="I52"/>
      <c r="J52"/>
      <c r="K52"/>
    </row>
    <row r="53" spans="1:11" x14ac:dyDescent="0.2">
      <c r="A53" s="78">
        <v>8492</v>
      </c>
      <c r="B53">
        <v>6.2245999999999997</v>
      </c>
      <c r="C53"/>
      <c r="D53"/>
      <c r="E53"/>
      <c r="F53"/>
      <c r="G53"/>
      <c r="H53">
        <v>33.025300000000001</v>
      </c>
      <c r="I53"/>
      <c r="J53"/>
      <c r="K53"/>
    </row>
    <row r="54" spans="1:11" x14ac:dyDescent="0.2">
      <c r="A54" s="78">
        <v>8522</v>
      </c>
      <c r="B54">
        <v>6.3053999999999997</v>
      </c>
      <c r="C54"/>
      <c r="D54"/>
      <c r="E54"/>
      <c r="F54"/>
      <c r="G54"/>
      <c r="H54">
        <v>32.2014</v>
      </c>
      <c r="I54"/>
      <c r="J54"/>
      <c r="K54"/>
    </row>
    <row r="55" spans="1:11" x14ac:dyDescent="0.2">
      <c r="A55" s="78">
        <v>8553</v>
      </c>
      <c r="B55">
        <v>6.2515000000000001</v>
      </c>
      <c r="C55"/>
      <c r="D55"/>
      <c r="E55"/>
      <c r="F55"/>
      <c r="G55"/>
      <c r="H55">
        <v>32.1327</v>
      </c>
      <c r="I55"/>
      <c r="J55"/>
      <c r="K55"/>
    </row>
    <row r="56" spans="1:11" x14ac:dyDescent="0.2">
      <c r="A56" s="78">
        <v>8583</v>
      </c>
      <c r="B56">
        <v>6.1977000000000002</v>
      </c>
      <c r="C56"/>
      <c r="D56"/>
      <c r="E56"/>
      <c r="F56"/>
      <c r="G56"/>
      <c r="H56">
        <v>32.887900000000002</v>
      </c>
      <c r="I56"/>
      <c r="J56"/>
      <c r="K56"/>
    </row>
    <row r="57" spans="1:11" x14ac:dyDescent="0.2">
      <c r="A57" s="78">
        <v>8614</v>
      </c>
      <c r="B57">
        <v>6.0899000000000001</v>
      </c>
      <c r="C57"/>
      <c r="D57"/>
      <c r="E57"/>
      <c r="F57"/>
      <c r="G57"/>
      <c r="H57">
        <v>32.544699999999999</v>
      </c>
      <c r="I57"/>
      <c r="J57"/>
      <c r="K57"/>
    </row>
    <row r="58" spans="1:11" x14ac:dyDescent="0.2">
      <c r="A58" s="78">
        <v>8645</v>
      </c>
      <c r="B58">
        <v>5.9550999999999998</v>
      </c>
      <c r="C58"/>
      <c r="D58"/>
      <c r="E58"/>
      <c r="F58"/>
      <c r="G58"/>
      <c r="H58">
        <v>29.935600000000001</v>
      </c>
      <c r="I58"/>
      <c r="J58"/>
      <c r="K58"/>
    </row>
    <row r="59" spans="1:11" x14ac:dyDescent="0.2">
      <c r="A59" s="78">
        <v>8675</v>
      </c>
      <c r="B59">
        <v>5.9282000000000004</v>
      </c>
      <c r="C59"/>
      <c r="D59"/>
      <c r="E59"/>
      <c r="F59"/>
      <c r="G59"/>
      <c r="H59">
        <v>31.377400000000002</v>
      </c>
      <c r="I59"/>
      <c r="J59"/>
      <c r="K59"/>
    </row>
    <row r="60" spans="1:11" x14ac:dyDescent="0.2">
      <c r="A60" s="78">
        <v>8706</v>
      </c>
      <c r="B60">
        <v>5.9282000000000004</v>
      </c>
      <c r="C60"/>
      <c r="D60"/>
      <c r="E60"/>
      <c r="F60"/>
      <c r="G60"/>
      <c r="H60">
        <v>31.377500000000001</v>
      </c>
      <c r="I60"/>
      <c r="J60"/>
      <c r="K60"/>
    </row>
    <row r="61" spans="1:11" x14ac:dyDescent="0.2">
      <c r="A61" s="78">
        <v>8736</v>
      </c>
      <c r="B61">
        <v>5.7934999999999999</v>
      </c>
      <c r="C61"/>
      <c r="D61"/>
      <c r="E61"/>
      <c r="F61"/>
      <c r="G61"/>
      <c r="H61">
        <v>29.248999999999999</v>
      </c>
      <c r="I61"/>
      <c r="J61"/>
      <c r="K61"/>
    </row>
    <row r="62" spans="1:11" x14ac:dyDescent="0.2">
      <c r="A62" s="78">
        <v>8767</v>
      </c>
      <c r="B62">
        <v>5.9282000000000004</v>
      </c>
      <c r="C62"/>
      <c r="D62"/>
      <c r="E62"/>
      <c r="F62"/>
      <c r="G62"/>
      <c r="H62">
        <v>30.2102</v>
      </c>
      <c r="I62"/>
      <c r="J62"/>
      <c r="K62"/>
    </row>
    <row r="63" spans="1:11" x14ac:dyDescent="0.2">
      <c r="A63" s="78">
        <v>8798</v>
      </c>
      <c r="B63">
        <v>6.0359999999999996</v>
      </c>
      <c r="C63"/>
      <c r="D63"/>
      <c r="E63"/>
      <c r="F63"/>
      <c r="G63"/>
      <c r="H63">
        <v>31.446100000000001</v>
      </c>
      <c r="I63"/>
      <c r="J63"/>
      <c r="K63"/>
    </row>
    <row r="64" spans="1:11" x14ac:dyDescent="0.2">
      <c r="A64" s="78">
        <v>8827</v>
      </c>
      <c r="B64">
        <v>5.9282000000000004</v>
      </c>
      <c r="C64"/>
      <c r="D64"/>
      <c r="E64"/>
      <c r="F64"/>
      <c r="G64"/>
      <c r="H64">
        <v>29.661000000000001</v>
      </c>
      <c r="I64"/>
      <c r="J64"/>
      <c r="K64"/>
    </row>
    <row r="65" spans="1:11" x14ac:dyDescent="0.2">
      <c r="A65" s="78">
        <v>8858</v>
      </c>
      <c r="B65">
        <v>5.7396000000000003</v>
      </c>
      <c r="C65"/>
      <c r="D65"/>
      <c r="E65"/>
      <c r="F65"/>
      <c r="G65"/>
      <c r="H65">
        <v>27.463899999999999</v>
      </c>
      <c r="I65"/>
      <c r="J65"/>
      <c r="K65"/>
    </row>
    <row r="66" spans="1:11" x14ac:dyDescent="0.2">
      <c r="A66" s="78">
        <v>8888</v>
      </c>
      <c r="B66">
        <v>5.4969999999999999</v>
      </c>
      <c r="C66"/>
      <c r="D66"/>
      <c r="E66"/>
      <c r="F66"/>
      <c r="G66"/>
      <c r="H66">
        <v>27.601199999999999</v>
      </c>
      <c r="I66"/>
      <c r="J66"/>
      <c r="K66"/>
    </row>
    <row r="67" spans="1:11" x14ac:dyDescent="0.2">
      <c r="A67" s="78">
        <v>8919</v>
      </c>
      <c r="B67">
        <v>5.2545000000000002</v>
      </c>
      <c r="C67"/>
      <c r="D67"/>
      <c r="E67"/>
      <c r="F67"/>
      <c r="G67"/>
      <c r="H67">
        <v>27.463899999999999</v>
      </c>
      <c r="I67"/>
      <c r="J67"/>
      <c r="K67"/>
    </row>
    <row r="68" spans="1:11" x14ac:dyDescent="0.2">
      <c r="A68" s="78">
        <v>8949</v>
      </c>
      <c r="B68">
        <v>5.1737000000000002</v>
      </c>
      <c r="C68"/>
      <c r="D68"/>
      <c r="E68"/>
      <c r="F68"/>
      <c r="G68"/>
      <c r="H68">
        <v>27.395199999999999</v>
      </c>
      <c r="I68"/>
      <c r="J68"/>
      <c r="K68"/>
    </row>
    <row r="69" spans="1:11" x14ac:dyDescent="0.2">
      <c r="A69" s="78">
        <v>8980</v>
      </c>
      <c r="B69">
        <v>5.3623000000000003</v>
      </c>
      <c r="C69"/>
      <c r="D69"/>
      <c r="E69"/>
      <c r="F69"/>
      <c r="G69"/>
      <c r="H69">
        <v>27.1206</v>
      </c>
      <c r="I69"/>
      <c r="J69"/>
      <c r="K69"/>
    </row>
    <row r="70" spans="1:11" x14ac:dyDescent="0.2">
      <c r="A70" s="78">
        <v>9011</v>
      </c>
      <c r="B70">
        <v>5.5509000000000004</v>
      </c>
      <c r="C70"/>
      <c r="D70"/>
      <c r="E70"/>
      <c r="F70"/>
      <c r="G70"/>
      <c r="H70">
        <v>28.974399999999999</v>
      </c>
      <c r="I70"/>
      <c r="J70"/>
      <c r="K70"/>
    </row>
    <row r="71" spans="1:11" x14ac:dyDescent="0.2">
      <c r="A71" s="78">
        <v>9041</v>
      </c>
      <c r="B71">
        <v>5.6856999999999998</v>
      </c>
      <c r="C71"/>
      <c r="D71"/>
      <c r="E71"/>
      <c r="F71"/>
      <c r="G71"/>
      <c r="H71">
        <v>28.7684</v>
      </c>
      <c r="I71"/>
      <c r="J71"/>
      <c r="K71"/>
    </row>
    <row r="72" spans="1:11" x14ac:dyDescent="0.2">
      <c r="A72" s="78">
        <v>9072</v>
      </c>
      <c r="B72">
        <v>5.7934999999999999</v>
      </c>
      <c r="C72"/>
      <c r="D72"/>
      <c r="E72"/>
      <c r="F72"/>
      <c r="G72"/>
      <c r="H72">
        <v>28.356400000000001</v>
      </c>
      <c r="I72"/>
      <c r="J72"/>
      <c r="K72"/>
    </row>
    <row r="73" spans="1:11" x14ac:dyDescent="0.2">
      <c r="A73" s="78">
        <v>9102</v>
      </c>
      <c r="B73">
        <v>5.9550999999999998</v>
      </c>
      <c r="C73"/>
      <c r="D73"/>
      <c r="E73"/>
      <c r="F73"/>
      <c r="G73"/>
      <c r="H73">
        <v>28.9057</v>
      </c>
      <c r="I73"/>
      <c r="J73"/>
      <c r="K73"/>
    </row>
    <row r="74" spans="1:11" x14ac:dyDescent="0.2">
      <c r="A74" s="78">
        <v>9133</v>
      </c>
      <c r="B74">
        <v>6.1437999999999997</v>
      </c>
      <c r="C74"/>
      <c r="D74"/>
      <c r="E74"/>
      <c r="F74"/>
      <c r="G74"/>
      <c r="H74">
        <v>30.072900000000001</v>
      </c>
      <c r="I74"/>
      <c r="J74"/>
      <c r="K74"/>
    </row>
    <row r="75" spans="1:11" x14ac:dyDescent="0.2">
      <c r="A75" s="78">
        <v>9164</v>
      </c>
      <c r="B75">
        <v>6.1437999999999997</v>
      </c>
      <c r="C75"/>
      <c r="D75"/>
      <c r="E75"/>
      <c r="F75"/>
      <c r="G75"/>
      <c r="H75">
        <v>29.248999999999999</v>
      </c>
      <c r="I75"/>
      <c r="J75"/>
      <c r="K75"/>
    </row>
    <row r="76" spans="1:11" x14ac:dyDescent="0.2">
      <c r="A76" s="78">
        <v>9192</v>
      </c>
      <c r="B76">
        <v>6.1437999999999997</v>
      </c>
      <c r="C76"/>
      <c r="D76"/>
      <c r="E76"/>
      <c r="F76"/>
      <c r="G76"/>
      <c r="H76">
        <v>28.4251</v>
      </c>
      <c r="I76"/>
      <c r="J76"/>
      <c r="K76"/>
    </row>
    <row r="77" spans="1:11" x14ac:dyDescent="0.2">
      <c r="A77" s="78">
        <v>9223</v>
      </c>
      <c r="B77">
        <v>6.1977000000000002</v>
      </c>
      <c r="C77"/>
      <c r="D77"/>
      <c r="E77"/>
      <c r="F77"/>
      <c r="G77"/>
      <c r="H77">
        <v>30.004300000000001</v>
      </c>
      <c r="I77"/>
      <c r="J77"/>
      <c r="K77"/>
    </row>
    <row r="78" spans="1:11" x14ac:dyDescent="0.2">
      <c r="A78" s="78">
        <v>9253</v>
      </c>
      <c r="B78">
        <v>6.1707000000000001</v>
      </c>
      <c r="C78"/>
      <c r="D78"/>
      <c r="E78"/>
      <c r="F78"/>
      <c r="G78"/>
      <c r="H78">
        <v>30.896799999999999</v>
      </c>
      <c r="I78"/>
      <c r="J78"/>
      <c r="K78"/>
    </row>
    <row r="79" spans="1:11" x14ac:dyDescent="0.2">
      <c r="A79" s="78">
        <v>9284</v>
      </c>
      <c r="B79">
        <v>6.1167999999999996</v>
      </c>
      <c r="C79"/>
      <c r="D79"/>
      <c r="E79"/>
      <c r="F79"/>
      <c r="G79"/>
      <c r="H79">
        <v>30.622199999999999</v>
      </c>
      <c r="I79"/>
      <c r="J79"/>
      <c r="K79"/>
    </row>
    <row r="80" spans="1:11" x14ac:dyDescent="0.2">
      <c r="A80" s="78">
        <v>9314</v>
      </c>
      <c r="B80">
        <v>6.2785000000000002</v>
      </c>
      <c r="C80"/>
      <c r="D80"/>
      <c r="E80"/>
      <c r="F80"/>
      <c r="G80"/>
      <c r="H80">
        <v>31.102799999999998</v>
      </c>
      <c r="I80"/>
      <c r="J80"/>
      <c r="K80"/>
    </row>
    <row r="81" spans="1:11" x14ac:dyDescent="0.2">
      <c r="A81" s="78">
        <v>9345</v>
      </c>
      <c r="B81">
        <v>6.1707000000000001</v>
      </c>
      <c r="C81"/>
      <c r="D81"/>
      <c r="E81"/>
      <c r="F81"/>
      <c r="G81"/>
      <c r="H81">
        <v>31.789400000000001</v>
      </c>
      <c r="I81"/>
      <c r="J81"/>
      <c r="K81"/>
    </row>
    <row r="82" spans="1:11" x14ac:dyDescent="0.2">
      <c r="A82" s="78">
        <v>9376</v>
      </c>
      <c r="B82">
        <v>6.0899000000000001</v>
      </c>
      <c r="C82"/>
      <c r="D82"/>
      <c r="E82"/>
      <c r="F82"/>
      <c r="G82"/>
      <c r="H82">
        <v>27.395199999999999</v>
      </c>
      <c r="I82"/>
      <c r="J82"/>
      <c r="K82"/>
    </row>
    <row r="83" spans="1:11" x14ac:dyDescent="0.2">
      <c r="A83" s="78">
        <v>9406</v>
      </c>
      <c r="B83">
        <v>6.3323999999999998</v>
      </c>
      <c r="C83"/>
      <c r="D83"/>
      <c r="E83"/>
      <c r="F83"/>
      <c r="G83"/>
      <c r="H83">
        <v>27.326499999999999</v>
      </c>
      <c r="I83"/>
      <c r="J83"/>
      <c r="K83"/>
    </row>
    <row r="84" spans="1:11" x14ac:dyDescent="0.2">
      <c r="A84" s="78">
        <v>9437</v>
      </c>
      <c r="B84">
        <v>6.4671000000000003</v>
      </c>
      <c r="C84"/>
      <c r="D84"/>
      <c r="E84"/>
      <c r="F84"/>
      <c r="G84"/>
      <c r="H84">
        <v>27.875800000000002</v>
      </c>
      <c r="I84"/>
      <c r="J84"/>
      <c r="K84"/>
    </row>
    <row r="85" spans="1:11" x14ac:dyDescent="0.2">
      <c r="A85" s="78">
        <v>9467</v>
      </c>
      <c r="B85">
        <v>6.548</v>
      </c>
      <c r="C85"/>
      <c r="D85"/>
      <c r="E85"/>
      <c r="F85"/>
      <c r="G85"/>
      <c r="H85">
        <v>27.601199999999999</v>
      </c>
      <c r="I85"/>
      <c r="J85"/>
      <c r="K85"/>
    </row>
    <row r="86" spans="1:11" x14ac:dyDescent="0.2">
      <c r="A86" s="78">
        <v>9498</v>
      </c>
      <c r="B86">
        <v>6.4401999999999999</v>
      </c>
      <c r="C86"/>
      <c r="D86"/>
      <c r="E86"/>
      <c r="F86"/>
      <c r="G86"/>
      <c r="H86">
        <v>27.1892</v>
      </c>
      <c r="I86"/>
      <c r="J86"/>
      <c r="K86"/>
    </row>
    <row r="87" spans="1:11" x14ac:dyDescent="0.2">
      <c r="A87" s="78">
        <v>9529</v>
      </c>
      <c r="B87">
        <v>6.4401999999999999</v>
      </c>
      <c r="C87"/>
      <c r="D87"/>
      <c r="E87"/>
      <c r="F87"/>
      <c r="G87"/>
      <c r="H87">
        <v>28.4251</v>
      </c>
      <c r="I87"/>
      <c r="J87"/>
      <c r="K87"/>
    </row>
    <row r="88" spans="1:11" x14ac:dyDescent="0.2">
      <c r="A88" s="78">
        <v>9557</v>
      </c>
      <c r="B88">
        <v>6.5209999999999999</v>
      </c>
      <c r="C88"/>
      <c r="D88"/>
      <c r="E88"/>
      <c r="F88"/>
      <c r="G88"/>
      <c r="H88">
        <v>31.377500000000001</v>
      </c>
      <c r="I88"/>
      <c r="J88"/>
      <c r="K88"/>
    </row>
    <row r="89" spans="1:11" x14ac:dyDescent="0.2">
      <c r="A89" s="78">
        <v>9588</v>
      </c>
      <c r="B89">
        <v>6.5209999999999999</v>
      </c>
      <c r="C89"/>
      <c r="D89"/>
      <c r="E89"/>
      <c r="F89"/>
      <c r="G89"/>
      <c r="H89">
        <v>31.446100000000001</v>
      </c>
      <c r="I89"/>
      <c r="J89"/>
      <c r="K89"/>
    </row>
    <row r="90" spans="1:11" x14ac:dyDescent="0.2">
      <c r="A90" s="78">
        <v>9618</v>
      </c>
      <c r="B90">
        <v>6.4671000000000003</v>
      </c>
      <c r="C90"/>
      <c r="D90"/>
      <c r="E90"/>
      <c r="F90"/>
      <c r="G90"/>
      <c r="H90">
        <v>30.759499999999999</v>
      </c>
      <c r="I90"/>
      <c r="J90"/>
      <c r="K90"/>
    </row>
    <row r="91" spans="1:11" x14ac:dyDescent="0.2">
      <c r="A91" s="78">
        <v>9649</v>
      </c>
      <c r="B91">
        <v>6.5479000000000003</v>
      </c>
      <c r="C91"/>
      <c r="D91"/>
      <c r="E91"/>
      <c r="F91"/>
      <c r="G91"/>
      <c r="H91">
        <v>31.720800000000001</v>
      </c>
      <c r="I91"/>
      <c r="J91"/>
      <c r="K91"/>
    </row>
    <row r="92" spans="1:11" x14ac:dyDescent="0.2">
      <c r="A92" s="78">
        <v>9679</v>
      </c>
      <c r="B92">
        <v>6.5749000000000004</v>
      </c>
      <c r="C92"/>
      <c r="D92"/>
      <c r="E92"/>
      <c r="F92"/>
      <c r="G92"/>
      <c r="H92">
        <v>32.1327</v>
      </c>
      <c r="I92"/>
      <c r="J92"/>
      <c r="K92"/>
    </row>
    <row r="93" spans="1:11" x14ac:dyDescent="0.2">
      <c r="A93" s="78">
        <v>9710</v>
      </c>
      <c r="B93">
        <v>6.6557000000000004</v>
      </c>
      <c r="C93"/>
      <c r="D93"/>
      <c r="E93"/>
      <c r="F93"/>
      <c r="G93"/>
      <c r="H93">
        <v>32.338700000000003</v>
      </c>
      <c r="I93"/>
      <c r="J93"/>
      <c r="K93"/>
    </row>
    <row r="94" spans="1:11" x14ac:dyDescent="0.2">
      <c r="A94" s="78">
        <v>9741</v>
      </c>
      <c r="B94">
        <v>6.7634999999999996</v>
      </c>
      <c r="C94"/>
      <c r="D94"/>
      <c r="E94"/>
      <c r="F94"/>
      <c r="G94"/>
      <c r="H94">
        <v>32.750700000000002</v>
      </c>
      <c r="I94"/>
      <c r="J94"/>
      <c r="K94"/>
    </row>
    <row r="95" spans="1:11" x14ac:dyDescent="0.2">
      <c r="A95" s="78">
        <v>9771</v>
      </c>
      <c r="B95">
        <v>6.7634999999999996</v>
      </c>
      <c r="C95"/>
      <c r="D95"/>
      <c r="E95"/>
      <c r="F95"/>
      <c r="G95"/>
      <c r="H95">
        <v>33.505899999999997</v>
      </c>
      <c r="I95"/>
      <c r="J95"/>
      <c r="K95"/>
    </row>
    <row r="96" spans="1:11" x14ac:dyDescent="0.2">
      <c r="A96" s="78">
        <v>9802</v>
      </c>
      <c r="B96">
        <v>6.7366000000000001</v>
      </c>
      <c r="C96"/>
      <c r="D96"/>
      <c r="E96"/>
      <c r="F96"/>
      <c r="G96"/>
      <c r="H96">
        <v>34.741799999999998</v>
      </c>
      <c r="I96"/>
      <c r="J96"/>
      <c r="K96"/>
    </row>
    <row r="97" spans="1:11" x14ac:dyDescent="0.2">
      <c r="A97" s="78">
        <v>9832</v>
      </c>
      <c r="B97">
        <v>6.7096</v>
      </c>
      <c r="C97"/>
      <c r="D97"/>
      <c r="E97"/>
      <c r="F97"/>
      <c r="G97"/>
      <c r="H97">
        <v>34.810400000000001</v>
      </c>
      <c r="I97"/>
      <c r="J97"/>
      <c r="K97"/>
    </row>
    <row r="98" spans="1:11" x14ac:dyDescent="0.2">
      <c r="A98" s="78">
        <v>9863</v>
      </c>
      <c r="B98">
        <v>6.6826999999999996</v>
      </c>
      <c r="C98"/>
      <c r="D98"/>
      <c r="E98"/>
      <c r="F98"/>
      <c r="G98"/>
      <c r="H98">
        <v>33.917900000000003</v>
      </c>
      <c r="I98"/>
      <c r="J98"/>
      <c r="K98"/>
    </row>
    <row r="99" spans="1:11" x14ac:dyDescent="0.2">
      <c r="A99" s="78">
        <v>9894</v>
      </c>
      <c r="B99">
        <v>6.7366000000000001</v>
      </c>
      <c r="C99"/>
      <c r="D99"/>
      <c r="E99"/>
      <c r="F99"/>
      <c r="G99"/>
      <c r="H99">
        <v>34.467100000000002</v>
      </c>
      <c r="I99"/>
      <c r="J99"/>
      <c r="K99"/>
    </row>
    <row r="100" spans="1:11" x14ac:dyDescent="0.2">
      <c r="A100" s="78">
        <v>9922</v>
      </c>
      <c r="B100">
        <v>6.8174000000000001</v>
      </c>
      <c r="C100"/>
      <c r="D100"/>
      <c r="E100"/>
      <c r="F100"/>
      <c r="G100"/>
      <c r="H100">
        <v>36.114899999999999</v>
      </c>
      <c r="I100"/>
      <c r="J100"/>
      <c r="K100"/>
    </row>
    <row r="101" spans="1:11" x14ac:dyDescent="0.2">
      <c r="A101" s="78">
        <v>9953</v>
      </c>
      <c r="B101">
        <v>6.6557000000000004</v>
      </c>
      <c r="C101"/>
      <c r="D101"/>
      <c r="E101"/>
      <c r="F101"/>
      <c r="G101"/>
      <c r="H101">
        <v>31.789400000000001</v>
      </c>
      <c r="I101"/>
      <c r="J101"/>
      <c r="K101"/>
    </row>
    <row r="102" spans="1:11" x14ac:dyDescent="0.2">
      <c r="A102" s="78">
        <v>9983</v>
      </c>
      <c r="B102">
        <v>6.7096</v>
      </c>
      <c r="C102"/>
      <c r="D102"/>
      <c r="E102"/>
      <c r="F102"/>
      <c r="G102"/>
      <c r="H102">
        <v>31.9954</v>
      </c>
      <c r="I102"/>
      <c r="J102"/>
      <c r="K102"/>
    </row>
    <row r="103" spans="1:11" x14ac:dyDescent="0.2">
      <c r="A103" s="78">
        <v>10014</v>
      </c>
      <c r="B103">
        <v>6.6826999999999996</v>
      </c>
      <c r="C103"/>
      <c r="D103"/>
      <c r="E103"/>
      <c r="F103"/>
      <c r="G103"/>
      <c r="H103">
        <v>31.583400000000001</v>
      </c>
      <c r="I103"/>
      <c r="J103"/>
      <c r="K103"/>
    </row>
    <row r="104" spans="1:11" x14ac:dyDescent="0.2">
      <c r="A104" s="78">
        <v>10044</v>
      </c>
      <c r="B104">
        <v>6.6017999999999999</v>
      </c>
      <c r="C104"/>
      <c r="D104"/>
      <c r="E104"/>
      <c r="F104"/>
      <c r="G104"/>
      <c r="H104">
        <v>30.3476</v>
      </c>
      <c r="I104"/>
      <c r="J104"/>
      <c r="K104"/>
    </row>
    <row r="105" spans="1:11" x14ac:dyDescent="0.2">
      <c r="A105" s="78">
        <v>10075</v>
      </c>
      <c r="B105">
        <v>6.6017999999999999</v>
      </c>
      <c r="C105"/>
      <c r="D105"/>
      <c r="E105"/>
      <c r="F105"/>
      <c r="G105"/>
      <c r="H105">
        <v>31.9268</v>
      </c>
      <c r="I105"/>
      <c r="J105"/>
      <c r="K105"/>
    </row>
    <row r="106" spans="1:11" x14ac:dyDescent="0.2">
      <c r="A106" s="78">
        <v>10106</v>
      </c>
      <c r="B106">
        <v>6.4941000000000004</v>
      </c>
      <c r="C106"/>
      <c r="D106"/>
      <c r="E106"/>
      <c r="F106"/>
      <c r="G106"/>
      <c r="H106">
        <v>31.171500000000002</v>
      </c>
      <c r="I106"/>
      <c r="J106"/>
      <c r="K106"/>
    </row>
    <row r="107" spans="1:11" x14ac:dyDescent="0.2">
      <c r="A107" s="78">
        <v>10136</v>
      </c>
      <c r="B107">
        <v>6.3593000000000002</v>
      </c>
      <c r="C107"/>
      <c r="D107"/>
      <c r="E107"/>
      <c r="F107"/>
      <c r="G107"/>
      <c r="H107">
        <v>30.622199999999999</v>
      </c>
      <c r="I107"/>
      <c r="J107"/>
      <c r="K107"/>
    </row>
    <row r="108" spans="1:11" x14ac:dyDescent="0.2">
      <c r="A108" s="78">
        <v>10167</v>
      </c>
      <c r="B108">
        <v>6.3593000000000002</v>
      </c>
      <c r="C108"/>
      <c r="D108"/>
      <c r="E108"/>
      <c r="F108"/>
      <c r="G108"/>
      <c r="H108">
        <v>30.4162</v>
      </c>
      <c r="I108"/>
      <c r="J108"/>
      <c r="K108"/>
    </row>
    <row r="109" spans="1:11" x14ac:dyDescent="0.2">
      <c r="A109" s="78">
        <v>10197</v>
      </c>
      <c r="B109">
        <v>6.3863000000000003</v>
      </c>
      <c r="C109"/>
      <c r="D109"/>
      <c r="E109"/>
      <c r="F109"/>
      <c r="G109"/>
      <c r="H109">
        <v>29.935600000000001</v>
      </c>
      <c r="I109"/>
      <c r="J109"/>
      <c r="K109"/>
    </row>
    <row r="110" spans="1:11" x14ac:dyDescent="0.2">
      <c r="A110" s="78">
        <v>10228</v>
      </c>
      <c r="B110">
        <v>6.5209999999999999</v>
      </c>
      <c r="C110"/>
      <c r="D110"/>
      <c r="E110"/>
      <c r="F110"/>
      <c r="G110"/>
      <c r="H110">
        <v>30.2102</v>
      </c>
      <c r="I110"/>
      <c r="J110"/>
      <c r="K110"/>
    </row>
    <row r="111" spans="1:11" x14ac:dyDescent="0.2">
      <c r="A111" s="78">
        <v>10259</v>
      </c>
      <c r="B111">
        <v>6.5749000000000004</v>
      </c>
      <c r="C111"/>
      <c r="D111"/>
      <c r="E111"/>
      <c r="F111"/>
      <c r="G111"/>
      <c r="H111">
        <v>30.004300000000001</v>
      </c>
      <c r="I111"/>
      <c r="J111"/>
      <c r="K111"/>
    </row>
    <row r="112" spans="1:11" x14ac:dyDescent="0.2">
      <c r="A112" s="78">
        <v>10288</v>
      </c>
      <c r="B112">
        <v>6.6288</v>
      </c>
      <c r="C112"/>
      <c r="D112"/>
      <c r="E112"/>
      <c r="F112"/>
      <c r="G112"/>
      <c r="H112">
        <v>31.514800000000001</v>
      </c>
      <c r="I112"/>
      <c r="J112"/>
      <c r="K112"/>
    </row>
    <row r="113" spans="1:11" x14ac:dyDescent="0.2">
      <c r="A113" s="78">
        <v>10319</v>
      </c>
      <c r="B113">
        <v>6.6017999999999999</v>
      </c>
      <c r="C113"/>
      <c r="D113"/>
      <c r="E113"/>
      <c r="F113"/>
      <c r="G113"/>
      <c r="H113">
        <v>30.622199999999999</v>
      </c>
      <c r="I113"/>
      <c r="J113"/>
      <c r="K113"/>
    </row>
    <row r="114" spans="1:11" x14ac:dyDescent="0.2">
      <c r="A114" s="78">
        <v>10349</v>
      </c>
      <c r="B114">
        <v>6.6826999999999996</v>
      </c>
      <c r="C114"/>
      <c r="D114"/>
      <c r="E114"/>
      <c r="F114"/>
      <c r="G114"/>
      <c r="H114">
        <v>31.514800000000001</v>
      </c>
      <c r="I114"/>
      <c r="J114"/>
      <c r="K114"/>
    </row>
    <row r="115" spans="1:11" x14ac:dyDescent="0.2">
      <c r="A115" s="78">
        <v>10380</v>
      </c>
      <c r="B115">
        <v>6.7366000000000001</v>
      </c>
      <c r="C115"/>
      <c r="D115"/>
      <c r="E115"/>
      <c r="F115"/>
      <c r="G115"/>
      <c r="H115">
        <v>30.690899999999999</v>
      </c>
      <c r="I115"/>
      <c r="J115"/>
      <c r="K115"/>
    </row>
    <row r="116" spans="1:11" x14ac:dyDescent="0.2">
      <c r="A116" s="78">
        <v>10410</v>
      </c>
      <c r="B116">
        <v>6.8174000000000001</v>
      </c>
      <c r="C116"/>
      <c r="D116"/>
      <c r="E116"/>
      <c r="F116"/>
      <c r="G116"/>
      <c r="H116">
        <v>30.759499999999999</v>
      </c>
      <c r="I116"/>
      <c r="J116"/>
      <c r="K116"/>
    </row>
    <row r="117" spans="1:11" x14ac:dyDescent="0.2">
      <c r="A117" s="78">
        <v>10441</v>
      </c>
      <c r="B117">
        <v>6.9522000000000004</v>
      </c>
      <c r="C117"/>
      <c r="D117"/>
      <c r="E117"/>
      <c r="F117"/>
      <c r="G117"/>
      <c r="H117">
        <v>31.720700000000001</v>
      </c>
      <c r="I117"/>
      <c r="J117"/>
      <c r="K117"/>
    </row>
    <row r="118" spans="1:11" x14ac:dyDescent="0.2">
      <c r="A118" s="78">
        <v>10472</v>
      </c>
      <c r="B118">
        <v>7.0060000000000002</v>
      </c>
      <c r="C118"/>
      <c r="D118"/>
      <c r="E118"/>
      <c r="F118"/>
      <c r="G118"/>
      <c r="H118">
        <v>31.9267</v>
      </c>
      <c r="I118"/>
      <c r="J118"/>
      <c r="K118"/>
    </row>
    <row r="119" spans="1:11" x14ac:dyDescent="0.2">
      <c r="A119" s="78">
        <v>10502</v>
      </c>
      <c r="B119">
        <v>7.1407999999999996</v>
      </c>
      <c r="C119"/>
      <c r="D119"/>
      <c r="E119"/>
      <c r="F119"/>
      <c r="G119"/>
      <c r="H119">
        <v>32.750700000000002</v>
      </c>
      <c r="I119"/>
      <c r="J119"/>
      <c r="K119"/>
    </row>
    <row r="120" spans="1:11" x14ac:dyDescent="0.2">
      <c r="A120" s="78">
        <v>10533</v>
      </c>
      <c r="B120">
        <v>7.2755000000000001</v>
      </c>
      <c r="C120"/>
      <c r="D120"/>
      <c r="E120"/>
      <c r="F120"/>
      <c r="G120"/>
      <c r="H120">
        <v>33.574599999999997</v>
      </c>
      <c r="I120"/>
      <c r="J120"/>
      <c r="K120"/>
    </row>
    <row r="121" spans="1:11" x14ac:dyDescent="0.2">
      <c r="A121" s="78">
        <v>10563</v>
      </c>
      <c r="B121">
        <v>7.4101999999999997</v>
      </c>
      <c r="C121"/>
      <c r="D121"/>
      <c r="E121"/>
      <c r="F121"/>
      <c r="G121"/>
      <c r="H121">
        <v>32.750599999999999</v>
      </c>
      <c r="I121"/>
      <c r="J121"/>
      <c r="K121"/>
    </row>
    <row r="122" spans="1:11" x14ac:dyDescent="0.2">
      <c r="A122" s="78">
        <v>10594</v>
      </c>
      <c r="B122">
        <v>7.5179999999999998</v>
      </c>
      <c r="C122"/>
      <c r="D122"/>
      <c r="E122"/>
      <c r="F122"/>
      <c r="G122"/>
      <c r="H122">
        <v>34.467100000000002</v>
      </c>
      <c r="I122"/>
      <c r="J122"/>
      <c r="K122"/>
    </row>
    <row r="123" spans="1:11" x14ac:dyDescent="0.2">
      <c r="A123" s="78">
        <v>10625</v>
      </c>
      <c r="B123">
        <v>7.4911000000000003</v>
      </c>
      <c r="C123"/>
      <c r="D123"/>
      <c r="E123"/>
      <c r="F123"/>
      <c r="G123"/>
      <c r="H123">
        <v>35.153700000000001</v>
      </c>
      <c r="I123"/>
      <c r="J123"/>
      <c r="K123"/>
    </row>
    <row r="124" spans="1:11" x14ac:dyDescent="0.2">
      <c r="A124" s="78">
        <v>10653</v>
      </c>
      <c r="B124">
        <v>7.5179999999999998</v>
      </c>
      <c r="C124"/>
      <c r="D124"/>
      <c r="E124"/>
      <c r="F124"/>
      <c r="G124"/>
      <c r="H124">
        <v>32.956600000000002</v>
      </c>
      <c r="I124"/>
      <c r="J124"/>
      <c r="K124"/>
    </row>
    <row r="125" spans="1:11" x14ac:dyDescent="0.2">
      <c r="A125" s="78">
        <v>10684</v>
      </c>
      <c r="B125">
        <v>7.6528</v>
      </c>
      <c r="C125"/>
      <c r="D125"/>
      <c r="E125"/>
      <c r="F125"/>
      <c r="G125"/>
      <c r="H125">
        <v>34.604399999999998</v>
      </c>
      <c r="I125"/>
      <c r="J125"/>
      <c r="K125"/>
    </row>
    <row r="126" spans="1:11" x14ac:dyDescent="0.2">
      <c r="A126" s="78">
        <v>10714</v>
      </c>
      <c r="B126">
        <v>7.7874999999999996</v>
      </c>
      <c r="C126"/>
      <c r="D126"/>
      <c r="E126"/>
      <c r="F126"/>
      <c r="G126"/>
      <c r="H126">
        <v>34.261200000000002</v>
      </c>
      <c r="I126"/>
      <c r="J126"/>
      <c r="K126"/>
    </row>
    <row r="127" spans="1:11" x14ac:dyDescent="0.2">
      <c r="A127" s="78">
        <v>10745</v>
      </c>
      <c r="B127">
        <v>7.8414000000000001</v>
      </c>
      <c r="C127"/>
      <c r="D127"/>
      <c r="E127"/>
      <c r="F127"/>
      <c r="G127"/>
      <c r="H127">
        <v>34.055199999999999</v>
      </c>
      <c r="I127"/>
      <c r="J127"/>
      <c r="K127"/>
    </row>
    <row r="128" spans="1:11" x14ac:dyDescent="0.2">
      <c r="A128" s="78">
        <v>10775</v>
      </c>
      <c r="B128">
        <v>7.9492000000000003</v>
      </c>
      <c r="C128"/>
      <c r="D128"/>
      <c r="E128"/>
      <c r="F128"/>
      <c r="G128"/>
      <c r="H128">
        <v>34.947800000000001</v>
      </c>
      <c r="I128"/>
      <c r="J128"/>
      <c r="K128"/>
    </row>
    <row r="129" spans="1:11" x14ac:dyDescent="0.2">
      <c r="A129" s="78">
        <v>10806</v>
      </c>
      <c r="B129">
        <v>7.8682999999999996</v>
      </c>
      <c r="C129"/>
      <c r="D129"/>
      <c r="E129"/>
      <c r="F129"/>
      <c r="G129"/>
      <c r="H129">
        <v>34.673099999999998</v>
      </c>
      <c r="I129"/>
      <c r="J129"/>
      <c r="K129"/>
    </row>
    <row r="130" spans="1:11" x14ac:dyDescent="0.2">
      <c r="A130" s="78">
        <v>10837</v>
      </c>
      <c r="B130">
        <v>7.8144</v>
      </c>
      <c r="C130"/>
      <c r="D130"/>
      <c r="E130"/>
      <c r="F130"/>
      <c r="G130"/>
      <c r="H130">
        <v>35.290999999999997</v>
      </c>
      <c r="I130"/>
      <c r="J130"/>
      <c r="K130"/>
    </row>
    <row r="131" spans="1:11" x14ac:dyDescent="0.2">
      <c r="A131" s="78">
        <v>10867</v>
      </c>
      <c r="B131">
        <v>7.6797000000000004</v>
      </c>
      <c r="C131"/>
      <c r="D131"/>
      <c r="E131"/>
      <c r="F131"/>
      <c r="G131"/>
      <c r="H131">
        <v>34.398499999999999</v>
      </c>
      <c r="I131"/>
      <c r="J131"/>
      <c r="K131"/>
    </row>
    <row r="132" spans="1:11" x14ac:dyDescent="0.2">
      <c r="A132" s="78">
        <v>10898</v>
      </c>
      <c r="B132">
        <v>7.3025000000000002</v>
      </c>
      <c r="C132"/>
      <c r="D132"/>
      <c r="E132"/>
      <c r="F132"/>
      <c r="G132"/>
      <c r="H132">
        <v>32.887999999999998</v>
      </c>
      <c r="I132"/>
      <c r="J132"/>
      <c r="K132"/>
    </row>
    <row r="133" spans="1:11" x14ac:dyDescent="0.2">
      <c r="A133" s="78">
        <v>10928</v>
      </c>
      <c r="B133">
        <v>6.9790999999999999</v>
      </c>
      <c r="C133"/>
      <c r="D133"/>
      <c r="E133"/>
      <c r="F133"/>
      <c r="G133"/>
      <c r="H133">
        <v>33.849200000000003</v>
      </c>
      <c r="I133"/>
      <c r="J133"/>
      <c r="K133"/>
    </row>
    <row r="134" spans="1:11" x14ac:dyDescent="0.2">
      <c r="A134" s="78">
        <v>10959</v>
      </c>
      <c r="B134">
        <v>6.9790999999999999</v>
      </c>
      <c r="C134"/>
      <c r="D134"/>
      <c r="E134"/>
      <c r="F134"/>
      <c r="G134"/>
      <c r="H134">
        <v>32.887999999999998</v>
      </c>
      <c r="I134"/>
      <c r="J134"/>
      <c r="K134"/>
    </row>
    <row r="135" spans="1:11" x14ac:dyDescent="0.2">
      <c r="A135" s="78">
        <v>10990</v>
      </c>
      <c r="B135">
        <v>6.9520999999999997</v>
      </c>
      <c r="C135"/>
      <c r="D135"/>
      <c r="E135"/>
      <c r="F135"/>
      <c r="G135"/>
      <c r="H135">
        <v>31.9954</v>
      </c>
      <c r="I135"/>
      <c r="J135"/>
      <c r="K135"/>
    </row>
    <row r="136" spans="1:11" x14ac:dyDescent="0.2">
      <c r="A136" s="78">
        <v>11018</v>
      </c>
      <c r="B136">
        <v>6.8444000000000003</v>
      </c>
      <c r="C136"/>
      <c r="D136"/>
      <c r="E136"/>
      <c r="F136"/>
      <c r="G136"/>
      <c r="H136">
        <v>30.1416</v>
      </c>
      <c r="I136"/>
      <c r="J136"/>
      <c r="K136"/>
    </row>
    <row r="137" spans="1:11" x14ac:dyDescent="0.2">
      <c r="A137" s="78">
        <v>11049</v>
      </c>
      <c r="B137">
        <v>6.7904999999999998</v>
      </c>
      <c r="C137"/>
      <c r="D137"/>
      <c r="E137"/>
      <c r="F137"/>
      <c r="G137"/>
      <c r="H137">
        <v>30.759499999999999</v>
      </c>
      <c r="I137"/>
      <c r="J137"/>
      <c r="K137"/>
    </row>
    <row r="138" spans="1:11" x14ac:dyDescent="0.2">
      <c r="A138" s="78">
        <v>11079</v>
      </c>
      <c r="B138">
        <v>6.6826999999999996</v>
      </c>
      <c r="C138"/>
      <c r="D138"/>
      <c r="E138"/>
      <c r="F138"/>
      <c r="G138"/>
      <c r="H138">
        <v>30.622199999999999</v>
      </c>
      <c r="I138"/>
      <c r="J138"/>
      <c r="K138"/>
    </row>
    <row r="139" spans="1:11" x14ac:dyDescent="0.2">
      <c r="A139" s="78">
        <v>11110</v>
      </c>
      <c r="B139">
        <v>6.4941000000000004</v>
      </c>
      <c r="C139"/>
      <c r="D139"/>
      <c r="E139"/>
      <c r="F139"/>
      <c r="G139"/>
      <c r="H139">
        <v>30.4162</v>
      </c>
      <c r="I139"/>
      <c r="J139"/>
      <c r="K139"/>
    </row>
    <row r="140" spans="1:11" x14ac:dyDescent="0.2">
      <c r="A140" s="78">
        <v>11140</v>
      </c>
      <c r="B140">
        <v>6.1977000000000002</v>
      </c>
      <c r="C140"/>
      <c r="D140"/>
      <c r="E140"/>
      <c r="F140"/>
      <c r="G140"/>
      <c r="H140">
        <v>30.004300000000001</v>
      </c>
      <c r="I140"/>
      <c r="J140"/>
      <c r="K140"/>
    </row>
    <row r="141" spans="1:11" x14ac:dyDescent="0.2">
      <c r="A141" s="78">
        <v>11171</v>
      </c>
      <c r="B141">
        <v>6.0629</v>
      </c>
      <c r="C141"/>
      <c r="D141"/>
      <c r="E141"/>
      <c r="F141"/>
      <c r="G141"/>
      <c r="H141">
        <v>29.180399999999999</v>
      </c>
      <c r="I141"/>
      <c r="J141"/>
      <c r="K141"/>
    </row>
    <row r="142" spans="1:11" x14ac:dyDescent="0.2">
      <c r="A142" s="78">
        <v>11202</v>
      </c>
      <c r="B142">
        <v>5.9550999999999998</v>
      </c>
      <c r="C142"/>
      <c r="D142"/>
      <c r="E142"/>
      <c r="F142"/>
      <c r="G142"/>
      <c r="H142">
        <v>28.4938</v>
      </c>
      <c r="I142"/>
      <c r="J142"/>
      <c r="K142"/>
    </row>
    <row r="143" spans="1:11" x14ac:dyDescent="0.2">
      <c r="A143" s="78">
        <v>11232</v>
      </c>
      <c r="B143">
        <v>5.7934999999999999</v>
      </c>
      <c r="C143"/>
      <c r="D143"/>
      <c r="E143"/>
      <c r="F143"/>
      <c r="G143"/>
      <c r="H143">
        <v>28.356400000000001</v>
      </c>
      <c r="I143"/>
      <c r="J143"/>
      <c r="K143"/>
    </row>
    <row r="144" spans="1:11" x14ac:dyDescent="0.2">
      <c r="A144" s="78">
        <v>11263</v>
      </c>
      <c r="B144">
        <v>5.6586999999999996</v>
      </c>
      <c r="C144"/>
      <c r="D144"/>
      <c r="E144"/>
      <c r="F144"/>
      <c r="G144"/>
      <c r="H144">
        <v>27.944500000000001</v>
      </c>
      <c r="I144"/>
      <c r="J144"/>
      <c r="K144"/>
    </row>
    <row r="145" spans="1:11" x14ac:dyDescent="0.2">
      <c r="A145" s="78">
        <v>11293</v>
      </c>
      <c r="B145">
        <v>5.524</v>
      </c>
      <c r="C145"/>
      <c r="D145"/>
      <c r="E145"/>
      <c r="F145"/>
      <c r="G145"/>
      <c r="H145">
        <v>27.257899999999999</v>
      </c>
      <c r="I145"/>
      <c r="J145"/>
      <c r="K145"/>
    </row>
    <row r="146" spans="1:11" x14ac:dyDescent="0.2">
      <c r="A146" s="78">
        <v>11324</v>
      </c>
      <c r="B146">
        <v>5.4969999999999999</v>
      </c>
      <c r="C146"/>
      <c r="D146"/>
      <c r="E146"/>
      <c r="F146"/>
      <c r="G146"/>
      <c r="H146">
        <v>26.296600000000002</v>
      </c>
      <c r="I146"/>
      <c r="J146"/>
      <c r="K146"/>
    </row>
    <row r="147" spans="1:11" x14ac:dyDescent="0.2">
      <c r="A147" s="78">
        <v>11355</v>
      </c>
      <c r="B147">
        <v>5.524</v>
      </c>
      <c r="C147"/>
      <c r="D147"/>
      <c r="E147"/>
      <c r="F147"/>
      <c r="G147"/>
      <c r="H147">
        <v>25.541399999999999</v>
      </c>
      <c r="I147"/>
      <c r="J147"/>
      <c r="K147"/>
    </row>
    <row r="148" spans="1:11" x14ac:dyDescent="0.2">
      <c r="A148" s="78">
        <v>11383</v>
      </c>
      <c r="B148">
        <v>5.6318000000000001</v>
      </c>
      <c r="C148"/>
      <c r="D148"/>
      <c r="E148"/>
      <c r="F148"/>
      <c r="G148"/>
      <c r="H148">
        <v>26.502600000000001</v>
      </c>
      <c r="I148"/>
      <c r="J148"/>
      <c r="K148"/>
    </row>
    <row r="149" spans="1:11" x14ac:dyDescent="0.2">
      <c r="A149" s="78">
        <v>11414</v>
      </c>
      <c r="B149">
        <v>5.6586999999999996</v>
      </c>
      <c r="C149"/>
      <c r="D149"/>
      <c r="E149"/>
      <c r="F149"/>
      <c r="G149"/>
      <c r="H149">
        <v>26.708600000000001</v>
      </c>
      <c r="I149"/>
      <c r="J149"/>
      <c r="K149"/>
    </row>
    <row r="150" spans="1:11" x14ac:dyDescent="0.2">
      <c r="A150" s="78">
        <v>11444</v>
      </c>
      <c r="B150">
        <v>5.5778999999999996</v>
      </c>
      <c r="C150"/>
      <c r="D150"/>
      <c r="E150"/>
      <c r="F150"/>
      <c r="G150"/>
      <c r="H150">
        <v>26.159300000000002</v>
      </c>
      <c r="I150"/>
      <c r="J150"/>
      <c r="K150"/>
    </row>
    <row r="151" spans="1:11" x14ac:dyDescent="0.2">
      <c r="A151" s="78">
        <v>11475</v>
      </c>
      <c r="B151">
        <v>5.4432</v>
      </c>
      <c r="C151"/>
      <c r="D151"/>
      <c r="E151"/>
      <c r="F151"/>
      <c r="G151"/>
      <c r="H151">
        <v>26.434000000000001</v>
      </c>
      <c r="I151"/>
      <c r="J151"/>
      <c r="K151"/>
    </row>
    <row r="152" spans="1:11" x14ac:dyDescent="0.2">
      <c r="A152" s="78">
        <v>11505</v>
      </c>
      <c r="B152">
        <v>5.3623000000000003</v>
      </c>
      <c r="C152"/>
      <c r="D152"/>
      <c r="E152"/>
      <c r="F152"/>
      <c r="G152"/>
      <c r="H152">
        <v>26.296600000000002</v>
      </c>
      <c r="I152"/>
      <c r="J152"/>
      <c r="K152"/>
    </row>
    <row r="153" spans="1:11" x14ac:dyDescent="0.2">
      <c r="A153" s="78">
        <v>11536</v>
      </c>
      <c r="B153">
        <v>5.1737000000000002</v>
      </c>
      <c r="C153"/>
      <c r="D153"/>
      <c r="E153"/>
      <c r="F153"/>
      <c r="G153"/>
      <c r="H153">
        <v>24.442799999999998</v>
      </c>
      <c r="I153"/>
      <c r="J153"/>
      <c r="K153"/>
    </row>
    <row r="154" spans="1:11" x14ac:dyDescent="0.2">
      <c r="A154" s="78">
        <v>11567</v>
      </c>
      <c r="B154">
        <v>4.9311999999999996</v>
      </c>
      <c r="C154"/>
      <c r="D154"/>
      <c r="E154"/>
      <c r="F154"/>
      <c r="G154"/>
      <c r="H154">
        <v>23.893599999999999</v>
      </c>
      <c r="I154"/>
      <c r="J154"/>
      <c r="K154"/>
    </row>
    <row r="155" spans="1:11" x14ac:dyDescent="0.2">
      <c r="A155" s="78">
        <v>11597</v>
      </c>
      <c r="B155">
        <v>4.7426000000000004</v>
      </c>
      <c r="C155"/>
      <c r="D155"/>
      <c r="E155"/>
      <c r="F155"/>
      <c r="G155"/>
      <c r="H155">
        <v>25.0608</v>
      </c>
      <c r="I155"/>
      <c r="J155"/>
      <c r="K155"/>
    </row>
    <row r="156" spans="1:11" x14ac:dyDescent="0.2">
      <c r="A156" s="78">
        <v>11628</v>
      </c>
      <c r="B156">
        <v>4.6886999999999999</v>
      </c>
      <c r="C156"/>
      <c r="D156"/>
      <c r="E156"/>
      <c r="F156"/>
      <c r="G156"/>
      <c r="H156">
        <v>25.1981</v>
      </c>
      <c r="I156"/>
      <c r="J156"/>
      <c r="K156"/>
    </row>
    <row r="157" spans="1:11" x14ac:dyDescent="0.2">
      <c r="A157" s="78">
        <v>11658</v>
      </c>
      <c r="B157">
        <v>4.6616999999999997</v>
      </c>
      <c r="C157"/>
      <c r="D157"/>
      <c r="E157"/>
      <c r="F157"/>
      <c r="G157"/>
      <c r="H157">
        <v>24.786100000000001</v>
      </c>
      <c r="I157"/>
      <c r="J157"/>
      <c r="K157"/>
    </row>
    <row r="158" spans="1:11" x14ac:dyDescent="0.2">
      <c r="A158" s="78">
        <v>11689</v>
      </c>
      <c r="B158">
        <v>4.5270000000000001</v>
      </c>
      <c r="C158"/>
      <c r="D158"/>
      <c r="E158"/>
      <c r="F158"/>
      <c r="G158"/>
      <c r="H158">
        <v>22.451699999999999</v>
      </c>
      <c r="I158"/>
      <c r="J158"/>
      <c r="K158"/>
    </row>
    <row r="159" spans="1:11" x14ac:dyDescent="0.2">
      <c r="A159" s="78">
        <v>11720</v>
      </c>
      <c r="B159">
        <v>4.4192</v>
      </c>
      <c r="C159"/>
      <c r="D159"/>
      <c r="E159"/>
      <c r="F159"/>
      <c r="G159"/>
      <c r="H159">
        <v>22.177099999999999</v>
      </c>
      <c r="I159"/>
      <c r="J159"/>
      <c r="K159"/>
    </row>
    <row r="160" spans="1:11" x14ac:dyDescent="0.2">
      <c r="A160" s="78">
        <v>11749</v>
      </c>
      <c r="B160">
        <v>4.3653000000000004</v>
      </c>
      <c r="C160"/>
      <c r="D160"/>
      <c r="E160"/>
      <c r="F160"/>
      <c r="G160"/>
      <c r="H160">
        <v>23.5503</v>
      </c>
      <c r="I160"/>
      <c r="J160"/>
      <c r="K160"/>
    </row>
    <row r="161" spans="1:11" x14ac:dyDescent="0.2">
      <c r="A161" s="78">
        <v>11780</v>
      </c>
      <c r="B161">
        <v>4.0689000000000002</v>
      </c>
      <c r="C161"/>
      <c r="D161"/>
      <c r="E161"/>
      <c r="F161"/>
      <c r="G161"/>
      <c r="H161">
        <v>22.0397</v>
      </c>
      <c r="I161"/>
      <c r="J161"/>
      <c r="K161"/>
    </row>
    <row r="162" spans="1:11" x14ac:dyDescent="0.2">
      <c r="A162" s="78">
        <v>11810</v>
      </c>
      <c r="B162">
        <v>3.9342000000000001</v>
      </c>
      <c r="C162"/>
      <c r="D162"/>
      <c r="E162"/>
      <c r="F162"/>
      <c r="G162"/>
      <c r="H162">
        <v>20.1859</v>
      </c>
      <c r="I162"/>
      <c r="J162"/>
      <c r="K162"/>
    </row>
    <row r="163" spans="1:11" x14ac:dyDescent="0.2">
      <c r="A163" s="78">
        <v>11841</v>
      </c>
      <c r="B163">
        <v>3.7993999999999999</v>
      </c>
      <c r="C163"/>
      <c r="D163"/>
      <c r="E163"/>
      <c r="F163"/>
      <c r="G163"/>
      <c r="H163">
        <v>19.224699999999999</v>
      </c>
      <c r="I163"/>
      <c r="J163"/>
      <c r="K163"/>
    </row>
    <row r="164" spans="1:11" x14ac:dyDescent="0.2">
      <c r="A164" s="78">
        <v>11871</v>
      </c>
      <c r="B164">
        <v>3.6916000000000002</v>
      </c>
      <c r="C164"/>
      <c r="D164"/>
      <c r="E164"/>
      <c r="F164"/>
      <c r="G164"/>
      <c r="H164">
        <v>19.636700000000001</v>
      </c>
      <c r="I164"/>
      <c r="J164"/>
      <c r="K164"/>
    </row>
    <row r="165" spans="1:11" x14ac:dyDescent="0.2">
      <c r="A165" s="78">
        <v>11902</v>
      </c>
      <c r="B165">
        <v>3.7993999999999999</v>
      </c>
      <c r="C165"/>
      <c r="D165"/>
      <c r="E165"/>
      <c r="F165"/>
      <c r="G165"/>
      <c r="H165">
        <v>20.2546</v>
      </c>
      <c r="I165"/>
      <c r="J165"/>
      <c r="K165"/>
    </row>
    <row r="166" spans="1:11" x14ac:dyDescent="0.2">
      <c r="A166" s="78">
        <v>11933</v>
      </c>
      <c r="B166">
        <v>4.0419</v>
      </c>
      <c r="C166"/>
      <c r="D166"/>
      <c r="E166"/>
      <c r="F166"/>
      <c r="G166"/>
      <c r="H166">
        <v>21.421800000000001</v>
      </c>
      <c r="I166"/>
      <c r="J166"/>
      <c r="K166"/>
    </row>
    <row r="167" spans="1:11" x14ac:dyDescent="0.2">
      <c r="A167" s="78">
        <v>11963</v>
      </c>
      <c r="B167">
        <v>4.1767000000000003</v>
      </c>
      <c r="C167"/>
      <c r="D167"/>
      <c r="E167"/>
      <c r="F167"/>
      <c r="G167"/>
      <c r="H167">
        <v>21.9711</v>
      </c>
      <c r="I167"/>
      <c r="J167"/>
      <c r="K167"/>
    </row>
    <row r="168" spans="1:11" x14ac:dyDescent="0.2">
      <c r="A168" s="78">
        <v>11994</v>
      </c>
      <c r="B168">
        <v>4.1767000000000003</v>
      </c>
      <c r="C168"/>
      <c r="D168"/>
      <c r="E168"/>
      <c r="F168"/>
      <c r="G168"/>
      <c r="H168">
        <v>22.1084</v>
      </c>
      <c r="I168"/>
      <c r="J168"/>
      <c r="K168"/>
    </row>
    <row r="169" spans="1:11" x14ac:dyDescent="0.2">
      <c r="A169" s="78">
        <v>12024</v>
      </c>
      <c r="B169">
        <v>4.0957999999999997</v>
      </c>
      <c r="C169"/>
      <c r="D169"/>
      <c r="E169"/>
      <c r="F169"/>
      <c r="G169"/>
      <c r="H169">
        <v>20.941199999999998</v>
      </c>
      <c r="I169"/>
      <c r="J169"/>
      <c r="K169"/>
    </row>
    <row r="170" spans="1:11" x14ac:dyDescent="0.2">
      <c r="A170" s="78">
        <v>12055</v>
      </c>
      <c r="B170">
        <v>4.0149999999999997</v>
      </c>
      <c r="C170"/>
      <c r="D170"/>
      <c r="E170"/>
      <c r="F170"/>
      <c r="G170"/>
      <c r="H170">
        <v>21.078499999999998</v>
      </c>
      <c r="I170"/>
      <c r="J170"/>
      <c r="K170"/>
    </row>
    <row r="171" spans="1:11" x14ac:dyDescent="0.2">
      <c r="A171" s="78">
        <v>12086</v>
      </c>
      <c r="B171">
        <v>4.0419</v>
      </c>
      <c r="C171"/>
      <c r="D171"/>
      <c r="E171"/>
      <c r="F171"/>
      <c r="G171"/>
      <c r="H171">
        <v>22.1084</v>
      </c>
      <c r="I171"/>
      <c r="J171"/>
      <c r="K171"/>
    </row>
    <row r="172" spans="1:11" x14ac:dyDescent="0.2">
      <c r="A172" s="78">
        <v>12114</v>
      </c>
      <c r="B172">
        <v>3.7993999999999999</v>
      </c>
      <c r="C172"/>
      <c r="D172"/>
      <c r="E172"/>
      <c r="F172"/>
      <c r="G172"/>
      <c r="H172">
        <v>22.795000000000002</v>
      </c>
      <c r="I172"/>
      <c r="J172"/>
      <c r="K172"/>
    </row>
    <row r="173" spans="1:11" x14ac:dyDescent="0.2">
      <c r="A173" s="78">
        <v>12145</v>
      </c>
      <c r="B173">
        <v>4.0689000000000002</v>
      </c>
      <c r="C173"/>
      <c r="D173"/>
      <c r="E173"/>
      <c r="F173"/>
      <c r="G173"/>
      <c r="H173">
        <v>20.803899999999999</v>
      </c>
      <c r="I173"/>
      <c r="J173"/>
      <c r="K173"/>
    </row>
    <row r="174" spans="1:11" x14ac:dyDescent="0.2">
      <c r="A174" s="78">
        <v>12175</v>
      </c>
      <c r="B174">
        <v>4.7426000000000004</v>
      </c>
      <c r="C174"/>
      <c r="D174"/>
      <c r="E174"/>
      <c r="F174"/>
      <c r="G174"/>
      <c r="H174">
        <v>24.236799999999999</v>
      </c>
      <c r="I174"/>
      <c r="J174"/>
      <c r="K174"/>
    </row>
    <row r="175" spans="1:11" x14ac:dyDescent="0.2">
      <c r="A175" s="78">
        <v>12206</v>
      </c>
      <c r="B175">
        <v>5.4701000000000004</v>
      </c>
      <c r="C175"/>
      <c r="D175"/>
      <c r="E175"/>
      <c r="F175"/>
      <c r="G175"/>
      <c r="H175">
        <v>25.541399999999999</v>
      </c>
      <c r="I175"/>
      <c r="J175"/>
      <c r="K175"/>
    </row>
    <row r="176" spans="1:11" x14ac:dyDescent="0.2">
      <c r="A176" s="78">
        <v>12236</v>
      </c>
      <c r="B176">
        <v>5.9821</v>
      </c>
      <c r="C176"/>
      <c r="D176"/>
      <c r="E176"/>
      <c r="F176"/>
      <c r="G176"/>
      <c r="H176">
        <v>26.708600000000001</v>
      </c>
      <c r="I176"/>
      <c r="J176"/>
      <c r="K176"/>
    </row>
    <row r="177" spans="1:11" x14ac:dyDescent="0.2">
      <c r="A177" s="78">
        <v>12267</v>
      </c>
      <c r="B177">
        <v>5.7396000000000003</v>
      </c>
      <c r="C177"/>
      <c r="D177"/>
      <c r="E177"/>
      <c r="F177"/>
      <c r="G177"/>
      <c r="H177">
        <v>27.807200000000002</v>
      </c>
      <c r="I177"/>
      <c r="J177"/>
      <c r="K177"/>
    </row>
    <row r="178" spans="1:11" x14ac:dyDescent="0.2">
      <c r="A178" s="78">
        <v>12298</v>
      </c>
      <c r="B178">
        <v>5.4161999999999999</v>
      </c>
      <c r="C178"/>
      <c r="D178"/>
      <c r="E178"/>
      <c r="F178"/>
      <c r="G178"/>
      <c r="H178">
        <v>26.021999999999998</v>
      </c>
      <c r="I178"/>
      <c r="J178"/>
      <c r="K178"/>
    </row>
    <row r="179" spans="1:11" x14ac:dyDescent="0.2">
      <c r="A179" s="78">
        <v>12328</v>
      </c>
      <c r="B179">
        <v>5.1467000000000001</v>
      </c>
      <c r="C179"/>
      <c r="D179"/>
      <c r="E179"/>
      <c r="F179"/>
      <c r="G179"/>
      <c r="H179">
        <v>24.511500000000002</v>
      </c>
      <c r="I179"/>
      <c r="J179"/>
      <c r="K179"/>
    </row>
    <row r="180" spans="1:11" x14ac:dyDescent="0.2">
      <c r="A180" s="78">
        <v>12359</v>
      </c>
      <c r="B180">
        <v>4.8502999999999998</v>
      </c>
      <c r="C180"/>
      <c r="D180"/>
      <c r="E180"/>
      <c r="F180"/>
      <c r="G180"/>
      <c r="H180">
        <v>24.511500000000002</v>
      </c>
      <c r="I180"/>
      <c r="J180"/>
      <c r="K180"/>
    </row>
    <row r="181" spans="1:11" x14ac:dyDescent="0.2">
      <c r="A181" s="78">
        <v>12389</v>
      </c>
      <c r="B181">
        <v>4.8773</v>
      </c>
      <c r="C181"/>
      <c r="D181"/>
      <c r="E181"/>
      <c r="F181"/>
      <c r="G181"/>
      <c r="H181">
        <v>24.442799999999998</v>
      </c>
      <c r="I181"/>
      <c r="J181"/>
      <c r="K181"/>
    </row>
    <row r="182" spans="1:11" x14ac:dyDescent="0.2">
      <c r="A182" s="78">
        <v>12420</v>
      </c>
      <c r="B182">
        <v>5.0389999999999997</v>
      </c>
      <c r="C182"/>
      <c r="D182"/>
      <c r="E182"/>
      <c r="F182"/>
      <c r="G182"/>
      <c r="H182">
        <v>25.0608</v>
      </c>
      <c r="I182"/>
      <c r="J182"/>
      <c r="K182"/>
    </row>
    <row r="183" spans="1:11" x14ac:dyDescent="0.2">
      <c r="A183" s="78">
        <v>12451</v>
      </c>
      <c r="B183">
        <v>5.2815000000000003</v>
      </c>
      <c r="C183"/>
      <c r="D183"/>
      <c r="E183"/>
      <c r="F183"/>
      <c r="G183"/>
      <c r="H183">
        <v>25.4727</v>
      </c>
      <c r="I183"/>
      <c r="J183"/>
      <c r="K183"/>
    </row>
    <row r="184" spans="1:11" x14ac:dyDescent="0.2">
      <c r="A184" s="78">
        <v>12479</v>
      </c>
      <c r="B184">
        <v>5.524</v>
      </c>
      <c r="C184"/>
      <c r="D184"/>
      <c r="E184"/>
      <c r="F184"/>
      <c r="G184"/>
      <c r="H184">
        <v>27.326499999999999</v>
      </c>
      <c r="I184"/>
      <c r="J184"/>
      <c r="K184"/>
    </row>
    <row r="185" spans="1:11" x14ac:dyDescent="0.2">
      <c r="A185" s="78">
        <v>12510</v>
      </c>
      <c r="B185">
        <v>5.524</v>
      </c>
      <c r="C185"/>
      <c r="D185"/>
      <c r="E185"/>
      <c r="F185"/>
      <c r="G185"/>
      <c r="H185">
        <v>25.678699999999999</v>
      </c>
      <c r="I185"/>
      <c r="J185"/>
      <c r="K185"/>
    </row>
    <row r="186" spans="1:11" x14ac:dyDescent="0.2">
      <c r="A186" s="78">
        <v>12540</v>
      </c>
      <c r="B186">
        <v>5.6318000000000001</v>
      </c>
      <c r="C186"/>
      <c r="D186"/>
      <c r="E186"/>
      <c r="F186"/>
      <c r="G186"/>
      <c r="H186">
        <v>25.953299999999999</v>
      </c>
      <c r="I186"/>
      <c r="J186"/>
      <c r="K186"/>
    </row>
    <row r="187" spans="1:11" x14ac:dyDescent="0.2">
      <c r="A187" s="78">
        <v>12571</v>
      </c>
      <c r="B187">
        <v>5.524</v>
      </c>
      <c r="C187"/>
      <c r="D187"/>
      <c r="E187"/>
      <c r="F187"/>
      <c r="G187"/>
      <c r="H187">
        <v>25.747399999999999</v>
      </c>
      <c r="I187"/>
      <c r="J187"/>
      <c r="K187"/>
    </row>
    <row r="188" spans="1:11" x14ac:dyDescent="0.2">
      <c r="A188" s="78">
        <v>12601</v>
      </c>
      <c r="B188">
        <v>5.1467000000000001</v>
      </c>
      <c r="C188"/>
      <c r="D188"/>
      <c r="E188"/>
      <c r="F188"/>
      <c r="G188"/>
      <c r="H188">
        <v>25.4727</v>
      </c>
      <c r="I188"/>
      <c r="J188"/>
      <c r="K188"/>
    </row>
    <row r="189" spans="1:11" x14ac:dyDescent="0.2">
      <c r="A189" s="78">
        <v>12632</v>
      </c>
      <c r="B189">
        <v>5.0929000000000002</v>
      </c>
      <c r="C189"/>
      <c r="D189"/>
      <c r="E189"/>
      <c r="F189"/>
      <c r="G189"/>
      <c r="H189">
        <v>25.1294</v>
      </c>
      <c r="I189"/>
      <c r="J189"/>
      <c r="K189"/>
    </row>
    <row r="190" spans="1:11" x14ac:dyDescent="0.2">
      <c r="A190" s="78">
        <v>12663</v>
      </c>
      <c r="B190">
        <v>4.7964000000000002</v>
      </c>
      <c r="C190"/>
      <c r="D190"/>
      <c r="E190"/>
      <c r="F190"/>
      <c r="G190"/>
      <c r="H190">
        <v>25.1981</v>
      </c>
      <c r="I190"/>
      <c r="J190"/>
      <c r="K190"/>
    </row>
    <row r="191" spans="1:11" x14ac:dyDescent="0.2">
      <c r="A191" s="78">
        <v>12693</v>
      </c>
      <c r="B191">
        <v>5.0119999999999996</v>
      </c>
      <c r="C191"/>
      <c r="D191"/>
      <c r="E191"/>
      <c r="F191"/>
      <c r="G191"/>
      <c r="H191">
        <v>24.786100000000001</v>
      </c>
      <c r="I191"/>
      <c r="J191"/>
      <c r="K191"/>
    </row>
    <row r="192" spans="1:11" x14ac:dyDescent="0.2">
      <c r="A192" s="78">
        <v>12724</v>
      </c>
      <c r="B192">
        <v>5.0659000000000001</v>
      </c>
      <c r="C192"/>
      <c r="D192"/>
      <c r="E192"/>
      <c r="F192"/>
      <c r="G192"/>
      <c r="H192">
        <v>24.923500000000001</v>
      </c>
      <c r="I192"/>
      <c r="J192"/>
      <c r="K192"/>
    </row>
    <row r="193" spans="1:11" x14ac:dyDescent="0.2">
      <c r="A193" s="78">
        <v>12754</v>
      </c>
      <c r="B193">
        <v>5.3893000000000004</v>
      </c>
      <c r="C193"/>
      <c r="D193"/>
      <c r="E193"/>
      <c r="F193"/>
      <c r="G193"/>
      <c r="H193">
        <v>25.678699999999999</v>
      </c>
      <c r="I193"/>
      <c r="J193"/>
      <c r="K193"/>
    </row>
    <row r="194" spans="1:11" x14ac:dyDescent="0.2">
      <c r="A194" s="78">
        <v>12785</v>
      </c>
      <c r="B194">
        <v>5.8204000000000002</v>
      </c>
      <c r="C194"/>
      <c r="D194"/>
      <c r="E194"/>
      <c r="F194"/>
      <c r="G194"/>
      <c r="H194">
        <v>26.9832</v>
      </c>
      <c r="I194"/>
      <c r="J194"/>
      <c r="K194"/>
    </row>
    <row r="195" spans="1:11" x14ac:dyDescent="0.2">
      <c r="A195" s="78">
        <v>12816</v>
      </c>
      <c r="B195">
        <v>5.9282000000000004</v>
      </c>
      <c r="C195"/>
      <c r="D195"/>
      <c r="E195"/>
      <c r="F195"/>
      <c r="G195"/>
      <c r="H195">
        <v>27.1206</v>
      </c>
      <c r="I195"/>
      <c r="J195"/>
      <c r="K195"/>
    </row>
    <row r="196" spans="1:11" x14ac:dyDescent="0.2">
      <c r="A196" s="78">
        <v>12844</v>
      </c>
      <c r="B196">
        <v>5.9012000000000002</v>
      </c>
      <c r="C196"/>
      <c r="D196"/>
      <c r="E196"/>
      <c r="F196"/>
      <c r="G196"/>
      <c r="H196">
        <v>27.944500000000001</v>
      </c>
      <c r="I196"/>
      <c r="J196"/>
      <c r="K196"/>
    </row>
    <row r="197" spans="1:11" x14ac:dyDescent="0.2">
      <c r="A197" s="78">
        <v>12875</v>
      </c>
      <c r="B197">
        <v>5.7934999999999999</v>
      </c>
      <c r="C197"/>
      <c r="D197"/>
      <c r="E197"/>
      <c r="F197"/>
      <c r="G197"/>
      <c r="H197">
        <v>25.61</v>
      </c>
      <c r="I197"/>
      <c r="J197"/>
      <c r="K197"/>
    </row>
    <row r="198" spans="1:11" x14ac:dyDescent="0.2">
      <c r="A198" s="78">
        <v>12905</v>
      </c>
      <c r="B198">
        <v>5.7934999999999999</v>
      </c>
      <c r="C198"/>
      <c r="D198"/>
      <c r="E198"/>
      <c r="F198"/>
      <c r="G198"/>
      <c r="H198">
        <v>26.708600000000001</v>
      </c>
      <c r="I198"/>
      <c r="J198"/>
      <c r="K198"/>
    </row>
    <row r="199" spans="1:11" x14ac:dyDescent="0.2">
      <c r="A199" s="78">
        <v>12936</v>
      </c>
      <c r="B199">
        <v>5.8742999999999999</v>
      </c>
      <c r="C199"/>
      <c r="D199"/>
      <c r="E199"/>
      <c r="F199"/>
      <c r="G199"/>
      <c r="H199">
        <v>29.111699999999999</v>
      </c>
      <c r="I199"/>
      <c r="J199"/>
      <c r="K199"/>
    </row>
    <row r="200" spans="1:11" x14ac:dyDescent="0.2">
      <c r="A200" s="78">
        <v>12966</v>
      </c>
      <c r="B200">
        <v>5.8742999999999999</v>
      </c>
      <c r="C200"/>
      <c r="D200"/>
      <c r="E200"/>
      <c r="F200"/>
      <c r="G200"/>
      <c r="H200">
        <v>26.296600000000002</v>
      </c>
      <c r="I200"/>
      <c r="J200"/>
      <c r="K200"/>
    </row>
    <row r="201" spans="1:11" x14ac:dyDescent="0.2">
      <c r="A201" s="78">
        <v>12997</v>
      </c>
      <c r="B201">
        <v>6.0899000000000001</v>
      </c>
      <c r="C201"/>
      <c r="D201"/>
      <c r="E201"/>
      <c r="F201"/>
      <c r="G201"/>
      <c r="H201">
        <v>26.502600000000001</v>
      </c>
      <c r="I201"/>
      <c r="J201"/>
      <c r="K201"/>
    </row>
    <row r="202" spans="1:11" x14ac:dyDescent="0.2">
      <c r="A202" s="78">
        <v>13028</v>
      </c>
      <c r="B202">
        <v>6.2515000000000001</v>
      </c>
      <c r="C202"/>
      <c r="D202"/>
      <c r="E202"/>
      <c r="F202"/>
      <c r="G202"/>
      <c r="H202">
        <v>27.1206</v>
      </c>
      <c r="I202"/>
      <c r="J202"/>
      <c r="K202"/>
    </row>
    <row r="203" spans="1:11" x14ac:dyDescent="0.2">
      <c r="A203" s="78">
        <v>13058</v>
      </c>
      <c r="B203">
        <v>6.4401999999999999</v>
      </c>
      <c r="C203"/>
      <c r="D203"/>
      <c r="E203"/>
      <c r="F203"/>
      <c r="G203"/>
      <c r="H203">
        <v>28.7684</v>
      </c>
      <c r="I203"/>
      <c r="J203"/>
      <c r="K203"/>
    </row>
    <row r="204" spans="1:11" x14ac:dyDescent="0.2">
      <c r="A204" s="78">
        <v>13089</v>
      </c>
      <c r="B204">
        <v>6.5749000000000004</v>
      </c>
      <c r="C204"/>
      <c r="D204"/>
      <c r="E204"/>
      <c r="F204"/>
      <c r="G204"/>
      <c r="H204">
        <v>29.042999999999999</v>
      </c>
      <c r="I204"/>
      <c r="J204"/>
      <c r="K204"/>
    </row>
    <row r="205" spans="1:11" x14ac:dyDescent="0.2">
      <c r="A205" s="78">
        <v>13119</v>
      </c>
      <c r="B205">
        <v>6.6557000000000004</v>
      </c>
      <c r="C205"/>
      <c r="D205"/>
      <c r="E205"/>
      <c r="F205"/>
      <c r="G205"/>
      <c r="H205">
        <v>29.798300000000001</v>
      </c>
      <c r="I205"/>
      <c r="J205"/>
      <c r="K205"/>
    </row>
    <row r="206" spans="1:11" x14ac:dyDescent="0.2">
      <c r="A206" s="78">
        <v>13150</v>
      </c>
      <c r="B206">
        <v>6.548</v>
      </c>
      <c r="C206"/>
      <c r="D206"/>
      <c r="E206"/>
      <c r="F206"/>
      <c r="G206"/>
      <c r="H206">
        <v>30.3475</v>
      </c>
      <c r="I206"/>
      <c r="J206"/>
      <c r="K206"/>
    </row>
    <row r="207" spans="1:11" x14ac:dyDescent="0.2">
      <c r="A207" s="78">
        <v>13181</v>
      </c>
      <c r="B207">
        <v>6.3863000000000003</v>
      </c>
      <c r="C207"/>
      <c r="D207"/>
      <c r="E207"/>
      <c r="F207"/>
      <c r="G207"/>
      <c r="H207">
        <v>31.240100000000002</v>
      </c>
      <c r="I207"/>
      <c r="J207"/>
      <c r="K207"/>
    </row>
    <row r="208" spans="1:11" x14ac:dyDescent="0.2">
      <c r="A208" s="78">
        <v>13210</v>
      </c>
      <c r="B208">
        <v>6.4671000000000003</v>
      </c>
      <c r="C208"/>
      <c r="D208"/>
      <c r="E208"/>
      <c r="F208"/>
      <c r="G208"/>
      <c r="H208">
        <v>29.180299999999999</v>
      </c>
      <c r="I208"/>
      <c r="J208"/>
      <c r="K208"/>
    </row>
    <row r="209" spans="1:11" x14ac:dyDescent="0.2">
      <c r="A209" s="78">
        <v>13241</v>
      </c>
      <c r="B209">
        <v>6.8712999999999997</v>
      </c>
      <c r="C209"/>
      <c r="D209"/>
      <c r="E209"/>
      <c r="F209"/>
      <c r="G209"/>
      <c r="H209">
        <v>31.377400000000002</v>
      </c>
      <c r="I209"/>
      <c r="J209"/>
      <c r="K209"/>
    </row>
    <row r="210" spans="1:11" x14ac:dyDescent="0.2">
      <c r="A210" s="78">
        <v>13271</v>
      </c>
      <c r="B210">
        <v>7.0060000000000002</v>
      </c>
      <c r="C210"/>
      <c r="D210"/>
      <c r="E210"/>
      <c r="F210"/>
      <c r="G210"/>
      <c r="H210">
        <v>30.622199999999999</v>
      </c>
      <c r="I210"/>
      <c r="J210"/>
      <c r="K210"/>
    </row>
    <row r="211" spans="1:11" x14ac:dyDescent="0.2">
      <c r="A211" s="78">
        <v>13302</v>
      </c>
      <c r="B211">
        <v>7.1407999999999996</v>
      </c>
      <c r="C211"/>
      <c r="D211"/>
      <c r="E211"/>
      <c r="F211"/>
      <c r="G211"/>
      <c r="H211">
        <v>31.034199999999998</v>
      </c>
      <c r="I211"/>
      <c r="J211"/>
      <c r="K211"/>
    </row>
    <row r="212" spans="1:11" x14ac:dyDescent="0.2">
      <c r="A212" s="78">
        <v>13332</v>
      </c>
      <c r="B212">
        <v>7.2755000000000001</v>
      </c>
      <c r="C212"/>
      <c r="D212"/>
      <c r="E212"/>
      <c r="F212"/>
      <c r="G212"/>
      <c r="H212">
        <v>31.652100000000001</v>
      </c>
      <c r="I212"/>
      <c r="J212"/>
      <c r="K212"/>
    </row>
    <row r="213" spans="1:11" x14ac:dyDescent="0.2">
      <c r="A213" s="78">
        <v>13363</v>
      </c>
      <c r="B213">
        <v>7.3833000000000002</v>
      </c>
      <c r="C213"/>
      <c r="D213"/>
      <c r="E213"/>
      <c r="F213"/>
      <c r="G213"/>
      <c r="H213">
        <v>31.652100000000001</v>
      </c>
      <c r="I213"/>
      <c r="J213"/>
      <c r="K213"/>
    </row>
    <row r="214" spans="1:11" x14ac:dyDescent="0.2">
      <c r="A214" s="78">
        <v>13394</v>
      </c>
      <c r="B214">
        <v>7.5179999999999998</v>
      </c>
      <c r="C214"/>
      <c r="D214"/>
      <c r="E214"/>
      <c r="F214"/>
      <c r="G214"/>
      <c r="H214">
        <v>32.1327</v>
      </c>
      <c r="I214"/>
      <c r="J214"/>
      <c r="K214"/>
    </row>
    <row r="215" spans="1:11" x14ac:dyDescent="0.2">
      <c r="A215" s="78">
        <v>13424</v>
      </c>
      <c r="B215">
        <v>7.6257999999999999</v>
      </c>
      <c r="C215"/>
      <c r="D215"/>
      <c r="E215"/>
      <c r="F215"/>
      <c r="G215"/>
      <c r="H215">
        <v>32.750599999999999</v>
      </c>
      <c r="I215"/>
      <c r="J215"/>
      <c r="K215"/>
    </row>
    <row r="216" spans="1:11" x14ac:dyDescent="0.2">
      <c r="A216" s="78">
        <v>13455</v>
      </c>
      <c r="B216">
        <v>7.8414000000000001</v>
      </c>
      <c r="C216"/>
      <c r="D216"/>
      <c r="E216"/>
      <c r="F216"/>
      <c r="G216"/>
      <c r="H216">
        <v>34.192500000000003</v>
      </c>
      <c r="I216"/>
      <c r="J216"/>
      <c r="K216"/>
    </row>
    <row r="217" spans="1:11" x14ac:dyDescent="0.2">
      <c r="A217" s="78">
        <v>13485</v>
      </c>
      <c r="B217">
        <v>8.0838999999999999</v>
      </c>
      <c r="C217"/>
      <c r="D217"/>
      <c r="E217"/>
      <c r="F217"/>
      <c r="G217"/>
      <c r="H217">
        <v>34.467100000000002</v>
      </c>
      <c r="I217"/>
      <c r="J217"/>
      <c r="K217"/>
    </row>
    <row r="218" spans="1:11" x14ac:dyDescent="0.2">
      <c r="A218" s="78">
        <v>13516</v>
      </c>
      <c r="B218">
        <v>8.0569000000000006</v>
      </c>
      <c r="C218"/>
      <c r="D218"/>
      <c r="E218"/>
      <c r="F218"/>
      <c r="G218"/>
      <c r="H218">
        <v>33.849200000000003</v>
      </c>
      <c r="I218"/>
      <c r="J218"/>
      <c r="K218"/>
    </row>
    <row r="219" spans="1:11" x14ac:dyDescent="0.2">
      <c r="A219" s="78">
        <v>13547</v>
      </c>
      <c r="B219">
        <v>8.1646999999999998</v>
      </c>
      <c r="C219"/>
      <c r="D219"/>
      <c r="E219"/>
      <c r="F219"/>
      <c r="G219"/>
      <c r="H219">
        <v>34.741799999999998</v>
      </c>
      <c r="I219"/>
      <c r="J219"/>
      <c r="K219"/>
    </row>
    <row r="220" spans="1:11" x14ac:dyDescent="0.2">
      <c r="A220" s="78">
        <v>13575</v>
      </c>
      <c r="B220">
        <v>8.3534000000000006</v>
      </c>
      <c r="C220"/>
      <c r="D220"/>
      <c r="E220"/>
      <c r="F220"/>
      <c r="G220"/>
      <c r="H220">
        <v>38.243400000000001</v>
      </c>
      <c r="I220"/>
      <c r="J220"/>
      <c r="K220"/>
    </row>
    <row r="221" spans="1:11" x14ac:dyDescent="0.2">
      <c r="A221" s="78">
        <v>13606</v>
      </c>
      <c r="B221">
        <v>8.3534000000000006</v>
      </c>
      <c r="C221"/>
      <c r="D221"/>
      <c r="E221"/>
      <c r="F221"/>
      <c r="G221"/>
      <c r="H221">
        <v>35.2224</v>
      </c>
      <c r="I221"/>
      <c r="J221"/>
      <c r="K221"/>
    </row>
    <row r="222" spans="1:11" x14ac:dyDescent="0.2">
      <c r="A222" s="78">
        <v>13636</v>
      </c>
      <c r="B222">
        <v>8.3803000000000001</v>
      </c>
      <c r="C222"/>
      <c r="D222"/>
      <c r="E222"/>
      <c r="F222"/>
      <c r="G222"/>
      <c r="H222">
        <v>35.634399999999999</v>
      </c>
      <c r="I222"/>
      <c r="J222"/>
      <c r="K222"/>
    </row>
    <row r="223" spans="1:11" x14ac:dyDescent="0.2">
      <c r="A223" s="78">
        <v>13667</v>
      </c>
      <c r="B223">
        <v>8.2725000000000009</v>
      </c>
      <c r="C223"/>
      <c r="D223"/>
      <c r="E223"/>
      <c r="F223"/>
      <c r="G223"/>
      <c r="H223">
        <v>36.801499999999997</v>
      </c>
      <c r="I223"/>
      <c r="J223"/>
      <c r="K223"/>
    </row>
    <row r="224" spans="1:11" x14ac:dyDescent="0.2">
      <c r="A224" s="78">
        <v>13697</v>
      </c>
      <c r="B224">
        <v>8.3263999999999996</v>
      </c>
      <c r="C224"/>
      <c r="D224"/>
      <c r="E224"/>
      <c r="F224"/>
      <c r="G224"/>
      <c r="H224">
        <v>36.320999999999998</v>
      </c>
      <c r="I224"/>
      <c r="J224"/>
      <c r="K224"/>
    </row>
    <row r="225" spans="1:11" x14ac:dyDescent="0.2">
      <c r="A225" s="78">
        <v>13728</v>
      </c>
      <c r="B225">
        <v>8.2725000000000009</v>
      </c>
      <c r="C225"/>
      <c r="D225"/>
      <c r="E225"/>
      <c r="F225"/>
      <c r="G225"/>
      <c r="H225">
        <v>36.801600000000001</v>
      </c>
      <c r="I225"/>
      <c r="J225"/>
      <c r="K225"/>
    </row>
    <row r="226" spans="1:11" x14ac:dyDescent="0.2">
      <c r="A226" s="78">
        <v>13759</v>
      </c>
      <c r="B226">
        <v>8.0030999999999999</v>
      </c>
      <c r="C226"/>
      <c r="D226"/>
      <c r="E226"/>
      <c r="F226"/>
      <c r="G226"/>
      <c r="H226">
        <v>37.213500000000003</v>
      </c>
      <c r="I226"/>
      <c r="J226"/>
      <c r="K226"/>
    </row>
    <row r="227" spans="1:11" x14ac:dyDescent="0.2">
      <c r="A227" s="78">
        <v>13789</v>
      </c>
      <c r="B227">
        <v>7.4101999999999997</v>
      </c>
      <c r="C227"/>
      <c r="D227"/>
      <c r="E227"/>
      <c r="F227"/>
      <c r="G227"/>
      <c r="H227">
        <v>36.115000000000002</v>
      </c>
      <c r="I227"/>
      <c r="J227"/>
      <c r="K227"/>
    </row>
    <row r="228" spans="1:11" x14ac:dyDescent="0.2">
      <c r="A228" s="78">
        <v>13820</v>
      </c>
      <c r="B228">
        <v>6.6826999999999996</v>
      </c>
      <c r="C228"/>
      <c r="D228"/>
      <c r="E228"/>
      <c r="F228"/>
      <c r="G228"/>
      <c r="H228">
        <v>35.2224</v>
      </c>
      <c r="I228"/>
      <c r="J228"/>
      <c r="K228"/>
    </row>
    <row r="229" spans="1:11" x14ac:dyDescent="0.2">
      <c r="A229" s="78">
        <v>13850</v>
      </c>
      <c r="B229">
        <v>6.0899000000000001</v>
      </c>
      <c r="C229"/>
      <c r="D229"/>
      <c r="E229"/>
      <c r="F229"/>
      <c r="G229"/>
      <c r="H229">
        <v>34.398400000000002</v>
      </c>
      <c r="I229"/>
      <c r="J229"/>
      <c r="K229"/>
    </row>
    <row r="230" spans="1:11" x14ac:dyDescent="0.2">
      <c r="A230" s="78">
        <v>13881</v>
      </c>
      <c r="B230">
        <v>5.9550999999999998</v>
      </c>
      <c r="C230"/>
      <c r="D230"/>
      <c r="E230"/>
      <c r="F230"/>
      <c r="G230"/>
      <c r="H230">
        <v>32.956600000000002</v>
      </c>
      <c r="I230"/>
      <c r="J230"/>
      <c r="K230"/>
    </row>
    <row r="231" spans="1:11" x14ac:dyDescent="0.2">
      <c r="A231" s="78">
        <v>13912</v>
      </c>
      <c r="B231">
        <v>5.9012000000000002</v>
      </c>
      <c r="C231"/>
      <c r="D231"/>
      <c r="E231"/>
      <c r="F231"/>
      <c r="G231"/>
      <c r="H231">
        <v>31.240100000000002</v>
      </c>
      <c r="I231"/>
      <c r="J231"/>
      <c r="K231"/>
    </row>
    <row r="232" spans="1:11" x14ac:dyDescent="0.2">
      <c r="A232" s="78">
        <v>13940</v>
      </c>
      <c r="B232">
        <v>5.9012000000000002</v>
      </c>
      <c r="C232"/>
      <c r="D232"/>
      <c r="E232"/>
      <c r="F232"/>
      <c r="G232"/>
      <c r="H232">
        <v>31.308800000000002</v>
      </c>
      <c r="I232"/>
      <c r="J232"/>
      <c r="K232"/>
    </row>
    <row r="233" spans="1:11" x14ac:dyDescent="0.2">
      <c r="A233" s="78">
        <v>13971</v>
      </c>
      <c r="B233">
        <v>5.7934999999999999</v>
      </c>
      <c r="C233"/>
      <c r="D233"/>
      <c r="E233"/>
      <c r="F233"/>
      <c r="G233"/>
      <c r="H233">
        <v>30.3476</v>
      </c>
      <c r="I233"/>
      <c r="J233"/>
      <c r="K233"/>
    </row>
    <row r="234" spans="1:11" x14ac:dyDescent="0.2">
      <c r="A234" s="78">
        <v>14001</v>
      </c>
      <c r="B234">
        <v>5.6586999999999996</v>
      </c>
      <c r="C234"/>
      <c r="D234"/>
      <c r="E234"/>
      <c r="F234"/>
      <c r="G234"/>
      <c r="H234">
        <v>28.6311</v>
      </c>
      <c r="I234"/>
      <c r="J234"/>
      <c r="K234"/>
    </row>
    <row r="235" spans="1:11" x14ac:dyDescent="0.2">
      <c r="A235" s="78">
        <v>14032</v>
      </c>
      <c r="B235">
        <v>5.7126000000000001</v>
      </c>
      <c r="C235"/>
      <c r="D235"/>
      <c r="E235"/>
      <c r="F235"/>
      <c r="G235"/>
      <c r="H235">
        <v>29.386299999999999</v>
      </c>
      <c r="I235"/>
      <c r="J235"/>
      <c r="K235"/>
    </row>
    <row r="236" spans="1:11" x14ac:dyDescent="0.2">
      <c r="A236" s="78">
        <v>14062</v>
      </c>
      <c r="B236">
        <v>6.0359999999999996</v>
      </c>
      <c r="C236"/>
      <c r="D236"/>
      <c r="E236"/>
      <c r="F236"/>
      <c r="G236"/>
      <c r="H236">
        <v>30.1416</v>
      </c>
      <c r="I236"/>
      <c r="J236"/>
      <c r="K236"/>
    </row>
    <row r="237" spans="1:11" x14ac:dyDescent="0.2">
      <c r="A237" s="78">
        <v>14093</v>
      </c>
      <c r="B237">
        <v>6.3593000000000002</v>
      </c>
      <c r="C237"/>
      <c r="D237"/>
      <c r="E237"/>
      <c r="F237"/>
      <c r="G237"/>
      <c r="H237">
        <v>31.034199999999998</v>
      </c>
      <c r="I237"/>
      <c r="J237"/>
      <c r="K237"/>
    </row>
    <row r="238" spans="1:11" x14ac:dyDescent="0.2">
      <c r="A238" s="78">
        <v>14124</v>
      </c>
      <c r="B238">
        <v>6.548</v>
      </c>
      <c r="C238"/>
      <c r="D238"/>
      <c r="E238"/>
      <c r="F238"/>
      <c r="G238"/>
      <c r="H238">
        <v>31.240200000000002</v>
      </c>
      <c r="I238"/>
      <c r="J238"/>
      <c r="K238"/>
    </row>
    <row r="239" spans="1:11" x14ac:dyDescent="0.2">
      <c r="A239" s="78">
        <v>14154</v>
      </c>
      <c r="B239">
        <v>6.7096</v>
      </c>
      <c r="C239"/>
      <c r="D239"/>
      <c r="E239"/>
      <c r="F239"/>
      <c r="G239"/>
      <c r="H239">
        <v>31.583400000000001</v>
      </c>
      <c r="I239"/>
      <c r="J239"/>
      <c r="K239"/>
    </row>
    <row r="240" spans="1:11" x14ac:dyDescent="0.2">
      <c r="A240" s="78">
        <v>14185</v>
      </c>
      <c r="B240">
        <v>6.9790999999999999</v>
      </c>
      <c r="C240"/>
      <c r="D240"/>
      <c r="E240"/>
      <c r="F240"/>
      <c r="G240"/>
      <c r="H240">
        <v>32.613300000000002</v>
      </c>
      <c r="I240"/>
      <c r="J240"/>
      <c r="K240"/>
    </row>
    <row r="241" spans="1:11" x14ac:dyDescent="0.2">
      <c r="A241" s="78">
        <v>14215</v>
      </c>
      <c r="B241">
        <v>7.0598999999999998</v>
      </c>
      <c r="C241"/>
      <c r="D241"/>
      <c r="E241"/>
      <c r="F241"/>
      <c r="G241"/>
      <c r="H241">
        <v>32.613300000000002</v>
      </c>
      <c r="I241"/>
      <c r="J241"/>
      <c r="K241"/>
    </row>
    <row r="242" spans="1:11" x14ac:dyDescent="0.2">
      <c r="A242" s="78">
        <v>14246</v>
      </c>
      <c r="B242">
        <v>7.0598999999999998</v>
      </c>
      <c r="C242"/>
      <c r="D242"/>
      <c r="E242">
        <v>11.7767</v>
      </c>
      <c r="F242"/>
      <c r="G242">
        <v>6.1791999999999998</v>
      </c>
      <c r="H242">
        <v>31.9954</v>
      </c>
      <c r="I242">
        <v>3.3283</v>
      </c>
      <c r="J242"/>
      <c r="K242"/>
    </row>
    <row r="243" spans="1:11" x14ac:dyDescent="0.2">
      <c r="A243" s="78">
        <v>14277</v>
      </c>
      <c r="B243">
        <v>7.1138000000000003</v>
      </c>
      <c r="C243"/>
      <c r="D243"/>
      <c r="E243">
        <v>11.7767</v>
      </c>
      <c r="F243"/>
      <c r="G243">
        <v>6.2773000000000003</v>
      </c>
      <c r="H243">
        <v>32.1327</v>
      </c>
      <c r="I243">
        <v>3.3536999999999999</v>
      </c>
      <c r="J243"/>
      <c r="K243"/>
    </row>
    <row r="244" spans="1:11" x14ac:dyDescent="0.2">
      <c r="A244" s="78">
        <v>14305</v>
      </c>
      <c r="B244">
        <v>7.1407999999999996</v>
      </c>
      <c r="C244"/>
      <c r="D244"/>
      <c r="E244">
        <v>11.969799999999999</v>
      </c>
      <c r="F244"/>
      <c r="G244">
        <v>6.2773000000000003</v>
      </c>
      <c r="H244">
        <v>32.887999999999998</v>
      </c>
      <c r="I244">
        <v>3.4298999999999999</v>
      </c>
      <c r="J244"/>
      <c r="K244"/>
    </row>
    <row r="245" spans="1:11" x14ac:dyDescent="0.2">
      <c r="A245" s="78">
        <v>14336</v>
      </c>
      <c r="B245">
        <v>7.1138000000000003</v>
      </c>
      <c r="C245"/>
      <c r="D245"/>
      <c r="E245">
        <v>11.969799999999999</v>
      </c>
      <c r="F245"/>
      <c r="G245">
        <v>6.0811000000000002</v>
      </c>
      <c r="H245">
        <v>30.965499999999999</v>
      </c>
      <c r="I245">
        <v>3.4552999999999998</v>
      </c>
      <c r="J245"/>
      <c r="K245"/>
    </row>
    <row r="246" spans="1:11" x14ac:dyDescent="0.2">
      <c r="A246" s="78">
        <v>14366</v>
      </c>
      <c r="B246">
        <v>7.0869</v>
      </c>
      <c r="C246"/>
      <c r="D246"/>
      <c r="E246">
        <v>12.0084</v>
      </c>
      <c r="F246"/>
      <c r="G246">
        <v>6.0566000000000004</v>
      </c>
      <c r="H246">
        <v>31.240100000000002</v>
      </c>
      <c r="I246">
        <v>3.4807000000000001</v>
      </c>
      <c r="J246"/>
      <c r="K246"/>
    </row>
    <row r="247" spans="1:11" x14ac:dyDescent="0.2">
      <c r="A247" s="78">
        <v>14397</v>
      </c>
      <c r="B247">
        <v>7.2485999999999997</v>
      </c>
      <c r="C247"/>
      <c r="D247"/>
      <c r="E247">
        <v>12.1242</v>
      </c>
      <c r="F247"/>
      <c r="G247">
        <v>6.3509000000000002</v>
      </c>
      <c r="H247">
        <v>32.750700000000002</v>
      </c>
      <c r="I247">
        <v>3.5061</v>
      </c>
      <c r="J247"/>
      <c r="K247"/>
    </row>
    <row r="248" spans="1:11" x14ac:dyDescent="0.2">
      <c r="A248" s="78">
        <v>14427</v>
      </c>
      <c r="B248">
        <v>7.4641000000000002</v>
      </c>
      <c r="C248"/>
      <c r="D248"/>
      <c r="E248">
        <v>12.278700000000001</v>
      </c>
      <c r="F248"/>
      <c r="G248">
        <v>6.6205999999999996</v>
      </c>
      <c r="H248">
        <v>33.986499999999999</v>
      </c>
      <c r="I248">
        <v>3.5061</v>
      </c>
      <c r="J248"/>
      <c r="K248"/>
    </row>
    <row r="249" spans="1:11" x14ac:dyDescent="0.2">
      <c r="A249" s="78">
        <v>14458</v>
      </c>
      <c r="B249">
        <v>7.5719000000000003</v>
      </c>
      <c r="C249"/>
      <c r="D249"/>
      <c r="E249">
        <v>12.317299999999999</v>
      </c>
      <c r="F249"/>
      <c r="G249">
        <v>6.6942000000000004</v>
      </c>
      <c r="H249">
        <v>29.523599999999998</v>
      </c>
      <c r="I249">
        <v>3.5316000000000001</v>
      </c>
      <c r="J249"/>
      <c r="K249"/>
    </row>
    <row r="250" spans="1:11" x14ac:dyDescent="0.2">
      <c r="A250" s="78">
        <v>14489</v>
      </c>
      <c r="B250">
        <v>8.0299999999999994</v>
      </c>
      <c r="C250"/>
      <c r="D250"/>
      <c r="E250">
        <v>12.510300000000001</v>
      </c>
      <c r="F250"/>
      <c r="G250">
        <v>7.4542999999999999</v>
      </c>
      <c r="H250">
        <v>35.5657</v>
      </c>
      <c r="I250">
        <v>3.6332</v>
      </c>
      <c r="J250"/>
      <c r="K250"/>
    </row>
    <row r="251" spans="1:11" x14ac:dyDescent="0.2">
      <c r="A251" s="78">
        <v>14519</v>
      </c>
      <c r="B251">
        <v>8.4342000000000006</v>
      </c>
      <c r="C251"/>
      <c r="D251"/>
      <c r="E251">
        <v>12.626200000000001</v>
      </c>
      <c r="F251"/>
      <c r="G251">
        <v>8.1654</v>
      </c>
      <c r="H251">
        <v>37.213500000000003</v>
      </c>
      <c r="I251">
        <v>3.6332</v>
      </c>
      <c r="J251"/>
      <c r="K251"/>
    </row>
    <row r="252" spans="1:11" x14ac:dyDescent="0.2">
      <c r="A252" s="78">
        <v>14550</v>
      </c>
      <c r="B252">
        <v>8.6498000000000008</v>
      </c>
      <c r="C252"/>
      <c r="D252"/>
      <c r="E252">
        <v>12.742000000000001</v>
      </c>
      <c r="F252"/>
      <c r="G252">
        <v>8.3125</v>
      </c>
      <c r="H252">
        <v>37.213500000000003</v>
      </c>
      <c r="I252">
        <v>3.6840000000000002</v>
      </c>
      <c r="J252"/>
      <c r="K252"/>
    </row>
    <row r="253" spans="1:11" x14ac:dyDescent="0.2">
      <c r="A253" s="78">
        <v>14580</v>
      </c>
      <c r="B253">
        <v>8.6498000000000008</v>
      </c>
      <c r="C253"/>
      <c r="D253"/>
      <c r="E253">
        <v>12.7806</v>
      </c>
      <c r="F253"/>
      <c r="G253">
        <v>8.3125</v>
      </c>
      <c r="H253">
        <v>36.183599999999998</v>
      </c>
      <c r="I253">
        <v>3.6840000000000002</v>
      </c>
      <c r="J253"/>
      <c r="K253"/>
    </row>
    <row r="254" spans="1:11" x14ac:dyDescent="0.2">
      <c r="A254" s="78">
        <v>14611</v>
      </c>
      <c r="B254">
        <v>8.5419999999999998</v>
      </c>
      <c r="C254"/>
      <c r="D254"/>
      <c r="E254">
        <v>12.742000000000001</v>
      </c>
      <c r="F254"/>
      <c r="G254">
        <v>8.0917999999999992</v>
      </c>
      <c r="H254">
        <v>37.213500000000003</v>
      </c>
      <c r="I254">
        <v>3.7094</v>
      </c>
      <c r="J254"/>
      <c r="K254"/>
    </row>
    <row r="255" spans="1:11" x14ac:dyDescent="0.2">
      <c r="A255" s="78">
        <v>14642</v>
      </c>
      <c r="B255">
        <v>8.2725000000000009</v>
      </c>
      <c r="C255"/>
      <c r="D255"/>
      <c r="E255">
        <v>12.7034</v>
      </c>
      <c r="F255"/>
      <c r="G255">
        <v>7.6505000000000001</v>
      </c>
      <c r="H255">
        <v>36.458300000000001</v>
      </c>
      <c r="I255">
        <v>3.7602000000000002</v>
      </c>
      <c r="J255"/>
      <c r="K255"/>
    </row>
    <row r="256" spans="1:11" x14ac:dyDescent="0.2">
      <c r="A256" s="78">
        <v>14671</v>
      </c>
      <c r="B256">
        <v>8.0838999999999999</v>
      </c>
      <c r="C256"/>
      <c r="D256"/>
      <c r="E256">
        <v>12.5489</v>
      </c>
      <c r="F256"/>
      <c r="G256">
        <v>7.3562000000000003</v>
      </c>
      <c r="H256">
        <v>37.213500000000003</v>
      </c>
      <c r="I256">
        <v>3.7856000000000001</v>
      </c>
      <c r="J256"/>
      <c r="K256"/>
    </row>
    <row r="257" spans="1:11" x14ac:dyDescent="0.2">
      <c r="A257" s="78">
        <v>14702</v>
      </c>
      <c r="B257">
        <v>8.2455999999999996</v>
      </c>
      <c r="C257"/>
      <c r="D257"/>
      <c r="E257">
        <v>12.626200000000001</v>
      </c>
      <c r="F257"/>
      <c r="G257">
        <v>7.5769000000000002</v>
      </c>
      <c r="H257">
        <v>40.3718</v>
      </c>
      <c r="I257">
        <v>3.7856000000000001</v>
      </c>
      <c r="J257"/>
      <c r="K257"/>
    </row>
    <row r="258" spans="1:11" x14ac:dyDescent="0.2">
      <c r="A258" s="78">
        <v>14732</v>
      </c>
      <c r="B258">
        <v>8.4880999999999993</v>
      </c>
      <c r="C258"/>
      <c r="D258"/>
      <c r="E258">
        <v>12.7034</v>
      </c>
      <c r="F258"/>
      <c r="G258">
        <v>7.9202000000000004</v>
      </c>
      <c r="H258">
        <v>38.243400000000001</v>
      </c>
      <c r="I258">
        <v>3.8363999999999998</v>
      </c>
      <c r="J258"/>
      <c r="K258"/>
    </row>
    <row r="259" spans="1:11" x14ac:dyDescent="0.2">
      <c r="A259" s="78">
        <v>14763</v>
      </c>
      <c r="B259">
        <v>8.7575000000000003</v>
      </c>
      <c r="C259"/>
      <c r="D259"/>
      <c r="E259">
        <v>12.8192</v>
      </c>
      <c r="F259"/>
      <c r="G259">
        <v>8.3369999999999997</v>
      </c>
      <c r="H259">
        <v>37.282200000000003</v>
      </c>
      <c r="I259">
        <v>3.8618000000000001</v>
      </c>
      <c r="J259"/>
      <c r="K259"/>
    </row>
    <row r="260" spans="1:11" x14ac:dyDescent="0.2">
      <c r="A260" s="78">
        <v>14793</v>
      </c>
      <c r="B260">
        <v>8.8652999999999995</v>
      </c>
      <c r="C260"/>
      <c r="D260"/>
      <c r="E260">
        <v>12.7806</v>
      </c>
      <c r="F260"/>
      <c r="G260">
        <v>8.5577000000000005</v>
      </c>
      <c r="H260">
        <v>37.282200000000003</v>
      </c>
      <c r="I260">
        <v>3.8618000000000001</v>
      </c>
      <c r="J260"/>
      <c r="K260"/>
    </row>
    <row r="261" spans="1:11" x14ac:dyDescent="0.2">
      <c r="A261" s="78">
        <v>14824</v>
      </c>
      <c r="B261">
        <v>8.9192</v>
      </c>
      <c r="C261"/>
      <c r="D261"/>
      <c r="E261">
        <v>12.7806</v>
      </c>
      <c r="F261"/>
      <c r="G261">
        <v>8.6312999999999995</v>
      </c>
      <c r="H261">
        <v>36.252299999999998</v>
      </c>
      <c r="I261">
        <v>3.9127000000000001</v>
      </c>
      <c r="J261"/>
      <c r="K261"/>
    </row>
    <row r="262" spans="1:11" x14ac:dyDescent="0.2">
      <c r="A262" s="78">
        <v>14855</v>
      </c>
      <c r="B262">
        <v>9.1079000000000008</v>
      </c>
      <c r="C262"/>
      <c r="D262"/>
      <c r="E262">
        <v>13.1281</v>
      </c>
      <c r="F262"/>
      <c r="G262">
        <v>8.7294</v>
      </c>
      <c r="H262">
        <v>36.320999999999998</v>
      </c>
      <c r="I262">
        <v>3.9380999999999999</v>
      </c>
      <c r="J262"/>
      <c r="K262"/>
    </row>
    <row r="263" spans="1:11" x14ac:dyDescent="0.2">
      <c r="A263" s="78">
        <v>14885</v>
      </c>
      <c r="B263">
        <v>9.2425999999999995</v>
      </c>
      <c r="C263"/>
      <c r="D263"/>
      <c r="E263">
        <v>13.3598</v>
      </c>
      <c r="F263"/>
      <c r="G263">
        <v>8.8275000000000006</v>
      </c>
      <c r="H263">
        <v>35.703000000000003</v>
      </c>
      <c r="I263">
        <v>3.9889000000000001</v>
      </c>
      <c r="J263"/>
      <c r="K263"/>
    </row>
    <row r="264" spans="1:11" x14ac:dyDescent="0.2">
      <c r="A264" s="78">
        <v>14916</v>
      </c>
      <c r="B264">
        <v>9.4581999999999997</v>
      </c>
      <c r="C264"/>
      <c r="D264"/>
      <c r="E264">
        <v>13.630100000000001</v>
      </c>
      <c r="F264"/>
      <c r="G264">
        <v>8.9991000000000003</v>
      </c>
      <c r="H264">
        <v>36.801499999999997</v>
      </c>
      <c r="I264">
        <v>4.0904999999999996</v>
      </c>
      <c r="J264"/>
      <c r="K264"/>
    </row>
    <row r="265" spans="1:11" x14ac:dyDescent="0.2">
      <c r="A265" s="78">
        <v>14946</v>
      </c>
      <c r="B265">
        <v>9.7814999999999994</v>
      </c>
      <c r="C265"/>
      <c r="D265"/>
      <c r="E265">
        <v>14.0548</v>
      </c>
      <c r="F265"/>
      <c r="G265">
        <v>9.3178999999999998</v>
      </c>
      <c r="H265">
        <v>37.762799999999999</v>
      </c>
      <c r="I265">
        <v>4.0904999999999996</v>
      </c>
      <c r="J265"/>
      <c r="K265"/>
    </row>
    <row r="266" spans="1:11" x14ac:dyDescent="0.2">
      <c r="A266" s="78">
        <v>14977</v>
      </c>
      <c r="B266">
        <v>10.023999999999999</v>
      </c>
      <c r="C266"/>
      <c r="D266"/>
      <c r="E266">
        <v>14.325100000000001</v>
      </c>
      <c r="F266"/>
      <c r="G266">
        <v>9.4405000000000001</v>
      </c>
      <c r="H266">
        <v>37.419499999999999</v>
      </c>
      <c r="I266">
        <v>4.1413000000000002</v>
      </c>
      <c r="J266"/>
      <c r="K266"/>
    </row>
    <row r="267" spans="1:11" x14ac:dyDescent="0.2">
      <c r="A267" s="78">
        <v>15008</v>
      </c>
      <c r="B267">
        <v>10.320399999999999</v>
      </c>
      <c r="C267"/>
      <c r="D267"/>
      <c r="E267">
        <v>14.7498</v>
      </c>
      <c r="F267"/>
      <c r="G267">
        <v>9.7102000000000004</v>
      </c>
      <c r="H267">
        <v>37.694200000000002</v>
      </c>
      <c r="I267">
        <v>4.1666999999999996</v>
      </c>
      <c r="J267"/>
      <c r="K267"/>
    </row>
    <row r="268" spans="1:11" x14ac:dyDescent="0.2">
      <c r="A268" s="78">
        <v>15036</v>
      </c>
      <c r="B268">
        <v>10.643800000000001</v>
      </c>
      <c r="C268"/>
      <c r="D268"/>
      <c r="E268">
        <v>15.135999999999999</v>
      </c>
      <c r="F268"/>
      <c r="G268">
        <v>10.0535</v>
      </c>
      <c r="H268">
        <v>40.028500000000001</v>
      </c>
      <c r="I268">
        <v>4.2428999999999997</v>
      </c>
      <c r="J268"/>
      <c r="K268"/>
    </row>
    <row r="269" spans="1:11" x14ac:dyDescent="0.2">
      <c r="A269" s="78">
        <v>15067</v>
      </c>
      <c r="B269">
        <v>10.6707</v>
      </c>
      <c r="C269"/>
      <c r="D269"/>
      <c r="E269">
        <v>15.4062</v>
      </c>
      <c r="F269"/>
      <c r="G269">
        <v>9.8328000000000007</v>
      </c>
      <c r="H269">
        <v>32.064</v>
      </c>
      <c r="I269">
        <v>4.2683999999999997</v>
      </c>
      <c r="J269"/>
      <c r="K269"/>
    </row>
    <row r="270" spans="1:11" x14ac:dyDescent="0.2">
      <c r="A270" s="78">
        <v>15097</v>
      </c>
      <c r="B270">
        <v>11.155799999999999</v>
      </c>
      <c r="C270"/>
      <c r="D270"/>
      <c r="E270">
        <v>15.8696</v>
      </c>
      <c r="F270"/>
      <c r="G270">
        <v>10.4458</v>
      </c>
      <c r="H270">
        <v>39.067300000000003</v>
      </c>
      <c r="I270">
        <v>4.3192000000000004</v>
      </c>
      <c r="J270"/>
      <c r="K270"/>
    </row>
    <row r="271" spans="1:11" x14ac:dyDescent="0.2">
      <c r="A271" s="78">
        <v>15128</v>
      </c>
      <c r="B271">
        <v>11.236599999999999</v>
      </c>
      <c r="C271"/>
      <c r="D271"/>
      <c r="E271">
        <v>15.908200000000001</v>
      </c>
      <c r="F271"/>
      <c r="G271">
        <v>10.5929</v>
      </c>
      <c r="H271">
        <v>40.097299999999997</v>
      </c>
      <c r="I271">
        <v>4.37</v>
      </c>
      <c r="J271"/>
      <c r="K271"/>
    </row>
    <row r="272" spans="1:11" x14ac:dyDescent="0.2">
      <c r="A272" s="78">
        <v>15158</v>
      </c>
      <c r="B272">
        <v>11.3713</v>
      </c>
      <c r="C272"/>
      <c r="D272"/>
      <c r="E272">
        <v>15.908200000000001</v>
      </c>
      <c r="F272"/>
      <c r="G272">
        <v>10.7401</v>
      </c>
      <c r="H272">
        <v>39.959899999999998</v>
      </c>
      <c r="I272">
        <v>4.4207999999999998</v>
      </c>
      <c r="J272"/>
      <c r="K272"/>
    </row>
    <row r="273" spans="1:11" x14ac:dyDescent="0.2">
      <c r="A273" s="78">
        <v>15189</v>
      </c>
      <c r="B273">
        <v>11.5061</v>
      </c>
      <c r="C273"/>
      <c r="D273"/>
      <c r="E273">
        <v>15.9468</v>
      </c>
      <c r="F273"/>
      <c r="G273">
        <v>10.813599999999999</v>
      </c>
      <c r="H273">
        <v>40.646500000000003</v>
      </c>
      <c r="I273">
        <v>4.4462000000000002</v>
      </c>
      <c r="J273"/>
      <c r="K273"/>
    </row>
    <row r="274" spans="1:11" x14ac:dyDescent="0.2">
      <c r="A274" s="78">
        <v>15220</v>
      </c>
      <c r="B274">
        <v>11.5061</v>
      </c>
      <c r="C274"/>
      <c r="D274"/>
      <c r="E274">
        <v>15.8696</v>
      </c>
      <c r="F274"/>
      <c r="G274">
        <v>10.813599999999999</v>
      </c>
      <c r="H274">
        <v>41.127099999999999</v>
      </c>
      <c r="I274">
        <v>4.4969999999999999</v>
      </c>
      <c r="J274"/>
      <c r="K274"/>
    </row>
    <row r="275" spans="1:11" x14ac:dyDescent="0.2">
      <c r="A275" s="78">
        <v>15250</v>
      </c>
      <c r="B275">
        <v>11.613899999999999</v>
      </c>
      <c r="C275"/>
      <c r="D275"/>
      <c r="E275">
        <v>15.8696</v>
      </c>
      <c r="F275"/>
      <c r="G275">
        <v>10.8627</v>
      </c>
      <c r="H275">
        <v>42.0884</v>
      </c>
      <c r="I275">
        <v>4.5224000000000002</v>
      </c>
      <c r="J275"/>
      <c r="K275"/>
    </row>
    <row r="276" spans="1:11" x14ac:dyDescent="0.2">
      <c r="A276" s="78">
        <v>15281</v>
      </c>
      <c r="B276">
        <v>11.6678</v>
      </c>
      <c r="C276"/>
      <c r="D276"/>
      <c r="E276">
        <v>15.908200000000001</v>
      </c>
      <c r="F276"/>
      <c r="G276">
        <v>10.936199999999999</v>
      </c>
      <c r="H276">
        <v>41.470399999999998</v>
      </c>
      <c r="I276">
        <v>4.5477999999999996</v>
      </c>
      <c r="J276"/>
      <c r="K276"/>
    </row>
    <row r="277" spans="1:11" x14ac:dyDescent="0.2">
      <c r="A277" s="78">
        <v>15311</v>
      </c>
      <c r="B277">
        <v>11.856400000000001</v>
      </c>
      <c r="C277"/>
      <c r="D277"/>
      <c r="E277">
        <v>15.908200000000001</v>
      </c>
      <c r="F277"/>
      <c r="G277">
        <v>11.1569</v>
      </c>
      <c r="H277">
        <v>42.225700000000003</v>
      </c>
      <c r="I277">
        <v>4.6494999999999997</v>
      </c>
      <c r="J277"/>
      <c r="K277"/>
    </row>
    <row r="278" spans="1:11" x14ac:dyDescent="0.2">
      <c r="A278" s="78">
        <v>15342</v>
      </c>
      <c r="B278">
        <v>12.0989</v>
      </c>
      <c r="C278"/>
      <c r="D278"/>
      <c r="E278">
        <v>16.217099999999999</v>
      </c>
      <c r="F278"/>
      <c r="G278">
        <v>11.1814</v>
      </c>
      <c r="H278">
        <v>41.676400000000001</v>
      </c>
      <c r="I278">
        <v>4.7511000000000001</v>
      </c>
      <c r="J278"/>
      <c r="K278"/>
    </row>
    <row r="279" spans="1:11" x14ac:dyDescent="0.2">
      <c r="A279" s="78">
        <v>15373</v>
      </c>
      <c r="B279">
        <v>12.314500000000001</v>
      </c>
      <c r="C279"/>
      <c r="D279"/>
      <c r="E279">
        <v>16.024000000000001</v>
      </c>
      <c r="F279"/>
      <c r="G279">
        <v>11.3531</v>
      </c>
      <c r="H279">
        <v>41.951000000000001</v>
      </c>
      <c r="I279">
        <v>4.7765000000000004</v>
      </c>
      <c r="J279"/>
      <c r="K279"/>
    </row>
    <row r="280" spans="1:11" x14ac:dyDescent="0.2">
      <c r="A280" s="78">
        <v>15401</v>
      </c>
      <c r="B280">
        <v>12.449199999999999</v>
      </c>
      <c r="C280"/>
      <c r="D280"/>
      <c r="E280">
        <v>16.024000000000001</v>
      </c>
      <c r="F280"/>
      <c r="G280">
        <v>11.4512</v>
      </c>
      <c r="H280">
        <v>40.303199999999997</v>
      </c>
      <c r="I280">
        <v>4.8018999999999998</v>
      </c>
      <c r="J280"/>
      <c r="K280"/>
    </row>
    <row r="281" spans="1:11" x14ac:dyDescent="0.2">
      <c r="A281" s="78">
        <v>15432</v>
      </c>
      <c r="B281">
        <v>12.0989</v>
      </c>
      <c r="C281"/>
      <c r="D281"/>
      <c r="E281">
        <v>13.8232</v>
      </c>
      <c r="F281"/>
      <c r="G281">
        <v>11.7454</v>
      </c>
      <c r="H281">
        <v>41.539099999999998</v>
      </c>
      <c r="I281">
        <v>4.8273000000000001</v>
      </c>
      <c r="J281"/>
      <c r="K281"/>
    </row>
    <row r="282" spans="1:11" x14ac:dyDescent="0.2">
      <c r="A282" s="78">
        <v>15462</v>
      </c>
      <c r="B282">
        <v>12.1258</v>
      </c>
      <c r="C282"/>
      <c r="D282"/>
      <c r="E282">
        <v>13.668699999999999</v>
      </c>
      <c r="F282"/>
      <c r="G282">
        <v>11.7209</v>
      </c>
      <c r="H282">
        <v>40.5092</v>
      </c>
      <c r="I282">
        <v>4.8018999999999998</v>
      </c>
      <c r="J282"/>
      <c r="K282"/>
    </row>
    <row r="283" spans="1:11" x14ac:dyDescent="0.2">
      <c r="A283" s="78">
        <v>15493</v>
      </c>
      <c r="B283">
        <v>12.152799999999999</v>
      </c>
      <c r="C283"/>
      <c r="D283"/>
      <c r="E283">
        <v>13.436999999999999</v>
      </c>
      <c r="F283"/>
      <c r="G283">
        <v>11.7454</v>
      </c>
      <c r="H283">
        <v>40.028599999999997</v>
      </c>
      <c r="I283">
        <v>4.8273000000000001</v>
      </c>
      <c r="J283"/>
      <c r="K283"/>
    </row>
    <row r="284" spans="1:11" x14ac:dyDescent="0.2">
      <c r="A284" s="78">
        <v>15523</v>
      </c>
      <c r="B284">
        <v>12.449199999999999</v>
      </c>
      <c r="C284"/>
      <c r="D284"/>
      <c r="E284">
        <v>13.630100000000001</v>
      </c>
      <c r="F284"/>
      <c r="G284">
        <v>11.966100000000001</v>
      </c>
      <c r="H284">
        <v>39.891199999999998</v>
      </c>
      <c r="I284">
        <v>4.9542999999999999</v>
      </c>
      <c r="J284"/>
      <c r="K284"/>
    </row>
    <row r="285" spans="1:11" x14ac:dyDescent="0.2">
      <c r="A285" s="78">
        <v>15554</v>
      </c>
      <c r="B285">
        <v>12.8264</v>
      </c>
      <c r="C285"/>
      <c r="D285"/>
      <c r="E285">
        <v>13.745900000000001</v>
      </c>
      <c r="F285"/>
      <c r="G285">
        <v>12.3094</v>
      </c>
      <c r="H285">
        <v>41.058399999999999</v>
      </c>
      <c r="I285">
        <v>5.0052000000000003</v>
      </c>
      <c r="J285"/>
      <c r="K285"/>
    </row>
    <row r="286" spans="1:11" x14ac:dyDescent="0.2">
      <c r="A286" s="78">
        <v>15585</v>
      </c>
      <c r="B286">
        <v>13.1229</v>
      </c>
      <c r="C286"/>
      <c r="D286"/>
      <c r="E286">
        <v>13.7845</v>
      </c>
      <c r="F286"/>
      <c r="G286">
        <v>12.4565</v>
      </c>
      <c r="H286">
        <v>40.852499999999999</v>
      </c>
      <c r="I286">
        <v>5.0305999999999997</v>
      </c>
      <c r="J286"/>
      <c r="K286"/>
    </row>
    <row r="287" spans="1:11" x14ac:dyDescent="0.2">
      <c r="A287" s="78">
        <v>15615</v>
      </c>
      <c r="B287">
        <v>13.554</v>
      </c>
      <c r="C287"/>
      <c r="D287"/>
      <c r="E287">
        <v>14.0162</v>
      </c>
      <c r="F287"/>
      <c r="G287">
        <v>12.799799999999999</v>
      </c>
      <c r="H287">
        <v>40.5092</v>
      </c>
      <c r="I287">
        <v>5.056</v>
      </c>
      <c r="J287"/>
      <c r="K287"/>
    </row>
    <row r="288" spans="1:11" x14ac:dyDescent="0.2">
      <c r="A288" s="78">
        <v>15646</v>
      </c>
      <c r="B288">
        <v>13.8774</v>
      </c>
      <c r="C288"/>
      <c r="D288"/>
      <c r="E288">
        <v>14.093400000000001</v>
      </c>
      <c r="F288"/>
      <c r="G288">
        <v>12.996</v>
      </c>
      <c r="H288">
        <v>40.783799999999999</v>
      </c>
      <c r="I288">
        <v>5.1067999999999998</v>
      </c>
      <c r="J288"/>
      <c r="K288"/>
    </row>
    <row r="289" spans="1:11" x14ac:dyDescent="0.2">
      <c r="A289" s="78">
        <v>15676</v>
      </c>
      <c r="B289">
        <v>14.200699999999999</v>
      </c>
      <c r="C289"/>
      <c r="D289"/>
      <c r="E289">
        <v>14.4023</v>
      </c>
      <c r="F289"/>
      <c r="G289">
        <v>13.1431</v>
      </c>
      <c r="H289">
        <v>40.303199999999997</v>
      </c>
      <c r="I289">
        <v>5.1829999999999998</v>
      </c>
      <c r="J289"/>
      <c r="K289"/>
    </row>
    <row r="290" spans="1:11" x14ac:dyDescent="0.2">
      <c r="A290" s="78">
        <v>15707</v>
      </c>
      <c r="B290">
        <v>14.3355</v>
      </c>
      <c r="C290"/>
      <c r="D290"/>
      <c r="E290">
        <v>13.977600000000001</v>
      </c>
      <c r="F290"/>
      <c r="G290">
        <v>13.3393</v>
      </c>
      <c r="H290">
        <v>39.067399999999999</v>
      </c>
      <c r="I290">
        <v>5.1576000000000004</v>
      </c>
      <c r="J290"/>
      <c r="K290"/>
    </row>
    <row r="291" spans="1:11" x14ac:dyDescent="0.2">
      <c r="A291" s="78">
        <v>15738</v>
      </c>
      <c r="B291">
        <v>14.7127</v>
      </c>
      <c r="C291"/>
      <c r="D291"/>
      <c r="E291">
        <v>14.093400000000001</v>
      </c>
      <c r="F291"/>
      <c r="G291">
        <v>13.682600000000001</v>
      </c>
      <c r="H291">
        <v>41.127099999999999</v>
      </c>
      <c r="I291">
        <v>5.2084000000000001</v>
      </c>
      <c r="J291"/>
      <c r="K291"/>
    </row>
    <row r="292" spans="1:11" x14ac:dyDescent="0.2">
      <c r="A292" s="78">
        <v>15766</v>
      </c>
      <c r="B292">
        <v>14.820499999999999</v>
      </c>
      <c r="C292"/>
      <c r="D292"/>
      <c r="E292">
        <v>14.132099999999999</v>
      </c>
      <c r="F292"/>
      <c r="G292">
        <v>13.829700000000001</v>
      </c>
      <c r="H292">
        <v>42.431600000000003</v>
      </c>
      <c r="I292">
        <v>5.2591999999999999</v>
      </c>
      <c r="J292"/>
      <c r="K292"/>
    </row>
    <row r="293" spans="1:11" x14ac:dyDescent="0.2">
      <c r="A293" s="78">
        <v>15797</v>
      </c>
      <c r="B293">
        <v>15.0091</v>
      </c>
      <c r="C293"/>
      <c r="D293"/>
      <c r="E293">
        <v>14.2865</v>
      </c>
      <c r="F293"/>
      <c r="G293">
        <v>13.952299999999999</v>
      </c>
      <c r="H293">
        <v>43.049599999999998</v>
      </c>
      <c r="I293">
        <v>5.31</v>
      </c>
      <c r="J293"/>
      <c r="K293"/>
    </row>
    <row r="294" spans="1:11" x14ac:dyDescent="0.2">
      <c r="A294" s="78">
        <v>15827</v>
      </c>
      <c r="B294">
        <v>15.116899999999999</v>
      </c>
      <c r="C294"/>
      <c r="D294"/>
      <c r="E294">
        <v>14.5182</v>
      </c>
      <c r="F294"/>
      <c r="G294">
        <v>13.9278</v>
      </c>
      <c r="H294">
        <v>41.607700000000001</v>
      </c>
      <c r="I294">
        <v>5.3353999999999999</v>
      </c>
      <c r="J294"/>
      <c r="K294"/>
    </row>
    <row r="295" spans="1:11" x14ac:dyDescent="0.2">
      <c r="A295" s="78">
        <v>15858</v>
      </c>
      <c r="B295">
        <v>15.036099999999999</v>
      </c>
      <c r="C295"/>
      <c r="D295"/>
      <c r="E295">
        <v>14.7498</v>
      </c>
      <c r="F295"/>
      <c r="G295">
        <v>13.5845</v>
      </c>
      <c r="H295">
        <v>36.801600000000001</v>
      </c>
      <c r="I295">
        <v>5.4371</v>
      </c>
      <c r="J295"/>
      <c r="K295"/>
    </row>
    <row r="296" spans="1:11" x14ac:dyDescent="0.2">
      <c r="A296" s="78">
        <v>15888</v>
      </c>
      <c r="B296">
        <v>15.4941</v>
      </c>
      <c r="C296"/>
      <c r="D296"/>
      <c r="E296">
        <v>14.9815</v>
      </c>
      <c r="F296"/>
      <c r="G296">
        <v>14.099399999999999</v>
      </c>
      <c r="H296">
        <v>42.706299999999999</v>
      </c>
      <c r="I296">
        <v>5.4371</v>
      </c>
      <c r="J296"/>
      <c r="K296"/>
    </row>
    <row r="297" spans="1:11" x14ac:dyDescent="0.2">
      <c r="A297" s="78">
        <v>15919</v>
      </c>
      <c r="B297">
        <v>15.817500000000001</v>
      </c>
      <c r="C297"/>
      <c r="D297"/>
      <c r="E297">
        <v>15.0588</v>
      </c>
      <c r="F297"/>
      <c r="G297">
        <v>14.3691</v>
      </c>
      <c r="H297">
        <v>42.431600000000003</v>
      </c>
      <c r="I297">
        <v>5.4878999999999998</v>
      </c>
      <c r="J297"/>
      <c r="K297"/>
    </row>
    <row r="298" spans="1:11" x14ac:dyDescent="0.2">
      <c r="A298" s="78">
        <v>15950</v>
      </c>
      <c r="B298">
        <v>16.221699999999998</v>
      </c>
      <c r="C298"/>
      <c r="D298"/>
      <c r="E298">
        <v>15.1746</v>
      </c>
      <c r="F298"/>
      <c r="G298">
        <v>14.7369</v>
      </c>
      <c r="H298">
        <v>43.049599999999998</v>
      </c>
      <c r="I298">
        <v>5.6148999999999996</v>
      </c>
      <c r="J298"/>
      <c r="K298"/>
    </row>
    <row r="299" spans="1:11" x14ac:dyDescent="0.2">
      <c r="A299" s="78">
        <v>15980</v>
      </c>
      <c r="B299">
        <v>16.464200000000002</v>
      </c>
      <c r="C299"/>
      <c r="D299"/>
      <c r="E299">
        <v>15.0588</v>
      </c>
      <c r="F299"/>
      <c r="G299">
        <v>14.982200000000001</v>
      </c>
      <c r="H299">
        <v>42.706299999999999</v>
      </c>
      <c r="I299">
        <v>5.6402999999999999</v>
      </c>
      <c r="J299"/>
      <c r="K299"/>
    </row>
    <row r="300" spans="1:11" x14ac:dyDescent="0.2">
      <c r="A300" s="78">
        <v>16011</v>
      </c>
      <c r="B300">
        <v>16.6798</v>
      </c>
      <c r="C300"/>
      <c r="D300"/>
      <c r="E300">
        <v>15.020099999999999</v>
      </c>
      <c r="F300"/>
      <c r="G300">
        <v>15.104799999999999</v>
      </c>
      <c r="H300">
        <v>41.813800000000001</v>
      </c>
      <c r="I300">
        <v>5.6910999999999996</v>
      </c>
      <c r="J300"/>
      <c r="K300"/>
    </row>
    <row r="301" spans="1:11" x14ac:dyDescent="0.2">
      <c r="A301" s="78">
        <v>16041</v>
      </c>
      <c r="B301">
        <v>16.464200000000002</v>
      </c>
      <c r="C301"/>
      <c r="D301"/>
      <c r="E301">
        <v>14.7112</v>
      </c>
      <c r="F301"/>
      <c r="G301">
        <v>15.104699999999999</v>
      </c>
      <c r="H301">
        <v>43.9422</v>
      </c>
      <c r="I301">
        <v>5.6910999999999996</v>
      </c>
      <c r="J301"/>
      <c r="K301"/>
    </row>
    <row r="302" spans="1:11" x14ac:dyDescent="0.2">
      <c r="A302" s="78">
        <v>16072</v>
      </c>
      <c r="B302">
        <v>16.652799999999999</v>
      </c>
      <c r="C302"/>
      <c r="D302"/>
      <c r="E302">
        <v>14.8657</v>
      </c>
      <c r="F302"/>
      <c r="G302">
        <v>15.251899999999999</v>
      </c>
      <c r="H302">
        <v>43.530200000000001</v>
      </c>
      <c r="I302">
        <v>5.6657000000000002</v>
      </c>
      <c r="J302"/>
      <c r="K302"/>
    </row>
    <row r="303" spans="1:11" x14ac:dyDescent="0.2">
      <c r="A303" s="78">
        <v>16103</v>
      </c>
      <c r="B303">
        <v>16.787600000000001</v>
      </c>
      <c r="C303"/>
      <c r="D303"/>
      <c r="E303">
        <v>14.9429</v>
      </c>
      <c r="F303"/>
      <c r="G303">
        <v>15.374499999999999</v>
      </c>
      <c r="H303">
        <v>44.766100000000002</v>
      </c>
      <c r="I303">
        <v>5.7164999999999999</v>
      </c>
      <c r="J303"/>
      <c r="K303"/>
    </row>
    <row r="304" spans="1:11" x14ac:dyDescent="0.2">
      <c r="A304" s="78">
        <v>16132</v>
      </c>
      <c r="B304">
        <v>16.7606</v>
      </c>
      <c r="C304"/>
      <c r="D304"/>
      <c r="E304">
        <v>15.135999999999999</v>
      </c>
      <c r="F304"/>
      <c r="G304">
        <v>15.3009</v>
      </c>
      <c r="H304">
        <v>44.491399999999999</v>
      </c>
      <c r="I304">
        <v>5.8182</v>
      </c>
      <c r="J304"/>
      <c r="K304"/>
    </row>
    <row r="305" spans="1:11" x14ac:dyDescent="0.2">
      <c r="A305" s="78">
        <v>16163</v>
      </c>
      <c r="B305">
        <v>16.7606</v>
      </c>
      <c r="C305"/>
      <c r="D305"/>
      <c r="E305">
        <v>15.213200000000001</v>
      </c>
      <c r="F305"/>
      <c r="G305">
        <v>15.251899999999999</v>
      </c>
      <c r="H305">
        <v>45.7273</v>
      </c>
      <c r="I305">
        <v>5.8689999999999998</v>
      </c>
      <c r="J305"/>
      <c r="K305"/>
    </row>
    <row r="306" spans="1:11" x14ac:dyDescent="0.2">
      <c r="A306" s="78">
        <v>16193</v>
      </c>
      <c r="B306">
        <v>16.652799999999999</v>
      </c>
      <c r="C306"/>
      <c r="D306"/>
      <c r="E306">
        <v>15.329000000000001</v>
      </c>
      <c r="F306"/>
      <c r="G306">
        <v>15.0312</v>
      </c>
      <c r="H306">
        <v>46.002000000000002</v>
      </c>
      <c r="I306">
        <v>5.8436000000000003</v>
      </c>
      <c r="J306"/>
      <c r="K306"/>
    </row>
    <row r="307" spans="1:11" x14ac:dyDescent="0.2">
      <c r="A307" s="78">
        <v>16224</v>
      </c>
      <c r="B307">
        <v>16.5989</v>
      </c>
      <c r="C307"/>
      <c r="D307"/>
      <c r="E307">
        <v>15.4062</v>
      </c>
      <c r="F307"/>
      <c r="G307">
        <v>14.810499999999999</v>
      </c>
      <c r="H307">
        <v>44.628700000000002</v>
      </c>
      <c r="I307">
        <v>5.8182</v>
      </c>
      <c r="J307"/>
      <c r="K307"/>
    </row>
    <row r="308" spans="1:11" x14ac:dyDescent="0.2">
      <c r="A308" s="78">
        <v>16254</v>
      </c>
      <c r="B308">
        <v>16.571999999999999</v>
      </c>
      <c r="C308"/>
      <c r="D308"/>
      <c r="E308">
        <v>15.483499999999999</v>
      </c>
      <c r="F308"/>
      <c r="G308">
        <v>14.5898</v>
      </c>
      <c r="H308">
        <v>44.148099999999999</v>
      </c>
      <c r="I308">
        <v>5.7419000000000002</v>
      </c>
      <c r="J308"/>
      <c r="K308"/>
    </row>
    <row r="309" spans="1:11" x14ac:dyDescent="0.2">
      <c r="A309" s="78">
        <v>16285</v>
      </c>
      <c r="B309">
        <v>16.787600000000001</v>
      </c>
      <c r="C309"/>
      <c r="D309"/>
      <c r="E309">
        <v>15.831</v>
      </c>
      <c r="F309"/>
      <c r="G309">
        <v>14.7615</v>
      </c>
      <c r="H309">
        <v>44.560099999999998</v>
      </c>
      <c r="I309">
        <v>5.7927999999999997</v>
      </c>
      <c r="J309"/>
      <c r="K309"/>
    </row>
    <row r="310" spans="1:11" x14ac:dyDescent="0.2">
      <c r="A310" s="78">
        <v>16316</v>
      </c>
      <c r="B310">
        <v>16.6798</v>
      </c>
      <c r="C310"/>
      <c r="D310"/>
      <c r="E310">
        <v>15.483499999999999</v>
      </c>
      <c r="F310"/>
      <c r="G310">
        <v>14.7369</v>
      </c>
      <c r="H310">
        <v>44.766100000000002</v>
      </c>
      <c r="I310">
        <v>5.7927999999999997</v>
      </c>
      <c r="J310"/>
      <c r="K310"/>
    </row>
    <row r="311" spans="1:11" x14ac:dyDescent="0.2">
      <c r="A311" s="78">
        <v>16346</v>
      </c>
      <c r="B311">
        <v>16.733699999999999</v>
      </c>
      <c r="C311"/>
      <c r="D311"/>
      <c r="E311">
        <v>15.5221</v>
      </c>
      <c r="F311"/>
      <c r="G311">
        <v>14.786</v>
      </c>
      <c r="H311">
        <v>44.834800000000001</v>
      </c>
      <c r="I311">
        <v>5.7927999999999997</v>
      </c>
      <c r="J311"/>
      <c r="K311"/>
    </row>
    <row r="312" spans="1:11" x14ac:dyDescent="0.2">
      <c r="A312" s="78">
        <v>16377</v>
      </c>
      <c r="B312">
        <v>16.5989</v>
      </c>
      <c r="C312"/>
      <c r="D312"/>
      <c r="E312">
        <v>15.483499999999999</v>
      </c>
      <c r="F312"/>
      <c r="G312">
        <v>14.810499999999999</v>
      </c>
      <c r="H312">
        <v>45.246699999999997</v>
      </c>
      <c r="I312">
        <v>5.7927999999999997</v>
      </c>
      <c r="J312"/>
      <c r="K312"/>
    </row>
    <row r="313" spans="1:11" x14ac:dyDescent="0.2">
      <c r="A313" s="78">
        <v>16407</v>
      </c>
      <c r="B313">
        <v>16.545000000000002</v>
      </c>
      <c r="C313"/>
      <c r="D313"/>
      <c r="E313">
        <v>15.483499999999999</v>
      </c>
      <c r="F313"/>
      <c r="G313">
        <v>14.8841</v>
      </c>
      <c r="H313">
        <v>44.079500000000003</v>
      </c>
      <c r="I313">
        <v>5.8182</v>
      </c>
      <c r="J313"/>
      <c r="K313"/>
    </row>
    <row r="314" spans="1:11" x14ac:dyDescent="0.2">
      <c r="A314" s="78">
        <v>16438</v>
      </c>
      <c r="B314">
        <v>16.383400000000002</v>
      </c>
      <c r="C314"/>
      <c r="D314"/>
      <c r="E314">
        <v>15.7151</v>
      </c>
      <c r="F314"/>
      <c r="G314">
        <v>14.712400000000001</v>
      </c>
      <c r="H314">
        <v>43.667499999999997</v>
      </c>
      <c r="I314">
        <v>5.9198000000000004</v>
      </c>
      <c r="J314"/>
      <c r="K314"/>
    </row>
    <row r="315" spans="1:11" x14ac:dyDescent="0.2">
      <c r="A315" s="78">
        <v>16469</v>
      </c>
      <c r="B315">
        <v>16.329499999999999</v>
      </c>
      <c r="C315"/>
      <c r="D315"/>
      <c r="E315">
        <v>15.599299999999999</v>
      </c>
      <c r="F315"/>
      <c r="G315">
        <v>14.859500000000001</v>
      </c>
      <c r="H315">
        <v>44.491500000000002</v>
      </c>
      <c r="I315">
        <v>5.9451999999999998</v>
      </c>
      <c r="J315"/>
      <c r="K315"/>
    </row>
    <row r="316" spans="1:11" x14ac:dyDescent="0.2">
      <c r="A316" s="78">
        <v>16497</v>
      </c>
      <c r="B316">
        <v>16.221699999999998</v>
      </c>
      <c r="C316"/>
      <c r="D316"/>
      <c r="E316">
        <v>15.560700000000001</v>
      </c>
      <c r="F316"/>
      <c r="G316">
        <v>14.8841</v>
      </c>
      <c r="H316">
        <v>45.521299999999997</v>
      </c>
      <c r="I316">
        <v>5.8944000000000001</v>
      </c>
      <c r="J316"/>
      <c r="K316"/>
    </row>
    <row r="317" spans="1:11" x14ac:dyDescent="0.2">
      <c r="A317" s="78">
        <v>16528</v>
      </c>
      <c r="B317">
        <v>15.9253</v>
      </c>
      <c r="C317"/>
      <c r="D317"/>
      <c r="E317">
        <v>15.676500000000001</v>
      </c>
      <c r="F317"/>
      <c r="G317">
        <v>14.663399999999999</v>
      </c>
      <c r="H317">
        <v>45.933300000000003</v>
      </c>
      <c r="I317">
        <v>5.8944000000000001</v>
      </c>
      <c r="J317"/>
      <c r="K317"/>
    </row>
    <row r="318" spans="1:11" x14ac:dyDescent="0.2">
      <c r="A318" s="78">
        <v>16558</v>
      </c>
      <c r="B318">
        <v>15.4941</v>
      </c>
      <c r="C318"/>
      <c r="D318"/>
      <c r="E318">
        <v>15.7151</v>
      </c>
      <c r="F318"/>
      <c r="G318">
        <v>14.271000000000001</v>
      </c>
      <c r="H318">
        <v>44.697400000000002</v>
      </c>
      <c r="I318">
        <v>5.9451999999999998</v>
      </c>
      <c r="J318"/>
      <c r="K318"/>
    </row>
    <row r="319" spans="1:11" x14ac:dyDescent="0.2">
      <c r="A319" s="78">
        <v>16589</v>
      </c>
      <c r="B319">
        <v>15.143800000000001</v>
      </c>
      <c r="C319"/>
      <c r="D319"/>
      <c r="E319">
        <v>15.831</v>
      </c>
      <c r="F319"/>
      <c r="G319">
        <v>13.9032</v>
      </c>
      <c r="H319">
        <v>45.246699999999997</v>
      </c>
      <c r="I319">
        <v>5.9960000000000004</v>
      </c>
      <c r="J319"/>
      <c r="K319"/>
    </row>
    <row r="320" spans="1:11" x14ac:dyDescent="0.2">
      <c r="A320" s="78">
        <v>16619</v>
      </c>
      <c r="B320">
        <v>14.7935</v>
      </c>
      <c r="C320"/>
      <c r="D320"/>
      <c r="E320">
        <v>15.792400000000001</v>
      </c>
      <c r="F320"/>
      <c r="G320">
        <v>13.388299999999999</v>
      </c>
      <c r="H320">
        <v>45.177999999999997</v>
      </c>
      <c r="I320">
        <v>5.9451999999999998</v>
      </c>
      <c r="J320"/>
      <c r="K320"/>
    </row>
    <row r="321" spans="1:11" x14ac:dyDescent="0.2">
      <c r="A321" s="78">
        <v>16650</v>
      </c>
      <c r="B321">
        <v>13.2576</v>
      </c>
      <c r="C321"/>
      <c r="D321"/>
      <c r="E321">
        <v>15.0974</v>
      </c>
      <c r="F321"/>
      <c r="G321">
        <v>12.1378</v>
      </c>
      <c r="H321">
        <v>43.9422</v>
      </c>
      <c r="I321">
        <v>5.8689999999999998</v>
      </c>
      <c r="J321"/>
      <c r="K321"/>
    </row>
    <row r="322" spans="1:11" x14ac:dyDescent="0.2">
      <c r="A322" s="78">
        <v>16681</v>
      </c>
      <c r="B322">
        <v>12.071999999999999</v>
      </c>
      <c r="C322"/>
      <c r="D322"/>
      <c r="E322">
        <v>15.831</v>
      </c>
      <c r="F322"/>
      <c r="G322">
        <v>11.230499999999999</v>
      </c>
      <c r="H322">
        <v>42.0197</v>
      </c>
      <c r="I322">
        <v>5.7927999999999997</v>
      </c>
      <c r="J322"/>
      <c r="K322"/>
    </row>
    <row r="323" spans="1:11" x14ac:dyDescent="0.2">
      <c r="A323" s="78">
        <v>16711</v>
      </c>
      <c r="B323">
        <v>11.5869</v>
      </c>
      <c r="C323"/>
      <c r="D323"/>
      <c r="E323">
        <v>16.0627</v>
      </c>
      <c r="F323"/>
      <c r="G323">
        <v>10.6175</v>
      </c>
      <c r="H323">
        <v>38.792700000000004</v>
      </c>
      <c r="I323">
        <v>5.7927999999999997</v>
      </c>
      <c r="J323"/>
      <c r="K323"/>
    </row>
    <row r="324" spans="1:11" x14ac:dyDescent="0.2">
      <c r="A324" s="78">
        <v>16742</v>
      </c>
      <c r="B324">
        <v>12.0181</v>
      </c>
      <c r="C324"/>
      <c r="D324"/>
      <c r="E324">
        <v>16.526</v>
      </c>
      <c r="F324"/>
      <c r="G324">
        <v>11.3531</v>
      </c>
      <c r="H324">
        <v>43.9422</v>
      </c>
      <c r="I324">
        <v>5.7927999999999997</v>
      </c>
      <c r="J324"/>
      <c r="K324"/>
    </row>
    <row r="325" spans="1:11" x14ac:dyDescent="0.2">
      <c r="A325" s="78">
        <v>16772</v>
      </c>
      <c r="B325">
        <v>12.071999999999999</v>
      </c>
      <c r="C325"/>
      <c r="D325"/>
      <c r="E325">
        <v>16.719100000000001</v>
      </c>
      <c r="F325"/>
      <c r="G325">
        <v>11.4757</v>
      </c>
      <c r="H325">
        <v>42.912199999999999</v>
      </c>
      <c r="I325">
        <v>5.8689999999999998</v>
      </c>
      <c r="J325"/>
      <c r="K325"/>
    </row>
    <row r="326" spans="1:11" x14ac:dyDescent="0.2">
      <c r="A326" s="78">
        <v>16803</v>
      </c>
      <c r="B326">
        <v>11.398300000000001</v>
      </c>
      <c r="C326"/>
      <c r="D326"/>
      <c r="E326">
        <v>17.4527</v>
      </c>
      <c r="F326"/>
      <c r="G326">
        <v>10.0535</v>
      </c>
      <c r="H326">
        <v>43.667499999999997</v>
      </c>
      <c r="I326">
        <v>5.8436000000000003</v>
      </c>
      <c r="J326"/>
      <c r="K326"/>
    </row>
    <row r="327" spans="1:11" x14ac:dyDescent="0.2">
      <c r="A327" s="78">
        <v>16834</v>
      </c>
      <c r="B327">
        <v>10.8324</v>
      </c>
      <c r="C327"/>
      <c r="D327"/>
      <c r="E327">
        <v>18.1477</v>
      </c>
      <c r="F327"/>
      <c r="G327">
        <v>8.8520000000000003</v>
      </c>
      <c r="H327">
        <v>44.354100000000003</v>
      </c>
      <c r="I327">
        <v>5.8689999999999998</v>
      </c>
      <c r="J327"/>
      <c r="K327"/>
    </row>
    <row r="328" spans="1:11" x14ac:dyDescent="0.2">
      <c r="A328" s="78">
        <v>16862</v>
      </c>
      <c r="B328">
        <v>11.9642</v>
      </c>
      <c r="C328"/>
      <c r="D328"/>
      <c r="E328">
        <v>18.0319</v>
      </c>
      <c r="F328"/>
      <c r="G328">
        <v>11.132400000000001</v>
      </c>
      <c r="H328">
        <v>43.736199999999997</v>
      </c>
      <c r="I328">
        <v>5.8689999999999998</v>
      </c>
      <c r="J328"/>
      <c r="K328"/>
    </row>
    <row r="329" spans="1:11" x14ac:dyDescent="0.2">
      <c r="A329" s="78">
        <v>16893</v>
      </c>
      <c r="B329">
        <v>11.7486</v>
      </c>
      <c r="C329"/>
      <c r="D329"/>
      <c r="E329">
        <v>18.224900000000002</v>
      </c>
      <c r="F329"/>
      <c r="G329">
        <v>10.396800000000001</v>
      </c>
      <c r="H329">
        <v>33.780500000000004</v>
      </c>
      <c r="I329">
        <v>5.9706000000000001</v>
      </c>
      <c r="J329"/>
      <c r="K329"/>
    </row>
    <row r="330" spans="1:11" x14ac:dyDescent="0.2">
      <c r="A330" s="78">
        <v>16923</v>
      </c>
      <c r="B330">
        <v>11.317500000000001</v>
      </c>
      <c r="C330"/>
      <c r="D330"/>
      <c r="E330">
        <v>18.302199999999999</v>
      </c>
      <c r="F330"/>
      <c r="G330">
        <v>9.6120999999999999</v>
      </c>
      <c r="H330">
        <v>37.3508</v>
      </c>
      <c r="I330">
        <v>5.9706000000000001</v>
      </c>
      <c r="J330"/>
      <c r="K330"/>
    </row>
    <row r="331" spans="1:11" x14ac:dyDescent="0.2">
      <c r="A331" s="78">
        <v>16954</v>
      </c>
      <c r="B331">
        <v>12.0181</v>
      </c>
      <c r="C331"/>
      <c r="D331"/>
      <c r="E331">
        <v>18.340800000000002</v>
      </c>
      <c r="F331"/>
      <c r="G331">
        <v>10.960800000000001</v>
      </c>
      <c r="H331">
        <v>43.392899999999997</v>
      </c>
      <c r="I331">
        <v>5.9960000000000004</v>
      </c>
      <c r="J331"/>
      <c r="K331"/>
    </row>
    <row r="332" spans="1:11" x14ac:dyDescent="0.2">
      <c r="A332" s="78">
        <v>16984</v>
      </c>
      <c r="B332">
        <v>12.4223</v>
      </c>
      <c r="C332"/>
      <c r="D332"/>
      <c r="E332">
        <v>18.765499999999999</v>
      </c>
      <c r="F332"/>
      <c r="G332">
        <v>11.5983</v>
      </c>
      <c r="H332">
        <v>46.276600000000002</v>
      </c>
      <c r="I332">
        <v>6.1231</v>
      </c>
      <c r="J332"/>
      <c r="K332"/>
    </row>
    <row r="333" spans="1:11" x14ac:dyDescent="0.2">
      <c r="A333" s="78">
        <v>17015</v>
      </c>
      <c r="B333">
        <v>12.8803</v>
      </c>
      <c r="C333"/>
      <c r="D333"/>
      <c r="E333">
        <v>19.383299999999998</v>
      </c>
      <c r="F333"/>
      <c r="G333">
        <v>12.0397</v>
      </c>
      <c r="H333">
        <v>44.972099999999998</v>
      </c>
      <c r="I333">
        <v>6.2500999999999998</v>
      </c>
      <c r="J333"/>
      <c r="K333"/>
    </row>
    <row r="334" spans="1:11" x14ac:dyDescent="0.2">
      <c r="A334" s="78">
        <v>17046</v>
      </c>
      <c r="B334">
        <v>13.1229</v>
      </c>
      <c r="C334"/>
      <c r="D334"/>
      <c r="E334">
        <v>19.769400000000001</v>
      </c>
      <c r="F334"/>
      <c r="G334">
        <v>12.113200000000001</v>
      </c>
      <c r="H334">
        <v>45.658700000000003</v>
      </c>
      <c r="I334">
        <v>6.3517000000000001</v>
      </c>
      <c r="J334"/>
      <c r="K334"/>
    </row>
    <row r="335" spans="1:11" x14ac:dyDescent="0.2">
      <c r="A335" s="78">
        <v>17076</v>
      </c>
      <c r="B335">
        <v>13.365399999999999</v>
      </c>
      <c r="C335"/>
      <c r="D335"/>
      <c r="E335">
        <v>20.001100000000001</v>
      </c>
      <c r="F335"/>
      <c r="G335">
        <v>12.382999999999999</v>
      </c>
      <c r="H335">
        <v>45.315399999999997</v>
      </c>
      <c r="I335">
        <v>6.4279000000000002</v>
      </c>
      <c r="J335"/>
      <c r="K335"/>
    </row>
    <row r="336" spans="1:11" x14ac:dyDescent="0.2">
      <c r="A336" s="78">
        <v>17107</v>
      </c>
      <c r="B336">
        <v>13.446199999999999</v>
      </c>
      <c r="C336"/>
      <c r="D336"/>
      <c r="E336">
        <v>20.2714</v>
      </c>
      <c r="F336"/>
      <c r="G336">
        <v>12.3584</v>
      </c>
      <c r="H336">
        <v>43.324199999999998</v>
      </c>
      <c r="I336">
        <v>6.4532999999999996</v>
      </c>
      <c r="J336"/>
      <c r="K336"/>
    </row>
    <row r="337" spans="1:11" x14ac:dyDescent="0.2">
      <c r="A337" s="78">
        <v>17137</v>
      </c>
      <c r="B337">
        <v>13.527100000000001</v>
      </c>
      <c r="C337"/>
      <c r="D337"/>
      <c r="E337">
        <v>20.3872</v>
      </c>
      <c r="F337"/>
      <c r="G337">
        <v>12.432</v>
      </c>
      <c r="H337">
        <v>44.354100000000003</v>
      </c>
      <c r="I337">
        <v>6.4787999999999997</v>
      </c>
      <c r="J337"/>
      <c r="K337"/>
    </row>
    <row r="338" spans="1:11" x14ac:dyDescent="0.2">
      <c r="A338" s="78">
        <v>17168</v>
      </c>
      <c r="B338">
        <v>13.688700000000001</v>
      </c>
      <c r="C338">
        <v>24.013300000000001</v>
      </c>
      <c r="D338">
        <v>5.5114000000000001</v>
      </c>
      <c r="E338">
        <v>19.962499999999999</v>
      </c>
      <c r="F338"/>
      <c r="G338">
        <v>12.432</v>
      </c>
      <c r="H338">
        <v>47.3752</v>
      </c>
      <c r="I338">
        <v>6.2500999999999998</v>
      </c>
      <c r="J338"/>
      <c r="K338"/>
    </row>
    <row r="339" spans="1:11" x14ac:dyDescent="0.2">
      <c r="A339" s="78">
        <v>17199</v>
      </c>
      <c r="B339">
        <v>13.769600000000001</v>
      </c>
      <c r="C339">
        <v>24.734200000000001</v>
      </c>
      <c r="D339">
        <v>5.5709</v>
      </c>
      <c r="E339">
        <v>19.885300000000001</v>
      </c>
      <c r="F339"/>
      <c r="G339">
        <v>12.530099999999999</v>
      </c>
      <c r="H339">
        <v>47.924399999999999</v>
      </c>
      <c r="I339">
        <v>6.3009000000000004</v>
      </c>
      <c r="J339"/>
      <c r="K339"/>
    </row>
    <row r="340" spans="1:11" x14ac:dyDescent="0.2">
      <c r="A340" s="78">
        <v>17227</v>
      </c>
      <c r="B340">
        <v>13.8504</v>
      </c>
      <c r="C340">
        <v>25.0045</v>
      </c>
      <c r="D340">
        <v>5.6006</v>
      </c>
      <c r="E340">
        <v>19.962499999999999</v>
      </c>
      <c r="F340"/>
      <c r="G340">
        <v>12.946899999999999</v>
      </c>
      <c r="H340">
        <v>48.817</v>
      </c>
      <c r="I340">
        <v>6.3517000000000001</v>
      </c>
      <c r="J340"/>
      <c r="K340"/>
    </row>
    <row r="341" spans="1:11" x14ac:dyDescent="0.2">
      <c r="A341" s="78">
        <v>17258</v>
      </c>
      <c r="B341">
        <v>13.742599999999999</v>
      </c>
      <c r="C341">
        <v>25.229700000000001</v>
      </c>
      <c r="D341">
        <v>5.6798999999999999</v>
      </c>
      <c r="E341">
        <v>19.885300000000001</v>
      </c>
      <c r="F341"/>
      <c r="G341">
        <v>12.6282</v>
      </c>
      <c r="H341">
        <v>44.697400000000002</v>
      </c>
      <c r="I341">
        <v>6.4787999999999997</v>
      </c>
      <c r="J341"/>
      <c r="K341"/>
    </row>
    <row r="342" spans="1:11" x14ac:dyDescent="0.2">
      <c r="A342" s="78">
        <v>17288</v>
      </c>
      <c r="B342">
        <v>13.7965</v>
      </c>
      <c r="C342">
        <v>25.545100000000001</v>
      </c>
      <c r="D342">
        <v>5.7096999999999998</v>
      </c>
      <c r="E342">
        <v>19.730799999999999</v>
      </c>
      <c r="F342"/>
      <c r="G342">
        <v>12.677199999999999</v>
      </c>
      <c r="H342">
        <v>48.405099999999997</v>
      </c>
      <c r="I342">
        <v>6.5804</v>
      </c>
      <c r="J342"/>
      <c r="K342"/>
    </row>
    <row r="343" spans="1:11" x14ac:dyDescent="0.2">
      <c r="A343" s="78">
        <v>17319</v>
      </c>
      <c r="B343">
        <v>13.7965</v>
      </c>
      <c r="C343">
        <v>25.590199999999999</v>
      </c>
      <c r="D343">
        <v>5.7492999999999999</v>
      </c>
      <c r="E343">
        <v>19.769400000000001</v>
      </c>
      <c r="F343"/>
      <c r="G343">
        <v>12.554600000000001</v>
      </c>
      <c r="H343">
        <v>47.993099999999998</v>
      </c>
      <c r="I343">
        <v>6.6058000000000003</v>
      </c>
      <c r="J343"/>
      <c r="K343"/>
    </row>
    <row r="344" spans="1:11" x14ac:dyDescent="0.2">
      <c r="A344" s="78">
        <v>17349</v>
      </c>
      <c r="B344">
        <v>13.7157</v>
      </c>
      <c r="C344">
        <v>24.959399999999999</v>
      </c>
      <c r="D344">
        <v>5.6501999999999999</v>
      </c>
      <c r="E344">
        <v>19.846699999999998</v>
      </c>
      <c r="F344"/>
      <c r="G344">
        <v>12.432</v>
      </c>
      <c r="H344">
        <v>48.7483</v>
      </c>
      <c r="I344">
        <v>6.6566000000000001</v>
      </c>
      <c r="J344"/>
      <c r="K344"/>
    </row>
    <row r="345" spans="1:11" x14ac:dyDescent="0.2">
      <c r="A345" s="78">
        <v>17380</v>
      </c>
      <c r="B345">
        <v>13.7965</v>
      </c>
      <c r="C345">
        <v>25.319900000000001</v>
      </c>
      <c r="D345">
        <v>5.7492999999999999</v>
      </c>
      <c r="E345">
        <v>20.001100000000001</v>
      </c>
      <c r="F345"/>
      <c r="G345">
        <v>12.407500000000001</v>
      </c>
      <c r="H345">
        <v>49.572299999999998</v>
      </c>
      <c r="I345">
        <v>6.7328000000000001</v>
      </c>
      <c r="J345"/>
      <c r="K345"/>
    </row>
    <row r="346" spans="1:11" x14ac:dyDescent="0.2">
      <c r="A346" s="78">
        <v>17411</v>
      </c>
      <c r="B346">
        <v>13.904299999999999</v>
      </c>
      <c r="C346">
        <v>25.545100000000001</v>
      </c>
      <c r="D346">
        <v>5.8285999999999998</v>
      </c>
      <c r="E346">
        <v>20.194199999999999</v>
      </c>
      <c r="F346"/>
      <c r="G346">
        <v>12.5791</v>
      </c>
      <c r="H346">
        <v>50.121499999999997</v>
      </c>
      <c r="I346">
        <v>6.8090000000000002</v>
      </c>
      <c r="J346"/>
      <c r="K346"/>
    </row>
    <row r="347" spans="1:11" x14ac:dyDescent="0.2">
      <c r="A347" s="78">
        <v>17441</v>
      </c>
      <c r="B347">
        <v>14.039</v>
      </c>
      <c r="C347">
        <v>25.5001</v>
      </c>
      <c r="D347">
        <v>5.8682999999999996</v>
      </c>
      <c r="E347">
        <v>20.5031</v>
      </c>
      <c r="F347"/>
      <c r="G347">
        <v>12.677199999999999</v>
      </c>
      <c r="H347">
        <v>49.915599999999998</v>
      </c>
      <c r="I347">
        <v>6.8598999999999997</v>
      </c>
      <c r="J347"/>
      <c r="K347"/>
    </row>
    <row r="348" spans="1:11" x14ac:dyDescent="0.2">
      <c r="A348" s="78">
        <v>17472</v>
      </c>
      <c r="B348">
        <v>14.2277</v>
      </c>
      <c r="C348">
        <v>25.995699999999999</v>
      </c>
      <c r="D348">
        <v>5.8682999999999996</v>
      </c>
      <c r="E348">
        <v>20.811900000000001</v>
      </c>
      <c r="F348"/>
      <c r="G348">
        <v>12.971500000000001</v>
      </c>
      <c r="H348">
        <v>50.327500000000001</v>
      </c>
      <c r="I348">
        <v>6.9107000000000003</v>
      </c>
      <c r="J348"/>
      <c r="K348"/>
    </row>
    <row r="349" spans="1:11" x14ac:dyDescent="0.2">
      <c r="A349" s="78">
        <v>17502</v>
      </c>
      <c r="B349">
        <v>14.281499999999999</v>
      </c>
      <c r="C349">
        <v>26.040700000000001</v>
      </c>
      <c r="D349">
        <v>5.9177999999999997</v>
      </c>
      <c r="E349">
        <v>20.8506</v>
      </c>
      <c r="F349"/>
      <c r="G349">
        <v>12.824299999999999</v>
      </c>
      <c r="H349">
        <v>50.258899999999997</v>
      </c>
      <c r="I349">
        <v>6.9615</v>
      </c>
      <c r="J349"/>
      <c r="K349"/>
    </row>
    <row r="350" spans="1:11" x14ac:dyDescent="0.2">
      <c r="A350" s="78">
        <v>17533</v>
      </c>
      <c r="B350">
        <v>14.362399999999999</v>
      </c>
      <c r="C350">
        <v>27.2121</v>
      </c>
      <c r="D350">
        <v>5.9673999999999996</v>
      </c>
      <c r="E350">
        <v>20.7347</v>
      </c>
      <c r="F350"/>
      <c r="G350">
        <v>12.8734</v>
      </c>
      <c r="H350">
        <v>50.945399999999999</v>
      </c>
      <c r="I350">
        <v>7.0884999999999998</v>
      </c>
      <c r="J350"/>
      <c r="K350"/>
    </row>
    <row r="351" spans="1:11" x14ac:dyDescent="0.2">
      <c r="A351" s="78">
        <v>17564</v>
      </c>
      <c r="B351">
        <v>14.3893</v>
      </c>
      <c r="C351">
        <v>26.941800000000001</v>
      </c>
      <c r="D351">
        <v>5.9377000000000004</v>
      </c>
      <c r="E351">
        <v>20.812000000000001</v>
      </c>
      <c r="F351"/>
      <c r="G351">
        <v>12.946899999999999</v>
      </c>
      <c r="H351">
        <v>51.014099999999999</v>
      </c>
      <c r="I351">
        <v>7.1139000000000001</v>
      </c>
      <c r="J351"/>
      <c r="K351"/>
    </row>
    <row r="352" spans="1:11" x14ac:dyDescent="0.2">
      <c r="A352" s="78">
        <v>17593</v>
      </c>
      <c r="B352">
        <v>14.2277</v>
      </c>
      <c r="C352">
        <v>27.0319</v>
      </c>
      <c r="D352">
        <v>5.9772999999999996</v>
      </c>
      <c r="E352">
        <v>20.580300000000001</v>
      </c>
      <c r="F352"/>
      <c r="G352">
        <v>12.824299999999999</v>
      </c>
      <c r="H352">
        <v>46.002000000000002</v>
      </c>
      <c r="I352">
        <v>7.2664</v>
      </c>
      <c r="J352"/>
      <c r="K352"/>
    </row>
    <row r="353" spans="1:11" x14ac:dyDescent="0.2">
      <c r="A353" s="78">
        <v>17624</v>
      </c>
      <c r="B353">
        <v>14.2546</v>
      </c>
      <c r="C353">
        <v>26.851700000000001</v>
      </c>
      <c r="D353">
        <v>5.9377000000000004</v>
      </c>
      <c r="E353">
        <v>20.7347</v>
      </c>
      <c r="F353"/>
      <c r="G353">
        <v>12.7263</v>
      </c>
      <c r="H353">
        <v>47.169199999999996</v>
      </c>
      <c r="I353">
        <v>7.2156000000000002</v>
      </c>
      <c r="J353"/>
      <c r="K353"/>
    </row>
    <row r="354" spans="1:11" x14ac:dyDescent="0.2">
      <c r="A354" s="78">
        <v>17654</v>
      </c>
      <c r="B354">
        <v>14.4971</v>
      </c>
      <c r="C354">
        <v>27.076899999999998</v>
      </c>
      <c r="D354">
        <v>5.9177999999999997</v>
      </c>
      <c r="E354">
        <v>20.657499999999999</v>
      </c>
      <c r="F354"/>
      <c r="G354">
        <v>13.388299999999999</v>
      </c>
      <c r="H354">
        <v>53.005299999999998</v>
      </c>
      <c r="I354">
        <v>7.2664</v>
      </c>
      <c r="J354"/>
      <c r="K354"/>
    </row>
    <row r="355" spans="1:11" x14ac:dyDescent="0.2">
      <c r="A355" s="78">
        <v>17685</v>
      </c>
      <c r="B355">
        <v>14.685700000000001</v>
      </c>
      <c r="C355">
        <v>26.761600000000001</v>
      </c>
      <c r="D355">
        <v>5.9970999999999997</v>
      </c>
      <c r="E355">
        <v>21.004999999999999</v>
      </c>
      <c r="F355"/>
      <c r="G355">
        <v>13.412800000000001</v>
      </c>
      <c r="H355">
        <v>53.005200000000002</v>
      </c>
      <c r="I355">
        <v>7.3171999999999997</v>
      </c>
      <c r="J355"/>
      <c r="K355"/>
    </row>
    <row r="356" spans="1:11" x14ac:dyDescent="0.2">
      <c r="A356" s="78">
        <v>17715</v>
      </c>
      <c r="B356">
        <v>14.685700000000001</v>
      </c>
      <c r="C356">
        <v>27.482399999999998</v>
      </c>
      <c r="D356">
        <v>6.0269000000000004</v>
      </c>
      <c r="E356">
        <v>20.9664</v>
      </c>
      <c r="F356"/>
      <c r="G356">
        <v>13.510899999999999</v>
      </c>
      <c r="H356">
        <v>53.005200000000002</v>
      </c>
      <c r="I356">
        <v>7.4188000000000001</v>
      </c>
      <c r="J356"/>
      <c r="K356"/>
    </row>
    <row r="357" spans="1:11" x14ac:dyDescent="0.2">
      <c r="A357" s="78">
        <v>17746</v>
      </c>
      <c r="B357">
        <v>14.6318</v>
      </c>
      <c r="C357">
        <v>27.392299999999999</v>
      </c>
      <c r="D357">
        <v>6.0170000000000003</v>
      </c>
      <c r="E357">
        <v>20.773299999999999</v>
      </c>
      <c r="F357"/>
      <c r="G357">
        <v>13.3393</v>
      </c>
      <c r="H357">
        <v>52.867899999999999</v>
      </c>
      <c r="I357">
        <v>7.4695999999999998</v>
      </c>
      <c r="J357"/>
      <c r="K357"/>
    </row>
    <row r="358" spans="1:11" x14ac:dyDescent="0.2">
      <c r="A358" s="78">
        <v>17777</v>
      </c>
      <c r="B358">
        <v>14.524100000000001</v>
      </c>
      <c r="C358">
        <v>27.0319</v>
      </c>
      <c r="D358">
        <v>5.9871999999999996</v>
      </c>
      <c r="E358">
        <v>20.657499999999999</v>
      </c>
      <c r="F358"/>
      <c r="G358">
        <v>13.363799999999999</v>
      </c>
      <c r="H358">
        <v>51.769399999999997</v>
      </c>
      <c r="I358">
        <v>7.5712000000000002</v>
      </c>
      <c r="J358"/>
      <c r="K358"/>
    </row>
    <row r="359" spans="1:11" x14ac:dyDescent="0.2">
      <c r="A359" s="78">
        <v>17807</v>
      </c>
      <c r="B359">
        <v>14.6319</v>
      </c>
      <c r="C359">
        <v>27.617599999999999</v>
      </c>
      <c r="D359">
        <v>5.9078999999999997</v>
      </c>
      <c r="E359">
        <v>20.889199999999999</v>
      </c>
      <c r="F359"/>
      <c r="G359">
        <v>13.388299999999999</v>
      </c>
      <c r="H359">
        <v>52.387300000000003</v>
      </c>
      <c r="I359">
        <v>7.6475</v>
      </c>
      <c r="J359"/>
      <c r="K359"/>
    </row>
    <row r="360" spans="1:11" x14ac:dyDescent="0.2">
      <c r="A360" s="78">
        <v>17838</v>
      </c>
      <c r="B360">
        <v>14.443199999999999</v>
      </c>
      <c r="C360">
        <v>26.8066</v>
      </c>
      <c r="D360">
        <v>5.8682999999999996</v>
      </c>
      <c r="E360">
        <v>20.657499999999999</v>
      </c>
      <c r="F360"/>
      <c r="G360">
        <v>13.265700000000001</v>
      </c>
      <c r="H360">
        <v>51.563400000000001</v>
      </c>
      <c r="I360">
        <v>7.7237</v>
      </c>
      <c r="J360"/>
      <c r="K360"/>
    </row>
    <row r="361" spans="1:11" x14ac:dyDescent="0.2">
      <c r="A361" s="78">
        <v>17868</v>
      </c>
      <c r="B361">
        <v>14.3085</v>
      </c>
      <c r="C361">
        <v>26.581399999999999</v>
      </c>
      <c r="D361">
        <v>5.8186999999999998</v>
      </c>
      <c r="E361">
        <v>20.425799999999999</v>
      </c>
      <c r="F361"/>
      <c r="G361">
        <v>13.1921</v>
      </c>
      <c r="H361">
        <v>51.494700000000002</v>
      </c>
      <c r="I361">
        <v>7.7237</v>
      </c>
      <c r="J361"/>
      <c r="K361"/>
    </row>
    <row r="362" spans="1:11" x14ac:dyDescent="0.2">
      <c r="A362" s="78">
        <v>17899</v>
      </c>
      <c r="B362">
        <v>14.1738</v>
      </c>
      <c r="C362">
        <v>25.860499999999998</v>
      </c>
      <c r="D362">
        <v>5.6798999999999999</v>
      </c>
      <c r="E362">
        <v>20.194099999999999</v>
      </c>
      <c r="F362"/>
      <c r="G362">
        <v>12.946899999999999</v>
      </c>
      <c r="H362">
        <v>50.190199999999997</v>
      </c>
      <c r="I362">
        <v>7.6729000000000003</v>
      </c>
      <c r="J362"/>
      <c r="K362"/>
    </row>
    <row r="363" spans="1:11" x14ac:dyDescent="0.2">
      <c r="A363" s="78">
        <v>17930</v>
      </c>
      <c r="B363">
        <v>14.039</v>
      </c>
      <c r="C363">
        <v>25.319900000000001</v>
      </c>
      <c r="D363">
        <v>5.6600999999999999</v>
      </c>
      <c r="E363">
        <v>20.116900000000001</v>
      </c>
      <c r="F363"/>
      <c r="G363">
        <v>12.8734</v>
      </c>
      <c r="H363">
        <v>49.984200000000001</v>
      </c>
      <c r="I363">
        <v>7.6982999999999997</v>
      </c>
      <c r="J363"/>
      <c r="K363"/>
    </row>
    <row r="364" spans="1:11" x14ac:dyDescent="0.2">
      <c r="A364" s="78">
        <v>17958</v>
      </c>
      <c r="B364">
        <v>13.769600000000001</v>
      </c>
      <c r="C364">
        <v>25.0045</v>
      </c>
      <c r="D364">
        <v>5.5312000000000001</v>
      </c>
      <c r="E364">
        <v>20.2714</v>
      </c>
      <c r="F364"/>
      <c r="G364">
        <v>12.358499999999999</v>
      </c>
      <c r="H364">
        <v>45.315399999999997</v>
      </c>
      <c r="I364">
        <v>7.6982999999999997</v>
      </c>
      <c r="J364"/>
      <c r="K364"/>
    </row>
    <row r="365" spans="1:11" x14ac:dyDescent="0.2">
      <c r="A365" s="78">
        <v>17989</v>
      </c>
      <c r="B365">
        <v>13.688700000000001</v>
      </c>
      <c r="C365">
        <v>24.599</v>
      </c>
      <c r="D365">
        <v>5.4420000000000002</v>
      </c>
      <c r="E365">
        <v>20.232800000000001</v>
      </c>
      <c r="F365"/>
      <c r="G365">
        <v>12.1868</v>
      </c>
      <c r="H365">
        <v>49.434899999999999</v>
      </c>
      <c r="I365">
        <v>7.7237</v>
      </c>
      <c r="J365"/>
      <c r="K365"/>
    </row>
    <row r="366" spans="1:11" x14ac:dyDescent="0.2">
      <c r="A366" s="78">
        <v>18019</v>
      </c>
      <c r="B366">
        <v>13.5001</v>
      </c>
      <c r="C366">
        <v>24.328700000000001</v>
      </c>
      <c r="D366">
        <v>5.3231000000000002</v>
      </c>
      <c r="E366">
        <v>20.232800000000001</v>
      </c>
      <c r="F366"/>
      <c r="G366">
        <v>11.843500000000001</v>
      </c>
      <c r="H366">
        <v>48.542400000000001</v>
      </c>
      <c r="I366">
        <v>7.7237</v>
      </c>
      <c r="J366"/>
      <c r="K366"/>
    </row>
    <row r="367" spans="1:11" x14ac:dyDescent="0.2">
      <c r="A367" s="78">
        <v>18050</v>
      </c>
      <c r="B367">
        <v>13.4732</v>
      </c>
      <c r="C367">
        <v>24.2836</v>
      </c>
      <c r="D367">
        <v>5.2339000000000002</v>
      </c>
      <c r="E367">
        <v>20.464400000000001</v>
      </c>
      <c r="F367"/>
      <c r="G367">
        <v>11.671900000000001</v>
      </c>
      <c r="H367">
        <v>45.177999999999997</v>
      </c>
      <c r="I367">
        <v>7.8253000000000004</v>
      </c>
      <c r="J367"/>
      <c r="K367"/>
    </row>
    <row r="368" spans="1:11" x14ac:dyDescent="0.2">
      <c r="A368" s="78">
        <v>18080</v>
      </c>
      <c r="B368">
        <v>13.446199999999999</v>
      </c>
      <c r="C368">
        <v>24.013300000000001</v>
      </c>
      <c r="D368">
        <v>5.1346999999999996</v>
      </c>
      <c r="E368">
        <v>20.657499999999999</v>
      </c>
      <c r="F368"/>
      <c r="G368">
        <v>11.6228</v>
      </c>
      <c r="H368">
        <v>44.010800000000003</v>
      </c>
      <c r="I368">
        <v>7.9268999999999998</v>
      </c>
      <c r="J368"/>
      <c r="K368"/>
    </row>
    <row r="369" spans="1:11" x14ac:dyDescent="0.2">
      <c r="A369" s="78">
        <v>18111</v>
      </c>
      <c r="B369">
        <v>13.5809</v>
      </c>
      <c r="C369">
        <v>24.238600000000002</v>
      </c>
      <c r="D369">
        <v>5.0852000000000004</v>
      </c>
      <c r="E369">
        <v>20.8506</v>
      </c>
      <c r="F369"/>
      <c r="G369">
        <v>11.819000000000001</v>
      </c>
      <c r="H369">
        <v>43.8735</v>
      </c>
      <c r="I369">
        <v>8.0031999999999996</v>
      </c>
      <c r="J369"/>
      <c r="K369"/>
    </row>
    <row r="370" spans="1:11" x14ac:dyDescent="0.2">
      <c r="A370" s="78">
        <v>18142</v>
      </c>
      <c r="B370">
        <v>13.7157</v>
      </c>
      <c r="C370">
        <v>25.0045</v>
      </c>
      <c r="D370">
        <v>5.0553999999999997</v>
      </c>
      <c r="E370">
        <v>21.159500000000001</v>
      </c>
      <c r="F370"/>
      <c r="G370">
        <v>12.0151</v>
      </c>
      <c r="H370">
        <v>39.616599999999998</v>
      </c>
      <c r="I370">
        <v>8.0031999999999996</v>
      </c>
      <c r="J370"/>
      <c r="K370"/>
    </row>
    <row r="371" spans="1:11" x14ac:dyDescent="0.2">
      <c r="A371" s="78">
        <v>18172</v>
      </c>
      <c r="B371">
        <v>13.2037</v>
      </c>
      <c r="C371">
        <v>24.1935</v>
      </c>
      <c r="D371">
        <v>4.8472999999999997</v>
      </c>
      <c r="E371">
        <v>21.236699999999999</v>
      </c>
      <c r="F371"/>
      <c r="G371">
        <v>10.789099999999999</v>
      </c>
      <c r="H371">
        <v>37.282200000000003</v>
      </c>
      <c r="I371">
        <v>8.0286000000000008</v>
      </c>
      <c r="J371"/>
      <c r="K371"/>
    </row>
    <row r="372" spans="1:11" x14ac:dyDescent="0.2">
      <c r="A372" s="78">
        <v>18203</v>
      </c>
      <c r="B372">
        <v>13.554</v>
      </c>
      <c r="C372">
        <v>25.0045</v>
      </c>
      <c r="D372">
        <v>4.6985999999999999</v>
      </c>
      <c r="E372">
        <v>20.927800000000001</v>
      </c>
      <c r="F372"/>
      <c r="G372">
        <v>11.794499999999999</v>
      </c>
      <c r="H372">
        <v>46.825899999999997</v>
      </c>
      <c r="I372">
        <v>8.1555999999999997</v>
      </c>
      <c r="J372"/>
      <c r="K372"/>
    </row>
    <row r="373" spans="1:11" x14ac:dyDescent="0.2">
      <c r="A373" s="78">
        <v>18233</v>
      </c>
      <c r="B373">
        <v>13.7965</v>
      </c>
      <c r="C373">
        <v>26.085799999999999</v>
      </c>
      <c r="D373">
        <v>4.7084999999999999</v>
      </c>
      <c r="E373">
        <v>20.696100000000001</v>
      </c>
      <c r="F373"/>
      <c r="G373">
        <v>12.3584</v>
      </c>
      <c r="H373">
        <v>45.040700000000001</v>
      </c>
      <c r="I373">
        <v>8.3080999999999996</v>
      </c>
      <c r="J373"/>
      <c r="K373"/>
    </row>
    <row r="374" spans="1:11" x14ac:dyDescent="0.2">
      <c r="A374" s="78">
        <v>18264</v>
      </c>
      <c r="B374">
        <v>14.039</v>
      </c>
      <c r="C374">
        <v>25.770399999999999</v>
      </c>
      <c r="D374">
        <v>4.7976999999999999</v>
      </c>
      <c r="E374">
        <v>21.5456</v>
      </c>
      <c r="F374"/>
      <c r="G374">
        <v>12.4565</v>
      </c>
      <c r="H374">
        <v>44.148099999999999</v>
      </c>
      <c r="I374">
        <v>8.4097000000000008</v>
      </c>
      <c r="J374"/>
      <c r="K374"/>
    </row>
    <row r="375" spans="1:11" x14ac:dyDescent="0.2">
      <c r="A375" s="78">
        <v>18295</v>
      </c>
      <c r="B375">
        <v>14.0929</v>
      </c>
      <c r="C375">
        <v>26.761600000000001</v>
      </c>
      <c r="D375">
        <v>4.9463999999999997</v>
      </c>
      <c r="E375">
        <v>21.584199999999999</v>
      </c>
      <c r="F375"/>
      <c r="G375">
        <v>12.235799999999999</v>
      </c>
      <c r="H375">
        <v>40.646500000000003</v>
      </c>
      <c r="I375">
        <v>8.4859000000000009</v>
      </c>
      <c r="J375"/>
      <c r="K375"/>
    </row>
    <row r="376" spans="1:11" x14ac:dyDescent="0.2">
      <c r="A376" s="78">
        <v>18323</v>
      </c>
      <c r="B376">
        <v>14.551</v>
      </c>
      <c r="C376">
        <v>27.392299999999999</v>
      </c>
      <c r="D376">
        <v>4.9960000000000004</v>
      </c>
      <c r="E376">
        <v>22.047499999999999</v>
      </c>
      <c r="F376"/>
      <c r="G376">
        <v>13.0695</v>
      </c>
      <c r="H376">
        <v>50.327500000000001</v>
      </c>
      <c r="I376">
        <v>8.6382999999999992</v>
      </c>
      <c r="J376"/>
      <c r="K376"/>
    </row>
    <row r="377" spans="1:11" x14ac:dyDescent="0.2">
      <c r="A377" s="78">
        <v>18354</v>
      </c>
      <c r="B377">
        <v>15.036</v>
      </c>
      <c r="C377">
        <v>28.834</v>
      </c>
      <c r="D377">
        <v>5.1445999999999996</v>
      </c>
      <c r="E377">
        <v>22.665299999999998</v>
      </c>
      <c r="F377"/>
      <c r="G377">
        <v>13.609</v>
      </c>
      <c r="H377">
        <v>49.709600000000002</v>
      </c>
      <c r="I377">
        <v>8.74</v>
      </c>
      <c r="J377"/>
      <c r="K377"/>
    </row>
    <row r="378" spans="1:11" x14ac:dyDescent="0.2">
      <c r="A378" s="78">
        <v>18384</v>
      </c>
      <c r="B378">
        <v>15.3863</v>
      </c>
      <c r="C378">
        <v>29.104299999999999</v>
      </c>
      <c r="D378">
        <v>5.3627000000000002</v>
      </c>
      <c r="E378">
        <v>23.167300000000001</v>
      </c>
      <c r="F378"/>
      <c r="G378">
        <v>14.001300000000001</v>
      </c>
      <c r="H378">
        <v>49.915500000000002</v>
      </c>
      <c r="I378">
        <v>8.8924000000000003</v>
      </c>
      <c r="J378"/>
      <c r="K378"/>
    </row>
    <row r="379" spans="1:11" x14ac:dyDescent="0.2">
      <c r="A379" s="78">
        <v>18415</v>
      </c>
      <c r="B379">
        <v>15.8444</v>
      </c>
      <c r="C379">
        <v>30.140599999999999</v>
      </c>
      <c r="D379">
        <v>5.5709</v>
      </c>
      <c r="E379">
        <v>23.7851</v>
      </c>
      <c r="F379"/>
      <c r="G379">
        <v>14.540800000000001</v>
      </c>
      <c r="H379">
        <v>51.494700000000002</v>
      </c>
      <c r="I379">
        <v>8.9431999999999992</v>
      </c>
      <c r="J379"/>
      <c r="K379"/>
    </row>
    <row r="380" spans="1:11" x14ac:dyDescent="0.2">
      <c r="A380" s="78">
        <v>18445</v>
      </c>
      <c r="B380">
        <v>16.356400000000001</v>
      </c>
      <c r="C380">
        <v>30.906500000000001</v>
      </c>
      <c r="D380">
        <v>5.7591999999999999</v>
      </c>
      <c r="E380">
        <v>24.518699999999999</v>
      </c>
      <c r="F380"/>
      <c r="G380">
        <v>14.9331</v>
      </c>
      <c r="H380">
        <v>52.456000000000003</v>
      </c>
      <c r="I380">
        <v>8.9939999999999998</v>
      </c>
      <c r="J380"/>
      <c r="K380"/>
    </row>
    <row r="381" spans="1:11" x14ac:dyDescent="0.2">
      <c r="A381" s="78">
        <v>18476</v>
      </c>
      <c r="B381">
        <v>16.868400000000001</v>
      </c>
      <c r="C381">
        <v>31.492100000000001</v>
      </c>
      <c r="D381">
        <v>6.0763999999999996</v>
      </c>
      <c r="E381">
        <v>25.291</v>
      </c>
      <c r="F381"/>
      <c r="G381">
        <v>15.374499999999999</v>
      </c>
      <c r="H381">
        <v>53.554499999999997</v>
      </c>
      <c r="I381">
        <v>9.0957000000000008</v>
      </c>
      <c r="J381"/>
      <c r="K381"/>
    </row>
    <row r="382" spans="1:11" x14ac:dyDescent="0.2">
      <c r="A382" s="78">
        <v>18507</v>
      </c>
      <c r="B382">
        <v>16.7606</v>
      </c>
      <c r="C382">
        <v>31.5823</v>
      </c>
      <c r="D382">
        <v>5.9276999999999997</v>
      </c>
      <c r="E382">
        <v>24.673200000000001</v>
      </c>
      <c r="F382"/>
      <c r="G382">
        <v>15.546099999999999</v>
      </c>
      <c r="H382">
        <v>54.378399999999999</v>
      </c>
      <c r="I382">
        <v>9.1719000000000008</v>
      </c>
      <c r="J382"/>
      <c r="K382"/>
    </row>
    <row r="383" spans="1:11" x14ac:dyDescent="0.2">
      <c r="A383" s="78">
        <v>18537</v>
      </c>
      <c r="B383">
        <v>16.868400000000001</v>
      </c>
      <c r="C383">
        <v>31.852599999999999</v>
      </c>
      <c r="D383">
        <v>6.0467000000000004</v>
      </c>
      <c r="E383">
        <v>24.4801</v>
      </c>
      <c r="F383"/>
      <c r="G383">
        <v>15.7423</v>
      </c>
      <c r="H383">
        <v>54.515799999999999</v>
      </c>
      <c r="I383">
        <v>9.3750999999999998</v>
      </c>
      <c r="J383"/>
      <c r="K383"/>
    </row>
    <row r="384" spans="1:11" x14ac:dyDescent="0.2">
      <c r="A384" s="78">
        <v>18568</v>
      </c>
      <c r="B384">
        <v>16.8415</v>
      </c>
      <c r="C384">
        <v>31.897600000000001</v>
      </c>
      <c r="D384">
        <v>6.0963000000000003</v>
      </c>
      <c r="E384">
        <v>24.3643</v>
      </c>
      <c r="F384"/>
      <c r="G384">
        <v>15.570600000000001</v>
      </c>
      <c r="H384">
        <v>53.348599999999998</v>
      </c>
      <c r="I384">
        <v>9.4259000000000004</v>
      </c>
      <c r="J384"/>
      <c r="K384"/>
    </row>
    <row r="385" spans="1:11" x14ac:dyDescent="0.2">
      <c r="A385" s="78">
        <v>18598</v>
      </c>
      <c r="B385">
        <v>17.137899999999998</v>
      </c>
      <c r="C385">
        <v>31.942699999999999</v>
      </c>
      <c r="D385">
        <v>6.1954000000000002</v>
      </c>
      <c r="E385">
        <v>24.750399999999999</v>
      </c>
      <c r="F385"/>
      <c r="G385">
        <v>15.815899999999999</v>
      </c>
      <c r="H385">
        <v>54.0351</v>
      </c>
      <c r="I385">
        <v>9.5275999999999996</v>
      </c>
      <c r="J385"/>
      <c r="K385"/>
    </row>
    <row r="386" spans="1:11" x14ac:dyDescent="0.2">
      <c r="A386" s="78">
        <v>18629</v>
      </c>
      <c r="B386">
        <v>17.191700000000001</v>
      </c>
      <c r="C386">
        <v>32.213000000000001</v>
      </c>
      <c r="D386">
        <v>6.2747000000000002</v>
      </c>
      <c r="E386">
        <v>24.904800000000002</v>
      </c>
      <c r="F386"/>
      <c r="G386">
        <v>15.6442</v>
      </c>
      <c r="H386">
        <v>54.790399999999998</v>
      </c>
      <c r="I386">
        <v>9.68</v>
      </c>
      <c r="J386"/>
      <c r="K386"/>
    </row>
    <row r="387" spans="1:11" x14ac:dyDescent="0.2">
      <c r="A387" s="78">
        <v>18660</v>
      </c>
      <c r="B387">
        <v>17.299499999999998</v>
      </c>
      <c r="C387">
        <v>31.897600000000001</v>
      </c>
      <c r="D387">
        <v>6.3639000000000001</v>
      </c>
      <c r="E387">
        <v>24.866199999999999</v>
      </c>
      <c r="F387"/>
      <c r="G387">
        <v>15.7423</v>
      </c>
      <c r="H387">
        <v>53.829099999999997</v>
      </c>
      <c r="I387">
        <v>9.8579000000000008</v>
      </c>
      <c r="J387"/>
      <c r="K387"/>
    </row>
    <row r="388" spans="1:11" x14ac:dyDescent="0.2">
      <c r="A388" s="78">
        <v>18688</v>
      </c>
      <c r="B388">
        <v>17.380400000000002</v>
      </c>
      <c r="C388">
        <v>32.032800000000002</v>
      </c>
      <c r="D388">
        <v>6.4531000000000001</v>
      </c>
      <c r="E388">
        <v>24.518699999999999</v>
      </c>
      <c r="F388"/>
      <c r="G388">
        <v>16.0611</v>
      </c>
      <c r="H388">
        <v>54.309800000000003</v>
      </c>
      <c r="I388">
        <v>9.9595000000000002</v>
      </c>
      <c r="J388"/>
      <c r="K388"/>
    </row>
    <row r="389" spans="1:11" x14ac:dyDescent="0.2">
      <c r="A389" s="78">
        <v>18719</v>
      </c>
      <c r="B389">
        <v>17.407299999999999</v>
      </c>
      <c r="C389">
        <v>31.897600000000001</v>
      </c>
      <c r="D389">
        <v>6.6116999999999999</v>
      </c>
      <c r="E389">
        <v>24.055399999999999</v>
      </c>
      <c r="F389"/>
      <c r="G389">
        <v>16.183700000000002</v>
      </c>
      <c r="H389">
        <v>55.064999999999998</v>
      </c>
      <c r="I389">
        <v>10.1119</v>
      </c>
      <c r="J389"/>
      <c r="K389"/>
    </row>
    <row r="390" spans="1:11" x14ac:dyDescent="0.2">
      <c r="A390" s="78">
        <v>18749</v>
      </c>
      <c r="B390">
        <v>17.353400000000001</v>
      </c>
      <c r="C390">
        <v>31.6724</v>
      </c>
      <c r="D390">
        <v>6.6711999999999998</v>
      </c>
      <c r="E390">
        <v>23.630600000000001</v>
      </c>
      <c r="F390"/>
      <c r="G390">
        <v>16.3063</v>
      </c>
      <c r="H390">
        <v>55.271099999999997</v>
      </c>
      <c r="I390">
        <v>10.162699999999999</v>
      </c>
      <c r="J390"/>
      <c r="K390"/>
    </row>
    <row r="391" spans="1:11" x14ac:dyDescent="0.2">
      <c r="A391" s="78">
        <v>18780</v>
      </c>
      <c r="B391">
        <v>17.272600000000001</v>
      </c>
      <c r="C391">
        <v>31.447099999999999</v>
      </c>
      <c r="D391">
        <v>6.7504999999999997</v>
      </c>
      <c r="E391">
        <v>23.3217</v>
      </c>
      <c r="F391"/>
      <c r="G391">
        <v>16.379799999999999</v>
      </c>
      <c r="H391">
        <v>55.408299999999997</v>
      </c>
      <c r="I391">
        <v>10.239000000000001</v>
      </c>
      <c r="J391"/>
      <c r="K391"/>
    </row>
    <row r="392" spans="1:11" x14ac:dyDescent="0.2">
      <c r="A392" s="78">
        <v>18810</v>
      </c>
      <c r="B392">
        <v>17.0031</v>
      </c>
      <c r="C392">
        <v>30.6812</v>
      </c>
      <c r="D392">
        <v>6.81</v>
      </c>
      <c r="E392">
        <v>22.549499999999998</v>
      </c>
      <c r="F392"/>
      <c r="G392">
        <v>16.085599999999999</v>
      </c>
      <c r="H392">
        <v>55.476999999999997</v>
      </c>
      <c r="I392">
        <v>10.2898</v>
      </c>
      <c r="J392"/>
      <c r="K392"/>
    </row>
    <row r="393" spans="1:11" x14ac:dyDescent="0.2">
      <c r="A393" s="78">
        <v>18841</v>
      </c>
      <c r="B393">
        <v>16.8415</v>
      </c>
      <c r="C393">
        <v>30.545999999999999</v>
      </c>
      <c r="D393">
        <v>6.8992000000000004</v>
      </c>
      <c r="E393">
        <v>22.047499999999999</v>
      </c>
      <c r="F393"/>
      <c r="G393">
        <v>15.815899999999999</v>
      </c>
      <c r="H393">
        <v>55.957599999999999</v>
      </c>
      <c r="I393">
        <v>10.391400000000001</v>
      </c>
      <c r="J393"/>
      <c r="K393"/>
    </row>
    <row r="394" spans="1:11" x14ac:dyDescent="0.2">
      <c r="A394" s="78">
        <v>18872</v>
      </c>
      <c r="B394">
        <v>16.949200000000001</v>
      </c>
      <c r="C394">
        <v>30.501000000000001</v>
      </c>
      <c r="D394">
        <v>7.0479000000000003</v>
      </c>
      <c r="E394">
        <v>22.279199999999999</v>
      </c>
      <c r="F394"/>
      <c r="G394">
        <v>15.9139</v>
      </c>
      <c r="H394">
        <v>56.300899999999999</v>
      </c>
      <c r="I394">
        <v>10.467599999999999</v>
      </c>
      <c r="J394"/>
      <c r="K394"/>
    </row>
    <row r="395" spans="1:11" x14ac:dyDescent="0.2">
      <c r="A395" s="78">
        <v>18902</v>
      </c>
      <c r="B395">
        <v>16.9223</v>
      </c>
      <c r="C395">
        <v>30.230699999999999</v>
      </c>
      <c r="D395">
        <v>7.1668000000000003</v>
      </c>
      <c r="E395">
        <v>22.1248</v>
      </c>
      <c r="F395"/>
      <c r="G395">
        <v>15.693300000000001</v>
      </c>
      <c r="H395">
        <v>57.330800000000004</v>
      </c>
      <c r="I395">
        <v>10.467599999999999</v>
      </c>
      <c r="J395"/>
      <c r="K395"/>
    </row>
    <row r="396" spans="1:11" x14ac:dyDescent="0.2">
      <c r="A396" s="78">
        <v>18933</v>
      </c>
      <c r="B396">
        <v>17.056999999999999</v>
      </c>
      <c r="C396">
        <v>29.9603</v>
      </c>
      <c r="D396">
        <v>7.2957000000000001</v>
      </c>
      <c r="E396">
        <v>22.510899999999999</v>
      </c>
      <c r="F396"/>
      <c r="G396">
        <v>15.7423</v>
      </c>
      <c r="H396">
        <v>56.918799999999997</v>
      </c>
      <c r="I396">
        <v>10.620100000000001</v>
      </c>
      <c r="J396"/>
      <c r="K396"/>
    </row>
    <row r="397" spans="1:11" x14ac:dyDescent="0.2">
      <c r="A397" s="78">
        <v>18963</v>
      </c>
      <c r="B397">
        <v>17.1648</v>
      </c>
      <c r="C397">
        <v>30.0504</v>
      </c>
      <c r="D397">
        <v>7.3849</v>
      </c>
      <c r="E397">
        <v>22.665299999999998</v>
      </c>
      <c r="F397"/>
      <c r="G397">
        <v>15.7668</v>
      </c>
      <c r="H397">
        <v>56.781500000000001</v>
      </c>
      <c r="I397">
        <v>10.6455</v>
      </c>
      <c r="J397"/>
      <c r="K397"/>
    </row>
    <row r="398" spans="1:11" x14ac:dyDescent="0.2">
      <c r="A398" s="78">
        <v>18994</v>
      </c>
      <c r="B398">
        <v>17.353400000000001</v>
      </c>
      <c r="C398">
        <v>30.4559</v>
      </c>
      <c r="D398">
        <v>7.5731999999999999</v>
      </c>
      <c r="E398">
        <v>22.8584</v>
      </c>
      <c r="F398"/>
      <c r="G398">
        <v>16.134599999999999</v>
      </c>
      <c r="H398">
        <v>57.1248</v>
      </c>
      <c r="I398">
        <v>10.772500000000001</v>
      </c>
      <c r="J398"/>
      <c r="K398"/>
    </row>
    <row r="399" spans="1:11" x14ac:dyDescent="0.2">
      <c r="A399" s="78">
        <v>19025</v>
      </c>
      <c r="B399">
        <v>17.461200000000002</v>
      </c>
      <c r="C399">
        <v>30.6812</v>
      </c>
      <c r="D399">
        <v>7.6624999999999996</v>
      </c>
      <c r="E399">
        <v>23.012799999999999</v>
      </c>
      <c r="F399"/>
      <c r="G399">
        <v>15.987500000000001</v>
      </c>
      <c r="H399">
        <v>57.674100000000003</v>
      </c>
      <c r="I399">
        <v>10.848699999999999</v>
      </c>
      <c r="J399"/>
      <c r="K399"/>
    </row>
    <row r="400" spans="1:11" x14ac:dyDescent="0.2">
      <c r="A400" s="78">
        <v>19054</v>
      </c>
      <c r="B400">
        <v>17.5151</v>
      </c>
      <c r="C400">
        <v>30.501000000000001</v>
      </c>
      <c r="D400">
        <v>7.7317999999999998</v>
      </c>
      <c r="E400">
        <v>23.128699999999998</v>
      </c>
      <c r="F400"/>
      <c r="G400">
        <v>15.987500000000001</v>
      </c>
      <c r="H400">
        <v>57.330800000000004</v>
      </c>
      <c r="I400">
        <v>10.8741</v>
      </c>
      <c r="J400"/>
      <c r="K400"/>
    </row>
    <row r="401" spans="1:11" x14ac:dyDescent="0.2">
      <c r="A401" s="78">
        <v>19085</v>
      </c>
      <c r="B401">
        <v>17.353400000000001</v>
      </c>
      <c r="C401">
        <v>30.005400000000002</v>
      </c>
      <c r="D401">
        <v>7.7020999999999997</v>
      </c>
      <c r="E401">
        <v>23.128699999999998</v>
      </c>
      <c r="F401"/>
      <c r="G401">
        <v>15.693300000000001</v>
      </c>
      <c r="H401">
        <v>56.781500000000001</v>
      </c>
      <c r="I401">
        <v>10.7979</v>
      </c>
      <c r="J401"/>
      <c r="K401"/>
    </row>
    <row r="402" spans="1:11" x14ac:dyDescent="0.2">
      <c r="A402" s="78">
        <v>19115</v>
      </c>
      <c r="B402">
        <v>17.191800000000001</v>
      </c>
      <c r="C402">
        <v>29.5549</v>
      </c>
      <c r="D402">
        <v>7.7417999999999996</v>
      </c>
      <c r="E402">
        <v>23.0901</v>
      </c>
      <c r="F402"/>
      <c r="G402">
        <v>15.4726</v>
      </c>
      <c r="H402">
        <v>50.602200000000003</v>
      </c>
      <c r="I402">
        <v>10.848699999999999</v>
      </c>
      <c r="J402"/>
      <c r="K402"/>
    </row>
    <row r="403" spans="1:11" x14ac:dyDescent="0.2">
      <c r="A403" s="78">
        <v>19146</v>
      </c>
      <c r="B403">
        <v>17.030100000000001</v>
      </c>
      <c r="C403">
        <v>29.374600000000001</v>
      </c>
      <c r="D403">
        <v>7.7912999999999997</v>
      </c>
      <c r="E403">
        <v>23.746500000000001</v>
      </c>
      <c r="F403"/>
      <c r="G403">
        <v>14.5898</v>
      </c>
      <c r="H403">
        <v>51.082799999999999</v>
      </c>
      <c r="I403">
        <v>10.8995</v>
      </c>
      <c r="J403"/>
      <c r="K403"/>
    </row>
    <row r="404" spans="1:11" x14ac:dyDescent="0.2">
      <c r="A404" s="78">
        <v>19176</v>
      </c>
      <c r="B404">
        <v>16.7606</v>
      </c>
      <c r="C404">
        <v>29.329599999999999</v>
      </c>
      <c r="D404">
        <v>7.4146000000000001</v>
      </c>
      <c r="E404">
        <v>23.3217</v>
      </c>
      <c r="F404"/>
      <c r="G404">
        <v>14.271000000000001</v>
      </c>
      <c r="H404">
        <v>50.808100000000003</v>
      </c>
      <c r="I404">
        <v>11.001200000000001</v>
      </c>
      <c r="J404"/>
      <c r="K404"/>
    </row>
    <row r="405" spans="1:11" x14ac:dyDescent="0.2">
      <c r="A405" s="78">
        <v>19207</v>
      </c>
      <c r="B405">
        <v>17.8385</v>
      </c>
      <c r="C405">
        <v>31.311900000000001</v>
      </c>
      <c r="D405">
        <v>7.5434999999999999</v>
      </c>
      <c r="E405">
        <v>23.7851</v>
      </c>
      <c r="F405"/>
      <c r="G405">
        <v>16.085599999999999</v>
      </c>
      <c r="H405">
        <v>54.1038</v>
      </c>
      <c r="I405">
        <v>11.229799999999999</v>
      </c>
      <c r="J405"/>
      <c r="K405"/>
    </row>
    <row r="406" spans="1:11" x14ac:dyDescent="0.2">
      <c r="A406" s="78">
        <v>19238</v>
      </c>
      <c r="B406">
        <v>18.485199999999999</v>
      </c>
      <c r="C406">
        <v>31.627300000000002</v>
      </c>
      <c r="D406">
        <v>7.7218999999999998</v>
      </c>
      <c r="E406">
        <v>24.402899999999999</v>
      </c>
      <c r="F406"/>
      <c r="G406">
        <v>17.14</v>
      </c>
      <c r="H406">
        <v>58.086100000000002</v>
      </c>
      <c r="I406">
        <v>11.4077</v>
      </c>
      <c r="J406"/>
      <c r="K406"/>
    </row>
    <row r="407" spans="1:11" x14ac:dyDescent="0.2">
      <c r="A407" s="78">
        <v>19268</v>
      </c>
      <c r="B407">
        <v>18.6738</v>
      </c>
      <c r="C407">
        <v>32.0779</v>
      </c>
      <c r="D407">
        <v>7.8011999999999997</v>
      </c>
      <c r="E407">
        <v>24.789000000000001</v>
      </c>
      <c r="F407"/>
      <c r="G407">
        <v>17.041899999999998</v>
      </c>
      <c r="H407">
        <v>54.241100000000003</v>
      </c>
      <c r="I407">
        <v>11.5093</v>
      </c>
      <c r="J407"/>
      <c r="K407"/>
    </row>
    <row r="408" spans="1:11" x14ac:dyDescent="0.2">
      <c r="A408" s="78">
        <v>19299</v>
      </c>
      <c r="B408">
        <v>19.051100000000002</v>
      </c>
      <c r="C408">
        <v>32.618499999999997</v>
      </c>
      <c r="D408">
        <v>7.9002999999999997</v>
      </c>
      <c r="E408">
        <v>25.291</v>
      </c>
      <c r="F408"/>
      <c r="G408">
        <v>17.556799999999999</v>
      </c>
      <c r="H408">
        <v>57.880099999999999</v>
      </c>
      <c r="I408">
        <v>11.5855</v>
      </c>
      <c r="J408"/>
      <c r="K408"/>
    </row>
    <row r="409" spans="1:11" x14ac:dyDescent="0.2">
      <c r="A409" s="78">
        <v>19329</v>
      </c>
      <c r="B409">
        <v>19.158799999999999</v>
      </c>
      <c r="C409">
        <v>32.753599999999999</v>
      </c>
      <c r="D409">
        <v>7.9795999999999996</v>
      </c>
      <c r="E409">
        <v>25.291</v>
      </c>
      <c r="F409"/>
      <c r="G409">
        <v>17.605899999999998</v>
      </c>
      <c r="H409">
        <v>56.575499999999998</v>
      </c>
      <c r="I409">
        <v>11.661799999999999</v>
      </c>
      <c r="J409"/>
      <c r="K409"/>
    </row>
    <row r="410" spans="1:11" x14ac:dyDescent="0.2">
      <c r="A410" s="78">
        <v>19360</v>
      </c>
      <c r="B410">
        <v>19.212700000000002</v>
      </c>
      <c r="C410">
        <v>33.2943</v>
      </c>
      <c r="D410">
        <v>8.0390999999999995</v>
      </c>
      <c r="E410">
        <v>25.522600000000001</v>
      </c>
      <c r="F410"/>
      <c r="G410">
        <v>17.5078</v>
      </c>
      <c r="H410">
        <v>55.889000000000003</v>
      </c>
      <c r="I410">
        <v>11.610900000000001</v>
      </c>
      <c r="J410"/>
      <c r="K410"/>
    </row>
    <row r="411" spans="1:11" x14ac:dyDescent="0.2">
      <c r="A411" s="78">
        <v>19391</v>
      </c>
      <c r="B411">
        <v>19.320499999999999</v>
      </c>
      <c r="C411">
        <v>33.7898</v>
      </c>
      <c r="D411">
        <v>8.0688999999999993</v>
      </c>
      <c r="E411">
        <v>25.715699999999998</v>
      </c>
      <c r="F411"/>
      <c r="G411">
        <v>17.924600000000002</v>
      </c>
      <c r="H411">
        <v>55.476999999999997</v>
      </c>
      <c r="I411">
        <v>11.610900000000001</v>
      </c>
      <c r="J411"/>
      <c r="K411"/>
    </row>
    <row r="412" spans="1:11" x14ac:dyDescent="0.2">
      <c r="A412" s="78">
        <v>19419</v>
      </c>
      <c r="B412">
        <v>19.482199999999999</v>
      </c>
      <c r="C412">
        <v>33.880000000000003</v>
      </c>
      <c r="D412">
        <v>8.1282999999999994</v>
      </c>
      <c r="E412">
        <v>25.754300000000001</v>
      </c>
      <c r="F412"/>
      <c r="G412">
        <v>18.145299999999999</v>
      </c>
      <c r="H412">
        <v>55.820300000000003</v>
      </c>
      <c r="I412">
        <v>11.763400000000001</v>
      </c>
      <c r="J412"/>
      <c r="K412"/>
    </row>
    <row r="413" spans="1:11" x14ac:dyDescent="0.2">
      <c r="A413" s="78">
        <v>19450</v>
      </c>
      <c r="B413">
        <v>19.562999999999999</v>
      </c>
      <c r="C413">
        <v>34.015099999999997</v>
      </c>
      <c r="D413">
        <v>8.1382999999999992</v>
      </c>
      <c r="E413">
        <v>25.677099999999999</v>
      </c>
      <c r="F413"/>
      <c r="G413">
        <v>18.2925</v>
      </c>
      <c r="H413">
        <v>56.163600000000002</v>
      </c>
      <c r="I413">
        <v>11.8904</v>
      </c>
      <c r="J413"/>
      <c r="K413"/>
    </row>
    <row r="414" spans="1:11" x14ac:dyDescent="0.2">
      <c r="A414" s="78">
        <v>19480</v>
      </c>
      <c r="B414">
        <v>19.6708</v>
      </c>
      <c r="C414">
        <v>33.2943</v>
      </c>
      <c r="D414">
        <v>8.0886999999999993</v>
      </c>
      <c r="E414">
        <v>25.792899999999999</v>
      </c>
      <c r="F414"/>
      <c r="G414">
        <v>18.660299999999999</v>
      </c>
      <c r="H414">
        <v>56.918900000000001</v>
      </c>
      <c r="I414">
        <v>12.042899999999999</v>
      </c>
      <c r="J414"/>
      <c r="K414"/>
    </row>
    <row r="415" spans="1:11" x14ac:dyDescent="0.2">
      <c r="A415" s="78">
        <v>19511</v>
      </c>
      <c r="B415">
        <v>19.59</v>
      </c>
      <c r="C415">
        <v>33.069000000000003</v>
      </c>
      <c r="D415">
        <v>8.0390999999999995</v>
      </c>
      <c r="E415">
        <v>25.4068</v>
      </c>
      <c r="F415"/>
      <c r="G415">
        <v>18.684799999999999</v>
      </c>
      <c r="H415">
        <v>57.4681</v>
      </c>
      <c r="I415">
        <v>12.1699</v>
      </c>
      <c r="J415"/>
      <c r="K415"/>
    </row>
    <row r="416" spans="1:11" x14ac:dyDescent="0.2">
      <c r="A416" s="78">
        <v>19541</v>
      </c>
      <c r="B416">
        <v>19.8325</v>
      </c>
      <c r="C416">
        <v>33.519500000000001</v>
      </c>
      <c r="D416">
        <v>8.1580999999999992</v>
      </c>
      <c r="E416">
        <v>25.445399999999999</v>
      </c>
      <c r="F416"/>
      <c r="G416">
        <v>18.9055</v>
      </c>
      <c r="H416">
        <v>58.154699999999998</v>
      </c>
      <c r="I416">
        <v>12.2715</v>
      </c>
      <c r="J416"/>
      <c r="K416"/>
    </row>
    <row r="417" spans="1:11" x14ac:dyDescent="0.2">
      <c r="A417" s="78">
        <v>19572</v>
      </c>
      <c r="B417">
        <v>19.724699999999999</v>
      </c>
      <c r="C417">
        <v>33.384399999999999</v>
      </c>
      <c r="D417">
        <v>8.1282999999999994</v>
      </c>
      <c r="E417">
        <v>25.291</v>
      </c>
      <c r="F417"/>
      <c r="G417">
        <v>18.414999999999999</v>
      </c>
      <c r="H417">
        <v>58.566699999999997</v>
      </c>
      <c r="I417">
        <v>12.2461</v>
      </c>
      <c r="J417"/>
      <c r="K417"/>
    </row>
    <row r="418" spans="1:11" x14ac:dyDescent="0.2">
      <c r="A418" s="78">
        <v>19603</v>
      </c>
      <c r="B418">
        <v>19.320499999999999</v>
      </c>
      <c r="C418">
        <v>32.753599999999999</v>
      </c>
      <c r="D418">
        <v>8.0390999999999995</v>
      </c>
      <c r="E418">
        <v>24.9435</v>
      </c>
      <c r="F418"/>
      <c r="G418">
        <v>17.949200000000001</v>
      </c>
      <c r="H418">
        <v>58.017400000000002</v>
      </c>
      <c r="I418">
        <v>12.2461</v>
      </c>
      <c r="J418"/>
      <c r="K418"/>
    </row>
    <row r="419" spans="1:11" x14ac:dyDescent="0.2">
      <c r="A419" s="78">
        <v>19633</v>
      </c>
      <c r="B419">
        <v>19.158799999999999</v>
      </c>
      <c r="C419">
        <v>32.843800000000002</v>
      </c>
      <c r="D419">
        <v>8.0390999999999995</v>
      </c>
      <c r="E419">
        <v>24.9435</v>
      </c>
      <c r="F419"/>
      <c r="G419">
        <v>17.385200000000001</v>
      </c>
      <c r="H419">
        <v>56.438200000000002</v>
      </c>
      <c r="I419">
        <v>12.296900000000001</v>
      </c>
      <c r="J419"/>
      <c r="K419"/>
    </row>
    <row r="420" spans="1:11" x14ac:dyDescent="0.2">
      <c r="A420" s="78">
        <v>19664</v>
      </c>
      <c r="B420">
        <v>18.700800000000001</v>
      </c>
      <c r="C420">
        <v>32.303100000000001</v>
      </c>
      <c r="D420">
        <v>7.7615999999999996</v>
      </c>
      <c r="E420">
        <v>24.557300000000001</v>
      </c>
      <c r="F420"/>
      <c r="G420">
        <v>16.9438</v>
      </c>
      <c r="H420">
        <v>55.5456</v>
      </c>
      <c r="I420">
        <v>12.220700000000001</v>
      </c>
      <c r="J420"/>
      <c r="K420"/>
    </row>
    <row r="421" spans="1:11" x14ac:dyDescent="0.2">
      <c r="A421" s="78">
        <v>19694</v>
      </c>
      <c r="B421">
        <v>18.242699999999999</v>
      </c>
      <c r="C421">
        <v>31.537199999999999</v>
      </c>
      <c r="D421">
        <v>7.6326999999999998</v>
      </c>
      <c r="E421">
        <v>24.171199999999999</v>
      </c>
      <c r="F421"/>
      <c r="G421">
        <v>16.551500000000001</v>
      </c>
      <c r="H421">
        <v>54.927700000000002</v>
      </c>
      <c r="I421">
        <v>12.220700000000001</v>
      </c>
      <c r="J421"/>
      <c r="K421"/>
    </row>
    <row r="422" spans="1:11" x14ac:dyDescent="0.2">
      <c r="A422" s="78">
        <v>19725</v>
      </c>
      <c r="B422">
        <v>18.107900000000001</v>
      </c>
      <c r="C422">
        <v>32.122900000000001</v>
      </c>
      <c r="D422">
        <v>7.4047000000000001</v>
      </c>
      <c r="E422">
        <v>24.286999999999999</v>
      </c>
      <c r="F422"/>
      <c r="G422">
        <v>16.3553</v>
      </c>
      <c r="H422">
        <v>54.721699999999998</v>
      </c>
      <c r="I422">
        <v>12.5002</v>
      </c>
      <c r="J422"/>
      <c r="K422"/>
    </row>
    <row r="423" spans="1:11" x14ac:dyDescent="0.2">
      <c r="A423" s="78">
        <v>19756</v>
      </c>
      <c r="B423">
        <v>18.161799999999999</v>
      </c>
      <c r="C423">
        <v>32.213000000000001</v>
      </c>
      <c r="D423">
        <v>7.3155000000000001</v>
      </c>
      <c r="E423">
        <v>24.557300000000001</v>
      </c>
      <c r="F423"/>
      <c r="G423">
        <v>16.3308</v>
      </c>
      <c r="H423">
        <v>54.790399999999998</v>
      </c>
      <c r="I423">
        <v>12.5002</v>
      </c>
      <c r="J423"/>
      <c r="K423"/>
    </row>
    <row r="424" spans="1:11" x14ac:dyDescent="0.2">
      <c r="A424" s="78">
        <v>19784</v>
      </c>
      <c r="B424">
        <v>18.053999999999998</v>
      </c>
      <c r="C424">
        <v>31.9877</v>
      </c>
      <c r="D424">
        <v>7.2065000000000001</v>
      </c>
      <c r="E424">
        <v>24.5959</v>
      </c>
      <c r="F424"/>
      <c r="G424">
        <v>16.159199999999998</v>
      </c>
      <c r="H424">
        <v>54.790399999999998</v>
      </c>
      <c r="I424">
        <v>12.6272</v>
      </c>
      <c r="J424"/>
      <c r="K424"/>
    </row>
    <row r="425" spans="1:11" x14ac:dyDescent="0.2">
      <c r="A425" s="78">
        <v>19815</v>
      </c>
      <c r="B425">
        <v>17.946200000000001</v>
      </c>
      <c r="C425">
        <v>31.9877</v>
      </c>
      <c r="D425">
        <v>7.0776000000000003</v>
      </c>
      <c r="E425">
        <v>24.5959</v>
      </c>
      <c r="F425"/>
      <c r="G425">
        <v>16.134599999999999</v>
      </c>
      <c r="H425">
        <v>54.790399999999998</v>
      </c>
      <c r="I425">
        <v>12.7288</v>
      </c>
      <c r="J425"/>
      <c r="K425"/>
    </row>
    <row r="426" spans="1:11" x14ac:dyDescent="0.2">
      <c r="A426" s="78">
        <v>19845</v>
      </c>
      <c r="B426">
        <v>18.053999999999998</v>
      </c>
      <c r="C426">
        <v>32.3932</v>
      </c>
      <c r="D426">
        <v>7.0677000000000003</v>
      </c>
      <c r="E426">
        <v>24.750399999999999</v>
      </c>
      <c r="F426"/>
      <c r="G426">
        <v>16.3553</v>
      </c>
      <c r="H426">
        <v>55.545699999999997</v>
      </c>
      <c r="I426">
        <v>12.754300000000001</v>
      </c>
      <c r="J426"/>
      <c r="K426"/>
    </row>
    <row r="427" spans="1:11" x14ac:dyDescent="0.2">
      <c r="A427" s="78">
        <v>19876</v>
      </c>
      <c r="B427">
        <v>18.107900000000001</v>
      </c>
      <c r="C427">
        <v>31.627300000000002</v>
      </c>
      <c r="D427">
        <v>6.9785000000000004</v>
      </c>
      <c r="E427">
        <v>24.904800000000002</v>
      </c>
      <c r="F427"/>
      <c r="G427">
        <v>16.551500000000001</v>
      </c>
      <c r="H427">
        <v>56.712899999999998</v>
      </c>
      <c r="I427">
        <v>12.8559</v>
      </c>
      <c r="J427"/>
      <c r="K427"/>
    </row>
    <row r="428" spans="1:11" x14ac:dyDescent="0.2">
      <c r="A428" s="78">
        <v>19906</v>
      </c>
      <c r="B428">
        <v>18.134899999999998</v>
      </c>
      <c r="C428">
        <v>31.5823</v>
      </c>
      <c r="D428">
        <v>6.9585999999999997</v>
      </c>
      <c r="E428">
        <v>24.982099999999999</v>
      </c>
      <c r="F428"/>
      <c r="G428">
        <v>16.625</v>
      </c>
      <c r="H428">
        <v>56.575499999999998</v>
      </c>
      <c r="I428">
        <v>12.9575</v>
      </c>
      <c r="J428"/>
      <c r="K428"/>
    </row>
    <row r="429" spans="1:11" x14ac:dyDescent="0.2">
      <c r="A429" s="78">
        <v>19937</v>
      </c>
      <c r="B429">
        <v>18.107900000000001</v>
      </c>
      <c r="C429">
        <v>31.402100000000001</v>
      </c>
      <c r="D429">
        <v>6.9189999999999996</v>
      </c>
      <c r="E429">
        <v>25.020700000000001</v>
      </c>
      <c r="F429"/>
      <c r="G429">
        <v>16.527000000000001</v>
      </c>
      <c r="H429">
        <v>55.133699999999997</v>
      </c>
      <c r="I429">
        <v>12.982900000000001</v>
      </c>
      <c r="J429"/>
      <c r="K429"/>
    </row>
    <row r="430" spans="1:11" x14ac:dyDescent="0.2">
      <c r="A430" s="78">
        <v>19968</v>
      </c>
      <c r="B430">
        <v>18.134899999999998</v>
      </c>
      <c r="C430">
        <v>32.978900000000003</v>
      </c>
      <c r="D430">
        <v>6.8396999999999997</v>
      </c>
      <c r="E430">
        <v>25.252300000000002</v>
      </c>
      <c r="F430"/>
      <c r="G430">
        <v>16.404399999999999</v>
      </c>
      <c r="H430">
        <v>54.378399999999999</v>
      </c>
      <c r="I430">
        <v>13.11</v>
      </c>
      <c r="J430"/>
      <c r="K430"/>
    </row>
    <row r="431" spans="1:11" x14ac:dyDescent="0.2">
      <c r="A431" s="78">
        <v>19998</v>
      </c>
      <c r="B431">
        <v>18.3505</v>
      </c>
      <c r="C431">
        <v>34.060200000000002</v>
      </c>
      <c r="D431">
        <v>6.8198999999999996</v>
      </c>
      <c r="E431">
        <v>25.329599999999999</v>
      </c>
      <c r="F431"/>
      <c r="G431">
        <v>16.747599999999998</v>
      </c>
      <c r="H431">
        <v>54.927700000000002</v>
      </c>
      <c r="I431">
        <v>13.364000000000001</v>
      </c>
      <c r="J431"/>
      <c r="K431"/>
    </row>
    <row r="432" spans="1:11" x14ac:dyDescent="0.2">
      <c r="A432" s="78">
        <v>20029</v>
      </c>
      <c r="B432">
        <v>18.646899999999999</v>
      </c>
      <c r="C432">
        <v>34.375500000000002</v>
      </c>
      <c r="D432">
        <v>6.9486999999999997</v>
      </c>
      <c r="E432">
        <v>25.870100000000001</v>
      </c>
      <c r="F432"/>
      <c r="G432">
        <v>17.066400000000002</v>
      </c>
      <c r="H432">
        <v>56.026299999999999</v>
      </c>
      <c r="I432">
        <v>13.516500000000001</v>
      </c>
      <c r="J432"/>
      <c r="K432"/>
    </row>
    <row r="433" spans="1:11" x14ac:dyDescent="0.2">
      <c r="A433" s="78">
        <v>20059</v>
      </c>
      <c r="B433">
        <v>18.889399999999998</v>
      </c>
      <c r="C433">
        <v>34.690899999999999</v>
      </c>
      <c r="D433">
        <v>6.9686000000000003</v>
      </c>
      <c r="E433">
        <v>26.333500000000001</v>
      </c>
      <c r="F433"/>
      <c r="G433">
        <v>17.360700000000001</v>
      </c>
      <c r="H433">
        <v>56.712899999999998</v>
      </c>
      <c r="I433">
        <v>13.6181</v>
      </c>
      <c r="J433"/>
      <c r="K433"/>
    </row>
    <row r="434" spans="1:11" x14ac:dyDescent="0.2">
      <c r="A434" s="78">
        <v>20090</v>
      </c>
      <c r="B434">
        <v>19.320499999999999</v>
      </c>
      <c r="C434">
        <v>35.186500000000002</v>
      </c>
      <c r="D434">
        <v>7.0180999999999996</v>
      </c>
      <c r="E434">
        <v>26.912700000000001</v>
      </c>
      <c r="F434"/>
      <c r="G434">
        <v>17.973700000000001</v>
      </c>
      <c r="H434">
        <v>58.360700000000001</v>
      </c>
      <c r="I434">
        <v>13.567299999999999</v>
      </c>
      <c r="J434"/>
      <c r="K434"/>
    </row>
    <row r="435" spans="1:11" x14ac:dyDescent="0.2">
      <c r="A435" s="78">
        <v>20121</v>
      </c>
      <c r="B435">
        <v>19.562999999999999</v>
      </c>
      <c r="C435">
        <v>35.682099999999998</v>
      </c>
      <c r="D435">
        <v>7.1272000000000002</v>
      </c>
      <c r="E435">
        <v>27.028500000000001</v>
      </c>
      <c r="F435"/>
      <c r="G435">
        <v>18.415099999999999</v>
      </c>
      <c r="H435">
        <v>59.527900000000002</v>
      </c>
      <c r="I435">
        <v>13.8721</v>
      </c>
      <c r="J435"/>
      <c r="K435"/>
    </row>
    <row r="436" spans="1:11" x14ac:dyDescent="0.2">
      <c r="A436" s="78">
        <v>20149</v>
      </c>
      <c r="B436">
        <v>20.021100000000001</v>
      </c>
      <c r="C436">
        <v>36.853499999999997</v>
      </c>
      <c r="D436">
        <v>7.1966000000000001</v>
      </c>
      <c r="E436">
        <v>27.5305</v>
      </c>
      <c r="F436"/>
      <c r="G436">
        <v>18.9055</v>
      </c>
      <c r="H436">
        <v>59.321899999999999</v>
      </c>
      <c r="I436">
        <v>14.0754</v>
      </c>
      <c r="J436"/>
      <c r="K436"/>
    </row>
    <row r="437" spans="1:11" x14ac:dyDescent="0.2">
      <c r="A437" s="78">
        <v>20180</v>
      </c>
      <c r="B437">
        <v>20.2636</v>
      </c>
      <c r="C437">
        <v>37.123800000000003</v>
      </c>
      <c r="D437">
        <v>7.4443999999999999</v>
      </c>
      <c r="E437">
        <v>27.723500000000001</v>
      </c>
      <c r="F437"/>
      <c r="G437">
        <v>19.273299999999999</v>
      </c>
      <c r="H437">
        <v>60.5578</v>
      </c>
      <c r="I437">
        <v>14.202400000000001</v>
      </c>
      <c r="J437"/>
      <c r="K437"/>
    </row>
    <row r="438" spans="1:11" x14ac:dyDescent="0.2">
      <c r="A438" s="78">
        <v>20210</v>
      </c>
      <c r="B438">
        <v>20.587</v>
      </c>
      <c r="C438">
        <v>37.259</v>
      </c>
      <c r="D438">
        <v>7.5533999999999999</v>
      </c>
      <c r="E438">
        <v>28.1096</v>
      </c>
      <c r="F438"/>
      <c r="G438">
        <v>19.641100000000002</v>
      </c>
      <c r="H438">
        <v>60.9011</v>
      </c>
      <c r="I438">
        <v>14.278700000000001</v>
      </c>
      <c r="J438"/>
      <c r="K438"/>
    </row>
    <row r="439" spans="1:11" x14ac:dyDescent="0.2">
      <c r="A439" s="78">
        <v>20241</v>
      </c>
      <c r="B439">
        <v>20.613900000000001</v>
      </c>
      <c r="C439">
        <v>37.934800000000003</v>
      </c>
      <c r="D439">
        <v>7.6425999999999998</v>
      </c>
      <c r="E439">
        <v>27.878</v>
      </c>
      <c r="F439"/>
      <c r="G439">
        <v>19.690100000000001</v>
      </c>
      <c r="H439">
        <v>61.793700000000001</v>
      </c>
      <c r="I439">
        <v>14.3041</v>
      </c>
      <c r="J439"/>
      <c r="K439"/>
    </row>
    <row r="440" spans="1:11" x14ac:dyDescent="0.2">
      <c r="A440" s="78">
        <v>20271</v>
      </c>
      <c r="B440">
        <v>20.775600000000001</v>
      </c>
      <c r="C440">
        <v>37.979799999999997</v>
      </c>
      <c r="D440">
        <v>7.6623999999999999</v>
      </c>
      <c r="E440">
        <v>27.955200000000001</v>
      </c>
      <c r="F440"/>
      <c r="G440">
        <v>19.935300000000002</v>
      </c>
      <c r="H440">
        <v>61.862299999999998</v>
      </c>
      <c r="I440">
        <v>14.354900000000001</v>
      </c>
      <c r="J440"/>
      <c r="K440"/>
    </row>
    <row r="441" spans="1:11" x14ac:dyDescent="0.2">
      <c r="A441" s="78">
        <v>20302</v>
      </c>
      <c r="B441">
        <v>20.748699999999999</v>
      </c>
      <c r="C441">
        <v>37.979799999999997</v>
      </c>
      <c r="D441">
        <v>7.7119999999999997</v>
      </c>
      <c r="E441">
        <v>28.032399999999999</v>
      </c>
      <c r="F441"/>
      <c r="G441">
        <v>19.910799999999998</v>
      </c>
      <c r="H441">
        <v>62.617600000000003</v>
      </c>
      <c r="I441">
        <v>14.710599999999999</v>
      </c>
      <c r="J441"/>
      <c r="K441"/>
    </row>
    <row r="442" spans="1:11" x14ac:dyDescent="0.2">
      <c r="A442" s="78">
        <v>20333</v>
      </c>
      <c r="B442">
        <v>20.883400000000002</v>
      </c>
      <c r="C442">
        <v>38.205100000000002</v>
      </c>
      <c r="D442">
        <v>7.7615999999999996</v>
      </c>
      <c r="E442">
        <v>28.186900000000001</v>
      </c>
      <c r="F442"/>
      <c r="G442">
        <v>20.131499999999999</v>
      </c>
      <c r="H442">
        <v>63.166899999999998</v>
      </c>
      <c r="I442">
        <v>14.9138</v>
      </c>
      <c r="J442"/>
      <c r="K442"/>
    </row>
    <row r="443" spans="1:11" x14ac:dyDescent="0.2">
      <c r="A443" s="78">
        <v>20363</v>
      </c>
      <c r="B443">
        <v>21.233699999999999</v>
      </c>
      <c r="C443">
        <v>38.205100000000002</v>
      </c>
      <c r="D443">
        <v>8.1183999999999994</v>
      </c>
      <c r="E443">
        <v>28.727399999999999</v>
      </c>
      <c r="F443"/>
      <c r="G443">
        <v>20.3522</v>
      </c>
      <c r="H443">
        <v>64.196799999999996</v>
      </c>
      <c r="I443">
        <v>15.0663</v>
      </c>
      <c r="J443"/>
      <c r="K443"/>
    </row>
    <row r="444" spans="1:11" x14ac:dyDescent="0.2">
      <c r="A444" s="78">
        <v>20394</v>
      </c>
      <c r="B444">
        <v>21.287600000000001</v>
      </c>
      <c r="C444">
        <v>38.6556</v>
      </c>
      <c r="D444">
        <v>8.1580999999999992</v>
      </c>
      <c r="E444">
        <v>28.8047</v>
      </c>
      <c r="F444"/>
      <c r="G444">
        <v>20.254100000000001</v>
      </c>
      <c r="H444">
        <v>64.471400000000003</v>
      </c>
      <c r="I444">
        <v>15.193300000000001</v>
      </c>
      <c r="J444"/>
      <c r="K444"/>
    </row>
    <row r="445" spans="1:11" x14ac:dyDescent="0.2">
      <c r="A445" s="78">
        <v>20424</v>
      </c>
      <c r="B445">
        <v>21.368400000000001</v>
      </c>
      <c r="C445">
        <v>38.880899999999997</v>
      </c>
      <c r="D445">
        <v>8.2969000000000008</v>
      </c>
      <c r="E445">
        <v>28.959099999999999</v>
      </c>
      <c r="F445"/>
      <c r="G445">
        <v>20.401199999999999</v>
      </c>
      <c r="H445">
        <v>64.265500000000003</v>
      </c>
      <c r="I445">
        <v>15.3712</v>
      </c>
      <c r="J445"/>
      <c r="K445"/>
    </row>
    <row r="446" spans="1:11" x14ac:dyDescent="0.2">
      <c r="A446" s="78">
        <v>20455</v>
      </c>
      <c r="B446">
        <v>21.5032</v>
      </c>
      <c r="C446">
        <v>39.511600000000001</v>
      </c>
      <c r="D446">
        <v>8.3562999999999992</v>
      </c>
      <c r="E446">
        <v>28.997699999999998</v>
      </c>
      <c r="F446"/>
      <c r="G446">
        <v>20.499300000000002</v>
      </c>
      <c r="H446">
        <v>64.471400000000003</v>
      </c>
      <c r="I446">
        <v>15.422000000000001</v>
      </c>
      <c r="J446"/>
      <c r="K446"/>
    </row>
    <row r="447" spans="1:11" x14ac:dyDescent="0.2">
      <c r="A447" s="78">
        <v>20486</v>
      </c>
      <c r="B447">
        <v>21.314499999999999</v>
      </c>
      <c r="C447">
        <v>39.376399999999997</v>
      </c>
      <c r="D447">
        <v>8.4753000000000007</v>
      </c>
      <c r="E447">
        <v>28.920500000000001</v>
      </c>
      <c r="F447"/>
      <c r="G447">
        <v>20.106999999999999</v>
      </c>
      <c r="H447">
        <v>64.059399999999997</v>
      </c>
      <c r="I447">
        <v>15.5998</v>
      </c>
      <c r="J447"/>
      <c r="K447"/>
    </row>
    <row r="448" spans="1:11" x14ac:dyDescent="0.2">
      <c r="A448" s="78">
        <v>20515</v>
      </c>
      <c r="B448">
        <v>21.314499999999999</v>
      </c>
      <c r="C448">
        <v>39.286299999999997</v>
      </c>
      <c r="D448">
        <v>8.5744000000000007</v>
      </c>
      <c r="E448">
        <v>28.881900000000002</v>
      </c>
      <c r="F448"/>
      <c r="G448">
        <v>20.0334</v>
      </c>
      <c r="H448">
        <v>64.951999999999998</v>
      </c>
      <c r="I448">
        <v>15.701499999999999</v>
      </c>
      <c r="J448"/>
      <c r="K448"/>
    </row>
    <row r="449" spans="1:11" x14ac:dyDescent="0.2">
      <c r="A449" s="78">
        <v>20546</v>
      </c>
      <c r="B449">
        <v>21.476199999999999</v>
      </c>
      <c r="C449">
        <v>39.106099999999998</v>
      </c>
      <c r="D449">
        <v>8.8222000000000005</v>
      </c>
      <c r="E449">
        <v>28.997699999999998</v>
      </c>
      <c r="F449"/>
      <c r="G449">
        <v>20.180599999999998</v>
      </c>
      <c r="H449">
        <v>66.325199999999995</v>
      </c>
      <c r="I449">
        <v>15.8285</v>
      </c>
      <c r="J449"/>
      <c r="K449"/>
    </row>
    <row r="450" spans="1:11" x14ac:dyDescent="0.2">
      <c r="A450" s="78">
        <v>20576</v>
      </c>
      <c r="B450">
        <v>21.287600000000001</v>
      </c>
      <c r="C450">
        <v>38.5655</v>
      </c>
      <c r="D450">
        <v>8.7925000000000004</v>
      </c>
      <c r="E450">
        <v>28.843299999999999</v>
      </c>
      <c r="F450"/>
      <c r="G450">
        <v>19.8127</v>
      </c>
      <c r="H450">
        <v>65.432599999999994</v>
      </c>
      <c r="I450">
        <v>16.031700000000001</v>
      </c>
      <c r="J450"/>
      <c r="K450"/>
    </row>
    <row r="451" spans="1:11" x14ac:dyDescent="0.2">
      <c r="A451" s="78">
        <v>20607</v>
      </c>
      <c r="B451">
        <v>21.099</v>
      </c>
      <c r="C451">
        <v>38.115000000000002</v>
      </c>
      <c r="D451">
        <v>8.8222000000000005</v>
      </c>
      <c r="E451">
        <v>28.766100000000002</v>
      </c>
      <c r="F451"/>
      <c r="G451">
        <v>19.542999999999999</v>
      </c>
      <c r="H451">
        <v>65.432599999999994</v>
      </c>
      <c r="I451">
        <v>16.0063</v>
      </c>
      <c r="J451"/>
      <c r="K451"/>
    </row>
    <row r="452" spans="1:11" x14ac:dyDescent="0.2">
      <c r="A452" s="78">
        <v>20637</v>
      </c>
      <c r="B452">
        <v>20.452200000000001</v>
      </c>
      <c r="C452">
        <v>36.132599999999996</v>
      </c>
      <c r="D452">
        <v>8.8222000000000005</v>
      </c>
      <c r="E452">
        <v>28.843299999999999</v>
      </c>
      <c r="F452"/>
      <c r="G452">
        <v>17.973700000000001</v>
      </c>
      <c r="H452">
        <v>61.862299999999998</v>
      </c>
      <c r="I452">
        <v>15.9047</v>
      </c>
      <c r="J452"/>
      <c r="K452"/>
    </row>
    <row r="453" spans="1:11" x14ac:dyDescent="0.2">
      <c r="A453" s="78">
        <v>20668</v>
      </c>
      <c r="B453">
        <v>21.287600000000001</v>
      </c>
      <c r="C453">
        <v>37.979799999999997</v>
      </c>
      <c r="D453">
        <v>8.9313000000000002</v>
      </c>
      <c r="E453">
        <v>28.997699999999998</v>
      </c>
      <c r="F453"/>
      <c r="G453">
        <v>19.616599999999998</v>
      </c>
      <c r="H453">
        <v>65.089399999999998</v>
      </c>
      <c r="I453">
        <v>15.879300000000001</v>
      </c>
      <c r="J453"/>
      <c r="K453"/>
    </row>
    <row r="454" spans="1:11" x14ac:dyDescent="0.2">
      <c r="A454" s="78">
        <v>20699</v>
      </c>
      <c r="B454">
        <v>21.772600000000001</v>
      </c>
      <c r="C454">
        <v>38.970999999999997</v>
      </c>
      <c r="D454">
        <v>8.9709000000000003</v>
      </c>
      <c r="E454">
        <v>28.959099999999999</v>
      </c>
      <c r="F454"/>
      <c r="G454">
        <v>20.670999999999999</v>
      </c>
      <c r="H454">
        <v>65.8446</v>
      </c>
      <c r="I454">
        <v>15.9047</v>
      </c>
      <c r="J454"/>
      <c r="K454"/>
    </row>
    <row r="455" spans="1:11" x14ac:dyDescent="0.2">
      <c r="A455" s="78">
        <v>20729</v>
      </c>
      <c r="B455">
        <v>21.961300000000001</v>
      </c>
      <c r="C455">
        <v>38.700699999999998</v>
      </c>
      <c r="D455">
        <v>9.0403000000000002</v>
      </c>
      <c r="E455">
        <v>29.190799999999999</v>
      </c>
      <c r="F455"/>
      <c r="G455">
        <v>20.989699999999999</v>
      </c>
      <c r="H455">
        <v>65.981899999999996</v>
      </c>
      <c r="I455">
        <v>16.0825</v>
      </c>
      <c r="J455"/>
      <c r="K455"/>
    </row>
    <row r="456" spans="1:11" x14ac:dyDescent="0.2">
      <c r="A456" s="78">
        <v>20760</v>
      </c>
      <c r="B456">
        <v>21.772600000000001</v>
      </c>
      <c r="C456">
        <v>38.385300000000001</v>
      </c>
      <c r="D456">
        <v>9.1890000000000001</v>
      </c>
      <c r="E456">
        <v>29.0364</v>
      </c>
      <c r="F456"/>
      <c r="G456">
        <v>20.523800000000001</v>
      </c>
      <c r="H456">
        <v>66.119299999999996</v>
      </c>
      <c r="I456">
        <v>16.184200000000001</v>
      </c>
      <c r="J456"/>
      <c r="K456"/>
    </row>
    <row r="457" spans="1:11" x14ac:dyDescent="0.2">
      <c r="A457" s="78">
        <v>20790</v>
      </c>
      <c r="B457">
        <v>22.096</v>
      </c>
      <c r="C457">
        <v>39.106099999999998</v>
      </c>
      <c r="D457">
        <v>9.298</v>
      </c>
      <c r="E457">
        <v>29.268000000000001</v>
      </c>
      <c r="F457"/>
      <c r="G457">
        <v>20.8916</v>
      </c>
      <c r="H457">
        <v>65.089299999999994</v>
      </c>
      <c r="I457">
        <v>16.260400000000001</v>
      </c>
      <c r="J457"/>
      <c r="K457"/>
    </row>
    <row r="458" spans="1:11" x14ac:dyDescent="0.2">
      <c r="A458" s="78">
        <v>20821</v>
      </c>
      <c r="B458">
        <v>22.0151</v>
      </c>
      <c r="C458">
        <v>38.520400000000002</v>
      </c>
      <c r="D458">
        <v>9.4268999999999998</v>
      </c>
      <c r="E458">
        <v>29.461099999999998</v>
      </c>
      <c r="F458"/>
      <c r="G458">
        <v>20.499300000000002</v>
      </c>
      <c r="H458">
        <v>65.364000000000004</v>
      </c>
      <c r="I458">
        <v>16.438199999999998</v>
      </c>
      <c r="J458"/>
      <c r="K458"/>
    </row>
    <row r="459" spans="1:11" x14ac:dyDescent="0.2">
      <c r="A459" s="78">
        <v>20852</v>
      </c>
      <c r="B459">
        <v>22.230699999999999</v>
      </c>
      <c r="C459">
        <v>39.691800000000001</v>
      </c>
      <c r="D459">
        <v>9.6350999999999996</v>
      </c>
      <c r="E459">
        <v>29.808599999999998</v>
      </c>
      <c r="F459"/>
      <c r="G459">
        <v>20.6219</v>
      </c>
      <c r="H459">
        <v>66.462500000000006</v>
      </c>
      <c r="I459">
        <v>16.616099999999999</v>
      </c>
      <c r="J459"/>
      <c r="K459"/>
    </row>
    <row r="460" spans="1:11" x14ac:dyDescent="0.2">
      <c r="A460" s="78">
        <v>20880</v>
      </c>
      <c r="B460">
        <v>22.203800000000001</v>
      </c>
      <c r="C460">
        <v>39.061100000000003</v>
      </c>
      <c r="D460">
        <v>9.5854999999999997</v>
      </c>
      <c r="E460">
        <v>29.8858</v>
      </c>
      <c r="F460"/>
      <c r="G460">
        <v>20.548400000000001</v>
      </c>
      <c r="H460">
        <v>67.080399999999997</v>
      </c>
      <c r="I460">
        <v>16.641500000000001</v>
      </c>
      <c r="J460"/>
      <c r="K460"/>
    </row>
    <row r="461" spans="1:11" x14ac:dyDescent="0.2">
      <c r="A461" s="78">
        <v>20911</v>
      </c>
      <c r="B461">
        <v>21.907399999999999</v>
      </c>
      <c r="C461">
        <v>38.205100000000002</v>
      </c>
      <c r="D461">
        <v>9.3971999999999998</v>
      </c>
      <c r="E461">
        <v>29.576899999999998</v>
      </c>
      <c r="F461"/>
      <c r="G461">
        <v>20.278600000000001</v>
      </c>
      <c r="H461">
        <v>66.599900000000005</v>
      </c>
      <c r="I461">
        <v>16.7685</v>
      </c>
      <c r="J461"/>
      <c r="K461"/>
    </row>
    <row r="462" spans="1:11" x14ac:dyDescent="0.2">
      <c r="A462" s="78">
        <v>20941</v>
      </c>
      <c r="B462">
        <v>21.826499999999999</v>
      </c>
      <c r="C462">
        <v>38.024900000000002</v>
      </c>
      <c r="D462">
        <v>9.2286000000000001</v>
      </c>
      <c r="E462">
        <v>29.6541</v>
      </c>
      <c r="F462"/>
      <c r="G462">
        <v>20.180499999999999</v>
      </c>
      <c r="H462">
        <v>66.187899999999999</v>
      </c>
      <c r="I462">
        <v>16.895600000000002</v>
      </c>
      <c r="J462"/>
      <c r="K462"/>
    </row>
    <row r="463" spans="1:11" x14ac:dyDescent="0.2">
      <c r="A463" s="78">
        <v>20972</v>
      </c>
      <c r="B463">
        <v>21.880400000000002</v>
      </c>
      <c r="C463">
        <v>38.295200000000001</v>
      </c>
      <c r="D463">
        <v>9.2683</v>
      </c>
      <c r="E463">
        <v>29.77</v>
      </c>
      <c r="F463"/>
      <c r="G463">
        <v>20.278600000000001</v>
      </c>
      <c r="H463">
        <v>65.569999999999993</v>
      </c>
      <c r="I463">
        <v>16.895600000000002</v>
      </c>
      <c r="J463"/>
      <c r="K463"/>
    </row>
    <row r="464" spans="1:11" x14ac:dyDescent="0.2">
      <c r="A464" s="78">
        <v>21002</v>
      </c>
      <c r="B464">
        <v>22.0151</v>
      </c>
      <c r="C464">
        <v>38.385300000000001</v>
      </c>
      <c r="D464">
        <v>9.3079000000000001</v>
      </c>
      <c r="E464">
        <v>29.8858</v>
      </c>
      <c r="F464"/>
      <c r="G464">
        <v>20.401199999999999</v>
      </c>
      <c r="H464">
        <v>65.8446</v>
      </c>
      <c r="I464">
        <v>17.175000000000001</v>
      </c>
      <c r="J464"/>
      <c r="K464"/>
    </row>
    <row r="465" spans="1:11" x14ac:dyDescent="0.2">
      <c r="A465" s="78">
        <v>21033</v>
      </c>
      <c r="B465">
        <v>22.0152</v>
      </c>
      <c r="C465">
        <v>38.069899999999997</v>
      </c>
      <c r="D465">
        <v>9.2881</v>
      </c>
      <c r="E465">
        <v>30.040299999999998</v>
      </c>
      <c r="F465"/>
      <c r="G465">
        <v>20.450299999999999</v>
      </c>
      <c r="H465">
        <v>65.775899999999993</v>
      </c>
      <c r="I465">
        <v>17.276700000000002</v>
      </c>
      <c r="J465"/>
      <c r="K465"/>
    </row>
    <row r="466" spans="1:11" x14ac:dyDescent="0.2">
      <c r="A466" s="78">
        <v>21064</v>
      </c>
      <c r="B466">
        <v>21.826499999999999</v>
      </c>
      <c r="C466">
        <v>37.8446</v>
      </c>
      <c r="D466">
        <v>9.1692</v>
      </c>
      <c r="E466">
        <v>30.040299999999998</v>
      </c>
      <c r="F466"/>
      <c r="G466">
        <v>20.180499999999999</v>
      </c>
      <c r="H466">
        <v>64.952100000000002</v>
      </c>
      <c r="I466">
        <v>17.124199999999998</v>
      </c>
      <c r="J466"/>
      <c r="K466"/>
    </row>
    <row r="467" spans="1:11" x14ac:dyDescent="0.2">
      <c r="A467" s="78">
        <v>21094</v>
      </c>
      <c r="B467">
        <v>21.5032</v>
      </c>
      <c r="C467">
        <v>37.394100000000002</v>
      </c>
      <c r="D467">
        <v>8.9213000000000005</v>
      </c>
      <c r="E467">
        <v>29.576899999999998</v>
      </c>
      <c r="F467"/>
      <c r="G467">
        <v>19.861799999999999</v>
      </c>
      <c r="H467">
        <v>64.059399999999997</v>
      </c>
      <c r="I467">
        <v>17.200500000000002</v>
      </c>
      <c r="J467"/>
      <c r="K467"/>
    </row>
    <row r="468" spans="1:11" x14ac:dyDescent="0.2">
      <c r="A468" s="78">
        <v>21125</v>
      </c>
      <c r="B468">
        <v>20.991199999999999</v>
      </c>
      <c r="C468">
        <v>36.943600000000004</v>
      </c>
      <c r="D468">
        <v>8.6934000000000005</v>
      </c>
      <c r="E468">
        <v>29.499700000000001</v>
      </c>
      <c r="F468"/>
      <c r="G468">
        <v>19.150700000000001</v>
      </c>
      <c r="H468">
        <v>62.137</v>
      </c>
      <c r="I468">
        <v>17.403700000000001</v>
      </c>
      <c r="J468"/>
      <c r="K468"/>
    </row>
    <row r="469" spans="1:11" x14ac:dyDescent="0.2">
      <c r="A469" s="78">
        <v>21155</v>
      </c>
      <c r="B469">
        <v>20.587</v>
      </c>
      <c r="C469">
        <v>36.357900000000001</v>
      </c>
      <c r="D469">
        <v>8.4257000000000009</v>
      </c>
      <c r="E469">
        <v>29.3066</v>
      </c>
      <c r="F469"/>
      <c r="G469">
        <v>18.513100000000001</v>
      </c>
      <c r="H469">
        <v>61.519100000000002</v>
      </c>
      <c r="I469">
        <v>17.352900000000002</v>
      </c>
      <c r="J469"/>
      <c r="K469"/>
    </row>
    <row r="470" spans="1:11" x14ac:dyDescent="0.2">
      <c r="A470" s="78">
        <v>21186</v>
      </c>
      <c r="B470">
        <v>20.209700000000002</v>
      </c>
      <c r="C470">
        <v>35.907299999999999</v>
      </c>
      <c r="D470">
        <v>8.2571999999999992</v>
      </c>
      <c r="E470">
        <v>28.920500000000001</v>
      </c>
      <c r="F470"/>
      <c r="G470">
        <v>17.973700000000001</v>
      </c>
      <c r="H470">
        <v>60.420499999999997</v>
      </c>
      <c r="I470">
        <v>17.378299999999999</v>
      </c>
      <c r="J470"/>
      <c r="K470"/>
    </row>
    <row r="471" spans="1:11" x14ac:dyDescent="0.2">
      <c r="A471" s="78">
        <v>21217</v>
      </c>
      <c r="B471">
        <v>19.778600000000001</v>
      </c>
      <c r="C471">
        <v>34.735999999999997</v>
      </c>
      <c r="D471">
        <v>7.9598000000000004</v>
      </c>
      <c r="E471">
        <v>28.727499999999999</v>
      </c>
      <c r="F471"/>
      <c r="G471">
        <v>17.385200000000001</v>
      </c>
      <c r="H471">
        <v>59.596600000000002</v>
      </c>
      <c r="I471">
        <v>17.454499999999999</v>
      </c>
      <c r="J471"/>
      <c r="K471"/>
    </row>
    <row r="472" spans="1:11" x14ac:dyDescent="0.2">
      <c r="A472" s="78">
        <v>21245</v>
      </c>
      <c r="B472">
        <v>19.536100000000001</v>
      </c>
      <c r="C472">
        <v>34.555799999999998</v>
      </c>
      <c r="D472">
        <v>7.7912999999999997</v>
      </c>
      <c r="E472">
        <v>28.495799999999999</v>
      </c>
      <c r="F472"/>
      <c r="G472">
        <v>16.9438</v>
      </c>
      <c r="H472">
        <v>56.644199999999998</v>
      </c>
      <c r="I472">
        <v>17.479900000000001</v>
      </c>
      <c r="J472"/>
      <c r="K472"/>
    </row>
    <row r="473" spans="1:11" x14ac:dyDescent="0.2">
      <c r="A473" s="78">
        <v>21276</v>
      </c>
      <c r="B473">
        <v>19.212700000000002</v>
      </c>
      <c r="C473">
        <v>34.105200000000004</v>
      </c>
      <c r="D473">
        <v>7.6326999999999998</v>
      </c>
      <c r="E473">
        <v>28.186900000000001</v>
      </c>
      <c r="F473"/>
      <c r="G473">
        <v>16.527000000000001</v>
      </c>
      <c r="H473">
        <v>55.5456</v>
      </c>
      <c r="I473">
        <v>17.352900000000002</v>
      </c>
      <c r="J473"/>
      <c r="K473"/>
    </row>
    <row r="474" spans="1:11" x14ac:dyDescent="0.2">
      <c r="A474" s="78">
        <v>21306</v>
      </c>
      <c r="B474">
        <v>19.401299999999999</v>
      </c>
      <c r="C474">
        <v>35.276600000000002</v>
      </c>
      <c r="D474">
        <v>7.4443999999999999</v>
      </c>
      <c r="E474">
        <v>28.611599999999999</v>
      </c>
      <c r="F474"/>
      <c r="G474">
        <v>16.723099999999999</v>
      </c>
      <c r="H474">
        <v>55.476999999999997</v>
      </c>
      <c r="I474">
        <v>17.429099999999998</v>
      </c>
      <c r="J474"/>
      <c r="K474"/>
    </row>
    <row r="475" spans="1:11" x14ac:dyDescent="0.2">
      <c r="A475" s="78">
        <v>21337</v>
      </c>
      <c r="B475">
        <v>19.9133</v>
      </c>
      <c r="C475">
        <v>36.673299999999998</v>
      </c>
      <c r="D475">
        <v>7.4443999999999999</v>
      </c>
      <c r="E475">
        <v>29.190799999999999</v>
      </c>
      <c r="F475"/>
      <c r="G475">
        <v>17.434200000000001</v>
      </c>
      <c r="H475">
        <v>57.605400000000003</v>
      </c>
      <c r="I475">
        <v>17.606999999999999</v>
      </c>
      <c r="J475"/>
      <c r="K475"/>
    </row>
    <row r="476" spans="1:11" x14ac:dyDescent="0.2">
      <c r="A476" s="78">
        <v>21367</v>
      </c>
      <c r="B476">
        <v>20.209700000000002</v>
      </c>
      <c r="C476">
        <v>36.448</v>
      </c>
      <c r="D476">
        <v>7.4939</v>
      </c>
      <c r="E476">
        <v>29.615500000000001</v>
      </c>
      <c r="F476"/>
      <c r="G476">
        <v>17.875599999999999</v>
      </c>
      <c r="H476">
        <v>59.459200000000003</v>
      </c>
      <c r="I476">
        <v>17.683199999999999</v>
      </c>
      <c r="J476"/>
      <c r="K476"/>
    </row>
    <row r="477" spans="1:11" x14ac:dyDescent="0.2">
      <c r="A477" s="78">
        <v>21398</v>
      </c>
      <c r="B477">
        <v>20.613900000000001</v>
      </c>
      <c r="C477">
        <v>38.069899999999997</v>
      </c>
      <c r="D477">
        <v>7.6227999999999998</v>
      </c>
      <c r="E477">
        <v>29.731400000000001</v>
      </c>
      <c r="F477"/>
      <c r="G477">
        <v>18.439599999999999</v>
      </c>
      <c r="H477">
        <v>61.587699999999998</v>
      </c>
      <c r="I477">
        <v>17.886399999999998</v>
      </c>
      <c r="J477"/>
      <c r="K477"/>
    </row>
    <row r="478" spans="1:11" x14ac:dyDescent="0.2">
      <c r="A478" s="78">
        <v>21429</v>
      </c>
      <c r="B478">
        <v>20.802600000000002</v>
      </c>
      <c r="C478">
        <v>38.159999999999997</v>
      </c>
      <c r="D478">
        <v>7.6921999999999997</v>
      </c>
      <c r="E478">
        <v>29.383900000000001</v>
      </c>
      <c r="F478"/>
      <c r="G478">
        <v>18.881</v>
      </c>
      <c r="H478">
        <v>62.617600000000003</v>
      </c>
      <c r="I478">
        <v>18.064299999999999</v>
      </c>
      <c r="J478"/>
      <c r="K478"/>
    </row>
    <row r="479" spans="1:11" x14ac:dyDescent="0.2">
      <c r="A479" s="78">
        <v>21459</v>
      </c>
      <c r="B479">
        <v>21.045100000000001</v>
      </c>
      <c r="C479">
        <v>38.114899999999999</v>
      </c>
      <c r="D479">
        <v>7.7912999999999997</v>
      </c>
      <c r="E479">
        <v>29.6541</v>
      </c>
      <c r="F479"/>
      <c r="G479">
        <v>19.1997</v>
      </c>
      <c r="H479">
        <v>62.548900000000003</v>
      </c>
      <c r="I479">
        <v>18.165900000000001</v>
      </c>
      <c r="J479"/>
      <c r="K479"/>
    </row>
    <row r="480" spans="1:11" x14ac:dyDescent="0.2">
      <c r="A480" s="78">
        <v>21490</v>
      </c>
      <c r="B480">
        <v>21.664899999999999</v>
      </c>
      <c r="C480">
        <v>39.601700000000001</v>
      </c>
      <c r="D480">
        <v>7.9301000000000004</v>
      </c>
      <c r="E480">
        <v>31.082799999999999</v>
      </c>
      <c r="F480"/>
      <c r="G480">
        <v>19.7392</v>
      </c>
      <c r="H480">
        <v>62.4116</v>
      </c>
      <c r="I480">
        <v>18.267499999999998</v>
      </c>
      <c r="J480"/>
      <c r="K480"/>
    </row>
    <row r="481" spans="1:11" x14ac:dyDescent="0.2">
      <c r="A481" s="78">
        <v>21520</v>
      </c>
      <c r="B481">
        <v>21.691800000000001</v>
      </c>
      <c r="C481">
        <v>39.106099999999998</v>
      </c>
      <c r="D481">
        <v>7.9896000000000003</v>
      </c>
      <c r="E481">
        <v>31.237200000000001</v>
      </c>
      <c r="F481"/>
      <c r="G481">
        <v>19.7882</v>
      </c>
      <c r="H481">
        <v>62.754899999999999</v>
      </c>
      <c r="I481">
        <v>18.521599999999999</v>
      </c>
      <c r="J481"/>
      <c r="K481"/>
    </row>
    <row r="482" spans="1:11" x14ac:dyDescent="0.2">
      <c r="A482" s="78">
        <v>21551</v>
      </c>
      <c r="B482">
        <v>22.0151</v>
      </c>
      <c r="C482">
        <v>39.872</v>
      </c>
      <c r="D482">
        <v>8.1481999999999992</v>
      </c>
      <c r="E482">
        <v>31.584700000000002</v>
      </c>
      <c r="F482"/>
      <c r="G482">
        <v>20.131499999999999</v>
      </c>
      <c r="H482">
        <v>62.617600000000003</v>
      </c>
      <c r="I482">
        <v>18.801100000000002</v>
      </c>
      <c r="J482"/>
      <c r="K482"/>
    </row>
    <row r="483" spans="1:11" x14ac:dyDescent="0.2">
      <c r="A483" s="78">
        <v>21582</v>
      </c>
      <c r="B483">
        <v>22.446300000000001</v>
      </c>
      <c r="C483">
        <v>40.953299999999999</v>
      </c>
      <c r="D483">
        <v>8.2571999999999992</v>
      </c>
      <c r="E483">
        <v>31.816400000000002</v>
      </c>
      <c r="F483"/>
      <c r="G483">
        <v>20.768999999999998</v>
      </c>
      <c r="H483">
        <v>63.029499999999999</v>
      </c>
      <c r="I483">
        <v>18.928100000000001</v>
      </c>
      <c r="J483"/>
      <c r="K483"/>
    </row>
    <row r="484" spans="1:11" x14ac:dyDescent="0.2">
      <c r="A484" s="78">
        <v>21610</v>
      </c>
      <c r="B484">
        <v>22.769600000000001</v>
      </c>
      <c r="C484">
        <v>41.9895</v>
      </c>
      <c r="D484">
        <v>8.3463999999999992</v>
      </c>
      <c r="E484">
        <v>31.816400000000002</v>
      </c>
      <c r="F484"/>
      <c r="G484">
        <v>21.308499999999999</v>
      </c>
      <c r="H484">
        <v>63.166800000000002</v>
      </c>
      <c r="I484">
        <v>19.0806</v>
      </c>
      <c r="J484"/>
      <c r="K484"/>
    </row>
    <row r="485" spans="1:11" x14ac:dyDescent="0.2">
      <c r="A485" s="78">
        <v>21641</v>
      </c>
      <c r="B485">
        <v>23.2547</v>
      </c>
      <c r="C485">
        <v>43.206000000000003</v>
      </c>
      <c r="D485">
        <v>8.5645000000000007</v>
      </c>
      <c r="E485">
        <v>32.318399999999997</v>
      </c>
      <c r="F485"/>
      <c r="G485">
        <v>21.896999999999998</v>
      </c>
      <c r="H485">
        <v>65.020700000000005</v>
      </c>
      <c r="I485">
        <v>19.207599999999999</v>
      </c>
      <c r="J485"/>
      <c r="K485"/>
    </row>
    <row r="486" spans="1:11" x14ac:dyDescent="0.2">
      <c r="A486" s="78">
        <v>21671</v>
      </c>
      <c r="B486">
        <v>23.605</v>
      </c>
      <c r="C486">
        <v>43.566400000000002</v>
      </c>
      <c r="D486">
        <v>8.8420000000000005</v>
      </c>
      <c r="E486">
        <v>32.472799999999999</v>
      </c>
      <c r="F486"/>
      <c r="G486">
        <v>22.460999999999999</v>
      </c>
      <c r="H486">
        <v>66.462500000000006</v>
      </c>
      <c r="I486">
        <v>19.487100000000002</v>
      </c>
      <c r="J486"/>
      <c r="K486"/>
    </row>
    <row r="487" spans="1:11" x14ac:dyDescent="0.2">
      <c r="A487" s="78">
        <v>21702</v>
      </c>
      <c r="B487">
        <v>23.631900000000002</v>
      </c>
      <c r="C487">
        <v>43.386200000000002</v>
      </c>
      <c r="D487">
        <v>9.0502000000000002</v>
      </c>
      <c r="E487">
        <v>32.318399999999997</v>
      </c>
      <c r="F487"/>
      <c r="G487">
        <v>22.313800000000001</v>
      </c>
      <c r="H487">
        <v>65.158000000000001</v>
      </c>
      <c r="I487">
        <v>19.690300000000001</v>
      </c>
      <c r="J487"/>
      <c r="K487"/>
    </row>
    <row r="488" spans="1:11" x14ac:dyDescent="0.2">
      <c r="A488" s="78">
        <v>21732</v>
      </c>
      <c r="B488">
        <v>23.065999999999999</v>
      </c>
      <c r="C488">
        <v>41.674100000000003</v>
      </c>
      <c r="D488">
        <v>9.07</v>
      </c>
      <c r="E488">
        <v>32.743099999999998</v>
      </c>
      <c r="F488"/>
      <c r="G488">
        <v>20.989699999999999</v>
      </c>
      <c r="H488">
        <v>62.137</v>
      </c>
      <c r="I488">
        <v>19.792000000000002</v>
      </c>
      <c r="J488"/>
      <c r="K488"/>
    </row>
    <row r="489" spans="1:11" x14ac:dyDescent="0.2">
      <c r="A489" s="78">
        <v>21763</v>
      </c>
      <c r="B489">
        <v>22.284600000000001</v>
      </c>
      <c r="C489">
        <v>39.061100000000003</v>
      </c>
      <c r="D489">
        <v>8.9907000000000004</v>
      </c>
      <c r="E489">
        <v>32.781700000000001</v>
      </c>
      <c r="F489"/>
      <c r="G489">
        <v>19.395900000000001</v>
      </c>
      <c r="H489">
        <v>58.841299999999997</v>
      </c>
      <c r="I489">
        <v>19.588699999999999</v>
      </c>
      <c r="J489"/>
      <c r="K489"/>
    </row>
    <row r="490" spans="1:11" x14ac:dyDescent="0.2">
      <c r="A490" s="78">
        <v>21794</v>
      </c>
      <c r="B490">
        <v>22.2577</v>
      </c>
      <c r="C490">
        <v>38.610599999999998</v>
      </c>
      <c r="D490">
        <v>8.9213000000000005</v>
      </c>
      <c r="E490">
        <v>32.665900000000001</v>
      </c>
      <c r="F490"/>
      <c r="G490">
        <v>19.371400000000001</v>
      </c>
      <c r="H490">
        <v>58.497999999999998</v>
      </c>
      <c r="I490">
        <v>19.893599999999999</v>
      </c>
      <c r="J490"/>
      <c r="K490"/>
    </row>
    <row r="491" spans="1:11" x14ac:dyDescent="0.2">
      <c r="A491" s="78">
        <v>21824</v>
      </c>
      <c r="B491">
        <v>22.096</v>
      </c>
      <c r="C491">
        <v>38.745699999999999</v>
      </c>
      <c r="D491">
        <v>8.8520000000000003</v>
      </c>
      <c r="E491">
        <v>32.511499999999998</v>
      </c>
      <c r="F491"/>
      <c r="G491">
        <v>19.1752</v>
      </c>
      <c r="H491">
        <v>58.841299999999997</v>
      </c>
      <c r="I491">
        <v>19.8428</v>
      </c>
      <c r="J491"/>
      <c r="K491"/>
    </row>
    <row r="492" spans="1:11" x14ac:dyDescent="0.2">
      <c r="A492" s="78">
        <v>21855</v>
      </c>
      <c r="B492">
        <v>22.230699999999999</v>
      </c>
      <c r="C492">
        <v>40.052199999999999</v>
      </c>
      <c r="D492">
        <v>8.7132000000000005</v>
      </c>
      <c r="E492">
        <v>31.816400000000002</v>
      </c>
      <c r="F492"/>
      <c r="G492">
        <v>19.935300000000002</v>
      </c>
      <c r="H492">
        <v>62.754899999999999</v>
      </c>
      <c r="I492">
        <v>20.020600000000002</v>
      </c>
      <c r="J492"/>
      <c r="K492"/>
    </row>
    <row r="493" spans="1:11" x14ac:dyDescent="0.2">
      <c r="A493" s="78">
        <v>21885</v>
      </c>
      <c r="B493">
        <v>23.605</v>
      </c>
      <c r="C493">
        <v>43.206000000000003</v>
      </c>
      <c r="D493">
        <v>8.8421000000000003</v>
      </c>
      <c r="E493">
        <v>32.858899999999998</v>
      </c>
      <c r="F493"/>
      <c r="G493">
        <v>22.0686</v>
      </c>
      <c r="H493">
        <v>64.0595</v>
      </c>
      <c r="I493">
        <v>20.401700000000002</v>
      </c>
      <c r="J493"/>
      <c r="K493"/>
    </row>
    <row r="494" spans="1:11" x14ac:dyDescent="0.2">
      <c r="A494" s="78">
        <v>21916</v>
      </c>
      <c r="B494">
        <v>24.224699999999999</v>
      </c>
      <c r="C494">
        <v>42.890599999999999</v>
      </c>
      <c r="D494">
        <v>9.1692</v>
      </c>
      <c r="E494">
        <v>33.901499999999999</v>
      </c>
      <c r="F494"/>
      <c r="G494">
        <v>22.706199999999999</v>
      </c>
      <c r="H494">
        <v>62.823599999999999</v>
      </c>
      <c r="I494">
        <v>20.452500000000001</v>
      </c>
      <c r="J494"/>
      <c r="K494"/>
    </row>
    <row r="495" spans="1:11" x14ac:dyDescent="0.2">
      <c r="A495" s="78">
        <v>21947</v>
      </c>
      <c r="B495">
        <v>24.0092</v>
      </c>
      <c r="C495">
        <v>42.44</v>
      </c>
      <c r="D495">
        <v>9.2286000000000001</v>
      </c>
      <c r="E495">
        <v>33.5154</v>
      </c>
      <c r="F495"/>
      <c r="G495">
        <v>22.411899999999999</v>
      </c>
      <c r="H495">
        <v>63.372799999999998</v>
      </c>
      <c r="I495">
        <v>20.630400000000002</v>
      </c>
      <c r="J495"/>
      <c r="K495"/>
    </row>
    <row r="496" spans="1:11" x14ac:dyDescent="0.2">
      <c r="A496" s="78">
        <v>21976</v>
      </c>
      <c r="B496">
        <v>23.793600000000001</v>
      </c>
      <c r="C496">
        <v>41.133499999999998</v>
      </c>
      <c r="D496">
        <v>9.2484999999999999</v>
      </c>
      <c r="E496">
        <v>33.554000000000002</v>
      </c>
      <c r="F496"/>
      <c r="G496">
        <v>22.0441</v>
      </c>
      <c r="H496">
        <v>63.647500000000001</v>
      </c>
      <c r="I496">
        <v>20.9861</v>
      </c>
      <c r="J496"/>
      <c r="K496"/>
    </row>
    <row r="497" spans="1:11" x14ac:dyDescent="0.2">
      <c r="A497" s="78">
        <v>22007</v>
      </c>
      <c r="B497">
        <v>23.605</v>
      </c>
      <c r="C497">
        <v>41.133499999999998</v>
      </c>
      <c r="D497">
        <v>9.1493000000000002</v>
      </c>
      <c r="E497">
        <v>33.785600000000002</v>
      </c>
      <c r="F497"/>
      <c r="G497">
        <v>21.529199999999999</v>
      </c>
      <c r="H497">
        <v>65.364000000000004</v>
      </c>
      <c r="I497">
        <v>20.935300000000002</v>
      </c>
      <c r="J497"/>
      <c r="K497"/>
    </row>
    <row r="498" spans="1:11" x14ac:dyDescent="0.2">
      <c r="A498" s="78">
        <v>22037</v>
      </c>
      <c r="B498">
        <v>23.577999999999999</v>
      </c>
      <c r="C498">
        <v>40.728099999999998</v>
      </c>
      <c r="D498">
        <v>9.1791</v>
      </c>
      <c r="E498">
        <v>33.978700000000003</v>
      </c>
      <c r="F498"/>
      <c r="G498">
        <v>21.332999999999998</v>
      </c>
      <c r="H498">
        <v>64.540099999999995</v>
      </c>
      <c r="I498">
        <v>20.731999999999999</v>
      </c>
      <c r="J498"/>
      <c r="K498"/>
    </row>
    <row r="499" spans="1:11" x14ac:dyDescent="0.2">
      <c r="A499" s="78">
        <v>22068</v>
      </c>
      <c r="B499">
        <v>23.281600000000001</v>
      </c>
      <c r="C499">
        <v>39.962200000000003</v>
      </c>
      <c r="D499">
        <v>9.0601000000000003</v>
      </c>
      <c r="E499">
        <v>33.747</v>
      </c>
      <c r="F499"/>
      <c r="G499">
        <v>20.989699999999999</v>
      </c>
      <c r="H499">
        <v>63.9221</v>
      </c>
      <c r="I499">
        <v>20.833600000000001</v>
      </c>
      <c r="J499"/>
      <c r="K499"/>
    </row>
    <row r="500" spans="1:11" x14ac:dyDescent="0.2">
      <c r="A500" s="78">
        <v>22098</v>
      </c>
      <c r="B500">
        <v>23.200800000000001</v>
      </c>
      <c r="C500">
        <v>40.367600000000003</v>
      </c>
      <c r="D500">
        <v>8.9511000000000003</v>
      </c>
      <c r="E500">
        <v>33.438099999999999</v>
      </c>
      <c r="F500"/>
      <c r="G500">
        <v>21.014199999999999</v>
      </c>
      <c r="H500">
        <v>63.441499999999998</v>
      </c>
      <c r="I500">
        <v>20.884399999999999</v>
      </c>
      <c r="J500"/>
      <c r="K500"/>
    </row>
    <row r="501" spans="1:11" x14ac:dyDescent="0.2">
      <c r="A501" s="78">
        <v>22129</v>
      </c>
      <c r="B501">
        <v>23.1738</v>
      </c>
      <c r="C501">
        <v>39.3765</v>
      </c>
      <c r="D501">
        <v>8.8321000000000005</v>
      </c>
      <c r="E501">
        <v>33.5154</v>
      </c>
      <c r="F501"/>
      <c r="G501">
        <v>20.9162</v>
      </c>
      <c r="H501">
        <v>63.9908</v>
      </c>
      <c r="I501">
        <v>21.036899999999999</v>
      </c>
      <c r="J501"/>
      <c r="K501"/>
    </row>
    <row r="502" spans="1:11" x14ac:dyDescent="0.2">
      <c r="A502" s="78">
        <v>22160</v>
      </c>
      <c r="B502">
        <v>22.9313</v>
      </c>
      <c r="C502">
        <v>39.015999999999998</v>
      </c>
      <c r="D502">
        <v>8.7528000000000006</v>
      </c>
      <c r="E502">
        <v>33.360900000000001</v>
      </c>
      <c r="F502"/>
      <c r="G502">
        <v>20.572900000000001</v>
      </c>
      <c r="H502">
        <v>63.441499999999998</v>
      </c>
      <c r="I502">
        <v>21.138500000000001</v>
      </c>
      <c r="J502"/>
      <c r="K502"/>
    </row>
    <row r="503" spans="1:11" x14ac:dyDescent="0.2">
      <c r="A503" s="78">
        <v>22190</v>
      </c>
      <c r="B503">
        <v>22.904399999999999</v>
      </c>
      <c r="C503">
        <v>39.106099999999998</v>
      </c>
      <c r="D503">
        <v>8.6834000000000007</v>
      </c>
      <c r="E503">
        <v>33.708399999999997</v>
      </c>
      <c r="F503"/>
      <c r="G503">
        <v>20.499300000000002</v>
      </c>
      <c r="H503">
        <v>63.166899999999998</v>
      </c>
      <c r="I503">
        <v>21.113099999999999</v>
      </c>
      <c r="J503"/>
      <c r="K503"/>
    </row>
    <row r="504" spans="1:11" x14ac:dyDescent="0.2">
      <c r="A504" s="78">
        <v>22221</v>
      </c>
      <c r="B504">
        <v>22.581</v>
      </c>
      <c r="C504">
        <v>38.6556</v>
      </c>
      <c r="D504">
        <v>8.6636000000000006</v>
      </c>
      <c r="E504">
        <v>33.090600000000002</v>
      </c>
      <c r="F504"/>
      <c r="G504">
        <v>19.959900000000001</v>
      </c>
      <c r="H504">
        <v>62.960900000000002</v>
      </c>
      <c r="I504">
        <v>21.163900000000002</v>
      </c>
      <c r="J504"/>
      <c r="K504"/>
    </row>
    <row r="505" spans="1:11" x14ac:dyDescent="0.2">
      <c r="A505" s="78">
        <v>22251</v>
      </c>
      <c r="B505">
        <v>22.149899999999999</v>
      </c>
      <c r="C505">
        <v>38.159999999999997</v>
      </c>
      <c r="D505">
        <v>8.4654000000000007</v>
      </c>
      <c r="E505">
        <v>32.858899999999998</v>
      </c>
      <c r="F505"/>
      <c r="G505">
        <v>19.420400000000001</v>
      </c>
      <c r="H505">
        <v>62.892200000000003</v>
      </c>
      <c r="I505">
        <v>21.189299999999999</v>
      </c>
      <c r="J505"/>
      <c r="K505"/>
    </row>
    <row r="506" spans="1:11" x14ac:dyDescent="0.2">
      <c r="A506" s="78">
        <v>22282</v>
      </c>
      <c r="B506">
        <v>22.1768</v>
      </c>
      <c r="C506">
        <v>37.799599999999998</v>
      </c>
      <c r="D506">
        <v>8.5248000000000008</v>
      </c>
      <c r="E506">
        <v>32.588700000000003</v>
      </c>
      <c r="F506"/>
      <c r="G506">
        <v>19.591999999999999</v>
      </c>
      <c r="H506">
        <v>62.823599999999999</v>
      </c>
      <c r="I506">
        <v>21.2148</v>
      </c>
      <c r="J506"/>
      <c r="K506"/>
    </row>
    <row r="507" spans="1:11" x14ac:dyDescent="0.2">
      <c r="A507" s="78">
        <v>22313</v>
      </c>
      <c r="B507">
        <v>22.149899999999999</v>
      </c>
      <c r="C507">
        <v>37.7545</v>
      </c>
      <c r="D507">
        <v>8.4454999999999991</v>
      </c>
      <c r="E507">
        <v>32.781700000000001</v>
      </c>
      <c r="F507"/>
      <c r="G507">
        <v>19.444900000000001</v>
      </c>
      <c r="H507">
        <v>62.548900000000003</v>
      </c>
      <c r="I507">
        <v>21.291</v>
      </c>
      <c r="J507"/>
      <c r="K507"/>
    </row>
    <row r="508" spans="1:11" x14ac:dyDescent="0.2">
      <c r="A508" s="78">
        <v>22341</v>
      </c>
      <c r="B508">
        <v>22.284600000000001</v>
      </c>
      <c r="C508">
        <v>38.610500000000002</v>
      </c>
      <c r="D508">
        <v>8.4356000000000009</v>
      </c>
      <c r="E508">
        <v>32.781700000000001</v>
      </c>
      <c r="F508"/>
      <c r="G508">
        <v>19.616599999999998</v>
      </c>
      <c r="H508">
        <v>63.029499999999999</v>
      </c>
      <c r="I508">
        <v>21.316400000000002</v>
      </c>
      <c r="J508"/>
      <c r="K508"/>
    </row>
    <row r="509" spans="1:11" x14ac:dyDescent="0.2">
      <c r="A509" s="78">
        <v>22372</v>
      </c>
      <c r="B509">
        <v>22.742699999999999</v>
      </c>
      <c r="C509">
        <v>39.601700000000001</v>
      </c>
      <c r="D509">
        <v>8.5248000000000008</v>
      </c>
      <c r="E509">
        <v>33.554000000000002</v>
      </c>
      <c r="F509"/>
      <c r="G509">
        <v>20.205100000000002</v>
      </c>
      <c r="H509">
        <v>62.823599999999999</v>
      </c>
      <c r="I509">
        <v>21.6721</v>
      </c>
      <c r="J509"/>
      <c r="K509"/>
    </row>
    <row r="510" spans="1:11" x14ac:dyDescent="0.2">
      <c r="A510" s="78">
        <v>22402</v>
      </c>
      <c r="B510">
        <v>23.093</v>
      </c>
      <c r="C510">
        <v>39.736899999999999</v>
      </c>
      <c r="D510">
        <v>8.5348000000000006</v>
      </c>
      <c r="E510">
        <v>33.940100000000001</v>
      </c>
      <c r="F510"/>
      <c r="G510">
        <v>20.818100000000001</v>
      </c>
      <c r="H510">
        <v>62.892299999999999</v>
      </c>
      <c r="I510">
        <v>22.1294</v>
      </c>
      <c r="J510"/>
      <c r="K510"/>
    </row>
    <row r="511" spans="1:11" x14ac:dyDescent="0.2">
      <c r="A511" s="78">
        <v>22433</v>
      </c>
      <c r="B511">
        <v>23.416399999999999</v>
      </c>
      <c r="C511">
        <v>40.5929</v>
      </c>
      <c r="D511">
        <v>8.6041000000000007</v>
      </c>
      <c r="E511">
        <v>34.3262</v>
      </c>
      <c r="F511"/>
      <c r="G511">
        <v>21.136800000000001</v>
      </c>
      <c r="H511">
        <v>63.441499999999998</v>
      </c>
      <c r="I511">
        <v>22.0532</v>
      </c>
      <c r="J511"/>
      <c r="K511"/>
    </row>
    <row r="512" spans="1:11" x14ac:dyDescent="0.2">
      <c r="A512" s="78">
        <v>22463</v>
      </c>
      <c r="B512">
        <v>23.6858</v>
      </c>
      <c r="C512">
        <v>41.223599999999998</v>
      </c>
      <c r="D512">
        <v>8.6537000000000006</v>
      </c>
      <c r="E512">
        <v>34.635100000000001</v>
      </c>
      <c r="F512"/>
      <c r="G512">
        <v>21.431100000000001</v>
      </c>
      <c r="H512">
        <v>63.647500000000001</v>
      </c>
      <c r="I512">
        <v>22.0532</v>
      </c>
      <c r="J512"/>
      <c r="K512"/>
    </row>
    <row r="513" spans="1:11" x14ac:dyDescent="0.2">
      <c r="A513" s="78">
        <v>22494</v>
      </c>
      <c r="B513">
        <v>23.901399999999999</v>
      </c>
      <c r="C513">
        <v>41.719200000000001</v>
      </c>
      <c r="D513">
        <v>8.6934000000000005</v>
      </c>
      <c r="E513">
        <v>34.866799999999998</v>
      </c>
      <c r="F513"/>
      <c r="G513">
        <v>21.847999999999999</v>
      </c>
      <c r="H513">
        <v>64.814700000000002</v>
      </c>
      <c r="I513">
        <v>22.383500000000002</v>
      </c>
      <c r="J513"/>
      <c r="K513"/>
    </row>
    <row r="514" spans="1:11" x14ac:dyDescent="0.2">
      <c r="A514" s="78">
        <v>22525</v>
      </c>
      <c r="B514">
        <v>23.874500000000001</v>
      </c>
      <c r="C514">
        <v>42.079700000000003</v>
      </c>
      <c r="D514">
        <v>8.8222000000000005</v>
      </c>
      <c r="E514">
        <v>34.287599999999998</v>
      </c>
      <c r="F514"/>
      <c r="G514">
        <v>21.896999999999998</v>
      </c>
      <c r="H514">
        <v>64.745999999999995</v>
      </c>
      <c r="I514">
        <v>22.612100000000002</v>
      </c>
      <c r="J514"/>
      <c r="K514"/>
    </row>
    <row r="515" spans="1:11" x14ac:dyDescent="0.2">
      <c r="A515" s="78">
        <v>22555</v>
      </c>
      <c r="B515">
        <v>24.3325</v>
      </c>
      <c r="C515">
        <v>42.395000000000003</v>
      </c>
      <c r="D515">
        <v>8.8123000000000005</v>
      </c>
      <c r="E515">
        <v>35.214300000000001</v>
      </c>
      <c r="F515"/>
      <c r="G515">
        <v>22.289300000000001</v>
      </c>
      <c r="H515">
        <v>66.119200000000006</v>
      </c>
      <c r="I515">
        <v>22.764600000000002</v>
      </c>
      <c r="J515"/>
      <c r="K515"/>
    </row>
    <row r="516" spans="1:11" x14ac:dyDescent="0.2">
      <c r="A516" s="78">
        <v>22586</v>
      </c>
      <c r="B516">
        <v>24.709800000000001</v>
      </c>
      <c r="C516">
        <v>42.079599999999999</v>
      </c>
      <c r="D516">
        <v>9.0502000000000002</v>
      </c>
      <c r="E516">
        <v>35.832099999999997</v>
      </c>
      <c r="F516"/>
      <c r="G516">
        <v>22.583600000000001</v>
      </c>
      <c r="H516">
        <v>66.256600000000006</v>
      </c>
      <c r="I516">
        <v>22.79</v>
      </c>
      <c r="J516"/>
      <c r="K516"/>
    </row>
    <row r="517" spans="1:11" x14ac:dyDescent="0.2">
      <c r="A517" s="78">
        <v>22616</v>
      </c>
      <c r="B517">
        <v>24.9253</v>
      </c>
      <c r="C517">
        <v>42.395000000000003</v>
      </c>
      <c r="D517">
        <v>9.08</v>
      </c>
      <c r="E517">
        <v>35.909300000000002</v>
      </c>
      <c r="F517"/>
      <c r="G517">
        <v>22.9023</v>
      </c>
      <c r="H517">
        <v>66.187899999999999</v>
      </c>
      <c r="I517">
        <v>22.8916</v>
      </c>
      <c r="J517"/>
      <c r="K517"/>
    </row>
    <row r="518" spans="1:11" x14ac:dyDescent="0.2">
      <c r="A518" s="78">
        <v>22647</v>
      </c>
      <c r="B518">
        <v>24.709800000000001</v>
      </c>
      <c r="C518">
        <v>40.412700000000001</v>
      </c>
      <c r="D518">
        <v>9.0502000000000002</v>
      </c>
      <c r="E518">
        <v>35.639000000000003</v>
      </c>
      <c r="F518"/>
      <c r="G518">
        <v>22.730699999999999</v>
      </c>
      <c r="H518">
        <v>65.638599999999997</v>
      </c>
      <c r="I518">
        <v>23.247299999999999</v>
      </c>
      <c r="J518"/>
      <c r="K518"/>
    </row>
    <row r="519" spans="1:11" x14ac:dyDescent="0.2">
      <c r="A519" s="78">
        <v>22678</v>
      </c>
      <c r="B519">
        <v>25.114000000000001</v>
      </c>
      <c r="C519">
        <v>42.755400000000002</v>
      </c>
      <c r="D519">
        <v>9.1791</v>
      </c>
      <c r="E519">
        <v>35.870699999999999</v>
      </c>
      <c r="F519"/>
      <c r="G519">
        <v>23.098500000000001</v>
      </c>
      <c r="H519">
        <v>65.981899999999996</v>
      </c>
      <c r="I519">
        <v>23.171099999999999</v>
      </c>
      <c r="J519"/>
      <c r="K519"/>
    </row>
    <row r="520" spans="1:11" x14ac:dyDescent="0.2">
      <c r="A520" s="78">
        <v>22706</v>
      </c>
      <c r="B520">
        <v>25.248699999999999</v>
      </c>
      <c r="C520">
        <v>43.296100000000003</v>
      </c>
      <c r="D520">
        <v>9.298</v>
      </c>
      <c r="E520">
        <v>36.140999999999998</v>
      </c>
      <c r="F520"/>
      <c r="G520">
        <v>23.123000000000001</v>
      </c>
      <c r="H520">
        <v>66.325199999999995</v>
      </c>
      <c r="I520">
        <v>23.3489</v>
      </c>
      <c r="J520"/>
      <c r="K520"/>
    </row>
    <row r="521" spans="1:11" x14ac:dyDescent="0.2">
      <c r="A521" s="78">
        <v>22737</v>
      </c>
      <c r="B521">
        <v>25.302600000000002</v>
      </c>
      <c r="C521">
        <v>42.7104</v>
      </c>
      <c r="D521">
        <v>9.3574999999999999</v>
      </c>
      <c r="E521">
        <v>36.4499</v>
      </c>
      <c r="F521"/>
      <c r="G521">
        <v>23.098500000000001</v>
      </c>
      <c r="H521">
        <v>66.050600000000003</v>
      </c>
      <c r="I521">
        <v>23.247299999999999</v>
      </c>
      <c r="J521"/>
      <c r="K521"/>
    </row>
    <row r="522" spans="1:11" x14ac:dyDescent="0.2">
      <c r="A522" s="78">
        <v>22767</v>
      </c>
      <c r="B522">
        <v>25.275600000000001</v>
      </c>
      <c r="C522">
        <v>42.665300000000002</v>
      </c>
      <c r="D522">
        <v>9.3574999999999999</v>
      </c>
      <c r="E522">
        <v>36.642899999999997</v>
      </c>
      <c r="F522"/>
      <c r="G522">
        <v>22.779699999999998</v>
      </c>
      <c r="H522">
        <v>65.707300000000004</v>
      </c>
      <c r="I522">
        <v>23.628399999999999</v>
      </c>
      <c r="J522"/>
      <c r="K522"/>
    </row>
    <row r="523" spans="1:11" x14ac:dyDescent="0.2">
      <c r="A523" s="78">
        <v>22798</v>
      </c>
      <c r="B523">
        <v>25.221800000000002</v>
      </c>
      <c r="C523">
        <v>42.980699999999999</v>
      </c>
      <c r="D523">
        <v>9.4466999999999999</v>
      </c>
      <c r="E523">
        <v>36.411299999999997</v>
      </c>
      <c r="F523"/>
      <c r="G523">
        <v>22.706199999999999</v>
      </c>
      <c r="H523">
        <v>65.638599999999997</v>
      </c>
      <c r="I523">
        <v>23.8062</v>
      </c>
      <c r="J523"/>
      <c r="K523"/>
    </row>
    <row r="524" spans="1:11" x14ac:dyDescent="0.2">
      <c r="A524" s="78">
        <v>22828</v>
      </c>
      <c r="B524">
        <v>25.464300000000001</v>
      </c>
      <c r="C524">
        <v>42.8005</v>
      </c>
      <c r="D524">
        <v>9.5259999999999998</v>
      </c>
      <c r="E524">
        <v>37.0291</v>
      </c>
      <c r="F524"/>
      <c r="G524">
        <v>22.9023</v>
      </c>
      <c r="H524">
        <v>66.050600000000003</v>
      </c>
      <c r="I524">
        <v>24.009499999999999</v>
      </c>
      <c r="J524"/>
      <c r="K524"/>
    </row>
    <row r="525" spans="1:11" x14ac:dyDescent="0.2">
      <c r="A525" s="78">
        <v>22859</v>
      </c>
      <c r="B525">
        <v>25.491199999999999</v>
      </c>
      <c r="C525">
        <v>43.566400000000002</v>
      </c>
      <c r="D525">
        <v>9.6250999999999998</v>
      </c>
      <c r="E525">
        <v>36.604300000000002</v>
      </c>
      <c r="F525"/>
      <c r="G525">
        <v>22.9514</v>
      </c>
      <c r="H525">
        <v>66.668599999999998</v>
      </c>
      <c r="I525">
        <v>23.907900000000001</v>
      </c>
      <c r="J525"/>
      <c r="K525"/>
    </row>
    <row r="526" spans="1:11" x14ac:dyDescent="0.2">
      <c r="A526" s="78">
        <v>22890</v>
      </c>
      <c r="B526">
        <v>25.652899999999999</v>
      </c>
      <c r="C526">
        <v>44.061999999999998</v>
      </c>
      <c r="D526">
        <v>9.6151999999999997</v>
      </c>
      <c r="E526">
        <v>36.835999999999999</v>
      </c>
      <c r="F526"/>
      <c r="G526">
        <v>23.147600000000001</v>
      </c>
      <c r="H526">
        <v>66.462500000000006</v>
      </c>
      <c r="I526">
        <v>23.984100000000002</v>
      </c>
      <c r="J526"/>
      <c r="K526"/>
    </row>
    <row r="527" spans="1:11" x14ac:dyDescent="0.2">
      <c r="A527" s="78">
        <v>22920</v>
      </c>
      <c r="B527">
        <v>25.6799</v>
      </c>
      <c r="C527">
        <v>43.341200000000001</v>
      </c>
      <c r="D527">
        <v>9.6548999999999996</v>
      </c>
      <c r="E527">
        <v>36.758800000000001</v>
      </c>
      <c r="F527"/>
      <c r="G527">
        <v>23.147600000000001</v>
      </c>
      <c r="H527">
        <v>65.638599999999997</v>
      </c>
      <c r="I527">
        <v>24.1111</v>
      </c>
      <c r="J527"/>
      <c r="K527"/>
    </row>
    <row r="528" spans="1:11" x14ac:dyDescent="0.2">
      <c r="A528" s="78">
        <v>22951</v>
      </c>
      <c r="B528">
        <v>25.787600000000001</v>
      </c>
      <c r="C528">
        <v>43.521299999999997</v>
      </c>
      <c r="D528">
        <v>9.6548999999999996</v>
      </c>
      <c r="E528">
        <v>36.990499999999997</v>
      </c>
      <c r="F528"/>
      <c r="G528">
        <v>23.343699999999998</v>
      </c>
      <c r="H528">
        <v>65.981999999999999</v>
      </c>
      <c r="I528">
        <v>24.365200000000002</v>
      </c>
      <c r="J528"/>
      <c r="K528"/>
    </row>
    <row r="529" spans="1:11" x14ac:dyDescent="0.2">
      <c r="A529" s="78">
        <v>22981</v>
      </c>
      <c r="B529">
        <v>25.787600000000001</v>
      </c>
      <c r="C529">
        <v>43.881799999999998</v>
      </c>
      <c r="D529">
        <v>9.5953999999999997</v>
      </c>
      <c r="E529">
        <v>37.1449</v>
      </c>
      <c r="F529"/>
      <c r="G529">
        <v>23.2211</v>
      </c>
      <c r="H529">
        <v>65.158000000000001</v>
      </c>
      <c r="I529">
        <v>24.416</v>
      </c>
      <c r="J529"/>
      <c r="K529"/>
    </row>
    <row r="530" spans="1:11" x14ac:dyDescent="0.2">
      <c r="A530" s="78">
        <v>23012</v>
      </c>
      <c r="B530">
        <v>25.976199999999999</v>
      </c>
      <c r="C530">
        <v>42.8005</v>
      </c>
      <c r="D530">
        <v>9.5557999999999996</v>
      </c>
      <c r="E530">
        <v>37.608199999999997</v>
      </c>
      <c r="F530"/>
      <c r="G530">
        <v>23.319199999999999</v>
      </c>
      <c r="H530">
        <v>66.119200000000006</v>
      </c>
      <c r="I530">
        <v>24.898800000000001</v>
      </c>
      <c r="J530"/>
      <c r="K530"/>
    </row>
    <row r="531" spans="1:11" x14ac:dyDescent="0.2">
      <c r="A531" s="78">
        <v>23043</v>
      </c>
      <c r="B531">
        <v>26.2727</v>
      </c>
      <c r="C531">
        <v>42.890599999999999</v>
      </c>
      <c r="D531">
        <v>9.6944999999999997</v>
      </c>
      <c r="E531">
        <v>38.033000000000001</v>
      </c>
      <c r="F531"/>
      <c r="G531">
        <v>23.662500000000001</v>
      </c>
      <c r="H531">
        <v>67.492400000000004</v>
      </c>
      <c r="I531">
        <v>25.228999999999999</v>
      </c>
      <c r="J531"/>
      <c r="K531"/>
    </row>
    <row r="532" spans="1:11" x14ac:dyDescent="0.2">
      <c r="A532" s="78">
        <v>23071</v>
      </c>
      <c r="B532">
        <v>26.4344</v>
      </c>
      <c r="C532">
        <v>43.386200000000002</v>
      </c>
      <c r="D532">
        <v>9.6350999999999996</v>
      </c>
      <c r="E532">
        <v>38.187399999999997</v>
      </c>
      <c r="F532"/>
      <c r="G532">
        <v>24.005800000000001</v>
      </c>
      <c r="H532">
        <v>67.6297</v>
      </c>
      <c r="I532">
        <v>25.0258</v>
      </c>
      <c r="J532"/>
      <c r="K532"/>
    </row>
    <row r="533" spans="1:11" x14ac:dyDescent="0.2">
      <c r="A533" s="78">
        <v>23102</v>
      </c>
      <c r="B533">
        <v>26.6769</v>
      </c>
      <c r="C533">
        <v>44.872900000000001</v>
      </c>
      <c r="D533">
        <v>9.7242999999999995</v>
      </c>
      <c r="E533">
        <v>38.341900000000003</v>
      </c>
      <c r="F533"/>
      <c r="G533">
        <v>24.226500000000001</v>
      </c>
      <c r="H533">
        <v>67.629800000000003</v>
      </c>
      <c r="I533">
        <v>24.9495</v>
      </c>
      <c r="J533"/>
      <c r="K533"/>
    </row>
    <row r="534" spans="1:11" x14ac:dyDescent="0.2">
      <c r="A534" s="78">
        <v>23132</v>
      </c>
      <c r="B534">
        <v>27.0002</v>
      </c>
      <c r="C534">
        <v>45.864100000000001</v>
      </c>
      <c r="D534">
        <v>9.6944999999999997</v>
      </c>
      <c r="E534">
        <v>38.4191</v>
      </c>
      <c r="F534"/>
      <c r="G534">
        <v>24.790400000000002</v>
      </c>
      <c r="H534">
        <v>69.277600000000007</v>
      </c>
      <c r="I534">
        <v>25.228999999999999</v>
      </c>
      <c r="J534"/>
      <c r="K534"/>
    </row>
    <row r="535" spans="1:11" x14ac:dyDescent="0.2">
      <c r="A535" s="78">
        <v>23163</v>
      </c>
      <c r="B535">
        <v>27.081099999999999</v>
      </c>
      <c r="C535">
        <v>45.683900000000001</v>
      </c>
      <c r="D535">
        <v>9.7341999999999995</v>
      </c>
      <c r="E535">
        <v>38.650799999999997</v>
      </c>
      <c r="F535"/>
      <c r="G535">
        <v>24.888500000000001</v>
      </c>
      <c r="H535">
        <v>68.659599999999998</v>
      </c>
      <c r="I535">
        <v>25.381499999999999</v>
      </c>
      <c r="J535"/>
      <c r="K535"/>
    </row>
    <row r="536" spans="1:11" x14ac:dyDescent="0.2">
      <c r="A536" s="78">
        <v>23193</v>
      </c>
      <c r="B536">
        <v>26.973299999999998</v>
      </c>
      <c r="C536">
        <v>45.503700000000002</v>
      </c>
      <c r="D536">
        <v>9.8729999999999993</v>
      </c>
      <c r="E536">
        <v>38.5349</v>
      </c>
      <c r="F536"/>
      <c r="G536">
        <v>24.6433</v>
      </c>
      <c r="H536">
        <v>69.414900000000003</v>
      </c>
      <c r="I536">
        <v>25.229099999999999</v>
      </c>
      <c r="J536"/>
      <c r="K536"/>
    </row>
    <row r="537" spans="1:11" x14ac:dyDescent="0.2">
      <c r="A537" s="78">
        <v>23224</v>
      </c>
      <c r="B537">
        <v>27.027200000000001</v>
      </c>
      <c r="C537">
        <v>45.638800000000003</v>
      </c>
      <c r="D537">
        <v>10.110900000000001</v>
      </c>
      <c r="E537">
        <v>38.843800000000002</v>
      </c>
      <c r="F537"/>
      <c r="G537">
        <v>24.422599999999999</v>
      </c>
      <c r="H537">
        <v>69.689599999999999</v>
      </c>
      <c r="I537">
        <v>25.381499999999999</v>
      </c>
      <c r="J537"/>
      <c r="K537"/>
    </row>
    <row r="538" spans="1:11" x14ac:dyDescent="0.2">
      <c r="A538" s="78">
        <v>23255</v>
      </c>
      <c r="B538">
        <v>27.296600000000002</v>
      </c>
      <c r="C538">
        <v>45.323500000000003</v>
      </c>
      <c r="D538">
        <v>10.081099999999999</v>
      </c>
      <c r="E538">
        <v>38.959699999999998</v>
      </c>
      <c r="F538"/>
      <c r="G538">
        <v>24.913</v>
      </c>
      <c r="H538">
        <v>69.620900000000006</v>
      </c>
      <c r="I538">
        <v>25.610099999999999</v>
      </c>
      <c r="J538"/>
      <c r="K538"/>
    </row>
    <row r="539" spans="1:11" x14ac:dyDescent="0.2">
      <c r="A539" s="78">
        <v>23285</v>
      </c>
      <c r="B539">
        <v>27.485299999999999</v>
      </c>
      <c r="C539">
        <v>45.999299999999998</v>
      </c>
      <c r="D539">
        <v>10.259600000000001</v>
      </c>
      <c r="E539">
        <v>39.229999999999997</v>
      </c>
      <c r="F539"/>
      <c r="G539">
        <v>25.060199999999998</v>
      </c>
      <c r="H539">
        <v>69.209000000000003</v>
      </c>
      <c r="I539">
        <v>25.813400000000001</v>
      </c>
      <c r="J539"/>
      <c r="K539"/>
    </row>
    <row r="540" spans="1:11" x14ac:dyDescent="0.2">
      <c r="A540" s="78">
        <v>23316</v>
      </c>
      <c r="B540">
        <v>27.62</v>
      </c>
      <c r="C540">
        <v>46.539900000000003</v>
      </c>
      <c r="D540">
        <v>10.338800000000001</v>
      </c>
      <c r="E540">
        <v>39.268599999999999</v>
      </c>
      <c r="F540"/>
      <c r="G540">
        <v>25.2073</v>
      </c>
      <c r="H540">
        <v>69.620900000000006</v>
      </c>
      <c r="I540">
        <v>26.042100000000001</v>
      </c>
      <c r="J540"/>
      <c r="K540"/>
    </row>
    <row r="541" spans="1:11" x14ac:dyDescent="0.2">
      <c r="A541" s="78">
        <v>23346</v>
      </c>
      <c r="B541">
        <v>27.566099999999999</v>
      </c>
      <c r="C541">
        <v>45.864100000000001</v>
      </c>
      <c r="D541">
        <v>10.319000000000001</v>
      </c>
      <c r="E541">
        <v>39.5002</v>
      </c>
      <c r="F541"/>
      <c r="G541">
        <v>25.060199999999998</v>
      </c>
      <c r="H541">
        <v>69.552199999999999</v>
      </c>
      <c r="I541">
        <v>26.118300000000001</v>
      </c>
      <c r="J541"/>
      <c r="K541"/>
    </row>
    <row r="542" spans="1:11" x14ac:dyDescent="0.2">
      <c r="A542" s="78">
        <v>23377</v>
      </c>
      <c r="B542">
        <v>27.808599999999998</v>
      </c>
      <c r="C542">
        <v>46.134399999999999</v>
      </c>
      <c r="D542">
        <v>10.5867</v>
      </c>
      <c r="E542">
        <v>39.886400000000002</v>
      </c>
      <c r="F542"/>
      <c r="G542">
        <v>25.2563</v>
      </c>
      <c r="H542">
        <v>70.513400000000004</v>
      </c>
      <c r="I542">
        <v>26.5502</v>
      </c>
      <c r="J542"/>
      <c r="K542"/>
    </row>
    <row r="543" spans="1:11" x14ac:dyDescent="0.2">
      <c r="A543" s="78">
        <v>23408</v>
      </c>
      <c r="B543">
        <v>27.997199999999999</v>
      </c>
      <c r="C543">
        <v>47.350900000000003</v>
      </c>
      <c r="D543">
        <v>10.537100000000001</v>
      </c>
      <c r="E543">
        <v>39.809199999999997</v>
      </c>
      <c r="F543"/>
      <c r="G543">
        <v>25.648700000000002</v>
      </c>
      <c r="H543">
        <v>70.994100000000003</v>
      </c>
      <c r="I543">
        <v>26.600999999999999</v>
      </c>
      <c r="J543"/>
      <c r="K543"/>
    </row>
    <row r="544" spans="1:11" x14ac:dyDescent="0.2">
      <c r="A544" s="78">
        <v>23437</v>
      </c>
      <c r="B544">
        <v>27.997199999999999</v>
      </c>
      <c r="C544">
        <v>47.485999999999997</v>
      </c>
      <c r="D544">
        <v>10.666</v>
      </c>
      <c r="E544">
        <v>39.616100000000003</v>
      </c>
      <c r="F544"/>
      <c r="G544">
        <v>25.648700000000002</v>
      </c>
      <c r="H544">
        <v>70.719399999999993</v>
      </c>
      <c r="I544">
        <v>26.804300000000001</v>
      </c>
      <c r="J544"/>
      <c r="K544"/>
    </row>
    <row r="545" spans="1:11" x14ac:dyDescent="0.2">
      <c r="A545" s="78">
        <v>23468</v>
      </c>
      <c r="B545">
        <v>28.455300000000001</v>
      </c>
      <c r="C545">
        <v>47.6663</v>
      </c>
      <c r="D545">
        <v>10.9138</v>
      </c>
      <c r="E545">
        <v>40.619999999999997</v>
      </c>
      <c r="F545"/>
      <c r="G545">
        <v>25.942900000000002</v>
      </c>
      <c r="H545">
        <v>70.719399999999993</v>
      </c>
      <c r="I545">
        <v>27.2362</v>
      </c>
      <c r="J545"/>
      <c r="K545"/>
    </row>
    <row r="546" spans="1:11" x14ac:dyDescent="0.2">
      <c r="A546" s="78">
        <v>23498</v>
      </c>
      <c r="B546">
        <v>28.617000000000001</v>
      </c>
      <c r="C546">
        <v>47.891500000000001</v>
      </c>
      <c r="D546">
        <v>11.0327</v>
      </c>
      <c r="E546">
        <v>40.928899999999999</v>
      </c>
      <c r="F546"/>
      <c r="G546">
        <v>26.163599999999999</v>
      </c>
      <c r="H546">
        <v>71.062799999999996</v>
      </c>
      <c r="I546">
        <v>27.439399999999999</v>
      </c>
      <c r="J546"/>
      <c r="K546"/>
    </row>
    <row r="547" spans="1:11" x14ac:dyDescent="0.2">
      <c r="A547" s="78">
        <v>23529</v>
      </c>
      <c r="B547">
        <v>28.697800000000001</v>
      </c>
      <c r="C547">
        <v>47.576099999999997</v>
      </c>
      <c r="D547">
        <v>11.0724</v>
      </c>
      <c r="E547">
        <v>40.851700000000001</v>
      </c>
      <c r="F547"/>
      <c r="G547">
        <v>26.3352</v>
      </c>
      <c r="H547">
        <v>71.474699999999999</v>
      </c>
      <c r="I547">
        <v>27.744299999999999</v>
      </c>
      <c r="J547"/>
      <c r="K547"/>
    </row>
    <row r="548" spans="1:11" x14ac:dyDescent="0.2">
      <c r="A548" s="78">
        <v>23559</v>
      </c>
      <c r="B548">
        <v>28.886500000000002</v>
      </c>
      <c r="C548">
        <v>48.477200000000003</v>
      </c>
      <c r="D548">
        <v>11.2211</v>
      </c>
      <c r="E548">
        <v>41.430799999999998</v>
      </c>
      <c r="F548"/>
      <c r="G548">
        <v>26.3843</v>
      </c>
      <c r="H548">
        <v>70.994100000000003</v>
      </c>
      <c r="I548">
        <v>27.972999999999999</v>
      </c>
      <c r="J548"/>
      <c r="K548"/>
    </row>
    <row r="549" spans="1:11" x14ac:dyDescent="0.2">
      <c r="A549" s="78">
        <v>23590</v>
      </c>
      <c r="B549">
        <v>29.075099999999999</v>
      </c>
      <c r="C549">
        <v>47.9816</v>
      </c>
      <c r="D549">
        <v>11.2112</v>
      </c>
      <c r="E549">
        <v>41.3536</v>
      </c>
      <c r="F549"/>
      <c r="G549">
        <v>26.9237</v>
      </c>
      <c r="H549">
        <v>71.474699999999999</v>
      </c>
      <c r="I549">
        <v>27.972999999999999</v>
      </c>
      <c r="J549"/>
      <c r="K549"/>
    </row>
    <row r="550" spans="1:11" x14ac:dyDescent="0.2">
      <c r="A550" s="78">
        <v>23621</v>
      </c>
      <c r="B550">
        <v>29.1829</v>
      </c>
      <c r="C550">
        <v>47.621200000000002</v>
      </c>
      <c r="D550">
        <v>11.3103</v>
      </c>
      <c r="E550">
        <v>40.890300000000003</v>
      </c>
      <c r="F550"/>
      <c r="G550">
        <v>27.340599999999998</v>
      </c>
      <c r="H550">
        <v>72.024000000000001</v>
      </c>
      <c r="I550">
        <v>28.049199999999999</v>
      </c>
      <c r="J550"/>
      <c r="K550"/>
    </row>
    <row r="551" spans="1:11" x14ac:dyDescent="0.2">
      <c r="A551" s="78">
        <v>23651</v>
      </c>
      <c r="B551">
        <v>28.778700000000001</v>
      </c>
      <c r="C551">
        <v>47.801400000000001</v>
      </c>
      <c r="D551">
        <v>11.2211</v>
      </c>
      <c r="E551">
        <v>40.0794</v>
      </c>
      <c r="F551"/>
      <c r="G551">
        <v>26.825700000000001</v>
      </c>
      <c r="H551">
        <v>72.161299999999997</v>
      </c>
      <c r="I551">
        <v>28.1508</v>
      </c>
      <c r="J551"/>
      <c r="K551"/>
    </row>
    <row r="552" spans="1:11" x14ac:dyDescent="0.2">
      <c r="A552" s="78">
        <v>23682</v>
      </c>
      <c r="B552">
        <v>29.667899999999999</v>
      </c>
      <c r="C552">
        <v>48.927700000000002</v>
      </c>
      <c r="D552">
        <v>11.597799999999999</v>
      </c>
      <c r="E552">
        <v>41.585299999999997</v>
      </c>
      <c r="F552"/>
      <c r="G552">
        <v>27.659400000000002</v>
      </c>
      <c r="H552">
        <v>73.259900000000002</v>
      </c>
      <c r="I552">
        <v>28.0746</v>
      </c>
      <c r="J552"/>
      <c r="K552"/>
    </row>
    <row r="553" spans="1:11" x14ac:dyDescent="0.2">
      <c r="A553" s="78">
        <v>23712</v>
      </c>
      <c r="B553">
        <v>30.0182</v>
      </c>
      <c r="C553">
        <v>48.296999999999997</v>
      </c>
      <c r="D553">
        <v>11.805899999999999</v>
      </c>
      <c r="E553">
        <v>42.434800000000003</v>
      </c>
      <c r="F553"/>
      <c r="G553">
        <v>28.002600000000001</v>
      </c>
      <c r="H553">
        <v>72.3673</v>
      </c>
      <c r="I553">
        <v>28.404900000000001</v>
      </c>
      <c r="J553"/>
      <c r="K553"/>
    </row>
    <row r="554" spans="1:11" x14ac:dyDescent="0.2">
      <c r="A554" s="78">
        <v>23743</v>
      </c>
      <c r="B554">
        <v>30.3416</v>
      </c>
      <c r="C554">
        <v>48.657400000000003</v>
      </c>
      <c r="D554">
        <v>11.786099999999999</v>
      </c>
      <c r="E554">
        <v>43.052599999999998</v>
      </c>
      <c r="F554"/>
      <c r="G554">
        <v>28.321400000000001</v>
      </c>
      <c r="H554">
        <v>72.641900000000007</v>
      </c>
      <c r="I554">
        <v>28.328700000000001</v>
      </c>
      <c r="J554"/>
      <c r="K554"/>
    </row>
    <row r="555" spans="1:11" x14ac:dyDescent="0.2">
      <c r="A555" s="78">
        <v>23774</v>
      </c>
      <c r="B555">
        <v>30.530200000000001</v>
      </c>
      <c r="C555">
        <v>49.918900000000001</v>
      </c>
      <c r="D555">
        <v>11.984299999999999</v>
      </c>
      <c r="E555">
        <v>43.168399999999998</v>
      </c>
      <c r="F555"/>
      <c r="G555">
        <v>28.419499999999999</v>
      </c>
      <c r="H555">
        <v>72.710599999999999</v>
      </c>
      <c r="I555">
        <v>28.481100000000001</v>
      </c>
      <c r="J555"/>
      <c r="K555"/>
    </row>
    <row r="556" spans="1:11" x14ac:dyDescent="0.2">
      <c r="A556" s="78">
        <v>23802</v>
      </c>
      <c r="B556">
        <v>30.9344</v>
      </c>
      <c r="C556">
        <v>50.324399999999997</v>
      </c>
      <c r="D556">
        <v>12.143000000000001</v>
      </c>
      <c r="E556">
        <v>43.554499999999997</v>
      </c>
      <c r="F556"/>
      <c r="G556">
        <v>28.860900000000001</v>
      </c>
      <c r="H556">
        <v>73.259799999999998</v>
      </c>
      <c r="I556">
        <v>28.811399999999999</v>
      </c>
      <c r="J556"/>
      <c r="K556"/>
    </row>
    <row r="557" spans="1:11" x14ac:dyDescent="0.2">
      <c r="A557" s="78">
        <v>23833</v>
      </c>
      <c r="B557">
        <v>31.069099999999999</v>
      </c>
      <c r="C557">
        <v>49.603499999999997</v>
      </c>
      <c r="D557">
        <v>12.252000000000001</v>
      </c>
      <c r="E557">
        <v>43.438699999999997</v>
      </c>
      <c r="F557"/>
      <c r="G557">
        <v>29.155100000000001</v>
      </c>
      <c r="H557">
        <v>73.191199999999995</v>
      </c>
      <c r="I557">
        <v>29.243300000000001</v>
      </c>
      <c r="J557"/>
      <c r="K557"/>
    </row>
    <row r="558" spans="1:11" x14ac:dyDescent="0.2">
      <c r="A558" s="78">
        <v>23863</v>
      </c>
      <c r="B558">
        <v>31.311599999999999</v>
      </c>
      <c r="C558">
        <v>50.0991</v>
      </c>
      <c r="D558">
        <v>12.430400000000001</v>
      </c>
      <c r="E558">
        <v>43.709000000000003</v>
      </c>
      <c r="F558"/>
      <c r="G558">
        <v>29.277699999999999</v>
      </c>
      <c r="H558">
        <v>73.191199999999995</v>
      </c>
      <c r="I558">
        <v>29.0655</v>
      </c>
      <c r="J558"/>
      <c r="K558"/>
    </row>
    <row r="559" spans="1:11" x14ac:dyDescent="0.2">
      <c r="A559" s="78">
        <v>23894</v>
      </c>
      <c r="B559">
        <v>31.554099999999998</v>
      </c>
      <c r="C559">
        <v>50.144199999999998</v>
      </c>
      <c r="D559">
        <v>12.6089</v>
      </c>
      <c r="E559">
        <v>43.824800000000003</v>
      </c>
      <c r="F559"/>
      <c r="G559">
        <v>29.620999999999999</v>
      </c>
      <c r="H559">
        <v>74.083799999999997</v>
      </c>
      <c r="I559">
        <v>29.243300000000001</v>
      </c>
      <c r="J559"/>
      <c r="K559"/>
    </row>
    <row r="560" spans="1:11" x14ac:dyDescent="0.2">
      <c r="A560" s="78">
        <v>23924</v>
      </c>
      <c r="B560">
        <v>31.8506</v>
      </c>
      <c r="C560">
        <v>51.540799999999997</v>
      </c>
      <c r="D560">
        <v>12.8269</v>
      </c>
      <c r="E560">
        <v>43.824800000000003</v>
      </c>
      <c r="F560"/>
      <c r="G560">
        <v>29.890699999999999</v>
      </c>
      <c r="H560">
        <v>74.015100000000004</v>
      </c>
      <c r="I560">
        <v>29.014700000000001</v>
      </c>
      <c r="J560"/>
      <c r="K560"/>
    </row>
    <row r="561" spans="1:11" x14ac:dyDescent="0.2">
      <c r="A561" s="78">
        <v>23955</v>
      </c>
      <c r="B561">
        <v>31.985299999999999</v>
      </c>
      <c r="C561">
        <v>51.045200000000001</v>
      </c>
      <c r="D561">
        <v>12.8269</v>
      </c>
      <c r="E561">
        <v>43.786200000000001</v>
      </c>
      <c r="F561"/>
      <c r="G561">
        <v>30.184999999999999</v>
      </c>
      <c r="H561">
        <v>74.770399999999995</v>
      </c>
      <c r="I561">
        <v>29.192499999999999</v>
      </c>
      <c r="J561"/>
      <c r="K561"/>
    </row>
    <row r="562" spans="1:11" x14ac:dyDescent="0.2">
      <c r="A562" s="78">
        <v>23986</v>
      </c>
      <c r="B562">
        <v>32.066099999999999</v>
      </c>
      <c r="C562">
        <v>50.594700000000003</v>
      </c>
      <c r="D562">
        <v>13.0747</v>
      </c>
      <c r="E562">
        <v>44.442599999999999</v>
      </c>
      <c r="F562"/>
      <c r="G562">
        <v>29.939800000000002</v>
      </c>
      <c r="H562">
        <v>73.191199999999995</v>
      </c>
      <c r="I562">
        <v>29.7515</v>
      </c>
      <c r="J562"/>
      <c r="K562"/>
    </row>
    <row r="563" spans="1:11" x14ac:dyDescent="0.2">
      <c r="A563" s="78">
        <v>24016</v>
      </c>
      <c r="B563">
        <v>32.389499999999998</v>
      </c>
      <c r="C563">
        <v>51.360599999999998</v>
      </c>
      <c r="D563">
        <v>13.2631</v>
      </c>
      <c r="E563">
        <v>44.674300000000002</v>
      </c>
      <c r="F563"/>
      <c r="G563">
        <v>30.258600000000001</v>
      </c>
      <c r="H563">
        <v>75.800299999999993</v>
      </c>
      <c r="I563">
        <v>30.183399999999999</v>
      </c>
      <c r="J563"/>
      <c r="K563"/>
    </row>
    <row r="564" spans="1:11" x14ac:dyDescent="0.2">
      <c r="A564" s="78">
        <v>24047</v>
      </c>
      <c r="B564">
        <v>32.5242</v>
      </c>
      <c r="C564">
        <v>52.081400000000002</v>
      </c>
      <c r="D564">
        <v>13.510899999999999</v>
      </c>
      <c r="E564">
        <v>44.905900000000003</v>
      </c>
      <c r="F564"/>
      <c r="G564">
        <v>30.135999999999999</v>
      </c>
      <c r="H564">
        <v>75.594300000000004</v>
      </c>
      <c r="I564">
        <v>29.9801</v>
      </c>
      <c r="J564"/>
      <c r="K564"/>
    </row>
    <row r="565" spans="1:11" x14ac:dyDescent="0.2">
      <c r="A565" s="78">
        <v>24077</v>
      </c>
      <c r="B565">
        <v>32.928400000000003</v>
      </c>
      <c r="C565">
        <v>53.207799999999999</v>
      </c>
      <c r="D565">
        <v>13.798400000000001</v>
      </c>
      <c r="E565">
        <v>45.176200000000001</v>
      </c>
      <c r="F565"/>
      <c r="G565">
        <v>30.479199999999999</v>
      </c>
      <c r="H565">
        <v>76.349599999999995</v>
      </c>
      <c r="I565">
        <v>30.1326</v>
      </c>
      <c r="J565"/>
      <c r="K565"/>
    </row>
    <row r="566" spans="1:11" x14ac:dyDescent="0.2">
      <c r="A566" s="78">
        <v>24108</v>
      </c>
      <c r="B566">
        <v>33.251800000000003</v>
      </c>
      <c r="C566">
        <v>53.117699999999999</v>
      </c>
      <c r="D566">
        <v>14.075900000000001</v>
      </c>
      <c r="E566">
        <v>45.407899999999998</v>
      </c>
      <c r="F566"/>
      <c r="G566">
        <v>30.896100000000001</v>
      </c>
      <c r="H566">
        <v>76.692800000000005</v>
      </c>
      <c r="I566">
        <v>30.183399999999999</v>
      </c>
      <c r="J566"/>
      <c r="K566"/>
    </row>
    <row r="567" spans="1:11" x14ac:dyDescent="0.2">
      <c r="A567" s="78">
        <v>24139</v>
      </c>
      <c r="B567">
        <v>33.467399999999998</v>
      </c>
      <c r="C567">
        <v>52.622100000000003</v>
      </c>
      <c r="D567">
        <v>14.036300000000001</v>
      </c>
      <c r="E567">
        <v>45.523800000000001</v>
      </c>
      <c r="F567"/>
      <c r="G567">
        <v>31.2394</v>
      </c>
      <c r="H567">
        <v>76.418199999999999</v>
      </c>
      <c r="I567">
        <v>30.640699999999999</v>
      </c>
      <c r="J567"/>
      <c r="K567"/>
    </row>
    <row r="568" spans="1:11" x14ac:dyDescent="0.2">
      <c r="A568" s="78">
        <v>24167</v>
      </c>
      <c r="B568">
        <v>33.925400000000003</v>
      </c>
      <c r="C568">
        <v>53.658299999999997</v>
      </c>
      <c r="D568">
        <v>14.313800000000001</v>
      </c>
      <c r="E568">
        <v>45.871299999999998</v>
      </c>
      <c r="F568"/>
      <c r="G568">
        <v>31.8033</v>
      </c>
      <c r="H568">
        <v>78.203299999999999</v>
      </c>
      <c r="I568">
        <v>30.716899999999999</v>
      </c>
      <c r="J568"/>
      <c r="K568"/>
    </row>
    <row r="569" spans="1:11" x14ac:dyDescent="0.2">
      <c r="A569" s="78">
        <v>24198</v>
      </c>
      <c r="B569">
        <v>33.979300000000002</v>
      </c>
      <c r="C569">
        <v>53.658299999999997</v>
      </c>
      <c r="D569">
        <v>14.4229</v>
      </c>
      <c r="E569">
        <v>46.025700000000001</v>
      </c>
      <c r="F569"/>
      <c r="G569">
        <v>31.729800000000001</v>
      </c>
      <c r="H569">
        <v>75.456900000000005</v>
      </c>
      <c r="I569">
        <v>30.920200000000001</v>
      </c>
      <c r="J569"/>
      <c r="K569"/>
    </row>
    <row r="570" spans="1:11" x14ac:dyDescent="0.2">
      <c r="A570" s="78">
        <v>24228</v>
      </c>
      <c r="B570">
        <v>34.302700000000002</v>
      </c>
      <c r="C570">
        <v>53.928600000000003</v>
      </c>
      <c r="D570">
        <v>14.6112</v>
      </c>
      <c r="E570">
        <v>46.025700000000001</v>
      </c>
      <c r="F570"/>
      <c r="G570">
        <v>32.0976</v>
      </c>
      <c r="H570">
        <v>77.997399999999999</v>
      </c>
      <c r="I570">
        <v>31.1234</v>
      </c>
      <c r="J570"/>
      <c r="K570"/>
    </row>
    <row r="571" spans="1:11" x14ac:dyDescent="0.2">
      <c r="A571" s="78">
        <v>24259</v>
      </c>
      <c r="B571">
        <v>34.464300000000001</v>
      </c>
      <c r="C571">
        <v>53.162700000000001</v>
      </c>
      <c r="D571">
        <v>14.75</v>
      </c>
      <c r="E571">
        <v>46.218800000000002</v>
      </c>
      <c r="F571"/>
      <c r="G571">
        <v>32.293799999999997</v>
      </c>
      <c r="H571">
        <v>78.203299999999999</v>
      </c>
      <c r="I571">
        <v>31.555299999999999</v>
      </c>
      <c r="J571"/>
      <c r="K571"/>
    </row>
    <row r="572" spans="1:11" x14ac:dyDescent="0.2">
      <c r="A572" s="78">
        <v>24289</v>
      </c>
      <c r="B572">
        <v>34.652999999999999</v>
      </c>
      <c r="C572">
        <v>53.658299999999997</v>
      </c>
      <c r="D572">
        <v>14.9879</v>
      </c>
      <c r="E572">
        <v>46.141500000000001</v>
      </c>
      <c r="F572"/>
      <c r="G572">
        <v>32.3673</v>
      </c>
      <c r="H572">
        <v>78.409300000000002</v>
      </c>
      <c r="I572">
        <v>32.063499999999998</v>
      </c>
      <c r="J572"/>
      <c r="K572"/>
    </row>
    <row r="573" spans="1:11" x14ac:dyDescent="0.2">
      <c r="A573" s="78">
        <v>24320</v>
      </c>
      <c r="B573">
        <v>34.679900000000004</v>
      </c>
      <c r="C573">
        <v>52.081499999999998</v>
      </c>
      <c r="D573">
        <v>15.0473</v>
      </c>
      <c r="E573">
        <v>45.987099999999998</v>
      </c>
      <c r="F573"/>
      <c r="G573">
        <v>32.637</v>
      </c>
      <c r="H573">
        <v>78.752600000000001</v>
      </c>
      <c r="I573">
        <v>32.139699999999998</v>
      </c>
      <c r="J573"/>
      <c r="K573"/>
    </row>
    <row r="574" spans="1:11" x14ac:dyDescent="0.2">
      <c r="A574" s="78">
        <v>24351</v>
      </c>
      <c r="B574">
        <v>35.003300000000003</v>
      </c>
      <c r="C574">
        <v>52.081499999999998</v>
      </c>
      <c r="D574">
        <v>15.2158</v>
      </c>
      <c r="E574">
        <v>46.141599999999997</v>
      </c>
      <c r="F574"/>
      <c r="G574">
        <v>32.955800000000004</v>
      </c>
      <c r="H574">
        <v>78.752600000000001</v>
      </c>
      <c r="I574">
        <v>32.1143</v>
      </c>
      <c r="J574"/>
      <c r="K574"/>
    </row>
    <row r="575" spans="1:11" x14ac:dyDescent="0.2">
      <c r="A575" s="78">
        <v>24381</v>
      </c>
      <c r="B575">
        <v>35.245800000000003</v>
      </c>
      <c r="C575">
        <v>52.1265</v>
      </c>
      <c r="D575">
        <v>15.1663</v>
      </c>
      <c r="E575">
        <v>47.1068</v>
      </c>
      <c r="F575"/>
      <c r="G575">
        <v>33.103000000000002</v>
      </c>
      <c r="H575">
        <v>79.0959</v>
      </c>
      <c r="I575">
        <v>32.063499999999998</v>
      </c>
      <c r="J575"/>
      <c r="K575"/>
    </row>
    <row r="576" spans="1:11" x14ac:dyDescent="0.2">
      <c r="A576" s="78">
        <v>24412</v>
      </c>
      <c r="B576">
        <v>35.003300000000003</v>
      </c>
      <c r="C576">
        <v>52.171500000000002</v>
      </c>
      <c r="D576">
        <v>14.9482</v>
      </c>
      <c r="E576">
        <v>46.8752</v>
      </c>
      <c r="F576"/>
      <c r="G576">
        <v>32.6126</v>
      </c>
      <c r="H576">
        <v>79.2333</v>
      </c>
      <c r="I576">
        <v>32.368400000000001</v>
      </c>
      <c r="J576"/>
      <c r="K576"/>
    </row>
    <row r="577" spans="1:11" x14ac:dyDescent="0.2">
      <c r="A577" s="78">
        <v>24442</v>
      </c>
      <c r="B577">
        <v>35.084099999999999</v>
      </c>
      <c r="C577">
        <v>52.081400000000002</v>
      </c>
      <c r="D577">
        <v>15.1564</v>
      </c>
      <c r="E577">
        <v>46.759300000000003</v>
      </c>
      <c r="F577"/>
      <c r="G577">
        <v>32.612499999999997</v>
      </c>
      <c r="H577">
        <v>79.782600000000002</v>
      </c>
      <c r="I577">
        <v>32.393799999999999</v>
      </c>
      <c r="J577"/>
      <c r="K577"/>
    </row>
    <row r="578" spans="1:11" x14ac:dyDescent="0.2">
      <c r="A578" s="78">
        <v>24473</v>
      </c>
      <c r="B578">
        <v>35.249600000000001</v>
      </c>
      <c r="C578">
        <v>53.516399999999997</v>
      </c>
      <c r="D578">
        <v>15.0497</v>
      </c>
      <c r="E578">
        <v>47.183399999999999</v>
      </c>
      <c r="F578"/>
      <c r="G578">
        <v>32.4756</v>
      </c>
      <c r="H578">
        <v>79.689400000000006</v>
      </c>
      <c r="I578">
        <v>32.277999999999999</v>
      </c>
      <c r="J578">
        <v>89.390199999999993</v>
      </c>
      <c r="K578"/>
    </row>
    <row r="579" spans="1:11" x14ac:dyDescent="0.2">
      <c r="A579" s="78">
        <v>24504</v>
      </c>
      <c r="B579">
        <v>34.849800000000002</v>
      </c>
      <c r="C579">
        <v>53.003700000000002</v>
      </c>
      <c r="D579">
        <v>15.068199999999999</v>
      </c>
      <c r="E579">
        <v>46.548699999999997</v>
      </c>
      <c r="F579"/>
      <c r="G579">
        <v>31.8581</v>
      </c>
      <c r="H579">
        <v>78.358800000000002</v>
      </c>
      <c r="I579">
        <v>32.365499999999997</v>
      </c>
      <c r="J579">
        <v>87.974999999999994</v>
      </c>
      <c r="K579"/>
    </row>
    <row r="580" spans="1:11" x14ac:dyDescent="0.2">
      <c r="A580" s="78">
        <v>24532</v>
      </c>
      <c r="B580">
        <v>34.653399999999998</v>
      </c>
      <c r="C580">
        <v>53.101700000000001</v>
      </c>
      <c r="D580">
        <v>15.043100000000001</v>
      </c>
      <c r="E580">
        <v>46.6982</v>
      </c>
      <c r="F580"/>
      <c r="G580">
        <v>31.268799999999999</v>
      </c>
      <c r="H580">
        <v>77.721500000000006</v>
      </c>
      <c r="I580">
        <v>32.084099999999999</v>
      </c>
      <c r="J580">
        <v>87.083500000000001</v>
      </c>
      <c r="K580"/>
    </row>
    <row r="581" spans="1:11" x14ac:dyDescent="0.2">
      <c r="A581" s="78">
        <v>24563</v>
      </c>
      <c r="B581">
        <v>34.980200000000004</v>
      </c>
      <c r="C581">
        <v>52.939700000000002</v>
      </c>
      <c r="D581">
        <v>15.031599999999999</v>
      </c>
      <c r="E581">
        <v>47.495199999999997</v>
      </c>
      <c r="F581"/>
      <c r="G581">
        <v>31.566600000000001</v>
      </c>
      <c r="H581">
        <v>78.144000000000005</v>
      </c>
      <c r="I581">
        <v>33.422600000000003</v>
      </c>
      <c r="J581">
        <v>87.508899999999997</v>
      </c>
      <c r="K581"/>
    </row>
    <row r="582" spans="1:11" x14ac:dyDescent="0.2">
      <c r="A582" s="78">
        <v>24593</v>
      </c>
      <c r="B582">
        <v>34.674999999999997</v>
      </c>
      <c r="C582">
        <v>53.782600000000002</v>
      </c>
      <c r="D582">
        <v>15.087999999999999</v>
      </c>
      <c r="E582">
        <v>46.5779</v>
      </c>
      <c r="F582"/>
      <c r="G582">
        <v>31.220800000000001</v>
      </c>
      <c r="H582">
        <v>76.881100000000004</v>
      </c>
      <c r="I582">
        <v>33.081000000000003</v>
      </c>
      <c r="J582">
        <v>86.3566</v>
      </c>
      <c r="K582"/>
    </row>
    <row r="583" spans="1:11" x14ac:dyDescent="0.2">
      <c r="A583" s="78">
        <v>24624</v>
      </c>
      <c r="B583">
        <v>34.670699999999997</v>
      </c>
      <c r="C583">
        <v>54.084000000000003</v>
      </c>
      <c r="D583">
        <v>15.0063</v>
      </c>
      <c r="E583">
        <v>46.717500000000001</v>
      </c>
      <c r="F583"/>
      <c r="G583">
        <v>31.156300000000002</v>
      </c>
      <c r="H583">
        <v>77.221500000000006</v>
      </c>
      <c r="I583">
        <v>32.7761</v>
      </c>
      <c r="J583">
        <v>85.960300000000004</v>
      </c>
      <c r="K583"/>
    </row>
    <row r="584" spans="1:11" x14ac:dyDescent="0.2">
      <c r="A584" s="78">
        <v>24654</v>
      </c>
      <c r="B584">
        <v>34.591799999999999</v>
      </c>
      <c r="C584">
        <v>54.341799999999999</v>
      </c>
      <c r="D584">
        <v>14.704499999999999</v>
      </c>
      <c r="E584">
        <v>46.649500000000003</v>
      </c>
      <c r="F584"/>
      <c r="G584">
        <v>31.144600000000001</v>
      </c>
      <c r="H584">
        <v>79.646600000000007</v>
      </c>
      <c r="I584">
        <v>32.942100000000003</v>
      </c>
      <c r="J584">
        <v>85.383300000000006</v>
      </c>
      <c r="K584"/>
    </row>
    <row r="585" spans="1:11" x14ac:dyDescent="0.2">
      <c r="A585" s="78">
        <v>24685</v>
      </c>
      <c r="B585">
        <v>35.2545</v>
      </c>
      <c r="C585">
        <v>54.890300000000003</v>
      </c>
      <c r="D585">
        <v>14.975899999999999</v>
      </c>
      <c r="E585">
        <v>47.102499999999999</v>
      </c>
      <c r="F585"/>
      <c r="G585">
        <v>32.070799999999998</v>
      </c>
      <c r="H585">
        <v>80.4298</v>
      </c>
      <c r="I585">
        <v>32.477699999999999</v>
      </c>
      <c r="J585">
        <v>86.633899999999997</v>
      </c>
      <c r="K585"/>
    </row>
    <row r="586" spans="1:11" x14ac:dyDescent="0.2">
      <c r="A586" s="78">
        <v>24716</v>
      </c>
      <c r="B586">
        <v>35.197200000000002</v>
      </c>
      <c r="C586">
        <v>55.350900000000003</v>
      </c>
      <c r="D586">
        <v>14.899100000000001</v>
      </c>
      <c r="E586">
        <v>47.195300000000003</v>
      </c>
      <c r="F586"/>
      <c r="G586">
        <v>31.861899999999999</v>
      </c>
      <c r="H586">
        <v>79.054199999999994</v>
      </c>
      <c r="I586">
        <v>32.741900000000001</v>
      </c>
      <c r="J586">
        <v>86.112200000000001</v>
      </c>
      <c r="K586"/>
    </row>
    <row r="587" spans="1:11" x14ac:dyDescent="0.2">
      <c r="A587" s="78">
        <v>24746</v>
      </c>
      <c r="B587">
        <v>35.483899999999998</v>
      </c>
      <c r="C587">
        <v>55.054099999999998</v>
      </c>
      <c r="D587">
        <v>14.775600000000001</v>
      </c>
      <c r="E587">
        <v>47.8277</v>
      </c>
      <c r="F587"/>
      <c r="G587">
        <v>32.264299999999999</v>
      </c>
      <c r="H587">
        <v>78.988600000000005</v>
      </c>
      <c r="I587">
        <v>34.133200000000002</v>
      </c>
      <c r="J587">
        <v>86.432500000000005</v>
      </c>
      <c r="K587"/>
    </row>
    <row r="588" spans="1:11" x14ac:dyDescent="0.2">
      <c r="A588" s="78">
        <v>24777</v>
      </c>
      <c r="B588">
        <v>35.991399999999999</v>
      </c>
      <c r="C588">
        <v>55.442799999999998</v>
      </c>
      <c r="D588">
        <v>15.1639</v>
      </c>
      <c r="E588">
        <v>48.8444</v>
      </c>
      <c r="F588"/>
      <c r="G588">
        <v>32.623199999999997</v>
      </c>
      <c r="H588">
        <v>78.607500000000002</v>
      </c>
      <c r="I588">
        <v>34.172499999999999</v>
      </c>
      <c r="J588">
        <v>87.285600000000002</v>
      </c>
      <c r="K588"/>
    </row>
    <row r="589" spans="1:11" x14ac:dyDescent="0.2">
      <c r="A589" s="78">
        <v>24807</v>
      </c>
      <c r="B589">
        <v>36.378999999999998</v>
      </c>
      <c r="C589">
        <v>55.377600000000001</v>
      </c>
      <c r="D589">
        <v>15.3149</v>
      </c>
      <c r="E589">
        <v>49.642099999999999</v>
      </c>
      <c r="F589"/>
      <c r="G589">
        <v>33.052700000000002</v>
      </c>
      <c r="H589">
        <v>78.245400000000004</v>
      </c>
      <c r="I589">
        <v>34.856400000000001</v>
      </c>
      <c r="J589">
        <v>87.841700000000003</v>
      </c>
      <c r="K589"/>
    </row>
    <row r="590" spans="1:11" x14ac:dyDescent="0.2">
      <c r="A590" s="78">
        <v>24838</v>
      </c>
      <c r="B590">
        <v>36.3399</v>
      </c>
      <c r="C590">
        <v>55.753799999999998</v>
      </c>
      <c r="D590">
        <v>15.3818</v>
      </c>
      <c r="E590">
        <v>48.975299999999997</v>
      </c>
      <c r="F590"/>
      <c r="G590">
        <v>33.197899999999997</v>
      </c>
      <c r="H590">
        <v>79.058499999999995</v>
      </c>
      <c r="I590">
        <v>34.714399999999998</v>
      </c>
      <c r="J590">
        <v>87.384100000000004</v>
      </c>
      <c r="K590"/>
    </row>
    <row r="591" spans="1:11" x14ac:dyDescent="0.2">
      <c r="A591" s="78">
        <v>24869</v>
      </c>
      <c r="B591">
        <v>36.470100000000002</v>
      </c>
      <c r="C591">
        <v>56.318800000000003</v>
      </c>
      <c r="D591">
        <v>15.395799999999999</v>
      </c>
      <c r="E591">
        <v>49.237000000000002</v>
      </c>
      <c r="F591"/>
      <c r="G591">
        <v>33.1999</v>
      </c>
      <c r="H591">
        <v>80.255700000000004</v>
      </c>
      <c r="I591">
        <v>34.551099999999998</v>
      </c>
      <c r="J591">
        <v>87.349100000000007</v>
      </c>
      <c r="K591"/>
    </row>
    <row r="592" spans="1:11" x14ac:dyDescent="0.2">
      <c r="A592" s="78">
        <v>24898</v>
      </c>
      <c r="B592">
        <v>36.5839</v>
      </c>
      <c r="C592">
        <v>56.428699999999999</v>
      </c>
      <c r="D592">
        <v>15.5291</v>
      </c>
      <c r="E592">
        <v>49.529499999999999</v>
      </c>
      <c r="F592"/>
      <c r="G592">
        <v>33.326900000000002</v>
      </c>
      <c r="H592">
        <v>80.953599999999994</v>
      </c>
      <c r="I592">
        <v>35.131999999999998</v>
      </c>
      <c r="J592">
        <v>87.275000000000006</v>
      </c>
      <c r="K592"/>
    </row>
    <row r="593" spans="1:11" x14ac:dyDescent="0.2">
      <c r="A593" s="78">
        <v>24929</v>
      </c>
      <c r="B593">
        <v>36.636899999999997</v>
      </c>
      <c r="C593">
        <v>56.738799999999998</v>
      </c>
      <c r="D593">
        <v>15.452199999999999</v>
      </c>
      <c r="E593">
        <v>49.445999999999998</v>
      </c>
      <c r="F593"/>
      <c r="G593">
        <v>33.581400000000002</v>
      </c>
      <c r="H593">
        <v>81.515299999999996</v>
      </c>
      <c r="I593">
        <v>35.14</v>
      </c>
      <c r="J593">
        <v>87.056899999999999</v>
      </c>
      <c r="K593"/>
    </row>
    <row r="594" spans="1:11" x14ac:dyDescent="0.2">
      <c r="A594" s="78">
        <v>24959</v>
      </c>
      <c r="B594">
        <v>37.047800000000002</v>
      </c>
      <c r="C594">
        <v>56.9666</v>
      </c>
      <c r="D594">
        <v>15.6846</v>
      </c>
      <c r="E594">
        <v>49.710700000000003</v>
      </c>
      <c r="F594"/>
      <c r="G594">
        <v>34.092399999999998</v>
      </c>
      <c r="H594">
        <v>81.8446</v>
      </c>
      <c r="I594">
        <v>35.572699999999998</v>
      </c>
      <c r="J594">
        <v>87.687700000000007</v>
      </c>
      <c r="K594"/>
    </row>
    <row r="595" spans="1:11" x14ac:dyDescent="0.2">
      <c r="A595" s="78">
        <v>24990</v>
      </c>
      <c r="B595">
        <v>37.183900000000001</v>
      </c>
      <c r="C595">
        <v>56.995699999999999</v>
      </c>
      <c r="D595">
        <v>15.649100000000001</v>
      </c>
      <c r="E595">
        <v>50.016399999999997</v>
      </c>
      <c r="F595"/>
      <c r="G595">
        <v>34.2301</v>
      </c>
      <c r="H595">
        <v>81.4589</v>
      </c>
      <c r="I595">
        <v>35.962000000000003</v>
      </c>
      <c r="J595">
        <v>87.665599999999998</v>
      </c>
      <c r="K595"/>
    </row>
    <row r="596" spans="1:11" x14ac:dyDescent="0.2">
      <c r="A596" s="78">
        <v>25020</v>
      </c>
      <c r="B596">
        <v>37.126899999999999</v>
      </c>
      <c r="C596">
        <v>57.020600000000002</v>
      </c>
      <c r="D596">
        <v>15.4977</v>
      </c>
      <c r="E596">
        <v>49.896500000000003</v>
      </c>
      <c r="F596"/>
      <c r="G596">
        <v>34.264299999999999</v>
      </c>
      <c r="H596">
        <v>82.872299999999996</v>
      </c>
      <c r="I596">
        <v>35.589300000000001</v>
      </c>
      <c r="J596">
        <v>87.19</v>
      </c>
      <c r="K596"/>
    </row>
    <row r="597" spans="1:11" x14ac:dyDescent="0.2">
      <c r="A597" s="78">
        <v>25051</v>
      </c>
      <c r="B597">
        <v>37.230499999999999</v>
      </c>
      <c r="C597">
        <v>57.310099999999998</v>
      </c>
      <c r="D597">
        <v>15.636200000000001</v>
      </c>
      <c r="E597">
        <v>50.492600000000003</v>
      </c>
      <c r="F597"/>
      <c r="G597">
        <v>34.0077</v>
      </c>
      <c r="H597">
        <v>82.586200000000005</v>
      </c>
      <c r="I597">
        <v>35.874400000000001</v>
      </c>
      <c r="J597">
        <v>87.093800000000002</v>
      </c>
      <c r="K597"/>
    </row>
    <row r="598" spans="1:11" x14ac:dyDescent="0.2">
      <c r="A598" s="78">
        <v>25082</v>
      </c>
      <c r="B598">
        <v>37.371499999999997</v>
      </c>
      <c r="C598">
        <v>56.854700000000001</v>
      </c>
      <c r="D598">
        <v>15.8042</v>
      </c>
      <c r="E598">
        <v>50.693399999999997</v>
      </c>
      <c r="F598"/>
      <c r="G598">
        <v>34.146999999999998</v>
      </c>
      <c r="H598">
        <v>82.330100000000002</v>
      </c>
      <c r="I598">
        <v>36.426600000000001</v>
      </c>
      <c r="J598">
        <v>87.085700000000003</v>
      </c>
      <c r="K598"/>
    </row>
    <row r="599" spans="1:11" x14ac:dyDescent="0.2">
      <c r="A599" s="78">
        <v>25112</v>
      </c>
      <c r="B599">
        <v>37.445700000000002</v>
      </c>
      <c r="C599">
        <v>56.820500000000003</v>
      </c>
      <c r="D599">
        <v>15.940099999999999</v>
      </c>
      <c r="E599">
        <v>51.0139</v>
      </c>
      <c r="F599"/>
      <c r="G599">
        <v>34.186900000000001</v>
      </c>
      <c r="H599">
        <v>80.232299999999995</v>
      </c>
      <c r="I599">
        <v>36.393999999999998</v>
      </c>
      <c r="J599">
        <v>86.922300000000007</v>
      </c>
      <c r="K599"/>
    </row>
    <row r="600" spans="1:11" x14ac:dyDescent="0.2">
      <c r="A600" s="78">
        <v>25143</v>
      </c>
      <c r="B600">
        <v>37.930100000000003</v>
      </c>
      <c r="C600">
        <v>58.1614</v>
      </c>
      <c r="D600">
        <v>15.951499999999999</v>
      </c>
      <c r="E600">
        <v>51.6785</v>
      </c>
      <c r="F600"/>
      <c r="G600">
        <v>34.7331</v>
      </c>
      <c r="H600">
        <v>82.437899999999999</v>
      </c>
      <c r="I600">
        <v>36.618400000000001</v>
      </c>
      <c r="J600">
        <v>87.708699999999993</v>
      </c>
      <c r="K600"/>
    </row>
    <row r="601" spans="1:11" x14ac:dyDescent="0.2">
      <c r="A601" s="78">
        <v>25173</v>
      </c>
      <c r="B601">
        <v>38.049900000000001</v>
      </c>
      <c r="C601">
        <v>59.233600000000003</v>
      </c>
      <c r="D601">
        <v>16.119499999999999</v>
      </c>
      <c r="E601">
        <v>51.391100000000002</v>
      </c>
      <c r="F601"/>
      <c r="G601">
        <v>34.914499999999997</v>
      </c>
      <c r="H601">
        <v>82.720699999999994</v>
      </c>
      <c r="I601">
        <v>37.898600000000002</v>
      </c>
      <c r="J601">
        <v>87.649199999999993</v>
      </c>
      <c r="K601"/>
    </row>
    <row r="602" spans="1:11" x14ac:dyDescent="0.2">
      <c r="A602" s="78">
        <v>25204</v>
      </c>
      <c r="B602">
        <v>38.280099999999997</v>
      </c>
      <c r="C602">
        <v>59.618000000000002</v>
      </c>
      <c r="D602">
        <v>16.3447</v>
      </c>
      <c r="E602">
        <v>51.664900000000003</v>
      </c>
      <c r="F602"/>
      <c r="G602">
        <v>35.086199999999998</v>
      </c>
      <c r="H602">
        <v>83.138999999999996</v>
      </c>
      <c r="I602">
        <v>37.654699999999998</v>
      </c>
      <c r="J602">
        <v>87.852000000000004</v>
      </c>
      <c r="K602"/>
    </row>
    <row r="603" spans="1:11" x14ac:dyDescent="0.2">
      <c r="A603" s="78">
        <v>25235</v>
      </c>
      <c r="B603">
        <v>38.524999999999999</v>
      </c>
      <c r="C603">
        <v>60.185299999999998</v>
      </c>
      <c r="D603">
        <v>16.338100000000001</v>
      </c>
      <c r="E603">
        <v>52.088500000000003</v>
      </c>
      <c r="F603"/>
      <c r="G603">
        <v>35.463799999999999</v>
      </c>
      <c r="H603">
        <v>82.764899999999997</v>
      </c>
      <c r="I603">
        <v>37.915799999999997</v>
      </c>
      <c r="J603">
        <v>88.096000000000004</v>
      </c>
      <c r="K603"/>
    </row>
    <row r="604" spans="1:11" x14ac:dyDescent="0.2">
      <c r="A604" s="78">
        <v>25263</v>
      </c>
      <c r="B604">
        <v>38.827100000000002</v>
      </c>
      <c r="C604">
        <v>60.403599999999997</v>
      </c>
      <c r="D604">
        <v>16.5002</v>
      </c>
      <c r="E604">
        <v>52.4529</v>
      </c>
      <c r="F604"/>
      <c r="G604">
        <v>35.630299999999998</v>
      </c>
      <c r="H604">
        <v>83.182100000000005</v>
      </c>
      <c r="I604">
        <v>38.334600000000002</v>
      </c>
      <c r="J604">
        <v>88.468000000000004</v>
      </c>
      <c r="K604"/>
    </row>
    <row r="605" spans="1:11" x14ac:dyDescent="0.2">
      <c r="A605" s="78">
        <v>25294</v>
      </c>
      <c r="B605">
        <v>38.684199999999997</v>
      </c>
      <c r="C605">
        <v>59.835700000000003</v>
      </c>
      <c r="D605">
        <v>16.670000000000002</v>
      </c>
      <c r="E605">
        <v>51.678199999999997</v>
      </c>
      <c r="F605"/>
      <c r="G605">
        <v>35.733600000000003</v>
      </c>
      <c r="H605">
        <v>83.350999999999999</v>
      </c>
      <c r="I605">
        <v>38.1404</v>
      </c>
      <c r="J605">
        <v>87.827200000000005</v>
      </c>
      <c r="K605"/>
    </row>
    <row r="606" spans="1:11" x14ac:dyDescent="0.2">
      <c r="A606" s="78">
        <v>25324</v>
      </c>
      <c r="B606">
        <v>38.537999999999997</v>
      </c>
      <c r="C606">
        <v>59.4435</v>
      </c>
      <c r="D606">
        <v>16.558399999999999</v>
      </c>
      <c r="E606">
        <v>51.292400000000001</v>
      </c>
      <c r="F606"/>
      <c r="G606">
        <v>35.649099999999997</v>
      </c>
      <c r="H606">
        <v>84.105400000000003</v>
      </c>
      <c r="I606">
        <v>38.167400000000001</v>
      </c>
      <c r="J606">
        <v>87.183300000000003</v>
      </c>
      <c r="K606"/>
    </row>
    <row r="607" spans="1:11" x14ac:dyDescent="0.2">
      <c r="A607" s="78">
        <v>25355</v>
      </c>
      <c r="B607">
        <v>38.914499999999997</v>
      </c>
      <c r="C607">
        <v>59.759599999999999</v>
      </c>
      <c r="D607">
        <v>16.725000000000001</v>
      </c>
      <c r="E607">
        <v>51.884399999999999</v>
      </c>
      <c r="F607"/>
      <c r="G607">
        <v>36.1267</v>
      </c>
      <c r="H607">
        <v>86.380399999999995</v>
      </c>
      <c r="I607">
        <v>38.8857</v>
      </c>
      <c r="J607">
        <v>87.722300000000004</v>
      </c>
      <c r="K607"/>
    </row>
    <row r="608" spans="1:11" x14ac:dyDescent="0.2">
      <c r="A608" s="78">
        <v>25385</v>
      </c>
      <c r="B608">
        <v>39.119999999999997</v>
      </c>
      <c r="C608">
        <v>59.233800000000002</v>
      </c>
      <c r="D608">
        <v>16.894600000000001</v>
      </c>
      <c r="E608">
        <v>52.7911</v>
      </c>
      <c r="F608"/>
      <c r="G608">
        <v>36.143599999999999</v>
      </c>
      <c r="H608">
        <v>84.390799999999999</v>
      </c>
      <c r="I608">
        <v>39.500999999999998</v>
      </c>
      <c r="J608">
        <v>87.873099999999994</v>
      </c>
      <c r="K608"/>
    </row>
    <row r="609" spans="1:11" x14ac:dyDescent="0.2">
      <c r="A609" s="78">
        <v>25416</v>
      </c>
      <c r="B609">
        <v>39.209899999999998</v>
      </c>
      <c r="C609">
        <v>59.1693</v>
      </c>
      <c r="D609">
        <v>16.828099999999999</v>
      </c>
      <c r="E609">
        <v>52.696599999999997</v>
      </c>
      <c r="F609"/>
      <c r="G609">
        <v>36.513500000000001</v>
      </c>
      <c r="H609">
        <v>84.660899999999998</v>
      </c>
      <c r="I609">
        <v>39.697600000000001</v>
      </c>
      <c r="J609">
        <v>87.764200000000002</v>
      </c>
      <c r="K609"/>
    </row>
    <row r="610" spans="1:11" x14ac:dyDescent="0.2">
      <c r="A610" s="78">
        <v>25447</v>
      </c>
      <c r="B610">
        <v>39.201099999999997</v>
      </c>
      <c r="C610">
        <v>59.182400000000001</v>
      </c>
      <c r="D610">
        <v>16.994800000000001</v>
      </c>
      <c r="E610">
        <v>52.2971</v>
      </c>
      <c r="F610"/>
      <c r="G610">
        <v>36.608899999999998</v>
      </c>
      <c r="H610">
        <v>85.498599999999996</v>
      </c>
      <c r="I610">
        <v>39.281599999999997</v>
      </c>
      <c r="J610">
        <v>87.436000000000007</v>
      </c>
      <c r="K610"/>
    </row>
    <row r="611" spans="1:11" x14ac:dyDescent="0.2">
      <c r="A611" s="78">
        <v>25477</v>
      </c>
      <c r="B611">
        <v>39.212499999999999</v>
      </c>
      <c r="C611">
        <v>59.389800000000001</v>
      </c>
      <c r="D611">
        <v>17.043399999999998</v>
      </c>
      <c r="E611">
        <v>52.319400000000002</v>
      </c>
      <c r="F611"/>
      <c r="G611">
        <v>36.601700000000001</v>
      </c>
      <c r="H611">
        <v>85.9328</v>
      </c>
      <c r="I611">
        <v>39.576599999999999</v>
      </c>
      <c r="J611">
        <v>87.155000000000001</v>
      </c>
      <c r="K611"/>
    </row>
    <row r="612" spans="1:11" x14ac:dyDescent="0.2">
      <c r="A612" s="78">
        <v>25508</v>
      </c>
      <c r="B612">
        <v>38.8429</v>
      </c>
      <c r="C612">
        <v>59.023899999999998</v>
      </c>
      <c r="D612">
        <v>16.652899999999999</v>
      </c>
      <c r="E612">
        <v>51.8645</v>
      </c>
      <c r="F612"/>
      <c r="G612">
        <v>36.409100000000002</v>
      </c>
      <c r="H612">
        <v>86.315700000000007</v>
      </c>
      <c r="I612">
        <v>40.163200000000003</v>
      </c>
      <c r="J612">
        <v>86.031999999999996</v>
      </c>
      <c r="K612"/>
    </row>
    <row r="613" spans="1:11" x14ac:dyDescent="0.2">
      <c r="A613" s="78">
        <v>25538</v>
      </c>
      <c r="B613">
        <v>38.738700000000001</v>
      </c>
      <c r="C613">
        <v>58.700699999999998</v>
      </c>
      <c r="D613">
        <v>16.591100000000001</v>
      </c>
      <c r="E613">
        <v>51.9343</v>
      </c>
      <c r="F613"/>
      <c r="G613">
        <v>36.195599999999999</v>
      </c>
      <c r="H613">
        <v>87.581299999999999</v>
      </c>
      <c r="I613">
        <v>40.157899999999998</v>
      </c>
      <c r="J613">
        <v>85.502399999999994</v>
      </c>
      <c r="K613"/>
    </row>
    <row r="614" spans="1:11" x14ac:dyDescent="0.2">
      <c r="A614" s="78">
        <v>25569</v>
      </c>
      <c r="B614">
        <v>38.021299999999997</v>
      </c>
      <c r="C614">
        <v>56.862299999999998</v>
      </c>
      <c r="D614">
        <v>16.3598</v>
      </c>
      <c r="E614">
        <v>51.063299999999998</v>
      </c>
      <c r="F614"/>
      <c r="G614">
        <v>35.363799999999998</v>
      </c>
      <c r="H614">
        <v>86.981300000000005</v>
      </c>
      <c r="I614">
        <v>40.2346</v>
      </c>
      <c r="J614">
        <v>83.641400000000004</v>
      </c>
      <c r="K614"/>
    </row>
    <row r="615" spans="1:11" x14ac:dyDescent="0.2">
      <c r="A615" s="78">
        <v>25600</v>
      </c>
      <c r="B615">
        <v>37.996299999999998</v>
      </c>
      <c r="C615">
        <v>56.658499999999997</v>
      </c>
      <c r="D615">
        <v>16.429200000000002</v>
      </c>
      <c r="E615">
        <v>51.567399999999999</v>
      </c>
      <c r="F615"/>
      <c r="G615">
        <v>35.164999999999999</v>
      </c>
      <c r="H615">
        <v>86.052999999999997</v>
      </c>
      <c r="I615">
        <v>40.223500000000001</v>
      </c>
      <c r="J615">
        <v>83.3245</v>
      </c>
      <c r="K615"/>
    </row>
    <row r="616" spans="1:11" x14ac:dyDescent="0.2">
      <c r="A616" s="78">
        <v>25628</v>
      </c>
      <c r="B616">
        <v>37.946899999999999</v>
      </c>
      <c r="C616">
        <v>57.156700000000001</v>
      </c>
      <c r="D616">
        <v>16.462399999999999</v>
      </c>
      <c r="E616">
        <v>51.505600000000001</v>
      </c>
      <c r="F616"/>
      <c r="G616">
        <v>35.0824</v>
      </c>
      <c r="H616">
        <v>86.175200000000004</v>
      </c>
      <c r="I616">
        <v>40.756599999999999</v>
      </c>
      <c r="J616">
        <v>82.956000000000003</v>
      </c>
      <c r="K616"/>
    </row>
    <row r="617" spans="1:11" x14ac:dyDescent="0.2">
      <c r="A617" s="78">
        <v>25659</v>
      </c>
      <c r="B617">
        <v>37.849400000000003</v>
      </c>
      <c r="C617">
        <v>57.745800000000003</v>
      </c>
      <c r="D617">
        <v>16.454899999999999</v>
      </c>
      <c r="E617">
        <v>51.714199999999998</v>
      </c>
      <c r="F617"/>
      <c r="G617">
        <v>34.839799999999997</v>
      </c>
      <c r="H617">
        <v>85.892899999999997</v>
      </c>
      <c r="I617">
        <v>40.993000000000002</v>
      </c>
      <c r="J617">
        <v>82.484800000000007</v>
      </c>
      <c r="K617"/>
    </row>
    <row r="618" spans="1:11" x14ac:dyDescent="0.2">
      <c r="A618" s="78">
        <v>25689</v>
      </c>
      <c r="B618">
        <v>37.805300000000003</v>
      </c>
      <c r="C618">
        <v>57.796999999999997</v>
      </c>
      <c r="D618">
        <v>16.438199999999998</v>
      </c>
      <c r="E618">
        <v>51.994900000000001</v>
      </c>
      <c r="F618"/>
      <c r="G618">
        <v>34.724400000000003</v>
      </c>
      <c r="H618">
        <v>85.676599999999993</v>
      </c>
      <c r="I618">
        <v>41.7562</v>
      </c>
      <c r="J618">
        <v>82.132499999999993</v>
      </c>
      <c r="K618"/>
    </row>
    <row r="619" spans="1:11" x14ac:dyDescent="0.2">
      <c r="A619" s="78">
        <v>25720</v>
      </c>
      <c r="B619">
        <v>37.683</v>
      </c>
      <c r="C619">
        <v>57.552900000000001</v>
      </c>
      <c r="D619">
        <v>16.3384</v>
      </c>
      <c r="E619">
        <v>52.125100000000003</v>
      </c>
      <c r="F619"/>
      <c r="G619">
        <v>34.568100000000001</v>
      </c>
      <c r="H619">
        <v>85.458799999999997</v>
      </c>
      <c r="I619">
        <v>40.921900000000001</v>
      </c>
      <c r="J619">
        <v>81.613200000000006</v>
      </c>
      <c r="K619"/>
    </row>
    <row r="620" spans="1:11" x14ac:dyDescent="0.2">
      <c r="A620" s="78">
        <v>25750</v>
      </c>
      <c r="B620">
        <v>37.775500000000001</v>
      </c>
      <c r="C620">
        <v>58.215400000000002</v>
      </c>
      <c r="D620">
        <v>16.2959</v>
      </c>
      <c r="E620">
        <v>52.2502</v>
      </c>
      <c r="F620"/>
      <c r="G620">
        <v>34.741799999999998</v>
      </c>
      <c r="H620">
        <v>84.630600000000001</v>
      </c>
      <c r="I620">
        <v>41.539200000000001</v>
      </c>
      <c r="J620">
        <v>81.5608</v>
      </c>
      <c r="K620"/>
    </row>
    <row r="621" spans="1:11" x14ac:dyDescent="0.2">
      <c r="A621" s="78">
        <v>25781</v>
      </c>
      <c r="B621">
        <v>37.708100000000002</v>
      </c>
      <c r="C621">
        <v>57.966200000000001</v>
      </c>
      <c r="D621">
        <v>16.251100000000001</v>
      </c>
      <c r="E621">
        <v>51.3611</v>
      </c>
      <c r="F621"/>
      <c r="G621">
        <v>35.162100000000002</v>
      </c>
      <c r="H621">
        <v>87.057599999999994</v>
      </c>
      <c r="I621">
        <v>42.0886</v>
      </c>
      <c r="J621">
        <v>81.164500000000004</v>
      </c>
      <c r="K621"/>
    </row>
    <row r="622" spans="1:11" x14ac:dyDescent="0.2">
      <c r="A622" s="78">
        <v>25812</v>
      </c>
      <c r="B622">
        <v>37.4482</v>
      </c>
      <c r="C622">
        <v>57.8309</v>
      </c>
      <c r="D622">
        <v>15.904299999999999</v>
      </c>
      <c r="E622">
        <v>51.165799999999997</v>
      </c>
      <c r="F622"/>
      <c r="G622">
        <v>34.919600000000003</v>
      </c>
      <c r="H622">
        <v>87.962599999999995</v>
      </c>
      <c r="I622">
        <v>42.334699999999998</v>
      </c>
      <c r="J622">
        <v>80.357399999999998</v>
      </c>
      <c r="K622"/>
    </row>
    <row r="623" spans="1:11" x14ac:dyDescent="0.2">
      <c r="A623" s="78">
        <v>25842</v>
      </c>
      <c r="B623">
        <v>36.699100000000001</v>
      </c>
      <c r="C623">
        <v>57.246499999999997</v>
      </c>
      <c r="D623">
        <v>15.383900000000001</v>
      </c>
      <c r="E623">
        <v>50.536299999999997</v>
      </c>
      <c r="F623"/>
      <c r="G623">
        <v>33.997799999999998</v>
      </c>
      <c r="H623">
        <v>89.516099999999994</v>
      </c>
      <c r="I623">
        <v>41.703400000000002</v>
      </c>
      <c r="J623">
        <v>78.508799999999994</v>
      </c>
      <c r="K623"/>
    </row>
    <row r="624" spans="1:11" x14ac:dyDescent="0.2">
      <c r="A624" s="78">
        <v>25873</v>
      </c>
      <c r="B624">
        <v>36.476799999999997</v>
      </c>
      <c r="C624">
        <v>56.542700000000004</v>
      </c>
      <c r="D624">
        <v>15.298400000000001</v>
      </c>
      <c r="E624">
        <v>50.198900000000002</v>
      </c>
      <c r="F624"/>
      <c r="G624">
        <v>33.794400000000003</v>
      </c>
      <c r="H624">
        <v>89.560199999999995</v>
      </c>
      <c r="I624">
        <v>41.883000000000003</v>
      </c>
      <c r="J624">
        <v>77.795100000000005</v>
      </c>
      <c r="K624"/>
    </row>
    <row r="625" spans="1:11" x14ac:dyDescent="0.2">
      <c r="A625" s="78">
        <v>25903</v>
      </c>
      <c r="B625">
        <v>37.314500000000002</v>
      </c>
      <c r="C625">
        <v>57.166699999999999</v>
      </c>
      <c r="D625">
        <v>15.4937</v>
      </c>
      <c r="E625">
        <v>52.361699999999999</v>
      </c>
      <c r="F625"/>
      <c r="G625">
        <v>34.559100000000001</v>
      </c>
      <c r="H625">
        <v>89.016999999999996</v>
      </c>
      <c r="I625">
        <v>41.8369</v>
      </c>
      <c r="J625">
        <v>79.339399999999998</v>
      </c>
      <c r="K625"/>
    </row>
    <row r="626" spans="1:11" x14ac:dyDescent="0.2">
      <c r="A626" s="78">
        <v>25934</v>
      </c>
      <c r="B626">
        <v>37.601500000000001</v>
      </c>
      <c r="C626">
        <v>57.220300000000002</v>
      </c>
      <c r="D626">
        <v>15.1548</v>
      </c>
      <c r="E626">
        <v>53.143900000000002</v>
      </c>
      <c r="F626"/>
      <c r="G626">
        <v>35.041600000000003</v>
      </c>
      <c r="H626">
        <v>87.633799999999994</v>
      </c>
      <c r="I626">
        <v>42.878900000000002</v>
      </c>
      <c r="J626">
        <v>79.725899999999996</v>
      </c>
      <c r="K626"/>
    </row>
    <row r="627" spans="1:11" x14ac:dyDescent="0.2">
      <c r="A627" s="78">
        <v>25965</v>
      </c>
      <c r="B627">
        <v>37.529899999999998</v>
      </c>
      <c r="C627">
        <v>57.592700000000001</v>
      </c>
      <c r="D627">
        <v>15.2392</v>
      </c>
      <c r="E627">
        <v>53.114100000000001</v>
      </c>
      <c r="F627"/>
      <c r="G627">
        <v>34.8339</v>
      </c>
      <c r="H627">
        <v>86.110799999999998</v>
      </c>
      <c r="I627">
        <v>42.619700000000002</v>
      </c>
      <c r="J627">
        <v>79.371099999999998</v>
      </c>
      <c r="K627"/>
    </row>
    <row r="628" spans="1:11" x14ac:dyDescent="0.2">
      <c r="A628" s="78">
        <v>25993</v>
      </c>
      <c r="B628">
        <v>37.489199999999997</v>
      </c>
      <c r="C628">
        <v>57.369799999999998</v>
      </c>
      <c r="D628">
        <v>15.086399999999999</v>
      </c>
      <c r="E628">
        <v>53.265700000000002</v>
      </c>
      <c r="F628"/>
      <c r="G628">
        <v>34.900399999999998</v>
      </c>
      <c r="H628">
        <v>86.424800000000005</v>
      </c>
      <c r="I628">
        <v>42.981499999999997</v>
      </c>
      <c r="J628">
        <v>79.083100000000002</v>
      </c>
      <c r="K628"/>
    </row>
    <row r="629" spans="1:11" x14ac:dyDescent="0.2">
      <c r="A629" s="78">
        <v>26024</v>
      </c>
      <c r="B629">
        <v>37.699800000000003</v>
      </c>
      <c r="C629">
        <v>57.905099999999997</v>
      </c>
      <c r="D629">
        <v>14.9963</v>
      </c>
      <c r="E629">
        <v>53.701799999999999</v>
      </c>
      <c r="F629"/>
      <c r="G629">
        <v>35.1312</v>
      </c>
      <c r="H629">
        <v>86.652799999999999</v>
      </c>
      <c r="I629">
        <v>43.123699999999999</v>
      </c>
      <c r="J629">
        <v>79.325199999999995</v>
      </c>
      <c r="K629"/>
    </row>
    <row r="630" spans="1:11" x14ac:dyDescent="0.2">
      <c r="A630" s="78">
        <v>26054</v>
      </c>
      <c r="B630">
        <v>37.891100000000002</v>
      </c>
      <c r="C630">
        <v>58.177</v>
      </c>
      <c r="D630">
        <v>14.8935</v>
      </c>
      <c r="E630">
        <v>53.7483</v>
      </c>
      <c r="F630"/>
      <c r="G630">
        <v>35.544899999999998</v>
      </c>
      <c r="H630">
        <v>86.468699999999998</v>
      </c>
      <c r="I630">
        <v>43.496400000000001</v>
      </c>
      <c r="J630">
        <v>79.525599999999997</v>
      </c>
      <c r="K630"/>
    </row>
    <row r="631" spans="1:11" x14ac:dyDescent="0.2">
      <c r="A631" s="78">
        <v>26085</v>
      </c>
      <c r="B631">
        <v>38.049999999999997</v>
      </c>
      <c r="C631">
        <v>58.830500000000001</v>
      </c>
      <c r="D631">
        <v>14.967700000000001</v>
      </c>
      <c r="E631">
        <v>54.147199999999998</v>
      </c>
      <c r="F631"/>
      <c r="G631">
        <v>35.704599999999999</v>
      </c>
      <c r="H631">
        <v>86.216700000000003</v>
      </c>
      <c r="I631">
        <v>43.842399999999998</v>
      </c>
      <c r="J631">
        <v>79.657200000000003</v>
      </c>
      <c r="K631"/>
    </row>
    <row r="632" spans="1:11" x14ac:dyDescent="0.2">
      <c r="A632" s="78">
        <v>26115</v>
      </c>
      <c r="B632">
        <v>37.939500000000002</v>
      </c>
      <c r="C632">
        <v>59.349299999999999</v>
      </c>
      <c r="D632">
        <v>14.9922</v>
      </c>
      <c r="E632">
        <v>54.985100000000003</v>
      </c>
      <c r="F632"/>
      <c r="G632">
        <v>34.843000000000004</v>
      </c>
      <c r="H632">
        <v>83.418099999999995</v>
      </c>
      <c r="I632">
        <v>43.637799999999999</v>
      </c>
      <c r="J632">
        <v>79.2256</v>
      </c>
      <c r="K632"/>
    </row>
    <row r="633" spans="1:11" x14ac:dyDescent="0.2">
      <c r="A633" s="78">
        <v>26146</v>
      </c>
      <c r="B633">
        <v>37.719299999999997</v>
      </c>
      <c r="C633">
        <v>58.314500000000002</v>
      </c>
      <c r="D633">
        <v>15.220599999999999</v>
      </c>
      <c r="E633">
        <v>54.355800000000002</v>
      </c>
      <c r="F633"/>
      <c r="G633">
        <v>34.637999999999998</v>
      </c>
      <c r="H633">
        <v>85.204599999999999</v>
      </c>
      <c r="I633">
        <v>43.272599999999997</v>
      </c>
      <c r="J633">
        <v>78.567499999999995</v>
      </c>
      <c r="K633"/>
    </row>
    <row r="634" spans="1:11" x14ac:dyDescent="0.2">
      <c r="A634" s="78">
        <v>26177</v>
      </c>
      <c r="B634">
        <v>38.3324</v>
      </c>
      <c r="C634">
        <v>60.482700000000001</v>
      </c>
      <c r="D634">
        <v>15.570499999999999</v>
      </c>
      <c r="E634">
        <v>54.8568</v>
      </c>
      <c r="F634"/>
      <c r="G634">
        <v>35.300800000000002</v>
      </c>
      <c r="H634">
        <v>84.650099999999995</v>
      </c>
      <c r="I634">
        <v>43.5242</v>
      </c>
      <c r="J634">
        <v>79.644000000000005</v>
      </c>
      <c r="K634"/>
    </row>
    <row r="635" spans="1:11" x14ac:dyDescent="0.2">
      <c r="A635" s="78">
        <v>26207</v>
      </c>
      <c r="B635">
        <v>38.619300000000003</v>
      </c>
      <c r="C635">
        <v>61.327800000000003</v>
      </c>
      <c r="D635">
        <v>15.722899999999999</v>
      </c>
      <c r="E635">
        <v>55.598799999999997</v>
      </c>
      <c r="F635"/>
      <c r="G635">
        <v>35.406399999999998</v>
      </c>
      <c r="H635">
        <v>77.575500000000005</v>
      </c>
      <c r="I635">
        <v>44.151400000000002</v>
      </c>
      <c r="J635">
        <v>80.039199999999994</v>
      </c>
      <c r="K635"/>
    </row>
    <row r="636" spans="1:11" x14ac:dyDescent="0.2">
      <c r="A636" s="78">
        <v>26238</v>
      </c>
      <c r="B636">
        <v>38.783200000000001</v>
      </c>
      <c r="C636">
        <v>61.5199</v>
      </c>
      <c r="D636">
        <v>15.794700000000001</v>
      </c>
      <c r="E636">
        <v>56.0411</v>
      </c>
      <c r="F636"/>
      <c r="G636">
        <v>35.466099999999997</v>
      </c>
      <c r="H636">
        <v>80.686899999999994</v>
      </c>
      <c r="I636">
        <v>43.523899999999998</v>
      </c>
      <c r="J636">
        <v>80.178100000000001</v>
      </c>
      <c r="K636"/>
    </row>
    <row r="637" spans="1:11" x14ac:dyDescent="0.2">
      <c r="A637" s="78">
        <v>26268</v>
      </c>
      <c r="B637">
        <v>39.230899999999998</v>
      </c>
      <c r="C637">
        <v>62.572000000000003</v>
      </c>
      <c r="D637">
        <v>15.8833</v>
      </c>
      <c r="E637">
        <v>56.418399999999998</v>
      </c>
      <c r="F637"/>
      <c r="G637">
        <v>36.195700000000002</v>
      </c>
      <c r="H637">
        <v>86.049000000000007</v>
      </c>
      <c r="I637">
        <v>43.275300000000001</v>
      </c>
      <c r="J637">
        <v>80.901499999999999</v>
      </c>
      <c r="K637"/>
    </row>
    <row r="638" spans="1:11" x14ac:dyDescent="0.2">
      <c r="A638" s="78">
        <v>26299</v>
      </c>
      <c r="B638">
        <v>40.168799999999997</v>
      </c>
      <c r="C638">
        <v>64.271600000000007</v>
      </c>
      <c r="D638">
        <v>16.392299999999999</v>
      </c>
      <c r="E638">
        <v>57.259900000000002</v>
      </c>
      <c r="F638">
        <v>36.042700000000004</v>
      </c>
      <c r="G638">
        <v>37.318899999999999</v>
      </c>
      <c r="H638">
        <v>86.360100000000003</v>
      </c>
      <c r="I638">
        <v>44.073</v>
      </c>
      <c r="J638">
        <v>82.625799999999998</v>
      </c>
      <c r="K638"/>
    </row>
    <row r="639" spans="1:11" x14ac:dyDescent="0.2">
      <c r="A639" s="78">
        <v>26330</v>
      </c>
      <c r="B639">
        <v>40.5837</v>
      </c>
      <c r="C639">
        <v>64.565899999999999</v>
      </c>
      <c r="D639">
        <v>16.663599999999999</v>
      </c>
      <c r="E639">
        <v>57.619500000000002</v>
      </c>
      <c r="F639">
        <v>36.328800000000001</v>
      </c>
      <c r="G639">
        <v>37.7376</v>
      </c>
      <c r="H639">
        <v>85.453699999999998</v>
      </c>
      <c r="I639">
        <v>46.1374</v>
      </c>
      <c r="J639">
        <v>83.284999999999997</v>
      </c>
      <c r="K639"/>
    </row>
    <row r="640" spans="1:11" x14ac:dyDescent="0.2">
      <c r="A640" s="78">
        <v>26359</v>
      </c>
      <c r="B640">
        <v>40.865499999999997</v>
      </c>
      <c r="C640">
        <v>65.025199999999998</v>
      </c>
      <c r="D640">
        <v>16.866199999999999</v>
      </c>
      <c r="E640">
        <v>57.597799999999999</v>
      </c>
      <c r="F640">
        <v>36.573399999999999</v>
      </c>
      <c r="G640">
        <v>38.1111</v>
      </c>
      <c r="H640">
        <v>86.075400000000002</v>
      </c>
      <c r="I640">
        <v>46.343699999999998</v>
      </c>
      <c r="J640">
        <v>83.664299999999997</v>
      </c>
      <c r="K640"/>
    </row>
    <row r="641" spans="1:11" x14ac:dyDescent="0.2">
      <c r="A641" s="78">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c r="K641"/>
    </row>
    <row r="642" spans="1:11" x14ac:dyDescent="0.2">
      <c r="A642" s="78">
        <v>26420</v>
      </c>
      <c r="B642">
        <v>41.270600000000002</v>
      </c>
      <c r="C642">
        <v>66.084199999999996</v>
      </c>
      <c r="D642">
        <v>17.1372</v>
      </c>
      <c r="E642">
        <v>58.014200000000002</v>
      </c>
      <c r="F642">
        <v>37.053699999999999</v>
      </c>
      <c r="G642">
        <v>38.545099999999998</v>
      </c>
      <c r="H642">
        <v>86.222300000000004</v>
      </c>
      <c r="I642">
        <v>45.641300000000001</v>
      </c>
      <c r="J642">
        <v>84.081199999999995</v>
      </c>
      <c r="K642"/>
    </row>
    <row r="643" spans="1:11" x14ac:dyDescent="0.2">
      <c r="A643" s="78">
        <v>26451</v>
      </c>
      <c r="B643">
        <v>41.378599999999999</v>
      </c>
      <c r="C643">
        <v>66.650700000000001</v>
      </c>
      <c r="D643">
        <v>17.1982</v>
      </c>
      <c r="E643">
        <v>58.039099999999998</v>
      </c>
      <c r="F643">
        <v>37.163400000000003</v>
      </c>
      <c r="G643">
        <v>38.608600000000003</v>
      </c>
      <c r="H643">
        <v>86.295599999999993</v>
      </c>
      <c r="I643">
        <v>45.336399999999998</v>
      </c>
      <c r="J643">
        <v>84.088999999999999</v>
      </c>
      <c r="K643"/>
    </row>
    <row r="644" spans="1:11" x14ac:dyDescent="0.2">
      <c r="A644" s="78">
        <v>26481</v>
      </c>
      <c r="B644">
        <v>41.334699999999998</v>
      </c>
      <c r="C644">
        <v>67.556299999999993</v>
      </c>
      <c r="D644">
        <v>17.194299999999998</v>
      </c>
      <c r="E644">
        <v>58.471200000000003</v>
      </c>
      <c r="F644">
        <v>37.153399999999998</v>
      </c>
      <c r="G644">
        <v>38.2971</v>
      </c>
      <c r="H644">
        <v>86.126400000000004</v>
      </c>
      <c r="I644">
        <v>44.8827</v>
      </c>
      <c r="J644">
        <v>83.783699999999996</v>
      </c>
      <c r="K644"/>
    </row>
    <row r="645" spans="1:11" x14ac:dyDescent="0.2">
      <c r="A645" s="78">
        <v>26512</v>
      </c>
      <c r="B645">
        <v>41.904600000000002</v>
      </c>
      <c r="C645">
        <v>68.041799999999995</v>
      </c>
      <c r="D645">
        <v>17.5533</v>
      </c>
      <c r="E645">
        <v>59.105400000000003</v>
      </c>
      <c r="F645">
        <v>37.650799999999997</v>
      </c>
      <c r="G645">
        <v>38.906500000000001</v>
      </c>
      <c r="H645">
        <v>87.115899999999996</v>
      </c>
      <c r="I645">
        <v>45.825800000000001</v>
      </c>
      <c r="J645">
        <v>84.712699999999998</v>
      </c>
      <c r="K645"/>
    </row>
    <row r="646" spans="1:11" x14ac:dyDescent="0.2">
      <c r="A646" s="78">
        <v>26543</v>
      </c>
      <c r="B646">
        <v>42.228400000000001</v>
      </c>
      <c r="C646">
        <v>68.652799999999999</v>
      </c>
      <c r="D646">
        <v>17.699000000000002</v>
      </c>
      <c r="E646">
        <v>59.431899999999999</v>
      </c>
      <c r="F646">
        <v>37.918900000000001</v>
      </c>
      <c r="G646">
        <v>39.295099999999998</v>
      </c>
      <c r="H646">
        <v>87.233000000000004</v>
      </c>
      <c r="I646">
        <v>46.374200000000002</v>
      </c>
      <c r="J646">
        <v>85.131</v>
      </c>
      <c r="K646"/>
    </row>
    <row r="647" spans="1:11" x14ac:dyDescent="0.2">
      <c r="A647" s="78">
        <v>26573</v>
      </c>
      <c r="B647">
        <v>42.774500000000003</v>
      </c>
      <c r="C647">
        <v>69.696299999999994</v>
      </c>
      <c r="D647">
        <v>18.0627</v>
      </c>
      <c r="E647">
        <v>60.283900000000003</v>
      </c>
      <c r="F647">
        <v>38.487000000000002</v>
      </c>
      <c r="G647">
        <v>39.68</v>
      </c>
      <c r="H647">
        <v>86.862499999999997</v>
      </c>
      <c r="I647">
        <v>46.891800000000003</v>
      </c>
      <c r="J647">
        <v>85.983400000000003</v>
      </c>
      <c r="K647"/>
    </row>
    <row r="648" spans="1:11" x14ac:dyDescent="0.2">
      <c r="A648" s="78">
        <v>26604</v>
      </c>
      <c r="B648">
        <v>43.279499999999999</v>
      </c>
      <c r="C648">
        <v>70.174000000000007</v>
      </c>
      <c r="D648">
        <v>18.3796</v>
      </c>
      <c r="E648">
        <v>60.709499999999998</v>
      </c>
      <c r="F648">
        <v>38.985300000000002</v>
      </c>
      <c r="G648">
        <v>40.264000000000003</v>
      </c>
      <c r="H648">
        <v>86.805700000000002</v>
      </c>
      <c r="I648">
        <v>47.628500000000003</v>
      </c>
      <c r="J648">
        <v>86.737499999999997</v>
      </c>
      <c r="K648"/>
    </row>
    <row r="649" spans="1:11" x14ac:dyDescent="0.2">
      <c r="A649" s="78">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c r="K649"/>
    </row>
    <row r="650" spans="1:11" x14ac:dyDescent="0.2">
      <c r="A650" s="78">
        <v>26665</v>
      </c>
      <c r="B650">
        <v>44.084699999999998</v>
      </c>
      <c r="C650">
        <v>70.778499999999994</v>
      </c>
      <c r="D650">
        <v>18.922000000000001</v>
      </c>
      <c r="E650">
        <v>61.104799999999997</v>
      </c>
      <c r="F650">
        <v>39.8491</v>
      </c>
      <c r="G650">
        <v>41.278399999999998</v>
      </c>
      <c r="H650">
        <v>86.744699999999995</v>
      </c>
      <c r="I650">
        <v>48.036499999999997</v>
      </c>
      <c r="J650">
        <v>87.800200000000004</v>
      </c>
      <c r="K650"/>
    </row>
    <row r="651" spans="1:11" x14ac:dyDescent="0.2">
      <c r="A651" s="78">
        <v>26696</v>
      </c>
      <c r="B651">
        <v>44.724200000000003</v>
      </c>
      <c r="C651">
        <v>72.088300000000004</v>
      </c>
      <c r="D651">
        <v>19.313600000000001</v>
      </c>
      <c r="E651">
        <v>61.866199999999999</v>
      </c>
      <c r="F651">
        <v>40.485900000000001</v>
      </c>
      <c r="G651">
        <v>41.895499999999998</v>
      </c>
      <c r="H651">
        <v>86.860900000000001</v>
      </c>
      <c r="I651">
        <v>48.4178</v>
      </c>
      <c r="J651">
        <v>88.784899999999993</v>
      </c>
      <c r="K651"/>
    </row>
    <row r="652" spans="1:11" x14ac:dyDescent="0.2">
      <c r="A652" s="78">
        <v>26724</v>
      </c>
      <c r="B652">
        <v>44.743499999999997</v>
      </c>
      <c r="C652">
        <v>72.508700000000005</v>
      </c>
      <c r="D652">
        <v>19.4682</v>
      </c>
      <c r="E652">
        <v>62.031700000000001</v>
      </c>
      <c r="F652">
        <v>40.561</v>
      </c>
      <c r="G652">
        <v>41.7652</v>
      </c>
      <c r="H652">
        <v>85.989000000000004</v>
      </c>
      <c r="I652">
        <v>48.093200000000003</v>
      </c>
      <c r="J652">
        <v>88.528300000000002</v>
      </c>
      <c r="K652"/>
    </row>
    <row r="653" spans="1:11" x14ac:dyDescent="0.2">
      <c r="A653" s="78">
        <v>26755</v>
      </c>
      <c r="B653">
        <v>44.678199999999997</v>
      </c>
      <c r="C653">
        <v>72.387200000000007</v>
      </c>
      <c r="D653">
        <v>19.621600000000001</v>
      </c>
      <c r="E653">
        <v>61.395499999999998</v>
      </c>
      <c r="F653">
        <v>40.4985</v>
      </c>
      <c r="G653">
        <v>41.838299999999997</v>
      </c>
      <c r="H653">
        <v>85.701400000000007</v>
      </c>
      <c r="I653">
        <v>48.243499999999997</v>
      </c>
      <c r="J653">
        <v>88.102099999999993</v>
      </c>
      <c r="K653"/>
    </row>
    <row r="654" spans="1:11" x14ac:dyDescent="0.2">
      <c r="A654" s="78">
        <v>26785</v>
      </c>
      <c r="B654">
        <v>44.9741</v>
      </c>
      <c r="C654">
        <v>72.709199999999996</v>
      </c>
      <c r="D654">
        <v>19.828299999999999</v>
      </c>
      <c r="E654">
        <v>61.760199999999998</v>
      </c>
      <c r="F654">
        <v>40.768000000000001</v>
      </c>
      <c r="G654">
        <v>42.122900000000001</v>
      </c>
      <c r="H654">
        <v>86.124499999999998</v>
      </c>
      <c r="I654">
        <v>48.770299999999999</v>
      </c>
      <c r="J654">
        <v>88.383099999999999</v>
      </c>
      <c r="K654"/>
    </row>
    <row r="655" spans="1:11" x14ac:dyDescent="0.2">
      <c r="A655" s="78">
        <v>26816</v>
      </c>
      <c r="B655">
        <v>45.025700000000001</v>
      </c>
      <c r="C655">
        <v>72.888000000000005</v>
      </c>
      <c r="D655">
        <v>20.0275</v>
      </c>
      <c r="E655">
        <v>61.351300000000002</v>
      </c>
      <c r="F655">
        <v>40.7744</v>
      </c>
      <c r="G655">
        <v>42.214199999999998</v>
      </c>
      <c r="H655">
        <v>86.434299999999993</v>
      </c>
      <c r="I655">
        <v>49.379399999999997</v>
      </c>
      <c r="J655">
        <v>88.178899999999999</v>
      </c>
      <c r="K655"/>
    </row>
    <row r="656" spans="1:11" x14ac:dyDescent="0.2">
      <c r="A656" s="78">
        <v>26846</v>
      </c>
      <c r="B656">
        <v>45.1952</v>
      </c>
      <c r="C656">
        <v>73.473600000000005</v>
      </c>
      <c r="D656">
        <v>20.270700000000001</v>
      </c>
      <c r="E656">
        <v>61.192799999999998</v>
      </c>
      <c r="F656">
        <v>40.9621</v>
      </c>
      <c r="G656">
        <v>42.38</v>
      </c>
      <c r="H656">
        <v>87.837800000000001</v>
      </c>
      <c r="I656">
        <v>48.813899999999997</v>
      </c>
      <c r="J656">
        <v>88.207300000000004</v>
      </c>
      <c r="K656"/>
    </row>
    <row r="657" spans="1:11" x14ac:dyDescent="0.2">
      <c r="A657" s="78">
        <v>26877</v>
      </c>
      <c r="B657">
        <v>45.130800000000001</v>
      </c>
      <c r="C657">
        <v>73.5398</v>
      </c>
      <c r="D657">
        <v>20.323599999999999</v>
      </c>
      <c r="E657">
        <v>60.626899999999999</v>
      </c>
      <c r="F657">
        <v>40.8521</v>
      </c>
      <c r="G657">
        <v>42.433599999999998</v>
      </c>
      <c r="H657">
        <v>87.963099999999997</v>
      </c>
      <c r="I657">
        <v>49.259500000000003</v>
      </c>
      <c r="J657">
        <v>87.783299999999997</v>
      </c>
      <c r="K657"/>
    </row>
    <row r="658" spans="1:11" x14ac:dyDescent="0.2">
      <c r="A658" s="78">
        <v>26908</v>
      </c>
      <c r="B658">
        <v>45.486199999999997</v>
      </c>
      <c r="C658">
        <v>73.428700000000006</v>
      </c>
      <c r="D658">
        <v>20.6678</v>
      </c>
      <c r="E658">
        <v>61.5627</v>
      </c>
      <c r="F658">
        <v>41.189399999999999</v>
      </c>
      <c r="G658">
        <v>42.616399999999999</v>
      </c>
      <c r="H658">
        <v>87.162800000000004</v>
      </c>
      <c r="I658">
        <v>50.565399999999997</v>
      </c>
      <c r="J658">
        <v>88.179599999999994</v>
      </c>
      <c r="K658"/>
    </row>
    <row r="659" spans="1:11" x14ac:dyDescent="0.2">
      <c r="A659" s="78">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c r="K659"/>
    </row>
    <row r="660" spans="1:11" x14ac:dyDescent="0.2">
      <c r="A660" s="78">
        <v>26969</v>
      </c>
      <c r="B660">
        <v>46.065399999999997</v>
      </c>
      <c r="C660">
        <v>73.910300000000007</v>
      </c>
      <c r="D660">
        <v>21.1127</v>
      </c>
      <c r="E660">
        <v>62.023099999999999</v>
      </c>
      <c r="F660">
        <v>41.885599999999997</v>
      </c>
      <c r="G660">
        <v>43.2241</v>
      </c>
      <c r="H660">
        <v>87.084000000000003</v>
      </c>
      <c r="I660">
        <v>49.472700000000003</v>
      </c>
      <c r="J660">
        <v>88.726799999999997</v>
      </c>
      <c r="K660"/>
    </row>
    <row r="661" spans="1:11" x14ac:dyDescent="0.2">
      <c r="A661" s="78">
        <v>26999</v>
      </c>
      <c r="B661">
        <v>45.934399999999997</v>
      </c>
      <c r="C661">
        <v>74.466999999999999</v>
      </c>
      <c r="D661">
        <v>21.191199999999998</v>
      </c>
      <c r="E661">
        <v>60.9131</v>
      </c>
      <c r="F661">
        <v>41.890099999999997</v>
      </c>
      <c r="G661">
        <v>43.3735</v>
      </c>
      <c r="H661">
        <v>88.207400000000007</v>
      </c>
      <c r="I661">
        <v>46.688800000000001</v>
      </c>
      <c r="J661">
        <v>88.202200000000005</v>
      </c>
      <c r="K661"/>
    </row>
    <row r="662" spans="1:11" x14ac:dyDescent="0.2">
      <c r="A662" s="78">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2">
      <c r="A663" s="78">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2">
      <c r="A664" s="78">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2">
      <c r="A665" s="78">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2">
      <c r="A666" s="78">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2">
      <c r="A667" s="78">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2">
      <c r="A668" s="78">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2">
      <c r="A669" s="78">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2">
      <c r="A670" s="78">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2">
      <c r="A671" s="78">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2">
      <c r="A672" s="78">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2">
      <c r="A673" s="78">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2">
      <c r="A674" s="78">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2">
      <c r="A675" s="78">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2">
      <c r="A676" s="78">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2">
      <c r="A677" s="78">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2">
      <c r="A678" s="78">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2">
      <c r="A679" s="78">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2">
      <c r="A680" s="78">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2">
      <c r="A681" s="78">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2">
      <c r="A682" s="78">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2">
      <c r="A683" s="78">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2">
      <c r="A684" s="78">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2">
      <c r="A685" s="78">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2">
      <c r="A686" s="78">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2">
      <c r="A687" s="78">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2">
      <c r="A688" s="78">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2">
      <c r="A689" s="78">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2">
      <c r="A690" s="78">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2">
      <c r="A691" s="78">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2">
      <c r="A692" s="78">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2">
      <c r="A693" s="78">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2">
      <c r="A694" s="78">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2">
      <c r="A695" s="78">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2">
      <c r="A696" s="78">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2">
      <c r="A697" s="78">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2">
      <c r="A698" s="78">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2">
      <c r="A699" s="78">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2">
      <c r="A700" s="78">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2">
      <c r="A701" s="78">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2">
      <c r="A702" s="78">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2">
      <c r="A703" s="78">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2">
      <c r="A704" s="78">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2">
      <c r="A705" s="78">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2">
      <c r="A706" s="78">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2">
      <c r="A707" s="78">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2">
      <c r="A708" s="78">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2">
      <c r="A709" s="78">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2">
      <c r="A710" s="78">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2">
      <c r="A711" s="78">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2">
      <c r="A712" s="78">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2">
      <c r="A713" s="78">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2">
      <c r="A714" s="78">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2">
      <c r="A715" s="78">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2">
      <c r="A716" s="78">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2">
      <c r="A717" s="78">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2">
      <c r="A718" s="78">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2">
      <c r="A719" s="78">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2">
      <c r="A720" s="78">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2">
      <c r="A721" s="78">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2">
      <c r="A722" s="78">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2">
      <c r="A723" s="78">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2">
      <c r="A724" s="78">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2">
      <c r="A725" s="78">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2">
      <c r="A726" s="78">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2">
      <c r="A727" s="78">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2">
      <c r="A728" s="78">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2">
      <c r="A729" s="78">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2">
      <c r="A730" s="78">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2">
      <c r="A731" s="78">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2">
      <c r="A732" s="78">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2">
      <c r="A733" s="78">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2">
      <c r="A734" s="78">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2">
      <c r="A735" s="78">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2">
      <c r="A736" s="78">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2">
      <c r="A737" s="78">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2">
      <c r="A738" s="78">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2">
      <c r="A739" s="78">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2">
      <c r="A740" s="78">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2">
      <c r="A741" s="78">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2">
      <c r="A742" s="78">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2">
      <c r="A743" s="78">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2">
      <c r="A744" s="78">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2">
      <c r="A745" s="78">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2">
      <c r="A746" s="78">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2">
      <c r="A747" s="78">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2">
      <c r="A748" s="78">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2">
      <c r="A749" s="78">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2">
      <c r="A750" s="78">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2">
      <c r="A751" s="78">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2">
      <c r="A752" s="78">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2">
      <c r="A753" s="78">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2">
      <c r="A754" s="78">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2">
      <c r="A755" s="78">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2">
      <c r="A756" s="78">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2">
      <c r="A757" s="78">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2">
      <c r="A758" s="78">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2">
      <c r="A759" s="78">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2">
      <c r="A760" s="78">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2">
      <c r="A761" s="78">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2">
      <c r="A762" s="78">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2">
      <c r="A763" s="78">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2">
      <c r="A764" s="78">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2">
      <c r="A765" s="78">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2">
      <c r="A766" s="78">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2">
      <c r="A767" s="78">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2">
      <c r="A768" s="78">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2">
      <c r="A769" s="78">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2">
      <c r="A770" s="78">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2">
      <c r="A771" s="78">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2">
      <c r="A772" s="78">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2">
      <c r="A773" s="78">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2">
      <c r="A774" s="78">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2">
      <c r="A775" s="78">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2">
      <c r="A776" s="78">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2">
      <c r="A777" s="78">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2">
      <c r="A778" s="78">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2">
      <c r="A779" s="78">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2">
      <c r="A780" s="78">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2">
      <c r="A781" s="78">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2">
      <c r="A782" s="78">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2">
      <c r="A783" s="78">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2">
      <c r="A784" s="78">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2">
      <c r="A785" s="78">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2">
      <c r="A786" s="78">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2">
      <c r="A787" s="78">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2">
      <c r="A788" s="78">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2">
      <c r="A789" s="78">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2">
      <c r="A790" s="78">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2">
      <c r="A791" s="78">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2">
      <c r="A792" s="78">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2">
      <c r="A793" s="78">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2">
      <c r="A794" s="78">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2">
      <c r="A795" s="78">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2">
      <c r="A796" s="78">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2">
      <c r="A797" s="78">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2">
      <c r="A798" s="78">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2">
      <c r="A799" s="78">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2">
      <c r="A800" s="78">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2">
      <c r="A801" s="78">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2">
      <c r="A802" s="78">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2">
      <c r="A803" s="78">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2">
      <c r="A804" s="78">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2">
      <c r="A805" s="78">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2">
      <c r="A806" s="78">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2">
      <c r="A807" s="78">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2">
      <c r="A808" s="78">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2">
      <c r="A809" s="78">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2">
      <c r="A810" s="78">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2">
      <c r="A811" s="78">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2">
      <c r="A812" s="78">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2">
      <c r="A813" s="78">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2">
      <c r="A814" s="78">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2">
      <c r="A815" s="78">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2">
      <c r="A816" s="78">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2">
      <c r="A817" s="78">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2">
      <c r="A818" s="78">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2">
      <c r="A819" s="78">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2">
      <c r="A820" s="78">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2">
      <c r="A821" s="78">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2">
      <c r="A822" s="78">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2">
      <c r="A823" s="78">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2">
      <c r="A824" s="78">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2">
      <c r="A825" s="78">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2">
      <c r="A826" s="78">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2">
      <c r="A827" s="78">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2">
      <c r="A828" s="78">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2">
      <c r="A829" s="78">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2">
      <c r="A830" s="78">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2">
      <c r="A831" s="78">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2">
      <c r="A832" s="78">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2">
      <c r="A833" s="78">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2">
      <c r="A834" s="78">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2">
      <c r="A835" s="78">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2">
      <c r="A836" s="78">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2">
      <c r="A837" s="78">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2">
      <c r="A838" s="78">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2">
      <c r="A839" s="78">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2">
      <c r="A840" s="78">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2">
      <c r="A841" s="78">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2">
      <c r="A842" s="78">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2">
      <c r="A843" s="78">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2">
      <c r="A844" s="78">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2">
      <c r="A845" s="78">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2">
      <c r="A846" s="78">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2">
      <c r="A847" s="78">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2">
      <c r="A848" s="78">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2">
      <c r="A849" s="78">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2">
      <c r="A850" s="78">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2">
      <c r="A851" s="78">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2">
      <c r="A852" s="78">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2">
      <c r="A853" s="78">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2">
      <c r="A854" s="78">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2">
      <c r="A855" s="78">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2">
      <c r="A856" s="78">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2">
      <c r="A857" s="78">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2">
      <c r="A858" s="78">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2">
      <c r="A859" s="78">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2">
      <c r="A860" s="78">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2">
      <c r="A861" s="78">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2">
      <c r="A862" s="78">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2">
      <c r="A863" s="78">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2">
      <c r="A864" s="78">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2">
      <c r="A865" s="78">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2">
      <c r="A866" s="78">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2">
      <c r="A867" s="78">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2">
      <c r="A868" s="78">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2">
      <c r="A869" s="78">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2">
      <c r="A870" s="78">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2">
      <c r="A871" s="78">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2">
      <c r="A872" s="78">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2">
      <c r="A873" s="78">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2">
      <c r="A874" s="78">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2">
      <c r="A875" s="78">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2">
      <c r="A876" s="78">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2">
      <c r="A877" s="78">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2">
      <c r="A878" s="78">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2">
      <c r="A879" s="78">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2">
      <c r="A880" s="78">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2">
      <c r="A881" s="78">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2">
      <c r="A882" s="78">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2">
      <c r="A883" s="78">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2">
      <c r="A884" s="78">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2">
      <c r="A885" s="78">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2">
      <c r="A886" s="78">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2">
      <c r="A887" s="78">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2">
      <c r="A888" s="78">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2">
      <c r="A889" s="78">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2">
      <c r="A890" s="78">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2">
      <c r="A891" s="78">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2">
      <c r="A892" s="78">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2">
      <c r="A893" s="78">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2">
      <c r="A894" s="78">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2">
      <c r="A895" s="78">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2">
      <c r="A896" s="78">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2">
      <c r="A897" s="78">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2">
      <c r="A898" s="78">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2">
      <c r="A899" s="78">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2">
      <c r="A900" s="78">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2">
      <c r="A901" s="78">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2">
      <c r="A902" s="78">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2">
      <c r="A903" s="78">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2">
      <c r="A904" s="78">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2">
      <c r="A905" s="78">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2">
      <c r="A906" s="78">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2">
      <c r="A907" s="78">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2">
      <c r="A908" s="78">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2">
      <c r="A909" s="78">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2">
      <c r="A910" s="78">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2">
      <c r="A911" s="78">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2">
      <c r="A912" s="78">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2">
      <c r="A913" s="78">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2">
      <c r="A914" s="78">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2">
      <c r="A915" s="78">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2">
      <c r="A916" s="78">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2">
      <c r="A917" s="78">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2">
      <c r="A918" s="78">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2">
      <c r="A919" s="78">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2">
      <c r="A920" s="78">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2">
      <c r="A921" s="78">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2">
      <c r="A922" s="78">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2">
      <c r="A923" s="78">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2">
      <c r="A924" s="78">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2">
      <c r="A925" s="78">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2">
      <c r="A926" s="78">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2">
      <c r="A927" s="78">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2">
      <c r="A928" s="78">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2">
      <c r="A929" s="78">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2">
      <c r="A930" s="78">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2">
      <c r="A931" s="78">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2">
      <c r="A932" s="78">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2">
      <c r="A933" s="78">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2">
      <c r="A934" s="78">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2">
      <c r="A935" s="78">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2">
      <c r="A936" s="78">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2">
      <c r="A937" s="78">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2">
      <c r="A938" s="78">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2">
      <c r="A939" s="78">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2">
      <c r="A940" s="78">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2">
      <c r="A941" s="78">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2">
      <c r="A942" s="78">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2">
      <c r="A943" s="78">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2">
      <c r="A944" s="78">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2">
      <c r="A945" s="78">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2">
      <c r="A946" s="78">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2">
      <c r="A947" s="78">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2">
      <c r="A948" s="78">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2">
      <c r="A949" s="78">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2">
      <c r="A950" s="78">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2">
      <c r="A951" s="78">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2">
      <c r="A952" s="78">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2">
      <c r="A953" s="78">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2">
      <c r="A954" s="78">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2">
      <c r="A955" s="78">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2">
      <c r="A956" s="78">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2">
      <c r="A957" s="78">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2">
      <c r="A958" s="78">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2">
      <c r="A959" s="78">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2">
      <c r="A960" s="78">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2">
      <c r="A961" s="78">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2">
      <c r="A962" s="78">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2">
      <c r="A963" s="78">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2">
      <c r="A964" s="78">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2">
      <c r="A965" s="78">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2">
      <c r="A966" s="78">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2">
      <c r="A967" s="78">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2">
      <c r="A968" s="78">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2">
      <c r="A969" s="78">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2">
      <c r="A970" s="78">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2">
      <c r="A971" s="78">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2">
      <c r="A972" s="78">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2">
      <c r="A973" s="78">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2">
      <c r="A974" s="78">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2">
      <c r="A975" s="78">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2">
      <c r="A976" s="78">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2">
      <c r="A977" s="78">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2">
      <c r="A978" s="78">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2">
      <c r="A979" s="78">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2">
      <c r="A980" s="78">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2">
      <c r="A981" s="78">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2">
      <c r="A982" s="78">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2">
      <c r="A983" s="78">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2">
      <c r="A984" s="78">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2">
      <c r="A985" s="78">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2">
      <c r="A986" s="78">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2">
      <c r="A987" s="78">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2">
      <c r="A988" s="78">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2">
      <c r="A989" s="78">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2">
      <c r="A990" s="78">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2">
      <c r="A991" s="78">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2">
      <c r="A992" s="78">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2">
      <c r="A993" s="78">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2">
      <c r="A994" s="78">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2">
      <c r="A995" s="78">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2">
      <c r="A996" s="78">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2">
      <c r="A997" s="78">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2">
      <c r="A998" s="78">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2">
      <c r="A999" s="78">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2">
      <c r="A1000" s="78">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2">
      <c r="A1001" s="78">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2">
      <c r="A1002" s="78">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2">
      <c r="A1003" s="78">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2">
      <c r="A1004" s="78">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2">
      <c r="A1005" s="78">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2">
      <c r="A1006" s="78">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2">
      <c r="A1007" s="78">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2">
      <c r="A1008" s="78">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2">
      <c r="A1009" s="78">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2">
      <c r="A1010" s="78">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2">
      <c r="A1011" s="78">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2">
      <c r="A1012" s="78">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2">
      <c r="A1013" s="78">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2">
      <c r="A1014" s="78">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2">
      <c r="A1015" s="78">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2">
      <c r="A1016" s="78">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2">
      <c r="A1017" s="78">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2">
      <c r="A1018" s="78">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2">
      <c r="A1019" s="78">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2">
      <c r="A1020" s="78">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2">
      <c r="A1021" s="78">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2">
      <c r="A1022" s="78">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2">
      <c r="A1023" s="78">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2">
      <c r="A1024" s="78">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2">
      <c r="A1025" s="78">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2">
      <c r="A1026" s="78">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2">
      <c r="A1027" s="78">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2">
      <c r="A1028" s="78">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2">
      <c r="A1029" s="78">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2">
      <c r="A1030" s="78">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2">
      <c r="A1031" s="78">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2">
      <c r="A1032" s="78">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2">
      <c r="A1033" s="78">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2">
      <c r="A1034" s="78">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2">
      <c r="A1035" s="78">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2">
      <c r="A1036" s="78">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2">
      <c r="A1037" s="78">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2">
      <c r="A1038" s="78">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2">
      <c r="A1039" s="78">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2">
      <c r="A1040" s="78">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2">
      <c r="A1041" s="78">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2">
      <c r="A1042" s="78">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2">
      <c r="A1043" s="78">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2">
      <c r="A1044" s="78">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2">
      <c r="A1045" s="78">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2">
      <c r="A1046" s="78">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2">
      <c r="A1047" s="78">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2">
      <c r="A1048" s="78">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2">
      <c r="A1049" s="78">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2">
      <c r="A1050" s="78">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2">
      <c r="A1051" s="78">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2">
      <c r="A1052" s="78">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2">
      <c r="A1053" s="78">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2">
      <c r="A1054" s="78">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2">
      <c r="A1055" s="78">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2">
      <c r="A1056" s="78">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2">
      <c r="A1057" s="78">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2">
      <c r="A1058" s="78">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2">
      <c r="A1059" s="78">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2">
      <c r="A1060" s="78">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2">
      <c r="A1061" s="78">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2">
      <c r="A1062" s="78">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2">
      <c r="A1063" s="78">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2">
      <c r="A1064" s="78">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2">
      <c r="A1065" s="78">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2">
      <c r="A1066" s="78">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2">
      <c r="A1067" s="78">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2">
      <c r="A1068" s="78">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2">
      <c r="A1069" s="78">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2">
      <c r="A1070" s="78">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2">
      <c r="A1071" s="78">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2">
      <c r="A1072" s="78">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2">
      <c r="A1073" s="78">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2">
      <c r="A1074" s="78">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2">
      <c r="A1075" s="78">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2">
      <c r="A1076" s="78">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2">
      <c r="A1077" s="78">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2">
      <c r="A1078" s="78">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2">
      <c r="A1079" s="78">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2">
      <c r="A1080" s="78">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2">
      <c r="A1081" s="78">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2">
      <c r="A1082" s="78">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2">
      <c r="A1083" s="78">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2">
      <c r="A1084" s="78">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2">
      <c r="A1085" s="78">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2">
      <c r="A1086" s="78">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2">
      <c r="A1087" s="78">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2">
      <c r="A1088" s="78">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2">
      <c r="A1089" s="78">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2">
      <c r="A1090" s="78">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2">
      <c r="A1091" s="78">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2">
      <c r="A1092" s="78">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2">
      <c r="A1093" s="78">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2">
      <c r="A1094" s="78">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2">
      <c r="A1095" s="78">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2">
      <c r="A1096" s="78">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2">
      <c r="A1097" s="78">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2">
      <c r="A1098" s="78">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2">
      <c r="A1099" s="78">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2">
      <c r="A1100" s="78">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2">
      <c r="A1101" s="78">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2">
      <c r="A1102" s="78">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2">
      <c r="A1103" s="78">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2">
      <c r="A1104" s="78">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2">
      <c r="A1105" s="78">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2">
      <c r="A1106" s="78">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2">
      <c r="A1107" s="78">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2">
      <c r="A1108" s="78">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2">
      <c r="A1109" s="78">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2">
      <c r="A1110" s="78">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2">
      <c r="A1111" s="78">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2">
      <c r="A1112" s="78">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2">
      <c r="A1113" s="78">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2">
      <c r="A1114" s="78">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2">
      <c r="A1115" s="78">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2">
      <c r="A1116" s="78">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2">
      <c r="A1117" s="78">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2">
      <c r="A1118" s="78">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2">
      <c r="A1119" s="78">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2">
      <c r="A1120" s="78">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2">
      <c r="A1121" s="78">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2">
      <c r="A1122" s="78">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2">
      <c r="A1123" s="78">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2">
      <c r="A1124" s="78">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2">
      <c r="A1125" s="78">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2">
      <c r="A1126" s="78">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2">
      <c r="A1127" s="78">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2">
      <c r="A1128" s="78">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2">
      <c r="A1129" s="78">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2">
      <c r="A1130" s="78">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2">
      <c r="A1131" s="78">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2">
      <c r="A1132" s="78">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2">
      <c r="A1133" s="78">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2">
      <c r="A1134" s="78">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2">
      <c r="A1135" s="78">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2">
      <c r="A1136" s="78">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2">
      <c r="A1137" s="78">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2">
      <c r="A1138" s="78">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2">
      <c r="A1139" s="78">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2">
      <c r="A1140" s="78">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2">
      <c r="A1141" s="78">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2">
      <c r="A1142" s="78">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2">
      <c r="A1143" s="78">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2">
      <c r="A1144" s="78">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2">
      <c r="A1145" s="78">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2">
      <c r="A1146" s="78">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2">
      <c r="A1147" s="78">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2">
      <c r="A1148" s="78">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2">
      <c r="A1149" s="78">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2">
      <c r="A1150" s="78">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2">
      <c r="A1151" s="78">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2">
      <c r="A1152" s="78">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2">
      <c r="A1153" s="78">
        <v>41974</v>
      </c>
      <c r="B1153">
        <v>103.592</v>
      </c>
      <c r="C1153">
        <v>98.928299999999993</v>
      </c>
      <c r="D1153">
        <v>104.0367</v>
      </c>
      <c r="E1153">
        <v>100.12309999999999</v>
      </c>
      <c r="F1153">
        <v>101.2936</v>
      </c>
      <c r="G1153">
        <v>105.3522</v>
      </c>
      <c r="H1153">
        <v>116.68</v>
      </c>
      <c r="I1153">
        <v>101.2255</v>
      </c>
      <c r="J1153">
        <v>79.3048</v>
      </c>
      <c r="K1153">
        <v>189.8</v>
      </c>
    </row>
    <row r="1154" spans="1:11" x14ac:dyDescent="0.2">
      <c r="A1154" s="78">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2">
      <c r="A1155" s="78">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2">
      <c r="A1156" s="78">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2">
      <c r="A1157" s="78">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2">
      <c r="A1158" s="78">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2">
      <c r="A1159" s="78">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2">
      <c r="A1160" s="78">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2">
      <c r="A1161" s="78">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2">
      <c r="A1162" s="78">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2">
      <c r="A1163" s="78">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2">
      <c r="A1164" s="78">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2">
      <c r="A1165" s="78">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2">
      <c r="A1166" s="78">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2">
      <c r="A1167" s="78">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2">
      <c r="A1168" s="78">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2">
      <c r="A1169" s="78">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2">
      <c r="A1170" s="78">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2">
      <c r="A1171" s="78">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2">
      <c r="A1172" s="78">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2">
      <c r="A1173" s="78">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2">
      <c r="A1174" s="78">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2">
      <c r="A1175" s="78">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2">
      <c r="A1176" s="78">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2">
      <c r="A1177" s="78">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2">
      <c r="A1178" s="78">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2">
      <c r="A1179" s="78">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2">
      <c r="A1180" s="78">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2">
      <c r="A1181" s="78">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2">
      <c r="A1182" s="78">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2">
      <c r="A1183" s="78">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2">
      <c r="A1184" s="78">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2">
      <c r="A1185" s="78">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2">
      <c r="A1186" s="78">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2">
      <c r="A1187" s="78">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2">
      <c r="A1188" s="78">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2">
      <c r="A1189" s="78">
        <v>43070</v>
      </c>
      <c r="B1189">
        <v>101.3878</v>
      </c>
      <c r="C1189">
        <v>100.6206</v>
      </c>
      <c r="D1189">
        <v>103.2182</v>
      </c>
      <c r="E1189">
        <v>100.2747</v>
      </c>
      <c r="F1189">
        <v>100.4778</v>
      </c>
      <c r="G1189">
        <v>101.7993</v>
      </c>
      <c r="H1189">
        <v>104.4556</v>
      </c>
      <c r="I1189">
        <v>104.86920000000001</v>
      </c>
      <c r="J1189">
        <v>77.961699999999993</v>
      </c>
      <c r="K1189">
        <v>200.6</v>
      </c>
    </row>
    <row r="1190" spans="1:11" x14ac:dyDescent="0.2">
      <c r="A1190" s="78">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2">
      <c r="A1191" s="78">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2">
      <c r="A1192" s="78">
        <v>43160</v>
      </c>
      <c r="B1192">
        <v>102.27849999999999</v>
      </c>
      <c r="C1192">
        <v>100.9468</v>
      </c>
      <c r="D1192">
        <v>104.5989</v>
      </c>
      <c r="E1192">
        <v>100.5068</v>
      </c>
      <c r="F1192">
        <v>101.205</v>
      </c>
      <c r="G1192">
        <v>103.1035</v>
      </c>
      <c r="H1192">
        <v>108.709</v>
      </c>
      <c r="I1192">
        <v>103.3884</v>
      </c>
      <c r="J1192">
        <v>78.814999999999998</v>
      </c>
      <c r="K1192">
        <v>201.9</v>
      </c>
    </row>
    <row r="1193" spans="1:11" x14ac:dyDescent="0.2">
      <c r="A1193" s="78">
        <v>43191</v>
      </c>
      <c r="B1193">
        <v>103.434</v>
      </c>
      <c r="C1193">
        <v>101.8806</v>
      </c>
      <c r="D1193">
        <v>105.72709999999999</v>
      </c>
      <c r="E1193">
        <v>102.2392</v>
      </c>
      <c r="F1193">
        <v>101.9431</v>
      </c>
      <c r="G1193">
        <v>103.9722</v>
      </c>
      <c r="H1193">
        <v>109.8935</v>
      </c>
      <c r="I1193">
        <v>107.8539</v>
      </c>
      <c r="J1193">
        <v>79.739099999999993</v>
      </c>
      <c r="K1193">
        <v>202.3</v>
      </c>
    </row>
    <row r="1194" spans="1:11" x14ac:dyDescent="0.2">
      <c r="A1194" s="78">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2">
      <c r="A1195" s="78">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2">
      <c r="A1196" s="78">
        <v>43282</v>
      </c>
      <c r="B1196">
        <v>103.4588</v>
      </c>
      <c r="C1196">
        <v>102.2436</v>
      </c>
      <c r="D1196">
        <v>104.4686</v>
      </c>
      <c r="E1196">
        <v>100.3079</v>
      </c>
      <c r="F1196">
        <v>101.8353</v>
      </c>
      <c r="G1196">
        <v>105.2927</v>
      </c>
      <c r="H1196">
        <v>114.3934</v>
      </c>
      <c r="I1196">
        <v>103.82510000000001</v>
      </c>
      <c r="J1196">
        <v>79.773200000000003</v>
      </c>
      <c r="K1196">
        <v>203.6</v>
      </c>
    </row>
    <row r="1197" spans="1:11" x14ac:dyDescent="0.2">
      <c r="A1197" s="78">
        <v>43313</v>
      </c>
      <c r="B1197">
        <v>104.1802</v>
      </c>
      <c r="C1197">
        <v>102.49639999999999</v>
      </c>
      <c r="D1197">
        <v>104.7217</v>
      </c>
      <c r="E1197">
        <v>101.1618</v>
      </c>
      <c r="F1197">
        <v>102.1497</v>
      </c>
      <c r="G1197">
        <v>106.2011</v>
      </c>
      <c r="H1197">
        <v>117.3459</v>
      </c>
      <c r="I1197">
        <v>104.7383</v>
      </c>
      <c r="J1197">
        <v>80.307299999999998</v>
      </c>
      <c r="K1197">
        <v>204.1</v>
      </c>
    </row>
    <row r="1198" spans="1:11" x14ac:dyDescent="0.2">
      <c r="A1198" s="78">
        <v>43344</v>
      </c>
      <c r="B1198">
        <v>104.1665</v>
      </c>
      <c r="C1198">
        <v>101.8092</v>
      </c>
      <c r="D1198">
        <v>104.1682</v>
      </c>
      <c r="E1198">
        <v>101.1465</v>
      </c>
      <c r="F1198">
        <v>102.11150000000001</v>
      </c>
      <c r="G1198">
        <v>106.2865</v>
      </c>
      <c r="H1198">
        <v>117.749</v>
      </c>
      <c r="I1198">
        <v>104.3374</v>
      </c>
      <c r="J1198">
        <v>80.2637</v>
      </c>
      <c r="K1198">
        <v>204.4</v>
      </c>
    </row>
    <row r="1199" spans="1:11" x14ac:dyDescent="0.2">
      <c r="A1199" s="78">
        <v>43374</v>
      </c>
      <c r="B1199">
        <v>104.0476</v>
      </c>
      <c r="C1199">
        <v>101.792</v>
      </c>
      <c r="D1199">
        <v>103.2689</v>
      </c>
      <c r="E1199">
        <v>101.1639</v>
      </c>
      <c r="F1199">
        <v>101.7088</v>
      </c>
      <c r="G1199">
        <v>106.1691</v>
      </c>
      <c r="H1199">
        <v>117.8592</v>
      </c>
      <c r="I1199">
        <v>106.0998</v>
      </c>
      <c r="J1199">
        <v>80.1297</v>
      </c>
      <c r="K1199">
        <v>205.1</v>
      </c>
    </row>
    <row r="1200" spans="1:11" x14ac:dyDescent="0.2">
      <c r="A1200" s="78">
        <v>43405</v>
      </c>
      <c r="B1200">
        <v>103.9603</v>
      </c>
      <c r="C1200">
        <v>101.3634</v>
      </c>
      <c r="D1200">
        <v>101.8002</v>
      </c>
      <c r="E1200">
        <v>101.2022</v>
      </c>
      <c r="F1200">
        <v>101.2783</v>
      </c>
      <c r="G1200">
        <v>106.4877</v>
      </c>
      <c r="H1200">
        <v>118.5522</v>
      </c>
      <c r="I1200">
        <v>107.48569999999999</v>
      </c>
      <c r="J1200">
        <v>80.012100000000004</v>
      </c>
      <c r="K1200">
        <v>205.6</v>
      </c>
    </row>
    <row r="1201" spans="1:11" x14ac:dyDescent="0.2">
      <c r="A1201" s="78">
        <v>43435</v>
      </c>
      <c r="B1201">
        <v>103.869</v>
      </c>
      <c r="C1201">
        <v>102.2179</v>
      </c>
      <c r="D1201">
        <v>100.938</v>
      </c>
      <c r="E1201">
        <v>100.9555</v>
      </c>
      <c r="F1201">
        <v>101.44450000000001</v>
      </c>
      <c r="G1201">
        <v>106.533</v>
      </c>
      <c r="H1201">
        <v>120.4772</v>
      </c>
      <c r="I1201">
        <v>103.3369</v>
      </c>
      <c r="J1201">
        <v>79.884600000000006</v>
      </c>
      <c r="K1201">
        <v>205.8</v>
      </c>
    </row>
    <row r="1202" spans="1:11" x14ac:dyDescent="0.2">
      <c r="A1202" s="78">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2">
      <c r="A1203" s="78">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2">
      <c r="A1204" s="78">
        <v>43525</v>
      </c>
      <c r="B1204">
        <v>102.9</v>
      </c>
      <c r="C1204">
        <v>100.0899</v>
      </c>
      <c r="D1204">
        <v>98.302499999999995</v>
      </c>
      <c r="E1204">
        <v>101.0626</v>
      </c>
      <c r="F1204">
        <v>100.1091</v>
      </c>
      <c r="G1204">
        <v>105.2664</v>
      </c>
      <c r="H1204">
        <v>118.6683</v>
      </c>
      <c r="I1204">
        <v>106.0924</v>
      </c>
      <c r="J1204">
        <v>78.940100000000001</v>
      </c>
      <c r="K1204">
        <v>207.3</v>
      </c>
    </row>
    <row r="1205" spans="1:11" x14ac:dyDescent="0.2">
      <c r="A1205" s="78">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2">
      <c r="A1206" s="78">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2">
      <c r="A1207" s="78">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2">
      <c r="A1208" s="78">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2">
      <c r="A1209" s="78">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2">
      <c r="A1210" s="78">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2">
      <c r="A1211" s="78">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2">
      <c r="A1212" s="78">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2">
      <c r="A1213" s="78">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2">
      <c r="A1214" s="78">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2">
      <c r="A1215" s="78">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2">
      <c r="A1216" s="78">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2">
      <c r="A1217" s="78">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2">
      <c r="A1218" s="78">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2">
      <c r="A1219" s="78">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2">
      <c r="A1220" s="78">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2">
      <c r="A1221" s="78">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2">
      <c r="A1222" s="78">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2">
      <c r="A1223" s="78">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2">
      <c r="A1224" s="78">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2">
      <c r="A1225" s="78">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2">
      <c r="A1226" s="78">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2">
      <c r="A1227" s="78">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2">
      <c r="A1228" s="78">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2">
      <c r="A1229" s="78">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2">
      <c r="A1230" s="78">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2">
      <c r="A1231" s="78">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2">
      <c r="A1232" s="78">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2">
      <c r="A1233" s="78">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2">
      <c r="A1234" s="78">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2">
      <c r="A1235" s="78">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2">
      <c r="A1236" s="78">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2">
      <c r="A1237" s="78">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2">
      <c r="A1238" s="78">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2">
      <c r="A1239" s="78">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2">
      <c r="A1240" s="78">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2">
      <c r="A1241" s="78">
        <v>44652</v>
      </c>
      <c r="B1241">
        <v>104.2577</v>
      </c>
      <c r="C1241">
        <v>104.9893</v>
      </c>
      <c r="D1241">
        <v>97.299599999999998</v>
      </c>
      <c r="E1241">
        <v>106.0938</v>
      </c>
      <c r="F1241">
        <v>102.93559999999999</v>
      </c>
      <c r="G1241">
        <v>103.6339</v>
      </c>
      <c r="H1241">
        <v>112.01600000000001</v>
      </c>
      <c r="I1241">
        <v>106.7777</v>
      </c>
      <c r="J1241">
        <v>80.218299999999999</v>
      </c>
      <c r="K1241">
        <v>233.547</v>
      </c>
    </row>
    <row r="1242" spans="1:11" x14ac:dyDescent="0.2">
      <c r="A1242" s="78">
        <v>44682</v>
      </c>
      <c r="B1242">
        <v>104.18680000000001</v>
      </c>
      <c r="C1242">
        <v>105.1751</v>
      </c>
      <c r="D1242">
        <v>97.0137</v>
      </c>
      <c r="E1242">
        <v>105.2516</v>
      </c>
      <c r="F1242">
        <v>102.5035</v>
      </c>
      <c r="G1242">
        <v>103.94370000000001</v>
      </c>
      <c r="H1242">
        <v>113.2068</v>
      </c>
      <c r="I1242">
        <v>107.04430000000001</v>
      </c>
      <c r="J1242">
        <v>80.036900000000003</v>
      </c>
      <c r="K1242">
        <v>235.42599999999999</v>
      </c>
    </row>
    <row r="1243" spans="1:11" x14ac:dyDescent="0.2">
      <c r="A1243" s="78">
        <v>44713</v>
      </c>
      <c r="B1243">
        <v>104.1778</v>
      </c>
      <c r="C1243">
        <v>104.0767</v>
      </c>
      <c r="D1243">
        <v>96.848500000000001</v>
      </c>
      <c r="E1243">
        <v>104.5492</v>
      </c>
      <c r="F1243">
        <v>101.9307</v>
      </c>
      <c r="G1243">
        <v>104.5029</v>
      </c>
      <c r="H1243">
        <v>115.4004</v>
      </c>
      <c r="I1243">
        <v>107.36790000000001</v>
      </c>
      <c r="J1243">
        <v>79.905500000000004</v>
      </c>
      <c r="K1243">
        <v>237.124</v>
      </c>
    </row>
    <row r="1244" spans="1:11" x14ac:dyDescent="0.2">
      <c r="A1244" s="78">
        <v>44743</v>
      </c>
      <c r="B1244">
        <v>104.7189</v>
      </c>
      <c r="C1244">
        <v>104.87949999999999</v>
      </c>
      <c r="D1244">
        <v>97.377200000000002</v>
      </c>
      <c r="E1244">
        <v>104.8974</v>
      </c>
      <c r="F1244">
        <v>102.5658</v>
      </c>
      <c r="G1244">
        <v>105.06319999999999</v>
      </c>
      <c r="H1244">
        <v>116.55029999999999</v>
      </c>
      <c r="I1244">
        <v>106.0779</v>
      </c>
      <c r="J1244">
        <v>80.202399999999997</v>
      </c>
      <c r="K1244">
        <v>238.43700000000001</v>
      </c>
    </row>
    <row r="1245" spans="1:11" x14ac:dyDescent="0.2">
      <c r="A1245" s="78">
        <v>44774</v>
      </c>
      <c r="B1245">
        <v>104.54640000000001</v>
      </c>
      <c r="C1245">
        <v>104.2602</v>
      </c>
      <c r="D1245">
        <v>98.069800000000001</v>
      </c>
      <c r="E1245">
        <v>104.7295</v>
      </c>
      <c r="F1245">
        <v>102.6574</v>
      </c>
      <c r="G1245">
        <v>104.60420000000001</v>
      </c>
      <c r="H1245">
        <v>116.5504</v>
      </c>
      <c r="I1245">
        <v>103.598</v>
      </c>
      <c r="J1245">
        <v>79.960499999999996</v>
      </c>
      <c r="K1245">
        <v>239.59800000000001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0"/>
  <sheetViews>
    <sheetView zoomScale="130" zoomScaleNormal="130" workbookViewId="0">
      <pane ySplit="6" topLeftCell="A1232" activePane="bottomLeft" state="frozen"/>
      <selection pane="bottomLeft" activeCell="A1243" sqref="A1243:D1250"/>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5" customWidth="1"/>
    <col min="7" max="7" width="10.6640625" style="75" bestFit="1" customWidth="1"/>
    <col min="8" max="8" width="10.6640625" style="75" customWidth="1"/>
    <col min="9" max="15" width="9.1640625" style="75" customWidth="1"/>
    <col min="16" max="16" width="25" style="75" customWidth="1"/>
    <col min="17" max="26" width="9.1640625" style="75" customWidth="1"/>
    <col min="27" max="27" width="18" style="75" bestFit="1" customWidth="1"/>
    <col min="28" max="31" width="9.1640625" style="75" customWidth="1"/>
    <col min="32" max="16384" width="9.1640625" style="75"/>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4.8773</v>
      </c>
      <c r="C7" s="32"/>
      <c r="D7" s="32"/>
    </row>
    <row r="8" spans="1:4" x14ac:dyDescent="0.2">
      <c r="A8" s="31">
        <v>6972</v>
      </c>
      <c r="B8" s="32">
        <f>VLOOKUP(Table10[[#This Row],[Month]],database!A:J,MATCH('IP from start'!$A$1,database!$A$1:$J$1,),)</f>
        <v>4.6616999999999997</v>
      </c>
      <c r="C8" s="32"/>
      <c r="D8" s="32"/>
    </row>
    <row r="9" spans="1:4" x14ac:dyDescent="0.2">
      <c r="A9" s="31">
        <v>7000</v>
      </c>
      <c r="B9" s="32">
        <f>VLOOKUP(Table10[[#This Row],[Month]],database!A:J,MATCH('IP from start'!$A$1,database!$A$1:$J$1,),)</f>
        <v>4.5270000000000001</v>
      </c>
      <c r="C9" s="32"/>
      <c r="D9" s="32"/>
    </row>
    <row r="10" spans="1:4" x14ac:dyDescent="0.2">
      <c r="A10" s="31">
        <v>7031</v>
      </c>
      <c r="B10" s="32">
        <f>VLOOKUP(Table10[[#This Row],[Month]],database!A:J,MATCH('IP from start'!$A$1,database!$A$1:$J$1,),)</f>
        <v>4.6078000000000001</v>
      </c>
      <c r="C10" s="32"/>
      <c r="D10" s="32"/>
    </row>
    <row r="11" spans="1:4" x14ac:dyDescent="0.2">
      <c r="A11" s="31">
        <v>7061</v>
      </c>
      <c r="B11" s="32">
        <f>VLOOKUP(Table10[[#This Row],[Month]],database!A:J,MATCH('IP from start'!$A$1,database!$A$1:$J$1,),)</f>
        <v>4.6348000000000003</v>
      </c>
      <c r="C11" s="32"/>
      <c r="D11" s="32"/>
    </row>
    <row r="12" spans="1:4" ht="16" customHeight="1" x14ac:dyDescent="0.2">
      <c r="A12" s="31">
        <v>7092</v>
      </c>
      <c r="B12" s="32">
        <f>VLOOKUP(Table10[[#This Row],[Month]],database!A:J,MATCH('IP from start'!$A$1,database!$A$1:$J$1,),)</f>
        <v>4.9311999999999996</v>
      </c>
      <c r="C12" s="32"/>
      <c r="D12" s="32"/>
    </row>
    <row r="13" spans="1:4" x14ac:dyDescent="0.2">
      <c r="A13" s="31">
        <v>7122</v>
      </c>
      <c r="B13" s="32">
        <f>VLOOKUP(Table10[[#This Row],[Month]],database!A:J,MATCH('IP from start'!$A$1,database!$A$1:$J$1,),)</f>
        <v>5.2275999999999998</v>
      </c>
      <c r="C13" s="32"/>
      <c r="D13" s="32"/>
    </row>
    <row r="14" spans="1:4" ht="16" customHeight="1" x14ac:dyDescent="0.2">
      <c r="A14" s="31">
        <v>7153</v>
      </c>
      <c r="B14" s="32">
        <f>VLOOKUP(Table10[[#This Row],[Month]],database!A:J,MATCH('IP from start'!$A$1,database!$A$1:$J$1,),)</f>
        <v>5.3083999999999998</v>
      </c>
      <c r="C14" s="32"/>
      <c r="D14" s="32"/>
    </row>
    <row r="15" spans="1:4" ht="16" customHeight="1" x14ac:dyDescent="0.2">
      <c r="A15" s="31">
        <v>7184</v>
      </c>
      <c r="B15" s="32">
        <f>VLOOKUP(Table10[[#This Row],[Month]],database!A:J,MATCH('IP from start'!$A$1,database!$A$1:$J$1,),)</f>
        <v>5.2005999999999997</v>
      </c>
      <c r="C15" s="32"/>
      <c r="D15" s="32"/>
    </row>
    <row r="16" spans="1:4" x14ac:dyDescent="0.2">
      <c r="A16" s="31">
        <v>7214</v>
      </c>
      <c r="B16" s="32">
        <f>VLOOKUP(Table10[[#This Row],[Month]],database!A:J,MATCH('IP from start'!$A$1,database!$A$1:$J$1,),)</f>
        <v>5.1467000000000001</v>
      </c>
      <c r="C16" s="32"/>
      <c r="D16" s="32"/>
    </row>
    <row r="17" spans="1:4" x14ac:dyDescent="0.2">
      <c r="A17" s="31">
        <v>7245</v>
      </c>
      <c r="B17" s="32">
        <f>VLOOKUP(Table10[[#This Row],[Month]],database!A:J,MATCH('IP from start'!$A$1,database!$A$1:$J$1,),)</f>
        <v>5.0659000000000001</v>
      </c>
      <c r="C17" s="32"/>
      <c r="D17" s="32"/>
    </row>
    <row r="18" spans="1:4" x14ac:dyDescent="0.2">
      <c r="A18" s="31">
        <v>7275</v>
      </c>
      <c r="B18" s="32">
        <f>VLOOKUP(Table10[[#This Row],[Month]],database!A:J,MATCH('IP from start'!$A$1,database!$A$1:$J$1,),)</f>
        <v>5.1467000000000001</v>
      </c>
      <c r="C18" s="32"/>
      <c r="D18" s="32"/>
    </row>
    <row r="19" spans="1:4" x14ac:dyDescent="0.2">
      <c r="A19" s="31">
        <v>7306</v>
      </c>
      <c r="B19" s="32">
        <f>VLOOKUP(Table10[[#This Row],[Month]],database!A:J,MATCH('IP from start'!$A$1,database!$A$1:$J$1,),)</f>
        <v>5.6318000000000001</v>
      </c>
      <c r="C19" s="33">
        <f>(Table10[[#This Row],[Industrial Production ]]-B7)/B7</f>
        <v>0.15469624587374164</v>
      </c>
      <c r="D19" s="32"/>
    </row>
    <row r="20" spans="1:4" x14ac:dyDescent="0.2">
      <c r="A20" s="31">
        <v>7337</v>
      </c>
      <c r="B20" s="32">
        <f>VLOOKUP(Table10[[#This Row],[Month]],database!A:J,MATCH('IP from start'!$A$1,database!$A$1:$J$1,),)</f>
        <v>5.6318000000000001</v>
      </c>
      <c r="C20" s="33">
        <f>(Table10[[#This Row],[Industrial Production ]]-B8)/B8</f>
        <v>0.20810004933822435</v>
      </c>
      <c r="D20" s="32"/>
    </row>
    <row r="21" spans="1:4" x14ac:dyDescent="0.2">
      <c r="A21" s="31">
        <v>7366</v>
      </c>
      <c r="B21" s="32">
        <f>VLOOKUP(Table10[[#This Row],[Month]],database!A:J,MATCH('IP from start'!$A$1,database!$A$1:$J$1,),)</f>
        <v>5.524</v>
      </c>
      <c r="C21" s="33">
        <f>(Table10[[#This Row],[Industrial Production ]]-B9)/B9</f>
        <v>0.22023415065164564</v>
      </c>
      <c r="D21" s="32"/>
    </row>
    <row r="22" spans="1:4" x14ac:dyDescent="0.2">
      <c r="A22" s="31">
        <v>7397</v>
      </c>
      <c r="B22" s="32">
        <f>VLOOKUP(Table10[[#This Row],[Month]],database!A:J,MATCH('IP from start'!$A$1,database!$A$1:$J$1,),)</f>
        <v>5.2275999999999998</v>
      </c>
      <c r="C22" s="33">
        <f>(Table10[[#This Row],[Industrial Production ]]-B10)/B10</f>
        <v>0.13451104648639256</v>
      </c>
      <c r="D22" s="32"/>
    </row>
    <row r="23" spans="1:4" x14ac:dyDescent="0.2">
      <c r="A23" s="31">
        <v>7427</v>
      </c>
      <c r="B23" s="32">
        <f>VLOOKUP(Table10[[#This Row],[Month]],database!A:J,MATCH('IP from start'!$A$1,database!$A$1:$J$1,),)</f>
        <v>5.3623000000000003</v>
      </c>
      <c r="C23" s="33">
        <f>(Table10[[#This Row],[Industrial Production ]]-B11)/B11</f>
        <v>0.1569647018210063</v>
      </c>
      <c r="D23" s="32"/>
    </row>
    <row r="24" spans="1:4" x14ac:dyDescent="0.2">
      <c r="A24" s="31">
        <v>7458</v>
      </c>
      <c r="B24" s="32">
        <f>VLOOKUP(Table10[[#This Row],[Month]],database!A:J,MATCH('IP from start'!$A$1,database!$A$1:$J$1,),)</f>
        <v>5.4161999999999999</v>
      </c>
      <c r="C24" s="33">
        <f>(Table10[[#This Row],[Industrial Production ]]-B12)/B12</f>
        <v>9.8353341985723625E-2</v>
      </c>
      <c r="D24" s="32"/>
    </row>
    <row r="25" spans="1:4" x14ac:dyDescent="0.2">
      <c r="A25" s="31">
        <v>7488</v>
      </c>
      <c r="B25" s="32">
        <f>VLOOKUP(Table10[[#This Row],[Month]],database!A:J,MATCH('IP from start'!$A$1,database!$A$1:$J$1,),)</f>
        <v>5.2815000000000003</v>
      </c>
      <c r="C25" s="33">
        <f>(Table10[[#This Row],[Industrial Production ]]-B13)/B13</f>
        <v>1.0310658810926717E-2</v>
      </c>
      <c r="D25" s="32"/>
    </row>
    <row r="26" spans="1:4" x14ac:dyDescent="0.2">
      <c r="A26" s="31">
        <v>7519</v>
      </c>
      <c r="B26" s="32">
        <f>VLOOKUP(Table10[[#This Row],[Month]],database!A:J,MATCH('IP from start'!$A$1,database!$A$1:$J$1,),)</f>
        <v>5.3083999999999998</v>
      </c>
      <c r="C26" s="33">
        <f>(Table10[[#This Row],[Industrial Production ]]-B14)/B14</f>
        <v>0</v>
      </c>
      <c r="D26" s="32"/>
    </row>
    <row r="27" spans="1:4" x14ac:dyDescent="0.2">
      <c r="A27" s="31">
        <v>7550</v>
      </c>
      <c r="B27" s="32">
        <f>VLOOKUP(Table10[[#This Row],[Month]],database!A:J,MATCH('IP from start'!$A$1,database!$A$1:$J$1,),)</f>
        <v>5.1197999999999997</v>
      </c>
      <c r="C27" s="33">
        <f>(Table10[[#This Row],[Industrial Production ]]-B15)/B15</f>
        <v>-1.5536668845902393E-2</v>
      </c>
      <c r="D27" s="32"/>
    </row>
    <row r="28" spans="1:4" x14ac:dyDescent="0.2">
      <c r="A28" s="31">
        <v>7580</v>
      </c>
      <c r="B28" s="32">
        <f>VLOOKUP(Table10[[#This Row],[Month]],database!A:J,MATCH('IP from start'!$A$1,database!$A$1:$J$1,),)</f>
        <v>4.9042000000000003</v>
      </c>
      <c r="C28" s="33">
        <f>(Table10[[#This Row],[Industrial Production ]]-B16)/B16</f>
        <v>-4.7117570482056406E-2</v>
      </c>
      <c r="D28" s="32"/>
    </row>
    <row r="29" spans="1:4" x14ac:dyDescent="0.2">
      <c r="A29" s="31">
        <v>7611</v>
      </c>
      <c r="B29" s="32">
        <f>VLOOKUP(Table10[[#This Row],[Month]],database!A:J,MATCH('IP from start'!$A$1,database!$A$1:$J$1,),)</f>
        <v>4.5</v>
      </c>
      <c r="C29" s="33">
        <f>(Table10[[#This Row],[Industrial Production ]]-B17)/B17</f>
        <v>-0.111707692611382</v>
      </c>
      <c r="D29" s="32"/>
    </row>
    <row r="30" spans="1:4" x14ac:dyDescent="0.2">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2">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2">
      <c r="A32" s="31">
        <v>7703</v>
      </c>
      <c r="B32" s="32">
        <f>VLOOKUP(Table10[[#This Row],[Month]],database!A:J,MATCH('IP from start'!$A$1,database!$A$1:$J$1,),)</f>
        <v>3.9072</v>
      </c>
      <c r="C32" s="33">
        <f>(Table10[[#This Row],[Industrial Production ]]-B20)/B20</f>
        <v>-0.30622536311658799</v>
      </c>
      <c r="D32" s="34">
        <f t="shared" si="0"/>
        <v>-2.7505954461632523E-2</v>
      </c>
    </row>
    <row r="33" spans="1:4" x14ac:dyDescent="0.2">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2">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2">
      <c r="A35" s="31">
        <v>7792</v>
      </c>
      <c r="B35" s="32">
        <f>VLOOKUP(Table10[[#This Row],[Month]],database!A:J,MATCH('IP from start'!$A$1,database!$A$1:$J$1,),)</f>
        <v>3.9072</v>
      </c>
      <c r="C35" s="33">
        <f>(Table10[[#This Row],[Industrial Production ]]-B23)/B23</f>
        <v>-0.2713574399045186</v>
      </c>
      <c r="D35" s="34">
        <f t="shared" si="0"/>
        <v>-0.14154532170336256</v>
      </c>
    </row>
    <row r="36" spans="1:4" x14ac:dyDescent="0.2">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2">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2">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2">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2">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2">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2">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2">
      <c r="A43" s="31">
        <v>8037</v>
      </c>
      <c r="B43" s="32">
        <f>VLOOKUP(Table10[[#This Row],[Month]],database!A:J,MATCH('IP from start'!$A$1,database!$A$1:$J$1,),)</f>
        <v>4.3384</v>
      </c>
      <c r="C43" s="33">
        <f>(Table10[[#This Row],[Industrial Production ]]-B31)/B31</f>
        <v>8.7836313031267974E-2</v>
      </c>
      <c r="D43" s="34">
        <f t="shared" si="0"/>
        <v>-0.19201039919031362</v>
      </c>
    </row>
    <row r="44" spans="1:4" x14ac:dyDescent="0.2">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2">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2">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2">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2">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2">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2">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2">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2">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2">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2">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2">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2">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2">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2">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2">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2">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2">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2">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2">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2">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2">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2">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2">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2">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2">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2">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2">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2">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2">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2">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2">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2">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2">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2">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2">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2">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2">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2">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2">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2">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2">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2">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2">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2">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2">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2">
      <c r="A90" s="31">
        <v>9467</v>
      </c>
      <c r="B90" s="32">
        <f>VLOOKUP(Table10[[#This Row],[Month]],database!A:J,MATCH('IP from start'!$A$1,database!$A$1:$J$1,),)</f>
        <v>6.548</v>
      </c>
      <c r="C90" s="33">
        <f>(Table10[[#This Row],[Industrial Production ]]-B78)/B78</f>
        <v>9.9561720206209847E-2</v>
      </c>
      <c r="D90" s="34">
        <f t="shared" si="0"/>
        <v>0.10400381847923373</v>
      </c>
    </row>
    <row r="91" spans="1:4" x14ac:dyDescent="0.2">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2">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2">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2">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2">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2">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2">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2">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2">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2">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2">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2">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2">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2">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2">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2">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2">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2">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2">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2">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2">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2">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2">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2">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2">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2">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2">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2">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2">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2">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2">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2">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2">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2">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2">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2">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2">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2">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2">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2">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2">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2">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2">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2">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2">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2">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2">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2">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2">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2">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2">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2">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2">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2">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2">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2">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2">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2">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2">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2">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2">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2">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2">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2">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2">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2">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2">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2">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2">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2">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2">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2">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2">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2">
      <c r="A164" s="31">
        <v>11720</v>
      </c>
      <c r="B164" s="32">
        <f>VLOOKUP(Table10[[#This Row],[Month]],database!A:J,MATCH('IP from start'!$A$1,database!$A$1:$J$1,),)</f>
        <v>4.4192</v>
      </c>
      <c r="C164" s="33">
        <f>(Table10[[#This Row],[Industrial Production ]]-B152)/B152</f>
        <v>-0.2</v>
      </c>
      <c r="D164" s="34">
        <f t="shared" si="2"/>
        <v>-0.16747908357130958</v>
      </c>
    </row>
    <row r="165" spans="1:4" x14ac:dyDescent="0.2">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2">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2">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2">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2">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2">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2">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2">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2">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2">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2">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2">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2">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2">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2">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2">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2">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2">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2">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2">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2">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2">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2">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2">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2">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2">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2">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2">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2">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2">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2">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2">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2">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2">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2">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2">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2">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2">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2">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2">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2">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2">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2">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2">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2">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2">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2">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2">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2">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2">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2">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2">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2">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2">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2">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2">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2">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2">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2">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2">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2">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2">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2">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2">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2">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2">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2">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2">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2">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2">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2">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2">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2">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2">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2">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2">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2">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2">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2">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2">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2">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2">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2">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2">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2">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2">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2">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2">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2">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2">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2">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2">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2">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2">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2">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2">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2">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2">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2">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2">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2">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2">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2">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2">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2">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2">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2">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2">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2">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2">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2">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2">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2">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2">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2">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2">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2">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2">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2">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2">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2">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2">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2">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2">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2">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2">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2">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2">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2">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2">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2">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2">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2">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2">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2">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2">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2">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2">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2">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2">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2">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2">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2">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2">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2">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2">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2">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2">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2">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2">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2">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2">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2">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2">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2">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2">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2">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2">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2">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2">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2">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2">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2">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2">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2">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2">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2">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2">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2">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2">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2">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2">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2">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2">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2">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2">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2">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2">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2">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2">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2">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2">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2">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2">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2">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2">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2">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2">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2">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2">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2">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2">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2">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2">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2">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2">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2">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2">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2">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2">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2">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2">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2">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2">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2">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2">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2">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2">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2">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2">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2">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2">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2">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2">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2">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2">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2">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2">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2">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2">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2">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2">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2">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2">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2">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2">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2">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2">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2">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2">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2">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2">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2">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2">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2">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2">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2">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2">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2">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2">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2">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2">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2">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2">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2">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2">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2">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2">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2">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2">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2">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2">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2">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2">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2">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2">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2">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2">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2">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2">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2">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2">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2">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2">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2">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2">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2">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2">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2">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2">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2">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2">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2">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2">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2">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2">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2">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2">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2">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2">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2">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2">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2">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2">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2">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2">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2">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2">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2">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2">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2">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2">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2">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2">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2">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2">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2">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2">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2">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2">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2">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2">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2">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2">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2">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2">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2">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2">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2">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2">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2">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2">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2">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2">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2">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2">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2">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2">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2">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2">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2">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2">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2">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2">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2">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2">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2">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2">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2">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2">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2">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2">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2">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2">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2">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2">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2">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2">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2">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2">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2">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2">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2">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2">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2">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2">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2">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2">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2">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2">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2">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2">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2">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2">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2">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2">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2">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2">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2">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2">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2">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2">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2">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2">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2">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2">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2">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2">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2">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2">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2">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2">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2">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2">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2">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2">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2">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2">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2">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2">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2">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2">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2">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2">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2">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2">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2">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2">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2">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2">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2">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2">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2">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2">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2">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2">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2">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2">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2">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2">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2">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2">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2">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2">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2">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2">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2">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2">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2">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2">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2">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2">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2">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2">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2">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2">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2">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2">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2">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2">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2">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2">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2">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2">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2">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2">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2">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2">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2">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2">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2">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2">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2">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2">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2">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2">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2">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2">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2">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2">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2">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2">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2">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2">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2">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2">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2">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2">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2">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2">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2">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2">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2">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2">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2">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2">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2">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2">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2">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2">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2">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2">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2">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2">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2">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2">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2">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2">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2">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2">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2">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2">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2">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2">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2">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2">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2">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2">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2">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2">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2">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2">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2">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2">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2">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2">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2">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2">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2">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2">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2">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2">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2">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2">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2">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2">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2">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2">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2">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2">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2">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2">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2">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2">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2">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2">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2">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2">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2">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2">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2">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2">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2">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2">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2">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2">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2">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2">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2">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2">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2">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2">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2">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2">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2">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2">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2">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2">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2">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2">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2">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2">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2">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2">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2">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2">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2">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2">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2">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2">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2">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2">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2">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2">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2">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2">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2">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2">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2">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2">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2">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2">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2">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2">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2">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2">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2">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2">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2">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2">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2">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2">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2">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2">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2">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2">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2">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2">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2">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2">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2">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2">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2">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2">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2">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2">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2">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2">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2">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2">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2">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2">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2">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2">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2">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2">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2">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2">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2">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2">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2">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2">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2">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2">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2">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2">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2">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2">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2">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2">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2">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2">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2">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2">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2">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2">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2">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2">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2">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2">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2">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2">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2">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2">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2">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2">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2">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2">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2">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2">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2">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2">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2">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2">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2">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2">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2">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2">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2">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2">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2">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2">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2">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2">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2">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2">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2">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2">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2">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2">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2">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2">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2">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2">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2">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2">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2">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2">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2">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2">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2">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2">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2">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2">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2">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2">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2">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2">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2">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2">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2">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2">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2">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2">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2">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2">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2">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2">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2">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2">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2">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2">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2">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2">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2">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2">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2">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2">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2">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2">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2">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2">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2">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2">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2">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2">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2">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2">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2">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2">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2">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2">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2">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2">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2">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2">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2">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2">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2">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2">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2">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2">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2">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2">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2">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2">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2">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2">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2">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2">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2">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2">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2">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2">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2">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2">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2">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2">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2">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2">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2">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2">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2">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2">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2">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2">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2">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2">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2">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2">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2">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2">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2">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2">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2">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2">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2">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2">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2">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2">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2">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2">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2">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2">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2">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2">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2">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2">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2">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2">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2">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2">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2">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2">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2">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2">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2">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2">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2">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2">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2">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2">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2">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2">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2">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2">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2">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2">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2">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2">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2">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2">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2">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2">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2">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2">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2">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2">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2">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2">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2">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2">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2">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2">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2">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2">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2">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2">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2">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2">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2">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2">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2">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2">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2">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2">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2">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2">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2">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2">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2">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2">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2">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2">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2">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2">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2">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2">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2">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2">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2">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2">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2">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2">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2">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2">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2">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2">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2">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2">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2">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2">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2">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2">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2">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2">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2">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2">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2">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2">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2">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2">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2">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2">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2">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2">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2">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2">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2">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2">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2">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2">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2">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2">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2">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2">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2">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2">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2">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2">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2">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2">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2">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2">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2">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2">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2">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2">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2">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2">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2">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2">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2">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2">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2">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2">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2">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2">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2">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2">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2">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2">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2">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2">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2">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2">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2">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2">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2">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2">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2">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2">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2">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2">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2">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2">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2">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2">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2">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2">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2">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2">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2">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2">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2">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2">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2">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2">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2">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2">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2">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2">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2">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2">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2">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2">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2">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2">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2">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2">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2">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2">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2">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2">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2">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2">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2">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2">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2">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2">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2">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2">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2">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2">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2">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2">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2">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2">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2">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2">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2">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2">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2">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2">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2">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2">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2">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2">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2">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2">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2">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2">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2">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2">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2">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2">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2">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2">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2">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2">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2">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2">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2">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2">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2">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2">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2">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2">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2">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2">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2">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2">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2">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2">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2">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2">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2">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2">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2">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2">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2">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2">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2">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2">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2">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2">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2">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2">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2">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2">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2">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2">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2">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2">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2">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2">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2">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2">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2">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2">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2">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2">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2">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2">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2">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2">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2">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2">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2">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2">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2">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2">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2">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2">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2">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2">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2">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2">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2">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2">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2">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2">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2">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2">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2">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2">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2">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2">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2">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2">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2">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2">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25">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2">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5">
        <f>YEAR(R1188)</f>
        <v>1919</v>
      </c>
      <c r="V1188" s="75">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25">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5">
        <f>YEAR(R1189)</f>
        <v>1939</v>
      </c>
      <c r="U1189" s="75">
        <f>T1189-T1188</f>
        <v>20</v>
      </c>
      <c r="V1189" s="75">
        <f>VLOOKUP(R1189,A:B,2,)</f>
        <v>7.0598999999999998</v>
      </c>
      <c r="W1189" s="75">
        <f>(V1189-V1188)/V1188</f>
        <v>0.44750169150964669</v>
      </c>
      <c r="X1189" s="75">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25">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1">
        <f>X1190</f>
        <v>1.8663989935786773E-2</v>
      </c>
      <c r="X1190" s="4">
        <f>X1189-1</f>
        <v>1.8663989935786773E-2</v>
      </c>
      <c r="AA1190" s="72" t="s">
        <v>53</v>
      </c>
      <c r="AB1190" s="73">
        <f>T1190</f>
        <v>1.8663989935786773E-2</v>
      </c>
      <c r="AC1190" s="73">
        <f>T1194</f>
        <v>2.4240811774992599E-2</v>
      </c>
      <c r="AD1190" s="73">
        <f>T1198</f>
        <v>8.768744687375718E-2</v>
      </c>
      <c r="AE1190" s="73">
        <f>T1202</f>
        <v>2.0587970332319294E-2</v>
      </c>
      <c r="AF1190" s="73">
        <f>T1206</f>
        <v>5.2389471712472879E-3</v>
      </c>
      <c r="AG1190" s="73">
        <f>T1210</f>
        <v>5.3549504327499164E-4</v>
      </c>
      <c r="AH1190" s="74">
        <f>T1214</f>
        <v>4.3847763326065881E-4</v>
      </c>
    </row>
    <row r="1191" spans="1:34" x14ac:dyDescent="0.2">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2">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5">
        <f>YEAR(R1192)</f>
        <v>1939</v>
      </c>
      <c r="V1192" s="75">
        <f>VLOOKUP(R1192,A:B,2,)</f>
        <v>7.0598999999999998</v>
      </c>
    </row>
    <row r="1193" spans="1:34" x14ac:dyDescent="0.2">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5">
        <f>YEAR(R1193)</f>
        <v>1946</v>
      </c>
      <c r="U1193" s="75">
        <f>T1193-T1192</f>
        <v>7</v>
      </c>
      <c r="V1193" s="75">
        <f>VLOOKUP(R1193,A:B,2,)</f>
        <v>11.398300000000001</v>
      </c>
      <c r="W1193" s="75">
        <f>(V1193-V1192)/V1192</f>
        <v>0.614512953441267</v>
      </c>
      <c r="X1193" s="75">
        <f>(1+W1193)^(1/20)</f>
        <v>1.0242408117749926</v>
      </c>
    </row>
    <row r="1194" spans="1:34" x14ac:dyDescent="0.2">
      <c r="A1194" s="31">
        <v>43070</v>
      </c>
      <c r="B1194" s="32">
        <f>VLOOKUP(Table10[[#This Row],[Month]],database!A:J,MATCH('IP from start'!$A$1,database!$A$1:$J$1,),)</f>
        <v>101.3878</v>
      </c>
      <c r="C1194" s="33">
        <f>(Table10[[#This Row],[Industrial Production ]]-B1182)/B1182</f>
        <v>2.5089402798406137E-2</v>
      </c>
      <c r="D1194" s="34">
        <f t="shared" si="18"/>
        <v>1.3636433815258276E-2</v>
      </c>
      <c r="T1194" s="61">
        <f>X1194</f>
        <v>2.4240811774992599E-2</v>
      </c>
      <c r="X1194" s="4">
        <f>X1193-1</f>
        <v>2.4240811774992599E-2</v>
      </c>
    </row>
    <row r="1195" spans="1:34" x14ac:dyDescent="0.2">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2">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5">
        <f>YEAR(R1196)</f>
        <v>1946</v>
      </c>
      <c r="V1196" s="75">
        <f>VLOOKUP(R1196,A:B,2,)</f>
        <v>11.398300000000001</v>
      </c>
    </row>
    <row r="1197" spans="1:34" x14ac:dyDescent="0.2">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5">
        <f>YEAR(R1197)</f>
        <v>1991</v>
      </c>
      <c r="U1197" s="75">
        <f>T1197-T1196</f>
        <v>45</v>
      </c>
      <c r="V1197" s="75">
        <f>VLOOKUP(R1197,A:B,2,)</f>
        <v>61.2241</v>
      </c>
      <c r="W1197" s="75">
        <f>(V1197-V1196)/V1196</f>
        <v>4.37133607643245</v>
      </c>
      <c r="X1197" s="75">
        <f>(1+W1197)^(1/20)</f>
        <v>1.0876874468737572</v>
      </c>
    </row>
    <row r="1198" spans="1:34" x14ac:dyDescent="0.2">
      <c r="A1198" s="31">
        <v>43191</v>
      </c>
      <c r="B1198" s="32">
        <f>VLOOKUP(Table10[[#This Row],[Month]],database!A:J,MATCH('IP from start'!$A$1,database!$A$1:$J$1,),)</f>
        <v>103.434</v>
      </c>
      <c r="C1198" s="33">
        <f>(Table10[[#This Row],[Industrial Production ]]-B1186)/B1186</f>
        <v>3.3776591757492098E-2</v>
      </c>
      <c r="D1198" s="34">
        <f t="shared" si="18"/>
        <v>2.2939104194271118E-2</v>
      </c>
      <c r="T1198" s="61">
        <f>X1198</f>
        <v>8.768744687375718E-2</v>
      </c>
      <c r="X1198" s="4">
        <f>X1197-1</f>
        <v>8.768744687375718E-2</v>
      </c>
    </row>
    <row r="1199" spans="1:34" x14ac:dyDescent="0.2">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2">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5">
        <f>YEAR(R1200)</f>
        <v>1991</v>
      </c>
      <c r="V1200" s="75">
        <f>VLOOKUP(R1200,A:B,2,)</f>
        <v>61.2241</v>
      </c>
    </row>
    <row r="1201" spans="1:24" x14ac:dyDescent="0.2">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5">
        <f>YEAR(R1201)</f>
        <v>2001</v>
      </c>
      <c r="U1201" s="75">
        <f>T1201-T1200</f>
        <v>10</v>
      </c>
      <c r="V1201" s="75">
        <f>VLOOKUP(R1201,A:B,2,)</f>
        <v>92.0304</v>
      </c>
      <c r="W1201" s="75">
        <f>(V1201-V1200)/V1200</f>
        <v>0.50317277019997031</v>
      </c>
      <c r="X1201" s="75">
        <f>(1+W1201)^(1/20)</f>
        <v>1.0205879703323193</v>
      </c>
    </row>
    <row r="1202" spans="1:24" x14ac:dyDescent="0.2">
      <c r="A1202" s="31">
        <v>43313</v>
      </c>
      <c r="B1202" s="32">
        <f>VLOOKUP(Table10[[#This Row],[Month]],database!A:J,MATCH('IP from start'!$A$1,database!$A$1:$J$1,),)</f>
        <v>104.1802</v>
      </c>
      <c r="C1202" s="33">
        <f>(Table10[[#This Row],[Industrial Production ]]-B1190)/B1190</f>
        <v>4.5064691968325146E-2</v>
      </c>
      <c r="D1202" s="34">
        <f t="shared" si="18"/>
        <v>2.890752676463244E-2</v>
      </c>
      <c r="T1202" s="61">
        <f>X1202</f>
        <v>2.0587970332319294E-2</v>
      </c>
      <c r="X1202" s="4">
        <f>X1201-1</f>
        <v>2.0587970332319294E-2</v>
      </c>
    </row>
    <row r="1203" spans="1:24" x14ac:dyDescent="0.2">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2">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5">
        <f>YEAR(R1204)</f>
        <v>2001</v>
      </c>
      <c r="V1204" s="75">
        <f>VLOOKUP(R1204,A:B,2,)</f>
        <v>92.0304</v>
      </c>
    </row>
    <row r="1205" spans="1:24" x14ac:dyDescent="0.2">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5">
        <f>YEAR(R1205)</f>
        <v>2008</v>
      </c>
      <c r="U1205" s="75">
        <f>T1205-T1204</f>
        <v>7</v>
      </c>
      <c r="V1205" s="75">
        <f>VLOOKUP(R1205,A:B,2,)</f>
        <v>102.1686</v>
      </c>
      <c r="W1205" s="75">
        <f>(V1205-V1204)/V1204</f>
        <v>0.11016142492046103</v>
      </c>
      <c r="X1205" s="75">
        <f>(1+W1205)^(1/20)</f>
        <v>1.0052389471712473</v>
      </c>
    </row>
    <row r="1206" spans="1:24" x14ac:dyDescent="0.2">
      <c r="A1206" s="31">
        <v>43435</v>
      </c>
      <c r="B1206" s="32">
        <f>VLOOKUP(Table10[[#This Row],[Month]],database!A:J,MATCH('IP from start'!$A$1,database!$A$1:$J$1,),)</f>
        <v>103.869</v>
      </c>
      <c r="C1206" s="33">
        <f>(Table10[[#This Row],[Industrial Production ]]-B1194)/B1194</f>
        <v>2.4472372415616093E-2</v>
      </c>
      <c r="D1206" s="34">
        <f t="shared" si="18"/>
        <v>3.1828254356204719E-2</v>
      </c>
      <c r="T1206" s="61">
        <f>X1206</f>
        <v>5.2389471712472879E-3</v>
      </c>
      <c r="X1206" s="4">
        <f>X1205-1</f>
        <v>5.2389471712472879E-3</v>
      </c>
    </row>
    <row r="1207" spans="1:24" x14ac:dyDescent="0.2">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2">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5">
        <f>YEAR(R1208)</f>
        <v>2008</v>
      </c>
      <c r="V1208" s="75">
        <f>VLOOKUP(R1208,A:B,2,)</f>
        <v>102.1686</v>
      </c>
    </row>
    <row r="1209" spans="1:24" x14ac:dyDescent="0.2">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5">
        <f>YEAR(R1209)</f>
        <v>2019</v>
      </c>
      <c r="U1209" s="75">
        <f>T1209-T1208</f>
        <v>11</v>
      </c>
      <c r="V1209" s="75">
        <f>VLOOKUP(R1209,A:B,2,)</f>
        <v>103.2684</v>
      </c>
      <c r="W1209" s="75">
        <f>(V1209-V1208)/V1208</f>
        <v>1.0764559757107389E-2</v>
      </c>
      <c r="X1209" s="75">
        <f>(1+W1209)^(1/20)</f>
        <v>1.000535495043275</v>
      </c>
    </row>
    <row r="1210" spans="1:24" x14ac:dyDescent="0.2">
      <c r="A1210" s="31">
        <v>43556</v>
      </c>
      <c r="B1210" s="32">
        <f>VLOOKUP(Table10[[#This Row],[Month]],database!A:J,MATCH('IP from start'!$A$1,database!$A$1:$J$1,),)</f>
        <v>102.3826</v>
      </c>
      <c r="C1210" s="33">
        <f>(Table10[[#This Row],[Industrial Production ]]-B1198)/B1198</f>
        <v>-1.0164936094514387E-2</v>
      </c>
      <c r="D1210" s="34">
        <f t="shared" si="18"/>
        <v>2.3478535918660764E-2</v>
      </c>
      <c r="T1210" s="61">
        <f>X1210</f>
        <v>5.3549504327499164E-4</v>
      </c>
      <c r="X1210" s="4">
        <f>X1209-1</f>
        <v>5.3549504327499164E-4</v>
      </c>
    </row>
    <row r="1211" spans="1:24" x14ac:dyDescent="0.2">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2">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5">
        <f>YEAR(R1212)</f>
        <v>2019</v>
      </c>
      <c r="V1212" s="75">
        <f>VLOOKUP(R1212,A:B,2,)</f>
        <v>103.2684</v>
      </c>
    </row>
    <row r="1213" spans="1:24" x14ac:dyDescent="0.2">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5">
        <f>YEAR(R1213)</f>
        <v>2022</v>
      </c>
      <c r="U1213" s="75">
        <f>T1213-T1212</f>
        <v>3</v>
      </c>
      <c r="V1213" s="75">
        <f>VLOOKUP(R1213,A:B,2,)</f>
        <v>104.1778</v>
      </c>
      <c r="W1213" s="75">
        <f>(V1213-V1212)/V1212</f>
        <v>8.8061788504518821E-3</v>
      </c>
      <c r="X1213" s="75">
        <f>(1+W1213)^(1/20)</f>
        <v>1.0004384776332607</v>
      </c>
    </row>
    <row r="1214" spans="1:24" x14ac:dyDescent="0.2">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1">
        <f>X1214</f>
        <v>4.3847763326065881E-4</v>
      </c>
      <c r="X1214" s="4">
        <f>X1213-1</f>
        <v>4.3847763326065881E-4</v>
      </c>
    </row>
    <row r="1215" spans="1:24" x14ac:dyDescent="0.2">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2">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2">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2">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2">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2">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2">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2">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2">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2">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2">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2">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2">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2">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AVERAGE(D20:D1251)</f>
        <v>3.5405200798416921E-2</v>
      </c>
    </row>
    <row r="1229" spans="1:18" x14ac:dyDescent="0.2">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2">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2">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2">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2">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2">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2">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2">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2">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2">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2">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2">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2">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2">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2">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2">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2">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2">
      <c r="A1246" s="31">
        <v>44652</v>
      </c>
      <c r="B1246" s="32">
        <f>VLOOKUP(Table10[[#This Row],[Month]],database!A:J,MATCH('IP from start'!$A$1,database!$A$1:$J$1,),)</f>
        <v>104.2577</v>
      </c>
      <c r="C1246" s="33">
        <f>(Table10[[#This Row],[Industrial Production ]]-B1234)/B1234</f>
        <v>5.2846464413893041E-2</v>
      </c>
      <c r="D1246" s="34">
        <f t="shared" ref="D1246:D1309" si="19">AVERAGE(C1235:C1246)</f>
        <v>6.0643714158619265E-2</v>
      </c>
    </row>
    <row r="1247" spans="1:4" x14ac:dyDescent="0.2">
      <c r="A1247" s="31">
        <v>44682</v>
      </c>
      <c r="B1247" s="32">
        <f>VLOOKUP(Table10[[#This Row],[Month]],database!A:J,MATCH('IP from start'!$A$1,database!$A$1:$J$1,),)</f>
        <v>104.18680000000001</v>
      </c>
      <c r="C1247" s="33">
        <f>(Table10[[#This Row],[Industrial Production ]]-B1235)/B1235</f>
        <v>4.418086060624294E-2</v>
      </c>
      <c r="D1247" s="34">
        <f t="shared" si="19"/>
        <v>5.1348793925890444E-2</v>
      </c>
    </row>
    <row r="1248" spans="1:4" x14ac:dyDescent="0.2">
      <c r="A1248" s="31">
        <v>44713</v>
      </c>
      <c r="B1248" s="32">
        <f>VLOOKUP(Table10[[#This Row],[Month]],database!A:J,MATCH('IP from start'!$A$1,database!$A$1:$J$1,),)</f>
        <v>104.1778</v>
      </c>
      <c r="C1248" s="33">
        <f>(Table10[[#This Row],[Industrial Production ]]-B1236)/B1236</f>
        <v>3.9778505933090687E-2</v>
      </c>
      <c r="D1248" s="34">
        <f t="shared" si="19"/>
        <v>4.699810318019499E-2</v>
      </c>
    </row>
    <row r="1249" spans="1:4" x14ac:dyDescent="0.2">
      <c r="A1249" s="31">
        <v>44743</v>
      </c>
      <c r="B1249" s="32">
        <f>VLOOKUP(Table10[[#This Row],[Month]],database!A:J,MATCH('IP from start'!$A$1,database!$A$1:$J$1,),)</f>
        <v>104.7189</v>
      </c>
      <c r="C1249" s="33">
        <f>(Table10[[#This Row],[Industrial Production ]]-B1237)/B1237</f>
        <v>3.813233352235107E-2</v>
      </c>
      <c r="D1249" s="34">
        <f t="shared" si="19"/>
        <v>4.5251160297036984E-2</v>
      </c>
    </row>
    <row r="1250" spans="1:4" x14ac:dyDescent="0.2">
      <c r="A1250" s="31">
        <v>44774</v>
      </c>
      <c r="B1250" s="32">
        <f>VLOOKUP(Table10[[#This Row],[Month]],database!A:J,MATCH('IP from start'!$A$1,database!$A$1:$J$1,),)</f>
        <v>104.54640000000001</v>
      </c>
      <c r="C1250" s="33">
        <f>(Table10[[#This Row],[Industrial Production ]]-B1238)/B1238</f>
        <v>3.6786100340152943E-2</v>
      </c>
      <c r="D1250" s="34">
        <f t="shared" si="19"/>
        <v>4.4224706719155744E-2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4"/>
  <sheetViews>
    <sheetView zoomScale="150" zoomScaleNormal="150" workbookViewId="0">
      <pane ySplit="6" topLeftCell="A585" activePane="bottomLeft" state="frozen"/>
      <selection pane="bottomLeft" activeCell="Y578" sqref="Y578"/>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8" x14ac:dyDescent="0.2">
      <c r="A1" s="15" t="s">
        <v>16</v>
      </c>
      <c r="B1" s="75"/>
      <c r="C1" s="75"/>
      <c r="V1" s="55" t="s">
        <v>54</v>
      </c>
      <c r="X1" s="75" t="str">
        <f>V1&amp;V2</f>
        <v xml:space="preserve">Industrial Production Index  since 2000 - </v>
      </c>
      <c r="AB1" s="61" t="str">
        <f>X2&amp; V2</f>
        <v xml:space="preserve">Industrial Production Index yoy since 2000 - </v>
      </c>
    </row>
    <row r="2" spans="1:28" x14ac:dyDescent="0.2">
      <c r="A2" s="16"/>
      <c r="B2" s="75"/>
      <c r="C2" s="63"/>
      <c r="K2" s="77" t="s">
        <v>55</v>
      </c>
      <c r="V2" s="63" t="s">
        <v>56</v>
      </c>
      <c r="X2" s="75" t="str">
        <f>V1&amp;Table1[[#Headers],[yoy]]</f>
        <v>Industrial Production Index yoy</v>
      </c>
    </row>
    <row r="3" spans="1:28" x14ac:dyDescent="0.2">
      <c r="A3" s="16"/>
      <c r="B3" s="56"/>
      <c r="C3" s="63"/>
      <c r="K3" s="77"/>
    </row>
    <row r="4" spans="1:28" x14ac:dyDescent="0.2">
      <c r="A4" s="16"/>
      <c r="B4" s="56"/>
      <c r="C4" s="63"/>
      <c r="K4" s="77"/>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40.168799999999997</v>
      </c>
      <c r="C7" s="66"/>
      <c r="D7" s="66"/>
    </row>
    <row r="8" spans="1:28" x14ac:dyDescent="0.2">
      <c r="A8" s="17">
        <v>26330</v>
      </c>
      <c r="B8" s="59">
        <f>VLOOKUP(Table1[[#This Row],[Date]],database!A:B,2,)</f>
        <v>40.5837</v>
      </c>
      <c r="C8" s="67">
        <f t="shared" ref="C8:C71" si="0">B8/B7-1</f>
        <v>1.0328911991396295E-2</v>
      </c>
      <c r="D8" s="67"/>
    </row>
    <row r="9" spans="1:28" x14ac:dyDescent="0.2">
      <c r="A9" s="17">
        <v>26359</v>
      </c>
      <c r="B9" s="59">
        <f>VLOOKUP(Table1[[#This Row],[Date]],database!A:B,2,)</f>
        <v>40.865499999999997</v>
      </c>
      <c r="C9" s="67">
        <f t="shared" si="0"/>
        <v>6.9436744308675191E-3</v>
      </c>
      <c r="D9" s="67"/>
    </row>
    <row r="10" spans="1:28" x14ac:dyDescent="0.2">
      <c r="A10" s="17">
        <v>26390</v>
      </c>
      <c r="B10" s="59">
        <f>VLOOKUP(Table1[[#This Row],[Date]],database!A:B,2,)</f>
        <v>41.265599999999999</v>
      </c>
      <c r="C10" s="67">
        <f t="shared" si="0"/>
        <v>9.7906547087396323E-3</v>
      </c>
      <c r="D10" s="67"/>
    </row>
    <row r="11" spans="1:28" x14ac:dyDescent="0.2">
      <c r="A11" s="17">
        <v>26420</v>
      </c>
      <c r="B11" s="59">
        <f>VLOOKUP(Table1[[#This Row],[Date]],database!A:B,2,)</f>
        <v>41.270600000000002</v>
      </c>
      <c r="C11" s="67">
        <f t="shared" si="0"/>
        <v>1.2116629832115144E-4</v>
      </c>
      <c r="D11" s="67"/>
    </row>
    <row r="12" spans="1:28" x14ac:dyDescent="0.2">
      <c r="A12" s="17">
        <v>26451</v>
      </c>
      <c r="B12" s="59">
        <f>VLOOKUP(Table1[[#This Row],[Date]],database!A:B,2,)</f>
        <v>41.378599999999999</v>
      </c>
      <c r="C12" s="67">
        <f t="shared" si="0"/>
        <v>2.6168749666832802E-3</v>
      </c>
      <c r="D12" s="67"/>
    </row>
    <row r="13" spans="1:28" x14ac:dyDescent="0.2">
      <c r="A13" s="17">
        <v>26481</v>
      </c>
      <c r="B13" s="59">
        <f>VLOOKUP(Table1[[#This Row],[Date]],database!A:B,2,)</f>
        <v>41.334699999999998</v>
      </c>
      <c r="C13" s="67">
        <f t="shared" si="0"/>
        <v>-1.0609348793820805E-3</v>
      </c>
      <c r="D13" s="67"/>
    </row>
    <row r="14" spans="1:28" x14ac:dyDescent="0.2">
      <c r="A14" s="17">
        <v>26512</v>
      </c>
      <c r="B14" s="59">
        <f>VLOOKUP(Table1[[#This Row],[Date]],database!A:B,2,)</f>
        <v>41.904600000000002</v>
      </c>
      <c r="C14" s="67">
        <f t="shared" si="0"/>
        <v>1.3787447350531279E-2</v>
      </c>
      <c r="D14" s="67"/>
    </row>
    <row r="15" spans="1:28" x14ac:dyDescent="0.2">
      <c r="A15" s="17">
        <v>26543</v>
      </c>
      <c r="B15" s="59">
        <f>VLOOKUP(Table1[[#This Row],[Date]],database!A:B,2,)</f>
        <v>42.228400000000001</v>
      </c>
      <c r="C15" s="67">
        <f t="shared" si="0"/>
        <v>7.7270753091545075E-3</v>
      </c>
      <c r="D15" s="67"/>
    </row>
    <row r="16" spans="1:28" x14ac:dyDescent="0.2">
      <c r="A16" s="17">
        <v>26573</v>
      </c>
      <c r="B16" s="59">
        <f>VLOOKUP(Table1[[#This Row],[Date]],database!A:B,2,)</f>
        <v>42.774500000000003</v>
      </c>
      <c r="C16" s="67">
        <f t="shared" si="0"/>
        <v>1.2932055204554427E-2</v>
      </c>
      <c r="D16" s="67"/>
    </row>
    <row r="17" spans="1:4" x14ac:dyDescent="0.2">
      <c r="A17" s="17">
        <v>26604</v>
      </c>
      <c r="B17" s="59">
        <f>VLOOKUP(Table1[[#This Row],[Date]],database!A:B,2,)</f>
        <v>43.279499999999999</v>
      </c>
      <c r="C17" s="67">
        <f t="shared" si="0"/>
        <v>1.1806099428397721E-2</v>
      </c>
      <c r="D17" s="67"/>
    </row>
    <row r="18" spans="1:4" x14ac:dyDescent="0.2">
      <c r="A18" s="17">
        <v>26634</v>
      </c>
      <c r="B18" s="59">
        <f>VLOOKUP(Table1[[#This Row],[Date]],database!A:B,2,)</f>
        <v>43.769500000000001</v>
      </c>
      <c r="C18" s="67">
        <f t="shared" si="0"/>
        <v>1.1321757414018307E-2</v>
      </c>
      <c r="D18" s="67"/>
    </row>
    <row r="19" spans="1:4" x14ac:dyDescent="0.2">
      <c r="A19" s="17">
        <v>26665</v>
      </c>
      <c r="B19" s="59">
        <f>VLOOKUP(Table1[[#This Row],[Date]],database!A:B,2,)</f>
        <v>44.084699999999998</v>
      </c>
      <c r="C19" s="67">
        <f t="shared" si="0"/>
        <v>7.2013616787944823E-3</v>
      </c>
      <c r="D19" s="67"/>
    </row>
    <row r="20" spans="1:4" x14ac:dyDescent="0.2">
      <c r="A20" s="17">
        <v>26696</v>
      </c>
      <c r="B20" s="59">
        <f>VLOOKUP(Table1[[#This Row],[Date]],database!A:B,2,)</f>
        <v>44.724200000000003</v>
      </c>
      <c r="C20" s="67">
        <f t="shared" si="0"/>
        <v>1.450616653850445E-2</v>
      </c>
      <c r="D20" s="67">
        <f>(Table1[[#This Row],[Index]]-B8)/B8</f>
        <v>0.1020237188822114</v>
      </c>
    </row>
    <row r="21" spans="1:4" x14ac:dyDescent="0.2">
      <c r="A21" s="17">
        <v>26724</v>
      </c>
      <c r="B21" s="59">
        <f>VLOOKUP(Table1[[#This Row],[Date]],database!A:B,2,)</f>
        <v>44.743499999999997</v>
      </c>
      <c r="C21" s="67">
        <f t="shared" si="0"/>
        <v>4.3153371105564275E-4</v>
      </c>
      <c r="D21" s="67">
        <f>(Table1[[#This Row],[Index]]-B9)/B9</f>
        <v>9.489667323292264E-2</v>
      </c>
    </row>
    <row r="22" spans="1:4" x14ac:dyDescent="0.2">
      <c r="A22" s="17">
        <v>26755</v>
      </c>
      <c r="B22" s="59">
        <f>VLOOKUP(Table1[[#This Row],[Date]],database!A:B,2,)</f>
        <v>44.678199999999997</v>
      </c>
      <c r="C22" s="67">
        <f t="shared" si="0"/>
        <v>-1.459429861320638E-3</v>
      </c>
      <c r="D22" s="67">
        <f>(Table1[[#This Row],[Index]]-B10)/B10</f>
        <v>8.2698421930130606E-2</v>
      </c>
    </row>
    <row r="23" spans="1:4" x14ac:dyDescent="0.2">
      <c r="A23" s="17">
        <v>26785</v>
      </c>
      <c r="B23" s="59">
        <f>VLOOKUP(Table1[[#This Row],[Date]],database!A:B,2,)</f>
        <v>44.9741</v>
      </c>
      <c r="C23" s="67">
        <f t="shared" si="0"/>
        <v>6.6229167692521962E-3</v>
      </c>
      <c r="D23" s="67">
        <f>(Table1[[#This Row],[Index]]-B11)/B11</f>
        <v>8.973700406584828E-2</v>
      </c>
    </row>
    <row r="24" spans="1:4" x14ac:dyDescent="0.2">
      <c r="A24" s="17">
        <v>26816</v>
      </c>
      <c r="B24" s="59">
        <f>VLOOKUP(Table1[[#This Row],[Date]],database!A:B,2,)</f>
        <v>45.025700000000001</v>
      </c>
      <c r="C24" s="67">
        <f t="shared" si="0"/>
        <v>1.147327017105404E-3</v>
      </c>
      <c r="D24" s="67">
        <f>(Table1[[#This Row],[Index]]-B12)/B12</f>
        <v>8.8139763065932672E-2</v>
      </c>
    </row>
    <row r="25" spans="1:4" x14ac:dyDescent="0.2">
      <c r="A25" s="17">
        <v>26846</v>
      </c>
      <c r="B25" s="59">
        <f>VLOOKUP(Table1[[#This Row],[Date]],database!A:B,2,)</f>
        <v>45.1952</v>
      </c>
      <c r="C25" s="67">
        <f t="shared" si="0"/>
        <v>3.7645167093460774E-3</v>
      </c>
      <c r="D25" s="67">
        <f>(Table1[[#This Row],[Index]]-B13)/B13</f>
        <v>9.339610545135206E-2</v>
      </c>
    </row>
    <row r="26" spans="1:4" x14ac:dyDescent="0.2">
      <c r="A26" s="17">
        <v>26877</v>
      </c>
      <c r="B26" s="59">
        <f>VLOOKUP(Table1[[#This Row],[Date]],database!A:B,2,)</f>
        <v>45.130800000000001</v>
      </c>
      <c r="C26" s="67">
        <f t="shared" si="0"/>
        <v>-1.4249300810705856E-3</v>
      </c>
      <c r="D26" s="67">
        <f>(Table1[[#This Row],[Index]]-B14)/B14</f>
        <v>7.6989161094486017E-2</v>
      </c>
    </row>
    <row r="27" spans="1:4" x14ac:dyDescent="0.2">
      <c r="A27" s="17">
        <v>26908</v>
      </c>
      <c r="B27" s="59">
        <f>VLOOKUP(Table1[[#This Row],[Date]],database!A:B,2,)</f>
        <v>45.486199999999997</v>
      </c>
      <c r="C27" s="67">
        <f t="shared" si="0"/>
        <v>7.8748881030248352E-3</v>
      </c>
      <c r="D27" s="67">
        <f>(Table1[[#This Row],[Index]]-B15)/B15</f>
        <v>7.7147133208930393E-2</v>
      </c>
    </row>
    <row r="28" spans="1:4" x14ac:dyDescent="0.2">
      <c r="A28" s="17">
        <v>26938</v>
      </c>
      <c r="B28" s="59">
        <f>VLOOKUP(Table1[[#This Row],[Date]],database!A:B,2,)</f>
        <v>45.853099999999998</v>
      </c>
      <c r="C28" s="67">
        <f t="shared" si="0"/>
        <v>8.0661827103605255E-3</v>
      </c>
      <c r="D28" s="67">
        <f>(Table1[[#This Row],[Index]]-B16)/B16</f>
        <v>7.1972787525277776E-2</v>
      </c>
    </row>
    <row r="29" spans="1:4" x14ac:dyDescent="0.2">
      <c r="A29" s="17">
        <v>26969</v>
      </c>
      <c r="B29" s="59">
        <f>VLOOKUP(Table1[[#This Row],[Date]],database!A:B,2,)</f>
        <v>46.065399999999997</v>
      </c>
      <c r="C29" s="67">
        <f t="shared" si="0"/>
        <v>4.6300032058901319E-3</v>
      </c>
      <c r="D29" s="67">
        <f>(Table1[[#This Row],[Index]]-B17)/B17</f>
        <v>6.4369967305537221E-2</v>
      </c>
    </row>
    <row r="30" spans="1:4" x14ac:dyDescent="0.2">
      <c r="A30" s="17">
        <v>26999</v>
      </c>
      <c r="B30" s="59">
        <f>VLOOKUP(Table1[[#This Row],[Date]],database!A:B,2,)</f>
        <v>45.934399999999997</v>
      </c>
      <c r="C30" s="67">
        <f t="shared" si="0"/>
        <v>-2.8437829694304417E-3</v>
      </c>
      <c r="D30" s="67">
        <f>(Table1[[#This Row],[Index]]-B18)/B18</f>
        <v>4.9461382926466964E-2</v>
      </c>
    </row>
    <row r="31" spans="1:4" x14ac:dyDescent="0.2">
      <c r="A31" s="17">
        <v>27030</v>
      </c>
      <c r="B31" s="59">
        <f>VLOOKUP(Table1[[#This Row],[Date]],database!A:B,2,)</f>
        <v>45.629800000000003</v>
      </c>
      <c r="C31" s="67">
        <f t="shared" si="0"/>
        <v>-6.631195792260125E-3</v>
      </c>
      <c r="D31" s="67">
        <f>(Table1[[#This Row],[Index]]-B19)/B19</f>
        <v>3.5048440842287802E-2</v>
      </c>
    </row>
    <row r="32" spans="1:4" x14ac:dyDescent="0.2">
      <c r="A32" s="17">
        <v>27061</v>
      </c>
      <c r="B32" s="59">
        <f>VLOOKUP(Table1[[#This Row],[Date]],database!A:B,2,)</f>
        <v>45.495100000000001</v>
      </c>
      <c r="C32" s="67">
        <f t="shared" si="0"/>
        <v>-2.9520181986334437E-3</v>
      </c>
      <c r="D32" s="67">
        <f>(Table1[[#This Row],[Index]]-B20)/B20</f>
        <v>1.723675325662611E-2</v>
      </c>
    </row>
    <row r="33" spans="1:4" x14ac:dyDescent="0.2">
      <c r="A33" s="17">
        <v>27089</v>
      </c>
      <c r="B33" s="59">
        <f>VLOOKUP(Table1[[#This Row],[Date]],database!A:B,2,)</f>
        <v>45.495199999999997</v>
      </c>
      <c r="C33" s="67">
        <f t="shared" si="0"/>
        <v>2.1980389095510589E-6</v>
      </c>
      <c r="D33" s="67">
        <f>(Table1[[#This Row],[Index]]-B21)/B21</f>
        <v>1.6800205616458248E-2</v>
      </c>
    </row>
    <row r="34" spans="1:4" x14ac:dyDescent="0.2">
      <c r="A34" s="17">
        <v>27120</v>
      </c>
      <c r="B34" s="59">
        <f>VLOOKUP(Table1[[#This Row],[Date]],database!A:B,2,)</f>
        <v>45.362499999999997</v>
      </c>
      <c r="C34" s="67">
        <f t="shared" si="0"/>
        <v>-2.9167912219311143E-3</v>
      </c>
      <c r="D34" s="67">
        <f>(Table1[[#This Row],[Index]]-B22)/B22</f>
        <v>1.5316194475157916E-2</v>
      </c>
    </row>
    <row r="35" spans="1:4" x14ac:dyDescent="0.2">
      <c r="A35" s="17">
        <v>27150</v>
      </c>
      <c r="B35" s="59">
        <f>VLOOKUP(Table1[[#This Row],[Date]],database!A:B,2,)</f>
        <v>45.7241</v>
      </c>
      <c r="C35" s="67">
        <f t="shared" si="0"/>
        <v>7.97134196748428E-3</v>
      </c>
      <c r="D35" s="67">
        <f>(Table1[[#This Row],[Index]]-B23)/B23</f>
        <v>1.667626478350873E-2</v>
      </c>
    </row>
    <row r="36" spans="1:4" x14ac:dyDescent="0.2">
      <c r="A36" s="17">
        <v>27181</v>
      </c>
      <c r="B36" s="59">
        <f>VLOOKUP(Table1[[#This Row],[Date]],database!A:B,2,)</f>
        <v>45.639000000000003</v>
      </c>
      <c r="C36" s="67">
        <f t="shared" si="0"/>
        <v>-1.8611629315831157E-3</v>
      </c>
      <c r="D36" s="67">
        <f>(Table1[[#This Row],[Index]]-B24)/B24</f>
        <v>1.3621109721781169E-2</v>
      </c>
    </row>
    <row r="37" spans="1:4" x14ac:dyDescent="0.2">
      <c r="A37" s="17">
        <v>27211</v>
      </c>
      <c r="B37" s="59">
        <f>VLOOKUP(Table1[[#This Row],[Date]],database!A:B,2,)</f>
        <v>45.719299999999997</v>
      </c>
      <c r="C37" s="67">
        <f t="shared" si="0"/>
        <v>1.7594601108699148E-3</v>
      </c>
      <c r="D37" s="67">
        <f>(Table1[[#This Row],[Index]]-B25)/B25</f>
        <v>1.1596364215668857E-2</v>
      </c>
    </row>
    <row r="38" spans="1:4" x14ac:dyDescent="0.2">
      <c r="A38" s="17">
        <v>27242</v>
      </c>
      <c r="B38" s="59">
        <f>VLOOKUP(Table1[[#This Row],[Date]],database!A:B,2,)</f>
        <v>45.235700000000001</v>
      </c>
      <c r="C38" s="67">
        <f t="shared" si="0"/>
        <v>-1.0577589770621953E-2</v>
      </c>
      <c r="D38" s="67">
        <f>(Table1[[#This Row],[Index]]-B26)/B26</f>
        <v>2.3243549859519588E-3</v>
      </c>
    </row>
    <row r="39" spans="1:4" x14ac:dyDescent="0.2">
      <c r="A39" s="17">
        <v>27273</v>
      </c>
      <c r="B39" s="59">
        <f>VLOOKUP(Table1[[#This Row],[Date]],database!A:B,2,)</f>
        <v>45.242100000000001</v>
      </c>
      <c r="C39" s="67">
        <f t="shared" si="0"/>
        <v>1.4148117526646686E-4</v>
      </c>
      <c r="D39" s="67">
        <f>(Table1[[#This Row],[Index]]-B27)/B27</f>
        <v>-5.3664627953092583E-3</v>
      </c>
    </row>
    <row r="40" spans="1:4" x14ac:dyDescent="0.2">
      <c r="A40" s="17">
        <v>27303</v>
      </c>
      <c r="B40" s="59">
        <f>VLOOKUP(Table1[[#This Row],[Date]],database!A:B,2,)</f>
        <v>45.101100000000002</v>
      </c>
      <c r="C40" s="67">
        <f t="shared" si="0"/>
        <v>-3.1165662071388489E-3</v>
      </c>
      <c r="D40" s="67">
        <f>(Table1[[#This Row],[Index]]-B28)/B28</f>
        <v>-1.6400199768390696E-2</v>
      </c>
    </row>
    <row r="41" spans="1:4" x14ac:dyDescent="0.2">
      <c r="A41" s="17">
        <v>27334</v>
      </c>
      <c r="B41" s="59">
        <f>VLOOKUP(Table1[[#This Row],[Date]],database!A:B,2,)</f>
        <v>43.6158</v>
      </c>
      <c r="C41" s="67">
        <f t="shared" si="0"/>
        <v>-3.2932677916946651E-2</v>
      </c>
      <c r="D41" s="67">
        <f>(Table1[[#This Row],[Index]]-B29)/B29</f>
        <v>-5.3176570701654532E-2</v>
      </c>
    </row>
    <row r="42" spans="1:4" x14ac:dyDescent="0.2">
      <c r="A42" s="17">
        <v>27364</v>
      </c>
      <c r="B42" s="59">
        <f>VLOOKUP(Table1[[#This Row],[Date]],database!A:B,2,)</f>
        <v>42.055300000000003</v>
      </c>
      <c r="C42" s="67">
        <f t="shared" si="0"/>
        <v>-3.5778318866098946E-2</v>
      </c>
      <c r="D42" s="67">
        <f>(Table1[[#This Row],[Index]]-B30)/B30</f>
        <v>-8.4448692047789764E-2</v>
      </c>
    </row>
    <row r="43" spans="1:4" x14ac:dyDescent="0.2">
      <c r="A43" s="17">
        <v>27395</v>
      </c>
      <c r="B43" s="59">
        <f>VLOOKUP(Table1[[#This Row],[Date]],database!A:B,2,)</f>
        <v>41.475000000000001</v>
      </c>
      <c r="C43" s="67">
        <f t="shared" si="0"/>
        <v>-1.3798498643452839E-2</v>
      </c>
      <c r="D43" s="67">
        <f>(Table1[[#This Row],[Index]]-B31)/B31</f>
        <v>-9.1054530153540036E-2</v>
      </c>
    </row>
    <row r="44" spans="1:4" x14ac:dyDescent="0.2">
      <c r="A44" s="17">
        <v>27426</v>
      </c>
      <c r="B44" s="59">
        <f>VLOOKUP(Table1[[#This Row],[Date]],database!A:B,2,)</f>
        <v>40.529000000000003</v>
      </c>
      <c r="C44" s="67">
        <f t="shared" si="0"/>
        <v>-2.2808921036769125E-2</v>
      </c>
      <c r="D44" s="67">
        <f>(Table1[[#This Row],[Index]]-B32)/B32</f>
        <v>-0.10915681029385577</v>
      </c>
    </row>
    <row r="45" spans="1:4" x14ac:dyDescent="0.2">
      <c r="A45" s="17">
        <v>27454</v>
      </c>
      <c r="B45" s="59">
        <f>VLOOKUP(Table1[[#This Row],[Date]],database!A:B,2,)</f>
        <v>40.079599999999999</v>
      </c>
      <c r="C45" s="67">
        <f t="shared" si="0"/>
        <v>-1.1088356485479678E-2</v>
      </c>
      <c r="D45" s="67">
        <f>(Table1[[#This Row],[Index]]-B33)/B33</f>
        <v>-0.11903673354551685</v>
      </c>
    </row>
    <row r="46" spans="1:4" x14ac:dyDescent="0.2">
      <c r="A46" s="17">
        <v>27485</v>
      </c>
      <c r="B46" s="59">
        <f>VLOOKUP(Table1[[#This Row],[Date]],database!A:B,2,)</f>
        <v>40.152700000000003</v>
      </c>
      <c r="C46" s="67">
        <f t="shared" si="0"/>
        <v>1.823870497709601E-3</v>
      </c>
      <c r="D46" s="67">
        <f>(Table1[[#This Row],[Index]]-B34)/B34</f>
        <v>-0.1148481675392669</v>
      </c>
    </row>
    <row r="47" spans="1:4" x14ac:dyDescent="0.2">
      <c r="A47" s="17">
        <v>27515</v>
      </c>
      <c r="B47" s="59">
        <f>VLOOKUP(Table1[[#This Row],[Date]],database!A:B,2,)</f>
        <v>40.039900000000003</v>
      </c>
      <c r="C47" s="67">
        <f t="shared" si="0"/>
        <v>-2.8092755904335354E-3</v>
      </c>
      <c r="D47" s="67">
        <f>(Table1[[#This Row],[Index]]-B35)/B35</f>
        <v>-0.12431518608348764</v>
      </c>
    </row>
    <row r="48" spans="1:4" x14ac:dyDescent="0.2">
      <c r="A48" s="17">
        <v>27546</v>
      </c>
      <c r="B48" s="59">
        <f>VLOOKUP(Table1[[#This Row],[Date]],database!A:B,2,)</f>
        <v>40.298699999999997</v>
      </c>
      <c r="C48" s="67">
        <f t="shared" si="0"/>
        <v>6.4635526062750692E-3</v>
      </c>
      <c r="D48" s="67">
        <f>(Table1[[#This Row],[Index]]-B36)/B36</f>
        <v>-0.11701176625254729</v>
      </c>
    </row>
    <row r="49" spans="1:4" x14ac:dyDescent="0.2">
      <c r="A49" s="17">
        <v>27576</v>
      </c>
      <c r="B49" s="59">
        <f>VLOOKUP(Table1[[#This Row],[Date]],database!A:B,2,)</f>
        <v>40.709400000000002</v>
      </c>
      <c r="C49" s="67">
        <f t="shared" si="0"/>
        <v>1.0191395752220389E-2</v>
      </c>
      <c r="D49" s="67">
        <f>(Table1[[#This Row],[Index]]-B37)/B37</f>
        <v>-0.10957954299387775</v>
      </c>
    </row>
    <row r="50" spans="1:4" x14ac:dyDescent="0.2">
      <c r="A50" s="17">
        <v>27607</v>
      </c>
      <c r="B50" s="59">
        <f>VLOOKUP(Table1[[#This Row],[Date]],database!A:B,2,)</f>
        <v>41.1098</v>
      </c>
      <c r="C50" s="67">
        <f t="shared" si="0"/>
        <v>9.8355662328601934E-3</v>
      </c>
      <c r="D50" s="67">
        <f>(Table1[[#This Row],[Index]]-B38)/B38</f>
        <v>-9.1208934536218103E-2</v>
      </c>
    </row>
    <row r="51" spans="1:4" x14ac:dyDescent="0.2">
      <c r="A51" s="17">
        <v>27638</v>
      </c>
      <c r="B51" s="59">
        <f>VLOOKUP(Table1[[#This Row],[Date]],database!A:B,2,)</f>
        <v>41.637999999999998</v>
      </c>
      <c r="C51" s="67">
        <f t="shared" si="0"/>
        <v>1.2848517871651088E-2</v>
      </c>
      <c r="D51" s="67">
        <f>(Table1[[#This Row],[Index]]-B39)/B39</f>
        <v>-7.9662526717371701E-2</v>
      </c>
    </row>
    <row r="52" spans="1:4" x14ac:dyDescent="0.2">
      <c r="A52" s="17">
        <v>27668</v>
      </c>
      <c r="B52" s="59">
        <f>VLOOKUP(Table1[[#This Row],[Date]],database!A:B,2,)</f>
        <v>41.817100000000003</v>
      </c>
      <c r="C52" s="67">
        <f t="shared" si="0"/>
        <v>4.3013593352227986E-3</v>
      </c>
      <c r="D52" s="67">
        <f>(Table1[[#This Row],[Index]]-B40)/B40</f>
        <v>-7.2814188567462856E-2</v>
      </c>
    </row>
    <row r="53" spans="1:4" x14ac:dyDescent="0.2">
      <c r="A53" s="17">
        <v>27699</v>
      </c>
      <c r="B53" s="59">
        <f>VLOOKUP(Table1[[#This Row],[Date]],database!A:B,2,)</f>
        <v>41.876399999999997</v>
      </c>
      <c r="C53" s="67">
        <f t="shared" si="0"/>
        <v>1.4180801633780771E-3</v>
      </c>
      <c r="D53" s="67">
        <f>(Table1[[#This Row],[Index]]-B41)/B41</f>
        <v>-3.9880043470485543E-2</v>
      </c>
    </row>
    <row r="54" spans="1:4" x14ac:dyDescent="0.2">
      <c r="A54" s="17">
        <v>27729</v>
      </c>
      <c r="B54" s="59">
        <f>VLOOKUP(Table1[[#This Row],[Date]],database!A:B,2,)</f>
        <v>42.448399999999999</v>
      </c>
      <c r="C54" s="67">
        <f t="shared" si="0"/>
        <v>1.3659244825247718E-2</v>
      </c>
      <c r="D54" s="67">
        <f>(Table1[[#This Row],[Index]]-B42)/B42</f>
        <v>9.3472166409464888E-3</v>
      </c>
    </row>
    <row r="55" spans="1:4" x14ac:dyDescent="0.2">
      <c r="A55" s="17">
        <v>27760</v>
      </c>
      <c r="B55" s="59">
        <f>VLOOKUP(Table1[[#This Row],[Date]],database!A:B,2,)</f>
        <v>43.014899999999997</v>
      </c>
      <c r="C55" s="67">
        <f t="shared" si="0"/>
        <v>1.3345614911280501E-2</v>
      </c>
      <c r="D55" s="67">
        <f>(Table1[[#This Row],[Index]]-B43)/B43</f>
        <v>3.7128390596744928E-2</v>
      </c>
    </row>
    <row r="56" spans="1:4" x14ac:dyDescent="0.2">
      <c r="A56" s="17">
        <v>27791</v>
      </c>
      <c r="B56" s="59">
        <f>VLOOKUP(Table1[[#This Row],[Date]],database!A:B,2,)</f>
        <v>43.451500000000003</v>
      </c>
      <c r="C56" s="67">
        <f t="shared" si="0"/>
        <v>1.0149971289018511E-2</v>
      </c>
      <c r="D56" s="67">
        <f>(Table1[[#This Row],[Index]]-B44)/B44</f>
        <v>7.2108860322238372E-2</v>
      </c>
    </row>
    <row r="57" spans="1:4" x14ac:dyDescent="0.2">
      <c r="A57" s="17">
        <v>27820</v>
      </c>
      <c r="B57" s="59">
        <f>VLOOKUP(Table1[[#This Row],[Date]],database!A:B,2,)</f>
        <v>43.535899999999998</v>
      </c>
      <c r="C57" s="67">
        <f t="shared" si="0"/>
        <v>1.9423955444575203E-3</v>
      </c>
      <c r="D57" s="67">
        <f>(Table1[[#This Row],[Index]]-B45)/B45</f>
        <v>8.6235890577750246E-2</v>
      </c>
    </row>
    <row r="58" spans="1:4" x14ac:dyDescent="0.2">
      <c r="A58" s="17">
        <v>27851</v>
      </c>
      <c r="B58" s="59">
        <f>VLOOKUP(Table1[[#This Row],[Date]],database!A:B,2,)</f>
        <v>43.759300000000003</v>
      </c>
      <c r="C58" s="67">
        <f t="shared" si="0"/>
        <v>5.1313973065907348E-3</v>
      </c>
      <c r="D58" s="67">
        <f>(Table1[[#This Row],[Index]]-B46)/B46</f>
        <v>8.9822104117531318E-2</v>
      </c>
    </row>
    <row r="59" spans="1:4" x14ac:dyDescent="0.2">
      <c r="A59" s="17">
        <v>27881</v>
      </c>
      <c r="B59" s="59">
        <f>VLOOKUP(Table1[[#This Row],[Date]],database!A:B,2,)</f>
        <v>43.935899999999997</v>
      </c>
      <c r="C59" s="67">
        <f t="shared" si="0"/>
        <v>4.0357135511763786E-3</v>
      </c>
      <c r="D59" s="67">
        <f>(Table1[[#This Row],[Index]]-B47)/B47</f>
        <v>9.7302940317033598E-2</v>
      </c>
    </row>
    <row r="60" spans="1:4" x14ac:dyDescent="0.2">
      <c r="A60" s="17">
        <v>27912</v>
      </c>
      <c r="B60" s="59">
        <f>VLOOKUP(Table1[[#This Row],[Date]],database!A:B,2,)</f>
        <v>43.991799999999998</v>
      </c>
      <c r="C60" s="67">
        <f t="shared" si="0"/>
        <v>1.2723080669794218E-3</v>
      </c>
      <c r="D60" s="67">
        <f>(Table1[[#This Row],[Index]]-B48)/B48</f>
        <v>9.1643154741964411E-2</v>
      </c>
    </row>
    <row r="61" spans="1:4" x14ac:dyDescent="0.2">
      <c r="A61" s="17">
        <v>27942</v>
      </c>
      <c r="B61" s="59">
        <f>VLOOKUP(Table1[[#This Row],[Date]],database!A:B,2,)</f>
        <v>44.2254</v>
      </c>
      <c r="C61" s="67">
        <f t="shared" si="0"/>
        <v>5.3100805150050334E-3</v>
      </c>
      <c r="D61" s="67">
        <f>(Table1[[#This Row],[Index]]-B49)/B49</f>
        <v>8.6368258927913402E-2</v>
      </c>
    </row>
    <row r="62" spans="1:4" x14ac:dyDescent="0.2">
      <c r="A62" s="17">
        <v>27973</v>
      </c>
      <c r="B62" s="59">
        <f>VLOOKUP(Table1[[#This Row],[Date]],database!A:B,2,)</f>
        <v>44.536499999999997</v>
      </c>
      <c r="C62" s="67">
        <f t="shared" si="0"/>
        <v>7.0344191347053719E-3</v>
      </c>
      <c r="D62" s="67">
        <f>(Table1[[#This Row],[Index]]-B50)/B50</f>
        <v>8.3354820505086302E-2</v>
      </c>
    </row>
    <row r="63" spans="1:4" x14ac:dyDescent="0.2">
      <c r="A63" s="17">
        <v>28004</v>
      </c>
      <c r="B63" s="59">
        <f>VLOOKUP(Table1[[#This Row],[Date]],database!A:B,2,)</f>
        <v>44.677500000000002</v>
      </c>
      <c r="C63" s="67">
        <f t="shared" si="0"/>
        <v>3.1659425415109244E-3</v>
      </c>
      <c r="D63" s="67">
        <f>(Table1[[#This Row],[Index]]-B51)/B51</f>
        <v>7.299822277727086E-2</v>
      </c>
    </row>
    <row r="64" spans="1:4" x14ac:dyDescent="0.2">
      <c r="A64" s="17">
        <v>28034</v>
      </c>
      <c r="B64" s="59">
        <f>VLOOKUP(Table1[[#This Row],[Date]],database!A:B,2,)</f>
        <v>44.669499999999999</v>
      </c>
      <c r="C64" s="67">
        <f t="shared" si="0"/>
        <v>-1.7906104862630556E-4</v>
      </c>
      <c r="D64" s="67">
        <f>(Table1[[#This Row],[Index]]-B52)/B52</f>
        <v>6.8211329814836408E-2</v>
      </c>
    </row>
    <row r="65" spans="1:4" x14ac:dyDescent="0.2">
      <c r="A65" s="17">
        <v>28065</v>
      </c>
      <c r="B65" s="59">
        <f>VLOOKUP(Table1[[#This Row],[Date]],database!A:B,2,)</f>
        <v>45.353999999999999</v>
      </c>
      <c r="C65" s="67">
        <f t="shared" si="0"/>
        <v>1.5323654842789747E-2</v>
      </c>
      <c r="D65" s="67">
        <f>(Table1[[#This Row],[Index]]-B53)/B53</f>
        <v>8.3044387769722394E-2</v>
      </c>
    </row>
    <row r="66" spans="1:4" x14ac:dyDescent="0.2">
      <c r="A66" s="17">
        <v>28095</v>
      </c>
      <c r="B66" s="59">
        <f>VLOOKUP(Table1[[#This Row],[Date]],database!A:B,2,)</f>
        <v>45.835700000000003</v>
      </c>
      <c r="C66" s="67">
        <f t="shared" si="0"/>
        <v>1.0620893416236843E-2</v>
      </c>
      <c r="D66" s="67">
        <f>(Table1[[#This Row],[Index]]-B54)/B54</f>
        <v>7.9798060704290463E-2</v>
      </c>
    </row>
    <row r="67" spans="1:4" x14ac:dyDescent="0.2">
      <c r="A67" s="17">
        <v>28126</v>
      </c>
      <c r="B67" s="59">
        <f>VLOOKUP(Table1[[#This Row],[Date]],database!A:B,2,)</f>
        <v>45.5276</v>
      </c>
      <c r="C67" s="67">
        <f t="shared" si="0"/>
        <v>-6.7218347270796563E-3</v>
      </c>
      <c r="D67" s="67">
        <f>(Table1[[#This Row],[Index]]-B55)/B55</f>
        <v>5.8414642368109712E-2</v>
      </c>
    </row>
    <row r="68" spans="1:4" x14ac:dyDescent="0.2">
      <c r="A68" s="17">
        <v>28157</v>
      </c>
      <c r="B68" s="59">
        <f>VLOOKUP(Table1[[#This Row],[Date]],database!A:B,2,)</f>
        <v>46.256700000000002</v>
      </c>
      <c r="C68" s="67">
        <f t="shared" si="0"/>
        <v>1.6014461557384951E-2</v>
      </c>
      <c r="D68" s="67">
        <f>(Table1[[#This Row],[Index]]-B56)/B56</f>
        <v>6.4559336271475073E-2</v>
      </c>
    </row>
    <row r="69" spans="1:4" x14ac:dyDescent="0.2">
      <c r="A69" s="17">
        <v>28185</v>
      </c>
      <c r="B69" s="59">
        <f>VLOOKUP(Table1[[#This Row],[Date]],database!A:B,2,)</f>
        <v>46.835599999999999</v>
      </c>
      <c r="C69" s="67">
        <f t="shared" si="0"/>
        <v>1.2514943781116949E-2</v>
      </c>
      <c r="D69" s="67">
        <f>(Table1[[#This Row],[Index]]-B57)/B57</f>
        <v>7.5792621721383999E-2</v>
      </c>
    </row>
    <row r="70" spans="1:4" x14ac:dyDescent="0.2">
      <c r="A70" s="17">
        <v>28216</v>
      </c>
      <c r="B70" s="59">
        <f>VLOOKUP(Table1[[#This Row],[Date]],database!A:B,2,)</f>
        <v>47.2898</v>
      </c>
      <c r="C70" s="67">
        <f t="shared" si="0"/>
        <v>9.6977512832119306E-3</v>
      </c>
      <c r="D70" s="67">
        <f>(Table1[[#This Row],[Index]]-B58)/B58</f>
        <v>8.0679992595859534E-2</v>
      </c>
    </row>
    <row r="71" spans="1:4" x14ac:dyDescent="0.2">
      <c r="A71" s="17">
        <v>28246</v>
      </c>
      <c r="B71" s="59">
        <f>VLOOKUP(Table1[[#This Row],[Date]],database!A:B,2,)</f>
        <v>47.660699999999999</v>
      </c>
      <c r="C71" s="67">
        <f t="shared" si="0"/>
        <v>7.8431289622709066E-3</v>
      </c>
      <c r="D71" s="67">
        <f>(Table1[[#This Row],[Index]]-B59)/B59</f>
        <v>8.4778051661625276E-2</v>
      </c>
    </row>
    <row r="72" spans="1:4" x14ac:dyDescent="0.2">
      <c r="A72" s="17">
        <v>28277</v>
      </c>
      <c r="B72" s="59">
        <f>VLOOKUP(Table1[[#This Row],[Date]],database!A:B,2,)</f>
        <v>48.019599999999997</v>
      </c>
      <c r="C72" s="67">
        <f t="shared" ref="C72:C135" si="1">B72/B71-1</f>
        <v>7.5303132350132973E-3</v>
      </c>
      <c r="D72" s="67">
        <f>(Table1[[#This Row],[Index]]-B60)/B60</f>
        <v>9.1557972167540302E-2</v>
      </c>
    </row>
    <row r="73" spans="1:4" x14ac:dyDescent="0.2">
      <c r="A73" s="17">
        <v>28307</v>
      </c>
      <c r="B73" s="59">
        <f>VLOOKUP(Table1[[#This Row],[Date]],database!A:B,2,)</f>
        <v>48.081899999999997</v>
      </c>
      <c r="C73" s="67">
        <f t="shared" si="1"/>
        <v>1.2973869003489735E-3</v>
      </c>
      <c r="D73" s="67">
        <f>(Table1[[#This Row],[Index]]-B61)/B61</f>
        <v>8.7201020228194592E-2</v>
      </c>
    </row>
    <row r="74" spans="1:4" x14ac:dyDescent="0.2">
      <c r="A74" s="17">
        <v>28338</v>
      </c>
      <c r="B74" s="59">
        <f>VLOOKUP(Table1[[#This Row],[Date]],database!A:B,2,)</f>
        <v>48.131500000000003</v>
      </c>
      <c r="C74" s="67">
        <f t="shared" si="1"/>
        <v>1.0315732115413478E-3</v>
      </c>
      <c r="D74" s="67">
        <f>(Table1[[#This Row],[Index]]-B62)/B62</f>
        <v>8.0720308061926871E-2</v>
      </c>
    </row>
    <row r="75" spans="1:4" x14ac:dyDescent="0.2">
      <c r="A75" s="17">
        <v>28369</v>
      </c>
      <c r="B75" s="59">
        <f>VLOOKUP(Table1[[#This Row],[Date]],database!A:B,2,)</f>
        <v>48.330800000000004</v>
      </c>
      <c r="C75" s="67">
        <f t="shared" si="1"/>
        <v>4.1407394325960745E-3</v>
      </c>
      <c r="D75" s="67">
        <f>(Table1[[#This Row],[Index]]-B63)/B63</f>
        <v>8.1770466118292237E-2</v>
      </c>
    </row>
    <row r="76" spans="1:4" x14ac:dyDescent="0.2">
      <c r="A76" s="17">
        <v>28399</v>
      </c>
      <c r="B76" s="59">
        <f>VLOOKUP(Table1[[#This Row],[Date]],database!A:B,2,)</f>
        <v>48.401400000000002</v>
      </c>
      <c r="C76" s="67">
        <f t="shared" si="1"/>
        <v>1.4607662194707771E-3</v>
      </c>
      <c r="D76" s="67">
        <f>(Table1[[#This Row],[Index]]-B64)/B64</f>
        <v>8.354470052272811E-2</v>
      </c>
    </row>
    <row r="77" spans="1:4" x14ac:dyDescent="0.2">
      <c r="A77" s="17">
        <v>28430</v>
      </c>
      <c r="B77" s="59">
        <f>VLOOKUP(Table1[[#This Row],[Date]],database!A:B,2,)</f>
        <v>48.492400000000004</v>
      </c>
      <c r="C77" s="67">
        <f t="shared" si="1"/>
        <v>1.8801109058828036E-3</v>
      </c>
      <c r="D77" s="67">
        <f>(Table1[[#This Row],[Index]]-B65)/B65</f>
        <v>6.9197865678881781E-2</v>
      </c>
    </row>
    <row r="78" spans="1:4" x14ac:dyDescent="0.2">
      <c r="A78" s="17">
        <v>28460</v>
      </c>
      <c r="B78" s="59">
        <f>VLOOKUP(Table1[[#This Row],[Date]],database!A:B,2,)</f>
        <v>48.564</v>
      </c>
      <c r="C78" s="67">
        <f t="shared" si="1"/>
        <v>1.4765200320050464E-3</v>
      </c>
      <c r="D78" s="67">
        <f>(Table1[[#This Row],[Index]]-B66)/B66</f>
        <v>5.9523471878906553E-2</v>
      </c>
    </row>
    <row r="79" spans="1:4" x14ac:dyDescent="0.2">
      <c r="A79" s="17">
        <v>28491</v>
      </c>
      <c r="B79" s="59">
        <f>VLOOKUP(Table1[[#This Row],[Date]],database!A:B,2,)</f>
        <v>47.869300000000003</v>
      </c>
      <c r="C79" s="67">
        <f t="shared" si="1"/>
        <v>-1.4304834857095772E-2</v>
      </c>
      <c r="D79" s="67">
        <f>(Table1[[#This Row],[Index]]-B67)/B67</f>
        <v>5.1434734095361999E-2</v>
      </c>
    </row>
    <row r="80" spans="1:4" x14ac:dyDescent="0.2">
      <c r="A80" s="17">
        <v>28522</v>
      </c>
      <c r="B80" s="59">
        <f>VLOOKUP(Table1[[#This Row],[Date]],database!A:B,2,)</f>
        <v>48.128300000000003</v>
      </c>
      <c r="C80" s="67">
        <f t="shared" si="1"/>
        <v>5.4105658532712653E-3</v>
      </c>
      <c r="D80" s="67">
        <f>(Table1[[#This Row],[Index]]-B68)/B68</f>
        <v>4.0461165625736394E-2</v>
      </c>
    </row>
    <row r="81" spans="1:4" x14ac:dyDescent="0.2">
      <c r="A81" s="17">
        <v>28550</v>
      </c>
      <c r="B81" s="59">
        <f>VLOOKUP(Table1[[#This Row],[Date]],database!A:B,2,)</f>
        <v>49.055300000000003</v>
      </c>
      <c r="C81" s="67">
        <f t="shared" si="1"/>
        <v>1.9261016906892525E-2</v>
      </c>
      <c r="D81" s="67">
        <f>(Table1[[#This Row],[Index]]-B69)/B69</f>
        <v>4.7393435762539675E-2</v>
      </c>
    </row>
    <row r="82" spans="1:4" x14ac:dyDescent="0.2">
      <c r="A82" s="17">
        <v>28581</v>
      </c>
      <c r="B82" s="59">
        <f>VLOOKUP(Table1[[#This Row],[Date]],database!A:B,2,)</f>
        <v>50.026000000000003</v>
      </c>
      <c r="C82" s="67">
        <f t="shared" si="1"/>
        <v>1.9787872054599642E-2</v>
      </c>
      <c r="D82" s="67">
        <f>(Table1[[#This Row],[Index]]-B70)/B70</f>
        <v>5.7860257391657476E-2</v>
      </c>
    </row>
    <row r="83" spans="1:4" x14ac:dyDescent="0.2">
      <c r="A83" s="17">
        <v>28611</v>
      </c>
      <c r="B83" s="59">
        <f>VLOOKUP(Table1[[#This Row],[Date]],database!A:B,2,)</f>
        <v>50.271700000000003</v>
      </c>
      <c r="C83" s="67">
        <f t="shared" si="1"/>
        <v>4.9114460480550459E-3</v>
      </c>
      <c r="D83" s="67">
        <f>(Table1[[#This Row],[Index]]-B71)/B71</f>
        <v>5.4783081238840479E-2</v>
      </c>
    </row>
    <row r="84" spans="1:4" x14ac:dyDescent="0.2">
      <c r="A84" s="17">
        <v>28642</v>
      </c>
      <c r="B84" s="59">
        <f>VLOOKUP(Table1[[#This Row],[Date]],database!A:B,2,)</f>
        <v>50.593899999999998</v>
      </c>
      <c r="C84" s="67">
        <f t="shared" si="1"/>
        <v>6.4091725563288904E-3</v>
      </c>
      <c r="D84" s="67">
        <f>(Table1[[#This Row],[Index]]-B72)/B72</f>
        <v>5.3609359511532811E-2</v>
      </c>
    </row>
    <row r="85" spans="1:4" x14ac:dyDescent="0.2">
      <c r="A85" s="17">
        <v>28672</v>
      </c>
      <c r="B85" s="59">
        <f>VLOOKUP(Table1[[#This Row],[Date]],database!A:B,2,)</f>
        <v>50.549900000000001</v>
      </c>
      <c r="C85" s="67">
        <f t="shared" si="1"/>
        <v>-8.6967005903870742E-4</v>
      </c>
      <c r="D85" s="67">
        <f>(Table1[[#This Row],[Index]]-B73)/B73</f>
        <v>5.1329086412974602E-2</v>
      </c>
    </row>
    <row r="86" spans="1:4" x14ac:dyDescent="0.2">
      <c r="A86" s="17">
        <v>28703</v>
      </c>
      <c r="B86" s="59">
        <f>VLOOKUP(Table1[[#This Row],[Date]],database!A:B,2,)</f>
        <v>50.7622</v>
      </c>
      <c r="C86" s="67">
        <f t="shared" si="1"/>
        <v>4.1998104842937423E-3</v>
      </c>
      <c r="D86" s="67">
        <f>(Table1[[#This Row],[Index]]-B74)/B74</f>
        <v>5.4656513925391836E-2</v>
      </c>
    </row>
    <row r="87" spans="1:4" x14ac:dyDescent="0.2">
      <c r="A87" s="17">
        <v>28734</v>
      </c>
      <c r="B87" s="59">
        <f>VLOOKUP(Table1[[#This Row],[Date]],database!A:B,2,)</f>
        <v>50.885599999999997</v>
      </c>
      <c r="C87" s="67">
        <f t="shared" si="1"/>
        <v>2.4309427093387459E-3</v>
      </c>
      <c r="D87" s="67">
        <f>(Table1[[#This Row],[Index]]-B75)/B75</f>
        <v>5.286070166436295E-2</v>
      </c>
    </row>
    <row r="88" spans="1:4" x14ac:dyDescent="0.2">
      <c r="A88" s="17">
        <v>28764</v>
      </c>
      <c r="B88" s="59">
        <f>VLOOKUP(Table1[[#This Row],[Date]],database!A:B,2,)</f>
        <v>51.2821</v>
      </c>
      <c r="C88" s="67">
        <f t="shared" si="1"/>
        <v>7.7919883031742909E-3</v>
      </c>
      <c r="D88" s="67">
        <f>(Table1[[#This Row],[Index]]-B76)/B76</f>
        <v>5.9516873478866257E-2</v>
      </c>
    </row>
    <row r="89" spans="1:4" x14ac:dyDescent="0.2">
      <c r="A89" s="17">
        <v>28795</v>
      </c>
      <c r="B89" s="59">
        <f>VLOOKUP(Table1[[#This Row],[Date]],database!A:B,2,)</f>
        <v>51.673699999999997</v>
      </c>
      <c r="C89" s="67">
        <f t="shared" si="1"/>
        <v>7.6361927456167766E-3</v>
      </c>
      <c r="D89" s="67">
        <f>(Table1[[#This Row],[Index]]-B77)/B77</f>
        <v>6.560409466225621E-2</v>
      </c>
    </row>
    <row r="90" spans="1:4" x14ac:dyDescent="0.2">
      <c r="A90" s="17">
        <v>28825</v>
      </c>
      <c r="B90" s="59">
        <f>VLOOKUP(Table1[[#This Row],[Date]],database!A:B,2,)</f>
        <v>51.940399999999997</v>
      </c>
      <c r="C90" s="67">
        <f t="shared" si="1"/>
        <v>5.1612328902324034E-3</v>
      </c>
      <c r="D90" s="67">
        <f>(Table1[[#This Row],[Index]]-B78)/B78</f>
        <v>6.9524750844246697E-2</v>
      </c>
    </row>
    <row r="91" spans="1:4" x14ac:dyDescent="0.2">
      <c r="A91" s="17">
        <v>28856</v>
      </c>
      <c r="B91" s="59">
        <f>VLOOKUP(Table1[[#This Row],[Date]],database!A:B,2,)</f>
        <v>51.650700000000001</v>
      </c>
      <c r="C91" s="67">
        <f t="shared" si="1"/>
        <v>-5.5775465726101148E-3</v>
      </c>
      <c r="D91" s="67">
        <f>(Table1[[#This Row],[Index]]-B79)/B79</f>
        <v>7.8994261457760978E-2</v>
      </c>
    </row>
    <row r="92" spans="1:4" x14ac:dyDescent="0.2">
      <c r="A92" s="17">
        <v>28887</v>
      </c>
      <c r="B92" s="59">
        <f>VLOOKUP(Table1[[#This Row],[Date]],database!A:B,2,)</f>
        <v>51.909700000000001</v>
      </c>
      <c r="C92" s="67">
        <f t="shared" si="1"/>
        <v>5.0144528534947774E-3</v>
      </c>
      <c r="D92" s="67">
        <f>(Table1[[#This Row],[Index]]-B80)/B80</f>
        <v>7.8569157855149618E-2</v>
      </c>
    </row>
    <row r="93" spans="1:4" x14ac:dyDescent="0.2">
      <c r="A93" s="17">
        <v>28915</v>
      </c>
      <c r="B93" s="59">
        <f>VLOOKUP(Table1[[#This Row],[Date]],database!A:B,2,)</f>
        <v>52.066699999999997</v>
      </c>
      <c r="C93" s="67">
        <f t="shared" si="1"/>
        <v>3.0244829001129236E-3</v>
      </c>
      <c r="D93" s="67">
        <f>(Table1[[#This Row],[Index]]-B81)/B81</f>
        <v>6.1387862269724057E-2</v>
      </c>
    </row>
    <row r="94" spans="1:4" x14ac:dyDescent="0.2">
      <c r="A94" s="17">
        <v>28946</v>
      </c>
      <c r="B94" s="59">
        <f>VLOOKUP(Table1[[#This Row],[Date]],database!A:B,2,)</f>
        <v>51.454799999999999</v>
      </c>
      <c r="C94" s="67">
        <f t="shared" si="1"/>
        <v>-1.1752233193192518E-2</v>
      </c>
      <c r="D94" s="67">
        <f>(Table1[[#This Row],[Index]]-B82)/B82</f>
        <v>2.8561148202934379E-2</v>
      </c>
    </row>
    <row r="95" spans="1:4" x14ac:dyDescent="0.2">
      <c r="A95" s="17">
        <v>28976</v>
      </c>
      <c r="B95" s="59">
        <f>VLOOKUP(Table1[[#This Row],[Date]],database!A:B,2,)</f>
        <v>51.906100000000002</v>
      </c>
      <c r="C95" s="67">
        <f t="shared" si="1"/>
        <v>8.770804667397547E-3</v>
      </c>
      <c r="D95" s="67">
        <f>(Table1[[#This Row],[Index]]-B83)/B83</f>
        <v>3.251133341422708E-2</v>
      </c>
    </row>
    <row r="96" spans="1:4" x14ac:dyDescent="0.2">
      <c r="A96" s="17">
        <v>29007</v>
      </c>
      <c r="B96" s="59">
        <f>VLOOKUP(Table1[[#This Row],[Date]],database!A:B,2,)</f>
        <v>51.906700000000001</v>
      </c>
      <c r="C96" s="67">
        <f t="shared" si="1"/>
        <v>1.1559335030053575E-5</v>
      </c>
      <c r="D96" s="67">
        <f>(Table1[[#This Row],[Index]]-B84)/B84</f>
        <v>2.5947792125137672E-2</v>
      </c>
    </row>
    <row r="97" spans="1:4" x14ac:dyDescent="0.2">
      <c r="A97" s="17">
        <v>29037</v>
      </c>
      <c r="B97" s="59">
        <f>VLOOKUP(Table1[[#This Row],[Date]],database!A:B,2,)</f>
        <v>51.825800000000001</v>
      </c>
      <c r="C97" s="67">
        <f t="shared" si="1"/>
        <v>-1.5585656572273399E-3</v>
      </c>
      <c r="D97" s="67">
        <f>(Table1[[#This Row],[Index]]-B85)/B85</f>
        <v>2.5240406014650871E-2</v>
      </c>
    </row>
    <row r="98" spans="1:4" x14ac:dyDescent="0.2">
      <c r="A98" s="17">
        <v>29068</v>
      </c>
      <c r="B98" s="59">
        <f>VLOOKUP(Table1[[#This Row],[Date]],database!A:B,2,)</f>
        <v>51.49</v>
      </c>
      <c r="C98" s="67">
        <f t="shared" si="1"/>
        <v>-6.4793982919704174E-3</v>
      </c>
      <c r="D98" s="67">
        <f>(Table1[[#This Row],[Index]]-B86)/B86</f>
        <v>1.4337440063669462E-2</v>
      </c>
    </row>
    <row r="99" spans="1:4" x14ac:dyDescent="0.2">
      <c r="A99" s="17">
        <v>29099</v>
      </c>
      <c r="B99" s="59">
        <f>VLOOKUP(Table1[[#This Row],[Date]],database!A:B,2,)</f>
        <v>51.484699999999997</v>
      </c>
      <c r="C99" s="67">
        <f t="shared" si="1"/>
        <v>-1.0293260827354267E-4</v>
      </c>
      <c r="D99" s="67">
        <f>(Table1[[#This Row],[Index]]-B87)/B87</f>
        <v>1.1773468328957504E-2</v>
      </c>
    </row>
    <row r="100" spans="1:4" x14ac:dyDescent="0.2">
      <c r="A100" s="17">
        <v>29129</v>
      </c>
      <c r="B100" s="59">
        <f>VLOOKUP(Table1[[#This Row],[Date]],database!A:B,2,)</f>
        <v>51.842100000000002</v>
      </c>
      <c r="C100" s="67">
        <f t="shared" si="1"/>
        <v>6.9418681666593152E-3</v>
      </c>
      <c r="D100" s="67">
        <f>(Table1[[#This Row],[Index]]-B88)/B88</f>
        <v>1.09199896260099E-2</v>
      </c>
    </row>
    <row r="101" spans="1:4" x14ac:dyDescent="0.2">
      <c r="A101" s="17">
        <v>29160</v>
      </c>
      <c r="B101" s="59">
        <f>VLOOKUP(Table1[[#This Row],[Date]],database!A:B,2,)</f>
        <v>51.759099999999997</v>
      </c>
      <c r="C101" s="67">
        <f t="shared" si="1"/>
        <v>-1.6010153909661318E-3</v>
      </c>
      <c r="D101" s="67">
        <f>(Table1[[#This Row],[Index]]-B89)/B89</f>
        <v>1.6526782483158729E-3</v>
      </c>
    </row>
    <row r="102" spans="1:4" x14ac:dyDescent="0.2">
      <c r="A102" s="17">
        <v>29190</v>
      </c>
      <c r="B102" s="59">
        <f>VLOOKUP(Table1[[#This Row],[Date]],database!A:B,2,)</f>
        <v>51.797400000000003</v>
      </c>
      <c r="C102" s="67">
        <f t="shared" si="1"/>
        <v>7.3996649864471742E-4</v>
      </c>
      <c r="D102" s="67">
        <f>(Table1[[#This Row],[Index]]-B90)/B90</f>
        <v>-2.7531555398108906E-3</v>
      </c>
    </row>
    <row r="103" spans="1:4" x14ac:dyDescent="0.2">
      <c r="A103" s="17">
        <v>29221</v>
      </c>
      <c r="B103" s="59">
        <f>VLOOKUP(Table1[[#This Row],[Date]],database!A:B,2,)</f>
        <v>52.067700000000002</v>
      </c>
      <c r="C103" s="67">
        <f t="shared" si="1"/>
        <v>5.2184086459938772E-3</v>
      </c>
      <c r="D103" s="67">
        <f>(Table1[[#This Row],[Index]]-B91)/B91</f>
        <v>8.0734627023448195E-3</v>
      </c>
    </row>
    <row r="104" spans="1:4" x14ac:dyDescent="0.2">
      <c r="A104" s="17">
        <v>29252</v>
      </c>
      <c r="B104" s="59">
        <f>VLOOKUP(Table1[[#This Row],[Date]],database!A:B,2,)</f>
        <v>52.0899</v>
      </c>
      <c r="C104" s="67">
        <f t="shared" si="1"/>
        <v>4.2636797861250741E-4</v>
      </c>
      <c r="D104" s="67">
        <f>(Table1[[#This Row],[Index]]-B92)/B92</f>
        <v>3.4714128573272288E-3</v>
      </c>
    </row>
    <row r="105" spans="1:4" x14ac:dyDescent="0.2">
      <c r="A105" s="17">
        <v>29281</v>
      </c>
      <c r="B105" s="59">
        <f>VLOOKUP(Table1[[#This Row],[Date]],database!A:B,2,)</f>
        <v>51.868699999999997</v>
      </c>
      <c r="C105" s="67">
        <f t="shared" si="1"/>
        <v>-4.246504600699974E-3</v>
      </c>
      <c r="D105" s="67">
        <f>(Table1[[#This Row],[Index]]-B93)/B93</f>
        <v>-3.8028144668281342E-3</v>
      </c>
    </row>
    <row r="106" spans="1:4" x14ac:dyDescent="0.2">
      <c r="A106" s="17">
        <v>29312</v>
      </c>
      <c r="B106" s="59">
        <f>VLOOKUP(Table1[[#This Row],[Date]],database!A:B,2,)</f>
        <v>50.845399999999998</v>
      </c>
      <c r="C106" s="67">
        <f t="shared" si="1"/>
        <v>-1.9728661022929028E-2</v>
      </c>
      <c r="D106" s="67">
        <f>(Table1[[#This Row],[Index]]-B94)/B94</f>
        <v>-1.1843404308247254E-2</v>
      </c>
    </row>
    <row r="107" spans="1:4" x14ac:dyDescent="0.2">
      <c r="A107" s="17">
        <v>29342</v>
      </c>
      <c r="B107" s="59">
        <f>VLOOKUP(Table1[[#This Row],[Date]],database!A:B,2,)</f>
        <v>49.594700000000003</v>
      </c>
      <c r="C107" s="67">
        <f t="shared" si="1"/>
        <v>-2.4598095402927234E-2</v>
      </c>
      <c r="D107" s="67">
        <f>(Table1[[#This Row],[Index]]-B95)/B95</f>
        <v>-4.4530411647185957E-2</v>
      </c>
    </row>
    <row r="108" spans="1:4" x14ac:dyDescent="0.2">
      <c r="A108" s="17">
        <v>29373</v>
      </c>
      <c r="B108" s="59">
        <f>VLOOKUP(Table1[[#This Row],[Date]],database!A:B,2,)</f>
        <v>48.9621</v>
      </c>
      <c r="C108" s="67">
        <f t="shared" si="1"/>
        <v>-1.275539523376501E-2</v>
      </c>
      <c r="D108" s="67">
        <f>(Table1[[#This Row],[Index]]-B96)/B96</f>
        <v>-5.6728707469363322E-2</v>
      </c>
    </row>
    <row r="109" spans="1:4" x14ac:dyDescent="0.2">
      <c r="A109" s="17">
        <v>29403</v>
      </c>
      <c r="B109" s="59">
        <f>VLOOKUP(Table1[[#This Row],[Date]],database!A:B,2,)</f>
        <v>48.609000000000002</v>
      </c>
      <c r="C109" s="67">
        <f t="shared" si="1"/>
        <v>-7.2117004785333672E-3</v>
      </c>
      <c r="D109" s="67">
        <f>(Table1[[#This Row],[Index]]-B97)/B97</f>
        <v>-6.2069471190025031E-2</v>
      </c>
    </row>
    <row r="110" spans="1:4" x14ac:dyDescent="0.2">
      <c r="A110" s="17">
        <v>29434</v>
      </c>
      <c r="B110" s="59">
        <f>VLOOKUP(Table1[[#This Row],[Date]],database!A:B,2,)</f>
        <v>48.764600000000002</v>
      </c>
      <c r="C110" s="67">
        <f t="shared" si="1"/>
        <v>3.2010533028863364E-3</v>
      </c>
      <c r="D110" s="67">
        <f>(Table1[[#This Row],[Index]]-B98)/B98</f>
        <v>-5.2930666148766757E-2</v>
      </c>
    </row>
    <row r="111" spans="1:4" x14ac:dyDescent="0.2">
      <c r="A111" s="17">
        <v>29465</v>
      </c>
      <c r="B111" s="59">
        <f>VLOOKUP(Table1[[#This Row],[Date]],database!A:B,2,)</f>
        <v>49.5764</v>
      </c>
      <c r="C111" s="67">
        <f t="shared" si="1"/>
        <v>1.6647322032786072E-2</v>
      </c>
      <c r="D111" s="67">
        <f>(Table1[[#This Row],[Index]]-B99)/B99</f>
        <v>-3.7065380588796229E-2</v>
      </c>
    </row>
    <row r="112" spans="1:4" x14ac:dyDescent="0.2">
      <c r="A112" s="17">
        <v>29495</v>
      </c>
      <c r="B112" s="59">
        <f>VLOOKUP(Table1[[#This Row],[Date]],database!A:B,2,)</f>
        <v>50.205800000000004</v>
      </c>
      <c r="C112" s="67">
        <f t="shared" si="1"/>
        <v>1.2695556756844084E-2</v>
      </c>
      <c r="D112" s="67">
        <f>(Table1[[#This Row],[Index]]-B100)/B100</f>
        <v>-3.1563150412502551E-2</v>
      </c>
    </row>
    <row r="113" spans="1:4" x14ac:dyDescent="0.2">
      <c r="A113" s="17">
        <v>29526</v>
      </c>
      <c r="B113" s="59">
        <f>VLOOKUP(Table1[[#This Row],[Date]],database!A:B,2,)</f>
        <v>51.041800000000002</v>
      </c>
      <c r="C113" s="67">
        <f t="shared" si="1"/>
        <v>1.6651462580020704E-2</v>
      </c>
      <c r="D113" s="67">
        <f>(Table1[[#This Row],[Index]]-B101)/B101</f>
        <v>-1.3858432623441956E-2</v>
      </c>
    </row>
    <row r="114" spans="1:4" x14ac:dyDescent="0.2">
      <c r="A114" s="17">
        <v>29556</v>
      </c>
      <c r="B114" s="59">
        <f>VLOOKUP(Table1[[#This Row],[Date]],database!A:B,2,)</f>
        <v>51.390599999999999</v>
      </c>
      <c r="C114" s="67">
        <f t="shared" si="1"/>
        <v>6.8336148019858545E-3</v>
      </c>
      <c r="D114" s="67">
        <f>(Table1[[#This Row],[Index]]-B102)/B102</f>
        <v>-7.8536760532382718E-3</v>
      </c>
    </row>
    <row r="115" spans="1:4" x14ac:dyDescent="0.2">
      <c r="A115" s="17">
        <v>29587</v>
      </c>
      <c r="B115" s="59">
        <f>VLOOKUP(Table1[[#This Row],[Date]],database!A:B,2,)</f>
        <v>51.065600000000003</v>
      </c>
      <c r="C115" s="67">
        <f t="shared" si="1"/>
        <v>-6.3241137484286725E-3</v>
      </c>
      <c r="D115" s="67">
        <f>(Table1[[#This Row],[Index]]-B103)/B103</f>
        <v>-1.9246096908448012E-2</v>
      </c>
    </row>
    <row r="116" spans="1:4" x14ac:dyDescent="0.2">
      <c r="A116" s="17">
        <v>29618</v>
      </c>
      <c r="B116" s="59">
        <f>VLOOKUP(Table1[[#This Row],[Date]],database!A:B,2,)</f>
        <v>50.855400000000003</v>
      </c>
      <c r="C116" s="67">
        <f t="shared" si="1"/>
        <v>-4.1162739691690264E-3</v>
      </c>
      <c r="D116" s="67">
        <f>(Table1[[#This Row],[Index]]-B104)/B104</f>
        <v>-2.3699411978137741E-2</v>
      </c>
    </row>
    <row r="117" spans="1:4" x14ac:dyDescent="0.2">
      <c r="A117" s="17">
        <v>29646</v>
      </c>
      <c r="B117" s="59">
        <f>VLOOKUP(Table1[[#This Row],[Date]],database!A:B,2,)</f>
        <v>51.110700000000001</v>
      </c>
      <c r="C117" s="67">
        <f t="shared" si="1"/>
        <v>5.0201158579028515E-3</v>
      </c>
      <c r="D117" s="67">
        <f>(Table1[[#This Row],[Index]]-B105)/B105</f>
        <v>-1.461382297994736E-2</v>
      </c>
    </row>
    <row r="118" spans="1:4" x14ac:dyDescent="0.2">
      <c r="A118" s="17">
        <v>29677</v>
      </c>
      <c r="B118" s="59">
        <f>VLOOKUP(Table1[[#This Row],[Date]],database!A:B,2,)</f>
        <v>50.886400000000002</v>
      </c>
      <c r="C118" s="67">
        <f t="shared" si="1"/>
        <v>-4.3885135597829805E-3</v>
      </c>
      <c r="D118" s="67">
        <f>(Table1[[#This Row],[Index]]-B106)/B106</f>
        <v>8.0636596427609817E-4</v>
      </c>
    </row>
    <row r="119" spans="1:4" x14ac:dyDescent="0.2">
      <c r="A119" s="17">
        <v>29707</v>
      </c>
      <c r="B119" s="59">
        <f>VLOOKUP(Table1[[#This Row],[Date]],database!A:B,2,)</f>
        <v>51.178800000000003</v>
      </c>
      <c r="C119" s="67">
        <f t="shared" si="1"/>
        <v>5.7461325619418968E-3</v>
      </c>
      <c r="D119" s="67">
        <f>(Table1[[#This Row],[Index]]-B107)/B107</f>
        <v>3.1940913041111234E-2</v>
      </c>
    </row>
    <row r="120" spans="1:4" x14ac:dyDescent="0.2">
      <c r="A120" s="17">
        <v>29738</v>
      </c>
      <c r="B120" s="59">
        <f>VLOOKUP(Table1[[#This Row],[Date]],database!A:B,2,)</f>
        <v>51.449599999999997</v>
      </c>
      <c r="C120" s="67">
        <f t="shared" si="1"/>
        <v>5.2912534096147823E-3</v>
      </c>
      <c r="D120" s="67">
        <f>(Table1[[#This Row],[Index]]-B108)/B108</f>
        <v>5.0804601926796381E-2</v>
      </c>
    </row>
    <row r="121" spans="1:4" x14ac:dyDescent="0.2">
      <c r="A121" s="17">
        <v>29768</v>
      </c>
      <c r="B121" s="59">
        <f>VLOOKUP(Table1[[#This Row],[Date]],database!A:B,2,)</f>
        <v>51.776400000000002</v>
      </c>
      <c r="C121" s="67">
        <f t="shared" si="1"/>
        <v>6.351847244682185E-3</v>
      </c>
      <c r="D121" s="67">
        <f>(Table1[[#This Row],[Index]]-B109)/B109</f>
        <v>6.5160772696414251E-2</v>
      </c>
    </row>
    <row r="122" spans="1:4" x14ac:dyDescent="0.2">
      <c r="A122" s="17">
        <v>29799</v>
      </c>
      <c r="B122" s="59">
        <f>VLOOKUP(Table1[[#This Row],[Date]],database!A:B,2,)</f>
        <v>51.712899999999998</v>
      </c>
      <c r="C122" s="67">
        <f t="shared" si="1"/>
        <v>-1.2264274843365452E-3</v>
      </c>
      <c r="D122" s="67">
        <f>(Table1[[#This Row],[Index]]-B110)/B110</f>
        <v>6.045984177046456E-2</v>
      </c>
    </row>
    <row r="123" spans="1:4" x14ac:dyDescent="0.2">
      <c r="A123" s="17">
        <v>29830</v>
      </c>
      <c r="B123" s="59">
        <f>VLOOKUP(Table1[[#This Row],[Date]],database!A:B,2,)</f>
        <v>51.460500000000003</v>
      </c>
      <c r="C123" s="67">
        <f t="shared" si="1"/>
        <v>-4.8807937671256907E-3</v>
      </c>
      <c r="D123" s="67">
        <f>(Table1[[#This Row],[Index]]-B111)/B111</f>
        <v>3.8003969630711461E-2</v>
      </c>
    </row>
    <row r="124" spans="1:4" x14ac:dyDescent="0.2">
      <c r="A124" s="17">
        <v>29860</v>
      </c>
      <c r="B124" s="59">
        <f>VLOOKUP(Table1[[#This Row],[Date]],database!A:B,2,)</f>
        <v>51.0625</v>
      </c>
      <c r="C124" s="67">
        <f t="shared" si="1"/>
        <v>-7.7340873096841678E-3</v>
      </c>
      <c r="D124" s="67">
        <f>(Table1[[#This Row],[Index]]-B112)/B112</f>
        <v>1.7063765541033036E-2</v>
      </c>
    </row>
    <row r="125" spans="1:4" x14ac:dyDescent="0.2">
      <c r="A125" s="17">
        <v>29891</v>
      </c>
      <c r="B125" s="59">
        <f>VLOOKUP(Table1[[#This Row],[Date]],database!A:B,2,)</f>
        <v>50.472999999999999</v>
      </c>
      <c r="C125" s="67">
        <f t="shared" si="1"/>
        <v>-1.154467564259487E-2</v>
      </c>
      <c r="D125" s="67">
        <f>(Table1[[#This Row],[Index]]-B113)/B113</f>
        <v>-1.1143807624339327E-2</v>
      </c>
    </row>
    <row r="126" spans="1:4" x14ac:dyDescent="0.2">
      <c r="A126" s="17">
        <v>29921</v>
      </c>
      <c r="B126" s="59">
        <f>VLOOKUP(Table1[[#This Row],[Date]],database!A:B,2,)</f>
        <v>49.936399999999999</v>
      </c>
      <c r="C126" s="67">
        <f t="shared" si="1"/>
        <v>-1.0631426703386015E-2</v>
      </c>
      <c r="D126" s="67">
        <f>(Table1[[#This Row],[Index]]-B114)/B114</f>
        <v>-2.8297003732200055E-2</v>
      </c>
    </row>
    <row r="127" spans="1:4" x14ac:dyDescent="0.2">
      <c r="A127" s="17">
        <v>29952</v>
      </c>
      <c r="B127" s="59">
        <f>VLOOKUP(Table1[[#This Row],[Date]],database!A:B,2,)</f>
        <v>48.9114</v>
      </c>
      <c r="C127" s="67">
        <f t="shared" si="1"/>
        <v>-2.0526109210916244E-2</v>
      </c>
      <c r="D127" s="67">
        <f>(Table1[[#This Row],[Index]]-B115)/B115</f>
        <v>-4.2184954254919221E-2</v>
      </c>
    </row>
    <row r="128" spans="1:4" x14ac:dyDescent="0.2">
      <c r="A128" s="17">
        <v>29983</v>
      </c>
      <c r="B128" s="59">
        <f>VLOOKUP(Table1[[#This Row],[Date]],database!A:B,2,)</f>
        <v>49.910200000000003</v>
      </c>
      <c r="C128" s="67">
        <f t="shared" si="1"/>
        <v>2.0420597243178573E-2</v>
      </c>
      <c r="D128" s="67">
        <f>(Table1[[#This Row],[Index]]-B116)/B116</f>
        <v>-1.8586030195416804E-2</v>
      </c>
    </row>
    <row r="129" spans="1:4" x14ac:dyDescent="0.2">
      <c r="A129" s="17">
        <v>30011</v>
      </c>
      <c r="B129" s="59">
        <f>VLOOKUP(Table1[[#This Row],[Date]],database!A:B,2,)</f>
        <v>49.569099999999999</v>
      </c>
      <c r="C129" s="67">
        <f t="shared" si="1"/>
        <v>-6.8342743567447739E-3</v>
      </c>
      <c r="D129" s="67">
        <f>(Table1[[#This Row],[Index]]-B117)/B117</f>
        <v>-3.0161981737679242E-2</v>
      </c>
    </row>
    <row r="130" spans="1:4" x14ac:dyDescent="0.2">
      <c r="A130" s="17">
        <v>30042</v>
      </c>
      <c r="B130" s="59">
        <f>VLOOKUP(Table1[[#This Row],[Date]],database!A:B,2,)</f>
        <v>49.114600000000003</v>
      </c>
      <c r="C130" s="67">
        <f t="shared" si="1"/>
        <v>-9.1690186023146714E-3</v>
      </c>
      <c r="D130" s="67">
        <f>(Table1[[#This Row],[Index]]-B118)/B118</f>
        <v>-3.4818733492642411E-2</v>
      </c>
    </row>
    <row r="131" spans="1:4" x14ac:dyDescent="0.2">
      <c r="A131" s="17">
        <v>30072</v>
      </c>
      <c r="B131" s="59">
        <f>VLOOKUP(Table1[[#This Row],[Date]],database!A:B,2,)</f>
        <v>48.780500000000004</v>
      </c>
      <c r="C131" s="67">
        <f t="shared" si="1"/>
        <v>-6.8024579249347239E-3</v>
      </c>
      <c r="D131" s="67">
        <f>(Table1[[#This Row],[Index]]-B119)/B119</f>
        <v>-4.6861200340766074E-2</v>
      </c>
    </row>
    <row r="132" spans="1:4" x14ac:dyDescent="0.2">
      <c r="A132" s="17">
        <v>30103</v>
      </c>
      <c r="B132" s="59">
        <f>VLOOKUP(Table1[[#This Row],[Date]],database!A:B,2,)</f>
        <v>48.660600000000002</v>
      </c>
      <c r="C132" s="67">
        <f t="shared" si="1"/>
        <v>-2.4579493855126922E-3</v>
      </c>
      <c r="D132" s="67">
        <f>(Table1[[#This Row],[Index]]-B120)/B120</f>
        <v>-5.4208390347057989E-2</v>
      </c>
    </row>
    <row r="133" spans="1:4" x14ac:dyDescent="0.2">
      <c r="A133" s="17">
        <v>30133</v>
      </c>
      <c r="B133" s="59">
        <f>VLOOKUP(Table1[[#This Row],[Date]],database!A:B,2,)</f>
        <v>48.4863</v>
      </c>
      <c r="C133" s="67">
        <f t="shared" si="1"/>
        <v>-3.5819533667895698E-3</v>
      </c>
      <c r="D133" s="67">
        <f>(Table1[[#This Row],[Index]]-B121)/B121</f>
        <v>-6.3544394743551155E-2</v>
      </c>
    </row>
    <row r="134" spans="1:4" x14ac:dyDescent="0.2">
      <c r="A134" s="17">
        <v>30164</v>
      </c>
      <c r="B134" s="59">
        <f>VLOOKUP(Table1[[#This Row],[Date]],database!A:B,2,)</f>
        <v>48.056899999999999</v>
      </c>
      <c r="C134" s="67">
        <f t="shared" si="1"/>
        <v>-8.8561098702107932E-3</v>
      </c>
      <c r="D134" s="67">
        <f>(Table1[[#This Row],[Index]]-B122)/B122</f>
        <v>-7.0698026991330959E-2</v>
      </c>
    </row>
    <row r="135" spans="1:4" x14ac:dyDescent="0.2">
      <c r="A135" s="17">
        <v>30195</v>
      </c>
      <c r="B135" s="59">
        <f>VLOOKUP(Table1[[#This Row],[Date]],database!A:B,2,)</f>
        <v>47.930300000000003</v>
      </c>
      <c r="C135" s="67">
        <f t="shared" si="1"/>
        <v>-2.6343771654018244E-3</v>
      </c>
      <c r="D135" s="67">
        <f>(Table1[[#This Row],[Index]]-B123)/B123</f>
        <v>-6.8600188494087708E-2</v>
      </c>
    </row>
    <row r="136" spans="1:4" x14ac:dyDescent="0.2">
      <c r="A136" s="17">
        <v>30225</v>
      </c>
      <c r="B136" s="59">
        <f>VLOOKUP(Table1[[#This Row],[Date]],database!A:B,2,)</f>
        <v>47.473799999999997</v>
      </c>
      <c r="C136" s="67">
        <f t="shared" ref="C136:C199" si="2">B136/B135-1</f>
        <v>-9.5242466665137471E-3</v>
      </c>
      <c r="D136" s="67">
        <f>(Table1[[#This Row],[Index]]-B124)/B124</f>
        <v>-7.0280538555691607E-2</v>
      </c>
    </row>
    <row r="137" spans="1:4" x14ac:dyDescent="0.2">
      <c r="A137" s="17">
        <v>30256</v>
      </c>
      <c r="B137" s="59">
        <f>VLOOKUP(Table1[[#This Row],[Date]],database!A:B,2,)</f>
        <v>47.32</v>
      </c>
      <c r="C137" s="67">
        <f t="shared" si="2"/>
        <v>-3.2396816770512427E-3</v>
      </c>
      <c r="D137" s="67">
        <f>(Table1[[#This Row],[Index]]-B125)/B125</f>
        <v>-6.2469042854595501E-2</v>
      </c>
    </row>
    <row r="138" spans="1:4" x14ac:dyDescent="0.2">
      <c r="A138" s="17">
        <v>30286</v>
      </c>
      <c r="B138" s="59">
        <f>VLOOKUP(Table1[[#This Row],[Date]],database!A:B,2,)</f>
        <v>46.981299999999997</v>
      </c>
      <c r="C138" s="67">
        <f t="shared" si="2"/>
        <v>-7.1576500422655398E-3</v>
      </c>
      <c r="D138" s="67">
        <f>(Table1[[#This Row],[Index]]-B126)/B126</f>
        <v>-5.9177273491881704E-2</v>
      </c>
    </row>
    <row r="139" spans="1:4" x14ac:dyDescent="0.2">
      <c r="A139" s="17">
        <v>30317</v>
      </c>
      <c r="B139" s="59">
        <f>VLOOKUP(Table1[[#This Row],[Date]],database!A:B,2,)</f>
        <v>47.8523</v>
      </c>
      <c r="C139" s="67">
        <f t="shared" si="2"/>
        <v>1.853929116478259E-2</v>
      </c>
      <c r="D139" s="67">
        <f>(Table1[[#This Row],[Index]]-B127)/B127</f>
        <v>-2.1653438666650326E-2</v>
      </c>
    </row>
    <row r="140" spans="1:4" x14ac:dyDescent="0.2">
      <c r="A140" s="17">
        <v>30348</v>
      </c>
      <c r="B140" s="59">
        <f>VLOOKUP(Table1[[#This Row],[Date]],database!A:B,2,)</f>
        <v>47.566699999999997</v>
      </c>
      <c r="C140" s="67">
        <f t="shared" si="2"/>
        <v>-5.9683651569517604E-3</v>
      </c>
      <c r="D140" s="67">
        <f>(Table1[[#This Row],[Index]]-B128)/B128</f>
        <v>-4.6954329976638155E-2</v>
      </c>
    </row>
    <row r="141" spans="1:4" x14ac:dyDescent="0.2">
      <c r="A141" s="17">
        <v>30376</v>
      </c>
      <c r="B141" s="59">
        <f>VLOOKUP(Table1[[#This Row],[Date]],database!A:B,2,)</f>
        <v>47.959899999999998</v>
      </c>
      <c r="C141" s="67">
        <f t="shared" si="2"/>
        <v>8.2662871294414408E-3</v>
      </c>
      <c r="D141" s="67">
        <f>(Table1[[#This Row],[Index]]-B129)/B129</f>
        <v>-3.2463772793938188E-2</v>
      </c>
    </row>
    <row r="142" spans="1:4" x14ac:dyDescent="0.2">
      <c r="A142" s="17">
        <v>30407</v>
      </c>
      <c r="B142" s="59">
        <f>VLOOKUP(Table1[[#This Row],[Date]],database!A:B,2,)</f>
        <v>48.556399999999996</v>
      </c>
      <c r="C142" s="67">
        <f t="shared" si="2"/>
        <v>1.2437473806242272E-2</v>
      </c>
      <c r="D142" s="67">
        <f>(Table1[[#This Row],[Index]]-B130)/B130</f>
        <v>-1.1365255952405322E-2</v>
      </c>
    </row>
    <row r="143" spans="1:4" x14ac:dyDescent="0.2">
      <c r="A143" s="17">
        <v>30437</v>
      </c>
      <c r="B143" s="59">
        <f>VLOOKUP(Table1[[#This Row],[Date]],database!A:B,2,)</f>
        <v>48.864699999999999</v>
      </c>
      <c r="C143" s="67">
        <f t="shared" si="2"/>
        <v>6.3493174947073516E-3</v>
      </c>
      <c r="D143" s="67">
        <f>(Table1[[#This Row],[Index]]-B131)/B131</f>
        <v>1.7260995684750177E-3</v>
      </c>
    </row>
    <row r="144" spans="1:4" x14ac:dyDescent="0.2">
      <c r="A144" s="17">
        <v>30468</v>
      </c>
      <c r="B144" s="59">
        <f>VLOOKUP(Table1[[#This Row],[Date]],database!A:B,2,)</f>
        <v>49.155799999999999</v>
      </c>
      <c r="C144" s="67">
        <f t="shared" si="2"/>
        <v>5.9572656744029118E-3</v>
      </c>
      <c r="D144" s="67">
        <f>(Table1[[#This Row],[Index]]-B132)/B132</f>
        <v>1.0176611056994713E-2</v>
      </c>
    </row>
    <row r="145" spans="1:4" x14ac:dyDescent="0.2">
      <c r="A145" s="17">
        <v>30498</v>
      </c>
      <c r="B145" s="59">
        <f>VLOOKUP(Table1[[#This Row],[Date]],database!A:B,2,)</f>
        <v>49.887300000000003</v>
      </c>
      <c r="C145" s="67">
        <f t="shared" si="2"/>
        <v>1.4881255111299341E-2</v>
      </c>
      <c r="D145" s="67">
        <f>(Table1[[#This Row],[Index]]-B133)/B133</f>
        <v>2.8894759963123674E-2</v>
      </c>
    </row>
    <row r="146" spans="1:4" x14ac:dyDescent="0.2">
      <c r="A146" s="17">
        <v>30529</v>
      </c>
      <c r="B146" s="59">
        <f>VLOOKUP(Table1[[#This Row],[Date]],database!A:B,2,)</f>
        <v>50.484299999999998</v>
      </c>
      <c r="C146" s="67">
        <f t="shared" si="2"/>
        <v>1.1966973558400484E-2</v>
      </c>
      <c r="D146" s="67">
        <f>(Table1[[#This Row],[Index]]-B134)/B134</f>
        <v>5.051095680328941E-2</v>
      </c>
    </row>
    <row r="147" spans="1:4" x14ac:dyDescent="0.2">
      <c r="A147" s="17">
        <v>30560</v>
      </c>
      <c r="B147" s="59">
        <f>VLOOKUP(Table1[[#This Row],[Date]],database!A:B,2,)</f>
        <v>51.216000000000001</v>
      </c>
      <c r="C147" s="67">
        <f t="shared" si="2"/>
        <v>1.4493614846595948E-2</v>
      </c>
      <c r="D147" s="67">
        <f>(Table1[[#This Row],[Index]]-B135)/B135</f>
        <v>6.8551626006930863E-2</v>
      </c>
    </row>
    <row r="148" spans="1:4" x14ac:dyDescent="0.2">
      <c r="A148" s="17">
        <v>30590</v>
      </c>
      <c r="B148" s="59">
        <f>VLOOKUP(Table1[[#This Row],[Date]],database!A:B,2,)</f>
        <v>51.613900000000001</v>
      </c>
      <c r="C148" s="67">
        <f t="shared" si="2"/>
        <v>7.7690565448298443E-3</v>
      </c>
      <c r="D148" s="67">
        <f>(Table1[[#This Row],[Index]]-B136)/B136</f>
        <v>8.7208102153187736E-2</v>
      </c>
    </row>
    <row r="149" spans="1:4" x14ac:dyDescent="0.2">
      <c r="A149" s="17">
        <v>30621</v>
      </c>
      <c r="B149" s="59">
        <f>VLOOKUP(Table1[[#This Row],[Date]],database!A:B,2,)</f>
        <v>51.841999999999999</v>
      </c>
      <c r="C149" s="67">
        <f t="shared" si="2"/>
        <v>4.4193521512614353E-3</v>
      </c>
      <c r="D149" s="67">
        <f>(Table1[[#This Row],[Index]]-B137)/B137</f>
        <v>9.5562130177514762E-2</v>
      </c>
    </row>
    <row r="150" spans="1:4" x14ac:dyDescent="0.2">
      <c r="A150" s="17">
        <v>30651</v>
      </c>
      <c r="B150" s="59">
        <f>VLOOKUP(Table1[[#This Row],[Date]],database!A:B,2,)</f>
        <v>52.094799999999999</v>
      </c>
      <c r="C150" s="67">
        <f t="shared" si="2"/>
        <v>4.8763550788935017E-3</v>
      </c>
      <c r="D150" s="67">
        <f>(Table1[[#This Row],[Index]]-B138)/B138</f>
        <v>0.10884117723434648</v>
      </c>
    </row>
    <row r="151" spans="1:4" x14ac:dyDescent="0.2">
      <c r="A151" s="17">
        <v>30682</v>
      </c>
      <c r="B151" s="59">
        <f>VLOOKUP(Table1[[#This Row],[Date]],database!A:B,2,)</f>
        <v>53.134799999999998</v>
      </c>
      <c r="C151" s="67">
        <f t="shared" si="2"/>
        <v>1.9963604812764491E-2</v>
      </c>
      <c r="D151" s="67">
        <f>(Table1[[#This Row],[Index]]-B139)/B139</f>
        <v>0.11039176800279191</v>
      </c>
    </row>
    <row r="152" spans="1:4" x14ac:dyDescent="0.2">
      <c r="A152" s="17">
        <v>30713</v>
      </c>
      <c r="B152" s="59">
        <f>VLOOKUP(Table1[[#This Row],[Date]],database!A:B,2,)</f>
        <v>53.376300000000001</v>
      </c>
      <c r="C152" s="67">
        <f t="shared" si="2"/>
        <v>4.5450439260146247E-3</v>
      </c>
      <c r="D152" s="67">
        <f>(Table1[[#This Row],[Index]]-B140)/B140</f>
        <v>0.12213586395524607</v>
      </c>
    </row>
    <row r="153" spans="1:4" x14ac:dyDescent="0.2">
      <c r="A153" s="17">
        <v>30742</v>
      </c>
      <c r="B153" s="59">
        <f>VLOOKUP(Table1[[#This Row],[Date]],database!A:B,2,)</f>
        <v>53.631399999999999</v>
      </c>
      <c r="C153" s="67">
        <f t="shared" si="2"/>
        <v>4.7792746968222666E-3</v>
      </c>
      <c r="D153" s="67">
        <f>(Table1[[#This Row],[Index]]-B141)/B141</f>
        <v>0.11825504223319903</v>
      </c>
    </row>
    <row r="154" spans="1:4" x14ac:dyDescent="0.2">
      <c r="A154" s="17">
        <v>30773</v>
      </c>
      <c r="B154" s="59">
        <f>VLOOKUP(Table1[[#This Row],[Date]],database!A:B,2,)</f>
        <v>53.949100000000001</v>
      </c>
      <c r="C154" s="67">
        <f t="shared" si="2"/>
        <v>5.9237685385800098E-3</v>
      </c>
      <c r="D154" s="67">
        <f>(Table1[[#This Row],[Index]]-B142)/B142</f>
        <v>0.11106053990823053</v>
      </c>
    </row>
    <row r="155" spans="1:4" x14ac:dyDescent="0.2">
      <c r="A155" s="17">
        <v>30803</v>
      </c>
      <c r="B155" s="59">
        <f>VLOOKUP(Table1[[#This Row],[Date]],database!A:B,2,)</f>
        <v>54.239600000000003</v>
      </c>
      <c r="C155" s="67">
        <f t="shared" si="2"/>
        <v>5.3847052128765949E-3</v>
      </c>
      <c r="D155" s="67">
        <f>(Table1[[#This Row],[Index]]-B143)/B143</f>
        <v>0.10999555916643311</v>
      </c>
    </row>
    <row r="156" spans="1:4" x14ac:dyDescent="0.2">
      <c r="A156" s="17">
        <v>30834</v>
      </c>
      <c r="B156" s="59">
        <f>VLOOKUP(Table1[[#This Row],[Date]],database!A:B,2,)</f>
        <v>54.428800000000003</v>
      </c>
      <c r="C156" s="67">
        <f t="shared" si="2"/>
        <v>3.4882263143534153E-3</v>
      </c>
      <c r="D156" s="67">
        <f>(Table1[[#This Row],[Index]]-B144)/B144</f>
        <v>0.10727116637304251</v>
      </c>
    </row>
    <row r="157" spans="1:4" x14ac:dyDescent="0.2">
      <c r="A157" s="17">
        <v>30864</v>
      </c>
      <c r="B157" s="59">
        <f>VLOOKUP(Table1[[#This Row],[Date]],database!A:B,2,)</f>
        <v>54.586500000000001</v>
      </c>
      <c r="C157" s="67">
        <f t="shared" si="2"/>
        <v>2.8973631606796779E-3</v>
      </c>
      <c r="D157" s="67">
        <f>(Table1[[#This Row],[Index]]-B145)/B145</f>
        <v>9.4196318501903242E-2</v>
      </c>
    </row>
    <row r="158" spans="1:4" x14ac:dyDescent="0.2">
      <c r="A158" s="17">
        <v>30895</v>
      </c>
      <c r="B158" s="59">
        <f>VLOOKUP(Table1[[#This Row],[Date]],database!A:B,2,)</f>
        <v>54.652999999999999</v>
      </c>
      <c r="C158" s="67">
        <f t="shared" si="2"/>
        <v>1.218249933591542E-3</v>
      </c>
      <c r="D158" s="67">
        <f>(Table1[[#This Row],[Index]]-B146)/B146</f>
        <v>8.2574186430236757E-2</v>
      </c>
    </row>
    <row r="159" spans="1:4" x14ac:dyDescent="0.2">
      <c r="A159" s="17">
        <v>30926</v>
      </c>
      <c r="B159" s="59">
        <f>VLOOKUP(Table1[[#This Row],[Date]],database!A:B,2,)</f>
        <v>54.494900000000001</v>
      </c>
      <c r="C159" s="67">
        <f t="shared" si="2"/>
        <v>-2.8927963698240911E-3</v>
      </c>
      <c r="D159" s="67">
        <f>(Table1[[#This Row],[Index]]-B147)/B147</f>
        <v>6.4021009059668857E-2</v>
      </c>
    </row>
    <row r="160" spans="1:4" x14ac:dyDescent="0.2">
      <c r="A160" s="17">
        <v>30956</v>
      </c>
      <c r="B160" s="59">
        <f>VLOOKUP(Table1[[#This Row],[Date]],database!A:B,2,)</f>
        <v>54.477200000000003</v>
      </c>
      <c r="C160" s="67">
        <f t="shared" si="2"/>
        <v>-3.2480103642718028E-4</v>
      </c>
      <c r="D160" s="67">
        <f>(Table1[[#This Row],[Index]]-B148)/B148</f>
        <v>5.5475366131991624E-2</v>
      </c>
    </row>
    <row r="161" spans="1:4" x14ac:dyDescent="0.2">
      <c r="A161" s="17">
        <v>30987</v>
      </c>
      <c r="B161" s="59">
        <f>VLOOKUP(Table1[[#This Row],[Date]],database!A:B,2,)</f>
        <v>54.659399999999998</v>
      </c>
      <c r="C161" s="67">
        <f t="shared" si="2"/>
        <v>3.344518440742128E-3</v>
      </c>
      <c r="D161" s="67">
        <f>(Table1[[#This Row],[Index]]-B149)/B149</f>
        <v>5.434589714902973E-2</v>
      </c>
    </row>
    <row r="162" spans="1:4" x14ac:dyDescent="0.2">
      <c r="A162" s="17">
        <v>31017</v>
      </c>
      <c r="B162" s="59">
        <f>VLOOKUP(Table1[[#This Row],[Date]],database!A:B,2,)</f>
        <v>54.6892</v>
      </c>
      <c r="C162" s="67">
        <f t="shared" si="2"/>
        <v>5.4519442218547987E-4</v>
      </c>
      <c r="D162" s="67">
        <f>(Table1[[#This Row],[Index]]-B150)/B150</f>
        <v>4.9801515698303864E-2</v>
      </c>
    </row>
    <row r="163" spans="1:4" x14ac:dyDescent="0.2">
      <c r="A163" s="17">
        <v>31048</v>
      </c>
      <c r="B163" s="59">
        <f>VLOOKUP(Table1[[#This Row],[Date]],database!A:B,2,)</f>
        <v>54.650500000000001</v>
      </c>
      <c r="C163" s="67">
        <f t="shared" si="2"/>
        <v>-7.0763514551319684E-4</v>
      </c>
      <c r="D163" s="67">
        <f>(Table1[[#This Row],[Index]]-B151)/B151</f>
        <v>2.8525561402320185E-2</v>
      </c>
    </row>
    <row r="164" spans="1:4" x14ac:dyDescent="0.2">
      <c r="A164" s="17">
        <v>31079</v>
      </c>
      <c r="B164" s="59">
        <f>VLOOKUP(Table1[[#This Row],[Date]],database!A:B,2,)</f>
        <v>54.816899999999997</v>
      </c>
      <c r="C164" s="67">
        <f t="shared" si="2"/>
        <v>3.0448028837795071E-3</v>
      </c>
      <c r="D164" s="67">
        <f>(Table1[[#This Row],[Index]]-B152)/B152</f>
        <v>2.6989506578762416E-2</v>
      </c>
    </row>
    <row r="165" spans="1:4" x14ac:dyDescent="0.2">
      <c r="A165" s="17">
        <v>31107</v>
      </c>
      <c r="B165" s="59">
        <f>VLOOKUP(Table1[[#This Row],[Date]],database!A:B,2,)</f>
        <v>54.897799999999997</v>
      </c>
      <c r="C165" s="67">
        <f t="shared" si="2"/>
        <v>1.475822237302804E-3</v>
      </c>
      <c r="D165" s="67">
        <f>(Table1[[#This Row],[Index]]-B153)/B153</f>
        <v>2.3613032663700694E-2</v>
      </c>
    </row>
    <row r="166" spans="1:4" x14ac:dyDescent="0.2">
      <c r="A166" s="17">
        <v>31138</v>
      </c>
      <c r="B166" s="59">
        <f>VLOOKUP(Table1[[#This Row],[Date]],database!A:B,2,)</f>
        <v>54.783299999999997</v>
      </c>
      <c r="C166" s="67">
        <f t="shared" si="2"/>
        <v>-2.0856937800786124E-3</v>
      </c>
      <c r="D166" s="67">
        <f>(Table1[[#This Row],[Index]]-B154)/B154</f>
        <v>1.5462723196494391E-2</v>
      </c>
    </row>
    <row r="167" spans="1:4" x14ac:dyDescent="0.2">
      <c r="A167" s="17">
        <v>31168</v>
      </c>
      <c r="B167" s="59">
        <f>VLOOKUP(Table1[[#This Row],[Date]],database!A:B,2,)</f>
        <v>54.870399999999997</v>
      </c>
      <c r="C167" s="67">
        <f t="shared" si="2"/>
        <v>1.5899005718895687E-3</v>
      </c>
      <c r="D167" s="67">
        <f>(Table1[[#This Row],[Index]]-B155)/B155</f>
        <v>1.1629879276395725E-2</v>
      </c>
    </row>
    <row r="168" spans="1:4" x14ac:dyDescent="0.2">
      <c r="A168" s="17">
        <v>31199</v>
      </c>
      <c r="B168" s="59">
        <f>VLOOKUP(Table1[[#This Row],[Date]],database!A:B,2,)</f>
        <v>54.8401</v>
      </c>
      <c r="C168" s="67">
        <f t="shared" si="2"/>
        <v>-5.5221029917762454E-4</v>
      </c>
      <c r="D168" s="67">
        <f>(Table1[[#This Row],[Index]]-B156)/B156</f>
        <v>7.5566611793755709E-3</v>
      </c>
    </row>
    <row r="169" spans="1:4" x14ac:dyDescent="0.2">
      <c r="A169" s="17">
        <v>31229</v>
      </c>
      <c r="B169" s="59">
        <f>VLOOKUP(Table1[[#This Row],[Date]],database!A:B,2,)</f>
        <v>54.558199999999999</v>
      </c>
      <c r="C169" s="67">
        <f t="shared" si="2"/>
        <v>-5.1403990875290573E-3</v>
      </c>
      <c r="D169" s="67">
        <f>(Table1[[#This Row],[Index]]-B157)/B157</f>
        <v>-5.184432048217333E-4</v>
      </c>
    </row>
    <row r="170" spans="1:4" x14ac:dyDescent="0.2">
      <c r="A170" s="17">
        <v>31260</v>
      </c>
      <c r="B170" s="59">
        <f>VLOOKUP(Table1[[#This Row],[Date]],database!A:B,2,)</f>
        <v>54.738100000000003</v>
      </c>
      <c r="C170" s="67">
        <f t="shared" si="2"/>
        <v>3.2973961750937253E-3</v>
      </c>
      <c r="D170" s="67">
        <f>(Table1[[#This Row],[Index]]-B158)/B158</f>
        <v>1.5570965912210524E-3</v>
      </c>
    </row>
    <row r="171" spans="1:4" x14ac:dyDescent="0.2">
      <c r="A171" s="17">
        <v>31291</v>
      </c>
      <c r="B171" s="59">
        <f>VLOOKUP(Table1[[#This Row],[Date]],database!A:B,2,)</f>
        <v>54.941600000000001</v>
      </c>
      <c r="C171" s="67">
        <f t="shared" si="2"/>
        <v>3.7177030258630506E-3</v>
      </c>
      <c r="D171" s="67">
        <f>(Table1[[#This Row],[Index]]-B159)/B159</f>
        <v>8.1970973430541185E-3</v>
      </c>
    </row>
    <row r="172" spans="1:4" x14ac:dyDescent="0.2">
      <c r="A172" s="17">
        <v>31321</v>
      </c>
      <c r="B172" s="59">
        <f>VLOOKUP(Table1[[#This Row],[Date]],database!A:B,2,)</f>
        <v>54.753799999999998</v>
      </c>
      <c r="C172" s="67">
        <f t="shared" si="2"/>
        <v>-3.4181749348399793E-3</v>
      </c>
      <c r="D172" s="67">
        <f>(Table1[[#This Row],[Index]]-B160)/B160</f>
        <v>5.07735346163156E-3</v>
      </c>
    </row>
    <row r="173" spans="1:4" x14ac:dyDescent="0.2">
      <c r="A173" s="17">
        <v>31352</v>
      </c>
      <c r="B173" s="59">
        <f>VLOOKUP(Table1[[#This Row],[Date]],database!A:B,2,)</f>
        <v>54.939</v>
      </c>
      <c r="C173" s="67">
        <f t="shared" si="2"/>
        <v>3.382413640697024E-3</v>
      </c>
      <c r="D173" s="67">
        <f>(Table1[[#This Row],[Index]]-B161)/B161</f>
        <v>5.1153141088266995E-3</v>
      </c>
    </row>
    <row r="174" spans="1:4" x14ac:dyDescent="0.2">
      <c r="A174" s="17">
        <v>31382</v>
      </c>
      <c r="B174" s="59">
        <f>VLOOKUP(Table1[[#This Row],[Date]],database!A:B,2,)</f>
        <v>55.494500000000002</v>
      </c>
      <c r="C174" s="67">
        <f t="shared" si="2"/>
        <v>1.0111214255811074E-2</v>
      </c>
      <c r="D174" s="67">
        <f>(Table1[[#This Row],[Index]]-B162)/B162</f>
        <v>1.4725027976273241E-2</v>
      </c>
    </row>
    <row r="175" spans="1:4" x14ac:dyDescent="0.2">
      <c r="A175" s="17">
        <v>31413</v>
      </c>
      <c r="B175" s="59">
        <f>VLOOKUP(Table1[[#This Row],[Date]],database!A:B,2,)</f>
        <v>55.780200000000001</v>
      </c>
      <c r="C175" s="67">
        <f t="shared" si="2"/>
        <v>5.1482579354711344E-3</v>
      </c>
      <c r="D175" s="67">
        <f>(Table1[[#This Row],[Index]]-B163)/B163</f>
        <v>2.0671357078160302E-2</v>
      </c>
    </row>
    <row r="176" spans="1:4" x14ac:dyDescent="0.2">
      <c r="A176" s="17">
        <v>31444</v>
      </c>
      <c r="B176" s="59">
        <f>VLOOKUP(Table1[[#This Row],[Date]],database!A:B,2,)</f>
        <v>55.3994</v>
      </c>
      <c r="C176" s="67">
        <f t="shared" si="2"/>
        <v>-6.8267951710463404E-3</v>
      </c>
      <c r="D176" s="67">
        <f>(Table1[[#This Row],[Index]]-B164)/B164</f>
        <v>1.0626284959565448E-2</v>
      </c>
    </row>
    <row r="177" spans="1:4" x14ac:dyDescent="0.2">
      <c r="A177" s="17">
        <v>31472</v>
      </c>
      <c r="B177" s="59">
        <f>VLOOKUP(Table1[[#This Row],[Date]],database!A:B,2,)</f>
        <v>55.000100000000003</v>
      </c>
      <c r="C177" s="67">
        <f t="shared" si="2"/>
        <v>-7.207659288728685E-3</v>
      </c>
      <c r="D177" s="67">
        <f>(Table1[[#This Row],[Index]]-B165)/B165</f>
        <v>1.8634626524197094E-3</v>
      </c>
    </row>
    <row r="178" spans="1:4" x14ac:dyDescent="0.2">
      <c r="A178" s="17">
        <v>31503</v>
      </c>
      <c r="B178" s="59">
        <f>VLOOKUP(Table1[[#This Row],[Date]],database!A:B,2,)</f>
        <v>55.064100000000003</v>
      </c>
      <c r="C178" s="67">
        <f t="shared" si="2"/>
        <v>1.1636342479377504E-3</v>
      </c>
      <c r="D178" s="67">
        <f>(Table1[[#This Row],[Index]]-B166)/B166</f>
        <v>5.1256496048979593E-3</v>
      </c>
    </row>
    <row r="179" spans="1:4" x14ac:dyDescent="0.2">
      <c r="A179" s="17">
        <v>31533</v>
      </c>
      <c r="B179" s="59">
        <f>VLOOKUP(Table1[[#This Row],[Date]],database!A:B,2,)</f>
        <v>55.170499999999997</v>
      </c>
      <c r="C179" s="67">
        <f t="shared" si="2"/>
        <v>1.9322934543557491E-3</v>
      </c>
      <c r="D179" s="67">
        <f>(Table1[[#This Row],[Index]]-B167)/B167</f>
        <v>5.4692511809646092E-3</v>
      </c>
    </row>
    <row r="180" spans="1:4" x14ac:dyDescent="0.2">
      <c r="A180" s="17">
        <v>31564</v>
      </c>
      <c r="B180" s="59">
        <f>VLOOKUP(Table1[[#This Row],[Date]],database!A:B,2,)</f>
        <v>54.958799999999997</v>
      </c>
      <c r="C180" s="67">
        <f t="shared" si="2"/>
        <v>-3.837195602722443E-3</v>
      </c>
      <c r="D180" s="67">
        <f>(Table1[[#This Row],[Index]]-B168)/B168</f>
        <v>2.1644745359690612E-3</v>
      </c>
    </row>
    <row r="181" spans="1:4" x14ac:dyDescent="0.2">
      <c r="A181" s="17">
        <v>31594</v>
      </c>
      <c r="B181" s="59">
        <f>VLOOKUP(Table1[[#This Row],[Date]],database!A:B,2,)</f>
        <v>55.294400000000003</v>
      </c>
      <c r="C181" s="67">
        <f t="shared" si="2"/>
        <v>6.1063924248712098E-3</v>
      </c>
      <c r="D181" s="67">
        <f>(Table1[[#This Row],[Index]]-B169)/B169</f>
        <v>1.349384693776561E-2</v>
      </c>
    </row>
    <row r="182" spans="1:4" x14ac:dyDescent="0.2">
      <c r="A182" s="17">
        <v>31625</v>
      </c>
      <c r="B182" s="59">
        <f>VLOOKUP(Table1[[#This Row],[Date]],database!A:B,2,)</f>
        <v>55.2029</v>
      </c>
      <c r="C182" s="67">
        <f t="shared" si="2"/>
        <v>-1.6547787841083572E-3</v>
      </c>
      <c r="D182" s="67">
        <f>(Table1[[#This Row],[Index]]-B170)/B170</f>
        <v>8.4913433239370163E-3</v>
      </c>
    </row>
    <row r="183" spans="1:4" x14ac:dyDescent="0.2">
      <c r="A183" s="17">
        <v>31656</v>
      </c>
      <c r="B183" s="59">
        <f>VLOOKUP(Table1[[#This Row],[Date]],database!A:B,2,)</f>
        <v>55.351100000000002</v>
      </c>
      <c r="C183" s="67">
        <f t="shared" si="2"/>
        <v>2.6846415677437285E-3</v>
      </c>
      <c r="D183" s="67">
        <f>(Table1[[#This Row],[Index]]-B171)/B171</f>
        <v>7.4533686678218561E-3</v>
      </c>
    </row>
    <row r="184" spans="1:4" x14ac:dyDescent="0.2">
      <c r="A184" s="17">
        <v>31686</v>
      </c>
      <c r="B184" s="59">
        <f>VLOOKUP(Table1[[#This Row],[Date]],database!A:B,2,)</f>
        <v>55.585700000000003</v>
      </c>
      <c r="C184" s="67">
        <f t="shared" si="2"/>
        <v>4.2383981528821835E-3</v>
      </c>
      <c r="D184" s="67">
        <f>(Table1[[#This Row],[Index]]-B172)/B172</f>
        <v>1.5193466024276023E-2</v>
      </c>
    </row>
    <row r="185" spans="1:4" x14ac:dyDescent="0.2">
      <c r="A185" s="17">
        <v>31717</v>
      </c>
      <c r="B185" s="59">
        <f>VLOOKUP(Table1[[#This Row],[Date]],database!A:B,2,)</f>
        <v>55.802999999999997</v>
      </c>
      <c r="C185" s="67">
        <f t="shared" si="2"/>
        <v>3.9092788253092259E-3</v>
      </c>
      <c r="D185" s="67">
        <f>(Table1[[#This Row],[Index]]-B173)/B173</f>
        <v>1.5726533063943594E-2</v>
      </c>
    </row>
    <row r="186" spans="1:4" x14ac:dyDescent="0.2">
      <c r="A186" s="17">
        <v>31747</v>
      </c>
      <c r="B186" s="59">
        <f>VLOOKUP(Table1[[#This Row],[Date]],database!A:B,2,)</f>
        <v>56.344099999999997</v>
      </c>
      <c r="C186" s="67">
        <f t="shared" si="2"/>
        <v>9.696611293299684E-3</v>
      </c>
      <c r="D186" s="67">
        <f>(Table1[[#This Row],[Index]]-B174)/B174</f>
        <v>1.5309625278180635E-2</v>
      </c>
    </row>
    <row r="187" spans="1:4" x14ac:dyDescent="0.2">
      <c r="A187" s="17">
        <v>31778</v>
      </c>
      <c r="B187" s="59">
        <f>VLOOKUP(Table1[[#This Row],[Date]],database!A:B,2,)</f>
        <v>56.125900000000001</v>
      </c>
      <c r="C187" s="67">
        <f t="shared" si="2"/>
        <v>-3.8726326270185352E-3</v>
      </c>
      <c r="D187" s="67">
        <f>(Table1[[#This Row],[Index]]-B175)/B175</f>
        <v>6.1975396287571715E-3</v>
      </c>
    </row>
    <row r="188" spans="1:4" x14ac:dyDescent="0.2">
      <c r="A188" s="17">
        <v>31809</v>
      </c>
      <c r="B188" s="59">
        <f>VLOOKUP(Table1[[#This Row],[Date]],database!A:B,2,)</f>
        <v>56.877899999999997</v>
      </c>
      <c r="C188" s="67">
        <f t="shared" si="2"/>
        <v>1.3398448844472721E-2</v>
      </c>
      <c r="D188" s="67">
        <f>(Table1[[#This Row],[Index]]-B176)/B176</f>
        <v>2.6688014671638987E-2</v>
      </c>
    </row>
    <row r="189" spans="1:4" x14ac:dyDescent="0.2">
      <c r="A189" s="17">
        <v>31837</v>
      </c>
      <c r="B189" s="59">
        <f>VLOOKUP(Table1[[#This Row],[Date]],database!A:B,2,)</f>
        <v>56.951599999999999</v>
      </c>
      <c r="C189" s="67">
        <f t="shared" si="2"/>
        <v>1.2957581063999246E-3</v>
      </c>
      <c r="D189" s="67">
        <f>(Table1[[#This Row],[Index]]-B177)/B177</f>
        <v>3.5481753669538707E-2</v>
      </c>
    </row>
    <row r="190" spans="1:4" x14ac:dyDescent="0.2">
      <c r="A190" s="17">
        <v>31868</v>
      </c>
      <c r="B190" s="59">
        <f>VLOOKUP(Table1[[#This Row],[Date]],database!A:B,2,)</f>
        <v>57.317700000000002</v>
      </c>
      <c r="C190" s="67">
        <f t="shared" si="2"/>
        <v>6.4282654043081866E-3</v>
      </c>
      <c r="D190" s="67">
        <f>(Table1[[#This Row],[Index]]-B178)/B178</f>
        <v>4.0926847074591224E-2</v>
      </c>
    </row>
    <row r="191" spans="1:4" x14ac:dyDescent="0.2">
      <c r="A191" s="17">
        <v>31898</v>
      </c>
      <c r="B191" s="59">
        <f>VLOOKUP(Table1[[#This Row],[Date]],database!A:B,2,)</f>
        <v>57.677399999999999</v>
      </c>
      <c r="C191" s="67">
        <f t="shared" si="2"/>
        <v>6.2755483908112364E-3</v>
      </c>
      <c r="D191" s="67">
        <f>(Table1[[#This Row],[Index]]-B179)/B179</f>
        <v>4.5439138670122656E-2</v>
      </c>
    </row>
    <row r="192" spans="1:4" x14ac:dyDescent="0.2">
      <c r="A192" s="17">
        <v>31929</v>
      </c>
      <c r="B192" s="59">
        <f>VLOOKUP(Table1[[#This Row],[Date]],database!A:B,2,)</f>
        <v>57.987499999999997</v>
      </c>
      <c r="C192" s="67">
        <f t="shared" si="2"/>
        <v>5.3764559428823855E-3</v>
      </c>
      <c r="D192" s="67">
        <f>(Table1[[#This Row],[Index]]-B180)/B180</f>
        <v>5.5108554044120336E-2</v>
      </c>
    </row>
    <row r="193" spans="1:4" x14ac:dyDescent="0.2">
      <c r="A193" s="17">
        <v>31959</v>
      </c>
      <c r="B193" s="59">
        <f>VLOOKUP(Table1[[#This Row],[Date]],database!A:B,2,)</f>
        <v>58.378999999999998</v>
      </c>
      <c r="C193" s="67">
        <f t="shared" si="2"/>
        <v>6.7514550549687691E-3</v>
      </c>
      <c r="D193" s="67">
        <f>(Table1[[#This Row],[Index]]-B181)/B181</f>
        <v>5.5785034289186512E-2</v>
      </c>
    </row>
    <row r="194" spans="1:4" x14ac:dyDescent="0.2">
      <c r="A194" s="17">
        <v>31990</v>
      </c>
      <c r="B194" s="59">
        <f>VLOOKUP(Table1[[#This Row],[Date]],database!A:B,2,)</f>
        <v>58.817100000000003</v>
      </c>
      <c r="C194" s="67">
        <f t="shared" si="2"/>
        <v>7.5044108326625114E-3</v>
      </c>
      <c r="D194" s="67">
        <f>(Table1[[#This Row],[Index]]-B182)/B182</f>
        <v>6.5471198071115899E-2</v>
      </c>
    </row>
    <row r="195" spans="1:4" x14ac:dyDescent="0.2">
      <c r="A195" s="17">
        <v>32021</v>
      </c>
      <c r="B195" s="59">
        <f>VLOOKUP(Table1[[#This Row],[Date]],database!A:B,2,)</f>
        <v>59.039099999999998</v>
      </c>
      <c r="C195" s="67">
        <f t="shared" si="2"/>
        <v>3.774412543290806E-3</v>
      </c>
      <c r="D195" s="67">
        <f>(Table1[[#This Row],[Index]]-B183)/B183</f>
        <v>6.6629208814278224E-2</v>
      </c>
    </row>
    <row r="196" spans="1:4" x14ac:dyDescent="0.2">
      <c r="A196" s="17">
        <v>32051</v>
      </c>
      <c r="B196" s="59">
        <f>VLOOKUP(Table1[[#This Row],[Date]],database!A:B,2,)</f>
        <v>59.834000000000003</v>
      </c>
      <c r="C196" s="67">
        <f t="shared" si="2"/>
        <v>1.346395863080585E-2</v>
      </c>
      <c r="D196" s="67">
        <f>(Table1[[#This Row],[Index]]-B184)/B184</f>
        <v>7.6427930205070729E-2</v>
      </c>
    </row>
    <row r="197" spans="1:4" x14ac:dyDescent="0.2">
      <c r="A197" s="17">
        <v>32082</v>
      </c>
      <c r="B197" s="59">
        <f>VLOOKUP(Table1[[#This Row],[Date]],database!A:B,2,)</f>
        <v>60.136699999999998</v>
      </c>
      <c r="C197" s="67">
        <f t="shared" si="2"/>
        <v>5.0589965571412598E-3</v>
      </c>
      <c r="D197" s="67">
        <f>(Table1[[#This Row],[Index]]-B185)/B185</f>
        <v>7.766069924556028E-2</v>
      </c>
    </row>
    <row r="198" spans="1:4" x14ac:dyDescent="0.2">
      <c r="A198" s="17">
        <v>32112</v>
      </c>
      <c r="B198" s="59">
        <f>VLOOKUP(Table1[[#This Row],[Date]],database!A:B,2,)</f>
        <v>60.4739</v>
      </c>
      <c r="C198" s="67">
        <f t="shared" si="2"/>
        <v>5.6072248726650731E-3</v>
      </c>
      <c r="D198" s="67">
        <f>(Table1[[#This Row],[Index]]-B186)/B186</f>
        <v>7.3296050518155464E-2</v>
      </c>
    </row>
    <row r="199" spans="1:4" x14ac:dyDescent="0.2">
      <c r="A199" s="17">
        <v>32143</v>
      </c>
      <c r="B199" s="59">
        <f>VLOOKUP(Table1[[#This Row],[Date]],database!A:B,2,)</f>
        <v>60.459400000000002</v>
      </c>
      <c r="C199" s="67">
        <f t="shared" si="2"/>
        <v>-2.3977286068865844E-4</v>
      </c>
      <c r="D199" s="67">
        <f>(Table1[[#This Row],[Index]]-B187)/B187</f>
        <v>7.7210343174897875E-2</v>
      </c>
    </row>
    <row r="200" spans="1:4" x14ac:dyDescent="0.2">
      <c r="A200" s="17">
        <v>32174</v>
      </c>
      <c r="B200" s="59">
        <f>VLOOKUP(Table1[[#This Row],[Date]],database!A:B,2,)</f>
        <v>60.764299999999999</v>
      </c>
      <c r="C200" s="67">
        <f t="shared" ref="C200:C263" si="3">B200/B199-1</f>
        <v>5.043053685613863E-3</v>
      </c>
      <c r="D200" s="67">
        <f>(Table1[[#This Row],[Index]]-B188)/B188</f>
        <v>6.8328823673166589E-2</v>
      </c>
    </row>
    <row r="201" spans="1:4" x14ac:dyDescent="0.2">
      <c r="A201" s="17">
        <v>32203</v>
      </c>
      <c r="B201" s="59">
        <f>VLOOKUP(Table1[[#This Row],[Date]],database!A:B,2,)</f>
        <v>60.894799999999996</v>
      </c>
      <c r="C201" s="67">
        <f t="shared" si="3"/>
        <v>2.1476426125208725E-3</v>
      </c>
      <c r="D201" s="67">
        <f>(Table1[[#This Row],[Index]]-B189)/B189</f>
        <v>6.9237738711467239E-2</v>
      </c>
    </row>
    <row r="202" spans="1:4" x14ac:dyDescent="0.2">
      <c r="A202" s="17">
        <v>32234</v>
      </c>
      <c r="B202" s="59">
        <f>VLOOKUP(Table1[[#This Row],[Date]],database!A:B,2,)</f>
        <v>61.247500000000002</v>
      </c>
      <c r="C202" s="67">
        <f t="shared" si="3"/>
        <v>5.791955963399209E-3</v>
      </c>
      <c r="D202" s="67">
        <f>(Table1[[#This Row],[Index]]-B190)/B190</f>
        <v>6.8561718282485168E-2</v>
      </c>
    </row>
    <row r="203" spans="1:4" x14ac:dyDescent="0.2">
      <c r="A203" s="17">
        <v>32264</v>
      </c>
      <c r="B203" s="59">
        <f>VLOOKUP(Table1[[#This Row],[Date]],database!A:B,2,)</f>
        <v>61.135300000000001</v>
      </c>
      <c r="C203" s="67">
        <f t="shared" si="3"/>
        <v>-1.831911506592121E-3</v>
      </c>
      <c r="D203" s="67">
        <f>(Table1[[#This Row],[Index]]-B191)/B191</f>
        <v>5.9952425039963703E-2</v>
      </c>
    </row>
    <row r="204" spans="1:4" x14ac:dyDescent="0.2">
      <c r="A204" s="17">
        <v>32295</v>
      </c>
      <c r="B204" s="59">
        <f>VLOOKUP(Table1[[#This Row],[Date]],database!A:B,2,)</f>
        <v>61.299500000000002</v>
      </c>
      <c r="C204" s="67">
        <f t="shared" si="3"/>
        <v>2.6858459842349358E-3</v>
      </c>
      <c r="D204" s="67">
        <f>(Table1[[#This Row],[Index]]-B192)/B192</f>
        <v>5.7115757706402329E-2</v>
      </c>
    </row>
    <row r="205" spans="1:4" x14ac:dyDescent="0.2">
      <c r="A205" s="17">
        <v>32325</v>
      </c>
      <c r="B205" s="59">
        <f>VLOOKUP(Table1[[#This Row],[Date]],database!A:B,2,)</f>
        <v>61.311</v>
      </c>
      <c r="C205" s="67">
        <f t="shared" si="3"/>
        <v>1.8760348779345293E-4</v>
      </c>
      <c r="D205" s="67">
        <f>(Table1[[#This Row],[Index]]-B193)/B193</f>
        <v>5.0223539286387266E-2</v>
      </c>
    </row>
    <row r="206" spans="1:4" x14ac:dyDescent="0.2">
      <c r="A206" s="17">
        <v>32356</v>
      </c>
      <c r="B206" s="59">
        <f>VLOOKUP(Table1[[#This Row],[Date]],database!A:B,2,)</f>
        <v>61.623399999999997</v>
      </c>
      <c r="C206" s="67">
        <f t="shared" si="3"/>
        <v>5.0953336269183858E-3</v>
      </c>
      <c r="D206" s="67">
        <f>(Table1[[#This Row],[Index]]-B194)/B194</f>
        <v>4.7712314956024571E-2</v>
      </c>
    </row>
    <row r="207" spans="1:4" x14ac:dyDescent="0.2">
      <c r="A207" s="17">
        <v>32387</v>
      </c>
      <c r="B207" s="59">
        <f>VLOOKUP(Table1[[#This Row],[Date]],database!A:B,2,)</f>
        <v>61.4255</v>
      </c>
      <c r="C207" s="67">
        <f t="shared" si="3"/>
        <v>-3.2114424066181924E-3</v>
      </c>
      <c r="D207" s="67">
        <f>(Table1[[#This Row],[Index]]-B195)/B195</f>
        <v>4.0420670369297668E-2</v>
      </c>
    </row>
    <row r="208" spans="1:4" x14ac:dyDescent="0.2">
      <c r="A208" s="17">
        <v>32417</v>
      </c>
      <c r="B208" s="59">
        <f>VLOOKUP(Table1[[#This Row],[Date]],database!A:B,2,)</f>
        <v>61.694000000000003</v>
      </c>
      <c r="C208" s="67">
        <f t="shared" si="3"/>
        <v>4.3711487899977808E-3</v>
      </c>
      <c r="D208" s="67">
        <f>(Table1[[#This Row],[Index]]-B196)/B196</f>
        <v>3.1086004612761963E-2</v>
      </c>
    </row>
    <row r="209" spans="1:4" x14ac:dyDescent="0.2">
      <c r="A209" s="17">
        <v>32448</v>
      </c>
      <c r="B209" s="59">
        <f>VLOOKUP(Table1[[#This Row],[Date]],database!A:B,2,)</f>
        <v>61.849400000000003</v>
      </c>
      <c r="C209" s="67">
        <f t="shared" si="3"/>
        <v>2.5188835218983296E-3</v>
      </c>
      <c r="D209" s="67">
        <f>(Table1[[#This Row],[Index]]-B197)/B197</f>
        <v>2.848011280964877E-2</v>
      </c>
    </row>
    <row r="210" spans="1:4" x14ac:dyDescent="0.2">
      <c r="A210" s="17">
        <v>32478</v>
      </c>
      <c r="B210" s="59">
        <f>VLOOKUP(Table1[[#This Row],[Date]],database!A:B,2,)</f>
        <v>62.117100000000001</v>
      </c>
      <c r="C210" s="67">
        <f t="shared" si="3"/>
        <v>4.3282554074897117E-3</v>
      </c>
      <c r="D210" s="67">
        <f>(Table1[[#This Row],[Index]]-B198)/B198</f>
        <v>2.7172052736800508E-2</v>
      </c>
    </row>
    <row r="211" spans="1:4" x14ac:dyDescent="0.2">
      <c r="A211" s="17">
        <v>32509</v>
      </c>
      <c r="B211" s="59">
        <f>VLOOKUP(Table1[[#This Row],[Date]],database!A:B,2,)</f>
        <v>62.310299999999998</v>
      </c>
      <c r="C211" s="67">
        <f t="shared" si="3"/>
        <v>3.1102546641745832E-3</v>
      </c>
      <c r="D211" s="67">
        <f>(Table1[[#This Row],[Index]]-B199)/B199</f>
        <v>3.0613932655633298E-2</v>
      </c>
    </row>
    <row r="212" spans="1:4" x14ac:dyDescent="0.2">
      <c r="A212" s="17">
        <v>32540</v>
      </c>
      <c r="B212" s="59">
        <f>VLOOKUP(Table1[[#This Row],[Date]],database!A:B,2,)</f>
        <v>62.035299999999999</v>
      </c>
      <c r="C212" s="67">
        <f t="shared" si="3"/>
        <v>-4.4133955381373546E-3</v>
      </c>
      <c r="D212" s="67">
        <f>(Table1[[#This Row],[Index]]-B200)/B200</f>
        <v>2.0916887053747033E-2</v>
      </c>
    </row>
    <row r="213" spans="1:4" x14ac:dyDescent="0.2">
      <c r="A213" s="17">
        <v>32568</v>
      </c>
      <c r="B213" s="59">
        <f>VLOOKUP(Table1[[#This Row],[Date]],database!A:B,2,)</f>
        <v>62.195</v>
      </c>
      <c r="C213" s="67">
        <f t="shared" si="3"/>
        <v>2.5743407382570194E-3</v>
      </c>
      <c r="D213" s="67">
        <f>(Table1[[#This Row],[Index]]-B201)/B201</f>
        <v>2.1351576817725058E-2</v>
      </c>
    </row>
    <row r="214" spans="1:4" x14ac:dyDescent="0.2">
      <c r="A214" s="17">
        <v>32599</v>
      </c>
      <c r="B214" s="59">
        <f>VLOOKUP(Table1[[#This Row],[Date]],database!A:B,2,)</f>
        <v>62.1753</v>
      </c>
      <c r="C214" s="67">
        <f t="shared" si="3"/>
        <v>-3.1674571910922378E-4</v>
      </c>
      <c r="D214" s="67">
        <f>(Table1[[#This Row],[Index]]-B202)/B202</f>
        <v>1.5148373402996003E-2</v>
      </c>
    </row>
    <row r="215" spans="1:4" x14ac:dyDescent="0.2">
      <c r="A215" s="17">
        <v>32629</v>
      </c>
      <c r="B215" s="59">
        <f>VLOOKUP(Table1[[#This Row],[Date]],database!A:B,2,)</f>
        <v>61.832099999999997</v>
      </c>
      <c r="C215" s="67">
        <f t="shared" si="3"/>
        <v>-5.5198768642853446E-3</v>
      </c>
      <c r="D215" s="67">
        <f>(Table1[[#This Row],[Index]]-B203)/B203</f>
        <v>1.1397670413001916E-2</v>
      </c>
    </row>
    <row r="216" spans="1:4" x14ac:dyDescent="0.2">
      <c r="A216" s="17">
        <v>32660</v>
      </c>
      <c r="B216" s="59">
        <f>VLOOKUP(Table1[[#This Row],[Date]],database!A:B,2,)</f>
        <v>61.824599999999997</v>
      </c>
      <c r="C216" s="67">
        <f t="shared" si="3"/>
        <v>-1.2129621992462702E-4</v>
      </c>
      <c r="D216" s="67">
        <f>(Table1[[#This Row],[Index]]-B204)/B204</f>
        <v>8.5661383861205202E-3</v>
      </c>
    </row>
    <row r="217" spans="1:4" x14ac:dyDescent="0.2">
      <c r="A217" s="17">
        <v>32690</v>
      </c>
      <c r="B217" s="59">
        <f>VLOOKUP(Table1[[#This Row],[Date]],database!A:B,2,)</f>
        <v>61.228499999999997</v>
      </c>
      <c r="C217" s="67">
        <f t="shared" si="3"/>
        <v>-9.6417930726604428E-3</v>
      </c>
      <c r="D217" s="67">
        <f>(Table1[[#This Row],[Index]]-B205)/B205</f>
        <v>-1.3455986690806402E-3</v>
      </c>
    </row>
    <row r="218" spans="1:4" x14ac:dyDescent="0.2">
      <c r="A218" s="17">
        <v>32721</v>
      </c>
      <c r="B218" s="59">
        <f>VLOOKUP(Table1[[#This Row],[Date]],database!A:B,2,)</f>
        <v>61.833399999999997</v>
      </c>
      <c r="C218" s="67">
        <f t="shared" si="3"/>
        <v>9.8793862335351257E-3</v>
      </c>
      <c r="D218" s="67">
        <f>(Table1[[#This Row],[Index]]-B206)/B206</f>
        <v>3.4077963890340496E-3</v>
      </c>
    </row>
    <row r="219" spans="1:4" x14ac:dyDescent="0.2">
      <c r="A219" s="17">
        <v>32752</v>
      </c>
      <c r="B219" s="59">
        <f>VLOOKUP(Table1[[#This Row],[Date]],database!A:B,2,)</f>
        <v>61.622100000000003</v>
      </c>
      <c r="C219" s="67">
        <f t="shared" si="3"/>
        <v>-3.4172469894909741E-3</v>
      </c>
      <c r="D219" s="67">
        <f>(Table1[[#This Row],[Index]]-B207)/B207</f>
        <v>3.2006251475365064E-3</v>
      </c>
    </row>
    <row r="220" spans="1:4" x14ac:dyDescent="0.2">
      <c r="A220" s="17">
        <v>32782</v>
      </c>
      <c r="B220" s="59">
        <f>VLOOKUP(Table1[[#This Row],[Date]],database!A:B,2,)</f>
        <v>61.553699999999999</v>
      </c>
      <c r="C220" s="67">
        <f t="shared" si="3"/>
        <v>-1.1099913829617503E-3</v>
      </c>
      <c r="D220" s="67">
        <f>(Table1[[#This Row],[Index]]-B208)/B208</f>
        <v>-2.2741271436444942E-3</v>
      </c>
    </row>
    <row r="221" spans="1:4" x14ac:dyDescent="0.2">
      <c r="A221" s="17">
        <v>32813</v>
      </c>
      <c r="B221" s="59">
        <f>VLOOKUP(Table1[[#This Row],[Date]],database!A:B,2,)</f>
        <v>61.7575</v>
      </c>
      <c r="C221" s="67">
        <f t="shared" si="3"/>
        <v>3.3109301309264261E-3</v>
      </c>
      <c r="D221" s="67">
        <f>(Table1[[#This Row],[Index]]-B209)/B209</f>
        <v>-1.4858672840804038E-3</v>
      </c>
    </row>
    <row r="222" spans="1:4" x14ac:dyDescent="0.2">
      <c r="A222" s="17">
        <v>32843</v>
      </c>
      <c r="B222" s="59">
        <f>VLOOKUP(Table1[[#This Row],[Date]],database!A:B,2,)</f>
        <v>62.1111</v>
      </c>
      <c r="C222" s="67">
        <f t="shared" si="3"/>
        <v>5.7256203699955766E-3</v>
      </c>
      <c r="D222" s="67">
        <f>(Table1[[#This Row],[Index]]-B210)/B210</f>
        <v>-9.659175975697879E-5</v>
      </c>
    </row>
    <row r="223" spans="1:4" x14ac:dyDescent="0.2">
      <c r="A223" s="17">
        <v>32874</v>
      </c>
      <c r="B223" s="59">
        <f>VLOOKUP(Table1[[#This Row],[Date]],database!A:B,2,)</f>
        <v>61.778100000000002</v>
      </c>
      <c r="C223" s="67">
        <f t="shared" si="3"/>
        <v>-5.3613605297603284E-3</v>
      </c>
      <c r="D223" s="67">
        <f>(Table1[[#This Row],[Index]]-B211)/B211</f>
        <v>-8.5411240196242993E-3</v>
      </c>
    </row>
    <row r="224" spans="1:4" x14ac:dyDescent="0.2">
      <c r="A224" s="17">
        <v>32905</v>
      </c>
      <c r="B224" s="59">
        <f>VLOOKUP(Table1[[#This Row],[Date]],database!A:B,2,)</f>
        <v>62.342599999999997</v>
      </c>
      <c r="C224" s="67">
        <f t="shared" si="3"/>
        <v>9.1375422682147267E-3</v>
      </c>
      <c r="D224" s="67">
        <f>(Table1[[#This Row],[Index]]-B212)/B212</f>
        <v>4.9536312389880906E-3</v>
      </c>
    </row>
    <row r="225" spans="1:4" x14ac:dyDescent="0.2">
      <c r="A225" s="17">
        <v>32933</v>
      </c>
      <c r="B225" s="59">
        <f>VLOOKUP(Table1[[#This Row],[Date]],database!A:B,2,)</f>
        <v>62.644599999999997</v>
      </c>
      <c r="C225" s="67">
        <f t="shared" si="3"/>
        <v>4.8441996323540515E-3</v>
      </c>
      <c r="D225" s="67">
        <f>(Table1[[#This Row],[Index]]-B213)/B213</f>
        <v>7.2288769193664549E-3</v>
      </c>
    </row>
    <row r="226" spans="1:4" x14ac:dyDescent="0.2">
      <c r="A226" s="17">
        <v>32964</v>
      </c>
      <c r="B226" s="59">
        <f>VLOOKUP(Table1[[#This Row],[Date]],database!A:B,2,)</f>
        <v>62.510399999999997</v>
      </c>
      <c r="C226" s="67">
        <f t="shared" si="3"/>
        <v>-2.1422437049641863E-3</v>
      </c>
      <c r="D226" s="67">
        <f>(Table1[[#This Row],[Index]]-B214)/B214</f>
        <v>5.3896000501806518E-3</v>
      </c>
    </row>
    <row r="227" spans="1:4" x14ac:dyDescent="0.2">
      <c r="A227" s="17">
        <v>32994</v>
      </c>
      <c r="B227" s="59">
        <f>VLOOKUP(Table1[[#This Row],[Date]],database!A:B,2,)</f>
        <v>62.689799999999998</v>
      </c>
      <c r="C227" s="67">
        <f t="shared" si="3"/>
        <v>2.8699224449051375E-3</v>
      </c>
      <c r="D227" s="67">
        <f>(Table1[[#This Row],[Index]]-B215)/B215</f>
        <v>1.3871435710577536E-2</v>
      </c>
    </row>
    <row r="228" spans="1:4" x14ac:dyDescent="0.2">
      <c r="A228" s="17">
        <v>33025</v>
      </c>
      <c r="B228" s="59">
        <f>VLOOKUP(Table1[[#This Row],[Date]],database!A:B,2,)</f>
        <v>62.892299999999999</v>
      </c>
      <c r="C228" s="67">
        <f t="shared" si="3"/>
        <v>3.2301905573155487E-3</v>
      </c>
      <c r="D228" s="67">
        <f>(Table1[[#This Row],[Index]]-B216)/B216</f>
        <v>1.7269824632913149E-2</v>
      </c>
    </row>
    <row r="229" spans="1:4" x14ac:dyDescent="0.2">
      <c r="A229" s="17">
        <v>33055</v>
      </c>
      <c r="B229" s="59">
        <f>VLOOKUP(Table1[[#This Row],[Date]],database!A:B,2,)</f>
        <v>62.793300000000002</v>
      </c>
      <c r="C229" s="67">
        <f t="shared" si="3"/>
        <v>-1.5741195663061536E-3</v>
      </c>
      <c r="D229" s="67">
        <f>(Table1[[#This Row],[Index]]-B217)/B217</f>
        <v>2.5556726034444831E-2</v>
      </c>
    </row>
    <row r="230" spans="1:4" x14ac:dyDescent="0.2">
      <c r="A230" s="17">
        <v>33086</v>
      </c>
      <c r="B230" s="59">
        <f>VLOOKUP(Table1[[#This Row],[Date]],database!A:B,2,)</f>
        <v>63.024099999999997</v>
      </c>
      <c r="C230" s="67">
        <f t="shared" si="3"/>
        <v>3.6755513725190703E-3</v>
      </c>
      <c r="D230" s="67">
        <f>(Table1[[#This Row],[Index]]-B218)/B218</f>
        <v>1.9256583011770332E-2</v>
      </c>
    </row>
    <row r="231" spans="1:4" x14ac:dyDescent="0.2">
      <c r="A231" s="17">
        <v>33117</v>
      </c>
      <c r="B231" s="59">
        <f>VLOOKUP(Table1[[#This Row],[Date]],database!A:B,2,)</f>
        <v>63.032800000000002</v>
      </c>
      <c r="C231" s="67">
        <f t="shared" si="3"/>
        <v>1.3804243138748618E-4</v>
      </c>
      <c r="D231" s="67">
        <f>(Table1[[#This Row],[Index]]-B219)/B219</f>
        <v>2.2892760876373874E-2</v>
      </c>
    </row>
    <row r="232" spans="1:4" x14ac:dyDescent="0.2">
      <c r="A232" s="17">
        <v>33147</v>
      </c>
      <c r="B232" s="59">
        <f>VLOOKUP(Table1[[#This Row],[Date]],database!A:B,2,)</f>
        <v>62.646599999999999</v>
      </c>
      <c r="C232" s="67">
        <f t="shared" si="3"/>
        <v>-6.126968816235423E-3</v>
      </c>
      <c r="D232" s="67">
        <f>(Table1[[#This Row],[Index]]-B220)/B220</f>
        <v>1.7755228361576968E-2</v>
      </c>
    </row>
    <row r="233" spans="1:4" x14ac:dyDescent="0.2">
      <c r="A233" s="17">
        <v>33178</v>
      </c>
      <c r="B233" s="59">
        <f>VLOOKUP(Table1[[#This Row],[Date]],database!A:B,2,)</f>
        <v>61.868099999999998</v>
      </c>
      <c r="C233" s="67">
        <f t="shared" si="3"/>
        <v>-1.2426851576941123E-2</v>
      </c>
      <c r="D233" s="67">
        <f>(Table1[[#This Row],[Index]]-B221)/B221</f>
        <v>1.7908756021535526E-3</v>
      </c>
    </row>
    <row r="234" spans="1:4" x14ac:dyDescent="0.2">
      <c r="A234" s="17">
        <v>33208</v>
      </c>
      <c r="B234" s="59">
        <f>VLOOKUP(Table1[[#This Row],[Date]],database!A:B,2,)</f>
        <v>61.4345</v>
      </c>
      <c r="C234" s="67">
        <f t="shared" si="3"/>
        <v>-7.0084583169678361E-3</v>
      </c>
      <c r="D234" s="67">
        <f>(Table1[[#This Row],[Index]]-B222)/B222</f>
        <v>-1.0893382986293923E-2</v>
      </c>
    </row>
    <row r="235" spans="1:4" x14ac:dyDescent="0.2">
      <c r="A235" s="17">
        <v>33239</v>
      </c>
      <c r="B235" s="59">
        <f>VLOOKUP(Table1[[#This Row],[Date]],database!A:B,2,)</f>
        <v>61.2241</v>
      </c>
      <c r="C235" s="67">
        <f t="shared" si="3"/>
        <v>-3.4247857474219989E-3</v>
      </c>
      <c r="D235" s="67">
        <f>(Table1[[#This Row],[Index]]-B223)/B223</f>
        <v>-8.9675791259362456E-3</v>
      </c>
    </row>
    <row r="236" spans="1:4" x14ac:dyDescent="0.2">
      <c r="A236" s="17">
        <v>33270</v>
      </c>
      <c r="B236" s="59">
        <f>VLOOKUP(Table1[[#This Row],[Date]],database!A:B,2,)</f>
        <v>60.779000000000003</v>
      </c>
      <c r="C236" s="67">
        <f t="shared" si="3"/>
        <v>-7.2700129524156942E-3</v>
      </c>
      <c r="D236" s="67">
        <f>(Table1[[#This Row],[Index]]-B224)/B224</f>
        <v>-2.5080763394532694E-2</v>
      </c>
    </row>
    <row r="237" spans="1:4" x14ac:dyDescent="0.2">
      <c r="A237" s="17">
        <v>33298</v>
      </c>
      <c r="B237" s="59">
        <f>VLOOKUP(Table1[[#This Row],[Date]],database!A:B,2,)</f>
        <v>60.4377</v>
      </c>
      <c r="C237" s="67">
        <f t="shared" si="3"/>
        <v>-5.6154263808223526E-3</v>
      </c>
      <c r="D237" s="67">
        <f>(Table1[[#This Row],[Index]]-B225)/B225</f>
        <v>-3.5228894429847064E-2</v>
      </c>
    </row>
    <row r="238" spans="1:4" x14ac:dyDescent="0.2">
      <c r="A238" s="17">
        <v>33329</v>
      </c>
      <c r="B238" s="59">
        <f>VLOOKUP(Table1[[#This Row],[Date]],database!A:B,2,)</f>
        <v>60.598199999999999</v>
      </c>
      <c r="C238" s="67">
        <f t="shared" si="3"/>
        <v>2.6556271995790137E-3</v>
      </c>
      <c r="D238" s="67">
        <f>(Table1[[#This Row],[Index]]-B226)/B226</f>
        <v>-3.0590109805728304E-2</v>
      </c>
    </row>
    <row r="239" spans="1:4" x14ac:dyDescent="0.2">
      <c r="A239" s="17">
        <v>33359</v>
      </c>
      <c r="B239" s="59">
        <f>VLOOKUP(Table1[[#This Row],[Date]],database!A:B,2,)</f>
        <v>61.204099999999997</v>
      </c>
      <c r="C239" s="67">
        <f t="shared" si="3"/>
        <v>9.9986468244930293E-3</v>
      </c>
      <c r="D239" s="67">
        <f>(Table1[[#This Row],[Index]]-B227)/B227</f>
        <v>-2.3699230177796092E-2</v>
      </c>
    </row>
    <row r="240" spans="1:4" x14ac:dyDescent="0.2">
      <c r="A240" s="17">
        <v>33390</v>
      </c>
      <c r="B240" s="59">
        <f>VLOOKUP(Table1[[#This Row],[Date]],database!A:B,2,)</f>
        <v>61.692300000000003</v>
      </c>
      <c r="C240" s="67">
        <f t="shared" si="3"/>
        <v>7.9765898036243676E-3</v>
      </c>
      <c r="D240" s="67">
        <f>(Table1[[#This Row],[Index]]-B228)/B228</f>
        <v>-1.9080237167347924E-2</v>
      </c>
    </row>
    <row r="241" spans="1:4" x14ac:dyDescent="0.2">
      <c r="A241" s="17">
        <v>33420</v>
      </c>
      <c r="B241" s="59">
        <f>VLOOKUP(Table1[[#This Row],[Date]],database!A:B,2,)</f>
        <v>61.856900000000003</v>
      </c>
      <c r="C241" s="67">
        <f t="shared" si="3"/>
        <v>2.6680801331770976E-3</v>
      </c>
      <c r="D241" s="67">
        <f>(Table1[[#This Row],[Index]]-B229)/B229</f>
        <v>-1.4912419000116238E-2</v>
      </c>
    </row>
    <row r="242" spans="1:4" x14ac:dyDescent="0.2">
      <c r="A242" s="17">
        <v>33451</v>
      </c>
      <c r="B242" s="59">
        <f>VLOOKUP(Table1[[#This Row],[Date]],database!A:B,2,)</f>
        <v>61.868099999999998</v>
      </c>
      <c r="C242" s="67">
        <f t="shared" si="3"/>
        <v>1.8106306652931892E-4</v>
      </c>
      <c r="D242" s="67">
        <f>(Table1[[#This Row],[Index]]-B230)/B230</f>
        <v>-1.8342189733768492E-2</v>
      </c>
    </row>
    <row r="243" spans="1:4" x14ac:dyDescent="0.2">
      <c r="A243" s="17">
        <v>33482</v>
      </c>
      <c r="B243" s="59">
        <f>VLOOKUP(Table1[[#This Row],[Date]],database!A:B,2,)</f>
        <v>62.3855</v>
      </c>
      <c r="C243" s="67">
        <f t="shared" si="3"/>
        <v>8.3629527979687257E-3</v>
      </c>
      <c r="D243" s="67">
        <f>(Table1[[#This Row],[Index]]-B231)/B231</f>
        <v>-1.0269256640986935E-2</v>
      </c>
    </row>
    <row r="244" spans="1:4" x14ac:dyDescent="0.2">
      <c r="A244" s="17">
        <v>33512</v>
      </c>
      <c r="B244" s="59">
        <f>VLOOKUP(Table1[[#This Row],[Date]],database!A:B,2,)</f>
        <v>62.322899999999997</v>
      </c>
      <c r="C244" s="67">
        <f t="shared" si="3"/>
        <v>-1.0034382989637658E-3</v>
      </c>
      <c r="D244" s="67">
        <f>(Table1[[#This Row],[Index]]-B232)/B232</f>
        <v>-5.1670800969246906E-3</v>
      </c>
    </row>
    <row r="245" spans="1:4" x14ac:dyDescent="0.2">
      <c r="A245" s="17">
        <v>33543</v>
      </c>
      <c r="B245" s="59">
        <f>VLOOKUP(Table1[[#This Row],[Date]],database!A:B,2,)</f>
        <v>62.242699999999999</v>
      </c>
      <c r="C245" s="67">
        <f t="shared" si="3"/>
        <v>-1.2868464079816011E-3</v>
      </c>
      <c r="D245" s="67">
        <f>(Table1[[#This Row],[Index]]-B233)/B233</f>
        <v>6.054816617933975E-3</v>
      </c>
    </row>
    <row r="246" spans="1:4" x14ac:dyDescent="0.2">
      <c r="A246" s="17">
        <v>33573</v>
      </c>
      <c r="B246" s="59">
        <f>VLOOKUP(Table1[[#This Row],[Date]],database!A:B,2,)</f>
        <v>61.970500000000001</v>
      </c>
      <c r="C246" s="67">
        <f t="shared" si="3"/>
        <v>-4.3732036045993627E-3</v>
      </c>
      <c r="D246" s="67">
        <f>(Table1[[#This Row],[Index]]-B234)/B234</f>
        <v>8.7247393565504944E-3</v>
      </c>
    </row>
    <row r="247" spans="1:4" x14ac:dyDescent="0.2">
      <c r="A247" s="17">
        <v>33604</v>
      </c>
      <c r="B247" s="59">
        <f>VLOOKUP(Table1[[#This Row],[Date]],database!A:B,2,)</f>
        <v>61.647100000000002</v>
      </c>
      <c r="C247" s="67">
        <f t="shared" si="3"/>
        <v>-5.2186120815549408E-3</v>
      </c>
      <c r="D247" s="67">
        <f>(Table1[[#This Row],[Index]]-B235)/B235</f>
        <v>6.9090439875800838E-3</v>
      </c>
    </row>
    <row r="248" spans="1:4" x14ac:dyDescent="0.2">
      <c r="A248" s="17">
        <v>33635</v>
      </c>
      <c r="B248" s="59">
        <f>VLOOKUP(Table1[[#This Row],[Date]],database!A:B,2,)</f>
        <v>62.0794</v>
      </c>
      <c r="C248" s="67">
        <f t="shared" si="3"/>
        <v>7.0124953160812797E-3</v>
      </c>
      <c r="D248" s="67">
        <f>(Table1[[#This Row],[Index]]-B236)/B236</f>
        <v>2.1395547804340252E-2</v>
      </c>
    </row>
    <row r="249" spans="1:4" x14ac:dyDescent="0.2">
      <c r="A249" s="17">
        <v>33664</v>
      </c>
      <c r="B249" s="59">
        <f>VLOOKUP(Table1[[#This Row],[Date]],database!A:B,2,)</f>
        <v>62.595500000000001</v>
      </c>
      <c r="C249" s="67">
        <f t="shared" si="3"/>
        <v>8.3135468448471972E-3</v>
      </c>
      <c r="D249" s="67">
        <f>(Table1[[#This Row],[Index]]-B237)/B237</f>
        <v>3.5702880817767749E-2</v>
      </c>
    </row>
    <row r="250" spans="1:4" x14ac:dyDescent="0.2">
      <c r="A250" s="17">
        <v>33695</v>
      </c>
      <c r="B250" s="59">
        <f>VLOOKUP(Table1[[#This Row],[Date]],database!A:B,2,)</f>
        <v>63.072600000000001</v>
      </c>
      <c r="C250" s="67">
        <f t="shared" si="3"/>
        <v>7.6219536548154387E-3</v>
      </c>
      <c r="D250" s="67">
        <f>(Table1[[#This Row],[Index]]-B238)/B238</f>
        <v>4.0832896026614697E-2</v>
      </c>
    </row>
    <row r="251" spans="1:4" x14ac:dyDescent="0.2">
      <c r="A251" s="17">
        <v>33725</v>
      </c>
      <c r="B251" s="59">
        <f>VLOOKUP(Table1[[#This Row],[Date]],database!A:B,2,)</f>
        <v>63.2761</v>
      </c>
      <c r="C251" s="67">
        <f t="shared" si="3"/>
        <v>3.2264406414195257E-3</v>
      </c>
      <c r="D251" s="67">
        <f>(Table1[[#This Row],[Index]]-B239)/B239</f>
        <v>3.3853941157536878E-2</v>
      </c>
    </row>
    <row r="252" spans="1:4" x14ac:dyDescent="0.2">
      <c r="A252" s="17">
        <v>33756</v>
      </c>
      <c r="B252" s="59">
        <f>VLOOKUP(Table1[[#This Row],[Date]],database!A:B,2,)</f>
        <v>63.310200000000002</v>
      </c>
      <c r="C252" s="67">
        <f t="shared" si="3"/>
        <v>5.3890805533218789E-4</v>
      </c>
      <c r="D252" s="67">
        <f>(Table1[[#This Row],[Index]]-B240)/B240</f>
        <v>2.6225314990687632E-2</v>
      </c>
    </row>
    <row r="253" spans="1:4" x14ac:dyDescent="0.2">
      <c r="A253" s="17">
        <v>33786</v>
      </c>
      <c r="B253" s="59">
        <f>VLOOKUP(Table1[[#This Row],[Date]],database!A:B,2,)</f>
        <v>63.876899999999999</v>
      </c>
      <c r="C253" s="67">
        <f t="shared" si="3"/>
        <v>8.9511642673691938E-3</v>
      </c>
      <c r="D253" s="67">
        <f>(Table1[[#This Row],[Index]]-B241)/B241</f>
        <v>3.2656017356188172E-2</v>
      </c>
    </row>
    <row r="254" spans="1:4" x14ac:dyDescent="0.2">
      <c r="A254" s="17">
        <v>33817</v>
      </c>
      <c r="B254" s="59">
        <f>VLOOKUP(Table1[[#This Row],[Date]],database!A:B,2,)</f>
        <v>63.522100000000002</v>
      </c>
      <c r="C254" s="67">
        <f t="shared" si="3"/>
        <v>-5.5544336058888089E-3</v>
      </c>
      <c r="D254" s="67">
        <f>(Table1[[#This Row],[Index]]-B242)/B242</f>
        <v>2.6734294410204994E-2</v>
      </c>
    </row>
    <row r="255" spans="1:4" x14ac:dyDescent="0.2">
      <c r="A255" s="17">
        <v>33848</v>
      </c>
      <c r="B255" s="59">
        <f>VLOOKUP(Table1[[#This Row],[Date]],database!A:B,2,)</f>
        <v>63.721699999999998</v>
      </c>
      <c r="C255" s="67">
        <f t="shared" si="3"/>
        <v>3.1422134973497773E-3</v>
      </c>
      <c r="D255" s="67">
        <f>(Table1[[#This Row],[Index]]-B243)/B243</f>
        <v>2.1418438579477572E-2</v>
      </c>
    </row>
    <row r="256" spans="1:4" x14ac:dyDescent="0.2">
      <c r="A256" s="17">
        <v>33878</v>
      </c>
      <c r="B256" s="59">
        <f>VLOOKUP(Table1[[#This Row],[Date]],database!A:B,2,)</f>
        <v>64.155600000000007</v>
      </c>
      <c r="C256" s="67">
        <f t="shared" si="3"/>
        <v>6.8092973037443549E-3</v>
      </c>
      <c r="D256" s="67">
        <f>(Table1[[#This Row],[Index]]-B244)/B244</f>
        <v>2.9406526333017397E-2</v>
      </c>
    </row>
    <row r="257" spans="1:4" x14ac:dyDescent="0.2">
      <c r="A257" s="17">
        <v>33909</v>
      </c>
      <c r="B257" s="59">
        <f>VLOOKUP(Table1[[#This Row],[Date]],database!A:B,2,)</f>
        <v>64.414400000000001</v>
      </c>
      <c r="C257" s="67">
        <f t="shared" si="3"/>
        <v>4.0339424773518928E-3</v>
      </c>
      <c r="D257" s="67">
        <f>(Table1[[#This Row],[Index]]-B245)/B245</f>
        <v>3.4890838604366474E-2</v>
      </c>
    </row>
    <row r="258" spans="1:4" x14ac:dyDescent="0.2">
      <c r="A258" s="17">
        <v>33939</v>
      </c>
      <c r="B258" s="59">
        <f>VLOOKUP(Table1[[#This Row],[Date]],database!A:B,2,)</f>
        <v>64.516099999999994</v>
      </c>
      <c r="C258" s="67">
        <f t="shared" si="3"/>
        <v>1.5788395141458356E-3</v>
      </c>
      <c r="D258" s="67">
        <f>(Table1[[#This Row],[Index]]-B246)/B246</f>
        <v>4.1077609507749545E-2</v>
      </c>
    </row>
    <row r="259" spans="1:4" x14ac:dyDescent="0.2">
      <c r="A259" s="17">
        <v>33970</v>
      </c>
      <c r="B259" s="59">
        <f>VLOOKUP(Table1[[#This Row],[Date]],database!A:B,2,)</f>
        <v>64.773799999999994</v>
      </c>
      <c r="C259" s="67">
        <f t="shared" si="3"/>
        <v>3.9943517974583287E-3</v>
      </c>
      <c r="D259" s="67">
        <f>(Table1[[#This Row],[Index]]-B247)/B247</f>
        <v>5.0719336351588193E-2</v>
      </c>
    </row>
    <row r="260" spans="1:4" x14ac:dyDescent="0.2">
      <c r="A260" s="17">
        <v>34001</v>
      </c>
      <c r="B260" s="59">
        <f>VLOOKUP(Table1[[#This Row],[Date]],database!A:B,2,)</f>
        <v>65.080500000000001</v>
      </c>
      <c r="C260" s="67">
        <f t="shared" si="3"/>
        <v>4.7349391266222618E-3</v>
      </c>
      <c r="D260" s="67">
        <f>(Table1[[#This Row],[Index]]-B248)/B248</f>
        <v>4.834292857211895E-2</v>
      </c>
    </row>
    <row r="261" spans="1:4" x14ac:dyDescent="0.2">
      <c r="A261" s="17">
        <v>34029</v>
      </c>
      <c r="B261" s="59">
        <f>VLOOKUP(Table1[[#This Row],[Date]],database!A:B,2,)</f>
        <v>65.017600000000002</v>
      </c>
      <c r="C261" s="67">
        <f t="shared" si="3"/>
        <v>-9.6649534038617535E-4</v>
      </c>
      <c r="D261" s="67">
        <f>(Table1[[#This Row],[Index]]-B249)/B249</f>
        <v>3.8694474842440756E-2</v>
      </c>
    </row>
    <row r="262" spans="1:4" x14ac:dyDescent="0.2">
      <c r="A262" s="17">
        <v>34060</v>
      </c>
      <c r="B262" s="59">
        <f>VLOOKUP(Table1[[#This Row],[Date]],database!A:B,2,)</f>
        <v>65.204099999999997</v>
      </c>
      <c r="C262" s="67">
        <f t="shared" si="3"/>
        <v>2.8684540801258152E-3</v>
      </c>
      <c r="D262" s="67">
        <f>(Table1[[#This Row],[Index]]-B250)/B250</f>
        <v>3.3794389322780345E-2</v>
      </c>
    </row>
    <row r="263" spans="1:4" x14ac:dyDescent="0.2">
      <c r="A263" s="17">
        <v>34090</v>
      </c>
      <c r="B263" s="59">
        <f>VLOOKUP(Table1[[#This Row],[Date]],database!A:B,2,)</f>
        <v>64.943299999999994</v>
      </c>
      <c r="C263" s="67">
        <f t="shared" si="3"/>
        <v>-3.9997484820740725E-3</v>
      </c>
      <c r="D263" s="67">
        <f>(Table1[[#This Row],[Index]]-B251)/B251</f>
        <v>2.6348020816706372E-2</v>
      </c>
    </row>
    <row r="264" spans="1:4" x14ac:dyDescent="0.2">
      <c r="A264" s="17">
        <v>34121</v>
      </c>
      <c r="B264" s="59">
        <f>VLOOKUP(Table1[[#This Row],[Date]],database!A:B,2,)</f>
        <v>65.098399999999998</v>
      </c>
      <c r="C264" s="67">
        <f t="shared" ref="C264:C327" si="4">B264/B263-1</f>
        <v>2.3882371237680111E-3</v>
      </c>
      <c r="D264" s="67">
        <f>(Table1[[#This Row],[Index]]-B252)/B252</f>
        <v>2.824505371962174E-2</v>
      </c>
    </row>
    <row r="265" spans="1:4" x14ac:dyDescent="0.2">
      <c r="A265" s="17">
        <v>34151</v>
      </c>
      <c r="B265" s="59">
        <f>VLOOKUP(Table1[[#This Row],[Date]],database!A:B,2,)</f>
        <v>65.255399999999995</v>
      </c>
      <c r="C265" s="67">
        <f t="shared" si="4"/>
        <v>2.4117336217173158E-3</v>
      </c>
      <c r="D265" s="67">
        <f>(Table1[[#This Row],[Index]]-B253)/B253</f>
        <v>2.1580571380264157E-2</v>
      </c>
    </row>
    <row r="266" spans="1:4" x14ac:dyDescent="0.2">
      <c r="A266" s="17">
        <v>34182</v>
      </c>
      <c r="B266" s="59">
        <f>VLOOKUP(Table1[[#This Row],[Date]],database!A:B,2,)</f>
        <v>65.194599999999994</v>
      </c>
      <c r="C266" s="67">
        <f t="shared" si="4"/>
        <v>-9.3172365811866609E-4</v>
      </c>
      <c r="D266" s="67">
        <f>(Table1[[#This Row],[Index]]-B254)/B254</f>
        <v>2.6329419210007105E-2</v>
      </c>
    </row>
    <row r="267" spans="1:4" x14ac:dyDescent="0.2">
      <c r="A267" s="17">
        <v>34213</v>
      </c>
      <c r="B267" s="59">
        <f>VLOOKUP(Table1[[#This Row],[Date]],database!A:B,2,)</f>
        <v>65.528199999999998</v>
      </c>
      <c r="C267" s="67">
        <f t="shared" si="4"/>
        <v>5.11698821681561E-3</v>
      </c>
      <c r="D267" s="67">
        <f>(Table1[[#This Row],[Index]]-B255)/B255</f>
        <v>2.8349840007407208E-2</v>
      </c>
    </row>
    <row r="268" spans="1:4" x14ac:dyDescent="0.2">
      <c r="A268" s="17">
        <v>34243</v>
      </c>
      <c r="B268" s="59">
        <f>VLOOKUP(Table1[[#This Row],[Date]],database!A:B,2,)</f>
        <v>66.015199999999993</v>
      </c>
      <c r="C268" s="67">
        <f t="shared" si="4"/>
        <v>7.4319148091965825E-3</v>
      </c>
      <c r="D268" s="67">
        <f>(Table1[[#This Row],[Index]]-B256)/B256</f>
        <v>2.8985778326443615E-2</v>
      </c>
    </row>
    <row r="269" spans="1:4" x14ac:dyDescent="0.2">
      <c r="A269" s="17">
        <v>34274</v>
      </c>
      <c r="B269" s="59">
        <f>VLOOKUP(Table1[[#This Row],[Date]],database!A:B,2,)</f>
        <v>66.3292</v>
      </c>
      <c r="C269" s="67">
        <f t="shared" si="4"/>
        <v>4.756480325743162E-3</v>
      </c>
      <c r="D269" s="67">
        <f>(Table1[[#This Row],[Index]]-B257)/B257</f>
        <v>2.972627238629871E-2</v>
      </c>
    </row>
    <row r="270" spans="1:4" x14ac:dyDescent="0.2">
      <c r="A270" s="17">
        <v>34304</v>
      </c>
      <c r="B270" s="59">
        <f>VLOOKUP(Table1[[#This Row],[Date]],database!A:B,2,)</f>
        <v>66.703800000000001</v>
      </c>
      <c r="C270" s="67">
        <f t="shared" si="4"/>
        <v>5.6475880909161447E-3</v>
      </c>
      <c r="D270" s="67">
        <f>(Table1[[#This Row],[Index]]-B258)/B258</f>
        <v>3.3909365259214473E-2</v>
      </c>
    </row>
    <row r="271" spans="1:4" x14ac:dyDescent="0.2">
      <c r="A271" s="17">
        <v>34335</v>
      </c>
      <c r="B271" s="59">
        <f>VLOOKUP(Table1[[#This Row],[Date]],database!A:B,2,)</f>
        <v>66.916399999999996</v>
      </c>
      <c r="C271" s="67">
        <f t="shared" si="4"/>
        <v>3.1872247158331035E-3</v>
      </c>
      <c r="D271" s="67">
        <f>(Table1[[#This Row],[Index]]-B259)/B259</f>
        <v>3.3078189020869578E-2</v>
      </c>
    </row>
    <row r="272" spans="1:4" x14ac:dyDescent="0.2">
      <c r="A272" s="17">
        <v>34366</v>
      </c>
      <c r="B272" s="59">
        <f>VLOOKUP(Table1[[#This Row],[Date]],database!A:B,2,)</f>
        <v>66.964200000000005</v>
      </c>
      <c r="C272" s="67">
        <f t="shared" si="4"/>
        <v>7.1432414176508807E-4</v>
      </c>
      <c r="D272" s="67">
        <f>(Table1[[#This Row],[Index]]-B260)/B260</f>
        <v>2.8944153778781734E-2</v>
      </c>
    </row>
    <row r="273" spans="1:4" x14ac:dyDescent="0.2">
      <c r="A273" s="17">
        <v>34394</v>
      </c>
      <c r="B273" s="59">
        <f>VLOOKUP(Table1[[#This Row],[Date]],database!A:B,2,)</f>
        <v>67.633499999999998</v>
      </c>
      <c r="C273" s="67">
        <f t="shared" si="4"/>
        <v>9.9948927934627729E-3</v>
      </c>
      <c r="D273" s="67">
        <f>(Table1[[#This Row],[Index]]-B261)/B261</f>
        <v>4.0233721330839592E-2</v>
      </c>
    </row>
    <row r="274" spans="1:4" x14ac:dyDescent="0.2">
      <c r="A274" s="17">
        <v>34425</v>
      </c>
      <c r="B274" s="59">
        <f>VLOOKUP(Table1[[#This Row],[Date]],database!A:B,2,)</f>
        <v>68.0334</v>
      </c>
      <c r="C274" s="67">
        <f t="shared" si="4"/>
        <v>5.9127503382199187E-3</v>
      </c>
      <c r="D274" s="67">
        <f>(Table1[[#This Row],[Index]]-B262)/B262</f>
        <v>4.339144317611935E-2</v>
      </c>
    </row>
    <row r="275" spans="1:4" x14ac:dyDescent="0.2">
      <c r="A275" s="17">
        <v>34455</v>
      </c>
      <c r="B275" s="59">
        <f>VLOOKUP(Table1[[#This Row],[Date]],database!A:B,2,)</f>
        <v>68.353099999999998</v>
      </c>
      <c r="C275" s="67">
        <f t="shared" si="4"/>
        <v>4.6991624701984147E-3</v>
      </c>
      <c r="D275" s="67">
        <f>(Table1[[#This Row],[Index]]-B263)/B263</f>
        <v>5.2504261409568105E-2</v>
      </c>
    </row>
    <row r="276" spans="1:4" x14ac:dyDescent="0.2">
      <c r="A276" s="17">
        <v>34486</v>
      </c>
      <c r="B276" s="59">
        <f>VLOOKUP(Table1[[#This Row],[Date]],database!A:B,2,)</f>
        <v>68.800200000000004</v>
      </c>
      <c r="C276" s="67">
        <f t="shared" si="4"/>
        <v>6.5410347153238568E-3</v>
      </c>
      <c r="D276" s="67">
        <f>(Table1[[#This Row],[Index]]-B264)/B264</f>
        <v>5.6864684846325037E-2</v>
      </c>
    </row>
    <row r="277" spans="1:4" x14ac:dyDescent="0.2">
      <c r="A277" s="17">
        <v>34516</v>
      </c>
      <c r="B277" s="59">
        <f>VLOOKUP(Table1[[#This Row],[Date]],database!A:B,2,)</f>
        <v>68.886300000000006</v>
      </c>
      <c r="C277" s="67">
        <f t="shared" si="4"/>
        <v>1.2514498504365701E-3</v>
      </c>
      <c r="D277" s="67">
        <f>(Table1[[#This Row],[Index]]-B265)/B265</f>
        <v>5.5641372208277189E-2</v>
      </c>
    </row>
    <row r="278" spans="1:4" x14ac:dyDescent="0.2">
      <c r="A278" s="17">
        <v>34547</v>
      </c>
      <c r="B278" s="59">
        <f>VLOOKUP(Table1[[#This Row],[Date]],database!A:B,2,)</f>
        <v>69.341200000000001</v>
      </c>
      <c r="C278" s="67">
        <f t="shared" si="4"/>
        <v>6.6036352656477781E-3</v>
      </c>
      <c r="D278" s="67">
        <f>(Table1[[#This Row],[Index]]-B266)/B266</f>
        <v>6.3603427277719421E-2</v>
      </c>
    </row>
    <row r="279" spans="1:4" x14ac:dyDescent="0.2">
      <c r="A279" s="17">
        <v>34578</v>
      </c>
      <c r="B279" s="59">
        <f>VLOOKUP(Table1[[#This Row],[Date]],database!A:B,2,)</f>
        <v>69.557400000000001</v>
      </c>
      <c r="C279" s="67">
        <f t="shared" si="4"/>
        <v>3.1179154672835718E-3</v>
      </c>
      <c r="D279" s="67">
        <f>(Table1[[#This Row],[Index]]-B267)/B267</f>
        <v>6.1488031107218011E-2</v>
      </c>
    </row>
    <row r="280" spans="1:4" x14ac:dyDescent="0.2">
      <c r="A280" s="17">
        <v>34608</v>
      </c>
      <c r="B280" s="59">
        <f>VLOOKUP(Table1[[#This Row],[Date]],database!A:B,2,)</f>
        <v>70.119</v>
      </c>
      <c r="C280" s="67">
        <f t="shared" si="4"/>
        <v>8.0739073053333055E-3</v>
      </c>
      <c r="D280" s="67">
        <f>(Table1[[#This Row],[Index]]-B268)/B268</f>
        <v>6.2164471212690517E-2</v>
      </c>
    </row>
    <row r="281" spans="1:4" x14ac:dyDescent="0.2">
      <c r="A281" s="17">
        <v>34639</v>
      </c>
      <c r="B281" s="59">
        <f>VLOOKUP(Table1[[#This Row],[Date]],database!A:B,2,)</f>
        <v>70.594200000000001</v>
      </c>
      <c r="C281" s="67">
        <f t="shared" si="4"/>
        <v>6.7770504428186218E-3</v>
      </c>
      <c r="D281" s="67">
        <f>(Table1[[#This Row],[Index]]-B269)/B269</f>
        <v>6.4300489075701212E-2</v>
      </c>
    </row>
    <row r="282" spans="1:4" x14ac:dyDescent="0.2">
      <c r="A282" s="17">
        <v>34669</v>
      </c>
      <c r="B282" s="59">
        <f>VLOOKUP(Table1[[#This Row],[Date]],database!A:B,2,)</f>
        <v>71.281400000000005</v>
      </c>
      <c r="C282" s="67">
        <f t="shared" si="4"/>
        <v>9.7345107671735764E-3</v>
      </c>
      <c r="D282" s="67">
        <f>(Table1[[#This Row],[Index]]-B270)/B270</f>
        <v>6.8625775443078268E-2</v>
      </c>
    </row>
    <row r="283" spans="1:4" x14ac:dyDescent="0.2">
      <c r="A283" s="17">
        <v>34700</v>
      </c>
      <c r="B283" s="59">
        <f>VLOOKUP(Table1[[#This Row],[Date]],database!A:B,2,)</f>
        <v>71.430300000000003</v>
      </c>
      <c r="C283" s="67">
        <f t="shared" si="4"/>
        <v>2.0889039777556295E-3</v>
      </c>
      <c r="D283" s="67">
        <f>(Table1[[#This Row],[Index]]-B271)/B271</f>
        <v>6.7455810533740709E-2</v>
      </c>
    </row>
    <row r="284" spans="1:4" x14ac:dyDescent="0.2">
      <c r="A284" s="17">
        <v>34731</v>
      </c>
      <c r="B284" s="59">
        <f>VLOOKUP(Table1[[#This Row],[Date]],database!A:B,2,)</f>
        <v>71.334299999999999</v>
      </c>
      <c r="C284" s="67">
        <f t="shared" si="4"/>
        <v>-1.3439674759870845E-3</v>
      </c>
      <c r="D284" s="67">
        <f>(Table1[[#This Row],[Index]]-B272)/B272</f>
        <v>6.526024353311162E-2</v>
      </c>
    </row>
    <row r="285" spans="1:4" x14ac:dyDescent="0.2">
      <c r="A285" s="17">
        <v>34759</v>
      </c>
      <c r="B285" s="59">
        <f>VLOOKUP(Table1[[#This Row],[Date]],database!A:B,2,)</f>
        <v>71.445099999999996</v>
      </c>
      <c r="C285" s="67">
        <f t="shared" si="4"/>
        <v>1.5532499793227128E-3</v>
      </c>
      <c r="D285" s="67">
        <f>(Table1[[#This Row],[Index]]-B273)/B273</f>
        <v>5.6356687144684198E-2</v>
      </c>
    </row>
    <row r="286" spans="1:4" x14ac:dyDescent="0.2">
      <c r="A286" s="17">
        <v>34790</v>
      </c>
      <c r="B286" s="59">
        <f>VLOOKUP(Table1[[#This Row],[Date]],database!A:B,2,)</f>
        <v>71.328900000000004</v>
      </c>
      <c r="C286" s="67">
        <f t="shared" si="4"/>
        <v>-1.626423645568309E-3</v>
      </c>
      <c r="D286" s="67">
        <f>(Table1[[#This Row],[Index]]-B274)/B274</f>
        <v>4.843944297947779E-2</v>
      </c>
    </row>
    <row r="287" spans="1:4" x14ac:dyDescent="0.2">
      <c r="A287" s="17">
        <v>34820</v>
      </c>
      <c r="B287" s="59">
        <f>VLOOKUP(Table1[[#This Row],[Date]],database!A:B,2,)</f>
        <v>71.66</v>
      </c>
      <c r="C287" s="67">
        <f t="shared" si="4"/>
        <v>4.6418772755500992E-3</v>
      </c>
      <c r="D287" s="67">
        <f>(Table1[[#This Row],[Index]]-B275)/B275</f>
        <v>4.8379663833827566E-2</v>
      </c>
    </row>
    <row r="288" spans="1:4" x14ac:dyDescent="0.2">
      <c r="A288" s="17">
        <v>34851</v>
      </c>
      <c r="B288" s="59">
        <f>VLOOKUP(Table1[[#This Row],[Date]],database!A:B,2,)</f>
        <v>71.896699999999996</v>
      </c>
      <c r="C288" s="67">
        <f t="shared" si="4"/>
        <v>3.303097962601198E-3</v>
      </c>
      <c r="D288" s="67">
        <f>(Table1[[#This Row],[Index]]-B276)/B276</f>
        <v>4.5007136607160901E-2</v>
      </c>
    </row>
    <row r="289" spans="1:4" x14ac:dyDescent="0.2">
      <c r="A289" s="17">
        <v>34881</v>
      </c>
      <c r="B289" s="59">
        <f>VLOOKUP(Table1[[#This Row],[Date]],database!A:B,2,)</f>
        <v>71.592399999999998</v>
      </c>
      <c r="C289" s="67">
        <f t="shared" si="4"/>
        <v>-4.2324612951637475E-3</v>
      </c>
      <c r="D289" s="67">
        <f>(Table1[[#This Row],[Index]]-B277)/B277</f>
        <v>3.9283573076213878E-2</v>
      </c>
    </row>
    <row r="290" spans="1:4" x14ac:dyDescent="0.2">
      <c r="A290" s="17">
        <v>34912</v>
      </c>
      <c r="B290" s="59">
        <f>VLOOKUP(Table1[[#This Row],[Date]],database!A:B,2,)</f>
        <v>72.533900000000003</v>
      </c>
      <c r="C290" s="67">
        <f t="shared" si="4"/>
        <v>1.3150837239707114E-2</v>
      </c>
      <c r="D290" s="67">
        <f>(Table1[[#This Row],[Index]]-B278)/B278</f>
        <v>4.6043333544847825E-2</v>
      </c>
    </row>
    <row r="291" spans="1:4" x14ac:dyDescent="0.2">
      <c r="A291" s="17">
        <v>34943</v>
      </c>
      <c r="B291" s="59">
        <f>VLOOKUP(Table1[[#This Row],[Date]],database!A:B,2,)</f>
        <v>72.824700000000007</v>
      </c>
      <c r="C291" s="67">
        <f t="shared" si="4"/>
        <v>4.0091598549092389E-3</v>
      </c>
      <c r="D291" s="67">
        <f>(Table1[[#This Row],[Index]]-B279)/B279</f>
        <v>4.6972716058967211E-2</v>
      </c>
    </row>
    <row r="292" spans="1:4" x14ac:dyDescent="0.2">
      <c r="A292" s="17">
        <v>34973</v>
      </c>
      <c r="B292" s="59">
        <f>VLOOKUP(Table1[[#This Row],[Date]],database!A:B,2,)</f>
        <v>72.712999999999994</v>
      </c>
      <c r="C292" s="67">
        <f t="shared" si="4"/>
        <v>-1.533820256039653E-3</v>
      </c>
      <c r="D292" s="67">
        <f>(Table1[[#This Row],[Index]]-B280)/B280</f>
        <v>3.6994252627675722E-2</v>
      </c>
    </row>
    <row r="293" spans="1:4" x14ac:dyDescent="0.2">
      <c r="A293" s="17">
        <v>35004</v>
      </c>
      <c r="B293" s="59">
        <f>VLOOKUP(Table1[[#This Row],[Date]],database!A:B,2,)</f>
        <v>72.888400000000004</v>
      </c>
      <c r="C293" s="67">
        <f t="shared" si="4"/>
        <v>2.4122233988421726E-3</v>
      </c>
      <c r="D293" s="67">
        <f>(Table1[[#This Row],[Index]]-B281)/B281</f>
        <v>3.2498420550130233E-2</v>
      </c>
    </row>
    <row r="294" spans="1:4" x14ac:dyDescent="0.2">
      <c r="A294" s="17">
        <v>35034</v>
      </c>
      <c r="B294" s="59">
        <f>VLOOKUP(Table1[[#This Row],[Date]],database!A:B,2,)</f>
        <v>73.142899999999997</v>
      </c>
      <c r="C294" s="67">
        <f t="shared" si="4"/>
        <v>3.4916392731900725E-3</v>
      </c>
      <c r="D294" s="67">
        <f>(Table1[[#This Row],[Index]]-B282)/B282</f>
        <v>2.6114806948236036E-2</v>
      </c>
    </row>
    <row r="295" spans="1:4" x14ac:dyDescent="0.2">
      <c r="A295" s="17">
        <v>35065</v>
      </c>
      <c r="B295" s="59">
        <f>VLOOKUP(Table1[[#This Row],[Date]],database!A:B,2,)</f>
        <v>72.747100000000003</v>
      </c>
      <c r="C295" s="67">
        <f t="shared" si="4"/>
        <v>-5.4113249543017439E-3</v>
      </c>
      <c r="D295" s="67">
        <f>(Table1[[#This Row],[Index]]-B283)/B283</f>
        <v>1.8434753878956139E-2</v>
      </c>
    </row>
    <row r="296" spans="1:4" x14ac:dyDescent="0.2">
      <c r="A296" s="17">
        <v>35096</v>
      </c>
      <c r="B296" s="59">
        <f>VLOOKUP(Table1[[#This Row],[Date]],database!A:B,2,)</f>
        <v>73.787099999999995</v>
      </c>
      <c r="C296" s="67">
        <f t="shared" si="4"/>
        <v>1.4296102525048981E-2</v>
      </c>
      <c r="D296" s="67">
        <f>(Table1[[#This Row],[Index]]-B284)/B284</f>
        <v>3.4384580769699802E-2</v>
      </c>
    </row>
    <row r="297" spans="1:4" x14ac:dyDescent="0.2">
      <c r="A297" s="17">
        <v>35125</v>
      </c>
      <c r="B297" s="59">
        <f>VLOOKUP(Table1[[#This Row],[Date]],database!A:B,2,)</f>
        <v>73.674899999999994</v>
      </c>
      <c r="C297" s="67">
        <f t="shared" si="4"/>
        <v>-1.5205909976133691E-3</v>
      </c>
      <c r="D297" s="67">
        <f>(Table1[[#This Row],[Index]]-B285)/B285</f>
        <v>3.1209978011088199E-2</v>
      </c>
    </row>
    <row r="298" spans="1:4" x14ac:dyDescent="0.2">
      <c r="A298" s="17">
        <v>35156</v>
      </c>
      <c r="B298" s="59">
        <f>VLOOKUP(Table1[[#This Row],[Date]],database!A:B,2,)</f>
        <v>74.415300000000002</v>
      </c>
      <c r="C298" s="67">
        <f t="shared" si="4"/>
        <v>1.0049555547411826E-2</v>
      </c>
      <c r="D298" s="67">
        <f>(Table1[[#This Row],[Index]]-B286)/B286</f>
        <v>4.3269978928596929E-2</v>
      </c>
    </row>
    <row r="299" spans="1:4" x14ac:dyDescent="0.2">
      <c r="A299" s="17">
        <v>35186</v>
      </c>
      <c r="B299" s="59">
        <f>VLOOKUP(Table1[[#This Row],[Date]],database!A:B,2,)</f>
        <v>74.971800000000002</v>
      </c>
      <c r="C299" s="67">
        <f t="shared" si="4"/>
        <v>7.4783008332963696E-3</v>
      </c>
      <c r="D299" s="67">
        <f>(Table1[[#This Row],[Index]]-B287)/B287</f>
        <v>4.6215461903432953E-2</v>
      </c>
    </row>
    <row r="300" spans="1:4" x14ac:dyDescent="0.2">
      <c r="A300" s="17">
        <v>35217</v>
      </c>
      <c r="B300" s="59">
        <f>VLOOKUP(Table1[[#This Row],[Date]],database!A:B,2,)</f>
        <v>75.531700000000001</v>
      </c>
      <c r="C300" s="67">
        <f t="shared" si="4"/>
        <v>7.4681413544825936E-3</v>
      </c>
      <c r="D300" s="67">
        <f>(Table1[[#This Row],[Index]]-B288)/B288</f>
        <v>5.0558648727966726E-2</v>
      </c>
    </row>
    <row r="301" spans="1:4" x14ac:dyDescent="0.2">
      <c r="A301" s="17">
        <v>35247</v>
      </c>
      <c r="B301" s="59">
        <f>VLOOKUP(Table1[[#This Row],[Date]],database!A:B,2,)</f>
        <v>75.532300000000006</v>
      </c>
      <c r="C301" s="67">
        <f t="shared" si="4"/>
        <v>7.9436845723535043E-6</v>
      </c>
      <c r="D301" s="67">
        <f>(Table1[[#This Row],[Index]]-B289)/B289</f>
        <v>5.5032377738419284E-2</v>
      </c>
    </row>
    <row r="302" spans="1:4" x14ac:dyDescent="0.2">
      <c r="A302" s="17">
        <v>35278</v>
      </c>
      <c r="B302" s="59">
        <f>VLOOKUP(Table1[[#This Row],[Date]],database!A:B,2,)</f>
        <v>75.912899999999993</v>
      </c>
      <c r="C302" s="67">
        <f t="shared" si="4"/>
        <v>5.0389038861518021E-3</v>
      </c>
      <c r="D302" s="67">
        <f>(Table1[[#This Row],[Index]]-B290)/B290</f>
        <v>4.6585113994973254E-2</v>
      </c>
    </row>
    <row r="303" spans="1:4" x14ac:dyDescent="0.2">
      <c r="A303" s="17">
        <v>35309</v>
      </c>
      <c r="B303" s="59">
        <f>VLOOKUP(Table1[[#This Row],[Date]],database!A:B,2,)</f>
        <v>76.403199999999998</v>
      </c>
      <c r="C303" s="67">
        <f t="shared" si="4"/>
        <v>6.4587178200279372E-3</v>
      </c>
      <c r="D303" s="67">
        <f>(Table1[[#This Row],[Index]]-B291)/B291</f>
        <v>4.913854777293955E-2</v>
      </c>
    </row>
    <row r="304" spans="1:4" x14ac:dyDescent="0.2">
      <c r="A304" s="17">
        <v>35339</v>
      </c>
      <c r="B304" s="59">
        <f>VLOOKUP(Table1[[#This Row],[Date]],database!A:B,2,)</f>
        <v>76.393100000000004</v>
      </c>
      <c r="C304" s="67">
        <f t="shared" si="4"/>
        <v>-1.3219341598247336E-4</v>
      </c>
      <c r="D304" s="67">
        <f>(Table1[[#This Row],[Index]]-B292)/B292</f>
        <v>5.0611307469090955E-2</v>
      </c>
    </row>
    <row r="305" spans="1:4" x14ac:dyDescent="0.2">
      <c r="A305" s="17">
        <v>35370</v>
      </c>
      <c r="B305" s="59">
        <f>VLOOKUP(Table1[[#This Row],[Date]],database!A:B,2,)</f>
        <v>77.0672</v>
      </c>
      <c r="C305" s="67">
        <f t="shared" si="4"/>
        <v>8.8240953698697222E-3</v>
      </c>
      <c r="D305" s="67">
        <f>(Table1[[#This Row],[Index]]-B293)/B293</f>
        <v>5.733148210140427E-2</v>
      </c>
    </row>
    <row r="306" spans="1:4" x14ac:dyDescent="0.2">
      <c r="A306" s="17">
        <v>35400</v>
      </c>
      <c r="B306" s="59">
        <f>VLOOKUP(Table1[[#This Row],[Date]],database!A:B,2,)</f>
        <v>77.554299999999998</v>
      </c>
      <c r="C306" s="67">
        <f t="shared" si="4"/>
        <v>6.3204579899100999E-3</v>
      </c>
      <c r="D306" s="67">
        <f>(Table1[[#This Row],[Index]]-B294)/B294</f>
        <v>6.0312074035894128E-2</v>
      </c>
    </row>
    <row r="307" spans="1:4" x14ac:dyDescent="0.2">
      <c r="A307" s="17">
        <v>35431</v>
      </c>
      <c r="B307" s="59">
        <f>VLOOKUP(Table1[[#This Row],[Date]],database!A:B,2,)</f>
        <v>77.694500000000005</v>
      </c>
      <c r="C307" s="67">
        <f t="shared" si="4"/>
        <v>1.8077656558050936E-3</v>
      </c>
      <c r="D307" s="67">
        <f>(Table1[[#This Row],[Index]]-B295)/B295</f>
        <v>6.8008209261949989E-2</v>
      </c>
    </row>
    <row r="308" spans="1:4" x14ac:dyDescent="0.2">
      <c r="A308" s="17">
        <v>35462</v>
      </c>
      <c r="B308" s="59">
        <f>VLOOKUP(Table1[[#This Row],[Date]],database!A:B,2,)</f>
        <v>78.611999999999995</v>
      </c>
      <c r="C308" s="67">
        <f t="shared" si="4"/>
        <v>1.1809072714284552E-2</v>
      </c>
      <c r="D308" s="67">
        <f>(Table1[[#This Row],[Index]]-B296)/B296</f>
        <v>6.5389478648706881E-2</v>
      </c>
    </row>
    <row r="309" spans="1:4" x14ac:dyDescent="0.2">
      <c r="A309" s="17">
        <v>35490</v>
      </c>
      <c r="B309" s="59">
        <f>VLOOKUP(Table1[[#This Row],[Date]],database!A:B,2,)</f>
        <v>79.102099999999993</v>
      </c>
      <c r="C309" s="67">
        <f t="shared" si="4"/>
        <v>6.2344171373327484E-3</v>
      </c>
      <c r="D309" s="67">
        <f>(Table1[[#This Row],[Index]]-B297)/B297</f>
        <v>7.3664165136294715E-2</v>
      </c>
    </row>
    <row r="310" spans="1:4" x14ac:dyDescent="0.2">
      <c r="A310" s="17">
        <v>35521</v>
      </c>
      <c r="B310" s="59">
        <f>VLOOKUP(Table1[[#This Row],[Date]],database!A:B,2,)</f>
        <v>79.168300000000002</v>
      </c>
      <c r="C310" s="67">
        <f t="shared" si="4"/>
        <v>8.3689307869216911E-4</v>
      </c>
      <c r="D310" s="67">
        <f>(Table1[[#This Row],[Index]]-B298)/B298</f>
        <v>6.3871273783751459E-2</v>
      </c>
    </row>
    <row r="311" spans="1:4" x14ac:dyDescent="0.2">
      <c r="A311" s="17">
        <v>35551</v>
      </c>
      <c r="B311" s="59">
        <f>VLOOKUP(Table1[[#This Row],[Date]],database!A:B,2,)</f>
        <v>79.608400000000003</v>
      </c>
      <c r="C311" s="67">
        <f t="shared" si="4"/>
        <v>5.5590432028982395E-3</v>
      </c>
      <c r="D311" s="67">
        <f>(Table1[[#This Row],[Index]]-B299)/B299</f>
        <v>6.1844586898007002E-2</v>
      </c>
    </row>
    <row r="312" spans="1:4" x14ac:dyDescent="0.2">
      <c r="A312" s="17">
        <v>35582</v>
      </c>
      <c r="B312" s="59">
        <f>VLOOKUP(Table1[[#This Row],[Date]],database!A:B,2,)</f>
        <v>79.980199999999996</v>
      </c>
      <c r="C312" s="67">
        <f t="shared" si="4"/>
        <v>4.6703614191465626E-3</v>
      </c>
      <c r="D312" s="67">
        <f>(Table1[[#This Row],[Index]]-B300)/B300</f>
        <v>5.8895801365519321E-2</v>
      </c>
    </row>
    <row r="313" spans="1:4" x14ac:dyDescent="0.2">
      <c r="A313" s="17">
        <v>35612</v>
      </c>
      <c r="B313" s="59">
        <f>VLOOKUP(Table1[[#This Row],[Date]],database!A:B,2,)</f>
        <v>80.649199999999993</v>
      </c>
      <c r="C313" s="67">
        <f t="shared" si="4"/>
        <v>8.3645702311321291E-3</v>
      </c>
      <c r="D313" s="67">
        <f>(Table1[[#This Row],[Index]]-B301)/B301</f>
        <v>6.7744527837759291E-2</v>
      </c>
    </row>
    <row r="314" spans="1:4" x14ac:dyDescent="0.2">
      <c r="A314" s="17">
        <v>35643</v>
      </c>
      <c r="B314" s="59">
        <f>VLOOKUP(Table1[[#This Row],[Date]],database!A:B,2,)</f>
        <v>81.454800000000006</v>
      </c>
      <c r="C314" s="67">
        <f t="shared" si="4"/>
        <v>9.9889397538972524E-3</v>
      </c>
      <c r="D314" s="67">
        <f>(Table1[[#This Row],[Index]]-B302)/B302</f>
        <v>7.3003402583750765E-2</v>
      </c>
    </row>
    <row r="315" spans="1:4" x14ac:dyDescent="0.2">
      <c r="A315" s="17">
        <v>35674</v>
      </c>
      <c r="B315" s="59">
        <f>VLOOKUP(Table1[[#This Row],[Date]],database!A:B,2,)</f>
        <v>82.212000000000003</v>
      </c>
      <c r="C315" s="67">
        <f t="shared" si="4"/>
        <v>9.2959530930036838E-3</v>
      </c>
      <c r="D315" s="67">
        <f>(Table1[[#This Row],[Index]]-B303)/B303</f>
        <v>7.6028229184118015E-2</v>
      </c>
    </row>
    <row r="316" spans="1:4" x14ac:dyDescent="0.2">
      <c r="A316" s="17">
        <v>35704</v>
      </c>
      <c r="B316" s="59">
        <f>VLOOKUP(Table1[[#This Row],[Date]],database!A:B,2,)</f>
        <v>82.930899999999994</v>
      </c>
      <c r="C316" s="67">
        <f t="shared" si="4"/>
        <v>8.7444655281465611E-3</v>
      </c>
      <c r="D316" s="67">
        <f>(Table1[[#This Row],[Index]]-B304)/B304</f>
        <v>8.5581027605896212E-2</v>
      </c>
    </row>
    <row r="317" spans="1:4" x14ac:dyDescent="0.2">
      <c r="A317" s="17">
        <v>35735</v>
      </c>
      <c r="B317" s="59">
        <f>VLOOKUP(Table1[[#This Row],[Date]],database!A:B,2,)</f>
        <v>83.591899999999995</v>
      </c>
      <c r="C317" s="67">
        <f t="shared" si="4"/>
        <v>7.9704910955988861E-3</v>
      </c>
      <c r="D317" s="67">
        <f>(Table1[[#This Row],[Index]]-B305)/B305</f>
        <v>8.4662476384246427E-2</v>
      </c>
    </row>
    <row r="318" spans="1:4" x14ac:dyDescent="0.2">
      <c r="A318" s="17">
        <v>35765</v>
      </c>
      <c r="B318" s="59">
        <f>VLOOKUP(Table1[[#This Row],[Date]],database!A:B,2,)</f>
        <v>83.9696</v>
      </c>
      <c r="C318" s="67">
        <f t="shared" si="4"/>
        <v>4.5183803693900071E-3</v>
      </c>
      <c r="D318" s="67">
        <f>(Table1[[#This Row],[Index]]-B306)/B306</f>
        <v>8.2720107073366689E-2</v>
      </c>
    </row>
    <row r="319" spans="1:4" x14ac:dyDescent="0.2">
      <c r="A319" s="17">
        <v>35796</v>
      </c>
      <c r="B319" s="59">
        <f>VLOOKUP(Table1[[#This Row],[Date]],database!A:B,2,)</f>
        <v>84.346699999999998</v>
      </c>
      <c r="C319" s="67">
        <f t="shared" si="4"/>
        <v>4.4909109963606753E-3</v>
      </c>
      <c r="D319" s="67">
        <f>(Table1[[#This Row],[Index]]-B307)/B307</f>
        <v>8.5619960228844938E-2</v>
      </c>
    </row>
    <row r="320" spans="1:4" x14ac:dyDescent="0.2">
      <c r="A320" s="17">
        <v>35827</v>
      </c>
      <c r="B320" s="59">
        <f>VLOOKUP(Table1[[#This Row],[Date]],database!A:B,2,)</f>
        <v>84.486500000000007</v>
      </c>
      <c r="C320" s="67">
        <f t="shared" si="4"/>
        <v>1.6574448081549953E-3</v>
      </c>
      <c r="D320" s="67">
        <f>(Table1[[#This Row],[Index]]-B308)/B308</f>
        <v>7.4727776929730982E-2</v>
      </c>
    </row>
    <row r="321" spans="1:4" x14ac:dyDescent="0.2">
      <c r="A321" s="17">
        <v>35855</v>
      </c>
      <c r="B321" s="59">
        <f>VLOOKUP(Table1[[#This Row],[Date]],database!A:B,2,)</f>
        <v>84.521199999999993</v>
      </c>
      <c r="C321" s="67">
        <f t="shared" si="4"/>
        <v>4.1071650500357215E-4</v>
      </c>
      <c r="D321" s="67">
        <f>(Table1[[#This Row],[Index]]-B309)/B309</f>
        <v>6.8507662881263587E-2</v>
      </c>
    </row>
    <row r="322" spans="1:4" x14ac:dyDescent="0.2">
      <c r="A322" s="17">
        <v>35886</v>
      </c>
      <c r="B322" s="59">
        <f>VLOOKUP(Table1[[#This Row],[Date]],database!A:B,2,)</f>
        <v>84.827500000000001</v>
      </c>
      <c r="C322" s="67">
        <f t="shared" si="4"/>
        <v>3.6239428687714348E-3</v>
      </c>
      <c r="D322" s="67">
        <f>(Table1[[#This Row],[Index]]-B310)/B310</f>
        <v>7.1483156768555073E-2</v>
      </c>
    </row>
    <row r="323" spans="1:4" x14ac:dyDescent="0.2">
      <c r="A323" s="17">
        <v>35916</v>
      </c>
      <c r="B323" s="59">
        <f>VLOOKUP(Table1[[#This Row],[Date]],database!A:B,2,)</f>
        <v>85.3596</v>
      </c>
      <c r="C323" s="67">
        <f t="shared" si="4"/>
        <v>6.2727299519613755E-3</v>
      </c>
      <c r="D323" s="67">
        <f>(Table1[[#This Row],[Index]]-B311)/B311</f>
        <v>7.2243632581486333E-2</v>
      </c>
    </row>
    <row r="324" spans="1:4" x14ac:dyDescent="0.2">
      <c r="A324" s="17">
        <v>35947</v>
      </c>
      <c r="B324" s="59">
        <f>VLOOKUP(Table1[[#This Row],[Date]],database!A:B,2,)</f>
        <v>84.846599999999995</v>
      </c>
      <c r="C324" s="67">
        <f t="shared" si="4"/>
        <v>-6.0098688372486331E-3</v>
      </c>
      <c r="D324" s="67">
        <f>(Table1[[#This Row],[Index]]-B312)/B312</f>
        <v>6.0845059152140141E-2</v>
      </c>
    </row>
    <row r="325" spans="1:4" x14ac:dyDescent="0.2">
      <c r="A325" s="17">
        <v>35977</v>
      </c>
      <c r="B325" s="59">
        <f>VLOOKUP(Table1[[#This Row],[Date]],database!A:B,2,)</f>
        <v>84.506100000000004</v>
      </c>
      <c r="C325" s="67">
        <f t="shared" si="4"/>
        <v>-4.0131248629878824E-3</v>
      </c>
      <c r="D325" s="67">
        <f>(Table1[[#This Row],[Index]]-B313)/B313</f>
        <v>4.7823165015896132E-2</v>
      </c>
    </row>
    <row r="326" spans="1:4" x14ac:dyDescent="0.2">
      <c r="A326" s="17">
        <v>36008</v>
      </c>
      <c r="B326" s="59">
        <f>VLOOKUP(Table1[[#This Row],[Date]],database!A:B,2,)</f>
        <v>86.246399999999994</v>
      </c>
      <c r="C326" s="67">
        <f t="shared" si="4"/>
        <v>2.0593779620642572E-2</v>
      </c>
      <c r="D326" s="67">
        <f>(Table1[[#This Row],[Index]]-B314)/B314</f>
        <v>5.8825262599625658E-2</v>
      </c>
    </row>
    <row r="327" spans="1:4" x14ac:dyDescent="0.2">
      <c r="A327" s="17">
        <v>36039</v>
      </c>
      <c r="B327" s="59">
        <f>VLOOKUP(Table1[[#This Row],[Date]],database!A:B,2,)</f>
        <v>86.170699999999997</v>
      </c>
      <c r="C327" s="67">
        <f t="shared" si="4"/>
        <v>-8.7771779459777655E-4</v>
      </c>
      <c r="D327" s="67">
        <f>(Table1[[#This Row],[Index]]-B315)/B315</f>
        <v>4.8152337858220123E-2</v>
      </c>
    </row>
    <row r="328" spans="1:4" x14ac:dyDescent="0.2">
      <c r="A328" s="17">
        <v>36069</v>
      </c>
      <c r="B328" s="59">
        <f>VLOOKUP(Table1[[#This Row],[Date]],database!A:B,2,)</f>
        <v>86.767099999999999</v>
      </c>
      <c r="C328" s="67">
        <f t="shared" ref="C328:C391" si="5">B328/B327-1</f>
        <v>6.9211460508038503E-3</v>
      </c>
      <c r="D328" s="67">
        <f>(Table1[[#This Row],[Index]]-B316)/B316</f>
        <v>4.6257788110342535E-2</v>
      </c>
    </row>
    <row r="329" spans="1:4" x14ac:dyDescent="0.2">
      <c r="A329" s="17">
        <v>36100</v>
      </c>
      <c r="B329" s="59">
        <f>VLOOKUP(Table1[[#This Row],[Date]],database!A:B,2,)</f>
        <v>86.692899999999995</v>
      </c>
      <c r="C329" s="67">
        <f t="shared" si="5"/>
        <v>-8.5516284398123865E-4</v>
      </c>
      <c r="D329" s="67">
        <f>(Table1[[#This Row],[Index]]-B317)/B317</f>
        <v>3.709689575186112E-2</v>
      </c>
    </row>
    <row r="330" spans="1:4" x14ac:dyDescent="0.2">
      <c r="A330" s="17">
        <v>36130</v>
      </c>
      <c r="B330" s="59">
        <f>VLOOKUP(Table1[[#This Row],[Date]],database!A:B,2,)</f>
        <v>87.063299999999998</v>
      </c>
      <c r="C330" s="67">
        <f t="shared" si="5"/>
        <v>4.2725528849536509E-3</v>
      </c>
      <c r="D330" s="67">
        <f>(Table1[[#This Row],[Index]]-B318)/B318</f>
        <v>3.684309559650157E-2</v>
      </c>
    </row>
    <row r="331" spans="1:4" x14ac:dyDescent="0.2">
      <c r="A331" s="17">
        <v>36161</v>
      </c>
      <c r="B331" s="59">
        <f>VLOOKUP(Table1[[#This Row],[Date]],database!A:B,2,)</f>
        <v>87.425200000000004</v>
      </c>
      <c r="C331" s="67">
        <f t="shared" si="5"/>
        <v>4.1567457240880845E-3</v>
      </c>
      <c r="D331" s="67">
        <f>(Table1[[#This Row],[Index]]-B319)/B319</f>
        <v>3.6498167681723238E-2</v>
      </c>
    </row>
    <row r="332" spans="1:4" x14ac:dyDescent="0.2">
      <c r="A332" s="17">
        <v>36192</v>
      </c>
      <c r="B332" s="59">
        <f>VLOOKUP(Table1[[#This Row],[Date]],database!A:B,2,)</f>
        <v>87.926000000000002</v>
      </c>
      <c r="C332" s="67">
        <f t="shared" si="5"/>
        <v>5.7283254713744736E-3</v>
      </c>
      <c r="D332" s="67">
        <f>(Table1[[#This Row],[Index]]-B320)/B320</f>
        <v>4.0710646079551112E-2</v>
      </c>
    </row>
    <row r="333" spans="1:4" x14ac:dyDescent="0.2">
      <c r="A333" s="17">
        <v>36220</v>
      </c>
      <c r="B333" s="59">
        <f>VLOOKUP(Table1[[#This Row],[Date]],database!A:B,2,)</f>
        <v>88.110100000000003</v>
      </c>
      <c r="C333" s="67">
        <f t="shared" si="5"/>
        <v>2.093806155175848E-3</v>
      </c>
      <c r="D333" s="67">
        <f>(Table1[[#This Row],[Index]]-B321)/B321</f>
        <v>4.246153627728913E-2</v>
      </c>
    </row>
    <row r="334" spans="1:4" x14ac:dyDescent="0.2">
      <c r="A334" s="17">
        <v>36251</v>
      </c>
      <c r="B334" s="59">
        <f>VLOOKUP(Table1[[#This Row],[Date]],database!A:B,2,)</f>
        <v>88.310599999999994</v>
      </c>
      <c r="C334" s="67">
        <f t="shared" si="5"/>
        <v>2.2755620524774756E-3</v>
      </c>
      <c r="D334" s="67">
        <f>(Table1[[#This Row],[Index]]-B322)/B322</f>
        <v>4.1060976687984356E-2</v>
      </c>
    </row>
    <row r="335" spans="1:4" x14ac:dyDescent="0.2">
      <c r="A335" s="17">
        <v>36281</v>
      </c>
      <c r="B335" s="59">
        <f>VLOOKUP(Table1[[#This Row],[Date]],database!A:B,2,)</f>
        <v>88.848699999999994</v>
      </c>
      <c r="C335" s="67">
        <f t="shared" si="5"/>
        <v>6.0932662670165616E-3</v>
      </c>
      <c r="D335" s="67">
        <f>(Table1[[#This Row],[Index]]-B323)/B323</f>
        <v>4.0875308694042538E-2</v>
      </c>
    </row>
    <row r="336" spans="1:4" x14ac:dyDescent="0.2">
      <c r="A336" s="17">
        <v>36312</v>
      </c>
      <c r="B336" s="59">
        <f>VLOOKUP(Table1[[#This Row],[Date]],database!A:B,2,)</f>
        <v>88.797799999999995</v>
      </c>
      <c r="C336" s="67">
        <f t="shared" si="5"/>
        <v>-5.7288401518540422E-4</v>
      </c>
      <c r="D336" s="67">
        <f>(Table1[[#This Row],[Index]]-B324)/B324</f>
        <v>4.6568748777204981E-2</v>
      </c>
    </row>
    <row r="337" spans="1:4" x14ac:dyDescent="0.2">
      <c r="A337" s="17">
        <v>36342</v>
      </c>
      <c r="B337" s="59">
        <f>VLOOKUP(Table1[[#This Row],[Date]],database!A:B,2,)</f>
        <v>89.311899999999994</v>
      </c>
      <c r="C337" s="67">
        <f t="shared" si="5"/>
        <v>5.7895578494062683E-3</v>
      </c>
      <c r="D337" s="67">
        <f>(Table1[[#This Row],[Index]]-B325)/B325</f>
        <v>5.6869267425665018E-2</v>
      </c>
    </row>
    <row r="338" spans="1:4" x14ac:dyDescent="0.2">
      <c r="A338" s="17">
        <v>36373</v>
      </c>
      <c r="B338" s="59">
        <f>VLOOKUP(Table1[[#This Row],[Date]],database!A:B,2,)</f>
        <v>89.710899999999995</v>
      </c>
      <c r="C338" s="67">
        <f t="shared" si="5"/>
        <v>4.4674897745988762E-3</v>
      </c>
      <c r="D338" s="67">
        <f>(Table1[[#This Row],[Index]]-B326)/B326</f>
        <v>4.0169792594241631E-2</v>
      </c>
    </row>
    <row r="339" spans="1:4" x14ac:dyDescent="0.2">
      <c r="A339" s="17">
        <v>36404</v>
      </c>
      <c r="B339" s="59">
        <f>VLOOKUP(Table1[[#This Row],[Date]],database!A:B,2,)</f>
        <v>89.333100000000002</v>
      </c>
      <c r="C339" s="67">
        <f t="shared" si="5"/>
        <v>-4.2113054266538219E-3</v>
      </c>
      <c r="D339" s="67">
        <f>(Table1[[#This Row],[Index]]-B327)/B327</f>
        <v>3.6699249280788077E-2</v>
      </c>
    </row>
    <row r="340" spans="1:4" x14ac:dyDescent="0.2">
      <c r="A340" s="17">
        <v>36434</v>
      </c>
      <c r="B340" s="59">
        <f>VLOOKUP(Table1[[#This Row],[Date]],database!A:B,2,)</f>
        <v>90.492400000000004</v>
      </c>
      <c r="C340" s="67">
        <f t="shared" si="5"/>
        <v>1.2977272701831799E-2</v>
      </c>
      <c r="D340" s="67">
        <f>(Table1[[#This Row],[Index]]-B328)/B328</f>
        <v>4.293447631648406E-2</v>
      </c>
    </row>
    <row r="341" spans="1:4" x14ac:dyDescent="0.2">
      <c r="A341" s="17">
        <v>36465</v>
      </c>
      <c r="B341" s="59">
        <f>VLOOKUP(Table1[[#This Row],[Date]],database!A:B,2,)</f>
        <v>90.965000000000003</v>
      </c>
      <c r="C341" s="67">
        <f t="shared" si="5"/>
        <v>5.2225380252928222E-3</v>
      </c>
      <c r="D341" s="67">
        <f>(Table1[[#This Row],[Index]]-B329)/B329</f>
        <v>4.9278545301864506E-2</v>
      </c>
    </row>
    <row r="342" spans="1:4" x14ac:dyDescent="0.2">
      <c r="A342" s="17">
        <v>36495</v>
      </c>
      <c r="B342" s="59">
        <f>VLOOKUP(Table1[[#This Row],[Date]],database!A:B,2,)</f>
        <v>91.680400000000006</v>
      </c>
      <c r="C342" s="67">
        <f t="shared" si="5"/>
        <v>7.8645632935745446E-3</v>
      </c>
      <c r="D342" s="67">
        <f>(Table1[[#This Row],[Index]]-B330)/B330</f>
        <v>5.3031529932819087E-2</v>
      </c>
    </row>
    <row r="343" spans="1:4" x14ac:dyDescent="0.2">
      <c r="A343" s="17">
        <v>36526</v>
      </c>
      <c r="B343" s="59">
        <f>VLOOKUP(Table1[[#This Row],[Date]],database!A:B,2,)</f>
        <v>91.626099999999994</v>
      </c>
      <c r="C343" s="67">
        <f t="shared" si="5"/>
        <v>-5.9227490281466011E-4</v>
      </c>
      <c r="D343" s="67">
        <f>(Table1[[#This Row],[Index]]-B331)/B331</f>
        <v>4.8051362764969255E-2</v>
      </c>
    </row>
    <row r="344" spans="1:4" x14ac:dyDescent="0.2">
      <c r="A344" s="17">
        <v>36557</v>
      </c>
      <c r="B344" s="59">
        <f>VLOOKUP(Table1[[#This Row],[Date]],database!A:B,2,)</f>
        <v>91.962599999999995</v>
      </c>
      <c r="C344" s="67">
        <f t="shared" si="5"/>
        <v>3.6725343542942657E-3</v>
      </c>
      <c r="D344" s="67">
        <f>(Table1[[#This Row],[Index]]-B332)/B332</f>
        <v>4.5909059891272121E-2</v>
      </c>
    </row>
    <row r="345" spans="1:4" x14ac:dyDescent="0.2">
      <c r="A345" s="17">
        <v>36586</v>
      </c>
      <c r="B345" s="59">
        <f>VLOOKUP(Table1[[#This Row],[Date]],database!A:B,2,)</f>
        <v>92.311800000000005</v>
      </c>
      <c r="C345" s="67">
        <f t="shared" si="5"/>
        <v>3.7971958165603503E-3</v>
      </c>
      <c r="D345" s="67">
        <f>(Table1[[#This Row],[Index]]-B333)/B333</f>
        <v>4.7686928059325805E-2</v>
      </c>
    </row>
    <row r="346" spans="1:4" x14ac:dyDescent="0.2">
      <c r="A346" s="17">
        <v>36617</v>
      </c>
      <c r="B346" s="59">
        <f>VLOOKUP(Table1[[#This Row],[Date]],database!A:B,2,)</f>
        <v>92.887200000000007</v>
      </c>
      <c r="C346" s="67">
        <f t="shared" si="5"/>
        <v>6.2332226215933151E-3</v>
      </c>
      <c r="D346" s="67">
        <f>(Table1[[#This Row],[Index]]-B334)/B334</f>
        <v>5.1823903359279791E-2</v>
      </c>
    </row>
    <row r="347" spans="1:4" x14ac:dyDescent="0.2">
      <c r="A347" s="17">
        <v>36647</v>
      </c>
      <c r="B347" s="59">
        <f>VLOOKUP(Table1[[#This Row],[Date]],database!A:B,2,)</f>
        <v>93.162000000000006</v>
      </c>
      <c r="C347" s="67">
        <f t="shared" si="5"/>
        <v>2.9584269953233377E-3</v>
      </c>
      <c r="D347" s="67">
        <f>(Table1[[#This Row],[Index]]-B335)/B335</f>
        <v>4.8546574119824069E-2</v>
      </c>
    </row>
    <row r="348" spans="1:4" x14ac:dyDescent="0.2">
      <c r="A348" s="17">
        <v>36678</v>
      </c>
      <c r="B348" s="59">
        <f>VLOOKUP(Table1[[#This Row],[Date]],database!A:B,2,)</f>
        <v>93.216800000000006</v>
      </c>
      <c r="C348" s="67">
        <f t="shared" si="5"/>
        <v>5.8822266589375616E-4</v>
      </c>
      <c r="D348" s="67">
        <f>(Table1[[#This Row],[Index]]-B336)/B336</f>
        <v>4.9764746423898019E-2</v>
      </c>
    </row>
    <row r="349" spans="1:4" x14ac:dyDescent="0.2">
      <c r="A349" s="17">
        <v>36708</v>
      </c>
      <c r="B349" s="59">
        <f>VLOOKUP(Table1[[#This Row],[Date]],database!A:B,2,)</f>
        <v>93.04</v>
      </c>
      <c r="C349" s="67">
        <f t="shared" si="5"/>
        <v>-1.8966538220578366E-3</v>
      </c>
      <c r="D349" s="67">
        <f>(Table1[[#This Row],[Index]]-B337)/B337</f>
        <v>4.1742477766120889E-2</v>
      </c>
    </row>
    <row r="350" spans="1:4" x14ac:dyDescent="0.2">
      <c r="A350" s="17">
        <v>36739</v>
      </c>
      <c r="B350" s="59">
        <f>VLOOKUP(Table1[[#This Row],[Date]],database!A:B,2,)</f>
        <v>92.79</v>
      </c>
      <c r="C350" s="67">
        <f t="shared" si="5"/>
        <v>-2.6870163370593669E-3</v>
      </c>
      <c r="D350" s="67">
        <f>(Table1[[#This Row],[Index]]-B338)/B338</f>
        <v>3.4322473634753541E-2</v>
      </c>
    </row>
    <row r="351" spans="1:4" x14ac:dyDescent="0.2">
      <c r="A351" s="17">
        <v>36770</v>
      </c>
      <c r="B351" s="59">
        <f>VLOOKUP(Table1[[#This Row],[Date]],database!A:B,2,)</f>
        <v>93.154700000000005</v>
      </c>
      <c r="C351" s="67">
        <f t="shared" si="5"/>
        <v>3.9303804289254618E-3</v>
      </c>
      <c r="D351" s="67">
        <f>(Table1[[#This Row],[Index]]-B339)/B339</f>
        <v>4.2779216214370752E-2</v>
      </c>
    </row>
    <row r="352" spans="1:4" x14ac:dyDescent="0.2">
      <c r="A352" s="17">
        <v>36800</v>
      </c>
      <c r="B352" s="59">
        <f>VLOOKUP(Table1[[#This Row],[Date]],database!A:B,2,)</f>
        <v>92.836100000000002</v>
      </c>
      <c r="C352" s="67">
        <f t="shared" si="5"/>
        <v>-3.4201172887681208E-3</v>
      </c>
      <c r="D352" s="67">
        <f>(Table1[[#This Row],[Index]]-B340)/B340</f>
        <v>2.5899412547352025E-2</v>
      </c>
    </row>
    <row r="353" spans="1:4" x14ac:dyDescent="0.2">
      <c r="A353" s="17">
        <v>36831</v>
      </c>
      <c r="B353" s="59">
        <f>VLOOKUP(Table1[[#This Row],[Date]],database!A:B,2,)</f>
        <v>92.839500000000001</v>
      </c>
      <c r="C353" s="67">
        <f t="shared" si="5"/>
        <v>3.6623684105618892E-5</v>
      </c>
      <c r="D353" s="67">
        <f>(Table1[[#This Row],[Index]]-B341)/B341</f>
        <v>2.0606826801517038E-2</v>
      </c>
    </row>
    <row r="354" spans="1:4" x14ac:dyDescent="0.2">
      <c r="A354" s="17">
        <v>36861</v>
      </c>
      <c r="B354" s="59">
        <f>VLOOKUP(Table1[[#This Row],[Date]],database!A:B,2,)</f>
        <v>92.5334</v>
      </c>
      <c r="C354" s="67">
        <f t="shared" si="5"/>
        <v>-3.2970879851786927E-3</v>
      </c>
      <c r="D354" s="67">
        <f>(Table1[[#This Row],[Index]]-B342)/B342</f>
        <v>9.3040606280076696E-3</v>
      </c>
    </row>
    <row r="355" spans="1:4" x14ac:dyDescent="0.2">
      <c r="A355" s="17">
        <v>36892</v>
      </c>
      <c r="B355" s="59">
        <f>VLOOKUP(Table1[[#This Row],[Date]],database!A:B,2,)</f>
        <v>92.0304</v>
      </c>
      <c r="C355" s="67">
        <f t="shared" si="5"/>
        <v>-5.4358750461995786E-3</v>
      </c>
      <c r="D355" s="67">
        <f>(Table1[[#This Row],[Index]]-B343)/B343</f>
        <v>4.4124981855607334E-3</v>
      </c>
    </row>
    <row r="356" spans="1:4" x14ac:dyDescent="0.2">
      <c r="A356" s="17">
        <v>36923</v>
      </c>
      <c r="B356" s="59">
        <f>VLOOKUP(Table1[[#This Row],[Date]],database!A:B,2,)</f>
        <v>91.407899999999998</v>
      </c>
      <c r="C356" s="67">
        <f t="shared" si="5"/>
        <v>-6.7640692640692501E-3</v>
      </c>
      <c r="D356" s="67">
        <f>(Table1[[#This Row],[Index]]-B344)/B344</f>
        <v>-6.0317998838657983E-3</v>
      </c>
    </row>
    <row r="357" spans="1:4" x14ac:dyDescent="0.2">
      <c r="A357" s="17">
        <v>36951</v>
      </c>
      <c r="B357" s="59">
        <f>VLOOKUP(Table1[[#This Row],[Date]],database!A:B,2,)</f>
        <v>91.1751</v>
      </c>
      <c r="C357" s="67">
        <f t="shared" si="5"/>
        <v>-2.5468258214005335E-3</v>
      </c>
      <c r="D357" s="67">
        <f>(Table1[[#This Row],[Index]]-B345)/B345</f>
        <v>-1.2313702040259259E-2</v>
      </c>
    </row>
    <row r="358" spans="1:4" x14ac:dyDescent="0.2">
      <c r="A358" s="17">
        <v>36982</v>
      </c>
      <c r="B358" s="59">
        <f>VLOOKUP(Table1[[#This Row],[Date]],database!A:B,2,)</f>
        <v>90.8767</v>
      </c>
      <c r="C358" s="67">
        <f t="shared" si="5"/>
        <v>-3.2728233914741667E-3</v>
      </c>
      <c r="D358" s="67">
        <f>(Table1[[#This Row],[Index]]-B346)/B346</f>
        <v>-2.1644532292931722E-2</v>
      </c>
    </row>
    <row r="359" spans="1:4" x14ac:dyDescent="0.2">
      <c r="A359" s="17">
        <v>37012</v>
      </c>
      <c r="B359" s="59">
        <f>VLOOKUP(Table1[[#This Row],[Date]],database!A:B,2,)</f>
        <v>90.375</v>
      </c>
      <c r="C359" s="67">
        <f t="shared" si="5"/>
        <v>-5.5206670136569436E-3</v>
      </c>
      <c r="D359" s="67">
        <f>(Table1[[#This Row],[Index]]-B347)/B347</f>
        <v>-2.9915630836607265E-2</v>
      </c>
    </row>
    <row r="360" spans="1:4" x14ac:dyDescent="0.2">
      <c r="A360" s="17">
        <v>37043</v>
      </c>
      <c r="B360" s="59">
        <f>VLOOKUP(Table1[[#This Row],[Date]],database!A:B,2,)</f>
        <v>89.8626</v>
      </c>
      <c r="C360" s="67">
        <f t="shared" si="5"/>
        <v>-5.6697095435684908E-3</v>
      </c>
      <c r="D360" s="67">
        <f>(Table1[[#This Row],[Index]]-B348)/B348</f>
        <v>-3.5982784219153692E-2</v>
      </c>
    </row>
    <row r="361" spans="1:4" x14ac:dyDescent="0.2">
      <c r="A361" s="17">
        <v>37073</v>
      </c>
      <c r="B361" s="59">
        <f>VLOOKUP(Table1[[#This Row],[Date]],database!A:B,2,)</f>
        <v>89.328800000000001</v>
      </c>
      <c r="C361" s="67">
        <f t="shared" si="5"/>
        <v>-5.9401797855838101E-3</v>
      </c>
      <c r="D361" s="67">
        <f>(Table1[[#This Row],[Index]]-B349)/B349</f>
        <v>-3.9888220120378383E-2</v>
      </c>
    </row>
    <row r="362" spans="1:4" x14ac:dyDescent="0.2">
      <c r="A362" s="17">
        <v>37104</v>
      </c>
      <c r="B362" s="59">
        <f>VLOOKUP(Table1[[#This Row],[Date]],database!A:B,2,)</f>
        <v>89.220100000000002</v>
      </c>
      <c r="C362" s="67">
        <f t="shared" si="5"/>
        <v>-1.2168527955149777E-3</v>
      </c>
      <c r="D362" s="67">
        <f>(Table1[[#This Row],[Index]]-B350)/B350</f>
        <v>-3.8472895786183896E-2</v>
      </c>
    </row>
    <row r="363" spans="1:4" x14ac:dyDescent="0.2">
      <c r="A363" s="17">
        <v>37135</v>
      </c>
      <c r="B363" s="59">
        <f>VLOOKUP(Table1[[#This Row],[Date]],database!A:B,2,)</f>
        <v>88.747799999999998</v>
      </c>
      <c r="C363" s="67">
        <f t="shared" si="5"/>
        <v>-5.2936501976572625E-3</v>
      </c>
      <c r="D363" s="67">
        <f>(Table1[[#This Row],[Index]]-B351)/B351</f>
        <v>-4.7307328562058673E-2</v>
      </c>
    </row>
    <row r="364" spans="1:4" x14ac:dyDescent="0.2">
      <c r="A364" s="17">
        <v>37165</v>
      </c>
      <c r="B364" s="59">
        <f>VLOOKUP(Table1[[#This Row],[Date]],database!A:B,2,)</f>
        <v>88.475499999999997</v>
      </c>
      <c r="C364" s="67">
        <f t="shared" si="5"/>
        <v>-3.0682450719905496E-3</v>
      </c>
      <c r="D364" s="67">
        <f>(Table1[[#This Row],[Index]]-B352)/B352</f>
        <v>-4.6970952032668378E-2</v>
      </c>
    </row>
    <row r="365" spans="1:4" x14ac:dyDescent="0.2">
      <c r="A365" s="17">
        <v>37196</v>
      </c>
      <c r="B365" s="59">
        <f>VLOOKUP(Table1[[#This Row],[Date]],database!A:B,2,)</f>
        <v>87.963099999999997</v>
      </c>
      <c r="C365" s="67">
        <f t="shared" si="5"/>
        <v>-5.7914337867545074E-3</v>
      </c>
      <c r="D365" s="67">
        <f>(Table1[[#This Row],[Index]]-B353)/B353</f>
        <v>-5.2525056683846896E-2</v>
      </c>
    </row>
    <row r="366" spans="1:4" x14ac:dyDescent="0.2">
      <c r="A366" s="17">
        <v>37226</v>
      </c>
      <c r="B366" s="59">
        <f>VLOOKUP(Table1[[#This Row],[Date]],database!A:B,2,)</f>
        <v>87.932900000000004</v>
      </c>
      <c r="C366" s="67">
        <f t="shared" si="5"/>
        <v>-3.4332578092399757E-4</v>
      </c>
      <c r="D366" s="67">
        <f>(Table1[[#This Row],[Index]]-B354)/B354</f>
        <v>-4.9717183200876619E-2</v>
      </c>
    </row>
    <row r="367" spans="1:4" x14ac:dyDescent="0.2">
      <c r="A367" s="17">
        <v>37257</v>
      </c>
      <c r="B367" s="59">
        <f>VLOOKUP(Table1[[#This Row],[Date]],database!A:B,2,)</f>
        <v>88.545199999999994</v>
      </c>
      <c r="C367" s="67">
        <f t="shared" si="5"/>
        <v>6.9632640342804919E-3</v>
      </c>
      <c r="D367" s="67">
        <f>(Table1[[#This Row],[Index]]-B355)/B355</f>
        <v>-3.7870095099010827E-2</v>
      </c>
    </row>
    <row r="368" spans="1:4" x14ac:dyDescent="0.2">
      <c r="A368" s="17">
        <v>37288</v>
      </c>
      <c r="B368" s="59">
        <f>VLOOKUP(Table1[[#This Row],[Date]],database!A:B,2,)</f>
        <v>88.536199999999994</v>
      </c>
      <c r="C368" s="67">
        <f t="shared" si="5"/>
        <v>-1.0164300266979343E-4</v>
      </c>
      <c r="D368" s="67">
        <f>(Table1[[#This Row],[Index]]-B356)/B356</f>
        <v>-3.1416321784003401E-2</v>
      </c>
    </row>
    <row r="369" spans="1:4" x14ac:dyDescent="0.2">
      <c r="A369" s="17">
        <v>37316</v>
      </c>
      <c r="B369" s="59">
        <f>VLOOKUP(Table1[[#This Row],[Date]],database!A:B,2,)</f>
        <v>89.209699999999998</v>
      </c>
      <c r="C369" s="67">
        <f t="shared" si="5"/>
        <v>7.6070579039986264E-3</v>
      </c>
      <c r="D369" s="67">
        <f>(Table1[[#This Row],[Index]]-B357)/B357</f>
        <v>-2.1556324040225922E-2</v>
      </c>
    </row>
    <row r="370" spans="1:4" x14ac:dyDescent="0.2">
      <c r="A370" s="17">
        <v>37347</v>
      </c>
      <c r="B370" s="59">
        <f>VLOOKUP(Table1[[#This Row],[Date]],database!A:B,2,)</f>
        <v>89.638900000000007</v>
      </c>
      <c r="C370" s="67">
        <f t="shared" si="5"/>
        <v>4.8111360087526034E-3</v>
      </c>
      <c r="D370" s="67">
        <f>(Table1[[#This Row],[Index]]-B358)/B358</f>
        <v>-1.3620653038677603E-2</v>
      </c>
    </row>
    <row r="371" spans="1:4" x14ac:dyDescent="0.2">
      <c r="A371" s="17">
        <v>37377</v>
      </c>
      <c r="B371" s="59">
        <f>VLOOKUP(Table1[[#This Row],[Date]],database!A:B,2,)</f>
        <v>90.027100000000004</v>
      </c>
      <c r="C371" s="67">
        <f t="shared" si="5"/>
        <v>4.3307091006248299E-3</v>
      </c>
      <c r="D371" s="67">
        <f>(Table1[[#This Row],[Index]]-B359)/B359</f>
        <v>-3.849515905947393E-3</v>
      </c>
    </row>
    <row r="372" spans="1:4" x14ac:dyDescent="0.2">
      <c r="A372" s="17">
        <v>37408</v>
      </c>
      <c r="B372" s="59">
        <f>VLOOKUP(Table1[[#This Row],[Date]],database!A:B,2,)</f>
        <v>90.764499999999998</v>
      </c>
      <c r="C372" s="67">
        <f t="shared" si="5"/>
        <v>8.1908669722783323E-3</v>
      </c>
      <c r="D372" s="67">
        <f>(Table1[[#This Row],[Index]]-B360)/B360</f>
        <v>1.0036433399434221E-2</v>
      </c>
    </row>
    <row r="373" spans="1:4" x14ac:dyDescent="0.2">
      <c r="A373" s="17">
        <v>37438</v>
      </c>
      <c r="B373" s="59">
        <f>VLOOKUP(Table1[[#This Row],[Date]],database!A:B,2,)</f>
        <v>90.743700000000004</v>
      </c>
      <c r="C373" s="67">
        <f t="shared" si="5"/>
        <v>-2.2916448611509654E-4</v>
      </c>
      <c r="D373" s="67">
        <f>(Table1[[#This Row],[Index]]-B361)/B361</f>
        <v>1.5839236617977662E-2</v>
      </c>
    </row>
    <row r="374" spans="1:4" x14ac:dyDescent="0.2">
      <c r="A374" s="17">
        <v>37469</v>
      </c>
      <c r="B374" s="59">
        <f>VLOOKUP(Table1[[#This Row],[Date]],database!A:B,2,)</f>
        <v>90.626800000000003</v>
      </c>
      <c r="C374" s="67">
        <f t="shared" si="5"/>
        <v>-1.2882437017666115E-3</v>
      </c>
      <c r="D374" s="67">
        <f>(Table1[[#This Row],[Index]]-B362)/B362</f>
        <v>1.5766626578540045E-2</v>
      </c>
    </row>
    <row r="375" spans="1:4" x14ac:dyDescent="0.2">
      <c r="A375" s="17">
        <v>37500</v>
      </c>
      <c r="B375" s="59">
        <f>VLOOKUP(Table1[[#This Row],[Date]],database!A:B,2,)</f>
        <v>90.724100000000007</v>
      </c>
      <c r="C375" s="67">
        <f t="shared" si="5"/>
        <v>1.073633847824329E-3</v>
      </c>
      <c r="D375" s="67">
        <f>(Table1[[#This Row],[Index]]-B363)/B363</f>
        <v>2.2268721027450925E-2</v>
      </c>
    </row>
    <row r="376" spans="1:4" x14ac:dyDescent="0.2">
      <c r="A376" s="17">
        <v>37530</v>
      </c>
      <c r="B376" s="59">
        <f>VLOOKUP(Table1[[#This Row],[Date]],database!A:B,2,)</f>
        <v>90.487899999999996</v>
      </c>
      <c r="C376" s="67">
        <f t="shared" si="5"/>
        <v>-2.603497857790904E-3</v>
      </c>
      <c r="D376" s="67">
        <f>(Table1[[#This Row],[Index]]-B364)/B364</f>
        <v>2.2745279766715074E-2</v>
      </c>
    </row>
    <row r="377" spans="1:4" x14ac:dyDescent="0.2">
      <c r="A377" s="17">
        <v>37561</v>
      </c>
      <c r="B377" s="59">
        <f>VLOOKUP(Table1[[#This Row],[Date]],database!A:B,2,)</f>
        <v>90.982299999999995</v>
      </c>
      <c r="C377" s="67">
        <f t="shared" si="5"/>
        <v>5.4637139330231399E-3</v>
      </c>
      <c r="D377" s="67">
        <f>(Table1[[#This Row],[Index]]-B365)/B365</f>
        <v>3.432348336973115E-2</v>
      </c>
    </row>
    <row r="378" spans="1:4" x14ac:dyDescent="0.2">
      <c r="A378" s="17">
        <v>37591</v>
      </c>
      <c r="B378" s="59">
        <f>VLOOKUP(Table1[[#This Row],[Date]],database!A:B,2,)</f>
        <v>90.491900000000001</v>
      </c>
      <c r="C378" s="67">
        <f t="shared" si="5"/>
        <v>-5.390059385177004E-3</v>
      </c>
      <c r="D378" s="67">
        <f>(Table1[[#This Row],[Index]]-B366)/B366</f>
        <v>2.9101735527885437E-2</v>
      </c>
    </row>
    <row r="379" spans="1:4" x14ac:dyDescent="0.2">
      <c r="A379" s="17">
        <v>37622</v>
      </c>
      <c r="B379" s="59">
        <f>VLOOKUP(Table1[[#This Row],[Date]],database!A:B,2,)</f>
        <v>91.239500000000007</v>
      </c>
      <c r="C379" s="67">
        <f t="shared" si="5"/>
        <v>8.2615129088903227E-3</v>
      </c>
      <c r="D379" s="67">
        <f>(Table1[[#This Row],[Index]]-B367)/B367</f>
        <v>3.0428526899256118E-2</v>
      </c>
    </row>
    <row r="380" spans="1:4" x14ac:dyDescent="0.2">
      <c r="A380" s="17">
        <v>37653</v>
      </c>
      <c r="B380" s="59">
        <f>VLOOKUP(Table1[[#This Row],[Date]],database!A:B,2,)</f>
        <v>91.338399999999993</v>
      </c>
      <c r="C380" s="67">
        <f t="shared" si="5"/>
        <v>1.0839603461219038E-3</v>
      </c>
      <c r="D380" s="67">
        <f>(Table1[[#This Row],[Index]]-B368)/B368</f>
        <v>3.165033059923511E-2</v>
      </c>
    </row>
    <row r="381" spans="1:4" x14ac:dyDescent="0.2">
      <c r="A381" s="17">
        <v>37681</v>
      </c>
      <c r="B381" s="59">
        <f>VLOOKUP(Table1[[#This Row],[Date]],database!A:B,2,)</f>
        <v>91.069000000000003</v>
      </c>
      <c r="C381" s="67">
        <f t="shared" si="5"/>
        <v>-2.9494714161840685E-3</v>
      </c>
      <c r="D381" s="67">
        <f>(Table1[[#This Row],[Index]]-B369)/B369</f>
        <v>2.0841903963358298E-2</v>
      </c>
    </row>
    <row r="382" spans="1:4" x14ac:dyDescent="0.2">
      <c r="A382" s="17">
        <v>37712</v>
      </c>
      <c r="B382" s="59">
        <f>VLOOKUP(Table1[[#This Row],[Date]],database!A:B,2,)</f>
        <v>90.491299999999995</v>
      </c>
      <c r="C382" s="67">
        <f t="shared" si="5"/>
        <v>-6.3435417101319613E-3</v>
      </c>
      <c r="D382" s="67">
        <f>(Table1[[#This Row],[Index]]-B370)/B370</f>
        <v>9.5092643930256692E-3</v>
      </c>
    </row>
    <row r="383" spans="1:4" x14ac:dyDescent="0.2">
      <c r="A383" s="17">
        <v>37742</v>
      </c>
      <c r="B383" s="59">
        <f>VLOOKUP(Table1[[#This Row],[Date]],database!A:B,2,)</f>
        <v>90.469700000000003</v>
      </c>
      <c r="C383" s="67">
        <f t="shared" si="5"/>
        <v>-2.3869697970957393E-4</v>
      </c>
      <c r="D383" s="67">
        <f>(Table1[[#This Row],[Index]]-B371)/B371</f>
        <v>4.9162974259972687E-3</v>
      </c>
    </row>
    <row r="384" spans="1:4" x14ac:dyDescent="0.2">
      <c r="A384" s="17">
        <v>37773</v>
      </c>
      <c r="B384" s="59">
        <f>VLOOKUP(Table1[[#This Row],[Date]],database!A:B,2,)</f>
        <v>90.5899</v>
      </c>
      <c r="C384" s="67">
        <f t="shared" si="5"/>
        <v>1.3286216269092765E-3</v>
      </c>
      <c r="D384" s="67">
        <f>(Table1[[#This Row],[Index]]-B372)/B372</f>
        <v>-1.9236595805628644E-3</v>
      </c>
    </row>
    <row r="385" spans="1:4" x14ac:dyDescent="0.2">
      <c r="A385" s="17">
        <v>37803</v>
      </c>
      <c r="B385" s="59">
        <f>VLOOKUP(Table1[[#This Row],[Date]],database!A:B,2,)</f>
        <v>91.061400000000006</v>
      </c>
      <c r="C385" s="67">
        <f t="shared" si="5"/>
        <v>5.2047744836898335E-3</v>
      </c>
      <c r="D385" s="67">
        <f>(Table1[[#This Row],[Index]]-B373)/B373</f>
        <v>3.5010694957336112E-3</v>
      </c>
    </row>
    <row r="386" spans="1:4" x14ac:dyDescent="0.2">
      <c r="A386" s="17">
        <v>37834</v>
      </c>
      <c r="B386" s="59">
        <f>VLOOKUP(Table1[[#This Row],[Date]],database!A:B,2,)</f>
        <v>90.845200000000006</v>
      </c>
      <c r="C386" s="67">
        <f t="shared" si="5"/>
        <v>-2.374222228079037E-3</v>
      </c>
      <c r="D386" s="67">
        <f>(Table1[[#This Row],[Index]]-B374)/B374</f>
        <v>2.4098831692170811E-3</v>
      </c>
    </row>
    <row r="387" spans="1:4" x14ac:dyDescent="0.2">
      <c r="A387" s="17">
        <v>37865</v>
      </c>
      <c r="B387" s="59">
        <f>VLOOKUP(Table1[[#This Row],[Date]],database!A:B,2,)</f>
        <v>91.445300000000003</v>
      </c>
      <c r="C387" s="67">
        <f t="shared" si="5"/>
        <v>6.6057425158401184E-3</v>
      </c>
      <c r="D387" s="67">
        <f>(Table1[[#This Row],[Index]]-B375)/B375</f>
        <v>7.9493761856000329E-3</v>
      </c>
    </row>
    <row r="388" spans="1:4" x14ac:dyDescent="0.2">
      <c r="A388" s="17">
        <v>37895</v>
      </c>
      <c r="B388" s="59">
        <f>VLOOKUP(Table1[[#This Row],[Date]],database!A:B,2,)</f>
        <v>91.5595</v>
      </c>
      <c r="C388" s="67">
        <f t="shared" si="5"/>
        <v>1.2488340024034983E-3</v>
      </c>
      <c r="D388" s="67">
        <f>(Table1[[#This Row],[Index]]-B376)/B376</f>
        <v>1.1842467335411737E-2</v>
      </c>
    </row>
    <row r="389" spans="1:4" x14ac:dyDescent="0.2">
      <c r="A389" s="17">
        <v>37926</v>
      </c>
      <c r="B389" s="59">
        <f>VLOOKUP(Table1[[#This Row],[Date]],database!A:B,2,)</f>
        <v>92.176299999999998</v>
      </c>
      <c r="C389" s="67">
        <f t="shared" si="5"/>
        <v>6.7366029740223432E-3</v>
      </c>
      <c r="D389" s="67">
        <f>(Table1[[#This Row],[Index]]-B377)/B377</f>
        <v>1.3123431700451656E-2</v>
      </c>
    </row>
    <row r="390" spans="1:4" x14ac:dyDescent="0.2">
      <c r="A390" s="17">
        <v>37956</v>
      </c>
      <c r="B390" s="59">
        <f>VLOOKUP(Table1[[#This Row],[Date]],database!A:B,2,)</f>
        <v>92.253200000000007</v>
      </c>
      <c r="C390" s="67">
        <f t="shared" si="5"/>
        <v>8.3427084836351639E-4</v>
      </c>
      <c r="D390" s="67">
        <f>(Table1[[#This Row],[Index]]-B378)/B378</f>
        <v>1.9463620500840467E-2</v>
      </c>
    </row>
    <row r="391" spans="1:4" x14ac:dyDescent="0.2">
      <c r="A391" s="17">
        <v>37987</v>
      </c>
      <c r="B391" s="59">
        <f>VLOOKUP(Table1[[#This Row],[Date]],database!A:B,2,)</f>
        <v>92.406700000000001</v>
      </c>
      <c r="C391" s="67">
        <f t="shared" si="5"/>
        <v>1.6638989216632982E-3</v>
      </c>
      <c r="D391" s="67">
        <f>(Table1[[#This Row],[Index]]-B379)/B379</f>
        <v>1.2792704913990037E-2</v>
      </c>
    </row>
    <row r="392" spans="1:4" x14ac:dyDescent="0.2">
      <c r="A392" s="17">
        <v>38018</v>
      </c>
      <c r="B392" s="59">
        <f>VLOOKUP(Table1[[#This Row],[Date]],database!A:B,2,)</f>
        <v>92.968699999999998</v>
      </c>
      <c r="C392" s="67">
        <f t="shared" ref="C392:C455" si="6">B392/B391-1</f>
        <v>6.0818100851993684E-3</v>
      </c>
      <c r="D392" s="67">
        <f>(Table1[[#This Row],[Index]]-B380)/B380</f>
        <v>1.7849009835950766E-2</v>
      </c>
    </row>
    <row r="393" spans="1:4" x14ac:dyDescent="0.2">
      <c r="A393" s="17">
        <v>38047</v>
      </c>
      <c r="B393" s="59">
        <f>VLOOKUP(Table1[[#This Row],[Date]],database!A:B,2,)</f>
        <v>92.6</v>
      </c>
      <c r="C393" s="67">
        <f t="shared" si="6"/>
        <v>-3.9658508723904307E-3</v>
      </c>
      <c r="D393" s="67">
        <f>(Table1[[#This Row],[Index]]-B381)/B381</f>
        <v>1.6811428696922023E-2</v>
      </c>
    </row>
    <row r="394" spans="1:4" x14ac:dyDescent="0.2">
      <c r="A394" s="17">
        <v>38078</v>
      </c>
      <c r="B394" s="59">
        <f>VLOOKUP(Table1[[#This Row],[Date]],database!A:B,2,)</f>
        <v>92.976100000000002</v>
      </c>
      <c r="C394" s="67">
        <f t="shared" si="6"/>
        <v>4.0615550755940255E-3</v>
      </c>
      <c r="D394" s="67">
        <f>(Table1[[#This Row],[Index]]-B382)/B382</f>
        <v>2.7458993295488152E-2</v>
      </c>
    </row>
    <row r="395" spans="1:4" x14ac:dyDescent="0.2">
      <c r="A395" s="17">
        <v>38108</v>
      </c>
      <c r="B395" s="59">
        <f>VLOOKUP(Table1[[#This Row],[Date]],database!A:B,2,)</f>
        <v>93.644599999999997</v>
      </c>
      <c r="C395" s="67">
        <f t="shared" si="6"/>
        <v>7.1900198007874838E-3</v>
      </c>
      <c r="D395" s="67">
        <f>(Table1[[#This Row],[Index]]-B383)/B383</f>
        <v>3.5093517498123609E-2</v>
      </c>
    </row>
    <row r="396" spans="1:4" x14ac:dyDescent="0.2">
      <c r="A396" s="17">
        <v>38139</v>
      </c>
      <c r="B396" s="59">
        <f>VLOOKUP(Table1[[#This Row],[Date]],database!A:B,2,)</f>
        <v>92.930300000000003</v>
      </c>
      <c r="C396" s="67">
        <f t="shared" si="6"/>
        <v>-7.6277756539084862E-3</v>
      </c>
      <c r="D396" s="67">
        <f>(Table1[[#This Row],[Index]]-B384)/B384</f>
        <v>2.5835109653504447E-2</v>
      </c>
    </row>
    <row r="397" spans="1:4" x14ac:dyDescent="0.2">
      <c r="A397" s="17">
        <v>38169</v>
      </c>
      <c r="B397" s="59">
        <f>VLOOKUP(Table1[[#This Row],[Date]],database!A:B,2,)</f>
        <v>93.610900000000001</v>
      </c>
      <c r="C397" s="67">
        <f t="shared" si="6"/>
        <v>7.3237684587266205E-3</v>
      </c>
      <c r="D397" s="67">
        <f>(Table1[[#This Row],[Index]]-B385)/B385</f>
        <v>2.7997592832967585E-2</v>
      </c>
    </row>
    <row r="398" spans="1:4" x14ac:dyDescent="0.2">
      <c r="A398" s="17">
        <v>38200</v>
      </c>
      <c r="B398" s="59">
        <f>VLOOKUP(Table1[[#This Row],[Date]],database!A:B,2,)</f>
        <v>93.695800000000006</v>
      </c>
      <c r="C398" s="67">
        <f t="shared" si="6"/>
        <v>9.0694566551552391E-4</v>
      </c>
      <c r="D398" s="67">
        <f>(Table1[[#This Row],[Index]]-B386)/B386</f>
        <v>3.1378652917270253E-2</v>
      </c>
    </row>
    <row r="399" spans="1:4" x14ac:dyDescent="0.2">
      <c r="A399" s="17">
        <v>38231</v>
      </c>
      <c r="B399" s="59">
        <f>VLOOKUP(Table1[[#This Row],[Date]],database!A:B,2,)</f>
        <v>93.7958</v>
      </c>
      <c r="C399" s="67">
        <f t="shared" si="6"/>
        <v>1.0672836989491508E-3</v>
      </c>
      <c r="D399" s="67">
        <f>(Table1[[#This Row],[Index]]-B387)/B387</f>
        <v>2.5703890741240902E-2</v>
      </c>
    </row>
    <row r="400" spans="1:4" x14ac:dyDescent="0.2">
      <c r="A400" s="17">
        <v>38261</v>
      </c>
      <c r="B400" s="59">
        <f>VLOOKUP(Table1[[#This Row],[Date]],database!A:B,2,)</f>
        <v>94.622600000000006</v>
      </c>
      <c r="C400" s="67">
        <f t="shared" si="6"/>
        <v>8.8148936306318149E-3</v>
      </c>
      <c r="D400" s="67">
        <f>(Table1[[#This Row],[Index]]-B388)/B388</f>
        <v>3.3454748005395461E-2</v>
      </c>
    </row>
    <row r="401" spans="1:4" x14ac:dyDescent="0.2">
      <c r="A401" s="17">
        <v>38292</v>
      </c>
      <c r="B401" s="59">
        <f>VLOOKUP(Table1[[#This Row],[Date]],database!A:B,2,)</f>
        <v>94.849100000000007</v>
      </c>
      <c r="C401" s="67">
        <f t="shared" si="6"/>
        <v>2.3937198935561899E-3</v>
      </c>
      <c r="D401" s="67">
        <f>(Table1[[#This Row],[Index]]-B389)/B389</f>
        <v>2.8996607587850776E-2</v>
      </c>
    </row>
    <row r="402" spans="1:4" x14ac:dyDescent="0.2">
      <c r="A402" s="17">
        <v>38322</v>
      </c>
      <c r="B402" s="59">
        <f>VLOOKUP(Table1[[#This Row],[Date]],database!A:B,2,)</f>
        <v>95.584100000000007</v>
      </c>
      <c r="C402" s="67">
        <f t="shared" si="6"/>
        <v>7.7491510198830493E-3</v>
      </c>
      <c r="D402" s="67">
        <f>(Table1[[#This Row],[Index]]-B390)/B390</f>
        <v>3.6106064613476818E-2</v>
      </c>
    </row>
    <row r="403" spans="1:4" x14ac:dyDescent="0.2">
      <c r="A403" s="17">
        <v>38353</v>
      </c>
      <c r="B403" s="59">
        <f>VLOOKUP(Table1[[#This Row],[Date]],database!A:B,2,)</f>
        <v>95.9285</v>
      </c>
      <c r="C403" s="67">
        <f t="shared" si="6"/>
        <v>3.603109722223552E-3</v>
      </c>
      <c r="D403" s="67">
        <f>(Table1[[#This Row],[Index]]-B391)/B391</f>
        <v>3.8111955085507854E-2</v>
      </c>
    </row>
    <row r="404" spans="1:4" x14ac:dyDescent="0.2">
      <c r="A404" s="17">
        <v>38384</v>
      </c>
      <c r="B404" s="59">
        <f>VLOOKUP(Table1[[#This Row],[Date]],database!A:B,2,)</f>
        <v>96.628699999999995</v>
      </c>
      <c r="C404" s="67">
        <f t="shared" si="6"/>
        <v>7.2991863731841633E-3</v>
      </c>
      <c r="D404" s="67">
        <f>(Table1[[#This Row],[Index]]-B392)/B392</f>
        <v>3.9368088399644147E-2</v>
      </c>
    </row>
    <row r="405" spans="1:4" x14ac:dyDescent="0.2">
      <c r="A405" s="17">
        <v>38412</v>
      </c>
      <c r="B405" s="59">
        <f>VLOOKUP(Table1[[#This Row],[Date]],database!A:B,2,)</f>
        <v>96.490700000000004</v>
      </c>
      <c r="C405" s="67">
        <f t="shared" si="6"/>
        <v>-1.4281471239909749E-3</v>
      </c>
      <c r="D405" s="67">
        <f>(Table1[[#This Row],[Index]]-B393)/B393</f>
        <v>4.201619870410378E-2</v>
      </c>
    </row>
    <row r="406" spans="1:4" x14ac:dyDescent="0.2">
      <c r="A406" s="17">
        <v>38443</v>
      </c>
      <c r="B406" s="59">
        <f>VLOOKUP(Table1[[#This Row],[Date]],database!A:B,2,)</f>
        <v>96.680899999999994</v>
      </c>
      <c r="C406" s="67">
        <f t="shared" si="6"/>
        <v>1.971174424063582E-3</v>
      </c>
      <c r="D406" s="67">
        <f>(Table1[[#This Row],[Index]]-B394)/B394</f>
        <v>3.9846799338754707E-2</v>
      </c>
    </row>
    <row r="407" spans="1:4" x14ac:dyDescent="0.2">
      <c r="A407" s="17">
        <v>38473</v>
      </c>
      <c r="B407" s="59">
        <f>VLOOKUP(Table1[[#This Row],[Date]],database!A:B,2,)</f>
        <v>96.792500000000004</v>
      </c>
      <c r="C407" s="67">
        <f t="shared" si="6"/>
        <v>1.1543127960125243E-3</v>
      </c>
      <c r="D407" s="67">
        <f>(Table1[[#This Row],[Index]]-B395)/B395</f>
        <v>3.3615392665460764E-2</v>
      </c>
    </row>
    <row r="408" spans="1:4" x14ac:dyDescent="0.2">
      <c r="A408" s="17">
        <v>38504</v>
      </c>
      <c r="B408" s="59">
        <f>VLOOKUP(Table1[[#This Row],[Date]],database!A:B,2,)</f>
        <v>97.19</v>
      </c>
      <c r="C408" s="67">
        <f t="shared" si="6"/>
        <v>4.1067231448717045E-3</v>
      </c>
      <c r="D408" s="67">
        <f>(Table1[[#This Row],[Index]]-B396)/B396</f>
        <v>4.5837579347102024E-2</v>
      </c>
    </row>
    <row r="409" spans="1:4" x14ac:dyDescent="0.2">
      <c r="A409" s="17">
        <v>38534</v>
      </c>
      <c r="B409" s="59">
        <f>VLOOKUP(Table1[[#This Row],[Date]],database!A:B,2,)</f>
        <v>96.898099999999999</v>
      </c>
      <c r="C409" s="67">
        <f t="shared" si="6"/>
        <v>-3.0033954110505467E-3</v>
      </c>
      <c r="D409" s="67">
        <f>(Table1[[#This Row],[Index]]-B397)/B397</f>
        <v>3.5115568806623997E-2</v>
      </c>
    </row>
    <row r="410" spans="1:4" x14ac:dyDescent="0.2">
      <c r="A410" s="17">
        <v>38565</v>
      </c>
      <c r="B410" s="59">
        <f>VLOOKUP(Table1[[#This Row],[Date]],database!A:B,2,)</f>
        <v>97.222300000000004</v>
      </c>
      <c r="C410" s="67">
        <f t="shared" si="6"/>
        <v>3.3457828378471444E-3</v>
      </c>
      <c r="D410" s="67">
        <f>(Table1[[#This Row],[Index]]-B398)/B398</f>
        <v>3.7637759643441848E-2</v>
      </c>
    </row>
    <row r="411" spans="1:4" x14ac:dyDescent="0.2">
      <c r="A411" s="17">
        <v>38596</v>
      </c>
      <c r="B411" s="59">
        <f>VLOOKUP(Table1[[#This Row],[Date]],database!A:B,2,)</f>
        <v>95.346299999999999</v>
      </c>
      <c r="C411" s="67">
        <f t="shared" si="6"/>
        <v>-1.9295984563212354E-2</v>
      </c>
      <c r="D411" s="67">
        <f>(Table1[[#This Row],[Index]]-B399)/B399</f>
        <v>1.6530590921981576E-2</v>
      </c>
    </row>
    <row r="412" spans="1:4" x14ac:dyDescent="0.2">
      <c r="A412" s="17">
        <v>38626</v>
      </c>
      <c r="B412" s="59">
        <f>VLOOKUP(Table1[[#This Row],[Date]],database!A:B,2,)</f>
        <v>96.498099999999994</v>
      </c>
      <c r="C412" s="67">
        <f t="shared" si="6"/>
        <v>1.2080175109049796E-2</v>
      </c>
      <c r="D412" s="67">
        <f>(Table1[[#This Row],[Index]]-B400)/B400</f>
        <v>1.9820846182624322E-2</v>
      </c>
    </row>
    <row r="413" spans="1:4" x14ac:dyDescent="0.2">
      <c r="A413" s="17">
        <v>38657</v>
      </c>
      <c r="B413" s="59">
        <f>VLOOKUP(Table1[[#This Row],[Date]],database!A:B,2,)</f>
        <v>97.564599999999999</v>
      </c>
      <c r="C413" s="67">
        <f t="shared" si="6"/>
        <v>1.1052031076259627E-2</v>
      </c>
      <c r="D413" s="67">
        <f>(Table1[[#This Row],[Index]]-B401)/B401</f>
        <v>2.8629686523119265E-2</v>
      </c>
    </row>
    <row r="414" spans="1:4" x14ac:dyDescent="0.2">
      <c r="A414" s="17">
        <v>38687</v>
      </c>
      <c r="B414" s="59">
        <f>VLOOKUP(Table1[[#This Row],[Date]],database!A:B,2,)</f>
        <v>98.022199999999998</v>
      </c>
      <c r="C414" s="67">
        <f t="shared" si="6"/>
        <v>4.6902257581131757E-3</v>
      </c>
      <c r="D414" s="67">
        <f>(Table1[[#This Row],[Index]]-B402)/B402</f>
        <v>2.5507380411595563E-2</v>
      </c>
    </row>
    <row r="415" spans="1:4" x14ac:dyDescent="0.2">
      <c r="A415" s="17">
        <v>38718</v>
      </c>
      <c r="B415" s="59">
        <f>VLOOKUP(Table1[[#This Row],[Date]],database!A:B,2,)</f>
        <v>98.204400000000007</v>
      </c>
      <c r="C415" s="67">
        <f t="shared" si="6"/>
        <v>1.8587626068380381E-3</v>
      </c>
      <c r="D415" s="67">
        <f>(Table1[[#This Row],[Index]]-B403)/B403</f>
        <v>2.3724961820522653E-2</v>
      </c>
    </row>
    <row r="416" spans="1:4" x14ac:dyDescent="0.2">
      <c r="A416" s="17">
        <v>38749</v>
      </c>
      <c r="B416" s="59">
        <f>VLOOKUP(Table1[[#This Row],[Date]],database!A:B,2,)</f>
        <v>98.240399999999994</v>
      </c>
      <c r="C416" s="67">
        <f t="shared" si="6"/>
        <v>3.6658235272546413E-4</v>
      </c>
      <c r="D416" s="67">
        <f>(Table1[[#This Row],[Index]]-B404)/B404</f>
        <v>1.6679309563307786E-2</v>
      </c>
    </row>
    <row r="417" spans="1:4" x14ac:dyDescent="0.2">
      <c r="A417" s="17">
        <v>38777</v>
      </c>
      <c r="B417" s="59">
        <f>VLOOKUP(Table1[[#This Row],[Date]],database!A:B,2,)</f>
        <v>98.474199999999996</v>
      </c>
      <c r="C417" s="67">
        <f t="shared" si="6"/>
        <v>2.3798763034352799E-3</v>
      </c>
      <c r="D417" s="67">
        <f>(Table1[[#This Row],[Index]]-B405)/B405</f>
        <v>2.0556385226762706E-2</v>
      </c>
    </row>
    <row r="418" spans="1:4" x14ac:dyDescent="0.2">
      <c r="A418" s="17">
        <v>38808</v>
      </c>
      <c r="B418" s="59">
        <f>VLOOKUP(Table1[[#This Row],[Date]],database!A:B,2,)</f>
        <v>98.776499999999999</v>
      </c>
      <c r="C418" s="67">
        <f t="shared" si="6"/>
        <v>3.0698396128123751E-3</v>
      </c>
      <c r="D418" s="67">
        <f>(Table1[[#This Row],[Index]]-B406)/B406</f>
        <v>2.1675429169567152E-2</v>
      </c>
    </row>
    <row r="419" spans="1:4" x14ac:dyDescent="0.2">
      <c r="A419" s="17">
        <v>38838</v>
      </c>
      <c r="B419" s="59">
        <f>VLOOKUP(Table1[[#This Row],[Date]],database!A:B,2,)</f>
        <v>98.788399999999996</v>
      </c>
      <c r="C419" s="67">
        <f t="shared" si="6"/>
        <v>1.2047399938230896E-4</v>
      </c>
      <c r="D419" s="67">
        <f>(Table1[[#This Row],[Index]]-B407)/B407</f>
        <v>2.0620399307797521E-2</v>
      </c>
    </row>
    <row r="420" spans="1:4" x14ac:dyDescent="0.2">
      <c r="A420" s="17">
        <v>38869</v>
      </c>
      <c r="B420" s="59">
        <f>VLOOKUP(Table1[[#This Row],[Date]],database!A:B,2,)</f>
        <v>99.106899999999996</v>
      </c>
      <c r="C420" s="67">
        <f t="shared" si="6"/>
        <v>3.2240627442088332E-3</v>
      </c>
      <c r="D420" s="67">
        <f>(Table1[[#This Row],[Index]]-B408)/B408</f>
        <v>1.9723222553760657E-2</v>
      </c>
    </row>
    <row r="421" spans="1:4" x14ac:dyDescent="0.2">
      <c r="A421" s="17">
        <v>38899</v>
      </c>
      <c r="B421" s="59">
        <f>VLOOKUP(Table1[[#This Row],[Date]],database!A:B,2,)</f>
        <v>99.035700000000006</v>
      </c>
      <c r="C421" s="67">
        <f t="shared" si="6"/>
        <v>-7.1841617485757236E-4</v>
      </c>
      <c r="D421" s="67">
        <f>(Table1[[#This Row],[Index]]-B409)/B409</f>
        <v>2.2060288075824049E-2</v>
      </c>
    </row>
    <row r="422" spans="1:4" x14ac:dyDescent="0.2">
      <c r="A422" s="17">
        <v>38930</v>
      </c>
      <c r="B422" s="59">
        <f>VLOOKUP(Table1[[#This Row],[Date]],database!A:B,2,)</f>
        <v>99.458299999999994</v>
      </c>
      <c r="C422" s="67">
        <f t="shared" si="6"/>
        <v>4.2671481092171337E-3</v>
      </c>
      <c r="D422" s="67">
        <f>(Table1[[#This Row],[Index]]-B410)/B410</f>
        <v>2.2998838743786044E-2</v>
      </c>
    </row>
    <row r="423" spans="1:4" x14ac:dyDescent="0.2">
      <c r="A423" s="17">
        <v>38961</v>
      </c>
      <c r="B423" s="59">
        <f>VLOOKUP(Table1[[#This Row],[Date]],database!A:B,2,)</f>
        <v>99.254400000000004</v>
      </c>
      <c r="C423" s="67">
        <f t="shared" si="6"/>
        <v>-2.0501054210657621E-3</v>
      </c>
      <c r="D423" s="67">
        <f>(Table1[[#This Row],[Index]]-B411)/B411</f>
        <v>4.098848093738304E-2</v>
      </c>
    </row>
    <row r="424" spans="1:4" x14ac:dyDescent="0.2">
      <c r="A424" s="17">
        <v>38991</v>
      </c>
      <c r="B424" s="59">
        <f>VLOOKUP(Table1[[#This Row],[Date]],database!A:B,2,)</f>
        <v>99.151399999999995</v>
      </c>
      <c r="C424" s="67">
        <f t="shared" si="6"/>
        <v>-1.0377373698294834E-3</v>
      </c>
      <c r="D424" s="67">
        <f>(Table1[[#This Row],[Index]]-B412)/B412</f>
        <v>2.7495878157186533E-2</v>
      </c>
    </row>
    <row r="425" spans="1:4" x14ac:dyDescent="0.2">
      <c r="A425" s="17">
        <v>39022</v>
      </c>
      <c r="B425" s="59">
        <f>VLOOKUP(Table1[[#This Row],[Date]],database!A:B,2,)</f>
        <v>99.097399999999993</v>
      </c>
      <c r="C425" s="67">
        <f t="shared" si="6"/>
        <v>-5.446216594017228E-4</v>
      </c>
      <c r="D425" s="67">
        <f>(Table1[[#This Row],[Index]]-B413)/B413</f>
        <v>1.5710616350602519E-2</v>
      </c>
    </row>
    <row r="426" spans="1:4" x14ac:dyDescent="0.2">
      <c r="A426" s="17">
        <v>39052</v>
      </c>
      <c r="B426" s="59">
        <f>VLOOKUP(Table1[[#This Row],[Date]],database!A:B,2,)</f>
        <v>100.1117</v>
      </c>
      <c r="C426" s="67">
        <f t="shared" si="6"/>
        <v>1.0235384581230189E-2</v>
      </c>
      <c r="D426" s="67">
        <f>(Table1[[#This Row],[Index]]-B414)/B414</f>
        <v>2.1316599709045512E-2</v>
      </c>
    </row>
    <row r="427" spans="1:4" x14ac:dyDescent="0.2">
      <c r="A427" s="17">
        <v>39083</v>
      </c>
      <c r="B427" s="59">
        <f>VLOOKUP(Table1[[#This Row],[Date]],database!A:B,2,)</f>
        <v>99.7226</v>
      </c>
      <c r="C427" s="67">
        <f t="shared" si="6"/>
        <v>-3.8866586023411642E-3</v>
      </c>
      <c r="D427" s="67">
        <f>(Table1[[#This Row],[Index]]-B415)/B415</f>
        <v>1.5459592441886444E-2</v>
      </c>
    </row>
    <row r="428" spans="1:4" x14ac:dyDescent="0.2">
      <c r="A428" s="17">
        <v>39114</v>
      </c>
      <c r="B428" s="59">
        <f>VLOOKUP(Table1[[#This Row],[Date]],database!A:B,2,)</f>
        <v>100.6919</v>
      </c>
      <c r="C428" s="67">
        <f t="shared" si="6"/>
        <v>9.7199631778555062E-3</v>
      </c>
      <c r="D428" s="67">
        <f>(Table1[[#This Row],[Index]]-B416)/B416</f>
        <v>2.4954092206465061E-2</v>
      </c>
    </row>
    <row r="429" spans="1:4" x14ac:dyDescent="0.2">
      <c r="A429" s="17">
        <v>39142</v>
      </c>
      <c r="B429" s="59">
        <f>VLOOKUP(Table1[[#This Row],[Date]],database!A:B,2,)</f>
        <v>100.8857</v>
      </c>
      <c r="C429" s="67">
        <f t="shared" si="6"/>
        <v>1.9246831175099288E-3</v>
      </c>
      <c r="D429" s="67">
        <f>(Table1[[#This Row],[Index]]-B417)/B417</f>
        <v>2.4488647787948556E-2</v>
      </c>
    </row>
    <row r="430" spans="1:4" x14ac:dyDescent="0.2">
      <c r="A430" s="17">
        <v>39173</v>
      </c>
      <c r="B430" s="59">
        <f>VLOOKUP(Table1[[#This Row],[Date]],database!A:B,2,)</f>
        <v>101.57769999999999</v>
      </c>
      <c r="C430" s="67">
        <f t="shared" si="6"/>
        <v>6.8592476436204475E-3</v>
      </c>
      <c r="D430" s="67">
        <f>(Table1[[#This Row],[Index]]-B418)/B418</f>
        <v>2.8358972022697649E-2</v>
      </c>
    </row>
    <row r="431" spans="1:4" x14ac:dyDescent="0.2">
      <c r="A431" s="17">
        <v>39203</v>
      </c>
      <c r="B431" s="59">
        <f>VLOOKUP(Table1[[#This Row],[Date]],database!A:B,2,)</f>
        <v>101.6481</v>
      </c>
      <c r="C431" s="67">
        <f t="shared" si="6"/>
        <v>6.9306550551950785E-4</v>
      </c>
      <c r="D431" s="67">
        <f>(Table1[[#This Row],[Index]]-B419)/B419</f>
        <v>2.894773070522454E-2</v>
      </c>
    </row>
    <row r="432" spans="1:4" x14ac:dyDescent="0.2">
      <c r="A432" s="17">
        <v>39234</v>
      </c>
      <c r="B432" s="59">
        <f>VLOOKUP(Table1[[#This Row],[Date]],database!A:B,2,)</f>
        <v>101.6741</v>
      </c>
      <c r="C432" s="67">
        <f t="shared" si="6"/>
        <v>2.5578441702300836E-4</v>
      </c>
      <c r="D432" s="67">
        <f>(Table1[[#This Row],[Index]]-B420)/B420</f>
        <v>2.5903342754137196E-2</v>
      </c>
    </row>
    <row r="433" spans="1:4" x14ac:dyDescent="0.2">
      <c r="A433" s="17">
        <v>39264</v>
      </c>
      <c r="B433" s="59">
        <f>VLOOKUP(Table1[[#This Row],[Date]],database!A:B,2,)</f>
        <v>101.56270000000001</v>
      </c>
      <c r="C433" s="67">
        <f t="shared" si="6"/>
        <v>-1.0956575961822423E-3</v>
      </c>
      <c r="D433" s="67">
        <f>(Table1[[#This Row],[Index]]-B421)/B421</f>
        <v>2.5516051282517323E-2</v>
      </c>
    </row>
    <row r="434" spans="1:4" x14ac:dyDescent="0.2">
      <c r="A434" s="17">
        <v>39295</v>
      </c>
      <c r="B434" s="59">
        <f>VLOOKUP(Table1[[#This Row],[Date]],database!A:B,2,)</f>
        <v>101.77509999999999</v>
      </c>
      <c r="C434" s="67">
        <f t="shared" si="6"/>
        <v>2.091318958633348E-3</v>
      </c>
      <c r="D434" s="67">
        <f>(Table1[[#This Row],[Index]]-B422)/B422</f>
        <v>2.3294184597967196E-2</v>
      </c>
    </row>
    <row r="435" spans="1:4" x14ac:dyDescent="0.2">
      <c r="A435" s="17">
        <v>39326</v>
      </c>
      <c r="B435" s="59">
        <f>VLOOKUP(Table1[[#This Row],[Date]],database!A:B,2,)</f>
        <v>102.0279</v>
      </c>
      <c r="C435" s="67">
        <f t="shared" si="6"/>
        <v>2.4839081464917978E-3</v>
      </c>
      <c r="D435" s="67">
        <f>(Table1[[#This Row],[Index]]-B423)/B423</f>
        <v>2.7943345584679355E-2</v>
      </c>
    </row>
    <row r="436" spans="1:4" x14ac:dyDescent="0.2">
      <c r="A436" s="17">
        <v>39356</v>
      </c>
      <c r="B436" s="59">
        <f>VLOOKUP(Table1[[#This Row],[Date]],database!A:B,2,)</f>
        <v>101.7289</v>
      </c>
      <c r="C436" s="67">
        <f t="shared" si="6"/>
        <v>-2.930570951671152E-3</v>
      </c>
      <c r="D436" s="67">
        <f>(Table1[[#This Row],[Index]]-B424)/B424</f>
        <v>2.5995598650145137E-2</v>
      </c>
    </row>
    <row r="437" spans="1:4" x14ac:dyDescent="0.2">
      <c r="A437" s="17">
        <v>39387</v>
      </c>
      <c r="B437" s="59">
        <f>VLOOKUP(Table1[[#This Row],[Date]],database!A:B,2,)</f>
        <v>102.3185</v>
      </c>
      <c r="C437" s="67">
        <f t="shared" si="6"/>
        <v>5.7957964747481494E-3</v>
      </c>
      <c r="D437" s="67">
        <f>(Table1[[#This Row],[Index]]-B425)/B425</f>
        <v>3.2504384575175606E-2</v>
      </c>
    </row>
    <row r="438" spans="1:4" x14ac:dyDescent="0.2">
      <c r="A438" s="17">
        <v>39417</v>
      </c>
      <c r="B438" s="59">
        <f>VLOOKUP(Table1[[#This Row],[Date]],database!A:B,2,)</f>
        <v>102.3074</v>
      </c>
      <c r="C438" s="67">
        <f t="shared" si="6"/>
        <v>-1.0848478036717957E-4</v>
      </c>
      <c r="D438" s="67">
        <f>(Table1[[#This Row],[Index]]-B426)/B426</f>
        <v>2.1932501395940756E-2</v>
      </c>
    </row>
    <row r="439" spans="1:4" x14ac:dyDescent="0.2">
      <c r="A439" s="17">
        <v>39448</v>
      </c>
      <c r="B439" s="59">
        <f>VLOOKUP(Table1[[#This Row],[Date]],database!A:B,2,)</f>
        <v>102.1686</v>
      </c>
      <c r="C439" s="67">
        <f t="shared" si="6"/>
        <v>-1.3566956055964807E-3</v>
      </c>
      <c r="D439" s="67">
        <f>(Table1[[#This Row],[Index]]-B427)/B427</f>
        <v>2.4528040785137952E-2</v>
      </c>
    </row>
    <row r="440" spans="1:4" x14ac:dyDescent="0.2">
      <c r="A440" s="17">
        <v>39479</v>
      </c>
      <c r="B440" s="59">
        <f>VLOOKUP(Table1[[#This Row],[Date]],database!A:B,2,)</f>
        <v>101.76730000000001</v>
      </c>
      <c r="C440" s="67">
        <f t="shared" si="6"/>
        <v>-3.927821267982412E-3</v>
      </c>
      <c r="D440" s="67">
        <f>(Table1[[#This Row],[Index]]-B428)/B428</f>
        <v>1.0680104357947381E-2</v>
      </c>
    </row>
    <row r="441" spans="1:4" x14ac:dyDescent="0.2">
      <c r="A441" s="17">
        <v>39508</v>
      </c>
      <c r="B441" s="59">
        <f>VLOOKUP(Table1[[#This Row],[Date]],database!A:B,2,)</f>
        <v>101.3986</v>
      </c>
      <c r="C441" s="67">
        <f t="shared" si="6"/>
        <v>-3.6229712294617578E-3</v>
      </c>
      <c r="D441" s="67">
        <f>(Table1[[#This Row],[Index]]-B429)/B429</f>
        <v>5.083971266492693E-3</v>
      </c>
    </row>
    <row r="442" spans="1:4" x14ac:dyDescent="0.2">
      <c r="A442" s="17">
        <v>39539</v>
      </c>
      <c r="B442" s="59">
        <f>VLOOKUP(Table1[[#This Row],[Date]],database!A:B,2,)</f>
        <v>100.7238</v>
      </c>
      <c r="C442" s="67">
        <f t="shared" si="6"/>
        <v>-6.6549242297231359E-3</v>
      </c>
      <c r="D442" s="67">
        <f>(Table1[[#This Row],[Index]]-B430)/B430</f>
        <v>-8.4063726585657667E-3</v>
      </c>
    </row>
    <row r="443" spans="1:4" x14ac:dyDescent="0.2">
      <c r="A443" s="17">
        <v>39569</v>
      </c>
      <c r="B443" s="59">
        <f>VLOOKUP(Table1[[#This Row],[Date]],database!A:B,2,)</f>
        <v>100.1399</v>
      </c>
      <c r="C443" s="67">
        <f t="shared" si="6"/>
        <v>-5.7970410171180875E-3</v>
      </c>
      <c r="D443" s="67">
        <f>(Table1[[#This Row],[Index]]-B431)/B431</f>
        <v>-1.4837463759775167E-2</v>
      </c>
    </row>
    <row r="444" spans="1:4" x14ac:dyDescent="0.2">
      <c r="A444" s="17">
        <v>39600</v>
      </c>
      <c r="B444" s="59">
        <f>VLOOKUP(Table1[[#This Row],[Date]],database!A:B,2,)</f>
        <v>99.914100000000005</v>
      </c>
      <c r="C444" s="67">
        <f t="shared" si="6"/>
        <v>-2.2548454711857069E-3</v>
      </c>
      <c r="D444" s="67">
        <f>(Table1[[#This Row],[Index]]-B432)/B432</f>
        <v>-1.7310209778104661E-2</v>
      </c>
    </row>
    <row r="445" spans="1:4" x14ac:dyDescent="0.2">
      <c r="A445" s="17">
        <v>39630</v>
      </c>
      <c r="B445" s="59">
        <f>VLOOKUP(Table1[[#This Row],[Date]],database!A:B,2,)</f>
        <v>99.494299999999996</v>
      </c>
      <c r="C445" s="67">
        <f t="shared" si="6"/>
        <v>-4.2016091822876245E-3</v>
      </c>
      <c r="D445" s="67">
        <f>(Table1[[#This Row],[Index]]-B433)/B433</f>
        <v>-2.0365744510533995E-2</v>
      </c>
    </row>
    <row r="446" spans="1:4" x14ac:dyDescent="0.2">
      <c r="A446" s="17">
        <v>39661</v>
      </c>
      <c r="B446" s="59">
        <f>VLOOKUP(Table1[[#This Row],[Date]],database!A:B,2,)</f>
        <v>97.936700000000002</v>
      </c>
      <c r="C446" s="67">
        <f t="shared" si="6"/>
        <v>-1.5655168185514046E-2</v>
      </c>
      <c r="D446" s="67">
        <f>(Table1[[#This Row],[Index]]-B434)/B434</f>
        <v>-3.7714529388819008E-2</v>
      </c>
    </row>
    <row r="447" spans="1:4" x14ac:dyDescent="0.2">
      <c r="A447" s="17">
        <v>39692</v>
      </c>
      <c r="B447" s="59">
        <f>VLOOKUP(Table1[[#This Row],[Date]],database!A:B,2,)</f>
        <v>93.658500000000004</v>
      </c>
      <c r="C447" s="67">
        <f t="shared" si="6"/>
        <v>-4.3683317898193352E-2</v>
      </c>
      <c r="D447" s="67">
        <f>(Table1[[#This Row],[Index]]-B435)/B435</f>
        <v>-8.203050342112303E-2</v>
      </c>
    </row>
    <row r="448" spans="1:4" x14ac:dyDescent="0.2">
      <c r="A448" s="17">
        <v>39722</v>
      </c>
      <c r="B448" s="59">
        <f>VLOOKUP(Table1[[#This Row],[Date]],database!A:B,2,)</f>
        <v>94.584500000000006</v>
      </c>
      <c r="C448" s="67">
        <f t="shared" si="6"/>
        <v>9.8869830287693361E-3</v>
      </c>
      <c r="D448" s="67">
        <f>(Table1[[#This Row],[Index]]-B436)/B436</f>
        <v>-7.0229797038992764E-2</v>
      </c>
    </row>
    <row r="449" spans="1:4" x14ac:dyDescent="0.2">
      <c r="A449" s="17">
        <v>39753</v>
      </c>
      <c r="B449" s="59">
        <f>VLOOKUP(Table1[[#This Row],[Date]],database!A:B,2,)</f>
        <v>93.345500000000001</v>
      </c>
      <c r="C449" s="67">
        <f t="shared" si="6"/>
        <v>-1.3099397892889497E-2</v>
      </c>
      <c r="D449" s="67">
        <f>(Table1[[#This Row],[Index]]-B437)/B437</f>
        <v>-8.7696750831960976E-2</v>
      </c>
    </row>
    <row r="450" spans="1:4" x14ac:dyDescent="0.2">
      <c r="A450" s="17">
        <v>39783</v>
      </c>
      <c r="B450" s="59">
        <f>VLOOKUP(Table1[[#This Row],[Date]],database!A:B,2,)</f>
        <v>90.718299999999999</v>
      </c>
      <c r="C450" s="67">
        <f t="shared" si="6"/>
        <v>-2.8144902539490424E-2</v>
      </c>
      <c r="D450" s="67">
        <f>(Table1[[#This Row],[Index]]-B438)/B438</f>
        <v>-0.11327724094249293</v>
      </c>
    </row>
    <row r="451" spans="1:4" x14ac:dyDescent="0.2">
      <c r="A451" s="17">
        <v>39814</v>
      </c>
      <c r="B451" s="59">
        <f>VLOOKUP(Table1[[#This Row],[Date]],database!A:B,2,)</f>
        <v>88.468299999999999</v>
      </c>
      <c r="C451" s="67">
        <f t="shared" si="6"/>
        <v>-2.4802052066672298E-2</v>
      </c>
      <c r="D451" s="67">
        <f>(Table1[[#This Row],[Index]]-B439)/B439</f>
        <v>-0.13409501549399716</v>
      </c>
    </row>
    <row r="452" spans="1:4" x14ac:dyDescent="0.2">
      <c r="A452" s="17">
        <v>39845</v>
      </c>
      <c r="B452" s="59">
        <f>VLOOKUP(Table1[[#This Row],[Date]],database!A:B,2,)</f>
        <v>87.936000000000007</v>
      </c>
      <c r="C452" s="67">
        <f t="shared" si="6"/>
        <v>-6.0168444516283115E-3</v>
      </c>
      <c r="D452" s="67">
        <f>(Table1[[#This Row],[Index]]-B440)/B440</f>
        <v>-0.13591104411731467</v>
      </c>
    </row>
    <row r="453" spans="1:4" x14ac:dyDescent="0.2">
      <c r="A453" s="17">
        <v>39873</v>
      </c>
      <c r="B453" s="59">
        <f>VLOOKUP(Table1[[#This Row],[Date]],database!A:B,2,)</f>
        <v>86.550299999999993</v>
      </c>
      <c r="C453" s="67">
        <f t="shared" si="6"/>
        <v>-1.5758051310043819E-2</v>
      </c>
      <c r="D453" s="67">
        <f>(Table1[[#This Row],[Index]]-B441)/B441</f>
        <v>-0.14643496064048231</v>
      </c>
    </row>
    <row r="454" spans="1:4" x14ac:dyDescent="0.2">
      <c r="A454" s="17">
        <v>39904</v>
      </c>
      <c r="B454" s="59">
        <f>VLOOKUP(Table1[[#This Row],[Date]],database!A:B,2,)</f>
        <v>85.859800000000007</v>
      </c>
      <c r="C454" s="67">
        <f t="shared" si="6"/>
        <v>-7.9780197180134849E-3</v>
      </c>
      <c r="D454" s="67">
        <f>(Table1[[#This Row],[Index]]-B442)/B442</f>
        <v>-0.14757187477041167</v>
      </c>
    </row>
    <row r="455" spans="1:4" x14ac:dyDescent="0.2">
      <c r="A455" s="17">
        <v>39934</v>
      </c>
      <c r="B455" s="59">
        <f>VLOOKUP(Table1[[#This Row],[Date]],database!A:B,2,)</f>
        <v>84.999099999999999</v>
      </c>
      <c r="C455" s="67">
        <f t="shared" si="6"/>
        <v>-1.0024481771446103E-2</v>
      </c>
      <c r="D455" s="67">
        <f>(Table1[[#This Row],[Index]]-B443)/B443</f>
        <v>-0.15119647612989426</v>
      </c>
    </row>
    <row r="456" spans="1:4" x14ac:dyDescent="0.2">
      <c r="A456" s="17">
        <v>39965</v>
      </c>
      <c r="B456" s="59">
        <f>VLOOKUP(Table1[[#This Row],[Date]],database!A:B,2,)</f>
        <v>84.727699999999999</v>
      </c>
      <c r="C456" s="67">
        <f t="shared" ref="C456:C519" si="7">B456/B455-1</f>
        <v>-3.1929749844410438E-3</v>
      </c>
      <c r="D456" s="67">
        <f>(Table1[[#This Row],[Index]]-B444)/B444</f>
        <v>-0.15199456332990044</v>
      </c>
    </row>
    <row r="457" spans="1:4" x14ac:dyDescent="0.2">
      <c r="A457" s="17">
        <v>39995</v>
      </c>
      <c r="B457" s="59">
        <f>VLOOKUP(Table1[[#This Row],[Date]],database!A:B,2,)</f>
        <v>85.709100000000007</v>
      </c>
      <c r="C457" s="67">
        <f t="shared" si="7"/>
        <v>1.1582988798232607E-2</v>
      </c>
      <c r="D457" s="67">
        <f>(Table1[[#This Row],[Index]]-B445)/B445</f>
        <v>-0.13855266080569428</v>
      </c>
    </row>
    <row r="458" spans="1:4" x14ac:dyDescent="0.2">
      <c r="A458" s="17">
        <v>40026</v>
      </c>
      <c r="B458" s="59">
        <f>VLOOKUP(Table1[[#This Row],[Date]],database!A:B,2,)</f>
        <v>86.633300000000006</v>
      </c>
      <c r="C458" s="67">
        <f t="shared" si="7"/>
        <v>1.0782985703968517E-2</v>
      </c>
      <c r="D458" s="67">
        <f>(Table1[[#This Row],[Index]]-B446)/B446</f>
        <v>-0.11541536523080721</v>
      </c>
    </row>
    <row r="459" spans="1:4" x14ac:dyDescent="0.2">
      <c r="A459" s="17">
        <v>40057</v>
      </c>
      <c r="B459" s="59">
        <f>VLOOKUP(Table1[[#This Row],[Date]],database!A:B,2,)</f>
        <v>87.361500000000007</v>
      </c>
      <c r="C459" s="67">
        <f t="shared" si="7"/>
        <v>8.4055438266810167E-3</v>
      </c>
      <c r="D459" s="67">
        <f>(Table1[[#This Row],[Index]]-B447)/B447</f>
        <v>-6.723362001313278E-2</v>
      </c>
    </row>
    <row r="460" spans="1:4" x14ac:dyDescent="0.2">
      <c r="A460" s="17">
        <v>40087</v>
      </c>
      <c r="B460" s="59">
        <f>VLOOKUP(Table1[[#This Row],[Date]],database!A:B,2,)</f>
        <v>87.5488</v>
      </c>
      <c r="C460" s="67">
        <f t="shared" si="7"/>
        <v>2.1439650189156723E-3</v>
      </c>
      <c r="D460" s="67">
        <f>(Table1[[#This Row],[Index]]-B448)/B448</f>
        <v>-7.4385337978210009E-2</v>
      </c>
    </row>
    <row r="461" spans="1:4" x14ac:dyDescent="0.2">
      <c r="A461" s="17">
        <v>40118</v>
      </c>
      <c r="B461" s="59">
        <f>VLOOKUP(Table1[[#This Row],[Date]],database!A:B,2,)</f>
        <v>87.914400000000001</v>
      </c>
      <c r="C461" s="67">
        <f t="shared" si="7"/>
        <v>4.1759567235644113E-3</v>
      </c>
      <c r="D461" s="67">
        <f>(Table1[[#This Row],[Index]]-B449)/B449</f>
        <v>-5.8182772602857133E-2</v>
      </c>
    </row>
    <row r="462" spans="1:4" x14ac:dyDescent="0.2">
      <c r="A462" s="17">
        <v>40148</v>
      </c>
      <c r="B462" s="59">
        <f>VLOOKUP(Table1[[#This Row],[Date]],database!A:B,2,)</f>
        <v>88.231800000000007</v>
      </c>
      <c r="C462" s="67">
        <f t="shared" si="7"/>
        <v>3.6103300483198986E-3</v>
      </c>
      <c r="D462" s="67">
        <f>(Table1[[#This Row],[Index]]-B450)/B450</f>
        <v>-2.7409023317235798E-2</v>
      </c>
    </row>
    <row r="463" spans="1:4" x14ac:dyDescent="0.2">
      <c r="A463" s="17">
        <v>40179</v>
      </c>
      <c r="B463" s="59">
        <f>VLOOKUP(Table1[[#This Row],[Date]],database!A:B,2,)</f>
        <v>89.193600000000004</v>
      </c>
      <c r="C463" s="67">
        <f t="shared" si="7"/>
        <v>1.0900831672934208E-2</v>
      </c>
      <c r="D463" s="67">
        <f>(Table1[[#This Row],[Index]]-B451)/B451</f>
        <v>8.1984168340524712E-3</v>
      </c>
    </row>
    <row r="464" spans="1:4" x14ac:dyDescent="0.2">
      <c r="A464" s="17">
        <v>40210</v>
      </c>
      <c r="B464" s="59">
        <f>VLOOKUP(Table1[[#This Row],[Date]],database!A:B,2,)</f>
        <v>89.508899999999997</v>
      </c>
      <c r="C464" s="67">
        <f t="shared" si="7"/>
        <v>3.5350069960176089E-3</v>
      </c>
      <c r="D464" s="67">
        <f>(Table1[[#This Row],[Index]]-B452)/B452</f>
        <v>1.7886872270742243E-2</v>
      </c>
    </row>
    <row r="465" spans="1:4" x14ac:dyDescent="0.2">
      <c r="A465" s="17">
        <v>40238</v>
      </c>
      <c r="B465" s="59">
        <f>VLOOKUP(Table1[[#This Row],[Date]],database!A:B,2,)</f>
        <v>90.144900000000007</v>
      </c>
      <c r="C465" s="67">
        <f t="shared" si="7"/>
        <v>7.1054386770479372E-3</v>
      </c>
      <c r="D465" s="67">
        <f>(Table1[[#This Row],[Index]]-B453)/B453</f>
        <v>4.1531918433558454E-2</v>
      </c>
    </row>
    <row r="466" spans="1:4" x14ac:dyDescent="0.2">
      <c r="A466" s="17">
        <v>40269</v>
      </c>
      <c r="B466" s="59">
        <f>VLOOKUP(Table1[[#This Row],[Date]],database!A:B,2,)</f>
        <v>90.474000000000004</v>
      </c>
      <c r="C466" s="67">
        <f t="shared" si="7"/>
        <v>3.6507888965431334E-3</v>
      </c>
      <c r="D466" s="67">
        <f>(Table1[[#This Row],[Index]]-B454)/B454</f>
        <v>5.3741098861166653E-2</v>
      </c>
    </row>
    <row r="467" spans="1:4" x14ac:dyDescent="0.2">
      <c r="A467" s="17">
        <v>40299</v>
      </c>
      <c r="B467" s="59">
        <f>VLOOKUP(Table1[[#This Row],[Date]],database!A:B,2,)</f>
        <v>91.713099999999997</v>
      </c>
      <c r="C467" s="67">
        <f t="shared" si="7"/>
        <v>1.3695647368304531E-2</v>
      </c>
      <c r="D467" s="67">
        <f>(Table1[[#This Row],[Index]]-B455)/B455</f>
        <v>7.8989071648993922E-2</v>
      </c>
    </row>
    <row r="468" spans="1:4" x14ac:dyDescent="0.2">
      <c r="A468" s="17">
        <v>40330</v>
      </c>
      <c r="B468" s="59">
        <f>VLOOKUP(Table1[[#This Row],[Date]],database!A:B,2,)</f>
        <v>91.928700000000006</v>
      </c>
      <c r="C468" s="67">
        <f t="shared" si="7"/>
        <v>2.3508092082811238E-3</v>
      </c>
      <c r="D468" s="67">
        <f>(Table1[[#This Row],[Index]]-B456)/B456</f>
        <v>8.4989914750429996E-2</v>
      </c>
    </row>
    <row r="469" spans="1:4" x14ac:dyDescent="0.2">
      <c r="A469" s="17">
        <v>40360</v>
      </c>
      <c r="B469" s="59">
        <f>VLOOKUP(Table1[[#This Row],[Date]],database!A:B,2,)</f>
        <v>92.273700000000005</v>
      </c>
      <c r="C469" s="67">
        <f t="shared" si="7"/>
        <v>3.7529085040906018E-3</v>
      </c>
      <c r="D469" s="67">
        <f>(Table1[[#This Row],[Index]]-B457)/B457</f>
        <v>7.659163379384451E-2</v>
      </c>
    </row>
    <row r="470" spans="1:4" x14ac:dyDescent="0.2">
      <c r="A470" s="17">
        <v>40391</v>
      </c>
      <c r="B470" s="59">
        <f>VLOOKUP(Table1[[#This Row],[Date]],database!A:B,2,)</f>
        <v>92.614999999999995</v>
      </c>
      <c r="C470" s="67">
        <f t="shared" si="7"/>
        <v>3.6987787419382467E-3</v>
      </c>
      <c r="D470" s="67">
        <f>(Table1[[#This Row],[Index]]-B458)/B458</f>
        <v>6.9046198170911052E-2</v>
      </c>
    </row>
    <row r="471" spans="1:4" x14ac:dyDescent="0.2">
      <c r="A471" s="17">
        <v>40422</v>
      </c>
      <c r="B471" s="59">
        <f>VLOOKUP(Table1[[#This Row],[Date]],database!A:B,2,)</f>
        <v>92.866799999999998</v>
      </c>
      <c r="C471" s="67">
        <f t="shared" si="7"/>
        <v>2.718782054742741E-3</v>
      </c>
      <c r="D471" s="67">
        <f>(Table1[[#This Row],[Index]]-B459)/B459</f>
        <v>6.3017461925447604E-2</v>
      </c>
    </row>
    <row r="472" spans="1:4" x14ac:dyDescent="0.2">
      <c r="A472" s="17">
        <v>40452</v>
      </c>
      <c r="B472" s="59">
        <f>VLOOKUP(Table1[[#This Row],[Date]],database!A:B,2,)</f>
        <v>92.613799999999998</v>
      </c>
      <c r="C472" s="67">
        <f t="shared" si="7"/>
        <v>-2.7243320540817351E-3</v>
      </c>
      <c r="D472" s="67">
        <f>(Table1[[#This Row],[Index]]-B460)/B460</f>
        <v>5.7853448590957243E-2</v>
      </c>
    </row>
    <row r="473" spans="1:4" x14ac:dyDescent="0.2">
      <c r="A473" s="17">
        <v>40483</v>
      </c>
      <c r="B473" s="59">
        <f>VLOOKUP(Table1[[#This Row],[Date]],database!A:B,2,)</f>
        <v>92.677199999999999</v>
      </c>
      <c r="C473" s="67">
        <f t="shared" si="7"/>
        <v>6.8456320764287426E-4</v>
      </c>
      <c r="D473" s="67">
        <f>(Table1[[#This Row],[Index]]-B461)/B461</f>
        <v>5.4175425186317586E-2</v>
      </c>
    </row>
    <row r="474" spans="1:4" x14ac:dyDescent="0.2">
      <c r="A474" s="17">
        <v>40513</v>
      </c>
      <c r="B474" s="59">
        <f>VLOOKUP(Table1[[#This Row],[Date]],database!A:B,2,)</f>
        <v>93.574100000000001</v>
      </c>
      <c r="C474" s="67">
        <f t="shared" si="7"/>
        <v>9.6776769259321327E-3</v>
      </c>
      <c r="D474" s="67">
        <f>(Table1[[#This Row],[Index]]-B462)/B462</f>
        <v>6.0548464385856281E-2</v>
      </c>
    </row>
    <row r="475" spans="1:4" x14ac:dyDescent="0.2">
      <c r="A475" s="17">
        <v>40544</v>
      </c>
      <c r="B475" s="59">
        <f>VLOOKUP(Table1[[#This Row],[Date]],database!A:B,2,)</f>
        <v>93.379300000000001</v>
      </c>
      <c r="C475" s="67">
        <f t="shared" si="7"/>
        <v>-2.0817726272547299E-3</v>
      </c>
      <c r="D475" s="67">
        <f>(Table1[[#This Row],[Index]]-B463)/B463</f>
        <v>4.6928254942058586E-2</v>
      </c>
    </row>
    <row r="476" spans="1:4" x14ac:dyDescent="0.2">
      <c r="A476" s="17">
        <v>40575</v>
      </c>
      <c r="B476" s="59">
        <f>VLOOKUP(Table1[[#This Row],[Date]],database!A:B,2,)</f>
        <v>93.005099999999999</v>
      </c>
      <c r="C476" s="67">
        <f t="shared" si="7"/>
        <v>-4.0073121130700384E-3</v>
      </c>
      <c r="D476" s="67">
        <f>(Table1[[#This Row],[Index]]-B464)/B464</f>
        <v>3.9059802991657837E-2</v>
      </c>
    </row>
    <row r="477" spans="1:4" x14ac:dyDescent="0.2">
      <c r="A477" s="17">
        <v>40603</v>
      </c>
      <c r="B477" s="59">
        <f>VLOOKUP(Table1[[#This Row],[Date]],database!A:B,2,)</f>
        <v>93.977999999999994</v>
      </c>
      <c r="C477" s="67">
        <f t="shared" si="7"/>
        <v>1.0460716670376069E-2</v>
      </c>
      <c r="D477" s="67">
        <f>(Table1[[#This Row],[Index]]-B465)/B465</f>
        <v>4.2521540320084525E-2</v>
      </c>
    </row>
    <row r="478" spans="1:4" x14ac:dyDescent="0.2">
      <c r="A478" s="17">
        <v>40634</v>
      </c>
      <c r="B478" s="59">
        <f>VLOOKUP(Table1[[#This Row],[Date]],database!A:B,2,)</f>
        <v>93.652500000000003</v>
      </c>
      <c r="C478" s="68">
        <f t="shared" si="7"/>
        <v>-3.4635765817531139E-3</v>
      </c>
      <c r="D478" s="67">
        <f>(Table1[[#This Row],[Index]]-B466)/B466</f>
        <v>3.513164002917965E-2</v>
      </c>
    </row>
    <row r="479" spans="1:4" x14ac:dyDescent="0.2">
      <c r="A479" s="17">
        <v>40664</v>
      </c>
      <c r="B479" s="59">
        <f>VLOOKUP(Table1[[#This Row],[Date]],database!A:B,2,)</f>
        <v>93.787800000000004</v>
      </c>
      <c r="C479" s="67">
        <f t="shared" si="7"/>
        <v>1.444702490590144E-3</v>
      </c>
      <c r="D479" s="67">
        <f>(Table1[[#This Row],[Index]]-B467)/B467</f>
        <v>2.262163202421472E-2</v>
      </c>
    </row>
    <row r="480" spans="1:4" x14ac:dyDescent="0.2">
      <c r="A480" s="17">
        <v>40695</v>
      </c>
      <c r="B480" s="59">
        <f>VLOOKUP(Table1[[#This Row],[Date]],database!A:B,2,)</f>
        <v>94.037800000000004</v>
      </c>
      <c r="C480" s="67">
        <f t="shared" si="7"/>
        <v>2.6655919000124761E-3</v>
      </c>
      <c r="D480" s="67">
        <f>(Table1[[#This Row],[Index]]-B468)/B468</f>
        <v>2.2942780655007607E-2</v>
      </c>
    </row>
    <row r="481" spans="1:4" x14ac:dyDescent="0.2">
      <c r="A481" s="17">
        <v>40725</v>
      </c>
      <c r="B481" s="59">
        <f>VLOOKUP(Table1[[#This Row],[Date]],database!A:B,2,)</f>
        <v>94.514600000000002</v>
      </c>
      <c r="C481" s="67">
        <f t="shared" si="7"/>
        <v>5.0703015170494581E-3</v>
      </c>
      <c r="D481" s="67">
        <f>(Table1[[#This Row],[Index]]-B469)/B469</f>
        <v>2.4285359750394708E-2</v>
      </c>
    </row>
    <row r="482" spans="1:4" x14ac:dyDescent="0.2">
      <c r="A482" s="17">
        <v>40756</v>
      </c>
      <c r="B482" s="59">
        <f>VLOOKUP(Table1[[#This Row],[Date]],database!A:B,2,)</f>
        <v>95.126300000000001</v>
      </c>
      <c r="C482" s="67">
        <f t="shared" si="7"/>
        <v>6.472015963671307E-3</v>
      </c>
      <c r="D482" s="67">
        <f>(Table1[[#This Row],[Index]]-B470)/B470</f>
        <v>2.7115478054310919E-2</v>
      </c>
    </row>
    <row r="483" spans="1:4" x14ac:dyDescent="0.2">
      <c r="A483" s="17">
        <v>40787</v>
      </c>
      <c r="B483" s="59">
        <f>VLOOKUP(Table1[[#This Row],[Date]],database!A:B,2,)</f>
        <v>95.0732</v>
      </c>
      <c r="C483" s="67">
        <f t="shared" si="7"/>
        <v>-5.5820524923178017E-4</v>
      </c>
      <c r="D483" s="67">
        <f>(Table1[[#This Row],[Index]]-B471)/B471</f>
        <v>2.3758759858205539E-2</v>
      </c>
    </row>
    <row r="484" spans="1:4" x14ac:dyDescent="0.2">
      <c r="A484" s="17">
        <v>40817</v>
      </c>
      <c r="B484" s="59">
        <f>VLOOKUP(Table1[[#This Row],[Date]],database!A:B,2,)</f>
        <v>95.729100000000003</v>
      </c>
      <c r="C484" s="67">
        <f t="shared" si="7"/>
        <v>6.8988947463639594E-3</v>
      </c>
      <c r="D484" s="67">
        <f>(Table1[[#This Row],[Index]]-B472)/B472</f>
        <v>3.3637535658832755E-2</v>
      </c>
    </row>
    <row r="485" spans="1:4" x14ac:dyDescent="0.2">
      <c r="A485" s="17">
        <v>40848</v>
      </c>
      <c r="B485" s="59">
        <f>VLOOKUP(Table1[[#This Row],[Date]],database!A:B,2,)</f>
        <v>95.745500000000007</v>
      </c>
      <c r="C485" s="67">
        <f t="shared" si="7"/>
        <v>1.7131676783765926E-4</v>
      </c>
      <c r="D485" s="67">
        <f>(Table1[[#This Row],[Index]]-B473)/B473</f>
        <v>3.3107387793330049E-2</v>
      </c>
    </row>
    <row r="486" spans="1:4" x14ac:dyDescent="0.2">
      <c r="A486" s="17">
        <v>40878</v>
      </c>
      <c r="B486" s="59">
        <f>VLOOKUP(Table1[[#This Row],[Date]],database!A:B,2,)</f>
        <v>96.214699999999993</v>
      </c>
      <c r="C486" s="67">
        <f t="shared" si="7"/>
        <v>4.9004914069066263E-3</v>
      </c>
      <c r="D486" s="67">
        <f>(Table1[[#This Row],[Index]]-B474)/B474</f>
        <v>2.8219347020168956E-2</v>
      </c>
    </row>
    <row r="487" spans="1:4" x14ac:dyDescent="0.2">
      <c r="A487" s="17">
        <v>40909</v>
      </c>
      <c r="B487" s="59">
        <f>VLOOKUP(Table1[[#This Row],[Date]],database!A:B,2,)</f>
        <v>96.805099999999996</v>
      </c>
      <c r="C487" s="67">
        <f t="shared" si="7"/>
        <v>6.13627647334547E-3</v>
      </c>
      <c r="D487" s="67">
        <f>(Table1[[#This Row],[Index]]-B475)/B475</f>
        <v>3.6686931686144522E-2</v>
      </c>
    </row>
    <row r="488" spans="1:4" x14ac:dyDescent="0.2">
      <c r="A488" s="17">
        <v>40940</v>
      </c>
      <c r="B488" s="59">
        <f>VLOOKUP(Table1[[#This Row],[Date]],database!A:B,2,)</f>
        <v>97.103300000000004</v>
      </c>
      <c r="C488" s="67">
        <f t="shared" si="7"/>
        <v>3.0804162177406891E-3</v>
      </c>
      <c r="D488" s="67">
        <f>(Table1[[#This Row],[Index]]-B476)/B476</f>
        <v>4.406425024004066E-2</v>
      </c>
    </row>
    <row r="489" spans="1:4" x14ac:dyDescent="0.2">
      <c r="A489" s="17">
        <v>40969</v>
      </c>
      <c r="B489" s="59">
        <f>VLOOKUP(Table1[[#This Row],[Date]],database!A:B,2,)</f>
        <v>96.597300000000004</v>
      </c>
      <c r="C489" s="67">
        <f t="shared" si="7"/>
        <v>-5.2109454570544722E-3</v>
      </c>
      <c r="D489" s="67">
        <f>(Table1[[#This Row],[Index]]-B477)/B477</f>
        <v>2.7871416714550318E-2</v>
      </c>
    </row>
    <row r="490" spans="1:4" x14ac:dyDescent="0.2">
      <c r="A490" s="17">
        <v>41000</v>
      </c>
      <c r="B490" s="59">
        <f>VLOOKUP(Table1[[#This Row],[Date]],database!A:B,2,)</f>
        <v>97.300600000000003</v>
      </c>
      <c r="C490" s="67">
        <f t="shared" si="7"/>
        <v>7.2807418012719172E-3</v>
      </c>
      <c r="D490" s="67">
        <f>(Table1[[#This Row],[Index]]-B478)/B478</f>
        <v>3.8953578388190378E-2</v>
      </c>
    </row>
    <row r="491" spans="1:4" x14ac:dyDescent="0.2">
      <c r="A491" s="17">
        <v>41030</v>
      </c>
      <c r="B491" s="59">
        <f>VLOOKUP(Table1[[#This Row],[Date]],database!A:B,2,)</f>
        <v>97.504599999999996</v>
      </c>
      <c r="C491" s="67">
        <f t="shared" si="7"/>
        <v>2.0965954988971802E-3</v>
      </c>
      <c r="D491" s="67">
        <f>(Table1[[#This Row],[Index]]-B479)/B479</f>
        <v>3.9629887895866966E-2</v>
      </c>
    </row>
    <row r="492" spans="1:4" x14ac:dyDescent="0.2">
      <c r="A492" s="17">
        <v>41061</v>
      </c>
      <c r="B492" s="59">
        <f>VLOOKUP(Table1[[#This Row],[Date]],database!A:B,2,)</f>
        <v>97.490300000000005</v>
      </c>
      <c r="C492" s="67">
        <f t="shared" si="7"/>
        <v>-1.4665974733496512E-4</v>
      </c>
      <c r="D492" s="67">
        <f>(Table1[[#This Row],[Index]]-B480)/B480</f>
        <v>3.6713959705565215E-2</v>
      </c>
    </row>
    <row r="493" spans="1:4" x14ac:dyDescent="0.2">
      <c r="A493" s="17">
        <v>41091</v>
      </c>
      <c r="B493" s="59">
        <f>VLOOKUP(Table1[[#This Row],[Date]],database!A:B,2,)</f>
        <v>97.723399999999998</v>
      </c>
      <c r="C493" s="67">
        <f t="shared" si="7"/>
        <v>2.3910071053221404E-3</v>
      </c>
      <c r="D493" s="67">
        <f>(Table1[[#This Row],[Index]]-B481)/B481</f>
        <v>3.395031032242634E-2</v>
      </c>
    </row>
    <row r="494" spans="1:4" x14ac:dyDescent="0.2">
      <c r="A494" s="17">
        <v>41122</v>
      </c>
      <c r="B494" s="59">
        <f>VLOOKUP(Table1[[#This Row],[Date]],database!A:B,2,)</f>
        <v>97.313000000000002</v>
      </c>
      <c r="C494" s="67">
        <f t="shared" si="7"/>
        <v>-4.1996082821513792E-3</v>
      </c>
      <c r="D494" s="67">
        <f>(Table1[[#This Row],[Index]]-B482)/B482</f>
        <v>2.2987333681642214E-2</v>
      </c>
    </row>
    <row r="495" spans="1:4" x14ac:dyDescent="0.2">
      <c r="A495" s="17">
        <v>41153</v>
      </c>
      <c r="B495" s="59">
        <f>VLOOKUP(Table1[[#This Row],[Date]],database!A:B,2,)</f>
        <v>97.240499999999997</v>
      </c>
      <c r="C495" s="67">
        <f t="shared" si="7"/>
        <v>-7.4501865115661481E-4</v>
      </c>
      <c r="D495" s="67">
        <f>(Table1[[#This Row],[Index]]-B483)/B483</f>
        <v>2.2796119200784209E-2</v>
      </c>
    </row>
    <row r="496" spans="1:4" x14ac:dyDescent="0.2">
      <c r="A496" s="17">
        <v>41183</v>
      </c>
      <c r="B496" s="59">
        <f>VLOOKUP(Table1[[#This Row],[Date]],database!A:B,2,)</f>
        <v>97.561000000000007</v>
      </c>
      <c r="C496" s="67">
        <f t="shared" si="7"/>
        <v>3.2959517896351542E-3</v>
      </c>
      <c r="D496" s="67">
        <f>(Table1[[#This Row],[Index]]-B484)/B484</f>
        <v>1.913629189034478E-2</v>
      </c>
    </row>
    <row r="497" spans="1:4" x14ac:dyDescent="0.2">
      <c r="A497" s="17">
        <v>41214</v>
      </c>
      <c r="B497" s="59">
        <f>VLOOKUP(Table1[[#This Row],[Date]],database!A:B,2,)</f>
        <v>97.9589</v>
      </c>
      <c r="C497" s="67">
        <f t="shared" si="7"/>
        <v>4.0784739803814141E-3</v>
      </c>
      <c r="D497" s="67">
        <f>(Table1[[#This Row],[Index]]-B485)/B485</f>
        <v>2.3117535549973551E-2</v>
      </c>
    </row>
    <row r="498" spans="1:4" x14ac:dyDescent="0.2">
      <c r="A498" s="17">
        <v>41244</v>
      </c>
      <c r="B498" s="59">
        <f>VLOOKUP(Table1[[#This Row],[Date]],database!A:B,2,)</f>
        <v>98.206100000000006</v>
      </c>
      <c r="C498" s="67">
        <f t="shared" si="7"/>
        <v>2.5235073076566028E-3</v>
      </c>
      <c r="D498" s="67">
        <f>(Table1[[#This Row],[Index]]-B486)/B486</f>
        <v>2.0697460990888223E-2</v>
      </c>
    </row>
    <row r="499" spans="1:4" x14ac:dyDescent="0.2">
      <c r="A499" s="17">
        <v>41275</v>
      </c>
      <c r="B499" s="59">
        <f>VLOOKUP(Table1[[#This Row],[Date]],database!A:B,2,)</f>
        <v>98.198999999999998</v>
      </c>
      <c r="C499" s="67">
        <f t="shared" si="7"/>
        <v>-7.2296934711890692E-5</v>
      </c>
      <c r="D499" s="67">
        <f>(Table1[[#This Row],[Index]]-B487)/B487</f>
        <v>1.4399034761598328E-2</v>
      </c>
    </row>
    <row r="500" spans="1:4" x14ac:dyDescent="0.2">
      <c r="A500" s="17">
        <v>41306</v>
      </c>
      <c r="B500" s="59">
        <f>VLOOKUP(Table1[[#This Row],[Date]],database!A:B,2,)</f>
        <v>98.683499999999995</v>
      </c>
      <c r="C500" s="67">
        <f t="shared" si="7"/>
        <v>4.9338587969327552E-3</v>
      </c>
      <c r="D500" s="67">
        <f>(Table1[[#This Row],[Index]]-B488)/B488</f>
        <v>1.6273391326556263E-2</v>
      </c>
    </row>
    <row r="501" spans="1:4" x14ac:dyDescent="0.2">
      <c r="A501" s="17">
        <v>41334</v>
      </c>
      <c r="B501" s="59">
        <f>VLOOKUP(Table1[[#This Row],[Date]],database!A:B,2,)</f>
        <v>99.099400000000003</v>
      </c>
      <c r="C501" s="67">
        <f t="shared" si="7"/>
        <v>4.2144836776158989E-3</v>
      </c>
      <c r="D501" s="67">
        <f>(Table1[[#This Row],[Index]]-B489)/B489</f>
        <v>2.590238029427322E-2</v>
      </c>
    </row>
    <row r="502" spans="1:4" x14ac:dyDescent="0.2">
      <c r="A502" s="17">
        <v>41365</v>
      </c>
      <c r="B502" s="59">
        <f>VLOOKUP(Table1[[#This Row],[Date]],database!A:B,2,)</f>
        <v>98.989800000000002</v>
      </c>
      <c r="C502" s="67">
        <f t="shared" si="7"/>
        <v>-1.1059602782660383E-3</v>
      </c>
      <c r="D502" s="67">
        <f>(Table1[[#This Row],[Index]]-B490)/B490</f>
        <v>1.7360632925182369E-2</v>
      </c>
    </row>
    <row r="503" spans="1:4" x14ac:dyDescent="0.2">
      <c r="A503" s="17">
        <v>41395</v>
      </c>
      <c r="B503" s="59">
        <f>VLOOKUP(Table1[[#This Row],[Date]],database!A:B,2,)</f>
        <v>99.078199999999995</v>
      </c>
      <c r="C503" s="67">
        <f t="shared" si="7"/>
        <v>8.9302130118440459E-4</v>
      </c>
      <c r="D503" s="67">
        <f>(Table1[[#This Row],[Index]]-B491)/B491</f>
        <v>1.6138725762681955E-2</v>
      </c>
    </row>
    <row r="504" spans="1:4" x14ac:dyDescent="0.2">
      <c r="A504" s="17">
        <v>41426</v>
      </c>
      <c r="B504" s="59">
        <f>VLOOKUP(Table1[[#This Row],[Date]],database!A:B,2,)</f>
        <v>99.214100000000002</v>
      </c>
      <c r="C504" s="67">
        <f t="shared" si="7"/>
        <v>1.3716438126651909E-3</v>
      </c>
      <c r="D504" s="67">
        <f>(Table1[[#This Row],[Index]]-B492)/B492</f>
        <v>1.7681759108342032E-2</v>
      </c>
    </row>
    <row r="505" spans="1:4" x14ac:dyDescent="0.2">
      <c r="A505" s="17">
        <v>41456</v>
      </c>
      <c r="B505" s="59">
        <f>VLOOKUP(Table1[[#This Row],[Date]],database!A:B,2,)</f>
        <v>98.913200000000003</v>
      </c>
      <c r="C505" s="67">
        <f t="shared" si="7"/>
        <v>-3.0328350506630963E-3</v>
      </c>
      <c r="D505" s="67">
        <f>(Table1[[#This Row],[Index]]-B493)/B493</f>
        <v>1.2175180151325122E-2</v>
      </c>
    </row>
    <row r="506" spans="1:4" x14ac:dyDescent="0.2">
      <c r="A506" s="17">
        <v>41487</v>
      </c>
      <c r="B506" s="59">
        <f>VLOOKUP(Table1[[#This Row],[Date]],database!A:B,2,)</f>
        <v>99.489099999999993</v>
      </c>
      <c r="C506" s="67">
        <f t="shared" si="7"/>
        <v>5.8222765010129685E-3</v>
      </c>
      <c r="D506" s="67">
        <f>(Table1[[#This Row],[Index]]-B494)/B494</f>
        <v>2.2361863265956152E-2</v>
      </c>
    </row>
    <row r="507" spans="1:4" x14ac:dyDescent="0.2">
      <c r="A507" s="17">
        <v>41518</v>
      </c>
      <c r="B507" s="59">
        <f>VLOOKUP(Table1[[#This Row],[Date]],database!A:B,2,)</f>
        <v>100.0172</v>
      </c>
      <c r="C507" s="67">
        <f t="shared" si="7"/>
        <v>5.3081191808952433E-3</v>
      </c>
      <c r="D507" s="67">
        <f>(Table1[[#This Row],[Index]]-B495)/B495</f>
        <v>2.8554974521932789E-2</v>
      </c>
    </row>
    <row r="508" spans="1:4" x14ac:dyDescent="0.2">
      <c r="A508" s="17">
        <v>41548</v>
      </c>
      <c r="B508" s="59">
        <f>VLOOKUP(Table1[[#This Row],[Date]],database!A:B,2,)</f>
        <v>99.903800000000004</v>
      </c>
      <c r="C508" s="67">
        <f t="shared" si="7"/>
        <v>-1.133804985542497E-3</v>
      </c>
      <c r="D508" s="67">
        <f>(Table1[[#This Row],[Index]]-B496)/B496</f>
        <v>2.4013693996576466E-2</v>
      </c>
    </row>
    <row r="509" spans="1:4" x14ac:dyDescent="0.2">
      <c r="A509" s="17">
        <v>41579</v>
      </c>
      <c r="B509" s="59">
        <f>VLOOKUP(Table1[[#This Row],[Date]],database!A:B,2,)</f>
        <v>100.14790000000001</v>
      </c>
      <c r="C509" s="67">
        <f t="shared" si="7"/>
        <v>2.4433505031840053E-3</v>
      </c>
      <c r="D509" s="67">
        <f>(Table1[[#This Row],[Index]]-B497)/B497</f>
        <v>2.2346106377266459E-2</v>
      </c>
    </row>
    <row r="510" spans="1:4" x14ac:dyDescent="0.2">
      <c r="A510" s="17">
        <v>41609</v>
      </c>
      <c r="B510" s="59">
        <f>VLOOKUP(Table1[[#This Row],[Date]],database!A:B,2,)</f>
        <v>100.35760000000001</v>
      </c>
      <c r="C510" s="67">
        <f t="shared" si="7"/>
        <v>2.0939031172895195E-3</v>
      </c>
      <c r="D510" s="67">
        <f>(Table1[[#This Row],[Index]]-B498)/B498</f>
        <v>2.1908007751046E-2</v>
      </c>
    </row>
    <row r="511" spans="1:4" x14ac:dyDescent="0.2">
      <c r="A511" s="17">
        <v>41640</v>
      </c>
      <c r="B511" s="59">
        <f>VLOOKUP(Table1[[#This Row],[Date]],database!A:B,2,)</f>
        <v>99.982799999999997</v>
      </c>
      <c r="C511" s="67">
        <f t="shared" si="7"/>
        <v>-3.7346449098025758E-3</v>
      </c>
      <c r="D511" s="67">
        <f>(Table1[[#This Row],[Index]]-B499)/B499</f>
        <v>1.816515443130785E-2</v>
      </c>
    </row>
    <row r="512" spans="1:4" x14ac:dyDescent="0.2">
      <c r="A512" s="17">
        <v>41671</v>
      </c>
      <c r="B512" s="59">
        <f>VLOOKUP(Table1[[#This Row],[Date]],database!A:B,2,)</f>
        <v>100.74850000000001</v>
      </c>
      <c r="C512" s="67">
        <f t="shared" si="7"/>
        <v>7.6583172305637603E-3</v>
      </c>
      <c r="D512" s="67">
        <f>(Table1[[#This Row],[Index]]-B500)/B500</f>
        <v>2.0925483996818234E-2</v>
      </c>
    </row>
    <row r="513" spans="1:4" x14ac:dyDescent="0.2">
      <c r="A513" s="17">
        <v>41699</v>
      </c>
      <c r="B513" s="59">
        <f>VLOOKUP(Table1[[#This Row],[Date]],database!A:B,2,)</f>
        <v>101.73909999999999</v>
      </c>
      <c r="C513" s="67">
        <f t="shared" si="7"/>
        <v>9.8324044526716392E-3</v>
      </c>
      <c r="D513" s="67">
        <f>(Table1[[#This Row],[Index]]-B501)/B501</f>
        <v>2.663689184798284E-2</v>
      </c>
    </row>
    <row r="514" spans="1:4" x14ac:dyDescent="0.2">
      <c r="A514" s="17">
        <v>41730</v>
      </c>
      <c r="B514" s="59">
        <f>VLOOKUP(Table1[[#This Row],[Date]],database!A:B,2,)</f>
        <v>101.8023</v>
      </c>
      <c r="C514" s="67">
        <f t="shared" si="7"/>
        <v>6.2119676702465654E-4</v>
      </c>
      <c r="D514" s="67">
        <f>(Table1[[#This Row],[Index]]-B502)/B502</f>
        <v>2.8412018207936575E-2</v>
      </c>
    </row>
    <row r="515" spans="1:4" x14ac:dyDescent="0.2">
      <c r="A515" s="17">
        <v>41760</v>
      </c>
      <c r="B515" s="59">
        <f>VLOOKUP(Table1[[#This Row],[Date]],database!A:B,2,)</f>
        <v>102.2116</v>
      </c>
      <c r="C515" s="67">
        <f t="shared" si="7"/>
        <v>4.0205378463944452E-3</v>
      </c>
      <c r="D515" s="67">
        <f>(Table1[[#This Row],[Index]]-B503)/B503</f>
        <v>3.1625524080978552E-2</v>
      </c>
    </row>
    <row r="516" spans="1:4" x14ac:dyDescent="0.2">
      <c r="A516" s="17">
        <v>41791</v>
      </c>
      <c r="B516" s="59">
        <f>VLOOKUP(Table1[[#This Row],[Date]],database!A:B,2,)</f>
        <v>102.5637</v>
      </c>
      <c r="C516" s="67">
        <f t="shared" si="7"/>
        <v>3.4448144828962413E-3</v>
      </c>
      <c r="D516" s="67">
        <f>(Table1[[#This Row],[Index]]-B504)/B504</f>
        <v>3.376133029478668E-2</v>
      </c>
    </row>
    <row r="517" spans="1:4" x14ac:dyDescent="0.2">
      <c r="A517" s="17">
        <v>41821</v>
      </c>
      <c r="B517" s="59">
        <f>VLOOKUP(Table1[[#This Row],[Date]],database!A:B,2,)</f>
        <v>102.8425</v>
      </c>
      <c r="C517" s="67">
        <f t="shared" si="7"/>
        <v>2.7183106693693393E-3</v>
      </c>
      <c r="D517" s="67">
        <f>(Table1[[#This Row],[Index]]-B505)/B505</f>
        <v>3.9724728347682592E-2</v>
      </c>
    </row>
    <row r="518" spans="1:4" x14ac:dyDescent="0.2">
      <c r="A518" s="17">
        <v>41852</v>
      </c>
      <c r="B518" s="59">
        <f>VLOOKUP(Table1[[#This Row],[Date]],database!A:B,2,)</f>
        <v>102.6499</v>
      </c>
      <c r="C518" s="67">
        <f t="shared" si="7"/>
        <v>-1.8727666091352679E-3</v>
      </c>
      <c r="D518" s="67">
        <f>(Table1[[#This Row],[Index]]-B506)/B506</f>
        <v>3.177031453696947E-2</v>
      </c>
    </row>
    <row r="519" spans="1:4" x14ac:dyDescent="0.2">
      <c r="A519" s="17">
        <v>41883</v>
      </c>
      <c r="B519" s="59">
        <f>VLOOKUP(Table1[[#This Row],[Date]],database!A:B,2,)</f>
        <v>102.96469999999999</v>
      </c>
      <c r="C519" s="67">
        <f t="shared" si="7"/>
        <v>3.0667345998387496E-3</v>
      </c>
      <c r="D519" s="67">
        <f>(Table1[[#This Row],[Index]]-B507)/B507</f>
        <v>2.946993117183835E-2</v>
      </c>
    </row>
    <row r="520" spans="1:4" x14ac:dyDescent="0.2">
      <c r="A520" s="17">
        <v>41913</v>
      </c>
      <c r="B520" s="59">
        <f>VLOOKUP(Table1[[#This Row],[Date]],database!A:B,2,)</f>
        <v>102.9704</v>
      </c>
      <c r="C520" s="67">
        <f t="shared" ref="C520:C583" si="8">B520/B519-1</f>
        <v>5.5358778299874345E-5</v>
      </c>
      <c r="D520" s="67">
        <f>(Table1[[#This Row],[Index]]-B508)/B508</f>
        <v>3.069552909899317E-2</v>
      </c>
    </row>
    <row r="521" spans="1:4" x14ac:dyDescent="0.2">
      <c r="A521" s="17">
        <v>41944</v>
      </c>
      <c r="B521" s="59">
        <f>VLOOKUP(Table1[[#This Row],[Date]],database!A:B,2,)</f>
        <v>103.60169999999999</v>
      </c>
      <c r="C521" s="68">
        <f t="shared" si="8"/>
        <v>6.1308880998811599E-3</v>
      </c>
      <c r="D521" s="67">
        <f>(Table1[[#This Row],[Index]]-B509)/B509</f>
        <v>3.4486993736263932E-2</v>
      </c>
    </row>
    <row r="522" spans="1:4" x14ac:dyDescent="0.2">
      <c r="A522" s="17">
        <v>41974</v>
      </c>
      <c r="B522" s="59">
        <f>VLOOKUP(Table1[[#This Row],[Date]],database!A:B,2,)</f>
        <v>103.592</v>
      </c>
      <c r="C522" s="67">
        <f t="shared" si="8"/>
        <v>-9.3627807265628249E-5</v>
      </c>
      <c r="D522" s="67">
        <f>(Table1[[#This Row],[Index]]-B510)/B510</f>
        <v>3.2228749990035568E-2</v>
      </c>
    </row>
    <row r="523" spans="1:4" x14ac:dyDescent="0.2">
      <c r="A523" s="17">
        <v>42005</v>
      </c>
      <c r="B523" s="59">
        <f>VLOOKUP(Table1[[#This Row],[Date]],database!A:B,2,)</f>
        <v>102.798</v>
      </c>
      <c r="C523" s="68">
        <f t="shared" si="8"/>
        <v>-7.6646845316240553E-3</v>
      </c>
      <c r="D523" s="67">
        <f>(Table1[[#This Row],[Index]]-B511)/B511</f>
        <v>2.8156842976992086E-2</v>
      </c>
    </row>
    <row r="524" spans="1:4" x14ac:dyDescent="0.2">
      <c r="A524" s="17">
        <v>42036</v>
      </c>
      <c r="B524" s="59">
        <f>VLOOKUP(Table1[[#This Row],[Date]],database!A:B,2,)</f>
        <v>102.1554</v>
      </c>
      <c r="C524" s="67">
        <f t="shared" si="8"/>
        <v>-6.251094379268074E-3</v>
      </c>
      <c r="D524" s="67">
        <f>(Table1[[#This Row],[Index]]-B512)/B512</f>
        <v>1.3964475897904118E-2</v>
      </c>
    </row>
    <row r="525" spans="1:4" x14ac:dyDescent="0.2">
      <c r="A525" s="17">
        <v>42064</v>
      </c>
      <c r="B525" s="59">
        <f>VLOOKUP(Table1[[#This Row],[Date]],database!A:B,2,)</f>
        <v>101.8077</v>
      </c>
      <c r="C525" s="68">
        <f t="shared" si="8"/>
        <v>-3.4036379868318534E-3</v>
      </c>
      <c r="D525" s="67">
        <f>(Table1[[#This Row],[Index]]-B513)/B513</f>
        <v>6.7427370597934863E-4</v>
      </c>
    </row>
    <row r="526" spans="1:4" x14ac:dyDescent="0.2">
      <c r="A526" s="17">
        <v>42095</v>
      </c>
      <c r="B526" s="59">
        <f>VLOOKUP(Table1[[#This Row],[Date]],database!A:B,2,)</f>
        <v>101.2285</v>
      </c>
      <c r="C526" s="67">
        <f t="shared" si="8"/>
        <v>-5.6891571069771496E-3</v>
      </c>
      <c r="D526" s="67">
        <f>(Table1[[#This Row],[Index]]-B514)/B514</f>
        <v>-5.6364148943590237E-3</v>
      </c>
    </row>
    <row r="527" spans="1:4" x14ac:dyDescent="0.2">
      <c r="A527" s="17">
        <v>42125</v>
      </c>
      <c r="B527" s="59">
        <f>VLOOKUP(Table1[[#This Row],[Date]],database!A:B,2,)</f>
        <v>100.75360000000001</v>
      </c>
      <c r="C527" s="67">
        <f t="shared" si="8"/>
        <v>-4.6913665617883682E-3</v>
      </c>
      <c r="D527" s="67">
        <f>(Table1[[#This Row],[Index]]-B515)/B515</f>
        <v>-1.4264525748545158E-2</v>
      </c>
    </row>
    <row r="528" spans="1:4" x14ac:dyDescent="0.2">
      <c r="A528" s="17">
        <v>42156</v>
      </c>
      <c r="B528" s="59">
        <f>VLOOKUP(Table1[[#This Row],[Date]],database!A:B,2,)</f>
        <v>100.4529</v>
      </c>
      <c r="C528" s="67">
        <f t="shared" si="8"/>
        <v>-2.9845087421194183E-3</v>
      </c>
      <c r="D528" s="67">
        <f>(Table1[[#This Row],[Index]]-B516)/B516</f>
        <v>-2.0580380777994532E-2</v>
      </c>
    </row>
    <row r="529" spans="1:4" x14ac:dyDescent="0.2">
      <c r="A529" s="17">
        <v>42186</v>
      </c>
      <c r="B529" s="59">
        <f>VLOOKUP(Table1[[#This Row],[Date]],database!A:B,2,)</f>
        <v>101.11</v>
      </c>
      <c r="C529" s="67">
        <f t="shared" si="8"/>
        <v>6.5413741166258088E-3</v>
      </c>
      <c r="D529" s="67">
        <f>(Table1[[#This Row],[Index]]-B517)/B517</f>
        <v>-1.6846148236380889E-2</v>
      </c>
    </row>
    <row r="530" spans="1:4" x14ac:dyDescent="0.2">
      <c r="A530" s="17">
        <v>42217</v>
      </c>
      <c r="B530" s="59">
        <f>VLOOKUP(Table1[[#This Row],[Date]],database!A:B,2,)</f>
        <v>100.8802</v>
      </c>
      <c r="C530" s="67">
        <f t="shared" si="8"/>
        <v>-2.2727722282662732E-3</v>
      </c>
      <c r="D530" s="67">
        <f>(Table1[[#This Row],[Index]]-B518)/B518</f>
        <v>-1.7240153180860383E-2</v>
      </c>
    </row>
    <row r="531" spans="1:4" x14ac:dyDescent="0.2">
      <c r="A531" s="17">
        <v>42248</v>
      </c>
      <c r="B531" s="59">
        <f>VLOOKUP(Table1[[#This Row],[Date]],database!A:B,2,)</f>
        <v>100.608</v>
      </c>
      <c r="C531" s="67">
        <f t="shared" si="8"/>
        <v>-2.6982500034694601E-3</v>
      </c>
      <c r="D531" s="67">
        <f>(Table1[[#This Row],[Index]]-B519)/B519</f>
        <v>-2.288842681035335E-2</v>
      </c>
    </row>
    <row r="532" spans="1:4" x14ac:dyDescent="0.2">
      <c r="A532" s="17">
        <v>42278</v>
      </c>
      <c r="B532" s="59">
        <f>VLOOKUP(Table1[[#This Row],[Date]],database!A:B,2,)</f>
        <v>100.151</v>
      </c>
      <c r="C532" s="67">
        <f t="shared" si="8"/>
        <v>-4.5423823155217313E-3</v>
      </c>
      <c r="D532" s="67">
        <f>(Table1[[#This Row],[Index]]-B520)/B520</f>
        <v>-2.7380684157777398E-2</v>
      </c>
    </row>
    <row r="533" spans="1:4" x14ac:dyDescent="0.2">
      <c r="A533" s="17">
        <v>42309</v>
      </c>
      <c r="B533" s="59">
        <f>VLOOKUP(Table1[[#This Row],[Date]],database!A:B,2,)</f>
        <v>99.381699999999995</v>
      </c>
      <c r="C533" s="67">
        <f t="shared" si="8"/>
        <v>-7.6814010843626601E-3</v>
      </c>
      <c r="D533" s="67">
        <f>(Table1[[#This Row],[Index]]-B521)/B521</f>
        <v>-4.0732922336216483E-2</v>
      </c>
    </row>
    <row r="534" spans="1:4" x14ac:dyDescent="0.2">
      <c r="A534" s="17">
        <v>42339</v>
      </c>
      <c r="B534" s="59">
        <f>VLOOKUP(Table1[[#This Row],[Date]],database!A:B,2,)</f>
        <v>98.857200000000006</v>
      </c>
      <c r="C534" s="67">
        <f t="shared" si="8"/>
        <v>-5.2776315961589049E-3</v>
      </c>
      <c r="D534" s="67">
        <f>(Table1[[#This Row],[Index]]-B522)/B522</f>
        <v>-4.5706232141478037E-2</v>
      </c>
    </row>
    <row r="535" spans="1:4" x14ac:dyDescent="0.2">
      <c r="A535" s="17">
        <v>42370</v>
      </c>
      <c r="B535" s="59">
        <f>VLOOKUP(Table1[[#This Row],[Date]],database!A:B,2,)</f>
        <v>99.408600000000007</v>
      </c>
      <c r="C535" s="67">
        <f t="shared" si="8"/>
        <v>5.5777424406113774E-3</v>
      </c>
      <c r="D535" s="67">
        <f>(Table1[[#This Row],[Index]]-B523)/B523</f>
        <v>-3.2971458588688447E-2</v>
      </c>
    </row>
    <row r="536" spans="1:4" x14ac:dyDescent="0.2">
      <c r="A536" s="17">
        <v>42401</v>
      </c>
      <c r="B536" s="59">
        <f>VLOOKUP(Table1[[#This Row],[Date]],database!A:B,2,)</f>
        <v>98.894599999999997</v>
      </c>
      <c r="C536" s="67">
        <f t="shared" si="8"/>
        <v>-5.1705788030412814E-3</v>
      </c>
      <c r="D536" s="67">
        <f>(Table1[[#This Row],[Index]]-B524)/B524</f>
        <v>-3.1919996397645187E-2</v>
      </c>
    </row>
    <row r="537" spans="1:4" x14ac:dyDescent="0.2">
      <c r="A537" s="17">
        <v>42430</v>
      </c>
      <c r="B537" s="59">
        <f>VLOOKUP(Table1[[#This Row],[Date]],database!A:B,2,)</f>
        <v>98.138499999999993</v>
      </c>
      <c r="C537" s="67">
        <f t="shared" si="8"/>
        <v>-7.6455135062986068E-3</v>
      </c>
      <c r="D537" s="67">
        <f>(Table1[[#This Row],[Index]]-B525)/B525</f>
        <v>-3.6040495954628222E-2</v>
      </c>
    </row>
    <row r="538" spans="1:4" x14ac:dyDescent="0.2">
      <c r="A538" s="17">
        <v>42461</v>
      </c>
      <c r="B538" s="59">
        <f>VLOOKUP(Table1[[#This Row],[Date]],database!A:B,2,)</f>
        <v>98.436400000000006</v>
      </c>
      <c r="C538" s="67">
        <f t="shared" si="8"/>
        <v>3.0355059431315112E-3</v>
      </c>
      <c r="D538" s="67">
        <f>(Table1[[#This Row],[Index]]-B526)/B526</f>
        <v>-2.7582153247356137E-2</v>
      </c>
    </row>
    <row r="539" spans="1:4" x14ac:dyDescent="0.2">
      <c r="A539" s="17">
        <v>42491</v>
      </c>
      <c r="B539" s="59">
        <f>VLOOKUP(Table1[[#This Row],[Date]],database!A:B,2,)</f>
        <v>98.209599999999995</v>
      </c>
      <c r="C539" s="67">
        <f t="shared" si="8"/>
        <v>-2.3040257465735126E-3</v>
      </c>
      <c r="D539" s="67">
        <f>(Table1[[#This Row],[Index]]-B527)/B527</f>
        <v>-2.5249718124216017E-2</v>
      </c>
    </row>
    <row r="540" spans="1:4" x14ac:dyDescent="0.2">
      <c r="A540" s="17">
        <v>42522</v>
      </c>
      <c r="B540" s="59">
        <f>VLOOKUP(Table1[[#This Row],[Date]],database!A:B,2,)</f>
        <v>98.676599999999993</v>
      </c>
      <c r="C540" s="67">
        <f t="shared" si="8"/>
        <v>4.7551359541226912E-3</v>
      </c>
      <c r="D540" s="67">
        <f>(Table1[[#This Row],[Index]]-B528)/B528</f>
        <v>-1.768291408212213E-2</v>
      </c>
    </row>
    <row r="541" spans="1:4" x14ac:dyDescent="0.2">
      <c r="A541" s="17">
        <v>42552</v>
      </c>
      <c r="B541" s="59">
        <f>VLOOKUP(Table1[[#This Row],[Date]],database!A:B,2,)</f>
        <v>98.837100000000007</v>
      </c>
      <c r="C541" s="67">
        <f t="shared" si="8"/>
        <v>1.626525437641968E-3</v>
      </c>
      <c r="D541" s="67">
        <f>(Table1[[#This Row],[Index]]-B529)/B529</f>
        <v>-2.247947779645923E-2</v>
      </c>
    </row>
    <row r="542" spans="1:4" x14ac:dyDescent="0.2">
      <c r="A542" s="17">
        <v>42583</v>
      </c>
      <c r="B542" s="59">
        <f>VLOOKUP(Table1[[#This Row],[Date]],database!A:B,2,)</f>
        <v>98.730199999999996</v>
      </c>
      <c r="C542" s="67">
        <f t="shared" si="8"/>
        <v>-1.0815776666860399E-3</v>
      </c>
      <c r="D542" s="67">
        <f>(Table1[[#This Row],[Index]]-B530)/B530</f>
        <v>-2.1312408183171778E-2</v>
      </c>
    </row>
    <row r="543" spans="1:4" x14ac:dyDescent="0.2">
      <c r="A543" s="17">
        <v>42614</v>
      </c>
      <c r="B543" s="59">
        <f>VLOOKUP(Table1[[#This Row],[Date]],database!A:B,2,)</f>
        <v>98.628699999999995</v>
      </c>
      <c r="C543" s="67">
        <f t="shared" si="8"/>
        <v>-1.0280542326461806E-3</v>
      </c>
      <c r="D543" s="67">
        <f>(Table1[[#This Row],[Index]]-B531)/B531</f>
        <v>-1.9673385814249454E-2</v>
      </c>
    </row>
    <row r="544" spans="1:4" x14ac:dyDescent="0.2">
      <c r="A544" s="17">
        <v>42644</v>
      </c>
      <c r="B544" s="59">
        <f>VLOOKUP(Table1[[#This Row],[Date]],database!A:B,2,)</f>
        <v>98.712599999999995</v>
      </c>
      <c r="C544" s="67">
        <f t="shared" si="8"/>
        <v>8.5066517149678944E-4</v>
      </c>
      <c r="D544" s="67">
        <f>(Table1[[#This Row],[Index]]-B532)/B532</f>
        <v>-1.4362312907509675E-2</v>
      </c>
    </row>
    <row r="545" spans="1:4" x14ac:dyDescent="0.2">
      <c r="A545" s="17">
        <v>42675</v>
      </c>
      <c r="B545" s="59">
        <f>VLOOKUP(Table1[[#This Row],[Date]],database!A:B,2,)</f>
        <v>98.300399999999996</v>
      </c>
      <c r="C545" s="67">
        <f t="shared" si="8"/>
        <v>-4.1757587177320143E-3</v>
      </c>
      <c r="D545" s="67">
        <f>(Table1[[#This Row],[Index]]-B533)/B533</f>
        <v>-1.0880272726266495E-2</v>
      </c>
    </row>
    <row r="546" spans="1:4" x14ac:dyDescent="0.2">
      <c r="A546" s="17">
        <v>42705</v>
      </c>
      <c r="B546" s="59">
        <f>VLOOKUP(Table1[[#This Row],[Date]],database!A:B,2,)</f>
        <v>98.906300000000002</v>
      </c>
      <c r="C546" s="67">
        <f t="shared" si="8"/>
        <v>6.1637592522512108E-3</v>
      </c>
      <c r="D546" s="67">
        <f>(Table1[[#This Row],[Index]]-B534)/B534</f>
        <v>4.9667601348202966E-4</v>
      </c>
    </row>
    <row r="547" spans="1:4" x14ac:dyDescent="0.2">
      <c r="A547" s="17">
        <v>42736</v>
      </c>
      <c r="B547" s="59">
        <f>VLOOKUP(Table1[[#This Row],[Date]],database!A:B,2,)</f>
        <v>98.734899999999996</v>
      </c>
      <c r="C547" s="67">
        <f t="shared" si="8"/>
        <v>-1.7329533103553896E-3</v>
      </c>
      <c r="D547" s="67">
        <f>(Table1[[#This Row],[Index]]-B535)/B535</f>
        <v>-6.7770796490445578E-3</v>
      </c>
    </row>
    <row r="548" spans="1:4" x14ac:dyDescent="0.2">
      <c r="A548" s="17">
        <v>42767</v>
      </c>
      <c r="B548" s="59">
        <f>VLOOKUP(Table1[[#This Row],[Date]],database!A:B,2,)</f>
        <v>98.4178</v>
      </c>
      <c r="C548" s="67">
        <f t="shared" si="8"/>
        <v>-3.2116303353727504E-3</v>
      </c>
      <c r="D548" s="67">
        <f>(Table1[[#This Row],[Index]]-B536)/B536</f>
        <v>-4.8212945904022794E-3</v>
      </c>
    </row>
    <row r="549" spans="1:4" x14ac:dyDescent="0.2">
      <c r="A549" s="17">
        <v>42795</v>
      </c>
      <c r="B549" s="59">
        <f>VLOOKUP(Table1[[#This Row],[Date]],database!A:B,2,)</f>
        <v>99.072599999999994</v>
      </c>
      <c r="C549" s="67">
        <f t="shared" si="8"/>
        <v>6.653268006397095E-3</v>
      </c>
      <c r="D549" s="67">
        <f>(Table1[[#This Row],[Index]]-B537)/B537</f>
        <v>9.5181809381639296E-3</v>
      </c>
    </row>
    <row r="550" spans="1:4" x14ac:dyDescent="0.2">
      <c r="A550" s="17">
        <v>42826</v>
      </c>
      <c r="B550" s="59">
        <f>VLOOKUP(Table1[[#This Row],[Date]],database!A:B,2,)</f>
        <v>100.0545</v>
      </c>
      <c r="C550" s="67">
        <f t="shared" si="8"/>
        <v>9.9109138147177589E-3</v>
      </c>
      <c r="D550" s="67">
        <f>(Table1[[#This Row],[Index]]-B538)/B538</f>
        <v>1.6438024958247133E-2</v>
      </c>
    </row>
    <row r="551" spans="1:4" x14ac:dyDescent="0.2">
      <c r="A551" s="17">
        <v>42856</v>
      </c>
      <c r="B551" s="59">
        <f>VLOOKUP(Table1[[#This Row],[Date]],database!A:B,2,)</f>
        <v>100.139</v>
      </c>
      <c r="C551" s="67">
        <f t="shared" si="8"/>
        <v>8.4453972584941361E-4</v>
      </c>
      <c r="D551" s="67">
        <f>(Table1[[#This Row],[Index]]-B539)/B539</f>
        <v>1.9645737280265894E-2</v>
      </c>
    </row>
    <row r="552" spans="1:4" x14ac:dyDescent="0.2">
      <c r="A552" s="17">
        <v>42887</v>
      </c>
      <c r="B552" s="59">
        <f>VLOOKUP(Table1[[#This Row],[Date]],database!A:B,2,)</f>
        <v>100.31480000000001</v>
      </c>
      <c r="C552" s="67">
        <f t="shared" si="8"/>
        <v>1.7555597719172145E-3</v>
      </c>
      <c r="D552" s="67">
        <f>(Table1[[#This Row],[Index]]-B540)/B540</f>
        <v>1.660170699030988E-2</v>
      </c>
    </row>
    <row r="553" spans="1:4" x14ac:dyDescent="0.2">
      <c r="A553" s="17">
        <v>42917</v>
      </c>
      <c r="B553" s="59">
        <f>VLOOKUP(Table1[[#This Row],[Date]],database!A:B,2,)</f>
        <v>100.1418</v>
      </c>
      <c r="C553" s="67">
        <f t="shared" si="8"/>
        <v>-1.7245710503335232E-3</v>
      </c>
      <c r="D553" s="67">
        <f>(Table1[[#This Row],[Index]]-B541)/B541</f>
        <v>1.3200508715856665E-2</v>
      </c>
    </row>
    <row r="554" spans="1:4" x14ac:dyDescent="0.2">
      <c r="A554" s="17">
        <v>42948</v>
      </c>
      <c r="B554" s="59">
        <f>VLOOKUP(Table1[[#This Row],[Date]],database!A:B,2,)</f>
        <v>99.687799999999996</v>
      </c>
      <c r="C554" s="67">
        <f t="shared" si="8"/>
        <v>-4.533571395760938E-3</v>
      </c>
      <c r="D554" s="67">
        <f>(Table1[[#This Row],[Index]]-B542)/B542</f>
        <v>9.6991599328270315E-3</v>
      </c>
    </row>
    <row r="555" spans="1:4" x14ac:dyDescent="0.2">
      <c r="A555" s="17">
        <v>42979</v>
      </c>
      <c r="B555" s="59">
        <f>VLOOKUP(Table1[[#This Row],[Date]],database!A:B,2,)</f>
        <v>99.782899999999998</v>
      </c>
      <c r="C555" s="67">
        <f t="shared" si="8"/>
        <v>9.5397832031607344E-4</v>
      </c>
      <c r="D555" s="67">
        <f>(Table1[[#This Row],[Index]]-B543)/B543</f>
        <v>1.170247605413032E-2</v>
      </c>
    </row>
    <row r="556" spans="1:4" x14ac:dyDescent="0.2">
      <c r="A556" s="17">
        <v>43009</v>
      </c>
      <c r="B556" s="59">
        <f>VLOOKUP(Table1[[#This Row],[Date]],database!A:B,2,)</f>
        <v>101.0401</v>
      </c>
      <c r="C556" s="67">
        <f t="shared" si="8"/>
        <v>1.2599353195787977E-2</v>
      </c>
      <c r="D556" s="67">
        <f>(Table1[[#This Row],[Index]]-B544)/B544</f>
        <v>2.3578550255995697E-2</v>
      </c>
    </row>
    <row r="557" spans="1:4" x14ac:dyDescent="0.2">
      <c r="A557" s="17">
        <v>43040</v>
      </c>
      <c r="B557" s="59">
        <f>VLOOKUP(Table1[[#This Row],[Date]],database!A:B,2,)</f>
        <v>101.226</v>
      </c>
      <c r="C557" s="67">
        <f t="shared" si="8"/>
        <v>1.8398635789156348E-3</v>
      </c>
      <c r="D557" s="67">
        <f>(Table1[[#This Row],[Index]]-B545)/B545</f>
        <v>2.9761832098343474E-2</v>
      </c>
    </row>
    <row r="558" spans="1:4" x14ac:dyDescent="0.2">
      <c r="A558" s="17">
        <v>43070</v>
      </c>
      <c r="B558" s="59">
        <f>VLOOKUP(Table1[[#This Row],[Date]],database!A:B,2,)</f>
        <v>101.3878</v>
      </c>
      <c r="C558" s="67">
        <f t="shared" si="8"/>
        <v>1.598403572204754E-3</v>
      </c>
      <c r="D558" s="67">
        <f>(Table1[[#This Row],[Index]]-B546)/B546</f>
        <v>2.5089402798406137E-2</v>
      </c>
    </row>
    <row r="559" spans="1:4" x14ac:dyDescent="0.2">
      <c r="A559" s="17">
        <v>43101</v>
      </c>
      <c r="B559" s="59">
        <f>VLOOKUP(Table1[[#This Row],[Date]],database!A:B,2,)</f>
        <v>101.345</v>
      </c>
      <c r="C559" s="67">
        <f t="shared" si="8"/>
        <v>-4.2214151998565264E-4</v>
      </c>
      <c r="D559" s="67">
        <f>(Table1[[#This Row],[Index]]-B547)/B547</f>
        <v>2.6435434684189713E-2</v>
      </c>
    </row>
    <row r="560" spans="1:4" x14ac:dyDescent="0.2">
      <c r="A560" s="17">
        <v>43132</v>
      </c>
      <c r="B560" s="59">
        <f>VLOOKUP(Table1[[#This Row],[Date]],database!A:B,2,)</f>
        <v>101.7068</v>
      </c>
      <c r="C560" s="67">
        <f t="shared" si="8"/>
        <v>3.5699837189797634E-3</v>
      </c>
      <c r="D560" s="67">
        <f>(Table1[[#This Row],[Index]]-B548)/B548</f>
        <v>3.3418751486011693E-2</v>
      </c>
    </row>
    <row r="561" spans="1:4" x14ac:dyDescent="0.2">
      <c r="A561" s="17">
        <v>43160</v>
      </c>
      <c r="B561" s="59">
        <f>VLOOKUP(Table1[[#This Row],[Date]],database!A:B,2,)</f>
        <v>102.27849999999999</v>
      </c>
      <c r="C561" s="67">
        <f t="shared" si="8"/>
        <v>5.6210597521502148E-3</v>
      </c>
      <c r="D561" s="67">
        <f>(Table1[[#This Row],[Index]]-B549)/B549</f>
        <v>3.2359098277424836E-2</v>
      </c>
    </row>
    <row r="562" spans="1:4" x14ac:dyDescent="0.2">
      <c r="A562" s="17">
        <v>43191</v>
      </c>
      <c r="B562" s="59">
        <f>VLOOKUP(Table1[[#This Row],[Date]],database!A:B,2,)</f>
        <v>103.434</v>
      </c>
      <c r="C562" s="67">
        <f t="shared" si="8"/>
        <v>1.1297584536339444E-2</v>
      </c>
      <c r="D562" s="67">
        <f>(Table1[[#This Row],[Index]]-B550)/B550</f>
        <v>3.3776591757492098E-2</v>
      </c>
    </row>
    <row r="563" spans="1:4" x14ac:dyDescent="0.2">
      <c r="A563" s="17">
        <v>43221</v>
      </c>
      <c r="B563" s="59">
        <f>VLOOKUP(Table1[[#This Row],[Date]],database!A:B,2,)</f>
        <v>102.4735</v>
      </c>
      <c r="C563" s="67">
        <f t="shared" si="8"/>
        <v>-9.2861148171781149E-3</v>
      </c>
      <c r="D563" s="67">
        <f>(Table1[[#This Row],[Index]]-B551)/B551</f>
        <v>2.3312595492265806E-2</v>
      </c>
    </row>
    <row r="564" spans="1:4" x14ac:dyDescent="0.2">
      <c r="A564" s="17">
        <v>43252</v>
      </c>
      <c r="B564" s="59">
        <f>VLOOKUP(Table1[[#This Row],[Date]],database!A:B,2,)</f>
        <v>103.2508</v>
      </c>
      <c r="C564" s="67">
        <f t="shared" si="8"/>
        <v>7.5853757312867032E-3</v>
      </c>
      <c r="D564" s="67">
        <f>(Table1[[#This Row],[Index]]-B552)/B552</f>
        <v>2.926786476173E-2</v>
      </c>
    </row>
    <row r="565" spans="1:4" x14ac:dyDescent="0.2">
      <c r="A565" s="17">
        <v>43282</v>
      </c>
      <c r="B565" s="59">
        <f>VLOOKUP(Table1[[#This Row],[Date]],database!A:B,2,)</f>
        <v>103.4588</v>
      </c>
      <c r="C565" s="67">
        <f t="shared" si="8"/>
        <v>2.0145122362247303E-3</v>
      </c>
      <c r="D565" s="67">
        <f>(Table1[[#This Row],[Index]]-B553)/B553</f>
        <v>3.3123031541274404E-2</v>
      </c>
    </row>
    <row r="566" spans="1:4" x14ac:dyDescent="0.2">
      <c r="A566" s="17">
        <v>43313</v>
      </c>
      <c r="B566" s="59">
        <f>VLOOKUP(Table1[[#This Row],[Date]],database!A:B,2,)</f>
        <v>104.1802</v>
      </c>
      <c r="C566" s="67">
        <f t="shared" si="8"/>
        <v>6.9728239647086632E-3</v>
      </c>
      <c r="D566" s="67">
        <f>(Table1[[#This Row],[Index]]-B554)/B554</f>
        <v>4.5064691968325146E-2</v>
      </c>
    </row>
    <row r="567" spans="1:4" x14ac:dyDescent="0.2">
      <c r="A567" s="17">
        <v>43344</v>
      </c>
      <c r="B567" s="59">
        <f>VLOOKUP(Table1[[#This Row],[Date]],database!A:B,2,)</f>
        <v>104.1665</v>
      </c>
      <c r="C567" s="67">
        <f t="shared" si="8"/>
        <v>-1.3150291514130164E-4</v>
      </c>
      <c r="D567" s="67">
        <f>(Table1[[#This Row],[Index]]-B555)/B555</f>
        <v>4.3931375015157918E-2</v>
      </c>
    </row>
    <row r="568" spans="1:4" x14ac:dyDescent="0.2">
      <c r="A568" s="17">
        <v>43374</v>
      </c>
      <c r="B568" s="59">
        <f>VLOOKUP(Table1[[#This Row],[Date]],database!A:B,2,)</f>
        <v>104.0476</v>
      </c>
      <c r="C568" s="67">
        <f t="shared" si="8"/>
        <v>-1.1414418263069326E-3</v>
      </c>
      <c r="D568" s="67">
        <f>(Table1[[#This Row],[Index]]-B556)/B556</f>
        <v>2.9765409970892821E-2</v>
      </c>
    </row>
    <row r="569" spans="1:4" x14ac:dyDescent="0.2">
      <c r="A569" s="17">
        <v>43405</v>
      </c>
      <c r="B569" s="59">
        <f>VLOOKUP(Table1[[#This Row],[Date]],database!A:B,2,)</f>
        <v>103.9603</v>
      </c>
      <c r="C569" s="67">
        <f t="shared" si="8"/>
        <v>-8.3903905520166244E-4</v>
      </c>
      <c r="D569" s="67">
        <f>(Table1[[#This Row],[Index]]-B557)/B557</f>
        <v>2.7011834904076073E-2</v>
      </c>
    </row>
    <row r="570" spans="1:4" x14ac:dyDescent="0.2">
      <c r="A570" s="17">
        <v>43435</v>
      </c>
      <c r="B570" s="59">
        <f>VLOOKUP(Table1[[#This Row],[Date]],database!A:B,2,)</f>
        <v>103.869</v>
      </c>
      <c r="C570" s="67">
        <f t="shared" si="8"/>
        <v>-8.782198589269985E-4</v>
      </c>
      <c r="D570" s="67">
        <f>(Table1[[#This Row],[Index]]-B558)/B558</f>
        <v>2.4472372415616093E-2</v>
      </c>
    </row>
    <row r="571" spans="1:4" x14ac:dyDescent="0.2">
      <c r="A571" s="17">
        <v>43466</v>
      </c>
      <c r="B571" s="59">
        <f>VLOOKUP(Table1[[#This Row],[Date]],database!A:B,2,)</f>
        <v>103.2684</v>
      </c>
      <c r="C571" s="67">
        <f t="shared" si="8"/>
        <v>-5.7822834531958689E-3</v>
      </c>
      <c r="D571" s="67">
        <f>(Table1[[#This Row],[Index]]-B559)/B559</f>
        <v>1.8978736000789392E-2</v>
      </c>
    </row>
    <row r="572" spans="1:4" x14ac:dyDescent="0.2">
      <c r="A572" s="17">
        <v>43497</v>
      </c>
      <c r="B572" s="59">
        <f>VLOOKUP(Table1[[#This Row],[Date]],database!A:B,2,)</f>
        <v>102.81570000000001</v>
      </c>
      <c r="C572" s="67">
        <f t="shared" si="8"/>
        <v>-4.3837224165378386E-3</v>
      </c>
      <c r="D572" s="67">
        <f>(Table1[[#This Row],[Index]]-B560)/B560</f>
        <v>1.0902909146684445E-2</v>
      </c>
    </row>
    <row r="573" spans="1:4" x14ac:dyDescent="0.2">
      <c r="A573" s="17">
        <v>43525</v>
      </c>
      <c r="B573" s="59">
        <f>VLOOKUP(Table1[[#This Row],[Date]],database!A:B,2,)</f>
        <v>102.9</v>
      </c>
      <c r="C573" s="67">
        <f t="shared" si="8"/>
        <v>8.1991369022427207E-4</v>
      </c>
      <c r="D573" s="67">
        <f>(Table1[[#This Row],[Index]]-B561)/B561</f>
        <v>6.0765459016314449E-3</v>
      </c>
    </row>
    <row r="574" spans="1:4" x14ac:dyDescent="0.2">
      <c r="A574" s="17">
        <v>43556</v>
      </c>
      <c r="B574" s="59">
        <f>VLOOKUP(Table1[[#This Row],[Date]],database!A:B,2,)</f>
        <v>102.3826</v>
      </c>
      <c r="C574" s="67">
        <f t="shared" si="8"/>
        <v>-5.028182701652173E-3</v>
      </c>
      <c r="D574" s="67">
        <f>(Table1[[#This Row],[Index]]-B562)/B562</f>
        <v>-1.0164936094514387E-2</v>
      </c>
    </row>
    <row r="575" spans="1:4" x14ac:dyDescent="0.2">
      <c r="A575" s="17">
        <v>43586</v>
      </c>
      <c r="B575" s="59">
        <f>VLOOKUP(Table1[[#This Row],[Date]],database!A:B,2,)</f>
        <v>102.57559999999999</v>
      </c>
      <c r="C575" s="67">
        <f t="shared" si="8"/>
        <v>1.8850859423378274E-3</v>
      </c>
      <c r="D575" s="67">
        <f>(Table1[[#This Row],[Index]]-B563)/B563</f>
        <v>9.9635515523518732E-4</v>
      </c>
    </row>
    <row r="576" spans="1:4" x14ac:dyDescent="0.2">
      <c r="A576" s="17">
        <v>43617</v>
      </c>
      <c r="B576" s="59">
        <f>VLOOKUP(Table1[[#This Row],[Date]],database!A:B,2,)</f>
        <v>102.5928</v>
      </c>
      <c r="C576" s="67">
        <f t="shared" si="8"/>
        <v>1.6768120293719768E-4</v>
      </c>
      <c r="D576" s="67">
        <f>(Table1[[#This Row],[Index]]-B564)/B564</f>
        <v>-6.372831978057325E-3</v>
      </c>
    </row>
    <row r="577" spans="1:4" x14ac:dyDescent="0.2">
      <c r="A577" s="17">
        <v>43647</v>
      </c>
      <c r="B577" s="59">
        <f>VLOOKUP(Table1[[#This Row],[Date]],database!A:B,2,)</f>
        <v>102.2012</v>
      </c>
      <c r="C577" s="67">
        <f t="shared" si="8"/>
        <v>-3.8170319944479392E-3</v>
      </c>
      <c r="D577" s="67">
        <f>(Table1[[#This Row],[Index]]-B565)/B565</f>
        <v>-1.2155563374019383E-2</v>
      </c>
    </row>
    <row r="578" spans="1:4" x14ac:dyDescent="0.2">
      <c r="A578" s="17">
        <v>43678</v>
      </c>
      <c r="B578" s="59">
        <f>VLOOKUP(Table1[[#This Row],[Date]],database!A:B,2,)</f>
        <v>102.90860000000001</v>
      </c>
      <c r="C578" s="67">
        <f t="shared" si="8"/>
        <v>6.9216408417904773E-3</v>
      </c>
      <c r="D578" s="67">
        <f>(Table1[[#This Row],[Index]]-B566)/B566</f>
        <v>-1.2205774225812508E-2</v>
      </c>
    </row>
    <row r="579" spans="1:4" x14ac:dyDescent="0.2">
      <c r="A579" s="17">
        <v>43709</v>
      </c>
      <c r="B579" s="59">
        <f>VLOOKUP(Table1[[#This Row],[Date]],database!A:B,2,)</f>
        <v>102.57899999999999</v>
      </c>
      <c r="C579" s="67">
        <f t="shared" si="8"/>
        <v>-3.2028421336993684E-3</v>
      </c>
      <c r="D579" s="67">
        <f>(Table1[[#This Row],[Index]]-B567)/B567</f>
        <v>-1.5240024384039069E-2</v>
      </c>
    </row>
    <row r="580" spans="1:4" x14ac:dyDescent="0.2">
      <c r="A580" s="17">
        <v>43739</v>
      </c>
      <c r="B580" s="59">
        <f>VLOOKUP(Table1[[#This Row],[Date]],database!A:B,2,)</f>
        <v>101.7775</v>
      </c>
      <c r="C580" s="67">
        <f t="shared" si="8"/>
        <v>-7.8134900905642013E-3</v>
      </c>
      <c r="D580" s="67">
        <f>(Table1[[#This Row],[Index]]-B568)/B568</f>
        <v>-2.1817898730965436E-2</v>
      </c>
    </row>
    <row r="581" spans="1:4" x14ac:dyDescent="0.2">
      <c r="A581" s="17">
        <v>43770</v>
      </c>
      <c r="B581" s="59">
        <f>VLOOKUP(Table1[[#This Row],[Date]],database!A:B,2,)</f>
        <v>102.0979</v>
      </c>
      <c r="C581" s="67">
        <f t="shared" si="8"/>
        <v>3.1480435263195883E-3</v>
      </c>
      <c r="D581" s="67">
        <f>(Table1[[#This Row],[Index]]-B569)/B569</f>
        <v>-1.7914530835328561E-2</v>
      </c>
    </row>
    <row r="582" spans="1:4" x14ac:dyDescent="0.2">
      <c r="A582" s="17">
        <v>43800</v>
      </c>
      <c r="B582" s="59">
        <f>VLOOKUP(Table1[[#This Row],[Date]],database!A:B,2,)</f>
        <v>101.7632</v>
      </c>
      <c r="C582" s="67">
        <f t="shared" si="8"/>
        <v>-3.27822609475803E-3</v>
      </c>
      <c r="D582" s="67">
        <f>(Table1[[#This Row],[Index]]-B570)/B570</f>
        <v>-2.027361387902071E-2</v>
      </c>
    </row>
    <row r="583" spans="1:4" x14ac:dyDescent="0.2">
      <c r="A583" s="17">
        <v>43831</v>
      </c>
      <c r="B583" s="59">
        <f>VLOOKUP(Table1[[#This Row],[Date]],database!A:B,2,)</f>
        <v>101.303</v>
      </c>
      <c r="C583" s="67">
        <f t="shared" si="8"/>
        <v>-4.5222634508348403E-3</v>
      </c>
      <c r="D583" s="67">
        <f>(Table1[[#This Row],[Index]]-B571)/B571</f>
        <v>-1.9031959437737028E-2</v>
      </c>
    </row>
    <row r="584" spans="1:4" x14ac:dyDescent="0.2">
      <c r="A584" s="17">
        <v>43862</v>
      </c>
      <c r="B584" s="59">
        <f>VLOOKUP(Table1[[#This Row],[Date]],database!A:B,2,)</f>
        <v>101.7038</v>
      </c>
      <c r="C584" s="67">
        <f t="shared" ref="C584:C647" si="9">B584/B583-1</f>
        <v>3.956447489215531E-3</v>
      </c>
      <c r="D584" s="67">
        <f>(Table1[[#This Row],[Index]]-B572)/B572</f>
        <v>-1.0814496229661477E-2</v>
      </c>
    </row>
    <row r="585" spans="1:4" x14ac:dyDescent="0.2">
      <c r="A585" s="17">
        <v>43891</v>
      </c>
      <c r="B585" s="59">
        <f>VLOOKUP(Table1[[#This Row],[Date]],database!A:B,2,)</f>
        <v>97.874600000000001</v>
      </c>
      <c r="C585" s="67">
        <f t="shared" si="9"/>
        <v>-3.7650510600390596E-2</v>
      </c>
      <c r="D585" s="67">
        <f>(Table1[[#This Row],[Index]]-B573)/B573</f>
        <v>-4.8837706511175943E-2</v>
      </c>
    </row>
    <row r="586" spans="1:4" x14ac:dyDescent="0.2">
      <c r="A586" s="17">
        <v>43922</v>
      </c>
      <c r="B586" s="59">
        <f>VLOOKUP(Table1[[#This Row],[Date]],database!A:B,2,)</f>
        <v>84.959000000000003</v>
      </c>
      <c r="C586" s="67">
        <f t="shared" si="9"/>
        <v>-0.13196069255966303</v>
      </c>
      <c r="D586" s="67">
        <f>(Table1[[#This Row],[Index]]-B574)/B574</f>
        <v>-0.17018126126900462</v>
      </c>
    </row>
    <row r="587" spans="1:4" x14ac:dyDescent="0.2">
      <c r="A587" s="17">
        <v>43952</v>
      </c>
      <c r="B587" s="59">
        <f>VLOOKUP(Table1[[#This Row],[Date]],database!A:B,2,)</f>
        <v>86.334500000000006</v>
      </c>
      <c r="C587" s="67">
        <f t="shared" si="9"/>
        <v>1.6190162313586498E-2</v>
      </c>
      <c r="D587" s="67">
        <f>(Table1[[#This Row],[Index]]-B575)/B575</f>
        <v>-0.1583329758734045</v>
      </c>
    </row>
    <row r="588" spans="1:4" x14ac:dyDescent="0.2">
      <c r="A588" s="17">
        <v>43983</v>
      </c>
      <c r="B588" s="59">
        <f>VLOOKUP(Table1[[#This Row],[Date]],database!A:B,2,)</f>
        <v>91.752300000000005</v>
      </c>
      <c r="C588" s="67">
        <f t="shared" si="9"/>
        <v>6.2753592132924751E-2</v>
      </c>
      <c r="D588" s="67">
        <f>(Table1[[#This Row],[Index]]-B576)/B576</f>
        <v>-0.10566530984630493</v>
      </c>
    </row>
    <row r="589" spans="1:4" x14ac:dyDescent="0.2">
      <c r="A589" s="17">
        <v>44013</v>
      </c>
      <c r="B589" s="59">
        <f>VLOOKUP(Table1[[#This Row],[Date]],database!A:B,2,)</f>
        <v>95.243899999999996</v>
      </c>
      <c r="C589" s="67">
        <f t="shared" si="9"/>
        <v>3.8054631872988409E-2</v>
      </c>
      <c r="D589" s="67">
        <f>(Table1[[#This Row],[Index]]-B577)/B577</f>
        <v>-6.8074543156049078E-2</v>
      </c>
    </row>
    <row r="590" spans="1:4" x14ac:dyDescent="0.2">
      <c r="A590" s="17">
        <v>44044</v>
      </c>
      <c r="B590" s="59">
        <f>VLOOKUP(Table1[[#This Row],[Date]],database!A:B,2,)</f>
        <v>96.1173</v>
      </c>
      <c r="C590" s="67">
        <f t="shared" si="9"/>
        <v>9.1701410799012173E-3</v>
      </c>
      <c r="D590" s="67">
        <f>(Table1[[#This Row],[Index]]-B578)/B578</f>
        <v>-6.5993512689901584E-2</v>
      </c>
    </row>
    <row r="591" spans="1:4" x14ac:dyDescent="0.2">
      <c r="A591" s="17">
        <v>44075</v>
      </c>
      <c r="B591" s="59">
        <f>VLOOKUP(Table1[[#This Row],[Date]],database!A:B,2,)</f>
        <v>96.071100000000001</v>
      </c>
      <c r="C591" s="67">
        <f t="shared" si="9"/>
        <v>-4.8066269027535746E-4</v>
      </c>
      <c r="D591" s="67">
        <f>(Table1[[#This Row],[Index]]-B579)/B579</f>
        <v>-6.344280993185733E-2</v>
      </c>
    </row>
    <row r="592" spans="1:4" x14ac:dyDescent="0.2">
      <c r="A592" s="17">
        <v>44105</v>
      </c>
      <c r="B592" s="59">
        <f>VLOOKUP(Table1[[#This Row],[Date]],database!A:B,2,)</f>
        <v>96.825000000000003</v>
      </c>
      <c r="C592" s="67">
        <f t="shared" si="9"/>
        <v>7.8473130837473093E-3</v>
      </c>
      <c r="D592" s="67">
        <f>(Table1[[#This Row],[Index]]-B580)/B580</f>
        <v>-4.866006730367714E-2</v>
      </c>
    </row>
    <row r="593" spans="1:4" x14ac:dyDescent="0.2">
      <c r="A593" s="17">
        <v>44136</v>
      </c>
      <c r="B593" s="59">
        <f>VLOOKUP(Table1[[#This Row],[Date]],database!A:B,2,)</f>
        <v>97.118300000000005</v>
      </c>
      <c r="C593" s="67">
        <f t="shared" si="9"/>
        <v>3.0291763490835066E-3</v>
      </c>
      <c r="D593" s="67">
        <f>(Table1[[#This Row],[Index]]-B581)/B581</f>
        <v>-4.8772795522728583E-2</v>
      </c>
    </row>
    <row r="594" spans="1:4" x14ac:dyDescent="0.2">
      <c r="A594" s="17">
        <v>44166</v>
      </c>
      <c r="B594" s="59">
        <f>VLOOKUP(Table1[[#This Row],[Date]],database!A:B,2,)</f>
        <v>98.138000000000005</v>
      </c>
      <c r="C594" s="67">
        <f t="shared" si="9"/>
        <v>1.0499565993226767E-2</v>
      </c>
      <c r="D594" s="67">
        <f>(Table1[[#This Row],[Index]]-B582)/B582</f>
        <v>-3.562387975220898E-2</v>
      </c>
    </row>
    <row r="595" spans="1:4" x14ac:dyDescent="0.2">
      <c r="A595" s="17">
        <v>44197</v>
      </c>
      <c r="B595" s="59">
        <f>VLOOKUP(Table1[[#This Row],[Date]],database!A:B,2,)</f>
        <v>99.264499999999998</v>
      </c>
      <c r="C595" s="67">
        <f t="shared" si="9"/>
        <v>1.1478734027593696E-2</v>
      </c>
      <c r="D595" s="67">
        <f>(Table1[[#This Row],[Index]]-B583)/B583</f>
        <v>-2.0122799917080433E-2</v>
      </c>
    </row>
    <row r="596" spans="1:4" x14ac:dyDescent="0.2">
      <c r="A596" s="17">
        <v>44228</v>
      </c>
      <c r="B596" s="59">
        <f>VLOOKUP(Table1[[#This Row],[Date]],database!A:B,2,)</f>
        <v>96.223100000000002</v>
      </c>
      <c r="C596" s="67">
        <f t="shared" si="9"/>
        <v>-3.0639352437175416E-2</v>
      </c>
      <c r="D596" s="67">
        <f>(Table1[[#This Row],[Index]]-B584)/B584</f>
        <v>-5.3888841911511651E-2</v>
      </c>
    </row>
    <row r="597" spans="1:4" x14ac:dyDescent="0.2">
      <c r="A597" s="17">
        <v>44256</v>
      </c>
      <c r="B597" s="59">
        <f>VLOOKUP(Table1[[#This Row],[Date]],database!A:B,2,)</f>
        <v>98.862099999999998</v>
      </c>
      <c r="C597" s="67">
        <f t="shared" si="9"/>
        <v>2.7425846808094789E-2</v>
      </c>
      <c r="D597" s="67">
        <f>(Table1[[#This Row],[Index]]-B585)/B585</f>
        <v>1.0089440978558248E-2</v>
      </c>
    </row>
    <row r="598" spans="1:4" x14ac:dyDescent="0.2">
      <c r="A598" s="17">
        <v>44287</v>
      </c>
      <c r="B598" s="59">
        <f>VLOOKUP(Table1[[#This Row],[Date]],database!A:B,2,)</f>
        <v>99.024600000000007</v>
      </c>
      <c r="C598" s="67">
        <f t="shared" si="9"/>
        <v>1.6437037044529923E-3</v>
      </c>
      <c r="D598" s="67">
        <f>(Table1[[#This Row],[Index]]-B586)/B586</f>
        <v>0.1655575042079121</v>
      </c>
    </row>
    <row r="599" spans="1:4" x14ac:dyDescent="0.2">
      <c r="A599" s="17">
        <v>44317</v>
      </c>
      <c r="B599" s="59">
        <f>VLOOKUP(Table1[[#This Row],[Date]],database!A:B,2,)</f>
        <v>99.778499999999994</v>
      </c>
      <c r="C599" s="67">
        <f t="shared" si="9"/>
        <v>7.6132597354594544E-3</v>
      </c>
      <c r="D599" s="67">
        <f>(Table1[[#This Row],[Index]]-B587)/B587</f>
        <v>0.15571990339898867</v>
      </c>
    </row>
    <row r="600" spans="1:4" x14ac:dyDescent="0.2">
      <c r="A600" s="17">
        <v>44348</v>
      </c>
      <c r="B600" s="59">
        <f>VLOOKUP(Table1[[#This Row],[Date]],database!A:B,2,)</f>
        <v>100.1923</v>
      </c>
      <c r="C600" s="67">
        <f t="shared" si="9"/>
        <v>4.147186017027904E-3</v>
      </c>
      <c r="D600" s="67">
        <f>(Table1[[#This Row],[Index]]-B588)/B588</f>
        <v>9.1986794881436185E-2</v>
      </c>
    </row>
    <row r="601" spans="1:4" x14ac:dyDescent="0.2">
      <c r="A601" s="17">
        <v>44378</v>
      </c>
      <c r="B601" s="59">
        <f>VLOOKUP(Table1[[#This Row],[Date]],database!A:B,2,)</f>
        <v>100.8724</v>
      </c>
      <c r="C601" s="67">
        <f t="shared" si="9"/>
        <v>6.7879467783451553E-3</v>
      </c>
      <c r="D601" s="67">
        <f>(Table1[[#This Row],[Index]]-B589)/B589</f>
        <v>5.9095648120247098E-2</v>
      </c>
    </row>
    <row r="602" spans="1:4" x14ac:dyDescent="0.2">
      <c r="A602" s="17">
        <v>44409</v>
      </c>
      <c r="B602" s="59">
        <f>VLOOKUP(Table1[[#This Row],[Date]],database!A:B,2,)</f>
        <v>100.837</v>
      </c>
      <c r="C602" s="67">
        <f t="shared" si="9"/>
        <v>-3.5093841328248665E-4</v>
      </c>
      <c r="D602" s="67">
        <f>(Table1[[#This Row],[Index]]-B590)/B590</f>
        <v>4.9103543274727893E-2</v>
      </c>
    </row>
    <row r="603" spans="1:4" x14ac:dyDescent="0.2">
      <c r="A603" s="17">
        <v>44440</v>
      </c>
      <c r="B603" s="59">
        <f>VLOOKUP(Table1[[#This Row],[Date]],database!A:B,2,)</f>
        <v>99.849800000000002</v>
      </c>
      <c r="C603" s="67">
        <f t="shared" si="9"/>
        <v>-9.7900572210597447E-3</v>
      </c>
      <c r="D603" s="67">
        <f>(Table1[[#This Row],[Index]]-B591)/B591</f>
        <v>3.9332327828035703E-2</v>
      </c>
    </row>
    <row r="604" spans="1:4" x14ac:dyDescent="0.2">
      <c r="A604" s="17">
        <v>44470</v>
      </c>
      <c r="B604" s="59">
        <f>VLOOKUP(Table1[[#This Row],[Date]],database!A:B,2,)</f>
        <v>101.36020000000001</v>
      </c>
      <c r="C604" s="67">
        <f t="shared" si="9"/>
        <v>1.5126720333941579E-2</v>
      </c>
      <c r="D604" s="67">
        <f>(Table1[[#This Row],[Index]]-B592)/B592</f>
        <v>4.6839142783372097E-2</v>
      </c>
    </row>
    <row r="605" spans="1:4" x14ac:dyDescent="0.2">
      <c r="A605" s="17">
        <v>44501</v>
      </c>
      <c r="B605" s="59">
        <f>VLOOKUP(Table1[[#This Row],[Date]],database!A:B,2,)</f>
        <v>101.961</v>
      </c>
      <c r="C605" s="67">
        <f t="shared" si="9"/>
        <v>5.9273758339071225E-3</v>
      </c>
      <c r="D605" s="67">
        <f>(Table1[[#This Row],[Index]]-B593)/B593</f>
        <v>4.986392883730454E-2</v>
      </c>
    </row>
    <row r="606" spans="1:4" x14ac:dyDescent="0.2">
      <c r="A606" s="17">
        <v>44531</v>
      </c>
      <c r="B606" s="59">
        <f>VLOOKUP(Table1[[#This Row],[Date]],database!A:B,2,)</f>
        <v>101.7587</v>
      </c>
      <c r="C606" s="67">
        <f t="shared" si="9"/>
        <v>-1.9840919567284399E-3</v>
      </c>
      <c r="D606" s="67">
        <f>(Table1[[#This Row],[Index]]-B594)/B594</f>
        <v>3.6893965640220905E-2</v>
      </c>
    </row>
    <row r="607" spans="1:4" x14ac:dyDescent="0.2">
      <c r="A607" s="17">
        <v>44562</v>
      </c>
      <c r="B607" s="59">
        <f>VLOOKUP(Table1[[#This Row],[Date]],database!A:B,2,)</f>
        <v>102.146</v>
      </c>
      <c r="C607" s="67">
        <f t="shared" si="9"/>
        <v>3.8060627739937569E-3</v>
      </c>
      <c r="D607" s="67">
        <f>(Table1[[#This Row],[Index]]-B595)/B595</f>
        <v>2.9028504651713378E-2</v>
      </c>
    </row>
    <row r="608" spans="1:4" x14ac:dyDescent="0.2">
      <c r="A608" s="17">
        <v>44593</v>
      </c>
      <c r="B608" s="59">
        <f>VLOOKUP(Table1[[#This Row],[Date]],database!A:B,2,)</f>
        <v>102.89870000000001</v>
      </c>
      <c r="C608" s="67">
        <f t="shared" si="9"/>
        <v>7.3688641748086425E-3</v>
      </c>
      <c r="D608" s="67">
        <f>(Table1[[#This Row],[Index]]-B596)/B596</f>
        <v>6.9376272433542496E-2</v>
      </c>
    </row>
    <row r="609" spans="1:4" x14ac:dyDescent="0.2">
      <c r="A609" s="17">
        <v>44621</v>
      </c>
      <c r="B609" s="59">
        <f>VLOOKUP(Table1[[#This Row],[Date]],database!A:B,2,)</f>
        <v>103.57170000000001</v>
      </c>
      <c r="C609" s="67">
        <f t="shared" si="9"/>
        <v>6.5404130470063659E-3</v>
      </c>
      <c r="D609" s="67">
        <f>(Table1[[#This Row],[Index]]-B597)/B597</f>
        <v>4.7638073639949069E-2</v>
      </c>
    </row>
    <row r="610" spans="1:4" x14ac:dyDescent="0.2">
      <c r="A610" s="17">
        <v>44652</v>
      </c>
      <c r="B610" s="59">
        <f>VLOOKUP(Table1[[#This Row],[Date]],database!A:B,2,)</f>
        <v>104.2577</v>
      </c>
      <c r="C610" s="67">
        <f t="shared" si="9"/>
        <v>6.623430917905182E-3</v>
      </c>
      <c r="D610" s="67">
        <f>(Table1[[#This Row],[Index]]-B598)/B598</f>
        <v>5.2846464413893041E-2</v>
      </c>
    </row>
    <row r="611" spans="1:4" x14ac:dyDescent="0.2">
      <c r="A611" s="17">
        <v>44682</v>
      </c>
      <c r="B611" s="59">
        <f>VLOOKUP(Table1[[#This Row],[Date]],database!A:B,2,)</f>
        <v>104.18680000000001</v>
      </c>
      <c r="C611" s="67">
        <f t="shared" si="9"/>
        <v>-6.8004569446666885E-4</v>
      </c>
      <c r="D611" s="67">
        <f>(Table1[[#This Row],[Index]]-B599)/B599</f>
        <v>4.418086060624294E-2</v>
      </c>
    </row>
    <row r="612" spans="1:4" x14ac:dyDescent="0.2">
      <c r="A612" s="17">
        <v>44713</v>
      </c>
      <c r="B612" s="59">
        <f>VLOOKUP(Table1[[#This Row],[Date]],database!A:B,2,)</f>
        <v>104.1778</v>
      </c>
      <c r="C612" s="67">
        <f t="shared" si="9"/>
        <v>-8.6383303835035896E-5</v>
      </c>
      <c r="D612" s="67">
        <f>(Table1[[#This Row],[Index]]-B600)/B600</f>
        <v>3.9778505933090687E-2</v>
      </c>
    </row>
    <row r="613" spans="1:4" x14ac:dyDescent="0.2">
      <c r="A613" s="17">
        <v>44743</v>
      </c>
      <c r="B613" s="59">
        <f>VLOOKUP(Table1[[#This Row],[Date]],database!A:B,2,)</f>
        <v>104.7189</v>
      </c>
      <c r="C613" s="67">
        <f t="shared" si="9"/>
        <v>5.1940048647600712E-3</v>
      </c>
      <c r="D613" s="67">
        <f>(Table1[[#This Row],[Index]]-B601)/B601</f>
        <v>3.813233352235107E-2</v>
      </c>
    </row>
    <row r="614" spans="1:4" x14ac:dyDescent="0.2">
      <c r="A614" s="17">
        <v>44774</v>
      </c>
      <c r="B614" s="59">
        <f>VLOOKUP(Table1[[#This Row],[Date]],database!A:B,2,)</f>
        <v>104.54640000000001</v>
      </c>
      <c r="C614" s="67">
        <f t="shared" si="9"/>
        <v>-1.6472671122405025E-3</v>
      </c>
      <c r="D614" s="67">
        <f>(Table1[[#This Row],[Index]]-B602)/B602</f>
        <v>3.6786100340152943E-2</v>
      </c>
    </row>
  </sheetData>
  <conditionalFormatting sqref="D463:D614">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3"/>
  <sheetViews>
    <sheetView tabSelected="1" zoomScale="120" zoomScaleNormal="120" workbookViewId="0">
      <pane ySplit="5" topLeftCell="A640" activePane="bottomLeft" state="frozen"/>
      <selection pane="bottomLeft" activeCell="R682" sqref="R682"/>
    </sheetView>
  </sheetViews>
  <sheetFormatPr baseColWidth="10" defaultColWidth="9.1640625" defaultRowHeight="15" x14ac:dyDescent="0.2"/>
  <cols>
    <col min="1" max="1" width="9.1640625" style="75" customWidth="1"/>
    <col min="2" max="2" width="18.33203125" style="12" customWidth="1"/>
    <col min="3" max="3" width="13.6640625" style="12" customWidth="1"/>
    <col min="4" max="14" width="9.1640625" style="75" customWidth="1"/>
    <col min="15" max="16384" width="9.1640625" style="75"/>
  </cols>
  <sheetData>
    <row r="1" spans="1:3" x14ac:dyDescent="0.2">
      <c r="A1" s="75"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87.384100000000004</v>
      </c>
      <c r="C18" s="32"/>
    </row>
    <row r="19" spans="1:3" x14ac:dyDescent="0.2">
      <c r="A19" s="38">
        <v>24869</v>
      </c>
      <c r="B19" s="39">
        <f>VLOOKUP(Table8[[#This Row],[Month]],database!A:J,MATCH('Capacity Utilization'!$A$1,database!$A$1:$J$1,),)</f>
        <v>87.349100000000007</v>
      </c>
      <c r="C19" s="32"/>
    </row>
    <row r="20" spans="1:3" x14ac:dyDescent="0.2">
      <c r="A20" s="38">
        <v>24898</v>
      </c>
      <c r="B20" s="39">
        <f>VLOOKUP(Table8[[#This Row],[Month]],database!A:J,MATCH('Capacity Utilization'!$A$1,database!$A$1:$J$1,),)</f>
        <v>87.275000000000006</v>
      </c>
      <c r="C20" s="32"/>
    </row>
    <row r="21" spans="1:3" x14ac:dyDescent="0.2">
      <c r="A21" s="38">
        <v>24929</v>
      </c>
      <c r="B21" s="39">
        <f>VLOOKUP(Table8[[#This Row],[Month]],database!A:J,MATCH('Capacity Utilization'!$A$1,database!$A$1:$J$1,),)</f>
        <v>87.056899999999999</v>
      </c>
      <c r="C21" s="32"/>
    </row>
    <row r="22" spans="1:3" x14ac:dyDescent="0.2">
      <c r="A22" s="38">
        <v>24959</v>
      </c>
      <c r="B22" s="39">
        <f>VLOOKUP(Table8[[#This Row],[Month]],database!A:J,MATCH('Capacity Utilization'!$A$1,database!$A$1:$J$1,),)</f>
        <v>87.687700000000007</v>
      </c>
      <c r="C22" s="32"/>
    </row>
    <row r="23" spans="1:3" x14ac:dyDescent="0.2">
      <c r="A23" s="38">
        <v>24990</v>
      </c>
      <c r="B23" s="39">
        <f>VLOOKUP(Table8[[#This Row],[Month]],database!A:J,MATCH('Capacity Utilization'!$A$1,database!$A$1:$J$1,),)</f>
        <v>87.665599999999998</v>
      </c>
      <c r="C23" s="32"/>
    </row>
    <row r="24" spans="1:3" x14ac:dyDescent="0.2">
      <c r="A24" s="38">
        <v>25020</v>
      </c>
      <c r="B24" s="39">
        <f>VLOOKUP(Table8[[#This Row],[Month]],database!A:J,MATCH('Capacity Utilization'!$A$1,database!$A$1:$J$1,),)</f>
        <v>87.19</v>
      </c>
      <c r="C24" s="32"/>
    </row>
    <row r="25" spans="1:3" x14ac:dyDescent="0.2">
      <c r="A25" s="38">
        <v>25051</v>
      </c>
      <c r="B25" s="39">
        <f>VLOOKUP(Table8[[#This Row],[Month]],database!A:J,MATCH('Capacity Utilization'!$A$1,database!$A$1:$J$1,),)</f>
        <v>87.093800000000002</v>
      </c>
      <c r="C25" s="32"/>
    </row>
    <row r="26" spans="1:3" x14ac:dyDescent="0.2">
      <c r="A26" s="38">
        <v>25082</v>
      </c>
      <c r="B26" s="39">
        <f>VLOOKUP(Table8[[#This Row],[Month]],database!A:J,MATCH('Capacity Utilization'!$A$1,database!$A$1:$J$1,),)</f>
        <v>87.085700000000003</v>
      </c>
      <c r="C26" s="32"/>
    </row>
    <row r="27" spans="1:3" x14ac:dyDescent="0.2">
      <c r="A27" s="38">
        <v>25112</v>
      </c>
      <c r="B27" s="39">
        <f>VLOOKUP(Table8[[#This Row],[Month]],database!A:J,MATCH('Capacity Utilization'!$A$1,database!$A$1:$J$1,),)</f>
        <v>86.922300000000007</v>
      </c>
      <c r="C27" s="32"/>
    </row>
    <row r="28" spans="1:3" x14ac:dyDescent="0.2">
      <c r="A28" s="38">
        <v>25143</v>
      </c>
      <c r="B28" s="39">
        <f>VLOOKUP(Table8[[#This Row],[Month]],database!A:J,MATCH('Capacity Utilization'!$A$1,database!$A$1:$J$1,),)</f>
        <v>87.708699999999993</v>
      </c>
      <c r="C28" s="32"/>
    </row>
    <row r="29" spans="1:3" x14ac:dyDescent="0.2">
      <c r="A29" s="38">
        <v>25173</v>
      </c>
      <c r="B29" s="39">
        <f>VLOOKUP(Table8[[#This Row],[Month]],database!A:J,MATCH('Capacity Utilization'!$A$1,database!$A$1:$J$1,),)</f>
        <v>87.649199999999993</v>
      </c>
      <c r="C29" s="32"/>
    </row>
    <row r="30" spans="1:3" x14ac:dyDescent="0.2">
      <c r="A30" s="38">
        <v>25204</v>
      </c>
      <c r="B30" s="39">
        <f>VLOOKUP(Table8[[#This Row],[Month]],database!A:J,MATCH('Capacity Utilization'!$A$1,database!$A$1:$J$1,),)</f>
        <v>87.852000000000004</v>
      </c>
      <c r="C30" s="32"/>
    </row>
    <row r="31" spans="1:3" x14ac:dyDescent="0.2">
      <c r="A31" s="38">
        <v>25235</v>
      </c>
      <c r="B31" s="39">
        <f>VLOOKUP(Table8[[#This Row],[Month]],database!A:J,MATCH('Capacity Utilization'!$A$1,database!$A$1:$J$1,),)</f>
        <v>88.096000000000004</v>
      </c>
      <c r="C31" s="32"/>
    </row>
    <row r="32" spans="1:3" x14ac:dyDescent="0.2">
      <c r="A32" s="38">
        <v>25263</v>
      </c>
      <c r="B32" s="39">
        <f>VLOOKUP(Table8[[#This Row],[Month]],database!A:J,MATCH('Capacity Utilization'!$A$1,database!$A$1:$J$1,),)</f>
        <v>88.468000000000004</v>
      </c>
      <c r="C32" s="32"/>
    </row>
    <row r="33" spans="1:3" x14ac:dyDescent="0.2">
      <c r="A33" s="38">
        <v>25294</v>
      </c>
      <c r="B33" s="39">
        <f>VLOOKUP(Table8[[#This Row],[Month]],database!A:J,MATCH('Capacity Utilization'!$A$1,database!$A$1:$J$1,),)</f>
        <v>87.827200000000005</v>
      </c>
      <c r="C33" s="32"/>
    </row>
    <row r="34" spans="1:3" x14ac:dyDescent="0.2">
      <c r="A34" s="38">
        <v>25324</v>
      </c>
      <c r="B34" s="39">
        <f>VLOOKUP(Table8[[#This Row],[Month]],database!A:J,MATCH('Capacity Utilization'!$A$1,database!$A$1:$J$1,),)</f>
        <v>87.183300000000003</v>
      </c>
      <c r="C34" s="32"/>
    </row>
    <row r="35" spans="1:3" x14ac:dyDescent="0.2">
      <c r="A35" s="38">
        <v>25355</v>
      </c>
      <c r="B35" s="39">
        <f>VLOOKUP(Table8[[#This Row],[Month]],database!A:J,MATCH('Capacity Utilization'!$A$1,database!$A$1:$J$1,),)</f>
        <v>87.722300000000004</v>
      </c>
      <c r="C35" s="32"/>
    </row>
    <row r="36" spans="1:3" x14ac:dyDescent="0.2">
      <c r="A36" s="38">
        <v>25385</v>
      </c>
      <c r="B36" s="39">
        <f>VLOOKUP(Table8[[#This Row],[Month]],database!A:J,MATCH('Capacity Utilization'!$A$1,database!$A$1:$J$1,),)</f>
        <v>87.873099999999994</v>
      </c>
      <c r="C36" s="32"/>
    </row>
    <row r="37" spans="1:3" x14ac:dyDescent="0.2">
      <c r="A37" s="38">
        <v>25416</v>
      </c>
      <c r="B37" s="39">
        <f>VLOOKUP(Table8[[#This Row],[Month]],database!A:J,MATCH('Capacity Utilization'!$A$1,database!$A$1:$J$1,),)</f>
        <v>87.764200000000002</v>
      </c>
      <c r="C37" s="32"/>
    </row>
    <row r="38" spans="1:3" x14ac:dyDescent="0.2">
      <c r="A38" s="38">
        <v>25447</v>
      </c>
      <c r="B38" s="39">
        <f>VLOOKUP(Table8[[#This Row],[Month]],database!A:J,MATCH('Capacity Utilization'!$A$1,database!$A$1:$J$1,),)</f>
        <v>87.436000000000007</v>
      </c>
      <c r="C38" s="32"/>
    </row>
    <row r="39" spans="1:3" x14ac:dyDescent="0.2">
      <c r="A39" s="38">
        <v>25477</v>
      </c>
      <c r="B39" s="39">
        <f>VLOOKUP(Table8[[#This Row],[Month]],database!A:J,MATCH('Capacity Utilization'!$A$1,database!$A$1:$J$1,),)</f>
        <v>87.155000000000001</v>
      </c>
      <c r="C39" s="32"/>
    </row>
    <row r="40" spans="1:3" x14ac:dyDescent="0.2">
      <c r="A40" s="38">
        <v>25508</v>
      </c>
      <c r="B40" s="39">
        <f>VLOOKUP(Table8[[#This Row],[Month]],database!A:J,MATCH('Capacity Utilization'!$A$1,database!$A$1:$J$1,),)</f>
        <v>86.031999999999996</v>
      </c>
      <c r="C40" s="32"/>
    </row>
    <row r="41" spans="1:3" x14ac:dyDescent="0.2">
      <c r="A41" s="38">
        <v>25538</v>
      </c>
      <c r="B41" s="39">
        <f>VLOOKUP(Table8[[#This Row],[Month]],database!A:J,MATCH('Capacity Utilization'!$A$1,database!$A$1:$J$1,),)</f>
        <v>85.502399999999994</v>
      </c>
      <c r="C41" s="32"/>
    </row>
    <row r="42" spans="1:3" x14ac:dyDescent="0.2">
      <c r="A42" s="38">
        <v>25569</v>
      </c>
      <c r="B42" s="39">
        <f>VLOOKUP(Table8[[#This Row],[Month]],database!A:J,MATCH('Capacity Utilization'!$A$1,database!$A$1:$J$1,),)</f>
        <v>83.641400000000004</v>
      </c>
      <c r="C42" s="32"/>
    </row>
    <row r="43" spans="1:3" x14ac:dyDescent="0.2">
      <c r="A43" s="38">
        <v>25600</v>
      </c>
      <c r="B43" s="39">
        <f>VLOOKUP(Table8[[#This Row],[Month]],database!A:J,MATCH('Capacity Utilization'!$A$1,database!$A$1:$J$1,),)</f>
        <v>83.3245</v>
      </c>
      <c r="C43" s="32"/>
    </row>
    <row r="44" spans="1:3" x14ac:dyDescent="0.2">
      <c r="A44" s="38">
        <v>25628</v>
      </c>
      <c r="B44" s="39">
        <f>VLOOKUP(Table8[[#This Row],[Month]],database!A:J,MATCH('Capacity Utilization'!$A$1,database!$A$1:$J$1,),)</f>
        <v>82.956000000000003</v>
      </c>
      <c r="C44" s="32"/>
    </row>
    <row r="45" spans="1:3" x14ac:dyDescent="0.2">
      <c r="A45" s="38">
        <v>25659</v>
      </c>
      <c r="B45" s="39">
        <f>VLOOKUP(Table8[[#This Row],[Month]],database!A:J,MATCH('Capacity Utilization'!$A$1,database!$A$1:$J$1,),)</f>
        <v>82.484800000000007</v>
      </c>
      <c r="C45" s="32"/>
    </row>
    <row r="46" spans="1:3" x14ac:dyDescent="0.2">
      <c r="A46" s="38">
        <v>25689</v>
      </c>
      <c r="B46" s="39">
        <f>VLOOKUP(Table8[[#This Row],[Month]],database!A:J,MATCH('Capacity Utilization'!$A$1,database!$A$1:$J$1,),)</f>
        <v>82.132499999999993</v>
      </c>
      <c r="C46" s="32"/>
    </row>
    <row r="47" spans="1:3" x14ac:dyDescent="0.2">
      <c r="A47" s="38">
        <v>25720</v>
      </c>
      <c r="B47" s="39">
        <f>VLOOKUP(Table8[[#This Row],[Month]],database!A:J,MATCH('Capacity Utilization'!$A$1,database!$A$1:$J$1,),)</f>
        <v>81.613200000000006</v>
      </c>
      <c r="C47" s="32"/>
    </row>
    <row r="48" spans="1:3" x14ac:dyDescent="0.2">
      <c r="A48" s="38">
        <v>25750</v>
      </c>
      <c r="B48" s="39">
        <f>VLOOKUP(Table8[[#This Row],[Month]],database!A:J,MATCH('Capacity Utilization'!$A$1,database!$A$1:$J$1,),)</f>
        <v>81.5608</v>
      </c>
      <c r="C48" s="32"/>
    </row>
    <row r="49" spans="1:3" x14ac:dyDescent="0.2">
      <c r="A49" s="38">
        <v>25781</v>
      </c>
      <c r="B49" s="39">
        <f>VLOOKUP(Table8[[#This Row],[Month]],database!A:J,MATCH('Capacity Utilization'!$A$1,database!$A$1:$J$1,),)</f>
        <v>81.164500000000004</v>
      </c>
      <c r="C49" s="32"/>
    </row>
    <row r="50" spans="1:3" x14ac:dyDescent="0.2">
      <c r="A50" s="38">
        <v>25812</v>
      </c>
      <c r="B50" s="39">
        <f>VLOOKUP(Table8[[#This Row],[Month]],database!A:J,MATCH('Capacity Utilization'!$A$1,database!$A$1:$J$1,),)</f>
        <v>80.357399999999998</v>
      </c>
      <c r="C50" s="32"/>
    </row>
    <row r="51" spans="1:3" x14ac:dyDescent="0.2">
      <c r="A51" s="38">
        <v>25842</v>
      </c>
      <c r="B51" s="39">
        <f>VLOOKUP(Table8[[#This Row],[Month]],database!A:J,MATCH('Capacity Utilization'!$A$1,database!$A$1:$J$1,),)</f>
        <v>78.508799999999994</v>
      </c>
      <c r="C51" s="32"/>
    </row>
    <row r="52" spans="1:3" x14ac:dyDescent="0.2">
      <c r="A52" s="38">
        <v>25873</v>
      </c>
      <c r="B52" s="39">
        <f>VLOOKUP(Table8[[#This Row],[Month]],database!A:J,MATCH('Capacity Utilization'!$A$1,database!$A$1:$J$1,),)</f>
        <v>77.795100000000005</v>
      </c>
      <c r="C52" s="32"/>
    </row>
    <row r="53" spans="1:3" x14ac:dyDescent="0.2">
      <c r="A53" s="38">
        <v>25903</v>
      </c>
      <c r="B53" s="39">
        <f>VLOOKUP(Table8[[#This Row],[Month]],database!A:J,MATCH('Capacity Utilization'!$A$1,database!$A$1:$J$1,),)</f>
        <v>79.339399999999998</v>
      </c>
      <c r="C53" s="32"/>
    </row>
    <row r="54" spans="1:3" x14ac:dyDescent="0.2">
      <c r="A54" s="38">
        <v>25934</v>
      </c>
      <c r="B54" s="39">
        <f>VLOOKUP(Table8[[#This Row],[Month]],database!A:J,MATCH('Capacity Utilization'!$A$1,database!$A$1:$J$1,),)</f>
        <v>79.725899999999996</v>
      </c>
      <c r="C54" s="32"/>
    </row>
    <row r="55" spans="1:3" x14ac:dyDescent="0.2">
      <c r="A55" s="38">
        <v>25965</v>
      </c>
      <c r="B55" s="39">
        <f>VLOOKUP(Table8[[#This Row],[Month]],database!A:J,MATCH('Capacity Utilization'!$A$1,database!$A$1:$J$1,),)</f>
        <v>79.371099999999998</v>
      </c>
      <c r="C55" s="32"/>
    </row>
    <row r="56" spans="1:3" x14ac:dyDescent="0.2">
      <c r="A56" s="38">
        <v>25993</v>
      </c>
      <c r="B56" s="39">
        <f>VLOOKUP(Table8[[#This Row],[Month]],database!A:J,MATCH('Capacity Utilization'!$A$1,database!$A$1:$J$1,),)</f>
        <v>79.083100000000002</v>
      </c>
      <c r="C56" s="32"/>
    </row>
    <row r="57" spans="1:3" x14ac:dyDescent="0.2">
      <c r="A57" s="38">
        <v>26024</v>
      </c>
      <c r="B57" s="39">
        <f>VLOOKUP(Table8[[#This Row],[Month]],database!A:J,MATCH('Capacity Utilization'!$A$1,database!$A$1:$J$1,),)</f>
        <v>79.325199999999995</v>
      </c>
      <c r="C57" s="32"/>
    </row>
    <row r="58" spans="1:3" x14ac:dyDescent="0.2">
      <c r="A58" s="38">
        <v>26054</v>
      </c>
      <c r="B58" s="39">
        <f>VLOOKUP(Table8[[#This Row],[Month]],database!A:J,MATCH('Capacity Utilization'!$A$1,database!$A$1:$J$1,),)</f>
        <v>79.525599999999997</v>
      </c>
      <c r="C58" s="32"/>
    </row>
    <row r="59" spans="1:3" x14ac:dyDescent="0.2">
      <c r="A59" s="38">
        <v>26085</v>
      </c>
      <c r="B59" s="39">
        <f>VLOOKUP(Table8[[#This Row],[Month]],database!A:J,MATCH('Capacity Utilization'!$A$1,database!$A$1:$J$1,),)</f>
        <v>79.657200000000003</v>
      </c>
      <c r="C59" s="32"/>
    </row>
    <row r="60" spans="1:3" x14ac:dyDescent="0.2">
      <c r="A60" s="38">
        <v>26115</v>
      </c>
      <c r="B60" s="39">
        <f>VLOOKUP(Table8[[#This Row],[Month]],database!A:J,MATCH('Capacity Utilization'!$A$1,database!$A$1:$J$1,),)</f>
        <v>79.2256</v>
      </c>
      <c r="C60" s="32"/>
    </row>
    <row r="61" spans="1:3" x14ac:dyDescent="0.2">
      <c r="A61" s="38">
        <v>26146</v>
      </c>
      <c r="B61" s="39">
        <f>VLOOKUP(Table8[[#This Row],[Month]],database!A:J,MATCH('Capacity Utilization'!$A$1,database!$A$1:$J$1,),)</f>
        <v>78.567499999999995</v>
      </c>
      <c r="C61" s="32"/>
    </row>
    <row r="62" spans="1:3" x14ac:dyDescent="0.2">
      <c r="A62" s="38">
        <v>26177</v>
      </c>
      <c r="B62" s="39">
        <f>VLOOKUP(Table8[[#This Row],[Month]],database!A:J,MATCH('Capacity Utilization'!$A$1,database!$A$1:$J$1,),)</f>
        <v>79.644000000000005</v>
      </c>
      <c r="C62" s="32"/>
    </row>
    <row r="63" spans="1:3" x14ac:dyDescent="0.2">
      <c r="A63" s="38">
        <v>26207</v>
      </c>
      <c r="B63" s="39">
        <f>VLOOKUP(Table8[[#This Row],[Month]],database!A:J,MATCH('Capacity Utilization'!$A$1,database!$A$1:$J$1,),)</f>
        <v>80.039199999999994</v>
      </c>
      <c r="C63" s="32"/>
    </row>
    <row r="64" spans="1:3" x14ac:dyDescent="0.2">
      <c r="A64" s="38">
        <v>26238</v>
      </c>
      <c r="B64" s="39">
        <f>VLOOKUP(Table8[[#This Row],[Month]],database!A:J,MATCH('Capacity Utilization'!$A$1,database!$A$1:$J$1,),)</f>
        <v>80.178100000000001</v>
      </c>
      <c r="C64" s="32"/>
    </row>
    <row r="65" spans="1:3" x14ac:dyDescent="0.2">
      <c r="A65" s="38">
        <v>26268</v>
      </c>
      <c r="B65" s="39">
        <f>VLOOKUP(Table8[[#This Row],[Month]],database!A:J,MATCH('Capacity Utilization'!$A$1,database!$A$1:$J$1,),)</f>
        <v>80.901499999999999</v>
      </c>
      <c r="C65" s="32"/>
    </row>
    <row r="66" spans="1:3" x14ac:dyDescent="0.2">
      <c r="A66" s="38">
        <v>26299</v>
      </c>
      <c r="B66" s="39">
        <f>VLOOKUP(Table8[[#This Row],[Month]],database!A:J,MATCH('Capacity Utilization'!$A$1,database!$A$1:$J$1,),)</f>
        <v>82.625799999999998</v>
      </c>
      <c r="C66" s="32"/>
    </row>
    <row r="67" spans="1:3" x14ac:dyDescent="0.2">
      <c r="A67" s="38">
        <v>26330</v>
      </c>
      <c r="B67" s="39">
        <f>VLOOKUP(Table8[[#This Row],[Month]],database!A:J,MATCH('Capacity Utilization'!$A$1,database!$A$1:$J$1,),)</f>
        <v>83.284999999999997</v>
      </c>
      <c r="C67" s="32"/>
    </row>
    <row r="68" spans="1:3" x14ac:dyDescent="0.2">
      <c r="A68" s="38">
        <v>26359</v>
      </c>
      <c r="B68" s="39">
        <f>VLOOKUP(Table8[[#This Row],[Month]],database!A:J,MATCH('Capacity Utilization'!$A$1,database!$A$1:$J$1,),)</f>
        <v>83.664299999999997</v>
      </c>
      <c r="C68" s="32"/>
    </row>
    <row r="69" spans="1:3" x14ac:dyDescent="0.2">
      <c r="A69" s="38">
        <v>26390</v>
      </c>
      <c r="B69" s="39">
        <f>VLOOKUP(Table8[[#This Row],[Month]],database!A:J,MATCH('Capacity Utilization'!$A$1,database!$A$1:$J$1,),)</f>
        <v>84.278300000000002</v>
      </c>
      <c r="C69" s="32"/>
    </row>
    <row r="70" spans="1:3" x14ac:dyDescent="0.2">
      <c r="A70" s="38">
        <v>26420</v>
      </c>
      <c r="B70" s="39">
        <f>VLOOKUP(Table8[[#This Row],[Month]],database!A:J,MATCH('Capacity Utilization'!$A$1,database!$A$1:$J$1,),)</f>
        <v>84.081199999999995</v>
      </c>
      <c r="C70" s="32"/>
    </row>
    <row r="71" spans="1:3" x14ac:dyDescent="0.2">
      <c r="A71" s="38">
        <v>26451</v>
      </c>
      <c r="B71" s="39">
        <f>VLOOKUP(Table8[[#This Row],[Month]],database!A:J,MATCH('Capacity Utilization'!$A$1,database!$A$1:$J$1,),)</f>
        <v>84.088999999999999</v>
      </c>
      <c r="C71" s="32"/>
    </row>
    <row r="72" spans="1:3" x14ac:dyDescent="0.2">
      <c r="A72" s="38">
        <v>26481</v>
      </c>
      <c r="B72" s="39">
        <f>VLOOKUP(Table8[[#This Row],[Month]],database!A:J,MATCH('Capacity Utilization'!$A$1,database!$A$1:$J$1,),)</f>
        <v>83.783699999999996</v>
      </c>
      <c r="C72" s="32"/>
    </row>
    <row r="73" spans="1:3" x14ac:dyDescent="0.2">
      <c r="A73" s="38">
        <v>26512</v>
      </c>
      <c r="B73" s="39">
        <f>VLOOKUP(Table8[[#This Row],[Month]],database!A:J,MATCH('Capacity Utilization'!$A$1,database!$A$1:$J$1,),)</f>
        <v>84.712699999999998</v>
      </c>
      <c r="C73" s="32"/>
    </row>
    <row r="74" spans="1:3" x14ac:dyDescent="0.2">
      <c r="A74" s="38">
        <v>26543</v>
      </c>
      <c r="B74" s="39">
        <f>VLOOKUP(Table8[[#This Row],[Month]],database!A:J,MATCH('Capacity Utilization'!$A$1,database!$A$1:$J$1,),)</f>
        <v>85.131</v>
      </c>
      <c r="C74" s="32"/>
    </row>
    <row r="75" spans="1:3" x14ac:dyDescent="0.2">
      <c r="A75" s="38">
        <v>26573</v>
      </c>
      <c r="B75" s="39">
        <f>VLOOKUP(Table8[[#This Row],[Month]],database!A:J,MATCH('Capacity Utilization'!$A$1,database!$A$1:$J$1,),)</f>
        <v>85.983400000000003</v>
      </c>
      <c r="C75" s="32"/>
    </row>
    <row r="76" spans="1:3" x14ac:dyDescent="0.2">
      <c r="A76" s="38">
        <v>26604</v>
      </c>
      <c r="B76" s="39">
        <f>VLOOKUP(Table8[[#This Row],[Month]],database!A:J,MATCH('Capacity Utilization'!$A$1,database!$A$1:$J$1,),)</f>
        <v>86.737499999999997</v>
      </c>
      <c r="C76" s="32"/>
    </row>
    <row r="77" spans="1:3" x14ac:dyDescent="0.2">
      <c r="A77" s="38">
        <v>26634</v>
      </c>
      <c r="B77" s="39">
        <f>VLOOKUP(Table8[[#This Row],[Month]],database!A:J,MATCH('Capacity Utilization'!$A$1,database!$A$1:$J$1,),)</f>
        <v>87.447800000000001</v>
      </c>
      <c r="C77" s="32"/>
    </row>
    <row r="78" spans="1:3" x14ac:dyDescent="0.2">
      <c r="A78" s="38">
        <v>26665</v>
      </c>
      <c r="B78" s="39">
        <f>VLOOKUP(Table8[[#This Row],[Month]],database!A:J,MATCH('Capacity Utilization'!$A$1,database!$A$1:$J$1,),)</f>
        <v>87.800200000000004</v>
      </c>
      <c r="C78" s="32"/>
    </row>
    <row r="79" spans="1:3" x14ac:dyDescent="0.2">
      <c r="A79" s="38">
        <v>26696</v>
      </c>
      <c r="B79" s="39">
        <f>VLOOKUP(Table8[[#This Row],[Month]],database!A:J,MATCH('Capacity Utilization'!$A$1,database!$A$1:$J$1,),)</f>
        <v>88.784899999999993</v>
      </c>
      <c r="C79" s="32"/>
    </row>
    <row r="80" spans="1:3" x14ac:dyDescent="0.2">
      <c r="A80" s="38">
        <v>26724</v>
      </c>
      <c r="B80" s="39">
        <f>VLOOKUP(Table8[[#This Row],[Month]],database!A:J,MATCH('Capacity Utilization'!$A$1,database!$A$1:$J$1,),)</f>
        <v>88.528300000000002</v>
      </c>
      <c r="C80" s="32"/>
    </row>
    <row r="81" spans="1:3" x14ac:dyDescent="0.2">
      <c r="A81" s="38">
        <v>26755</v>
      </c>
      <c r="B81" s="39">
        <f>VLOOKUP(Table8[[#This Row],[Month]],database!A:J,MATCH('Capacity Utilization'!$A$1,database!$A$1:$J$1,),)</f>
        <v>88.102099999999993</v>
      </c>
      <c r="C81" s="32"/>
    </row>
    <row r="82" spans="1:3" x14ac:dyDescent="0.2">
      <c r="A82" s="38">
        <v>26785</v>
      </c>
      <c r="B82" s="39">
        <f>VLOOKUP(Table8[[#This Row],[Month]],database!A:J,MATCH('Capacity Utilization'!$A$1,database!$A$1:$J$1,),)</f>
        <v>88.383099999999999</v>
      </c>
      <c r="C82" s="32"/>
    </row>
    <row r="83" spans="1:3" x14ac:dyDescent="0.2">
      <c r="A83" s="38">
        <v>26816</v>
      </c>
      <c r="B83" s="39">
        <f>VLOOKUP(Table8[[#This Row],[Month]],database!A:J,MATCH('Capacity Utilization'!$A$1,database!$A$1:$J$1,),)</f>
        <v>88.178899999999999</v>
      </c>
      <c r="C83" s="32"/>
    </row>
    <row r="84" spans="1:3" x14ac:dyDescent="0.2">
      <c r="A84" s="38">
        <v>26846</v>
      </c>
      <c r="B84" s="39">
        <f>VLOOKUP(Table8[[#This Row],[Month]],database!A:J,MATCH('Capacity Utilization'!$A$1,database!$A$1:$J$1,),)</f>
        <v>88.207300000000004</v>
      </c>
      <c r="C84" s="32"/>
    </row>
    <row r="85" spans="1:3" x14ac:dyDescent="0.2">
      <c r="A85" s="38">
        <v>26877</v>
      </c>
      <c r="B85" s="39">
        <f>VLOOKUP(Table8[[#This Row],[Month]],database!A:J,MATCH('Capacity Utilization'!$A$1,database!$A$1:$J$1,),)</f>
        <v>87.783299999999997</v>
      </c>
      <c r="C85" s="32"/>
    </row>
    <row r="86" spans="1:3" x14ac:dyDescent="0.2">
      <c r="A86" s="38">
        <v>26908</v>
      </c>
      <c r="B86" s="39">
        <f>VLOOKUP(Table8[[#This Row],[Month]],database!A:J,MATCH('Capacity Utilization'!$A$1,database!$A$1:$J$1,),)</f>
        <v>88.179599999999994</v>
      </c>
      <c r="C86" s="32"/>
    </row>
    <row r="87" spans="1:3" x14ac:dyDescent="0.2">
      <c r="A87" s="38">
        <v>26938</v>
      </c>
      <c r="B87" s="39">
        <f>VLOOKUP(Table8[[#This Row],[Month]],database!A:J,MATCH('Capacity Utilization'!$A$1,database!$A$1:$J$1,),)</f>
        <v>88.600300000000004</v>
      </c>
      <c r="C87" s="32"/>
    </row>
    <row r="88" spans="1:3" x14ac:dyDescent="0.2">
      <c r="A88" s="38">
        <v>26969</v>
      </c>
      <c r="B88" s="39">
        <f>VLOOKUP(Table8[[#This Row],[Month]],database!A:J,MATCH('Capacity Utilization'!$A$1,database!$A$1:$J$1,),)</f>
        <v>88.726799999999997</v>
      </c>
      <c r="C88" s="32"/>
    </row>
    <row r="89" spans="1:3" x14ac:dyDescent="0.2">
      <c r="A89" s="38">
        <v>26999</v>
      </c>
      <c r="B89" s="39">
        <f>VLOOKUP(Table8[[#This Row],[Month]],database!A:J,MATCH('Capacity Utilization'!$A$1,database!$A$1:$J$1,),)</f>
        <v>88.202200000000005</v>
      </c>
      <c r="C89" s="32"/>
    </row>
    <row r="90" spans="1:3" x14ac:dyDescent="0.2">
      <c r="A90" s="38">
        <v>27030</v>
      </c>
      <c r="B90" s="39">
        <f>VLOOKUP(Table8[[#This Row],[Month]],database!A:J,MATCH('Capacity Utilization'!$A$1,database!$A$1:$J$1,),)</f>
        <v>87.353499999999997</v>
      </c>
      <c r="C90" s="32"/>
    </row>
    <row r="91" spans="1:3" x14ac:dyDescent="0.2">
      <c r="A91" s="38">
        <v>27061</v>
      </c>
      <c r="B91" s="39">
        <f>VLOOKUP(Table8[[#This Row],[Month]],database!A:J,MATCH('Capacity Utilization'!$A$1,database!$A$1:$J$1,),)</f>
        <v>86.844099999999997</v>
      </c>
      <c r="C91" s="32"/>
    </row>
    <row r="92" spans="1:3" x14ac:dyDescent="0.2">
      <c r="A92" s="38">
        <v>27089</v>
      </c>
      <c r="B92" s="39">
        <f>VLOOKUP(Table8[[#This Row],[Month]],database!A:J,MATCH('Capacity Utilization'!$A$1,database!$A$1:$J$1,),)</f>
        <v>86.603300000000004</v>
      </c>
      <c r="C92" s="32"/>
    </row>
    <row r="93" spans="1:3" x14ac:dyDescent="0.2">
      <c r="A93" s="38">
        <v>27120</v>
      </c>
      <c r="B93" s="39">
        <f>VLOOKUP(Table8[[#This Row],[Month]],database!A:J,MATCH('Capacity Utilization'!$A$1,database!$A$1:$J$1,),)</f>
        <v>86.123800000000003</v>
      </c>
      <c r="C93" s="32"/>
    </row>
    <row r="94" spans="1:3" x14ac:dyDescent="0.2">
      <c r="A94" s="38">
        <v>27150</v>
      </c>
      <c r="B94" s="39">
        <f>VLOOKUP(Table8[[#This Row],[Month]],database!A:J,MATCH('Capacity Utilization'!$A$1,database!$A$1:$J$1,),)</f>
        <v>86.592500000000001</v>
      </c>
      <c r="C94" s="32"/>
    </row>
    <row r="95" spans="1:3" x14ac:dyDescent="0.2">
      <c r="A95" s="38">
        <v>27181</v>
      </c>
      <c r="B95" s="39">
        <f>VLOOKUP(Table8[[#This Row],[Month]],database!A:J,MATCH('Capacity Utilization'!$A$1,database!$A$1:$J$1,),)</f>
        <v>86.2239</v>
      </c>
      <c r="C95" s="32"/>
    </row>
    <row r="96" spans="1:3" x14ac:dyDescent="0.2">
      <c r="A96" s="38">
        <v>27211</v>
      </c>
      <c r="B96" s="39">
        <f>VLOOKUP(Table8[[#This Row],[Month]],database!A:J,MATCH('Capacity Utilization'!$A$1,database!$A$1:$J$1,),)</f>
        <v>86.180099999999996</v>
      </c>
      <c r="C96" s="32"/>
    </row>
    <row r="97" spans="1:3" x14ac:dyDescent="0.2">
      <c r="A97" s="38">
        <v>27242</v>
      </c>
      <c r="B97" s="39">
        <f>VLOOKUP(Table8[[#This Row],[Month]],database!A:J,MATCH('Capacity Utilization'!$A$1,database!$A$1:$J$1,),)</f>
        <v>85.085300000000004</v>
      </c>
      <c r="C97" s="32"/>
    </row>
    <row r="98" spans="1:3" x14ac:dyDescent="0.2">
      <c r="A98" s="38">
        <v>27273</v>
      </c>
      <c r="B98" s="39">
        <f>VLOOKUP(Table8[[#This Row],[Month]],database!A:J,MATCH('Capacity Utilization'!$A$1,database!$A$1:$J$1,),)</f>
        <v>84.922600000000003</v>
      </c>
      <c r="C98" s="32"/>
    </row>
    <row r="99" spans="1:3" x14ac:dyDescent="0.2">
      <c r="A99" s="38">
        <v>27303</v>
      </c>
      <c r="B99" s="39">
        <f>VLOOKUP(Table8[[#This Row],[Month]],database!A:J,MATCH('Capacity Utilization'!$A$1,database!$A$1:$J$1,),)</f>
        <v>84.490799999999993</v>
      </c>
      <c r="C99" s="32"/>
    </row>
    <row r="100" spans="1:3" x14ac:dyDescent="0.2">
      <c r="A100" s="38">
        <v>27334</v>
      </c>
      <c r="B100" s="39">
        <f>VLOOKUP(Table8[[#This Row],[Month]],database!A:J,MATCH('Capacity Utilization'!$A$1,database!$A$1:$J$1,),)</f>
        <v>81.5578</v>
      </c>
      <c r="C100" s="32"/>
    </row>
    <row r="101" spans="1:3" x14ac:dyDescent="0.2">
      <c r="A101" s="38">
        <v>27364</v>
      </c>
      <c r="B101" s="39">
        <f>VLOOKUP(Table8[[#This Row],[Month]],database!A:J,MATCH('Capacity Utilization'!$A$1,database!$A$1:$J$1,),)</f>
        <v>78.501199999999997</v>
      </c>
      <c r="C101" s="32"/>
    </row>
    <row r="102" spans="1:3" x14ac:dyDescent="0.2">
      <c r="A102" s="38">
        <v>27395</v>
      </c>
      <c r="B102" s="39">
        <f>VLOOKUP(Table8[[#This Row],[Month]],database!A:J,MATCH('Capacity Utilization'!$A$1,database!$A$1:$J$1,),)</f>
        <v>77.287099999999995</v>
      </c>
      <c r="C102" s="69">
        <f>(VLOOKUP(A102,database!A:K,11,) - VLOOKUP(A90,database!A:K,11,))/VLOOKUP(A90,database!A:K,11,)</f>
        <v>0.17303822937625743</v>
      </c>
    </row>
    <row r="103" spans="1:3" x14ac:dyDescent="0.2">
      <c r="A103" s="38">
        <v>27426</v>
      </c>
      <c r="B103" s="39">
        <f>VLOOKUP(Table8[[#This Row],[Month]],database!A:J,MATCH('Capacity Utilization'!$A$1,database!$A$1:$J$1,),)</f>
        <v>75.398899999999998</v>
      </c>
      <c r="C103" s="69">
        <f>(VLOOKUP(A103,database!A:K,11,) - VLOOKUP(A91,database!A:K,11,))/VLOOKUP(A91,database!A:K,11,)</f>
        <v>0.17400000000000004</v>
      </c>
    </row>
    <row r="104" spans="1:3" x14ac:dyDescent="0.2">
      <c r="A104" s="38">
        <v>27454</v>
      </c>
      <c r="B104" s="39">
        <f>VLOOKUP(Table8[[#This Row],[Month]],database!A:J,MATCH('Capacity Utilization'!$A$1,database!$A$1:$J$1,),)</f>
        <v>74.4422</v>
      </c>
      <c r="C104" s="69">
        <f>(VLOOKUP(A104,database!A:K,11,) - VLOOKUP(A92,database!A:K,11,))/VLOOKUP(A92,database!A:K,11,)</f>
        <v>0.16831683168316833</v>
      </c>
    </row>
    <row r="105" spans="1:3" x14ac:dyDescent="0.2">
      <c r="A105" s="38">
        <v>27485</v>
      </c>
      <c r="B105" s="39">
        <f>VLOOKUP(Table8[[#This Row],[Month]],database!A:J,MATCH('Capacity Utilization'!$A$1,database!$A$1:$J$1,),)</f>
        <v>74.460499999999996</v>
      </c>
      <c r="C105" s="69">
        <f>(VLOOKUP(A105,database!A:K,11,) - VLOOKUP(A93,database!A:K,11,))/VLOOKUP(A93,database!A:K,11,)</f>
        <v>0.15851272015655579</v>
      </c>
    </row>
    <row r="106" spans="1:3" x14ac:dyDescent="0.2">
      <c r="A106" s="38">
        <v>27515</v>
      </c>
      <c r="B106" s="39">
        <f>VLOOKUP(Table8[[#This Row],[Month]],database!A:J,MATCH('Capacity Utilization'!$A$1,database!$A$1:$J$1,),)</f>
        <v>74.134500000000003</v>
      </c>
      <c r="C106" s="69">
        <f>(VLOOKUP(A106,database!A:K,11,) - VLOOKUP(A94,database!A:K,11,))/VLOOKUP(A94,database!A:K,11,)</f>
        <v>0.13601532567049796</v>
      </c>
    </row>
    <row r="107" spans="1:3" x14ac:dyDescent="0.2">
      <c r="A107" s="38">
        <v>27546</v>
      </c>
      <c r="B107" s="39">
        <f>VLOOKUP(Table8[[#This Row],[Month]],database!A:J,MATCH('Capacity Utilization'!$A$1,database!$A$1:$J$1,),)</f>
        <v>74.494500000000002</v>
      </c>
      <c r="C107" s="69">
        <f>(VLOOKUP(A107,database!A:K,11,) - VLOOKUP(A95,database!A:K,11,))/VLOOKUP(A95,database!A:K,11,)</f>
        <v>0.1205273069679849</v>
      </c>
    </row>
    <row r="108" spans="1:3" x14ac:dyDescent="0.2">
      <c r="A108" s="38">
        <v>27576</v>
      </c>
      <c r="B108" s="39">
        <f>VLOOKUP(Table8[[#This Row],[Month]],database!A:J,MATCH('Capacity Utilization'!$A$1,database!$A$1:$J$1,),)</f>
        <v>75.132400000000004</v>
      </c>
      <c r="C108" s="69">
        <f>(VLOOKUP(A108,database!A:K,11,) - VLOOKUP(A96,database!A:K,11,))/VLOOKUP(A96,database!A:K,11,)</f>
        <v>0.10740740740740735</v>
      </c>
    </row>
    <row r="109" spans="1:3" x14ac:dyDescent="0.2">
      <c r="A109" s="38">
        <v>27607</v>
      </c>
      <c r="B109" s="39">
        <f>VLOOKUP(Table8[[#This Row],[Month]],database!A:J,MATCH('Capacity Utilization'!$A$1,database!$A$1:$J$1,),)</f>
        <v>75.745099999999994</v>
      </c>
      <c r="C109" s="69">
        <f>(VLOOKUP(A109,database!A:K,11,) - VLOOKUP(A97,database!A:K,11,))/VLOOKUP(A97,database!A:K,11,)</f>
        <v>8.9090909090909068E-2</v>
      </c>
    </row>
    <row r="110" spans="1:3" x14ac:dyDescent="0.2">
      <c r="A110" s="38">
        <v>27638</v>
      </c>
      <c r="B110" s="39">
        <f>VLOOKUP(Table8[[#This Row],[Month]],database!A:J,MATCH('Capacity Utilization'!$A$1,database!$A$1:$J$1,),)</f>
        <v>76.586299999999994</v>
      </c>
      <c r="C110" s="69">
        <f>(VLOOKUP(A110,database!A:K,11,) - VLOOKUP(A98,database!A:K,11,))/VLOOKUP(A98,database!A:K,11,)</f>
        <v>8.0789946140035901E-2</v>
      </c>
    </row>
    <row r="111" spans="1:3" x14ac:dyDescent="0.2">
      <c r="A111" s="38">
        <v>27668</v>
      </c>
      <c r="B111" s="39">
        <f>VLOOKUP(Table8[[#This Row],[Month]],database!A:J,MATCH('Capacity Utilization'!$A$1,database!$A$1:$J$1,),)</f>
        <v>76.778599999999997</v>
      </c>
      <c r="C111" s="69">
        <f>(VLOOKUP(A111,database!A:K,11,) - VLOOKUP(A99,database!A:K,11,))/VLOOKUP(A99,database!A:K,11,)</f>
        <v>6.8783068783068751E-2</v>
      </c>
    </row>
    <row r="112" spans="1:3" x14ac:dyDescent="0.2">
      <c r="A112" s="38">
        <v>27699</v>
      </c>
      <c r="B112" s="39">
        <f>VLOOKUP(Table8[[#This Row],[Month]],database!A:J,MATCH('Capacity Utilization'!$A$1,database!$A$1:$J$1,),)</f>
        <v>76.745500000000007</v>
      </c>
      <c r="C112" s="69">
        <f>(VLOOKUP(A112,database!A:K,11,) - VLOOKUP(A100,database!A:K,11,))/VLOOKUP(A100,database!A:K,11,)</f>
        <v>6.2717770034843232E-2</v>
      </c>
    </row>
    <row r="113" spans="1:3" x14ac:dyDescent="0.2">
      <c r="A113" s="38">
        <v>27729</v>
      </c>
      <c r="B113" s="39">
        <f>VLOOKUP(Table8[[#This Row],[Month]],database!A:J,MATCH('Capacity Utilization'!$A$1,database!$A$1:$J$1,),)</f>
        <v>77.645700000000005</v>
      </c>
      <c r="C113" s="69">
        <f>(VLOOKUP(A113,database!A:K,11,) - VLOOKUP(A101,database!A:K,11,))/VLOOKUP(A101,database!A:K,11,)</f>
        <v>6.0449050086355788E-2</v>
      </c>
    </row>
    <row r="114" spans="1:3" x14ac:dyDescent="0.2">
      <c r="A114" s="38">
        <v>27760</v>
      </c>
      <c r="B114" s="39">
        <f>VLOOKUP(Table8[[#This Row],[Month]],database!A:J,MATCH('Capacity Utilization'!$A$1,database!$A$1:$J$1,),)</f>
        <v>78.528099999999995</v>
      </c>
      <c r="C114" s="69">
        <f>(VLOOKUP(A114,database!A:K,11,) - VLOOKUP(A102,database!A:K,11,))/VLOOKUP(A102,database!A:K,11,)</f>
        <v>5.8319039451115023E-2</v>
      </c>
    </row>
    <row r="115" spans="1:3" x14ac:dyDescent="0.2">
      <c r="A115" s="38">
        <v>27791</v>
      </c>
      <c r="B115" s="39">
        <f>VLOOKUP(Table8[[#This Row],[Month]],database!A:J,MATCH('Capacity Utilization'!$A$1,database!$A$1:$J$1,),)</f>
        <v>79.162400000000005</v>
      </c>
      <c r="C115" s="69">
        <f>(VLOOKUP(A115,database!A:K,11,) - VLOOKUP(A103,database!A:K,11,))/VLOOKUP(A103,database!A:K,11,)</f>
        <v>5.4514480408858527E-2</v>
      </c>
    </row>
    <row r="116" spans="1:3" x14ac:dyDescent="0.2">
      <c r="A116" s="38">
        <v>27820</v>
      </c>
      <c r="B116" s="39">
        <f>VLOOKUP(Table8[[#This Row],[Month]],database!A:J,MATCH('Capacity Utilization'!$A$1,database!$A$1:$J$1,),)</f>
        <v>79.149199999999993</v>
      </c>
      <c r="C116" s="69">
        <f>(VLOOKUP(A116,database!A:K,11,) - VLOOKUP(A104,database!A:K,11,))/VLOOKUP(A104,database!A:K,11,)</f>
        <v>5.4237288135593267E-2</v>
      </c>
    </row>
    <row r="117" spans="1:3" x14ac:dyDescent="0.2">
      <c r="A117" s="38">
        <v>27851</v>
      </c>
      <c r="B117" s="39">
        <f>VLOOKUP(Table8[[#This Row],[Month]],database!A:J,MATCH('Capacity Utilization'!$A$1,database!$A$1:$J$1,),)</f>
        <v>79.384299999999996</v>
      </c>
      <c r="C117" s="69">
        <f>(VLOOKUP(A117,database!A:K,11,) - VLOOKUP(A105,database!A:K,11,))/VLOOKUP(A105,database!A:K,11,)</f>
        <v>5.2364864864864767E-2</v>
      </c>
    </row>
    <row r="118" spans="1:3" x14ac:dyDescent="0.2">
      <c r="A118" s="38">
        <v>27881</v>
      </c>
      <c r="B118" s="39">
        <f>VLOOKUP(Table8[[#This Row],[Month]],database!A:J,MATCH('Capacity Utilization'!$A$1,database!$A$1:$J$1,),)</f>
        <v>79.529799999999994</v>
      </c>
      <c r="C118" s="69">
        <f>(VLOOKUP(A118,database!A:K,11,) - VLOOKUP(A106,database!A:K,11,))/VLOOKUP(A106,database!A:K,11,)</f>
        <v>5.2276559865092775E-2</v>
      </c>
    </row>
    <row r="119" spans="1:3" x14ac:dyDescent="0.2">
      <c r="A119" s="38">
        <v>27912</v>
      </c>
      <c r="B119" s="39">
        <f>VLOOKUP(Table8[[#This Row],[Month]],database!A:J,MATCH('Capacity Utilization'!$A$1,database!$A$1:$J$1,),)</f>
        <v>79.452299999999994</v>
      </c>
      <c r="C119" s="69">
        <f>(VLOOKUP(A119,database!A:K,11,) - VLOOKUP(A107,database!A:K,11,))/VLOOKUP(A107,database!A:K,11,)</f>
        <v>5.5462184873949535E-2</v>
      </c>
    </row>
    <row r="120" spans="1:3" x14ac:dyDescent="0.2">
      <c r="A120" s="38">
        <v>27942</v>
      </c>
      <c r="B120" s="39">
        <f>VLOOKUP(Table8[[#This Row],[Month]],database!A:J,MATCH('Capacity Utilization'!$A$1,database!$A$1:$J$1,),)</f>
        <v>79.6935</v>
      </c>
      <c r="C120" s="69">
        <f>(VLOOKUP(A120,database!A:K,11,) - VLOOKUP(A108,database!A:K,11,))/VLOOKUP(A108,database!A:K,11,)</f>
        <v>5.5183946488294389E-2</v>
      </c>
    </row>
    <row r="121" spans="1:3" x14ac:dyDescent="0.2">
      <c r="A121" s="38">
        <v>27973</v>
      </c>
      <c r="B121" s="39">
        <f>VLOOKUP(Table8[[#This Row],[Month]],database!A:J,MATCH('Capacity Utilization'!$A$1,database!$A$1:$J$1,),)</f>
        <v>80.071100000000001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80.139799999999994</v>
      </c>
      <c r="C122" s="69">
        <f>(VLOOKUP(A122,database!A:K,11,) - VLOOKUP(A110,database!A:K,11,))/VLOOKUP(A110,database!A:K,11,)</f>
        <v>6.1461794019933479E-2</v>
      </c>
    </row>
    <row r="123" spans="1:3" x14ac:dyDescent="0.2">
      <c r="A123" s="38">
        <v>28034</v>
      </c>
      <c r="B123" s="39">
        <f>VLOOKUP(Table8[[#This Row],[Month]],database!A:J,MATCH('Capacity Utilization'!$A$1,database!$A$1:$J$1,),)</f>
        <v>79.939300000000003</v>
      </c>
      <c r="C123" s="69">
        <f>(VLOOKUP(A123,database!A:K,11,) - VLOOKUP(A111,database!A:K,11,))/VLOOKUP(A111,database!A:K,11,)</f>
        <v>5.7755775577557636E-2</v>
      </c>
    </row>
    <row r="124" spans="1:3" x14ac:dyDescent="0.2">
      <c r="A124" s="38">
        <v>28065</v>
      </c>
      <c r="B124" s="39">
        <f>VLOOKUP(Table8[[#This Row],[Month]],database!A:J,MATCH('Capacity Utilization'!$A$1,database!$A$1:$J$1,),)</f>
        <v>80.972899999999996</v>
      </c>
      <c r="C124" s="69">
        <f>(VLOOKUP(A124,database!A:K,11,) - VLOOKUP(A112,database!A:K,11,))/VLOOKUP(A112,database!A:K,11,)</f>
        <v>5.9016393442622855E-2</v>
      </c>
    </row>
    <row r="125" spans="1:3" x14ac:dyDescent="0.2">
      <c r="A125" s="38">
        <v>28095</v>
      </c>
      <c r="B125" s="39">
        <f>VLOOKUP(Table8[[#This Row],[Month]],database!A:J,MATCH('Capacity Utilization'!$A$1,database!$A$1:$J$1,),)</f>
        <v>81.638400000000004</v>
      </c>
      <c r="C125" s="69">
        <f>(VLOOKUP(A125,database!A:K,11,) - VLOOKUP(A113,database!A:K,11,))/VLOOKUP(A113,database!A:K,11,)</f>
        <v>5.7003257328990344E-2</v>
      </c>
    </row>
    <row r="126" spans="1:3" x14ac:dyDescent="0.2">
      <c r="A126" s="38">
        <v>28126</v>
      </c>
      <c r="B126" s="39">
        <f>VLOOKUP(Table8[[#This Row],[Month]],database!A:J,MATCH('Capacity Utilization'!$A$1,database!$A$1:$J$1,),)</f>
        <v>80.897400000000005</v>
      </c>
      <c r="C126" s="69">
        <f>(VLOOKUP(A126,database!A:K,11,) - VLOOKUP(A114,database!A:K,11,))/VLOOKUP(A114,database!A:K,11,)</f>
        <v>5.5105348460291595E-2</v>
      </c>
    </row>
    <row r="127" spans="1:3" x14ac:dyDescent="0.2">
      <c r="A127" s="38">
        <v>28157</v>
      </c>
      <c r="B127" s="39">
        <f>VLOOKUP(Table8[[#This Row],[Month]],database!A:J,MATCH('Capacity Utilization'!$A$1,database!$A$1:$J$1,),)</f>
        <v>81.988900000000001</v>
      </c>
      <c r="C127" s="69">
        <f>(VLOOKUP(A127,database!A:K,11,) - VLOOKUP(A115,database!A:K,11,))/VLOOKUP(A115,database!A:K,11,)</f>
        <v>5.6542810985460538E-2</v>
      </c>
    </row>
    <row r="128" spans="1:3" x14ac:dyDescent="0.2">
      <c r="A128" s="38">
        <v>28185</v>
      </c>
      <c r="B128" s="39">
        <f>VLOOKUP(Table8[[#This Row],[Month]],database!A:J,MATCH('Capacity Utilization'!$A$1,database!$A$1:$J$1,),)</f>
        <v>82.805599999999998</v>
      </c>
      <c r="C128" s="69">
        <f>(VLOOKUP(A128,database!A:K,11,) - VLOOKUP(A116,database!A:K,11,))/VLOOKUP(A116,database!A:K,11,)</f>
        <v>5.6270096463022508E-2</v>
      </c>
    </row>
    <row r="129" spans="1:3" x14ac:dyDescent="0.2">
      <c r="A129" s="38">
        <v>28216</v>
      </c>
      <c r="B129" s="39">
        <f>VLOOKUP(Table8[[#This Row],[Month]],database!A:J,MATCH('Capacity Utilization'!$A$1,database!$A$1:$J$1,),)</f>
        <v>83.395700000000005</v>
      </c>
      <c r="C129" s="69">
        <f>(VLOOKUP(A129,database!A:K,11,) - VLOOKUP(A117,database!A:K,11,))/VLOOKUP(A117,database!A:K,11,)</f>
        <v>5.7784911717496126E-2</v>
      </c>
    </row>
    <row r="130" spans="1:3" x14ac:dyDescent="0.2">
      <c r="A130" s="38">
        <v>28246</v>
      </c>
      <c r="B130" s="39">
        <f>VLOOKUP(Table8[[#This Row],[Month]],database!A:J,MATCH('Capacity Utilization'!$A$1,database!$A$1:$J$1,),)</f>
        <v>83.831000000000003</v>
      </c>
      <c r="C130" s="69">
        <f>(VLOOKUP(A130,database!A:K,11,) - VLOOKUP(A118,database!A:K,11,))/VLOOKUP(A118,database!A:K,11,)</f>
        <v>5.929487179487173E-2</v>
      </c>
    </row>
    <row r="131" spans="1:3" x14ac:dyDescent="0.2">
      <c r="A131" s="38">
        <v>28277</v>
      </c>
      <c r="B131" s="39">
        <f>VLOOKUP(Table8[[#This Row],[Month]],database!A:J,MATCH('Capacity Utilization'!$A$1,database!$A$1:$J$1,),)</f>
        <v>84.237099999999998</v>
      </c>
      <c r="C131" s="69">
        <f>(VLOOKUP(A131,database!A:K,11,) - VLOOKUP(A119,database!A:K,11,))/VLOOKUP(A119,database!A:K,11,)</f>
        <v>5.8917197452229349E-2</v>
      </c>
    </row>
    <row r="132" spans="1:3" x14ac:dyDescent="0.2">
      <c r="A132" s="38">
        <v>28307</v>
      </c>
      <c r="B132" s="39">
        <f>VLOOKUP(Table8[[#This Row],[Month]],database!A:J,MATCH('Capacity Utilization'!$A$1,database!$A$1:$J$1,),)</f>
        <v>84.118600000000001</v>
      </c>
      <c r="C132" s="69">
        <f>(VLOOKUP(A132,database!A:K,11,) - VLOOKUP(A120,database!A:K,11,))/VLOOKUP(A120,database!A:K,11,)</f>
        <v>5.8637083993660785E-2</v>
      </c>
    </row>
    <row r="133" spans="1:3" x14ac:dyDescent="0.2">
      <c r="A133" s="38">
        <v>28338</v>
      </c>
      <c r="B133" s="39">
        <f>VLOOKUP(Table8[[#This Row],[Month]],database!A:J,MATCH('Capacity Utilization'!$A$1,database!$A$1:$J$1,),)</f>
        <v>83.974699999999999</v>
      </c>
      <c r="C133" s="69">
        <f>(VLOOKUP(A133,database!A:K,11,) - VLOOKUP(A121,database!A:K,11,))/VLOOKUP(A121,database!A:K,11,)</f>
        <v>5.9842519685039328E-2</v>
      </c>
    </row>
    <row r="134" spans="1:3" x14ac:dyDescent="0.2">
      <c r="A134" s="38">
        <v>28369</v>
      </c>
      <c r="B134" s="39">
        <f>VLOOKUP(Table8[[#This Row],[Month]],database!A:J,MATCH('Capacity Utilization'!$A$1,database!$A$1:$J$1,),)</f>
        <v>84.088099999999997</v>
      </c>
      <c r="C134" s="69">
        <f>(VLOOKUP(A134,database!A:K,11,) - VLOOKUP(A122,database!A:K,11,))/VLOOKUP(A122,database!A:K,11,)</f>
        <v>6.1032863849765237E-2</v>
      </c>
    </row>
    <row r="135" spans="1:3" x14ac:dyDescent="0.2">
      <c r="A135" s="38">
        <v>28399</v>
      </c>
      <c r="B135" s="39">
        <f>VLOOKUP(Table8[[#This Row],[Month]],database!A:J,MATCH('Capacity Utilization'!$A$1,database!$A$1:$J$1,),)</f>
        <v>83.974000000000004</v>
      </c>
      <c r="C135" s="69">
        <f>(VLOOKUP(A135,database!A:K,11,) - VLOOKUP(A123,database!A:K,11,))/VLOOKUP(A123,database!A:K,11,)</f>
        <v>6.3962558502340228E-2</v>
      </c>
    </row>
    <row r="136" spans="1:3" x14ac:dyDescent="0.2">
      <c r="A136" s="38">
        <v>28430</v>
      </c>
      <c r="B136" s="39">
        <f>VLOOKUP(Table8[[#This Row],[Month]],database!A:J,MATCH('Capacity Utilization'!$A$1,database!$A$1:$J$1,),)</f>
        <v>83.892399999999995</v>
      </c>
      <c r="C136" s="69">
        <f>(VLOOKUP(A136,database!A:K,11,) - VLOOKUP(A124,database!A:K,11,))/VLOOKUP(A124,database!A:K,11,)</f>
        <v>6.5015479876161034E-2</v>
      </c>
    </row>
    <row r="137" spans="1:3" x14ac:dyDescent="0.2">
      <c r="A137" s="38">
        <v>28460</v>
      </c>
      <c r="B137" s="39">
        <f>VLOOKUP(Table8[[#This Row],[Month]],database!A:J,MATCH('Capacity Utilization'!$A$1,database!$A$1:$J$1,),)</f>
        <v>83.776799999999994</v>
      </c>
      <c r="C137" s="69">
        <f>(VLOOKUP(A137,database!A:K,11,) - VLOOKUP(A125,database!A:K,11,))/VLOOKUP(A125,database!A:K,11,)</f>
        <v>6.3174114021571554E-2</v>
      </c>
    </row>
    <row r="138" spans="1:3" x14ac:dyDescent="0.2">
      <c r="A138" s="38">
        <v>28491</v>
      </c>
      <c r="B138" s="39">
        <f>VLOOKUP(Table8[[#This Row],[Month]],database!A:J,MATCH('Capacity Utilization'!$A$1,database!$A$1:$J$1,),)</f>
        <v>82.343999999999994</v>
      </c>
      <c r="C138" s="69">
        <f>(VLOOKUP(A138,database!A:K,11,) - VLOOKUP(A126,database!A:K,11,))/VLOOKUP(A126,database!A:K,11,)</f>
        <v>6.298003072196634E-2</v>
      </c>
    </row>
    <row r="139" spans="1:3" x14ac:dyDescent="0.2">
      <c r="A139" s="38">
        <v>28522</v>
      </c>
      <c r="B139" s="39">
        <f>VLOOKUP(Table8[[#This Row],[Month]],database!A:J,MATCH('Capacity Utilization'!$A$1,database!$A$1:$J$1,),)</f>
        <v>82.553399999999996</v>
      </c>
      <c r="C139" s="69">
        <f>(VLOOKUP(A139,database!A:K,11,) - VLOOKUP(A127,database!A:K,11,))/VLOOKUP(A127,database!A:K,11,)</f>
        <v>6.2691131498470859E-2</v>
      </c>
    </row>
    <row r="140" spans="1:3" x14ac:dyDescent="0.2">
      <c r="A140" s="38">
        <v>28550</v>
      </c>
      <c r="B140" s="39">
        <f>VLOOKUP(Table8[[#This Row],[Month]],database!A:J,MATCH('Capacity Utilization'!$A$1,database!$A$1:$J$1,),)</f>
        <v>83.903899999999993</v>
      </c>
      <c r="C140" s="69">
        <f>(VLOOKUP(A140,database!A:K,11,) - VLOOKUP(A128,database!A:K,11,))/VLOOKUP(A128,database!A:K,11,)</f>
        <v>6.3926940639269444E-2</v>
      </c>
    </row>
    <row r="141" spans="1:3" x14ac:dyDescent="0.2">
      <c r="A141" s="38">
        <v>28581</v>
      </c>
      <c r="B141" s="39">
        <f>VLOOKUP(Table8[[#This Row],[Month]],database!A:J,MATCH('Capacity Utilization'!$A$1,database!$A$1:$J$1,),)</f>
        <v>85.322900000000004</v>
      </c>
      <c r="C141" s="69">
        <f>(VLOOKUP(A141,database!A:K,11,) - VLOOKUP(A129,database!A:K,11,))/VLOOKUP(A129,database!A:K,11,)</f>
        <v>7.1320182094081766E-2</v>
      </c>
    </row>
    <row r="142" spans="1:3" x14ac:dyDescent="0.2">
      <c r="A142" s="38">
        <v>28611</v>
      </c>
      <c r="B142" s="39">
        <f>VLOOKUP(Table8[[#This Row],[Month]],database!A:J,MATCH('Capacity Utilization'!$A$1,database!$A$1:$J$1,),)</f>
        <v>85.500399999999999</v>
      </c>
      <c r="C142" s="69">
        <f>(VLOOKUP(A142,database!A:K,11,) - VLOOKUP(A130,database!A:K,11,))/VLOOKUP(A130,database!A:K,11,)</f>
        <v>7.564296520423601E-2</v>
      </c>
    </row>
    <row r="143" spans="1:3" x14ac:dyDescent="0.2">
      <c r="A143" s="38">
        <v>28642</v>
      </c>
      <c r="B143" s="39">
        <f>VLOOKUP(Table8[[#This Row],[Month]],database!A:J,MATCH('Capacity Utilization'!$A$1,database!$A$1:$J$1,),)</f>
        <v>85.805899999999994</v>
      </c>
      <c r="C143" s="69">
        <f>(VLOOKUP(A143,database!A:K,11,) - VLOOKUP(A131,database!A:K,11,))/VLOOKUP(A131,database!A:K,11,)</f>
        <v>7.8195488721804554E-2</v>
      </c>
    </row>
    <row r="144" spans="1:3" x14ac:dyDescent="0.2">
      <c r="A144" s="38">
        <v>28672</v>
      </c>
      <c r="B144" s="39">
        <f>VLOOKUP(Table8[[#This Row],[Month]],database!A:J,MATCH('Capacity Utilization'!$A$1,database!$A$1:$J$1,),)</f>
        <v>85.492000000000004</v>
      </c>
      <c r="C144" s="69">
        <f>(VLOOKUP(A144,database!A:K,11,) - VLOOKUP(A132,database!A:K,11,))/VLOOKUP(A132,database!A:K,11,)</f>
        <v>8.2335329341317362E-2</v>
      </c>
    </row>
    <row r="145" spans="1:3" x14ac:dyDescent="0.2">
      <c r="A145" s="38">
        <v>28703</v>
      </c>
      <c r="B145" s="39">
        <f>VLOOKUP(Table8[[#This Row],[Month]],database!A:J,MATCH('Capacity Utilization'!$A$1,database!$A$1:$J$1,),)</f>
        <v>85.612799999999993</v>
      </c>
      <c r="C145" s="69">
        <f>(VLOOKUP(A145,database!A:K,11,) - VLOOKUP(A133,database!A:K,11,))/VLOOKUP(A133,database!A:K,11,)</f>
        <v>8.1723625557206539E-2</v>
      </c>
    </row>
    <row r="146" spans="1:3" x14ac:dyDescent="0.2">
      <c r="A146" s="38">
        <v>28734</v>
      </c>
      <c r="B146" s="39">
        <f>VLOOKUP(Table8[[#This Row],[Month]],database!A:J,MATCH('Capacity Utilization'!$A$1,database!$A$1:$J$1,),)</f>
        <v>85.5839</v>
      </c>
      <c r="C146" s="69">
        <f>(VLOOKUP(A146,database!A:K,11,) - VLOOKUP(A134,database!A:K,11,))/VLOOKUP(A134,database!A:K,11,)</f>
        <v>8.4070796460177039E-2</v>
      </c>
    </row>
    <row r="147" spans="1:3" x14ac:dyDescent="0.2">
      <c r="A147" s="38">
        <v>28764</v>
      </c>
      <c r="B147" s="39">
        <f>VLOOKUP(Table8[[#This Row],[Month]],database!A:J,MATCH('Capacity Utilization'!$A$1,database!$A$1:$J$1,),)</f>
        <v>86.012799999999999</v>
      </c>
      <c r="C147" s="69">
        <f>(VLOOKUP(A147,database!A:K,11,) - VLOOKUP(A135,database!A:K,11,))/VLOOKUP(A135,database!A:K,11,)</f>
        <v>7.6246334310850483E-2</v>
      </c>
    </row>
    <row r="148" spans="1:3" x14ac:dyDescent="0.2">
      <c r="A148" s="38">
        <v>28795</v>
      </c>
      <c r="B148" s="39">
        <f>VLOOKUP(Table8[[#This Row],[Month]],database!A:J,MATCH('Capacity Utilization'!$A$1,database!$A$1:$J$1,),)</f>
        <v>86.432299999999998</v>
      </c>
      <c r="C148" s="69">
        <f>(VLOOKUP(A148,database!A:K,11,) - VLOOKUP(A136,database!A:K,11,))/VLOOKUP(A136,database!A:K,11,)</f>
        <v>7.7034883720930189E-2</v>
      </c>
    </row>
    <row r="149" spans="1:3" x14ac:dyDescent="0.2">
      <c r="A149" s="38">
        <v>28825</v>
      </c>
      <c r="B149" s="39">
        <f>VLOOKUP(Table8[[#This Row],[Month]],database!A:J,MATCH('Capacity Utilization'!$A$1,database!$A$1:$J$1,),)</f>
        <v>86.642399999999995</v>
      </c>
      <c r="C149" s="69">
        <f>(VLOOKUP(A149,database!A:K,11,) - VLOOKUP(A137,database!A:K,11,))/VLOOKUP(A137,database!A:K,11,)</f>
        <v>8.260869565217395E-2</v>
      </c>
    </row>
    <row r="150" spans="1:3" x14ac:dyDescent="0.2">
      <c r="A150" s="38">
        <v>28856</v>
      </c>
      <c r="B150" s="39">
        <f>VLOOKUP(Table8[[#This Row],[Month]],database!A:J,MATCH('Capacity Utilization'!$A$1,database!$A$1:$J$1,),)</f>
        <v>85.927899999999994</v>
      </c>
      <c r="C150" s="69">
        <f>(VLOOKUP(A150,database!A:K,11,) - VLOOKUP(A138,database!A:K,11,))/VLOOKUP(A138,database!A:K,11,)</f>
        <v>8.8150289017340955E-2</v>
      </c>
    </row>
    <row r="151" spans="1:3" x14ac:dyDescent="0.2">
      <c r="A151" s="38">
        <v>28887</v>
      </c>
      <c r="B151" s="39">
        <f>VLOOKUP(Table8[[#This Row],[Month]],database!A:J,MATCH('Capacity Utilization'!$A$1,database!$A$1:$J$1,),)</f>
        <v>86.129099999999994</v>
      </c>
      <c r="C151" s="69">
        <f>(VLOOKUP(A151,database!A:K,11,) - VLOOKUP(A139,database!A:K,11,))/VLOOKUP(A139,database!A:K,11,)</f>
        <v>9.2086330935251884E-2</v>
      </c>
    </row>
    <row r="152" spans="1:3" x14ac:dyDescent="0.2">
      <c r="A152" s="38">
        <v>28915</v>
      </c>
      <c r="B152" s="39">
        <f>VLOOKUP(Table8[[#This Row],[Month]],database!A:J,MATCH('Capacity Utilization'!$A$1,database!$A$1:$J$1,),)</f>
        <v>86.162199999999999</v>
      </c>
      <c r="C152" s="69">
        <f>(VLOOKUP(A152,database!A:K,11,) - VLOOKUP(A140,database!A:K,11,))/VLOOKUP(A140,database!A:K,11,)</f>
        <v>9.2989985693848351E-2</v>
      </c>
    </row>
    <row r="153" spans="1:3" x14ac:dyDescent="0.2">
      <c r="A153" s="38">
        <v>28946</v>
      </c>
      <c r="B153" s="39">
        <f>VLOOKUP(Table8[[#This Row],[Month]],database!A:J,MATCH('Capacity Utilization'!$A$1,database!$A$1:$J$1,),)</f>
        <v>84.93</v>
      </c>
      <c r="C153" s="69">
        <f>(VLOOKUP(A153,database!A:K,11,) - VLOOKUP(A141,database!A:K,11,))/VLOOKUP(A141,database!A:K,11,)</f>
        <v>9.0651558073654478E-2</v>
      </c>
    </row>
    <row r="154" spans="1:3" x14ac:dyDescent="0.2">
      <c r="A154" s="38">
        <v>28976</v>
      </c>
      <c r="B154" s="39">
        <f>VLOOKUP(Table8[[#This Row],[Month]],database!A:J,MATCH('Capacity Utilization'!$A$1,database!$A$1:$J$1,),)</f>
        <v>85.457099999999997</v>
      </c>
      <c r="C154" s="69">
        <f>(VLOOKUP(A154,database!A:K,11,) - VLOOKUP(A142,database!A:K,11,))/VLOOKUP(A142,database!A:K,11,)</f>
        <v>8.8607594936709028E-2</v>
      </c>
    </row>
    <row r="155" spans="1:3" x14ac:dyDescent="0.2">
      <c r="A155" s="38">
        <v>29007</v>
      </c>
      <c r="B155" s="39">
        <f>VLOOKUP(Table8[[#This Row],[Month]],database!A:J,MATCH('Capacity Utilization'!$A$1,database!$A$1:$J$1,),)</f>
        <v>85.244500000000002</v>
      </c>
      <c r="C155" s="69">
        <f>(VLOOKUP(A155,database!A:K,11,) - VLOOKUP(A143,database!A:K,11,))/VLOOKUP(A143,database!A:K,11,)</f>
        <v>8.786610878661083E-2</v>
      </c>
    </row>
    <row r="156" spans="1:3" x14ac:dyDescent="0.2">
      <c r="A156" s="38">
        <v>29037</v>
      </c>
      <c r="B156" s="39">
        <f>VLOOKUP(Table8[[#This Row],[Month]],database!A:J,MATCH('Capacity Utilization'!$A$1,database!$A$1:$J$1,),)</f>
        <v>84.906099999999995</v>
      </c>
      <c r="C156" s="69">
        <f>(VLOOKUP(A156,database!A:K,11,) - VLOOKUP(A144,database!A:K,11,))/VLOOKUP(A144,database!A:K,11,)</f>
        <v>8.575380359612729E-2</v>
      </c>
    </row>
    <row r="157" spans="1:3" x14ac:dyDescent="0.2">
      <c r="A157" s="38">
        <v>29068</v>
      </c>
      <c r="B157" s="39">
        <f>VLOOKUP(Table8[[#This Row],[Month]],database!A:J,MATCH('Capacity Utilization'!$A$1,database!$A$1:$J$1,),)</f>
        <v>84.159899999999993</v>
      </c>
      <c r="C157" s="69">
        <f>(VLOOKUP(A157,database!A:K,11,) - VLOOKUP(A145,database!A:K,11,))/VLOOKUP(A145,database!A:K,11,)</f>
        <v>8.2417582417582416E-2</v>
      </c>
    </row>
    <row r="158" spans="1:3" x14ac:dyDescent="0.2">
      <c r="A158" s="38">
        <v>29099</v>
      </c>
      <c r="B158" s="39">
        <f>VLOOKUP(Table8[[#This Row],[Month]],database!A:J,MATCH('Capacity Utilization'!$A$1,database!$A$1:$J$1,),)</f>
        <v>83.962299999999999</v>
      </c>
      <c r="C158" s="69">
        <f>(VLOOKUP(A158,database!A:K,11,) - VLOOKUP(A146,database!A:K,11,))/VLOOKUP(A146,database!A:K,11,)</f>
        <v>8.4353741496598675E-2</v>
      </c>
    </row>
    <row r="159" spans="1:3" x14ac:dyDescent="0.2">
      <c r="A159" s="38">
        <v>29129</v>
      </c>
      <c r="B159" s="39">
        <f>VLOOKUP(Table8[[#This Row],[Month]],database!A:J,MATCH('Capacity Utilization'!$A$1,database!$A$1:$J$1,),)</f>
        <v>84.361699999999999</v>
      </c>
      <c r="C159" s="69">
        <f>(VLOOKUP(A159,database!A:K,11,) - VLOOKUP(A147,database!A:K,11,))/VLOOKUP(A147,database!A:K,11,)</f>
        <v>9.5367847411444134E-2</v>
      </c>
    </row>
    <row r="160" spans="1:3" x14ac:dyDescent="0.2">
      <c r="A160" s="38">
        <v>29160</v>
      </c>
      <c r="B160" s="39">
        <f>VLOOKUP(Table8[[#This Row],[Month]],database!A:J,MATCH('Capacity Utilization'!$A$1,database!$A$1:$J$1,),)</f>
        <v>84.0501</v>
      </c>
      <c r="C160" s="69">
        <f>(VLOOKUP(A160,database!A:K,11,) - VLOOKUP(A148,database!A:K,11,))/VLOOKUP(A148,database!A:K,11,)</f>
        <v>9.3117408906882679E-2</v>
      </c>
    </row>
    <row r="161" spans="1:3" x14ac:dyDescent="0.2">
      <c r="A161" s="38">
        <v>29190</v>
      </c>
      <c r="B161" s="39">
        <f>VLOOKUP(Table8[[#This Row],[Month]],database!A:J,MATCH('Capacity Utilization'!$A$1,database!$A$1:$J$1,),)</f>
        <v>83.941999999999993</v>
      </c>
      <c r="C161" s="69">
        <f>(VLOOKUP(A161,database!A:K,11,) - VLOOKUP(A149,database!A:K,11,))/VLOOKUP(A149,database!A:K,11,)</f>
        <v>9.3708165997322623E-2</v>
      </c>
    </row>
    <row r="162" spans="1:3" x14ac:dyDescent="0.2">
      <c r="A162" s="38">
        <v>29221</v>
      </c>
      <c r="B162" s="39">
        <f>VLOOKUP(Table8[[#This Row],[Month]],database!A:J,MATCH('Capacity Utilization'!$A$1,database!$A$1:$J$1,),)</f>
        <v>84.214600000000004</v>
      </c>
      <c r="C162" s="69">
        <f>(VLOOKUP(A162,database!A:K,11,) - VLOOKUP(A150,database!A:K,11,))/VLOOKUP(A150,database!A:K,11,)</f>
        <v>0.10624169986719788</v>
      </c>
    </row>
    <row r="163" spans="1:3" x14ac:dyDescent="0.2">
      <c r="A163" s="38">
        <v>29252</v>
      </c>
      <c r="B163" s="39">
        <f>VLOOKUP(Table8[[#This Row],[Month]],database!A:J,MATCH('Capacity Utilization'!$A$1,database!$A$1:$J$1,),)</f>
        <v>84.087800000000001</v>
      </c>
      <c r="C163" s="69">
        <f>(VLOOKUP(A163,database!A:K,11,) - VLOOKUP(A151,database!A:K,11,))/VLOOKUP(A151,database!A:K,11,)</f>
        <v>0.10935441370223975</v>
      </c>
    </row>
    <row r="164" spans="1:3" x14ac:dyDescent="0.2">
      <c r="A164" s="38">
        <v>29281</v>
      </c>
      <c r="B164" s="39">
        <f>VLOOKUP(Table8[[#This Row],[Month]],database!A:J,MATCH('Capacity Utilization'!$A$1,database!$A$1:$J$1,),)</f>
        <v>83.5715</v>
      </c>
      <c r="C164" s="69">
        <f>(VLOOKUP(A164,database!A:K,11,) - VLOOKUP(A152,database!A:K,11,))/VLOOKUP(A152,database!A:K,11,)</f>
        <v>0.10863874345549733</v>
      </c>
    </row>
    <row r="165" spans="1:3" x14ac:dyDescent="0.2">
      <c r="A165" s="38">
        <v>29312</v>
      </c>
      <c r="B165" s="39">
        <f>VLOOKUP(Table8[[#This Row],[Month]],database!A:J,MATCH('Capacity Utilization'!$A$1,database!$A$1:$J$1,),)</f>
        <v>81.768799999999999</v>
      </c>
      <c r="C165" s="69">
        <f>(VLOOKUP(A165,database!A:K,11,) - VLOOKUP(A153,database!A:K,11,))/VLOOKUP(A153,database!A:K,11,)</f>
        <v>0.11038961038961038</v>
      </c>
    </row>
    <row r="166" spans="1:3" x14ac:dyDescent="0.2">
      <c r="A166" s="38">
        <v>29342</v>
      </c>
      <c r="B166" s="39">
        <f>VLOOKUP(Table8[[#This Row],[Month]],database!A:J,MATCH('Capacity Utilization'!$A$1,database!$A$1:$J$1,),)</f>
        <v>79.606399999999994</v>
      </c>
      <c r="C166" s="69">
        <f>(VLOOKUP(A166,database!A:K,11,) - VLOOKUP(A154,database!A:K,11,))/VLOOKUP(A154,database!A:K,11,)</f>
        <v>0.10723514211886301</v>
      </c>
    </row>
    <row r="167" spans="1:3" x14ac:dyDescent="0.2">
      <c r="A167" s="38">
        <v>29373</v>
      </c>
      <c r="B167" s="39">
        <f>VLOOKUP(Table8[[#This Row],[Month]],database!A:J,MATCH('Capacity Utilization'!$A$1,database!$A$1:$J$1,),)</f>
        <v>78.438800000000001</v>
      </c>
      <c r="C167" s="69">
        <f>(VLOOKUP(A167,database!A:K,11,) - VLOOKUP(A155,database!A:K,11,))/VLOOKUP(A155,database!A:K,11,)</f>
        <v>0.11025641025641018</v>
      </c>
    </row>
    <row r="168" spans="1:3" x14ac:dyDescent="0.2">
      <c r="A168" s="38">
        <v>29403</v>
      </c>
      <c r="B168" s="39">
        <f>VLOOKUP(Table8[[#This Row],[Month]],database!A:J,MATCH('Capacity Utilization'!$A$1,database!$A$1:$J$1,),)</f>
        <v>77.719700000000003</v>
      </c>
      <c r="C168" s="69">
        <f>(VLOOKUP(A168,database!A:K,11,) - VLOOKUP(A156,database!A:K,11,))/VLOOKUP(A156,database!A:K,11,)</f>
        <v>0.11719745222929939</v>
      </c>
    </row>
    <row r="169" spans="1:3" x14ac:dyDescent="0.2">
      <c r="A169" s="38">
        <v>29434</v>
      </c>
      <c r="B169" s="39">
        <f>VLOOKUP(Table8[[#This Row],[Month]],database!A:J,MATCH('Capacity Utilization'!$A$1,database!$A$1:$J$1,),)</f>
        <v>77.811000000000007</v>
      </c>
      <c r="C169" s="69">
        <f>(VLOOKUP(A169,database!A:K,11,) - VLOOKUP(A157,database!A:K,11,))/VLOOKUP(A157,database!A:K,11,)</f>
        <v>0.12182741116751281</v>
      </c>
    </row>
    <row r="170" spans="1:3" x14ac:dyDescent="0.2">
      <c r="A170" s="38">
        <v>29465</v>
      </c>
      <c r="B170" s="39">
        <f>VLOOKUP(Table8[[#This Row],[Month]],database!A:J,MATCH('Capacity Utilization'!$A$1,database!$A$1:$J$1,),)</f>
        <v>78.941000000000003</v>
      </c>
      <c r="C170" s="69">
        <f>(VLOOKUP(A170,database!A:K,11,) - VLOOKUP(A158,database!A:K,11,))/VLOOKUP(A158,database!A:K,11,)</f>
        <v>0.11417816813048925</v>
      </c>
    </row>
    <row r="171" spans="1:3" x14ac:dyDescent="0.2">
      <c r="A171" s="38">
        <v>29495</v>
      </c>
      <c r="B171" s="39">
        <f>VLOOKUP(Table8[[#This Row],[Month]],database!A:J,MATCH('Capacity Utilization'!$A$1,database!$A$1:$J$1,),)</f>
        <v>79.769900000000007</v>
      </c>
      <c r="C171" s="69">
        <f>(VLOOKUP(A171,database!A:K,11,) - VLOOKUP(A159,database!A:K,11,))/VLOOKUP(A159,database!A:K,11,)</f>
        <v>0.11442786069651727</v>
      </c>
    </row>
    <row r="172" spans="1:3" x14ac:dyDescent="0.2">
      <c r="A172" s="38">
        <v>29526</v>
      </c>
      <c r="B172" s="39">
        <f>VLOOKUP(Table8[[#This Row],[Month]],database!A:J,MATCH('Capacity Utilization'!$A$1,database!$A$1:$J$1,),)</f>
        <v>80.915899999999993</v>
      </c>
      <c r="C172" s="69">
        <f>(VLOOKUP(A172,database!A:K,11,) - VLOOKUP(A160,database!A:K,11,))/VLOOKUP(A160,database!A:K,11,)</f>
        <v>0.11234567901234561</v>
      </c>
    </row>
    <row r="173" spans="1:3" x14ac:dyDescent="0.2">
      <c r="A173" s="38">
        <v>29556</v>
      </c>
      <c r="B173" s="39">
        <f>VLOOKUP(Table8[[#This Row],[Month]],database!A:J,MATCH('Capacity Utilization'!$A$1,database!$A$1:$J$1,),)</f>
        <v>81.280299999999997</v>
      </c>
      <c r="C173" s="69">
        <f>(VLOOKUP(A173,database!A:K,11,) - VLOOKUP(A161,database!A:K,11,))/VLOOKUP(A161,database!A:K,11,)</f>
        <v>0.1064871481028152</v>
      </c>
    </row>
    <row r="174" spans="1:3" x14ac:dyDescent="0.2">
      <c r="A174" s="38">
        <v>29587</v>
      </c>
      <c r="B174" s="39">
        <f>VLOOKUP(Table8[[#This Row],[Month]],database!A:J,MATCH('Capacity Utilization'!$A$1,database!$A$1:$J$1,),)</f>
        <v>80.575199999999995</v>
      </c>
      <c r="C174" s="69">
        <f>(VLOOKUP(A174,database!A:K,11,) - VLOOKUP(A162,database!A:K,11,))/VLOOKUP(A162,database!A:K,11,)</f>
        <v>9.723889555822339E-2</v>
      </c>
    </row>
    <row r="175" spans="1:3" x14ac:dyDescent="0.2">
      <c r="A175" s="38">
        <v>29618</v>
      </c>
      <c r="B175" s="39">
        <f>VLOOKUP(Table8[[#This Row],[Month]],database!A:J,MATCH('Capacity Utilization'!$A$1,database!$A$1:$J$1,),)</f>
        <v>80.046899999999994</v>
      </c>
      <c r="C175" s="69">
        <f>(VLOOKUP(A175,database!A:K,11,) - VLOOKUP(A163,database!A:K,11,))/VLOOKUP(A163,database!A:K,11,)</f>
        <v>9.2636579572446517E-2</v>
      </c>
    </row>
    <row r="176" spans="1:3" x14ac:dyDescent="0.2">
      <c r="A176" s="38">
        <v>29646</v>
      </c>
      <c r="B176" s="39">
        <f>VLOOKUP(Table8[[#This Row],[Month]],database!A:J,MATCH('Capacity Utilization'!$A$1,database!$A$1:$J$1,),)</f>
        <v>80.247900000000001</v>
      </c>
      <c r="C176" s="69">
        <f>(VLOOKUP(A176,database!A:K,11,) - VLOOKUP(A164,database!A:K,11,))/VLOOKUP(A164,database!A:K,11,)</f>
        <v>9.3270365997638618E-2</v>
      </c>
    </row>
    <row r="177" spans="1:3" x14ac:dyDescent="0.2">
      <c r="A177" s="38">
        <v>29677</v>
      </c>
      <c r="B177" s="39">
        <f>VLOOKUP(Table8[[#This Row],[Month]],database!A:J,MATCH('Capacity Utilization'!$A$1,database!$A$1:$J$1,),)</f>
        <v>79.694800000000001</v>
      </c>
      <c r="C177" s="69">
        <f>(VLOOKUP(A177,database!A:K,11,) - VLOOKUP(A165,database!A:K,11,))/VLOOKUP(A165,database!A:K,11,)</f>
        <v>9.3567251461988299E-2</v>
      </c>
    </row>
    <row r="178" spans="1:3" x14ac:dyDescent="0.2">
      <c r="A178" s="38">
        <v>29707</v>
      </c>
      <c r="B178" s="39">
        <f>VLOOKUP(Table8[[#This Row],[Month]],database!A:J,MATCH('Capacity Utilization'!$A$1,database!$A$1:$J$1,),)</f>
        <v>79.948899999999995</v>
      </c>
      <c r="C178" s="69">
        <f>(VLOOKUP(A178,database!A:K,11,) - VLOOKUP(A166,database!A:K,11,))/VLOOKUP(A166,database!A:K,11,)</f>
        <v>9.6849474912485384E-2</v>
      </c>
    </row>
    <row r="179" spans="1:3" x14ac:dyDescent="0.2">
      <c r="A179" s="38">
        <v>29738</v>
      </c>
      <c r="B179" s="39">
        <f>VLOOKUP(Table8[[#This Row],[Month]],database!A:J,MATCH('Capacity Utilization'!$A$1,database!$A$1:$J$1,),)</f>
        <v>80.165999999999997</v>
      </c>
      <c r="C179" s="69">
        <f>(VLOOKUP(A179,database!A:K,11,) - VLOOKUP(A167,database!A:K,11,))/VLOOKUP(A167,database!A:K,11,)</f>
        <v>9.237875288683603E-2</v>
      </c>
    </row>
    <row r="180" spans="1:3" x14ac:dyDescent="0.2">
      <c r="A180" s="38">
        <v>29768</v>
      </c>
      <c r="B180" s="39">
        <f>VLOOKUP(Table8[[#This Row],[Month]],database!A:J,MATCH('Capacity Utilization'!$A$1,database!$A$1:$J$1,),)</f>
        <v>80.4696</v>
      </c>
      <c r="C180" s="69">
        <f>(VLOOKUP(A180,database!A:K,11,) - VLOOKUP(A168,database!A:K,11,))/VLOOKUP(A168,database!A:K,11,)</f>
        <v>8.0957810718357975E-2</v>
      </c>
    </row>
    <row r="181" spans="1:3" x14ac:dyDescent="0.2">
      <c r="A181" s="38">
        <v>29799</v>
      </c>
      <c r="B181" s="39">
        <f>VLOOKUP(Table8[[#This Row],[Month]],database!A:J,MATCH('Capacity Utilization'!$A$1,database!$A$1:$J$1,),)</f>
        <v>80.169200000000004</v>
      </c>
      <c r="C181" s="69">
        <f>(VLOOKUP(A181,database!A:K,11,) - VLOOKUP(A169,database!A:K,11,))/VLOOKUP(A169,database!A:K,11,)</f>
        <v>7.805429864253384E-2</v>
      </c>
    </row>
    <row r="182" spans="1:3" x14ac:dyDescent="0.2">
      <c r="A182" s="38">
        <v>29830</v>
      </c>
      <c r="B182" s="39">
        <f>VLOOKUP(Table8[[#This Row],[Month]],database!A:J,MATCH('Capacity Utilization'!$A$1,database!$A$1:$J$1,),)</f>
        <v>79.5809</v>
      </c>
      <c r="C182" s="69">
        <f>(VLOOKUP(A182,database!A:K,11,) - VLOOKUP(A170,database!A:K,11,))/VLOOKUP(A170,database!A:K,11,)</f>
        <v>7.9954954954955054E-2</v>
      </c>
    </row>
    <row r="183" spans="1:3" x14ac:dyDescent="0.2">
      <c r="A183" s="38">
        <v>29860</v>
      </c>
      <c r="B183" s="39">
        <f>VLOOKUP(Table8[[#This Row],[Month]],database!A:J,MATCH('Capacity Utilization'!$A$1,database!$A$1:$J$1,),)</f>
        <v>78.7744</v>
      </c>
      <c r="C183" s="69">
        <f>(VLOOKUP(A183,database!A:K,11,) - VLOOKUP(A171,database!A:K,11,))/VLOOKUP(A171,database!A:K,11,)</f>
        <v>7.7008928571428645E-2</v>
      </c>
    </row>
    <row r="184" spans="1:3" x14ac:dyDescent="0.2">
      <c r="A184" s="38">
        <v>29891</v>
      </c>
      <c r="B184" s="39">
        <f>VLOOKUP(Table8[[#This Row],[Month]],database!A:J,MATCH('Capacity Utilization'!$A$1,database!$A$1:$J$1,),)</f>
        <v>77.681600000000003</v>
      </c>
      <c r="C184" s="69">
        <f>(VLOOKUP(A184,database!A:K,11,) - VLOOKUP(A172,database!A:K,11,))/VLOOKUP(A172,database!A:K,11,)</f>
        <v>7.6581576026637135E-2</v>
      </c>
    </row>
    <row r="185" spans="1:3" x14ac:dyDescent="0.2">
      <c r="A185" s="38">
        <v>29921</v>
      </c>
      <c r="B185" s="39">
        <f>VLOOKUP(Table8[[#This Row],[Month]],database!A:J,MATCH('Capacity Utilization'!$A$1,database!$A$1:$J$1,),)</f>
        <v>76.681700000000006</v>
      </c>
      <c r="C185" s="69">
        <f>(VLOOKUP(A185,database!A:K,11,) - VLOOKUP(A173,database!A:K,11,))/VLOOKUP(A173,database!A:K,11,)</f>
        <v>7.9646017699114918E-2</v>
      </c>
    </row>
    <row r="186" spans="1:3" x14ac:dyDescent="0.2">
      <c r="A186" s="38">
        <v>29952</v>
      </c>
      <c r="B186" s="39">
        <f>VLOOKUP(Table8[[#This Row],[Month]],database!A:J,MATCH('Capacity Utilization'!$A$1,database!$A$1:$J$1,),)</f>
        <v>74.9452</v>
      </c>
      <c r="C186" s="69">
        <f>(VLOOKUP(A186,database!A:K,11,) - VLOOKUP(A174,database!A:K,11,))/VLOOKUP(A174,database!A:K,11,)</f>
        <v>7.3304157549234E-2</v>
      </c>
    </row>
    <row r="187" spans="1:3" x14ac:dyDescent="0.2">
      <c r="A187" s="38">
        <v>29983</v>
      </c>
      <c r="B187" s="39">
        <f>VLOOKUP(Table8[[#This Row],[Month]],database!A:J,MATCH('Capacity Utilization'!$A$1,database!$A$1:$J$1,),)</f>
        <v>76.315700000000007</v>
      </c>
      <c r="C187" s="69">
        <f>(VLOOKUP(A187,database!A:K,11,) - VLOOKUP(A175,database!A:K,11,))/VLOOKUP(A175,database!A:K,11,)</f>
        <v>6.6304347826086893E-2</v>
      </c>
    </row>
    <row r="188" spans="1:3" x14ac:dyDescent="0.2">
      <c r="A188" s="38">
        <v>30011</v>
      </c>
      <c r="B188" s="39">
        <f>VLOOKUP(Table8[[#This Row],[Month]],database!A:J,MATCH('Capacity Utilization'!$A$1,database!$A$1:$J$1,),)</f>
        <v>75.644400000000005</v>
      </c>
      <c r="C188" s="69">
        <f>(VLOOKUP(A188,database!A:K,11,) - VLOOKUP(A176,database!A:K,11,))/VLOOKUP(A176,database!A:K,11,)</f>
        <v>6.5874730021598368E-2</v>
      </c>
    </row>
    <row r="189" spans="1:3" x14ac:dyDescent="0.2">
      <c r="A189" s="38">
        <v>30042</v>
      </c>
      <c r="B189" s="39">
        <f>VLOOKUP(Table8[[#This Row],[Month]],database!A:J,MATCH('Capacity Utilization'!$A$1,database!$A$1:$J$1,),)</f>
        <v>74.813500000000005</v>
      </c>
      <c r="C189" s="69">
        <f>(VLOOKUP(A189,database!A:K,11,) - VLOOKUP(A177,database!A:K,11,))/VLOOKUP(A177,database!A:K,11,)</f>
        <v>5.8823529411764705E-2</v>
      </c>
    </row>
    <row r="190" spans="1:3" x14ac:dyDescent="0.2">
      <c r="A190" s="38">
        <v>30072</v>
      </c>
      <c r="B190" s="39">
        <f>VLOOKUP(Table8[[#This Row],[Month]],database!A:J,MATCH('Capacity Utilization'!$A$1,database!$A$1:$J$1,),)</f>
        <v>74.178299999999993</v>
      </c>
      <c r="C190" s="69">
        <f>(VLOOKUP(A190,database!A:K,11,) - VLOOKUP(A178,database!A:K,11,))/VLOOKUP(A178,database!A:K,11,)</f>
        <v>5.744680851063836E-2</v>
      </c>
    </row>
    <row r="191" spans="1:3" x14ac:dyDescent="0.2">
      <c r="A191" s="38">
        <v>30103</v>
      </c>
      <c r="B191" s="39">
        <f>VLOOKUP(Table8[[#This Row],[Month]],database!A:J,MATCH('Capacity Utilization'!$A$1,database!$A$1:$J$1,),)</f>
        <v>73.879900000000006</v>
      </c>
      <c r="C191" s="69">
        <f>(VLOOKUP(A191,database!A:K,11,) - VLOOKUP(A179,database!A:K,11,))/VLOOKUP(A179,database!A:K,11,)</f>
        <v>5.6025369978858472E-2</v>
      </c>
    </row>
    <row r="192" spans="1:3" x14ac:dyDescent="0.2">
      <c r="A192" s="38">
        <v>30133</v>
      </c>
      <c r="B192" s="39">
        <f>VLOOKUP(Table8[[#This Row],[Month]],database!A:J,MATCH('Capacity Utilization'!$A$1,database!$A$1:$J$1,),)</f>
        <v>73.511899999999997</v>
      </c>
      <c r="C192" s="69">
        <f>(VLOOKUP(A192,database!A:K,11,) - VLOOKUP(A180,database!A:K,11,))/VLOOKUP(A180,database!A:K,11,)</f>
        <v>5.590717299578056E-2</v>
      </c>
    </row>
    <row r="193" spans="1:3" x14ac:dyDescent="0.2">
      <c r="A193" s="38">
        <v>30164</v>
      </c>
      <c r="B193" s="39">
        <f>VLOOKUP(Table8[[#This Row],[Month]],database!A:J,MATCH('Capacity Utilization'!$A$1,database!$A$1:$J$1,),)</f>
        <v>72.770700000000005</v>
      </c>
      <c r="C193" s="69">
        <f>(VLOOKUP(A193,database!A:K,11,) - VLOOKUP(A181,database!A:K,11,))/VLOOKUP(A181,database!A:K,11,)</f>
        <v>5.5613850996852017E-2</v>
      </c>
    </row>
    <row r="194" spans="1:3" x14ac:dyDescent="0.2">
      <c r="A194" s="38">
        <v>30195</v>
      </c>
      <c r="B194" s="39">
        <f>VLOOKUP(Table8[[#This Row],[Month]],database!A:J,MATCH('Capacity Utilization'!$A$1,database!$A$1:$J$1,),)</f>
        <v>72.501300000000001</v>
      </c>
      <c r="C194" s="69">
        <f>(VLOOKUP(A194,database!A:K,11,) - VLOOKUP(A182,database!A:K,11,))/VLOOKUP(A182,database!A:K,11,)</f>
        <v>5.1094890510948815E-2</v>
      </c>
    </row>
    <row r="195" spans="1:3" x14ac:dyDescent="0.2">
      <c r="A195" s="38">
        <v>30225</v>
      </c>
      <c r="B195" s="39">
        <f>VLOOKUP(Table8[[#This Row],[Month]],database!A:J,MATCH('Capacity Utilization'!$A$1,database!$A$1:$J$1,),)</f>
        <v>71.745599999999996</v>
      </c>
      <c r="C195" s="69">
        <f>(VLOOKUP(A195,database!A:K,11,) - VLOOKUP(A183,database!A:K,11,))/VLOOKUP(A183,database!A:K,11,)</f>
        <v>4.9740932642487017E-2</v>
      </c>
    </row>
    <row r="196" spans="1:3" x14ac:dyDescent="0.2">
      <c r="A196" s="38">
        <v>30256</v>
      </c>
      <c r="B196" s="39">
        <f>VLOOKUP(Table8[[#This Row],[Month]],database!A:J,MATCH('Capacity Utilization'!$A$1,database!$A$1:$J$1,),)</f>
        <v>71.459299999999999</v>
      </c>
      <c r="C196" s="69">
        <f>(VLOOKUP(A196,database!A:K,11,) - VLOOKUP(A184,database!A:K,11,))/VLOOKUP(A184,database!A:K,11,)</f>
        <v>4.7422680412371077E-2</v>
      </c>
    </row>
    <row r="197" spans="1:3" x14ac:dyDescent="0.2">
      <c r="A197" s="38">
        <v>30286</v>
      </c>
      <c r="B197" s="39">
        <f>VLOOKUP(Table8[[#This Row],[Month]],database!A:J,MATCH('Capacity Utilization'!$A$1,database!$A$1:$J$1,),)</f>
        <v>70.904600000000002</v>
      </c>
      <c r="C197" s="69">
        <f>(VLOOKUP(A197,database!A:K,11,) - VLOOKUP(A185,database!A:K,11,))/VLOOKUP(A185,database!A:K,11,)</f>
        <v>4.7131147540983694E-2</v>
      </c>
    </row>
    <row r="198" spans="1:3" x14ac:dyDescent="0.2">
      <c r="A198" s="38">
        <v>30317</v>
      </c>
      <c r="B198" s="39">
        <f>VLOOKUP(Table8[[#This Row],[Month]],database!A:J,MATCH('Capacity Utilization'!$A$1,database!$A$1:$J$1,),)</f>
        <v>72.184200000000004</v>
      </c>
      <c r="C198" s="69">
        <f>(VLOOKUP(A198,database!A:K,11,) - VLOOKUP(A186,database!A:K,11,))/VLOOKUP(A186,database!A:K,11,)</f>
        <v>3.7716615698267106E-2</v>
      </c>
    </row>
    <row r="199" spans="1:3" x14ac:dyDescent="0.2">
      <c r="A199" s="38">
        <v>30348</v>
      </c>
      <c r="B199" s="39">
        <f>VLOOKUP(Table8[[#This Row],[Month]],database!A:J,MATCH('Capacity Utilization'!$A$1,database!$A$1:$J$1,),)</f>
        <v>71.725999999999999</v>
      </c>
      <c r="C199" s="69">
        <f>(VLOOKUP(A199,database!A:K,11,) - VLOOKUP(A187,database!A:K,11,))/VLOOKUP(A187,database!A:K,11,)</f>
        <v>4.1794087665647385E-2</v>
      </c>
    </row>
    <row r="200" spans="1:3" x14ac:dyDescent="0.2">
      <c r="A200" s="38">
        <v>30376</v>
      </c>
      <c r="B200" s="39">
        <f>VLOOKUP(Table8[[#This Row],[Month]],database!A:J,MATCH('Capacity Utilization'!$A$1,database!$A$1:$J$1,),)</f>
        <v>72.297300000000007</v>
      </c>
      <c r="C200" s="69">
        <f>(VLOOKUP(A200,database!A:K,11,) - VLOOKUP(A188,database!A:K,11,))/VLOOKUP(A188,database!A:K,11,)</f>
        <v>3.8500506585612937E-2</v>
      </c>
    </row>
    <row r="201" spans="1:3" x14ac:dyDescent="0.2">
      <c r="A201" s="38">
        <v>30407</v>
      </c>
      <c r="B201" s="39">
        <f>VLOOKUP(Table8[[#This Row],[Month]],database!A:J,MATCH('Capacity Utilization'!$A$1,database!$A$1:$J$1,),)</f>
        <v>73.178700000000006</v>
      </c>
      <c r="C201" s="69">
        <f>(VLOOKUP(A201,database!A:K,11,) - VLOOKUP(A189,database!A:K,11,))/VLOOKUP(A189,database!A:K,11,)</f>
        <v>3.4343434343434398E-2</v>
      </c>
    </row>
    <row r="202" spans="1:3" x14ac:dyDescent="0.2">
      <c r="A202" s="38">
        <v>30437</v>
      </c>
      <c r="B202" s="39">
        <f>VLOOKUP(Table8[[#This Row],[Month]],database!A:J,MATCH('Capacity Utilization'!$A$1,database!$A$1:$J$1,),)</f>
        <v>73.626900000000006</v>
      </c>
      <c r="C202" s="69">
        <f>(VLOOKUP(A202,database!A:K,11,) - VLOOKUP(A190,database!A:K,11,))/VLOOKUP(A190,database!A:K,11,)</f>
        <v>3.2193158953722219E-2</v>
      </c>
    </row>
    <row r="203" spans="1:3" x14ac:dyDescent="0.2">
      <c r="A203" s="38">
        <v>30468</v>
      </c>
      <c r="B203" s="39">
        <f>VLOOKUP(Table8[[#This Row],[Month]],database!A:J,MATCH('Capacity Utilization'!$A$1,database!$A$1:$J$1,),)</f>
        <v>74.048199999999994</v>
      </c>
      <c r="C203" s="69">
        <f>(VLOOKUP(A203,database!A:K,11,) - VLOOKUP(A191,database!A:K,11,))/VLOOKUP(A191,database!A:K,11,)</f>
        <v>2.902902902902894E-2</v>
      </c>
    </row>
    <row r="204" spans="1:3" x14ac:dyDescent="0.2">
      <c r="A204" s="38">
        <v>30498</v>
      </c>
      <c r="B204" s="39">
        <f>VLOOKUP(Table8[[#This Row],[Month]],database!A:J,MATCH('Capacity Utilization'!$A$1,database!$A$1:$J$1,),)</f>
        <v>75.128900000000002</v>
      </c>
      <c r="C204" s="69">
        <f>(VLOOKUP(A204,database!A:K,11,) - VLOOKUP(A192,database!A:K,11,))/VLOOKUP(A192,database!A:K,11,)</f>
        <v>2.9970029970029972E-2</v>
      </c>
    </row>
    <row r="205" spans="1:3" x14ac:dyDescent="0.2">
      <c r="A205" s="38">
        <v>30529</v>
      </c>
      <c r="B205" s="39">
        <f>VLOOKUP(Table8[[#This Row],[Month]],database!A:J,MATCH('Capacity Utilization'!$A$1,database!$A$1:$J$1,),)</f>
        <v>75.999799999999993</v>
      </c>
      <c r="C205" s="69">
        <f>(VLOOKUP(A205,database!A:K,11,) - VLOOKUP(A193,database!A:K,11,))/VLOOKUP(A193,database!A:K,11,)</f>
        <v>2.88270377733599E-2</v>
      </c>
    </row>
    <row r="206" spans="1:3" x14ac:dyDescent="0.2">
      <c r="A206" s="38">
        <v>30560</v>
      </c>
      <c r="B206" s="39">
        <f>VLOOKUP(Table8[[#This Row],[Month]],database!A:J,MATCH('Capacity Utilization'!$A$1,database!$A$1:$J$1,),)</f>
        <v>77.063800000000001</v>
      </c>
      <c r="C206" s="69">
        <f>(VLOOKUP(A206,database!A:K,11,) - VLOOKUP(A194,database!A:K,11,))/VLOOKUP(A194,database!A:K,11,)</f>
        <v>2.6785714285714315E-2</v>
      </c>
    </row>
    <row r="207" spans="1:3" x14ac:dyDescent="0.2">
      <c r="A207" s="38">
        <v>30590</v>
      </c>
      <c r="B207" s="39">
        <f>VLOOKUP(Table8[[#This Row],[Month]],database!A:J,MATCH('Capacity Utilization'!$A$1,database!$A$1:$J$1,),)</f>
        <v>77.613799999999998</v>
      </c>
      <c r="C207" s="69">
        <f>(VLOOKUP(A207,database!A:K,11,) - VLOOKUP(A195,database!A:K,11,))/VLOOKUP(A195,database!A:K,11,)</f>
        <v>2.2704837117472825E-2</v>
      </c>
    </row>
    <row r="208" spans="1:3" x14ac:dyDescent="0.2">
      <c r="A208" s="38">
        <v>30621</v>
      </c>
      <c r="B208" s="39">
        <f>VLOOKUP(Table8[[#This Row],[Month]],database!A:J,MATCH('Capacity Utilization'!$A$1,database!$A$1:$J$1,),)</f>
        <v>77.896000000000001</v>
      </c>
      <c r="C208" s="69">
        <f>(VLOOKUP(A208,database!A:K,11,) - VLOOKUP(A196,database!A:K,11,))/VLOOKUP(A196,database!A:K,11,)</f>
        <v>2.1653543307086642E-2</v>
      </c>
    </row>
    <row r="209" spans="1:3" x14ac:dyDescent="0.2">
      <c r="A209" s="38">
        <v>30651</v>
      </c>
      <c r="B209" s="39">
        <f>VLOOKUP(Table8[[#This Row],[Month]],database!A:J,MATCH('Capacity Utilization'!$A$1,database!$A$1:$J$1,),)</f>
        <v>78.202299999999994</v>
      </c>
      <c r="C209" s="69">
        <f>(VLOOKUP(A209,database!A:K,11,) - VLOOKUP(A197,database!A:K,11,))/VLOOKUP(A197,database!A:K,11,)</f>
        <v>1.8590998043052753E-2</v>
      </c>
    </row>
    <row r="210" spans="1:3" x14ac:dyDescent="0.2">
      <c r="A210" s="38">
        <v>30682</v>
      </c>
      <c r="B210" s="39">
        <f>VLOOKUP(Table8[[#This Row],[Month]],database!A:J,MATCH('Capacity Utilization'!$A$1,database!$A$1:$J$1,),)</f>
        <v>79.675399999999996</v>
      </c>
      <c r="C210" s="69">
        <f>(VLOOKUP(A210,database!A:K,11,) - VLOOKUP(A198,database!A:K,11,))/VLOOKUP(A198,database!A:K,11,)</f>
        <v>2.6522593320235786E-2</v>
      </c>
    </row>
    <row r="211" spans="1:3" x14ac:dyDescent="0.2">
      <c r="A211" s="38">
        <v>30713</v>
      </c>
      <c r="B211" s="39">
        <f>VLOOKUP(Table8[[#This Row],[Month]],database!A:J,MATCH('Capacity Utilization'!$A$1,database!$A$1:$J$1,),)</f>
        <v>79.935500000000005</v>
      </c>
      <c r="C211" s="69">
        <f>(VLOOKUP(A211,database!A:K,11,) - VLOOKUP(A199,database!A:K,11,))/VLOOKUP(A199,database!A:K,11,)</f>
        <v>2.446183953033268E-2</v>
      </c>
    </row>
    <row r="212" spans="1:3" x14ac:dyDescent="0.2">
      <c r="A212" s="38">
        <v>30742</v>
      </c>
      <c r="B212" s="39">
        <f>VLOOKUP(Table8[[#This Row],[Month]],database!A:J,MATCH('Capacity Utilization'!$A$1,database!$A$1:$J$1,),)</f>
        <v>80.201700000000002</v>
      </c>
      <c r="C212" s="69">
        <f>(VLOOKUP(A212,database!A:K,11,) - VLOOKUP(A200,database!A:K,11,))/VLOOKUP(A200,database!A:K,11,)</f>
        <v>2.6341463414634173E-2</v>
      </c>
    </row>
    <row r="213" spans="1:3" x14ac:dyDescent="0.2">
      <c r="A213" s="38">
        <v>30773</v>
      </c>
      <c r="B213" s="39">
        <f>VLOOKUP(Table8[[#This Row],[Month]],database!A:J,MATCH('Capacity Utilization'!$A$1,database!$A$1:$J$1,),)</f>
        <v>80.547300000000007</v>
      </c>
      <c r="C213" s="69">
        <f>(VLOOKUP(A213,database!A:K,11,) - VLOOKUP(A201,database!A:K,11,))/VLOOKUP(A201,database!A:K,11,)</f>
        <v>2.8320312499999917E-2</v>
      </c>
    </row>
    <row r="214" spans="1:3" x14ac:dyDescent="0.2">
      <c r="A214" s="38">
        <v>30803</v>
      </c>
      <c r="B214" s="39">
        <f>VLOOKUP(Table8[[#This Row],[Month]],database!A:J,MATCH('Capacity Utilization'!$A$1,database!$A$1:$J$1,),)</f>
        <v>80.838399999999993</v>
      </c>
      <c r="C214" s="69">
        <f>(VLOOKUP(A214,database!A:K,11,) - VLOOKUP(A202,database!A:K,11,))/VLOOKUP(A202,database!A:K,11,)</f>
        <v>2.631578947368424E-2</v>
      </c>
    </row>
    <row r="215" spans="1:3" x14ac:dyDescent="0.2">
      <c r="A215" s="38">
        <v>30834</v>
      </c>
      <c r="B215" s="39">
        <f>VLOOKUP(Table8[[#This Row],[Month]],database!A:J,MATCH('Capacity Utilization'!$A$1,database!$A$1:$J$1,),)</f>
        <v>80.964799999999997</v>
      </c>
      <c r="C215" s="69">
        <f>(VLOOKUP(A215,database!A:K,11,) - VLOOKUP(A203,database!A:K,11,))/VLOOKUP(A203,database!A:K,11,)</f>
        <v>2.6264591439688744E-2</v>
      </c>
    </row>
    <row r="216" spans="1:3" x14ac:dyDescent="0.2">
      <c r="A216" s="38">
        <v>30864</v>
      </c>
      <c r="B216" s="39">
        <f>VLOOKUP(Table8[[#This Row],[Month]],database!A:J,MATCH('Capacity Utilization'!$A$1,database!$A$1:$J$1,),)</f>
        <v>81.033900000000003</v>
      </c>
      <c r="C216" s="69">
        <f>(VLOOKUP(A216,database!A:K,11,) - VLOOKUP(A204,database!A:K,11,))/VLOOKUP(A204,database!A:K,11,)</f>
        <v>2.5218234723569433E-2</v>
      </c>
    </row>
    <row r="217" spans="1:3" x14ac:dyDescent="0.2">
      <c r="A217" s="38">
        <v>30895</v>
      </c>
      <c r="B217" s="39">
        <f>VLOOKUP(Table8[[#This Row],[Month]],database!A:J,MATCH('Capacity Utilization'!$A$1,database!$A$1:$J$1,),)</f>
        <v>80.958699999999993</v>
      </c>
      <c r="C217" s="69">
        <f>(VLOOKUP(A217,database!A:K,11,) - VLOOKUP(A205,database!A:K,11,))/VLOOKUP(A205,database!A:K,11,)</f>
        <v>2.3188405797101505E-2</v>
      </c>
    </row>
    <row r="218" spans="1:3" x14ac:dyDescent="0.2">
      <c r="A218" s="38">
        <v>30926</v>
      </c>
      <c r="B218" s="39">
        <f>VLOOKUP(Table8[[#This Row],[Month]],database!A:J,MATCH('Capacity Utilization'!$A$1,database!$A$1:$J$1,),)</f>
        <v>80.543899999999994</v>
      </c>
      <c r="C218" s="69">
        <f>(VLOOKUP(A218,database!A:K,11,) - VLOOKUP(A206,database!A:K,11,))/VLOOKUP(A206,database!A:K,11,)</f>
        <v>2.6086956521739157E-2</v>
      </c>
    </row>
    <row r="219" spans="1:3" x14ac:dyDescent="0.2">
      <c r="A219" s="38">
        <v>30956</v>
      </c>
      <c r="B219" s="39">
        <f>VLOOKUP(Table8[[#This Row],[Month]],database!A:J,MATCH('Capacity Utilization'!$A$1,database!$A$1:$J$1,),)</f>
        <v>80.330500000000001</v>
      </c>
      <c r="C219" s="69">
        <f>(VLOOKUP(A219,database!A:K,11,) - VLOOKUP(A207,database!A:K,11,))/VLOOKUP(A207,database!A:K,11,)</f>
        <v>2.2200772200772313E-2</v>
      </c>
    </row>
    <row r="220" spans="1:3" x14ac:dyDescent="0.2">
      <c r="A220" s="38">
        <v>30987</v>
      </c>
      <c r="B220" s="39">
        <f>VLOOKUP(Table8[[#This Row],[Month]],database!A:J,MATCH('Capacity Utilization'!$A$1,database!$A$1:$J$1,),)</f>
        <v>80.405500000000004</v>
      </c>
      <c r="C220" s="69">
        <f>(VLOOKUP(A220,database!A:K,11,) - VLOOKUP(A208,database!A:K,11,))/VLOOKUP(A208,database!A:K,11,)</f>
        <v>2.3121387283237049E-2</v>
      </c>
    </row>
    <row r="221" spans="1:3" x14ac:dyDescent="0.2">
      <c r="A221" s="38">
        <v>31017</v>
      </c>
      <c r="B221" s="39">
        <f>VLOOKUP(Table8[[#This Row],[Month]],database!A:J,MATCH('Capacity Utilization'!$A$1,database!$A$1:$J$1,),)</f>
        <v>80.252300000000005</v>
      </c>
      <c r="C221" s="69">
        <f>(VLOOKUP(A221,database!A:K,11,) - VLOOKUP(A209,database!A:K,11,))/VLOOKUP(A209,database!A:K,11,)</f>
        <v>2.1133525456292056E-2</v>
      </c>
    </row>
    <row r="222" spans="1:3" x14ac:dyDescent="0.2">
      <c r="A222" s="38">
        <v>31048</v>
      </c>
      <c r="B222" s="39">
        <f>VLOOKUP(Table8[[#This Row],[Month]],database!A:J,MATCH('Capacity Utilization'!$A$1,database!$A$1:$J$1,),)</f>
        <v>79.995000000000005</v>
      </c>
      <c r="C222" s="69">
        <f>(VLOOKUP(A222,database!A:K,11,) - VLOOKUP(A210,database!A:K,11,))/VLOOKUP(A210,database!A:K,11,)</f>
        <v>2.2966507177033548E-2</v>
      </c>
    </row>
    <row r="223" spans="1:3" x14ac:dyDescent="0.2">
      <c r="A223" s="38">
        <v>31079</v>
      </c>
      <c r="B223" s="39">
        <f>VLOOKUP(Table8[[#This Row],[Month]],database!A:J,MATCH('Capacity Utilization'!$A$1,database!$A$1:$J$1,),)</f>
        <v>80.0351</v>
      </c>
      <c r="C223" s="69">
        <f>(VLOOKUP(A223,database!A:K,11,) - VLOOKUP(A211,database!A:K,11,))/VLOOKUP(A211,database!A:K,11,)</f>
        <v>2.4832855778414462E-2</v>
      </c>
    </row>
    <row r="224" spans="1:3" x14ac:dyDescent="0.2">
      <c r="A224" s="38">
        <v>31107</v>
      </c>
      <c r="B224" s="39">
        <f>VLOOKUP(Table8[[#This Row],[Month]],database!A:J,MATCH('Capacity Utilization'!$A$1,database!$A$1:$J$1,),)</f>
        <v>79.9495</v>
      </c>
      <c r="C224" s="69">
        <f>(VLOOKUP(A224,database!A:K,11,) - VLOOKUP(A212,database!A:K,11,))/VLOOKUP(A212,database!A:K,11,)</f>
        <v>2.2813688212927674E-2</v>
      </c>
    </row>
    <row r="225" spans="1:3" x14ac:dyDescent="0.2">
      <c r="A225" s="38">
        <v>31138</v>
      </c>
      <c r="B225" s="39">
        <f>VLOOKUP(Table8[[#This Row],[Month]],database!A:J,MATCH('Capacity Utilization'!$A$1,database!$A$1:$J$1,),)</f>
        <v>79.582099999999997</v>
      </c>
      <c r="C225" s="69">
        <f>(VLOOKUP(A225,database!A:K,11,) - VLOOKUP(A213,database!A:K,11,))/VLOOKUP(A213,database!A:K,11,)</f>
        <v>2.1842355175688482E-2</v>
      </c>
    </row>
    <row r="226" spans="1:3" x14ac:dyDescent="0.2">
      <c r="A226" s="38">
        <v>31168</v>
      </c>
      <c r="B226" s="39">
        <f>VLOOKUP(Table8[[#This Row],[Month]],database!A:J,MATCH('Capacity Utilization'!$A$1,database!$A$1:$J$1,),)</f>
        <v>79.510900000000007</v>
      </c>
      <c r="C226" s="69">
        <f>(VLOOKUP(A226,database!A:K,11,) - VLOOKUP(A214,database!A:K,11,))/VLOOKUP(A214,database!A:K,11,)</f>
        <v>2.3741690408357077E-2</v>
      </c>
    </row>
    <row r="227" spans="1:3" x14ac:dyDescent="0.2">
      <c r="A227" s="38">
        <v>31199</v>
      </c>
      <c r="B227" s="39">
        <f>VLOOKUP(Table8[[#This Row],[Month]],database!A:J,MATCH('Capacity Utilization'!$A$1,database!$A$1:$J$1,),)</f>
        <v>79.274000000000001</v>
      </c>
      <c r="C227" s="69">
        <f>(VLOOKUP(A227,database!A:K,11,) - VLOOKUP(A215,database!A:K,11,))/VLOOKUP(A215,database!A:K,11,)</f>
        <v>2.5592417061611403E-2</v>
      </c>
    </row>
    <row r="228" spans="1:3" x14ac:dyDescent="0.2">
      <c r="A228" s="38">
        <v>31229</v>
      </c>
      <c r="B228" s="39">
        <f>VLOOKUP(Table8[[#This Row],[Month]],database!A:J,MATCH('Capacity Utilization'!$A$1,database!$A$1:$J$1,),)</f>
        <v>78.682400000000001</v>
      </c>
      <c r="C228" s="69">
        <f>(VLOOKUP(A228,database!A:K,11,) - VLOOKUP(A216,database!A:K,11,))/VLOOKUP(A216,database!A:K,11,)</f>
        <v>2.5543992431409677E-2</v>
      </c>
    </row>
    <row r="229" spans="1:3" x14ac:dyDescent="0.2">
      <c r="A229" s="38">
        <v>31260</v>
      </c>
      <c r="B229" s="39">
        <f>VLOOKUP(Table8[[#This Row],[Month]],database!A:J,MATCH('Capacity Utilization'!$A$1,database!$A$1:$J$1,),)</f>
        <v>78.765799999999999</v>
      </c>
      <c r="C229" s="69">
        <f>(VLOOKUP(A229,database!A:K,11,) - VLOOKUP(A217,database!A:K,11,))/VLOOKUP(A217,database!A:K,11,)</f>
        <v>2.4551463644948011E-2</v>
      </c>
    </row>
    <row r="230" spans="1:3" x14ac:dyDescent="0.2">
      <c r="A230" s="38">
        <v>31291</v>
      </c>
      <c r="B230" s="39">
        <f>VLOOKUP(Table8[[#This Row],[Month]],database!A:J,MATCH('Capacity Utilization'!$A$1,database!$A$1:$J$1,),)</f>
        <v>78.892799999999994</v>
      </c>
      <c r="C230" s="69">
        <f>(VLOOKUP(A230,database!A:K,11,) - VLOOKUP(A218,database!A:K,11,))/VLOOKUP(A218,database!A:K,11,)</f>
        <v>1.6007532956685524E-2</v>
      </c>
    </row>
    <row r="231" spans="1:3" x14ac:dyDescent="0.2">
      <c r="A231" s="38">
        <v>31321</v>
      </c>
      <c r="B231" s="39">
        <f>VLOOKUP(Table8[[#This Row],[Month]],database!A:J,MATCH('Capacity Utilization'!$A$1,database!$A$1:$J$1,),)</f>
        <v>78.469300000000004</v>
      </c>
      <c r="C231" s="69">
        <f>(VLOOKUP(A231,database!A:K,11,) - VLOOKUP(A219,database!A:K,11,))/VLOOKUP(A219,database!A:K,11,)</f>
        <v>2.8328611898016994E-2</v>
      </c>
    </row>
    <row r="232" spans="1:3" x14ac:dyDescent="0.2">
      <c r="A232" s="38">
        <v>31352</v>
      </c>
      <c r="B232" s="39">
        <f>VLOOKUP(Table8[[#This Row],[Month]],database!A:J,MATCH('Capacity Utilization'!$A$1,database!$A$1:$J$1,),)</f>
        <v>78.5929</v>
      </c>
      <c r="C232" s="69">
        <f>(VLOOKUP(A232,database!A:K,11,) - VLOOKUP(A220,database!A:K,11,))/VLOOKUP(A220,database!A:K,11,)</f>
        <v>2.7306967984934007E-2</v>
      </c>
    </row>
    <row r="233" spans="1:3" x14ac:dyDescent="0.2">
      <c r="A233" s="38">
        <v>31382</v>
      </c>
      <c r="B233" s="39">
        <f>VLOOKUP(Table8[[#This Row],[Month]],database!A:J,MATCH('Capacity Utilization'!$A$1,database!$A$1:$J$1,),)</f>
        <v>79.257499999999993</v>
      </c>
      <c r="C233" s="69">
        <f>(VLOOKUP(A233,database!A:K,11,) - VLOOKUP(A221,database!A:K,11,))/VLOOKUP(A221,database!A:K,11,)</f>
        <v>2.6340545625587932E-2</v>
      </c>
    </row>
    <row r="234" spans="1:3" x14ac:dyDescent="0.2">
      <c r="A234" s="38">
        <v>31413</v>
      </c>
      <c r="B234" s="39">
        <f>VLOOKUP(Table8[[#This Row],[Month]],database!A:J,MATCH('Capacity Utilization'!$A$1,database!$A$1:$J$1,),)</f>
        <v>79.5471</v>
      </c>
      <c r="C234" s="69">
        <f>(VLOOKUP(A234,database!A:K,11,) - VLOOKUP(A222,database!A:K,11,))/VLOOKUP(A222,database!A:K,11,)</f>
        <v>2.2450888681010209E-2</v>
      </c>
    </row>
    <row r="235" spans="1:3" x14ac:dyDescent="0.2">
      <c r="A235" s="38">
        <v>31444</v>
      </c>
      <c r="B235" s="39">
        <f>VLOOKUP(Table8[[#This Row],[Month]],database!A:J,MATCH('Capacity Utilization'!$A$1,database!$A$1:$J$1,),)</f>
        <v>78.899299999999997</v>
      </c>
      <c r="C235" s="69">
        <f>(VLOOKUP(A235,database!A:K,11,) - VLOOKUP(A223,database!A:K,11,))/VLOOKUP(A223,database!A:K,11,)</f>
        <v>2.0503261882572253E-2</v>
      </c>
    </row>
    <row r="236" spans="1:3" x14ac:dyDescent="0.2">
      <c r="A236" s="38">
        <v>31472</v>
      </c>
      <c r="B236" s="39">
        <f>VLOOKUP(Table8[[#This Row],[Month]],database!A:J,MATCH('Capacity Utilization'!$A$1,database!$A$1:$J$1,),)</f>
        <v>78.237099999999998</v>
      </c>
      <c r="C236" s="69">
        <f>(VLOOKUP(A236,database!A:K,11,) - VLOOKUP(A224,database!A:K,11,))/VLOOKUP(A224,database!A:K,11,)</f>
        <v>1.858736059479554E-2</v>
      </c>
    </row>
    <row r="237" spans="1:3" x14ac:dyDescent="0.2">
      <c r="A237" s="38">
        <v>31503</v>
      </c>
      <c r="B237" s="39">
        <f>VLOOKUP(Table8[[#This Row],[Month]],database!A:J,MATCH('Capacity Utilization'!$A$1,database!$A$1:$J$1,),)</f>
        <v>78.242699999999999</v>
      </c>
      <c r="C237" s="69">
        <f>(VLOOKUP(A237,database!A:K,11,) - VLOOKUP(A225,database!A:K,11,))/VLOOKUP(A225,database!A:K,11,)</f>
        <v>2.3234200743494426E-2</v>
      </c>
    </row>
    <row r="238" spans="1:3" x14ac:dyDescent="0.2">
      <c r="A238" s="38">
        <v>31533</v>
      </c>
      <c r="B238" s="39">
        <f>VLOOKUP(Table8[[#This Row],[Month]],database!A:J,MATCH('Capacity Utilization'!$A$1,database!$A$1:$J$1,),)</f>
        <v>78.313699999999997</v>
      </c>
      <c r="C238" s="69">
        <f>(VLOOKUP(A238,database!A:K,11,) - VLOOKUP(A226,database!A:K,11,))/VLOOKUP(A226,database!A:K,11,)</f>
        <v>2.2263450834879461E-2</v>
      </c>
    </row>
    <row r="239" spans="1:3" x14ac:dyDescent="0.2">
      <c r="A239" s="38">
        <v>31564</v>
      </c>
      <c r="B239" s="39">
        <f>VLOOKUP(Table8[[#This Row],[Month]],database!A:J,MATCH('Capacity Utilization'!$A$1,database!$A$1:$J$1,),)</f>
        <v>77.9358</v>
      </c>
      <c r="C239" s="69">
        <f>(VLOOKUP(A239,database!A:K,11,) - VLOOKUP(A227,database!A:K,11,))/VLOOKUP(A227,database!A:K,11,)</f>
        <v>2.1256931608133061E-2</v>
      </c>
    </row>
    <row r="240" spans="1:3" x14ac:dyDescent="0.2">
      <c r="A240" s="38">
        <v>31594</v>
      </c>
      <c r="B240" s="39">
        <f>VLOOKUP(Table8[[#This Row],[Month]],database!A:J,MATCH('Capacity Utilization'!$A$1,database!$A$1:$J$1,),)</f>
        <v>78.334900000000005</v>
      </c>
      <c r="C240" s="69">
        <f>(VLOOKUP(A240,database!A:K,11,) - VLOOKUP(A228,database!A:K,11,))/VLOOKUP(A228,database!A:K,11,)</f>
        <v>2.1217712177121744E-2</v>
      </c>
    </row>
    <row r="241" spans="1:3" x14ac:dyDescent="0.2">
      <c r="A241" s="38">
        <v>31625</v>
      </c>
      <c r="B241" s="39">
        <f>VLOOKUP(Table8[[#This Row],[Month]],database!A:J,MATCH('Capacity Utilization'!$A$1,database!$A$1:$J$1,),)</f>
        <v>78.126300000000001</v>
      </c>
      <c r="C241" s="69">
        <f>(VLOOKUP(A241,database!A:K,11,) - VLOOKUP(A229,database!A:K,11,))/VLOOKUP(A229,database!A:K,11,)</f>
        <v>2.1198156682027625E-2</v>
      </c>
    </row>
    <row r="242" spans="1:3" x14ac:dyDescent="0.2">
      <c r="A242" s="38">
        <v>31656</v>
      </c>
      <c r="B242" s="39">
        <f>VLOOKUP(Table8[[#This Row],[Month]],database!A:J,MATCH('Capacity Utilization'!$A$1,database!$A$1:$J$1,),)</f>
        <v>78.251599999999996</v>
      </c>
      <c r="C242" s="69">
        <f>(VLOOKUP(A242,database!A:K,11,) - VLOOKUP(A230,database!A:K,11,))/VLOOKUP(A230,database!A:K,11,)</f>
        <v>2.5949953660797005E-2</v>
      </c>
    </row>
    <row r="243" spans="1:3" x14ac:dyDescent="0.2">
      <c r="A243" s="38">
        <v>31686</v>
      </c>
      <c r="B243" s="39">
        <f>VLOOKUP(Table8[[#This Row],[Month]],database!A:J,MATCH('Capacity Utilization'!$A$1,database!$A$1:$J$1,),)</f>
        <v>78.490700000000004</v>
      </c>
      <c r="C243" s="69">
        <f>(VLOOKUP(A243,database!A:K,11,) - VLOOKUP(A231,database!A:K,11,))/VLOOKUP(A231,database!A:K,11,)</f>
        <v>2.6629935720844732E-2</v>
      </c>
    </row>
    <row r="244" spans="1:3" x14ac:dyDescent="0.2">
      <c r="A244" s="38">
        <v>31717</v>
      </c>
      <c r="B244" s="39">
        <f>VLOOKUP(Table8[[#This Row],[Month]],database!A:J,MATCH('Capacity Utilization'!$A$1,database!$A$1:$J$1,),)</f>
        <v>78.694999999999993</v>
      </c>
      <c r="C244" s="69">
        <f>(VLOOKUP(A244,database!A:K,11,) - VLOOKUP(A232,database!A:K,11,))/VLOOKUP(A232,database!A:K,11,)</f>
        <v>2.6581118240146709E-2</v>
      </c>
    </row>
    <row r="245" spans="1:3" x14ac:dyDescent="0.2">
      <c r="A245" s="38">
        <v>31747</v>
      </c>
      <c r="B245" s="39">
        <f>VLOOKUP(Table8[[#This Row],[Month]],database!A:J,MATCH('Capacity Utilization'!$A$1,database!$A$1:$J$1,),)</f>
        <v>79.345200000000006</v>
      </c>
      <c r="C245" s="69">
        <f>(VLOOKUP(A245,database!A:K,11,) - VLOOKUP(A233,database!A:K,11,))/VLOOKUP(A233,database!A:K,11,)</f>
        <v>2.7497708524289646E-2</v>
      </c>
    </row>
    <row r="246" spans="1:3" x14ac:dyDescent="0.2">
      <c r="A246" s="38">
        <v>31778</v>
      </c>
      <c r="B246" s="39">
        <f>VLOOKUP(Table8[[#This Row],[Month]],database!A:J,MATCH('Capacity Utilization'!$A$1,database!$A$1:$J$1,),)</f>
        <v>78.916899999999998</v>
      </c>
      <c r="C246" s="69">
        <f>(VLOOKUP(A246,database!A:K,11,) - VLOOKUP(A234,database!A:K,11,))/VLOOKUP(A234,database!A:K,11,)</f>
        <v>2.9277218664226924E-2</v>
      </c>
    </row>
    <row r="247" spans="1:3" x14ac:dyDescent="0.2">
      <c r="A247" s="38">
        <v>31809</v>
      </c>
      <c r="B247" s="39">
        <f>VLOOKUP(Table8[[#This Row],[Month]],database!A:J,MATCH('Capacity Utilization'!$A$1,database!$A$1:$J$1,),)</f>
        <v>79.839799999999997</v>
      </c>
      <c r="C247" s="69">
        <f>(VLOOKUP(A247,database!A:K,11,) - VLOOKUP(A235,database!A:K,11,))/VLOOKUP(A235,database!A:K,11,)</f>
        <v>2.5570776255707736E-2</v>
      </c>
    </row>
    <row r="248" spans="1:3" x14ac:dyDescent="0.2">
      <c r="A248" s="38">
        <v>31837</v>
      </c>
      <c r="B248" s="39">
        <f>VLOOKUP(Table8[[#This Row],[Month]],database!A:J,MATCH('Capacity Utilization'!$A$1,database!$A$1:$J$1,),)</f>
        <v>79.799300000000002</v>
      </c>
      <c r="C248" s="69">
        <f>(VLOOKUP(A248,database!A:K,11,) - VLOOKUP(A236,database!A:K,11,))/VLOOKUP(A236,database!A:K,11,)</f>
        <v>2.5547445255474557E-2</v>
      </c>
    </row>
    <row r="249" spans="1:3" x14ac:dyDescent="0.2">
      <c r="A249" s="38">
        <v>31868</v>
      </c>
      <c r="B249" s="39">
        <f>VLOOKUP(Table8[[#This Row],[Month]],database!A:J,MATCH('Capacity Utilization'!$A$1,database!$A$1:$J$1,),)</f>
        <v>80.1614</v>
      </c>
      <c r="C249" s="69">
        <f>(VLOOKUP(A249,database!A:K,11,) - VLOOKUP(A237,database!A:K,11,))/VLOOKUP(A237,database!A:K,11,)</f>
        <v>2.5431425976385209E-2</v>
      </c>
    </row>
    <row r="250" spans="1:3" x14ac:dyDescent="0.2">
      <c r="A250" s="38">
        <v>31898</v>
      </c>
      <c r="B250" s="39">
        <f>VLOOKUP(Table8[[#This Row],[Month]],database!A:J,MATCH('Capacity Utilization'!$A$1,database!$A$1:$J$1,),)</f>
        <v>80.508499999999998</v>
      </c>
      <c r="C250" s="69">
        <f>(VLOOKUP(A250,database!A:K,11,) - VLOOKUP(A238,database!A:K,11,))/VLOOKUP(A238,database!A:K,11,)</f>
        <v>2.5408348457350245E-2</v>
      </c>
    </row>
    <row r="251" spans="1:3" x14ac:dyDescent="0.2">
      <c r="A251" s="38">
        <v>31929</v>
      </c>
      <c r="B251" s="39">
        <f>VLOOKUP(Table8[[#This Row],[Month]],database!A:J,MATCH('Capacity Utilization'!$A$1,database!$A$1:$J$1,),)</f>
        <v>80.782799999999995</v>
      </c>
      <c r="C251" s="69">
        <f>(VLOOKUP(A251,database!A:K,11,) - VLOOKUP(A239,database!A:K,11,))/VLOOKUP(A239,database!A:K,11,)</f>
        <v>2.352941176470583E-2</v>
      </c>
    </row>
    <row r="252" spans="1:3" x14ac:dyDescent="0.2">
      <c r="A252" s="38">
        <v>31959</v>
      </c>
      <c r="B252" s="39">
        <f>VLOOKUP(Table8[[#This Row],[Month]],database!A:J,MATCH('Capacity Utilization'!$A$1,database!$A$1:$J$1,),)</f>
        <v>81.172200000000004</v>
      </c>
      <c r="C252" s="69">
        <f>(VLOOKUP(A252,database!A:K,11,) - VLOOKUP(A240,database!A:K,11,))/VLOOKUP(A240,database!A:K,11,)</f>
        <v>2.3486901535681972E-2</v>
      </c>
    </row>
    <row r="253" spans="1:3" x14ac:dyDescent="0.2">
      <c r="A253" s="38">
        <v>31990</v>
      </c>
      <c r="B253" s="39">
        <f>VLOOKUP(Table8[[#This Row],[Month]],database!A:J,MATCH('Capacity Utilization'!$A$1,database!$A$1:$J$1,),)</f>
        <v>81.631699999999995</v>
      </c>
      <c r="C253" s="69">
        <f>(VLOOKUP(A253,database!A:K,11,) - VLOOKUP(A241,database!A:K,11,))/VLOOKUP(A241,database!A:K,11,)</f>
        <v>2.5270758122743656E-2</v>
      </c>
    </row>
    <row r="254" spans="1:3" x14ac:dyDescent="0.2">
      <c r="A254" s="38">
        <v>32021</v>
      </c>
      <c r="B254" s="39">
        <f>VLOOKUP(Table8[[#This Row],[Month]],database!A:J,MATCH('Capacity Utilization'!$A$1,database!$A$1:$J$1,),)</f>
        <v>81.8</v>
      </c>
      <c r="C254" s="69">
        <f>(VLOOKUP(A254,database!A:K,11,) - VLOOKUP(A242,database!A:K,11,))/VLOOKUP(A242,database!A:K,11,)</f>
        <v>2.8906955736224055E-2</v>
      </c>
    </row>
    <row r="255" spans="1:3" x14ac:dyDescent="0.2">
      <c r="A255" s="38">
        <v>32051</v>
      </c>
      <c r="B255" s="39">
        <f>VLOOKUP(Table8[[#This Row],[Month]],database!A:J,MATCH('Capacity Utilization'!$A$1,database!$A$1:$J$1,),)</f>
        <v>82.772900000000007</v>
      </c>
      <c r="C255" s="69">
        <f>(VLOOKUP(A255,database!A:K,11,) - VLOOKUP(A243,database!A:K,11,))/VLOOKUP(A243,database!A:K,11,)</f>
        <v>1.9677996422182494E-2</v>
      </c>
    </row>
    <row r="256" spans="1:3" x14ac:dyDescent="0.2">
      <c r="A256" s="38">
        <v>32082</v>
      </c>
      <c r="B256" s="39">
        <f>VLOOKUP(Table8[[#This Row],[Month]],database!A:J,MATCH('Capacity Utilization'!$A$1,database!$A$1:$J$1,),)</f>
        <v>83.077699999999993</v>
      </c>
      <c r="C256" s="69">
        <f>(VLOOKUP(A256,database!A:K,11,) - VLOOKUP(A244,database!A:K,11,))/VLOOKUP(A244,database!A:K,11,)</f>
        <v>1.9642857142857167E-2</v>
      </c>
    </row>
    <row r="257" spans="1:3" x14ac:dyDescent="0.2">
      <c r="A257" s="38">
        <v>32112</v>
      </c>
      <c r="B257" s="39">
        <f>VLOOKUP(Table8[[#This Row],[Month]],database!A:J,MATCH('Capacity Utilization'!$A$1,database!$A$1:$J$1,),)</f>
        <v>83.444999999999993</v>
      </c>
      <c r="C257" s="69">
        <f>(VLOOKUP(A257,database!A:K,11,) - VLOOKUP(A245,database!A:K,11,))/VLOOKUP(A245,database!A:K,11,)</f>
        <v>1.9625334522747572E-2</v>
      </c>
    </row>
    <row r="258" spans="1:3" x14ac:dyDescent="0.2">
      <c r="A258" s="38">
        <v>32143</v>
      </c>
      <c r="B258" s="39">
        <f>VLOOKUP(Table8[[#This Row],[Month]],database!A:J,MATCH('Capacity Utilization'!$A$1,database!$A$1:$J$1,),)</f>
        <v>83.342399999999998</v>
      </c>
      <c r="C258" s="69">
        <f>(VLOOKUP(A258,database!A:K,11,) - VLOOKUP(A246,database!A:K,11,))/VLOOKUP(A246,database!A:K,11,)</f>
        <v>2.2222222222222223E-2</v>
      </c>
    </row>
    <row r="259" spans="1:3" x14ac:dyDescent="0.2">
      <c r="A259" s="38">
        <v>32174</v>
      </c>
      <c r="B259" s="39">
        <f>VLOOKUP(Table8[[#This Row],[Month]],database!A:J,MATCH('Capacity Utilization'!$A$1,database!$A$1:$J$1,),)</f>
        <v>83.695999999999998</v>
      </c>
      <c r="C259" s="69">
        <f>(VLOOKUP(A259,database!A:K,11,) - VLOOKUP(A247,database!A:K,11,))/VLOOKUP(A247,database!A:K,11,)</f>
        <v>2.6714158504007126E-2</v>
      </c>
    </row>
    <row r="260" spans="1:3" x14ac:dyDescent="0.2">
      <c r="A260" s="38">
        <v>32203</v>
      </c>
      <c r="B260" s="39">
        <f>VLOOKUP(Table8[[#This Row],[Month]],database!A:J,MATCH('Capacity Utilization'!$A$1,database!$A$1:$J$1,),)</f>
        <v>83.822900000000004</v>
      </c>
      <c r="C260" s="69">
        <f>(VLOOKUP(A260,database!A:K,11,) - VLOOKUP(A248,database!A:K,11,))/VLOOKUP(A248,database!A:K,11,)</f>
        <v>2.8469750889679613E-2</v>
      </c>
    </row>
    <row r="261" spans="1:3" x14ac:dyDescent="0.2">
      <c r="A261" s="38">
        <v>32234</v>
      </c>
      <c r="B261" s="39">
        <f>VLOOKUP(Table8[[#This Row],[Month]],database!A:J,MATCH('Capacity Utilization'!$A$1,database!$A$1:$J$1,),)</f>
        <v>84.267200000000003</v>
      </c>
      <c r="C261" s="69">
        <f>(VLOOKUP(A261,database!A:K,11,) - VLOOKUP(A249,database!A:K,11,))/VLOOKUP(A249,database!A:K,11,)</f>
        <v>2.6572187776793623E-2</v>
      </c>
    </row>
    <row r="262" spans="1:3" x14ac:dyDescent="0.2">
      <c r="A262" s="38">
        <v>32264</v>
      </c>
      <c r="B262" s="39">
        <f>VLOOKUP(Table8[[#This Row],[Month]],database!A:J,MATCH('Capacity Utilization'!$A$1,database!$A$1:$J$1,),)</f>
        <v>84.078400000000002</v>
      </c>
      <c r="C262" s="69">
        <f>(VLOOKUP(A262,database!A:K,11,) - VLOOKUP(A250,database!A:K,11,))/VLOOKUP(A250,database!A:K,11,)</f>
        <v>2.8318584070796484E-2</v>
      </c>
    </row>
    <row r="263" spans="1:3" x14ac:dyDescent="0.2">
      <c r="A263" s="38">
        <v>32295</v>
      </c>
      <c r="B263" s="39">
        <f>VLOOKUP(Table8[[#This Row],[Month]],database!A:J,MATCH('Capacity Utilization'!$A$1,database!$A$1:$J$1,),)</f>
        <v>84.272900000000007</v>
      </c>
      <c r="C263" s="69">
        <f>(VLOOKUP(A263,database!A:K,11,) - VLOOKUP(A251,database!A:K,11,))/VLOOKUP(A251,database!A:K,11,)</f>
        <v>3.0946065428824051E-2</v>
      </c>
    </row>
    <row r="264" spans="1:3" x14ac:dyDescent="0.2">
      <c r="A264" s="38">
        <v>32325</v>
      </c>
      <c r="B264" s="39">
        <f>VLOOKUP(Table8[[#This Row],[Month]],database!A:J,MATCH('Capacity Utilization'!$A$1,database!$A$1:$J$1,),)</f>
        <v>84.257000000000005</v>
      </c>
      <c r="C264" s="69">
        <f>(VLOOKUP(A264,database!A:K,11,) - VLOOKUP(A252,database!A:K,11,))/VLOOKUP(A252,database!A:K,11,)</f>
        <v>3.4421888790820879E-2</v>
      </c>
    </row>
    <row r="265" spans="1:3" x14ac:dyDescent="0.2">
      <c r="A265" s="38">
        <v>32356</v>
      </c>
      <c r="B265" s="39">
        <f>VLOOKUP(Table8[[#This Row],[Month]],database!A:J,MATCH('Capacity Utilization'!$A$1,database!$A$1:$J$1,),)</f>
        <v>84.6494</v>
      </c>
      <c r="C265" s="69">
        <f>(VLOOKUP(A265,database!A:K,11,) - VLOOKUP(A253,database!A:K,11,))/VLOOKUP(A253,database!A:K,11,)</f>
        <v>3.6091549295774725E-2</v>
      </c>
    </row>
    <row r="266" spans="1:3" x14ac:dyDescent="0.2">
      <c r="A266" s="38">
        <v>32387</v>
      </c>
      <c r="B266" s="39">
        <f>VLOOKUP(Table8[[#This Row],[Month]],database!A:J,MATCH('Capacity Utilization'!$A$1,database!$A$1:$J$1,),)</f>
        <v>84.331900000000005</v>
      </c>
      <c r="C266" s="69">
        <f>(VLOOKUP(A266,database!A:K,11,) - VLOOKUP(A254,database!A:K,11,))/VLOOKUP(A254,database!A:K,11,)</f>
        <v>3.6874451273046428E-2</v>
      </c>
    </row>
    <row r="267" spans="1:3" x14ac:dyDescent="0.2">
      <c r="A267" s="38">
        <v>32417</v>
      </c>
      <c r="B267" s="39">
        <f>VLOOKUP(Table8[[#This Row],[Month]],database!A:J,MATCH('Capacity Utilization'!$A$1,database!$A$1:$J$1,),)</f>
        <v>84.643000000000001</v>
      </c>
      <c r="C267" s="69">
        <f>(VLOOKUP(A267,database!A:K,11,) - VLOOKUP(A255,database!A:K,11,))/VLOOKUP(A255,database!A:K,11,)</f>
        <v>3.8596491228070226E-2</v>
      </c>
    </row>
    <row r="268" spans="1:3" x14ac:dyDescent="0.2">
      <c r="A268" s="38">
        <v>32448</v>
      </c>
      <c r="B268" s="39">
        <f>VLOOKUP(Table8[[#This Row],[Month]],database!A:J,MATCH('Capacity Utilization'!$A$1,database!$A$1:$J$1,),)</f>
        <v>84.784199999999998</v>
      </c>
      <c r="C268" s="69">
        <f>(VLOOKUP(A268,database!A:K,11,) - VLOOKUP(A256,database!A:K,11,))/VLOOKUP(A256,database!A:K,11,)</f>
        <v>3.9404553415061293E-2</v>
      </c>
    </row>
    <row r="269" spans="1:3" x14ac:dyDescent="0.2">
      <c r="A269" s="38">
        <v>32478</v>
      </c>
      <c r="B269" s="39">
        <f>VLOOKUP(Table8[[#This Row],[Month]],database!A:J,MATCH('Capacity Utilization'!$A$1,database!$A$1:$J$1,),)</f>
        <v>85.064099999999996</v>
      </c>
      <c r="C269" s="69">
        <f>(VLOOKUP(A269,database!A:K,11,) - VLOOKUP(A257,database!A:K,11,))/VLOOKUP(A257,database!A:K,11,)</f>
        <v>4.2869641294838196E-2</v>
      </c>
    </row>
    <row r="270" spans="1:3" x14ac:dyDescent="0.2">
      <c r="A270" s="38">
        <v>32509</v>
      </c>
      <c r="B270" s="39">
        <f>VLOOKUP(Table8[[#This Row],[Month]],database!A:J,MATCH('Capacity Utilization'!$A$1,database!$A$1:$J$1,),)</f>
        <v>85.2256</v>
      </c>
      <c r="C270" s="69">
        <f>(VLOOKUP(A270,database!A:K,11,) - VLOOKUP(A258,database!A:K,11,))/VLOOKUP(A258,database!A:K,11,)</f>
        <v>4.2608695652173963E-2</v>
      </c>
    </row>
    <row r="271" spans="1:3" x14ac:dyDescent="0.2">
      <c r="A271" s="38">
        <v>32540</v>
      </c>
      <c r="B271" s="39">
        <f>VLOOKUP(Table8[[#This Row],[Month]],database!A:J,MATCH('Capacity Utilization'!$A$1,database!$A$1:$J$1,),)</f>
        <v>84.731099999999998</v>
      </c>
      <c r="C271" s="69">
        <f>(VLOOKUP(A271,database!A:K,11,) - VLOOKUP(A259,database!A:K,11,))/VLOOKUP(A259,database!A:K,11,)</f>
        <v>4.5099739809193434E-2</v>
      </c>
    </row>
    <row r="272" spans="1:3" x14ac:dyDescent="0.2">
      <c r="A272" s="38">
        <v>32568</v>
      </c>
      <c r="B272" s="39">
        <f>VLOOKUP(Table8[[#This Row],[Month]],database!A:J,MATCH('Capacity Utilization'!$A$1,database!$A$1:$J$1,),)</f>
        <v>84.813900000000004</v>
      </c>
      <c r="C272" s="69">
        <f>(VLOOKUP(A272,database!A:K,11,) - VLOOKUP(A260,database!A:K,11,))/VLOOKUP(A260,database!A:K,11,)</f>
        <v>4.4117647058823609E-2</v>
      </c>
    </row>
    <row r="273" spans="1:3" x14ac:dyDescent="0.2">
      <c r="A273" s="38">
        <v>32599</v>
      </c>
      <c r="B273" s="39">
        <f>VLOOKUP(Table8[[#This Row],[Month]],database!A:J,MATCH('Capacity Utilization'!$A$1,database!$A$1:$J$1,),)</f>
        <v>84.637200000000007</v>
      </c>
      <c r="C273" s="69">
        <f>(VLOOKUP(A273,database!A:K,11,) - VLOOKUP(A261,database!A:K,11,))/VLOOKUP(A261,database!A:K,11,)</f>
        <v>4.2277825711820462E-2</v>
      </c>
    </row>
    <row r="274" spans="1:3" x14ac:dyDescent="0.2">
      <c r="A274" s="38">
        <v>32629</v>
      </c>
      <c r="B274" s="39">
        <f>VLOOKUP(Table8[[#This Row],[Month]],database!A:J,MATCH('Capacity Utilization'!$A$1,database!$A$1:$J$1,),)</f>
        <v>84.006699999999995</v>
      </c>
      <c r="C274" s="69">
        <f>(VLOOKUP(A274,database!A:K,11,) - VLOOKUP(A262,database!A:K,11,))/VLOOKUP(A262,database!A:K,11,)</f>
        <v>4.6471600688468083E-2</v>
      </c>
    </row>
    <row r="275" spans="1:3" x14ac:dyDescent="0.2">
      <c r="A275" s="38">
        <v>32660</v>
      </c>
      <c r="B275" s="39">
        <f>VLOOKUP(Table8[[#This Row],[Month]],database!A:J,MATCH('Capacity Utilization'!$A$1,database!$A$1:$J$1,),)</f>
        <v>83.820499999999996</v>
      </c>
      <c r="C275" s="69">
        <f>(VLOOKUP(A275,database!A:K,11,) - VLOOKUP(A263,database!A:K,11,))/VLOOKUP(A263,database!A:K,11,)</f>
        <v>4.8027444253859422E-2</v>
      </c>
    </row>
    <row r="276" spans="1:3" x14ac:dyDescent="0.2">
      <c r="A276" s="38">
        <v>32690</v>
      </c>
      <c r="B276" s="39">
        <f>VLOOKUP(Table8[[#This Row],[Month]],database!A:J,MATCH('Capacity Utilization'!$A$1,database!$A$1:$J$1,),)</f>
        <v>82.828999999999994</v>
      </c>
      <c r="C276" s="69">
        <f>(VLOOKUP(A276,database!A:K,11,) - VLOOKUP(A264,database!A:K,11,))/VLOOKUP(A264,database!A:K,11,)</f>
        <v>4.1808873720136447E-2</v>
      </c>
    </row>
    <row r="277" spans="1:3" x14ac:dyDescent="0.2">
      <c r="A277" s="38">
        <v>32721</v>
      </c>
      <c r="B277" s="39">
        <f>VLOOKUP(Table8[[#This Row],[Month]],database!A:J,MATCH('Capacity Utilization'!$A$1,database!$A$1:$J$1,),)</f>
        <v>83.455200000000005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82.974000000000004</v>
      </c>
      <c r="C278" s="69">
        <f>(VLOOKUP(A278,database!A:K,11,) - VLOOKUP(A266,database!A:K,11,))/VLOOKUP(A266,database!A:K,11,)</f>
        <v>4.2337002540220152E-2</v>
      </c>
    </row>
    <row r="279" spans="1:3" x14ac:dyDescent="0.2">
      <c r="A279" s="38">
        <v>32782</v>
      </c>
      <c r="B279" s="39">
        <f>VLOOKUP(Table8[[#This Row],[Month]],database!A:J,MATCH('Capacity Utilization'!$A$1,database!$A$1:$J$1,),)</f>
        <v>82.683199999999999</v>
      </c>
      <c r="C279" s="69">
        <f>(VLOOKUP(A279,database!A:K,11,) - VLOOKUP(A267,database!A:K,11,))/VLOOKUP(A267,database!A:K,11,)</f>
        <v>4.3074324324324273E-2</v>
      </c>
    </row>
    <row r="280" spans="1:3" x14ac:dyDescent="0.2">
      <c r="A280" s="38">
        <v>32813</v>
      </c>
      <c r="B280" s="39">
        <f>VLOOKUP(Table8[[#This Row],[Month]],database!A:J,MATCH('Capacity Utilization'!$A$1,database!$A$1:$J$1,),)</f>
        <v>82.757000000000005</v>
      </c>
      <c r="C280" s="69">
        <f>(VLOOKUP(A280,database!A:K,11,) - VLOOKUP(A268,database!A:K,11,))/VLOOKUP(A268,database!A:K,11,)</f>
        <v>4.3807919123841639E-2</v>
      </c>
    </row>
    <row r="281" spans="1:3" x14ac:dyDescent="0.2">
      <c r="A281" s="38">
        <v>32843</v>
      </c>
      <c r="B281" s="39">
        <f>VLOOKUP(Table8[[#This Row],[Month]],database!A:J,MATCH('Capacity Utilization'!$A$1,database!$A$1:$J$1,),)</f>
        <v>83.031999999999996</v>
      </c>
      <c r="C281" s="69">
        <f>(VLOOKUP(A281,database!A:K,11,) - VLOOKUP(A269,database!A:K,11,))/VLOOKUP(A269,database!A:K,11,)</f>
        <v>4.1946308724832217E-2</v>
      </c>
    </row>
    <row r="282" spans="1:3" x14ac:dyDescent="0.2">
      <c r="A282" s="38">
        <v>32874</v>
      </c>
      <c r="B282" s="39">
        <f>VLOOKUP(Table8[[#This Row],[Month]],database!A:J,MATCH('Capacity Utilization'!$A$1,database!$A$1:$J$1,),)</f>
        <v>82.392700000000005</v>
      </c>
      <c r="C282" s="69">
        <f>(VLOOKUP(A282,database!A:K,11,) - VLOOKUP(A270,database!A:K,11,))/VLOOKUP(A270,database!A:K,11,)</f>
        <v>3.8365304420350244E-2</v>
      </c>
    </row>
    <row r="283" spans="1:3" x14ac:dyDescent="0.2">
      <c r="A283" s="38">
        <v>32905</v>
      </c>
      <c r="B283" s="39">
        <f>VLOOKUP(Table8[[#This Row],[Month]],database!A:J,MATCH('Capacity Utilization'!$A$1,database!$A$1:$J$1,),)</f>
        <v>82.954700000000003</v>
      </c>
      <c r="C283" s="69">
        <f>(VLOOKUP(A283,database!A:K,11,) - VLOOKUP(A271,database!A:K,11,))/VLOOKUP(A271,database!A:K,11,)</f>
        <v>3.6514522821576807E-2</v>
      </c>
    </row>
    <row r="284" spans="1:3" x14ac:dyDescent="0.2">
      <c r="A284" s="38">
        <v>32933</v>
      </c>
      <c r="B284" s="39">
        <f>VLOOKUP(Table8[[#This Row],[Month]],database!A:J,MATCH('Capacity Utilization'!$A$1,database!$A$1:$J$1,),)</f>
        <v>83.171300000000002</v>
      </c>
      <c r="C284" s="69">
        <f>(VLOOKUP(A284,database!A:K,11,) - VLOOKUP(A272,database!A:K,11,))/VLOOKUP(A272,database!A:K,11,)</f>
        <v>3.8111019055509482E-2</v>
      </c>
    </row>
    <row r="285" spans="1:3" x14ac:dyDescent="0.2">
      <c r="A285" s="38">
        <v>32964</v>
      </c>
      <c r="B285" s="39">
        <f>VLOOKUP(Table8[[#This Row],[Month]],database!A:J,MATCH('Capacity Utilization'!$A$1,database!$A$1:$J$1,),)</f>
        <v>82.8172</v>
      </c>
      <c r="C285" s="69">
        <f>(VLOOKUP(A285,database!A:K,11,) - VLOOKUP(A273,database!A:K,11,))/VLOOKUP(A273,database!A:K,11,)</f>
        <v>3.8907284768211946E-2</v>
      </c>
    </row>
    <row r="286" spans="1:3" x14ac:dyDescent="0.2">
      <c r="A286" s="38">
        <v>32994</v>
      </c>
      <c r="B286" s="39">
        <f>VLOOKUP(Table8[[#This Row],[Month]],database!A:J,MATCH('Capacity Utilization'!$A$1,database!$A$1:$J$1,),)</f>
        <v>82.887299999999996</v>
      </c>
      <c r="C286" s="69">
        <f>(VLOOKUP(A286,database!A:K,11,) - VLOOKUP(A274,database!A:K,11,))/VLOOKUP(A274,database!A:K,11,)</f>
        <v>3.618421052631584E-2</v>
      </c>
    </row>
    <row r="287" spans="1:3" x14ac:dyDescent="0.2">
      <c r="A287" s="38">
        <v>33025</v>
      </c>
      <c r="B287" s="39">
        <f>VLOOKUP(Table8[[#This Row],[Month]],database!A:J,MATCH('Capacity Utilization'!$A$1,database!$A$1:$J$1,),)</f>
        <v>82.996499999999997</v>
      </c>
      <c r="C287" s="69">
        <f>(VLOOKUP(A287,database!A:K,11,) - VLOOKUP(A275,database!A:K,11,))/VLOOKUP(A275,database!A:K,11,)</f>
        <v>3.436988543371524E-2</v>
      </c>
    </row>
    <row r="288" spans="1:3" x14ac:dyDescent="0.2">
      <c r="A288" s="38">
        <v>33055</v>
      </c>
      <c r="B288" s="39">
        <f>VLOOKUP(Table8[[#This Row],[Month]],database!A:J,MATCH('Capacity Utilization'!$A$1,database!$A$1:$J$1,),)</f>
        <v>82.719200000000001</v>
      </c>
      <c r="C288" s="69">
        <f>(VLOOKUP(A288,database!A:K,11,) - VLOOKUP(A276,database!A:K,11,))/VLOOKUP(A276,database!A:K,11,)</f>
        <v>3.6855036855036855E-2</v>
      </c>
    </row>
    <row r="289" spans="1:3" x14ac:dyDescent="0.2">
      <c r="A289" s="38">
        <v>33086</v>
      </c>
      <c r="B289" s="39">
        <f>VLOOKUP(Table8[[#This Row],[Month]],database!A:J,MATCH('Capacity Utilization'!$A$1,database!$A$1:$J$1,),)</f>
        <v>82.887</v>
      </c>
      <c r="C289" s="69">
        <f>(VLOOKUP(A289,database!A:K,11,) - VLOOKUP(A277,database!A:K,11,))/VLOOKUP(A277,database!A:K,11,)</f>
        <v>3.5859820700896425E-2</v>
      </c>
    </row>
    <row r="290" spans="1:3" x14ac:dyDescent="0.2">
      <c r="A290" s="38">
        <v>33117</v>
      </c>
      <c r="B290" s="39">
        <f>VLOOKUP(Table8[[#This Row],[Month]],database!A:J,MATCH('Capacity Utilization'!$A$1,database!$A$1:$J$1,),)</f>
        <v>82.772999999999996</v>
      </c>
      <c r="C290" s="69">
        <f>(VLOOKUP(A290,database!A:K,11,) - VLOOKUP(A278,database!A:K,11,))/VLOOKUP(A278,database!A:K,11,)</f>
        <v>3.736799350121859E-2</v>
      </c>
    </row>
    <row r="291" spans="1:3" x14ac:dyDescent="0.2">
      <c r="A291" s="38">
        <v>33147</v>
      </c>
      <c r="B291" s="39">
        <f>VLOOKUP(Table8[[#This Row],[Month]],database!A:J,MATCH('Capacity Utilization'!$A$1,database!$A$1:$J$1,),)</f>
        <v>82.150999999999996</v>
      </c>
      <c r="C291" s="69">
        <f>(VLOOKUP(A291,database!A:K,11,) - VLOOKUP(A279,database!A:K,11,))/VLOOKUP(A279,database!A:K,11,)</f>
        <v>3.643724696356275E-2</v>
      </c>
    </row>
    <row r="292" spans="1:3" x14ac:dyDescent="0.2">
      <c r="A292" s="38">
        <v>33178</v>
      </c>
      <c r="B292" s="39">
        <f>VLOOKUP(Table8[[#This Row],[Month]],database!A:J,MATCH('Capacity Utilization'!$A$1,database!$A$1:$J$1,),)</f>
        <v>81.0261</v>
      </c>
      <c r="C292" s="69">
        <f>(VLOOKUP(A292,database!A:K,11,) - VLOOKUP(A280,database!A:K,11,))/VLOOKUP(A280,database!A:K,11,)</f>
        <v>3.6319612590799029E-2</v>
      </c>
    </row>
    <row r="293" spans="1:3" x14ac:dyDescent="0.2">
      <c r="A293" s="38">
        <v>33208</v>
      </c>
      <c r="B293" s="39">
        <f>VLOOKUP(Table8[[#This Row],[Month]],database!A:J,MATCH('Capacity Utilization'!$A$1,database!$A$1:$J$1,),)</f>
        <v>80.363699999999994</v>
      </c>
      <c r="C293" s="69">
        <f>(VLOOKUP(A293,database!A:K,11,) - VLOOKUP(A281,database!A:K,11,))/VLOOKUP(A281,database!A:K,11,)</f>
        <v>3.542673107890492E-2</v>
      </c>
    </row>
    <row r="294" spans="1:3" x14ac:dyDescent="0.2">
      <c r="A294" s="38">
        <v>33239</v>
      </c>
      <c r="B294" s="39">
        <f>VLOOKUP(Table8[[#This Row],[Month]],database!A:J,MATCH('Capacity Utilization'!$A$1,database!$A$1:$J$1,),)</f>
        <v>80.001499999999993</v>
      </c>
      <c r="C294" s="69">
        <f>(VLOOKUP(A294,database!A:K,11,) - VLOOKUP(A282,database!A:K,11,))/VLOOKUP(A282,database!A:K,11,)</f>
        <v>4.0160642570281124E-2</v>
      </c>
    </row>
    <row r="295" spans="1:3" x14ac:dyDescent="0.2">
      <c r="A295" s="38">
        <v>33270</v>
      </c>
      <c r="B295" s="39">
        <f>VLOOKUP(Table8[[#This Row],[Month]],database!A:J,MATCH('Capacity Utilization'!$A$1,database!$A$1:$J$1,),)</f>
        <v>79.339600000000004</v>
      </c>
      <c r="C295" s="69">
        <f>(VLOOKUP(A295,database!A:K,11,) - VLOOKUP(A283,database!A:K,11,))/VLOOKUP(A283,database!A:K,11,)</f>
        <v>3.9231385108086513E-2</v>
      </c>
    </row>
    <row r="296" spans="1:3" x14ac:dyDescent="0.2">
      <c r="A296" s="38">
        <v>33298</v>
      </c>
      <c r="B296" s="39">
        <f>VLOOKUP(Table8[[#This Row],[Month]],database!A:J,MATCH('Capacity Utilization'!$A$1,database!$A$1:$J$1,),)</f>
        <v>78.818700000000007</v>
      </c>
      <c r="C296" s="69">
        <f>(VLOOKUP(A296,database!A:K,11,) - VLOOKUP(A284,database!A:K,11,))/VLOOKUP(A284,database!A:K,11,)</f>
        <v>3.8308060654429349E-2</v>
      </c>
    </row>
    <row r="297" spans="1:3" x14ac:dyDescent="0.2">
      <c r="A297" s="38">
        <v>33329</v>
      </c>
      <c r="B297" s="39">
        <f>VLOOKUP(Table8[[#This Row],[Month]],database!A:J,MATCH('Capacity Utilization'!$A$1,database!$A$1:$J$1,),)</f>
        <v>78.954999999999998</v>
      </c>
      <c r="C297" s="69">
        <f>(VLOOKUP(A297,database!A:K,11,) - VLOOKUP(A285,database!A:K,11,))/VLOOKUP(A285,database!A:K,11,)</f>
        <v>3.9043824701195266E-2</v>
      </c>
    </row>
    <row r="298" spans="1:3" x14ac:dyDescent="0.2">
      <c r="A298" s="38">
        <v>33359</v>
      </c>
      <c r="B298" s="39">
        <f>VLOOKUP(Table8[[#This Row],[Month]],database!A:J,MATCH('Capacity Utilization'!$A$1,database!$A$1:$J$1,),)</f>
        <v>79.670500000000004</v>
      </c>
      <c r="C298" s="69">
        <f>(VLOOKUP(A298,database!A:K,11,) - VLOOKUP(A286,database!A:K,11,))/VLOOKUP(A286,database!A:K,11,)</f>
        <v>3.6507936507936462E-2</v>
      </c>
    </row>
    <row r="299" spans="1:3" x14ac:dyDescent="0.2">
      <c r="A299" s="38">
        <v>33390</v>
      </c>
      <c r="B299" s="39">
        <f>VLOOKUP(Table8[[#This Row],[Month]],database!A:J,MATCH('Capacity Utilization'!$A$1,database!$A$1:$J$1,),)</f>
        <v>80.229100000000003</v>
      </c>
      <c r="C299" s="69">
        <f>(VLOOKUP(A299,database!A:K,11,) - VLOOKUP(A287,database!A:K,11,))/VLOOKUP(A287,database!A:K,11,)</f>
        <v>3.4018987341772014E-2</v>
      </c>
    </row>
    <row r="300" spans="1:3" x14ac:dyDescent="0.2">
      <c r="A300" s="38">
        <v>33420</v>
      </c>
      <c r="B300" s="39">
        <f>VLOOKUP(Table8[[#This Row],[Month]],database!A:J,MATCH('Capacity Utilization'!$A$1,database!$A$1:$J$1,),)</f>
        <v>80.362700000000004</v>
      </c>
      <c r="C300" s="69">
        <f>(VLOOKUP(A300,database!A:K,11,) - VLOOKUP(A288,database!A:K,11,))/VLOOKUP(A288,database!A:K,11,)</f>
        <v>3.4755134281200681E-2</v>
      </c>
    </row>
    <row r="301" spans="1:3" x14ac:dyDescent="0.2">
      <c r="A301" s="38">
        <v>33451</v>
      </c>
      <c r="B301" s="39">
        <f>VLOOKUP(Table8[[#This Row],[Month]],database!A:J,MATCH('Capacity Utilization'!$A$1,database!$A$1:$J$1,),)</f>
        <v>80.290700000000001</v>
      </c>
      <c r="C301" s="69">
        <f>(VLOOKUP(A301,database!A:K,11,) - VLOOKUP(A289,database!A:K,11,))/VLOOKUP(A289,database!A:K,11,)</f>
        <v>3.304484657749817E-2</v>
      </c>
    </row>
    <row r="302" spans="1:3" x14ac:dyDescent="0.2">
      <c r="A302" s="38">
        <v>33482</v>
      </c>
      <c r="B302" s="39">
        <f>VLOOKUP(Table8[[#This Row],[Month]],database!A:J,MATCH('Capacity Utilization'!$A$1,database!$A$1:$J$1,),)</f>
        <v>80.8673</v>
      </c>
      <c r="C302" s="69">
        <f>(VLOOKUP(A302,database!A:K,11,) - VLOOKUP(A290,database!A:K,11,))/VLOOKUP(A290,database!A:K,11,)</f>
        <v>3.2106499608457385E-2</v>
      </c>
    </row>
    <row r="303" spans="1:3" x14ac:dyDescent="0.2">
      <c r="A303" s="38">
        <v>33512</v>
      </c>
      <c r="B303" s="39">
        <f>VLOOKUP(Table8[[#This Row],[Month]],database!A:J,MATCH('Capacity Utilization'!$A$1,database!$A$1:$J$1,),)</f>
        <v>80.6828</v>
      </c>
      <c r="C303" s="69">
        <f>(VLOOKUP(A303,database!A:K,11,) - VLOOKUP(A291,database!A:K,11,))/VLOOKUP(A291,database!A:K,11,)</f>
        <v>3.3593750000000089E-2</v>
      </c>
    </row>
    <row r="304" spans="1:3" x14ac:dyDescent="0.2">
      <c r="A304" s="38">
        <v>33543</v>
      </c>
      <c r="B304" s="39">
        <f>VLOOKUP(Table8[[#This Row],[Month]],database!A:J,MATCH('Capacity Utilization'!$A$1,database!$A$1:$J$1,),)</f>
        <v>80.4666</v>
      </c>
      <c r="C304" s="69">
        <f>(VLOOKUP(A304,database!A:K,11,) - VLOOKUP(A292,database!A:K,11,))/VLOOKUP(A292,database!A:K,11,)</f>
        <v>3.1931464174454784E-2</v>
      </c>
    </row>
    <row r="305" spans="1:3" x14ac:dyDescent="0.2">
      <c r="A305" s="38">
        <v>33573</v>
      </c>
      <c r="B305" s="39">
        <f>VLOOKUP(Table8[[#This Row],[Month]],database!A:J,MATCH('Capacity Utilization'!$A$1,database!$A$1:$J$1,),)</f>
        <v>79.994100000000003</v>
      </c>
      <c r="C305" s="69">
        <f>(VLOOKUP(A305,database!A:K,11,) - VLOOKUP(A293,database!A:K,11,))/VLOOKUP(A293,database!A:K,11,)</f>
        <v>3.110419906687403E-2</v>
      </c>
    </row>
    <row r="306" spans="1:3" x14ac:dyDescent="0.2">
      <c r="A306" s="38">
        <v>33604</v>
      </c>
      <c r="B306" s="39">
        <f>VLOOKUP(Table8[[#This Row],[Month]],database!A:J,MATCH('Capacity Utilization'!$A$1,database!$A$1:$J$1,),)</f>
        <v>79.430400000000006</v>
      </c>
      <c r="C306" s="69">
        <f>(VLOOKUP(A306,database!A:K,11,) - VLOOKUP(A294,database!A:K,11,))/VLOOKUP(A294,database!A:K,11,)</f>
        <v>2.7027027027027029E-2</v>
      </c>
    </row>
    <row r="307" spans="1:3" x14ac:dyDescent="0.2">
      <c r="A307" s="38">
        <v>33635</v>
      </c>
      <c r="B307" s="39">
        <f>VLOOKUP(Table8[[#This Row],[Month]],database!A:J,MATCH('Capacity Utilization'!$A$1,database!$A$1:$J$1,),)</f>
        <v>79.836200000000005</v>
      </c>
      <c r="C307" s="69">
        <f>(VLOOKUP(A307,database!A:K,11,) - VLOOKUP(A295,database!A:K,11,))/VLOOKUP(A295,database!A:K,11,)</f>
        <v>2.5423728813559188E-2</v>
      </c>
    </row>
    <row r="308" spans="1:3" x14ac:dyDescent="0.2">
      <c r="A308" s="38">
        <v>33664</v>
      </c>
      <c r="B308" s="39">
        <f>VLOOKUP(Table8[[#This Row],[Month]],database!A:J,MATCH('Capacity Utilization'!$A$1,database!$A$1:$J$1,),)</f>
        <v>80.338800000000006</v>
      </c>
      <c r="C308" s="69">
        <f>(VLOOKUP(A308,database!A:K,11,) - VLOOKUP(A296,database!A:K,11,))/VLOOKUP(A296,database!A:K,11,)</f>
        <v>2.5365103766333677E-2</v>
      </c>
    </row>
    <row r="309" spans="1:3" x14ac:dyDescent="0.2">
      <c r="A309" s="38">
        <v>33695</v>
      </c>
      <c r="B309" s="39">
        <f>VLOOKUP(Table8[[#This Row],[Month]],database!A:J,MATCH('Capacity Utilization'!$A$1,database!$A$1:$J$1,),)</f>
        <v>80.782300000000006</v>
      </c>
      <c r="C309" s="69">
        <f>(VLOOKUP(A309,database!A:K,11,) - VLOOKUP(A297,database!A:K,11,))/VLOOKUP(A297,database!A:K,11,)</f>
        <v>2.6073619631901884E-2</v>
      </c>
    </row>
    <row r="310" spans="1:3" x14ac:dyDescent="0.2">
      <c r="A310" s="38">
        <v>33725</v>
      </c>
      <c r="B310" s="39">
        <f>VLOOKUP(Table8[[#This Row],[Month]],database!A:J,MATCH('Capacity Utilization'!$A$1,database!$A$1:$J$1,),)</f>
        <v>80.868600000000001</v>
      </c>
      <c r="C310" s="69">
        <f>(VLOOKUP(A310,database!A:K,11,) - VLOOKUP(A298,database!A:K,11,))/VLOOKUP(A298,database!A:K,11,)</f>
        <v>2.8330781010719886E-2</v>
      </c>
    </row>
    <row r="311" spans="1:3" x14ac:dyDescent="0.2">
      <c r="A311" s="38">
        <v>33756</v>
      </c>
      <c r="B311" s="39">
        <f>VLOOKUP(Table8[[#This Row],[Month]],database!A:J,MATCH('Capacity Utilization'!$A$1,database!$A$1:$J$1,),)</f>
        <v>80.734700000000004</v>
      </c>
      <c r="C311" s="69">
        <f>(VLOOKUP(A311,database!A:K,11,) - VLOOKUP(A299,database!A:K,11,))/VLOOKUP(A299,database!A:K,11,)</f>
        <v>2.6013771996939602E-2</v>
      </c>
    </row>
    <row r="312" spans="1:3" x14ac:dyDescent="0.2">
      <c r="A312" s="38">
        <v>33786</v>
      </c>
      <c r="B312" s="39">
        <f>VLOOKUP(Table8[[#This Row],[Month]],database!A:J,MATCH('Capacity Utilization'!$A$1,database!$A$1:$J$1,),)</f>
        <v>81.278800000000004</v>
      </c>
      <c r="C312" s="69">
        <f>(VLOOKUP(A312,database!A:K,11,) - VLOOKUP(A300,database!A:K,11,))/VLOOKUP(A300,database!A:K,11,)</f>
        <v>2.5190839694656575E-2</v>
      </c>
    </row>
    <row r="313" spans="1:3" x14ac:dyDescent="0.2">
      <c r="A313" s="38">
        <v>33817</v>
      </c>
      <c r="B313" s="39">
        <f>VLOOKUP(Table8[[#This Row],[Month]],database!A:J,MATCH('Capacity Utilization'!$A$1,database!$A$1:$J$1,),)</f>
        <v>80.653499999999994</v>
      </c>
      <c r="C313" s="69">
        <f>(VLOOKUP(A313,database!A:K,11,) - VLOOKUP(A301,database!A:K,11,))/VLOOKUP(A301,database!A:K,11,)</f>
        <v>2.2848438690022847E-2</v>
      </c>
    </row>
    <row r="314" spans="1:3" x14ac:dyDescent="0.2">
      <c r="A314" s="38">
        <v>33848</v>
      </c>
      <c r="B314" s="39">
        <f>VLOOKUP(Table8[[#This Row],[Month]],database!A:J,MATCH('Capacity Utilization'!$A$1,database!$A$1:$J$1,),)</f>
        <v>80.738399999999999</v>
      </c>
      <c r="C314" s="69">
        <f>(VLOOKUP(A314,database!A:K,11,) - VLOOKUP(A302,database!A:K,11,))/VLOOKUP(A302,database!A:K,11,)</f>
        <v>2.1244309559939171E-2</v>
      </c>
    </row>
    <row r="315" spans="1:3" x14ac:dyDescent="0.2">
      <c r="A315" s="38">
        <v>33878</v>
      </c>
      <c r="B315" s="39">
        <f>VLOOKUP(Table8[[#This Row],[Month]],database!A:J,MATCH('Capacity Utilization'!$A$1,database!$A$1:$J$1,),)</f>
        <v>81.125600000000006</v>
      </c>
      <c r="C315" s="69">
        <f>(VLOOKUP(A315,database!A:K,11,) - VLOOKUP(A303,database!A:K,11,))/VLOOKUP(A303,database!A:K,11,)</f>
        <v>1.9652305366591037E-2</v>
      </c>
    </row>
    <row r="316" spans="1:3" x14ac:dyDescent="0.2">
      <c r="A316" s="38">
        <v>33909</v>
      </c>
      <c r="B316" s="39">
        <f>VLOOKUP(Table8[[#This Row],[Month]],database!A:J,MATCH('Capacity Utilization'!$A$1,database!$A$1:$J$1,),)</f>
        <v>81.297300000000007</v>
      </c>
      <c r="C316" s="69">
        <f>(VLOOKUP(A316,database!A:K,11,) - VLOOKUP(A304,database!A:K,11,))/VLOOKUP(A304,database!A:K,11,)</f>
        <v>1.9622641509433918E-2</v>
      </c>
    </row>
    <row r="317" spans="1:3" x14ac:dyDescent="0.2">
      <c r="A317" s="38">
        <v>33939</v>
      </c>
      <c r="B317" s="39">
        <f>VLOOKUP(Table8[[#This Row],[Month]],database!A:J,MATCH('Capacity Utilization'!$A$1,database!$A$1:$J$1,),)</f>
        <v>81.280100000000004</v>
      </c>
      <c r="C317" s="69">
        <f>(VLOOKUP(A317,database!A:K,11,) - VLOOKUP(A305,database!A:K,11,))/VLOOKUP(A305,database!A:K,11,)</f>
        <v>1.960784313725486E-2</v>
      </c>
    </row>
    <row r="318" spans="1:3" x14ac:dyDescent="0.2">
      <c r="A318" s="38">
        <v>33970</v>
      </c>
      <c r="B318" s="39">
        <f>VLOOKUP(Table8[[#This Row],[Month]],database!A:J,MATCH('Capacity Utilization'!$A$1,database!$A$1:$J$1,),)</f>
        <v>81.463200000000001</v>
      </c>
      <c r="C318" s="69">
        <f>(VLOOKUP(A318,database!A:K,11,) - VLOOKUP(A306,database!A:K,11,))/VLOOKUP(A306,database!A:K,11,)</f>
        <v>1.9548872180451086E-2</v>
      </c>
    </row>
    <row r="319" spans="1:3" x14ac:dyDescent="0.2">
      <c r="A319" s="38">
        <v>34001</v>
      </c>
      <c r="B319" s="39">
        <f>VLOOKUP(Table8[[#This Row],[Month]],database!A:J,MATCH('Capacity Utilization'!$A$1,database!$A$1:$J$1,),)</f>
        <v>81.715699999999998</v>
      </c>
      <c r="C319" s="69">
        <f>(VLOOKUP(A319,database!A:K,11,) - VLOOKUP(A307,database!A:K,11,))/VLOOKUP(A307,database!A:K,11,)</f>
        <v>2.1036814425244264E-2</v>
      </c>
    </row>
    <row r="320" spans="1:3" x14ac:dyDescent="0.2">
      <c r="A320" s="38">
        <v>34029</v>
      </c>
      <c r="B320" s="39">
        <f>VLOOKUP(Table8[[#This Row],[Month]],database!A:J,MATCH('Capacity Utilization'!$A$1,database!$A$1:$J$1,),)</f>
        <v>81.510499999999993</v>
      </c>
      <c r="C320" s="69">
        <f>(VLOOKUP(A320,database!A:K,11,) - VLOOKUP(A308,database!A:K,11,))/VLOOKUP(A308,database!A:K,11,)</f>
        <v>2.023988005996993E-2</v>
      </c>
    </row>
    <row r="321" spans="1:3" x14ac:dyDescent="0.2">
      <c r="A321" s="38">
        <v>34060</v>
      </c>
      <c r="B321" s="39">
        <f>VLOOKUP(Table8[[#This Row],[Month]],database!A:J,MATCH('Capacity Utilization'!$A$1,database!$A$1:$J$1,),)</f>
        <v>81.624300000000005</v>
      </c>
      <c r="C321" s="69">
        <f>(VLOOKUP(A321,database!A:K,11,) - VLOOKUP(A309,database!A:K,11,))/VLOOKUP(A309,database!A:K,11,)</f>
        <v>2.017937219730933E-2</v>
      </c>
    </row>
    <row r="322" spans="1:3" x14ac:dyDescent="0.2">
      <c r="A322" s="38">
        <v>34090</v>
      </c>
      <c r="B322" s="39">
        <f>VLOOKUP(Table8[[#This Row],[Month]],database!A:J,MATCH('Capacity Utilization'!$A$1,database!$A$1:$J$1,),)</f>
        <v>81.180499999999995</v>
      </c>
      <c r="C322" s="69">
        <f>(VLOOKUP(A322,database!A:K,11,) - VLOOKUP(A310,database!A:K,11,))/VLOOKUP(A310,database!A:K,11,)</f>
        <v>1.712583767684276E-2</v>
      </c>
    </row>
    <row r="323" spans="1:3" x14ac:dyDescent="0.2">
      <c r="A323" s="38">
        <v>34121</v>
      </c>
      <c r="B323" s="39">
        <f>VLOOKUP(Table8[[#This Row],[Month]],database!A:J,MATCH('Capacity Utilization'!$A$1,database!$A$1:$J$1,),)</f>
        <v>81.256399999999999</v>
      </c>
      <c r="C323" s="69">
        <f>(VLOOKUP(A323,database!A:K,11,) - VLOOKUP(A311,database!A:K,11,))/VLOOKUP(A311,database!A:K,11,)</f>
        <v>1.7151379567487034E-2</v>
      </c>
    </row>
    <row r="324" spans="1:3" x14ac:dyDescent="0.2">
      <c r="A324" s="38">
        <v>34151</v>
      </c>
      <c r="B324" s="39">
        <f>VLOOKUP(Table8[[#This Row],[Month]],database!A:J,MATCH('Capacity Utilization'!$A$1,database!$A$1:$J$1,),)</f>
        <v>81.332099999999997</v>
      </c>
      <c r="C324" s="69">
        <f>(VLOOKUP(A324,database!A:K,11,) - VLOOKUP(A312,database!A:K,11,))/VLOOKUP(A312,database!A:K,11,)</f>
        <v>1.712583767684276E-2</v>
      </c>
    </row>
    <row r="325" spans="1:3" x14ac:dyDescent="0.2">
      <c r="A325" s="38">
        <v>34182</v>
      </c>
      <c r="B325" s="39">
        <f>VLOOKUP(Table8[[#This Row],[Month]],database!A:J,MATCH('Capacity Utilization'!$A$1,database!$A$1:$J$1,),)</f>
        <v>81.130200000000002</v>
      </c>
      <c r="C325" s="69">
        <f>(VLOOKUP(A325,database!A:K,11,) - VLOOKUP(A313,database!A:K,11,))/VLOOKUP(A313,database!A:K,11,)</f>
        <v>4.4676098287415806E-3</v>
      </c>
    </row>
    <row r="326" spans="1:3" x14ac:dyDescent="0.2">
      <c r="A326" s="38">
        <v>34213</v>
      </c>
      <c r="B326" s="39">
        <f>VLOOKUP(Table8[[#This Row],[Month]],database!A:J,MATCH('Capacity Utilization'!$A$1,database!$A$1:$J$1,),)</f>
        <v>81.410600000000002</v>
      </c>
      <c r="C326" s="69">
        <f>(VLOOKUP(A326,database!A:K,11,) - VLOOKUP(A314,database!A:K,11,))/VLOOKUP(A314,database!A:K,11,)</f>
        <v>2.2288261515602628E-3</v>
      </c>
    </row>
    <row r="327" spans="1:3" x14ac:dyDescent="0.2">
      <c r="A327" s="38">
        <v>34243</v>
      </c>
      <c r="B327" s="39">
        <f>VLOOKUP(Table8[[#This Row],[Month]],database!A:J,MATCH('Capacity Utilization'!$A$1,database!$A$1:$J$1,),)</f>
        <v>81.869100000000003</v>
      </c>
      <c r="C327" s="69">
        <f>(VLOOKUP(A327,database!A:K,11,) - VLOOKUP(A315,database!A:K,11,))/VLOOKUP(A315,database!A:K,11,)</f>
        <v>7.4128984432909049E-4</v>
      </c>
    </row>
    <row r="328" spans="1:3" x14ac:dyDescent="0.2">
      <c r="A328" s="38">
        <v>34274</v>
      </c>
      <c r="B328" s="39">
        <f>VLOOKUP(Table8[[#This Row],[Month]],database!A:J,MATCH('Capacity Utilization'!$A$1,database!$A$1:$J$1,),)</f>
        <v>82.099900000000005</v>
      </c>
      <c r="C328" s="69">
        <f>(VLOOKUP(A328,database!A:K,11,) - VLOOKUP(A316,database!A:K,11,))/VLOOKUP(A316,database!A:K,11,)</f>
        <v>1.4803849000741456E-3</v>
      </c>
    </row>
    <row r="329" spans="1:3" x14ac:dyDescent="0.2">
      <c r="A329" s="38">
        <v>34304</v>
      </c>
      <c r="B329" s="39">
        <f>VLOOKUP(Table8[[#This Row],[Month]],database!A:J,MATCH('Capacity Utilization'!$A$1,database!$A$1:$J$1,),)</f>
        <v>82.392399999999995</v>
      </c>
      <c r="C329" s="69">
        <f>(VLOOKUP(A329,database!A:K,11,) - VLOOKUP(A317,database!A:K,11,))/VLOOKUP(A317,database!A:K,11,)</f>
        <v>3.6982248520710062E-3</v>
      </c>
    </row>
    <row r="330" spans="1:3" x14ac:dyDescent="0.2">
      <c r="A330" s="38">
        <v>34335</v>
      </c>
      <c r="B330" s="39">
        <f>VLOOKUP(Table8[[#This Row],[Month]],database!A:J,MATCH('Capacity Utilization'!$A$1,database!$A$1:$J$1,),)</f>
        <v>82.472099999999998</v>
      </c>
      <c r="C330" s="69">
        <f>(VLOOKUP(A330,database!A:K,11,) - VLOOKUP(A318,database!A:K,11,))/VLOOKUP(A318,database!A:K,11,)</f>
        <v>5.1622418879057304E-3</v>
      </c>
    </row>
    <row r="331" spans="1:3" x14ac:dyDescent="0.2">
      <c r="A331" s="38">
        <v>34366</v>
      </c>
      <c r="B331" s="39">
        <f>VLOOKUP(Table8[[#This Row],[Month]],database!A:J,MATCH('Capacity Utilization'!$A$1,database!$A$1:$J$1,),)</f>
        <v>82.335700000000003</v>
      </c>
      <c r="C331" s="69">
        <f>(VLOOKUP(A331,database!A:K,11,) - VLOOKUP(A319,database!A:K,11,))/VLOOKUP(A319,database!A:K,11,)</f>
        <v>2.9433406916851042E-3</v>
      </c>
    </row>
    <row r="332" spans="1:3" x14ac:dyDescent="0.2">
      <c r="A332" s="38">
        <v>34394</v>
      </c>
      <c r="B332" s="39">
        <f>VLOOKUP(Table8[[#This Row],[Month]],database!A:J,MATCH('Capacity Utilization'!$A$1,database!$A$1:$J$1,),)</f>
        <v>82.947199999999995</v>
      </c>
      <c r="C332" s="69">
        <f>(VLOOKUP(A332,database!A:K,11,) - VLOOKUP(A320,database!A:K,11,))/VLOOKUP(A320,database!A:K,11,)</f>
        <v>2.2042615723733387E-3</v>
      </c>
    </row>
    <row r="333" spans="1:3" x14ac:dyDescent="0.2">
      <c r="A333" s="38">
        <v>34425</v>
      </c>
      <c r="B333" s="39">
        <f>VLOOKUP(Table8[[#This Row],[Month]],database!A:J,MATCH('Capacity Utilization'!$A$1,database!$A$1:$J$1,),)</f>
        <v>83.213300000000004</v>
      </c>
      <c r="C333" s="69">
        <f>(VLOOKUP(A333,database!A:K,11,) - VLOOKUP(A321,database!A:K,11,))/VLOOKUP(A321,database!A:K,11,)</f>
        <v>7.3260073260069097E-4</v>
      </c>
    </row>
    <row r="334" spans="1:3" x14ac:dyDescent="0.2">
      <c r="A334" s="38">
        <v>34455</v>
      </c>
      <c r="B334" s="39">
        <f>VLOOKUP(Table8[[#This Row],[Month]],database!A:J,MATCH('Capacity Utilization'!$A$1,database!$A$1:$J$1,),)</f>
        <v>83.366399999999999</v>
      </c>
      <c r="C334" s="69">
        <f>(VLOOKUP(A334,database!A:K,11,) - VLOOKUP(A322,database!A:K,11,))/VLOOKUP(A322,database!A:K,11,)</f>
        <v>2.9282576866764692E-3</v>
      </c>
    </row>
    <row r="335" spans="1:3" x14ac:dyDescent="0.2">
      <c r="A335" s="38">
        <v>34486</v>
      </c>
      <c r="B335" s="39">
        <f>VLOOKUP(Table8[[#This Row],[Month]],database!A:J,MATCH('Capacity Utilization'!$A$1,database!$A$1:$J$1,),)</f>
        <v>83.660600000000002</v>
      </c>
      <c r="C335" s="69">
        <f>(VLOOKUP(A335,database!A:K,11,) - VLOOKUP(A323,database!A:K,11,))/VLOOKUP(A323,database!A:K,11,)</f>
        <v>5.8651026392960628E-3</v>
      </c>
    </row>
    <row r="336" spans="1:3" x14ac:dyDescent="0.2">
      <c r="A336" s="38">
        <v>34516</v>
      </c>
      <c r="B336" s="39">
        <f>VLOOKUP(Table8[[#This Row],[Month]],database!A:J,MATCH('Capacity Utilization'!$A$1,database!$A$1:$J$1,),)</f>
        <v>83.506500000000003</v>
      </c>
      <c r="C336" s="69">
        <f>(VLOOKUP(A336,database!A:K,11,) - VLOOKUP(A324,database!A:K,11,))/VLOOKUP(A324,database!A:K,11,)</f>
        <v>5.1244509516838732E-3</v>
      </c>
    </row>
    <row r="337" spans="1:3" x14ac:dyDescent="0.2">
      <c r="A337" s="38">
        <v>34547</v>
      </c>
      <c r="B337" s="39">
        <f>VLOOKUP(Table8[[#This Row],[Month]],database!A:J,MATCH('Capacity Utilization'!$A$1,database!$A$1:$J$1,),)</f>
        <v>83.791799999999995</v>
      </c>
      <c r="C337" s="69">
        <f>(VLOOKUP(A337,database!A:K,11,) - VLOOKUP(A325,database!A:K,11,))/VLOOKUP(A325,database!A:K,11,)</f>
        <v>2.0014825796886498E-2</v>
      </c>
    </row>
    <row r="338" spans="1:3" x14ac:dyDescent="0.2">
      <c r="A338" s="38">
        <v>34578</v>
      </c>
      <c r="B338" s="39">
        <f>VLOOKUP(Table8[[#This Row],[Month]],database!A:J,MATCH('Capacity Utilization'!$A$1,database!$A$1:$J$1,),)</f>
        <v>83.781599999999997</v>
      </c>
      <c r="C338" s="69">
        <f>(VLOOKUP(A338,database!A:K,11,) - VLOOKUP(A326,database!A:K,11,))/VLOOKUP(A326,database!A:K,11,)</f>
        <v>2.075611564121559E-2</v>
      </c>
    </row>
    <row r="339" spans="1:3" x14ac:dyDescent="0.2">
      <c r="A339" s="38">
        <v>34608</v>
      </c>
      <c r="B339" s="39">
        <f>VLOOKUP(Table8[[#This Row],[Month]],database!A:J,MATCH('Capacity Utilization'!$A$1,database!$A$1:$J$1,),)</f>
        <v>84.1798</v>
      </c>
      <c r="C339" s="69">
        <f>(VLOOKUP(A339,database!A:K,11,) - VLOOKUP(A327,database!A:K,11,))/VLOOKUP(A327,database!A:K,11,)</f>
        <v>1.7777777777777819E-2</v>
      </c>
    </row>
    <row r="340" spans="1:3" x14ac:dyDescent="0.2">
      <c r="A340" s="38">
        <v>34639</v>
      </c>
      <c r="B340" s="39">
        <f>VLOOKUP(Table8[[#This Row],[Month]],database!A:J,MATCH('Capacity Utilization'!$A$1,database!$A$1:$J$1,),)</f>
        <v>84.465999999999994</v>
      </c>
      <c r="C340" s="69">
        <f>(VLOOKUP(A340,database!A:K,11,) - VLOOKUP(A328,database!A:K,11,))/VLOOKUP(A328,database!A:K,11,)</f>
        <v>1.69992609016998E-2</v>
      </c>
    </row>
    <row r="341" spans="1:3" x14ac:dyDescent="0.2">
      <c r="A341" s="38">
        <v>34669</v>
      </c>
      <c r="B341" s="39">
        <f>VLOOKUP(Table8[[#This Row],[Month]],database!A:J,MATCH('Capacity Utilization'!$A$1,database!$A$1:$J$1,),)</f>
        <v>84.998900000000006</v>
      </c>
      <c r="C341" s="69">
        <f>(VLOOKUP(A341,database!A:K,11,) - VLOOKUP(A329,database!A:K,11,))/VLOOKUP(A329,database!A:K,11,)</f>
        <v>1.6212232866617667E-2</v>
      </c>
    </row>
    <row r="342" spans="1:3" x14ac:dyDescent="0.2">
      <c r="A342" s="38">
        <v>34700</v>
      </c>
      <c r="B342" s="39">
        <f>VLOOKUP(Table8[[#This Row],[Month]],database!A:J,MATCH('Capacity Utilization'!$A$1,database!$A$1:$J$1,),)</f>
        <v>84.886799999999994</v>
      </c>
      <c r="C342" s="69">
        <f>(VLOOKUP(A342,database!A:K,11,) - VLOOKUP(A330,database!A:K,11,))/VLOOKUP(A330,database!A:K,11,)</f>
        <v>1.5407190022010228E-2</v>
      </c>
    </row>
    <row r="343" spans="1:3" x14ac:dyDescent="0.2">
      <c r="A343" s="38">
        <v>34731</v>
      </c>
      <c r="B343" s="39">
        <f>VLOOKUP(Table8[[#This Row],[Month]],database!A:J,MATCH('Capacity Utilization'!$A$1,database!$A$1:$J$1,),)</f>
        <v>84.481099999999998</v>
      </c>
      <c r="C343" s="69">
        <f>(VLOOKUP(A343,database!A:K,11,) - VLOOKUP(A331,database!A:K,11,))/VLOOKUP(A331,database!A:K,11,)</f>
        <v>1.7608217168011569E-2</v>
      </c>
    </row>
    <row r="344" spans="1:3" x14ac:dyDescent="0.2">
      <c r="A344" s="38">
        <v>34759</v>
      </c>
      <c r="B344" s="39">
        <f>VLOOKUP(Table8[[#This Row],[Month]],database!A:J,MATCH('Capacity Utilization'!$A$1,database!$A$1:$J$1,),)</f>
        <v>84.3172</v>
      </c>
      <c r="C344" s="69">
        <f>(VLOOKUP(A344,database!A:K,11,) - VLOOKUP(A332,database!A:K,11,))/VLOOKUP(A332,database!A:K,11,)</f>
        <v>1.9061583577712569E-2</v>
      </c>
    </row>
    <row r="345" spans="1:3" x14ac:dyDescent="0.2">
      <c r="A345" s="38">
        <v>34790</v>
      </c>
      <c r="B345" s="39">
        <f>VLOOKUP(Table8[[#This Row],[Month]],database!A:J,MATCH('Capacity Utilization'!$A$1,database!$A$1:$J$1,),)</f>
        <v>83.884100000000004</v>
      </c>
      <c r="C345" s="69">
        <f>(VLOOKUP(A345,database!A:K,11,) - VLOOKUP(A333,database!A:K,11,))/VLOOKUP(A333,database!A:K,11,)</f>
        <v>1.9765739385066011E-2</v>
      </c>
    </row>
    <row r="346" spans="1:3" x14ac:dyDescent="0.2">
      <c r="A346" s="38">
        <v>34820</v>
      </c>
      <c r="B346" s="39">
        <f>VLOOKUP(Table8[[#This Row],[Month]],database!A:J,MATCH('Capacity Utilization'!$A$1,database!$A$1:$J$1,),)</f>
        <v>83.9709</v>
      </c>
      <c r="C346" s="69">
        <f>(VLOOKUP(A346,database!A:K,11,) - VLOOKUP(A334,database!A:K,11,))/VLOOKUP(A334,database!A:K,11,)</f>
        <v>1.9708029197080208E-2</v>
      </c>
    </row>
    <row r="347" spans="1:3" x14ac:dyDescent="0.2">
      <c r="A347" s="38">
        <v>34851</v>
      </c>
      <c r="B347" s="39">
        <f>VLOOKUP(Table8[[#This Row],[Month]],database!A:J,MATCH('Capacity Utilization'!$A$1,database!$A$1:$J$1,),)</f>
        <v>83.937600000000003</v>
      </c>
      <c r="C347" s="69">
        <f>(VLOOKUP(A347,database!A:K,11,) - VLOOKUP(A335,database!A:K,11,))/VLOOKUP(A335,database!A:K,11,)</f>
        <v>1.8950437317784424E-2</v>
      </c>
    </row>
    <row r="348" spans="1:3" x14ac:dyDescent="0.2">
      <c r="A348" s="38">
        <v>34881</v>
      </c>
      <c r="B348" s="39">
        <f>VLOOKUP(Table8[[#This Row],[Month]],database!A:J,MATCH('Capacity Utilization'!$A$1,database!$A$1:$J$1,),)</f>
        <v>83.267099999999999</v>
      </c>
      <c r="C348" s="69">
        <f>(VLOOKUP(A348,database!A:K,11,) - VLOOKUP(A336,database!A:K,11,))/VLOOKUP(A336,database!A:K,11,)</f>
        <v>2.1121631463947393E-2</v>
      </c>
    </row>
    <row r="349" spans="1:3" x14ac:dyDescent="0.2">
      <c r="A349" s="38">
        <v>34912</v>
      </c>
      <c r="B349" s="39">
        <f>VLOOKUP(Table8[[#This Row],[Month]],database!A:J,MATCH('Capacity Utilization'!$A$1,database!$A$1:$J$1,),)</f>
        <v>84.034199999999998</v>
      </c>
      <c r="C349" s="69">
        <f>(VLOOKUP(A349,database!A:K,11,) - VLOOKUP(A337,database!A:K,11,))/VLOOKUP(A337,database!A:K,11,)</f>
        <v>1.8895348837209263E-2</v>
      </c>
    </row>
    <row r="350" spans="1:3" x14ac:dyDescent="0.2">
      <c r="A350" s="38">
        <v>34943</v>
      </c>
      <c r="B350" s="39">
        <f>VLOOKUP(Table8[[#This Row],[Month]],database!A:J,MATCH('Capacity Utilization'!$A$1,database!$A$1:$J$1,),)</f>
        <v>84.033900000000003</v>
      </c>
      <c r="C350" s="69">
        <f>(VLOOKUP(A350,database!A:K,11,) - VLOOKUP(A338,database!A:K,11,))/VLOOKUP(A338,database!A:K,11,)</f>
        <v>1.8155410312273058E-2</v>
      </c>
    </row>
    <row r="351" spans="1:3" x14ac:dyDescent="0.2">
      <c r="A351" s="38">
        <v>34973</v>
      </c>
      <c r="B351" s="39">
        <f>VLOOKUP(Table8[[#This Row],[Month]],database!A:J,MATCH('Capacity Utilization'!$A$1,database!$A$1:$J$1,),)</f>
        <v>83.558300000000003</v>
      </c>
      <c r="C351" s="69">
        <f>(VLOOKUP(A351,database!A:K,11,) - VLOOKUP(A339,database!A:K,11,))/VLOOKUP(A339,database!A:K,11,)</f>
        <v>2.6200873362445372E-2</v>
      </c>
    </row>
    <row r="352" spans="1:3" x14ac:dyDescent="0.2">
      <c r="A352" s="38">
        <v>35004</v>
      </c>
      <c r="B352" s="39">
        <f>VLOOKUP(Table8[[#This Row],[Month]],database!A:J,MATCH('Capacity Utilization'!$A$1,database!$A$1:$J$1,),)</f>
        <v>83.403800000000004</v>
      </c>
      <c r="C352" s="69">
        <f>(VLOOKUP(A352,database!A:K,11,) - VLOOKUP(A340,database!A:K,11,))/VLOOKUP(A340,database!A:K,11,)</f>
        <v>2.6889534883721054E-2</v>
      </c>
    </row>
    <row r="353" spans="1:3" x14ac:dyDescent="0.2">
      <c r="A353" s="38">
        <v>35034</v>
      </c>
      <c r="B353" s="39">
        <f>VLOOKUP(Table8[[#This Row],[Month]],database!A:J,MATCH('Capacity Utilization'!$A$1,database!$A$1:$J$1,),)</f>
        <v>83.330100000000002</v>
      </c>
      <c r="C353" s="69">
        <f>(VLOOKUP(A353,database!A:K,11,) - VLOOKUP(A341,database!A:K,11,))/VLOOKUP(A341,database!A:K,11,)</f>
        <v>2.610587382160982E-2</v>
      </c>
    </row>
    <row r="354" spans="1:3" x14ac:dyDescent="0.2">
      <c r="A354" s="38">
        <v>35065</v>
      </c>
      <c r="B354" s="39">
        <f>VLOOKUP(Table8[[#This Row],[Month]],database!A:J,MATCH('Capacity Utilization'!$A$1,database!$A$1:$J$1,),)</f>
        <v>82.509600000000006</v>
      </c>
      <c r="C354" s="69">
        <f>(VLOOKUP(A354,database!A:K,11,) - VLOOKUP(A342,database!A:K,11,))/VLOOKUP(A342,database!A:K,11,)</f>
        <v>2.2398843930635796E-2</v>
      </c>
    </row>
    <row r="355" spans="1:3" x14ac:dyDescent="0.2">
      <c r="A355" s="38">
        <v>35096</v>
      </c>
      <c r="B355" s="39">
        <f>VLOOKUP(Table8[[#This Row],[Month]],database!A:J,MATCH('Capacity Utilization'!$A$1,database!$A$1:$J$1,),)</f>
        <v>83.314499999999995</v>
      </c>
      <c r="C355" s="69">
        <f>(VLOOKUP(A355,database!A:K,11,) - VLOOKUP(A343,database!A:K,11,))/VLOOKUP(A343,database!A:K,11,)</f>
        <v>2.0908435472242293E-2</v>
      </c>
    </row>
    <row r="356" spans="1:3" x14ac:dyDescent="0.2">
      <c r="A356" s="38">
        <v>35125</v>
      </c>
      <c r="B356" s="39">
        <f>VLOOKUP(Table8[[#This Row],[Month]],database!A:J,MATCH('Capacity Utilization'!$A$1,database!$A$1:$J$1,),)</f>
        <v>82.808099999999996</v>
      </c>
      <c r="C356" s="69">
        <f>(VLOOKUP(A356,database!A:K,11,) - VLOOKUP(A344,database!A:K,11,))/VLOOKUP(A344,database!A:K,11,)</f>
        <v>1.8705035971222982E-2</v>
      </c>
    </row>
    <row r="357" spans="1:3" x14ac:dyDescent="0.2">
      <c r="A357" s="38">
        <v>35156</v>
      </c>
      <c r="B357" s="39">
        <f>VLOOKUP(Table8[[#This Row],[Month]],database!A:J,MATCH('Capacity Utilization'!$A$1,database!$A$1:$J$1,),)</f>
        <v>83.254400000000004</v>
      </c>
      <c r="C357" s="69">
        <f>(VLOOKUP(A357,database!A:K,11,) - VLOOKUP(A345,database!A:K,11,))/VLOOKUP(A345,database!A:K,11,)</f>
        <v>1.6511127063890758E-2</v>
      </c>
    </row>
    <row r="358" spans="1:3" x14ac:dyDescent="0.2">
      <c r="A358" s="38">
        <v>35186</v>
      </c>
      <c r="B358" s="39">
        <f>VLOOKUP(Table8[[#This Row],[Month]],database!A:J,MATCH('Capacity Utilization'!$A$1,database!$A$1:$J$1,),)</f>
        <v>83.487200000000001</v>
      </c>
      <c r="C358" s="69">
        <f>(VLOOKUP(A358,database!A:K,11,) - VLOOKUP(A346,database!A:K,11,))/VLOOKUP(A346,database!A:K,11,)</f>
        <v>1.6463851109520485E-2</v>
      </c>
    </row>
    <row r="359" spans="1:3" x14ac:dyDescent="0.2">
      <c r="A359" s="38">
        <v>35217</v>
      </c>
      <c r="B359" s="39">
        <f>VLOOKUP(Table8[[#This Row],[Month]],database!A:J,MATCH('Capacity Utilization'!$A$1,database!$A$1:$J$1,),)</f>
        <v>83.719200000000001</v>
      </c>
      <c r="C359" s="69">
        <f>(VLOOKUP(A359,database!A:K,11,) - VLOOKUP(A347,database!A:K,11,))/VLOOKUP(A347,database!A:K,11,)</f>
        <v>1.7167381974248764E-2</v>
      </c>
    </row>
    <row r="360" spans="1:3" x14ac:dyDescent="0.2">
      <c r="A360" s="38">
        <v>35247</v>
      </c>
      <c r="B360" s="39">
        <f>VLOOKUP(Table8[[#This Row],[Month]],database!A:J,MATCH('Capacity Utilization'!$A$1,database!$A$1:$J$1,),)</f>
        <v>83.333200000000005</v>
      </c>
      <c r="C360" s="69">
        <f>(VLOOKUP(A360,database!A:K,11,) - VLOOKUP(A348,database!A:K,11,))/VLOOKUP(A348,database!A:K,11,)</f>
        <v>1.4265335235378032E-2</v>
      </c>
    </row>
    <row r="361" spans="1:3" x14ac:dyDescent="0.2">
      <c r="A361" s="38">
        <v>35278</v>
      </c>
      <c r="B361" s="39">
        <f>VLOOKUP(Table8[[#This Row],[Month]],database!A:J,MATCH('Capacity Utilization'!$A$1,database!$A$1:$J$1,),)</f>
        <v>83.366299999999995</v>
      </c>
      <c r="C361" s="69">
        <f>(VLOOKUP(A361,database!A:K,11,) - VLOOKUP(A349,database!A:K,11,))/VLOOKUP(A349,database!A:K,11,)</f>
        <v>1.4978601997147097E-2</v>
      </c>
    </row>
    <row r="362" spans="1:3" x14ac:dyDescent="0.2">
      <c r="A362" s="38">
        <v>35309</v>
      </c>
      <c r="B362" s="39">
        <f>VLOOKUP(Table8[[#This Row],[Month]],database!A:J,MATCH('Capacity Utilization'!$A$1,database!$A$1:$J$1,),)</f>
        <v>83.515000000000001</v>
      </c>
      <c r="C362" s="69">
        <f>(VLOOKUP(A362,database!A:K,11,) - VLOOKUP(A350,database!A:K,11,))/VLOOKUP(A350,database!A:K,11,)</f>
        <v>1.4265335235378032E-2</v>
      </c>
    </row>
    <row r="363" spans="1:3" x14ac:dyDescent="0.2">
      <c r="A363" s="38">
        <v>35339</v>
      </c>
      <c r="B363" s="39">
        <f>VLOOKUP(Table8[[#This Row],[Month]],database!A:J,MATCH('Capacity Utilization'!$A$1,database!$A$1:$J$1,),)</f>
        <v>83.112399999999994</v>
      </c>
      <c r="C363" s="69">
        <f>(VLOOKUP(A363,database!A:K,11,) - VLOOKUP(A351,database!A:K,11,))/VLOOKUP(A351,database!A:K,11,)</f>
        <v>9.2198581560284498E-3</v>
      </c>
    </row>
    <row r="364" spans="1:3" x14ac:dyDescent="0.2">
      <c r="A364" s="38">
        <v>35370</v>
      </c>
      <c r="B364" s="39">
        <f>VLOOKUP(Table8[[#This Row],[Month]],database!A:J,MATCH('Capacity Utilization'!$A$1,database!$A$1:$J$1,),)</f>
        <v>83.446200000000005</v>
      </c>
      <c r="C364" s="69">
        <f>(VLOOKUP(A364,database!A:K,11,) - VLOOKUP(A352,database!A:K,11,))/VLOOKUP(A352,database!A:K,11,)</f>
        <v>5.6617126680819736E-3</v>
      </c>
    </row>
    <row r="365" spans="1:3" x14ac:dyDescent="0.2">
      <c r="A365" s="38">
        <v>35400</v>
      </c>
      <c r="B365" s="39">
        <f>VLOOKUP(Table8[[#This Row],[Month]],database!A:J,MATCH('Capacity Utilization'!$A$1,database!$A$1:$J$1,),)</f>
        <v>83.568899999999999</v>
      </c>
      <c r="C365" s="69">
        <f>(VLOOKUP(A365,database!A:K,11,) - VLOOKUP(A353,database!A:K,11,))/VLOOKUP(A353,database!A:K,11,)</f>
        <v>5.6537102473499037E-3</v>
      </c>
    </row>
    <row r="366" spans="1:3" x14ac:dyDescent="0.2">
      <c r="A366" s="38">
        <v>35431</v>
      </c>
      <c r="B366" s="39">
        <f>VLOOKUP(Table8[[#This Row],[Month]],database!A:J,MATCH('Capacity Utilization'!$A$1,database!$A$1:$J$1,),)</f>
        <v>83.319900000000004</v>
      </c>
      <c r="C366" s="69">
        <f>(VLOOKUP(A366,database!A:K,11,) - VLOOKUP(A354,database!A:K,11,))/VLOOKUP(A354,database!A:K,11,)</f>
        <v>7.0671378091872791E-3</v>
      </c>
    </row>
    <row r="367" spans="1:3" x14ac:dyDescent="0.2">
      <c r="A367" s="38">
        <v>35462</v>
      </c>
      <c r="B367" s="39">
        <f>VLOOKUP(Table8[[#This Row],[Month]],database!A:J,MATCH('Capacity Utilization'!$A$1,database!$A$1:$J$1,),)</f>
        <v>83.889499999999998</v>
      </c>
      <c r="C367" s="69">
        <f>(VLOOKUP(A367,database!A:K,11,) - VLOOKUP(A355,database!A:K,11,))/VLOOKUP(A355,database!A:K,11,)</f>
        <v>5.6497175141243744E-3</v>
      </c>
    </row>
    <row r="368" spans="1:3" x14ac:dyDescent="0.2">
      <c r="A368" s="38">
        <v>35490</v>
      </c>
      <c r="B368" s="39">
        <f>VLOOKUP(Table8[[#This Row],[Month]],database!A:J,MATCH('Capacity Utilization'!$A$1,database!$A$1:$J$1,),)</f>
        <v>83.990300000000005</v>
      </c>
      <c r="C368" s="69">
        <f>(VLOOKUP(A368,database!A:K,11,) - VLOOKUP(A356,database!A:K,11,))/VLOOKUP(A356,database!A:K,11,)</f>
        <v>7.0621468926553672E-3</v>
      </c>
    </row>
    <row r="369" spans="1:3" x14ac:dyDescent="0.2">
      <c r="A369" s="38">
        <v>35521</v>
      </c>
      <c r="B369" s="39">
        <f>VLOOKUP(Table8[[#This Row],[Month]],database!A:J,MATCH('Capacity Utilization'!$A$1,database!$A$1:$J$1,),)</f>
        <v>83.633300000000006</v>
      </c>
      <c r="C369" s="69">
        <f>(VLOOKUP(A369,database!A:K,11,) - VLOOKUP(A357,database!A:K,11,))/VLOOKUP(A357,database!A:K,11,)</f>
        <v>7.0621468926553672E-3</v>
      </c>
    </row>
    <row r="370" spans="1:3" x14ac:dyDescent="0.2">
      <c r="A370" s="38">
        <v>35551</v>
      </c>
      <c r="B370" s="39">
        <f>VLOOKUP(Table8[[#This Row],[Month]],database!A:J,MATCH('Capacity Utilization'!$A$1,database!$A$1:$J$1,),)</f>
        <v>83.657300000000006</v>
      </c>
      <c r="C370" s="69">
        <f>(VLOOKUP(A370,database!A:K,11,) - VLOOKUP(A358,database!A:K,11,))/VLOOKUP(A358,database!A:K,11,)</f>
        <v>2.8169014084507443E-3</v>
      </c>
    </row>
    <row r="371" spans="1:3" x14ac:dyDescent="0.2">
      <c r="A371" s="38">
        <v>35582</v>
      </c>
      <c r="B371" s="39">
        <f>VLOOKUP(Table8[[#This Row],[Month]],database!A:J,MATCH('Capacity Utilization'!$A$1,database!$A$1:$J$1,),)</f>
        <v>83.590400000000002</v>
      </c>
      <c r="C371" s="69">
        <f>(VLOOKUP(A371,database!A:K,11,) - VLOOKUP(A359,database!A:K,11,))/VLOOKUP(A359,database!A:K,11,)</f>
        <v>1.4064697609002606E-3</v>
      </c>
    </row>
    <row r="372" spans="1:3" x14ac:dyDescent="0.2">
      <c r="A372" s="38">
        <v>35612</v>
      </c>
      <c r="B372" s="39">
        <f>VLOOKUP(Table8[[#This Row],[Month]],database!A:J,MATCH('Capacity Utilization'!$A$1,database!$A$1:$J$1,),)</f>
        <v>83.815700000000007</v>
      </c>
      <c r="C372" s="69">
        <f>(VLOOKUP(A372,database!A:K,11,) - VLOOKUP(A360,database!A:K,11,))/VLOOKUP(A360,database!A:K,11,)</f>
        <v>0</v>
      </c>
    </row>
    <row r="373" spans="1:3" x14ac:dyDescent="0.2">
      <c r="A373" s="38">
        <v>35643</v>
      </c>
      <c r="B373" s="39">
        <f>VLOOKUP(Table8[[#This Row],[Month]],database!A:J,MATCH('Capacity Utilization'!$A$1,database!$A$1:$J$1,),)</f>
        <v>84.158000000000001</v>
      </c>
      <c r="C373" s="69">
        <f>(VLOOKUP(A373,database!A:K,11,) - VLOOKUP(A361,database!A:K,11,))/VLOOKUP(A361,database!A:K,11,)</f>
        <v>0</v>
      </c>
    </row>
    <row r="374" spans="1:3" x14ac:dyDescent="0.2">
      <c r="A374" s="38">
        <v>35674</v>
      </c>
      <c r="B374" s="39">
        <f>VLOOKUP(Table8[[#This Row],[Month]],database!A:J,MATCH('Capacity Utilization'!$A$1,database!$A$1:$J$1,),)</f>
        <v>84.426900000000003</v>
      </c>
      <c r="C374" s="69">
        <f>(VLOOKUP(A374,database!A:K,11,) - VLOOKUP(A362,database!A:K,11,))/VLOOKUP(A362,database!A:K,11,)</f>
        <v>2.8129395218003217E-3</v>
      </c>
    </row>
    <row r="375" spans="1:3" x14ac:dyDescent="0.2">
      <c r="A375" s="38">
        <v>35704</v>
      </c>
      <c r="B375" s="39">
        <f>VLOOKUP(Table8[[#This Row],[Month]],database!A:J,MATCH('Capacity Utilization'!$A$1,database!$A$1:$J$1,),)</f>
        <v>84.633899999999997</v>
      </c>
      <c r="C375" s="69">
        <f>(VLOOKUP(A375,database!A:K,11,) - VLOOKUP(A363,database!A:K,11,))/VLOOKUP(A363,database!A:K,11,)</f>
        <v>2.1082220660575048E-3</v>
      </c>
    </row>
    <row r="376" spans="1:3" x14ac:dyDescent="0.2">
      <c r="A376" s="38">
        <v>35735</v>
      </c>
      <c r="B376" s="39">
        <f>VLOOKUP(Table8[[#This Row],[Month]],database!A:J,MATCH('Capacity Utilization'!$A$1,database!$A$1:$J$1,),)</f>
        <v>84.762900000000002</v>
      </c>
      <c r="C376" s="69">
        <f>(VLOOKUP(A376,database!A:K,11,) - VLOOKUP(A364,database!A:K,11,))/VLOOKUP(A364,database!A:K,11,)</f>
        <v>2.1111893033076098E-3</v>
      </c>
    </row>
    <row r="377" spans="1:3" x14ac:dyDescent="0.2">
      <c r="A377" s="38">
        <v>35765</v>
      </c>
      <c r="B377" s="39">
        <f>VLOOKUP(Table8[[#This Row],[Month]],database!A:J,MATCH('Capacity Utilization'!$A$1,database!$A$1:$J$1,),)</f>
        <v>84.594399999999993</v>
      </c>
      <c r="C377" s="69">
        <f>(VLOOKUP(A377,database!A:K,11,) - VLOOKUP(A365,database!A:K,11,))/VLOOKUP(A365,database!A:K,11,)</f>
        <v>0</v>
      </c>
    </row>
    <row r="378" spans="1:3" x14ac:dyDescent="0.2">
      <c r="A378" s="38">
        <v>35796</v>
      </c>
      <c r="B378" s="39">
        <f>VLOOKUP(Table8[[#This Row],[Month]],database!A:J,MATCH('Capacity Utilization'!$A$1,database!$A$1:$J$1,),)</f>
        <v>84.419399999999996</v>
      </c>
      <c r="C378" s="69">
        <f>(VLOOKUP(A378,database!A:K,11,) - VLOOKUP(A366,database!A:K,11,))/VLOOKUP(A366,database!A:K,11,)</f>
        <v>-7.0175438596487244E-4</v>
      </c>
    </row>
    <row r="379" spans="1:3" x14ac:dyDescent="0.2">
      <c r="A379" s="38">
        <v>35827</v>
      </c>
      <c r="B379" s="39">
        <f>VLOOKUP(Table8[[#This Row],[Month]],database!A:J,MATCH('Capacity Utilization'!$A$1,database!$A$1:$J$1,),)</f>
        <v>84.0077</v>
      </c>
      <c r="C379" s="69">
        <f>(VLOOKUP(A379,database!A:K,11,) - VLOOKUP(A367,database!A:K,11,))/VLOOKUP(A367,database!A:K,11,)</f>
        <v>1.4044943820223921E-3</v>
      </c>
    </row>
    <row r="380" spans="1:3" x14ac:dyDescent="0.2">
      <c r="A380" s="38">
        <v>35855</v>
      </c>
      <c r="B380" s="39">
        <f>VLOOKUP(Table8[[#This Row],[Month]],database!A:J,MATCH('Capacity Utilization'!$A$1,database!$A$1:$J$1,),)</f>
        <v>83.496300000000005</v>
      </c>
      <c r="C380" s="69">
        <f>(VLOOKUP(A380,database!A:K,11,) - VLOOKUP(A368,database!A:K,11,))/VLOOKUP(A368,database!A:K,11,)</f>
        <v>4.9088359046284506E-3</v>
      </c>
    </row>
    <row r="381" spans="1:3" x14ac:dyDescent="0.2">
      <c r="A381" s="38">
        <v>35886</v>
      </c>
      <c r="B381" s="39">
        <f>VLOOKUP(Table8[[#This Row],[Month]],database!A:J,MATCH('Capacity Utilization'!$A$1,database!$A$1:$J$1,),)</f>
        <v>83.263300000000001</v>
      </c>
      <c r="C381" s="69">
        <f>(VLOOKUP(A381,database!A:K,11,) - VLOOKUP(A369,database!A:K,11,))/VLOOKUP(A369,database!A:K,11,)</f>
        <v>5.6100981767181722E-3</v>
      </c>
    </row>
    <row r="382" spans="1:3" x14ac:dyDescent="0.2">
      <c r="A382" s="38">
        <v>35916</v>
      </c>
      <c r="B382" s="39">
        <f>VLOOKUP(Table8[[#This Row],[Month]],database!A:J,MATCH('Capacity Utilization'!$A$1,database!$A$1:$J$1,),)</f>
        <v>83.2637</v>
      </c>
      <c r="C382" s="69">
        <f>(VLOOKUP(A382,database!A:K,11,) - VLOOKUP(A370,database!A:K,11,))/VLOOKUP(A370,database!A:K,11,)</f>
        <v>7.7247191011235554E-3</v>
      </c>
    </row>
    <row r="383" spans="1:3" x14ac:dyDescent="0.2">
      <c r="A383" s="38">
        <v>35947</v>
      </c>
      <c r="B383" s="39">
        <f>VLOOKUP(Table8[[#This Row],[Month]],database!A:J,MATCH('Capacity Utilization'!$A$1,database!$A$1:$J$1,),)</f>
        <v>82.267399999999995</v>
      </c>
      <c r="C383" s="69">
        <f>(VLOOKUP(A383,database!A:K,11,) - VLOOKUP(A371,database!A:K,11,))/VLOOKUP(A371,database!A:K,11,)</f>
        <v>7.7247191011235554E-3</v>
      </c>
    </row>
    <row r="384" spans="1:3" x14ac:dyDescent="0.2">
      <c r="A384" s="38">
        <v>35977</v>
      </c>
      <c r="B384" s="39">
        <f>VLOOKUP(Table8[[#This Row],[Month]],database!A:J,MATCH('Capacity Utilization'!$A$1,database!$A$1:$J$1,),)</f>
        <v>81.478200000000001</v>
      </c>
      <c r="C384" s="69">
        <f>(VLOOKUP(A384,database!A:K,11,) - VLOOKUP(A372,database!A:K,11,))/VLOOKUP(A372,database!A:K,11,)</f>
        <v>1.1251758087201287E-2</v>
      </c>
    </row>
    <row r="385" spans="1:3" x14ac:dyDescent="0.2">
      <c r="A385" s="38">
        <v>36008</v>
      </c>
      <c r="B385" s="39">
        <f>VLOOKUP(Table8[[#This Row],[Month]],database!A:J,MATCH('Capacity Utilization'!$A$1,database!$A$1:$J$1,),)</f>
        <v>82.712999999999994</v>
      </c>
      <c r="C385" s="69">
        <f>(VLOOKUP(A385,database!A:K,11,) - VLOOKUP(A373,database!A:K,11,))/VLOOKUP(A373,database!A:K,11,)</f>
        <v>1.0541110330288123E-2</v>
      </c>
    </row>
    <row r="386" spans="1:3" x14ac:dyDescent="0.2">
      <c r="A386" s="38">
        <v>36039</v>
      </c>
      <c r="B386" s="39">
        <f>VLOOKUP(Table8[[#This Row],[Month]],database!A:J,MATCH('Capacity Utilization'!$A$1,database!$A$1:$J$1,),)</f>
        <v>82.218999999999994</v>
      </c>
      <c r="C386" s="69">
        <f>(VLOOKUP(A386,database!A:K,11,) - VLOOKUP(A374,database!A:K,11,))/VLOOKUP(A374,database!A:K,11,)</f>
        <v>9.8176718092567016E-3</v>
      </c>
    </row>
    <row r="387" spans="1:3" x14ac:dyDescent="0.2">
      <c r="A387" s="38">
        <v>36069</v>
      </c>
      <c r="B387" s="39">
        <f>VLOOKUP(Table8[[#This Row],[Month]],database!A:J,MATCH('Capacity Utilization'!$A$1,database!$A$1:$J$1,),)</f>
        <v>82.382999999999996</v>
      </c>
      <c r="C387" s="69">
        <f>(VLOOKUP(A387,database!A:K,11,) - VLOOKUP(A375,database!A:K,11,))/VLOOKUP(A375,database!A:K,11,)</f>
        <v>1.1220196353436145E-2</v>
      </c>
    </row>
    <row r="388" spans="1:3" x14ac:dyDescent="0.2">
      <c r="A388" s="38">
        <v>36100</v>
      </c>
      <c r="B388" s="39">
        <f>VLOOKUP(Table8[[#This Row],[Month]],database!A:J,MATCH('Capacity Utilization'!$A$1,database!$A$1:$J$1,),)</f>
        <v>81.9221</v>
      </c>
      <c r="C388" s="69">
        <f>(VLOOKUP(A388,database!A:K,11,) - VLOOKUP(A376,database!A:K,11,))/VLOOKUP(A376,database!A:K,11,)</f>
        <v>1.3342696629213523E-2</v>
      </c>
    </row>
    <row r="389" spans="1:3" x14ac:dyDescent="0.2">
      <c r="A389" s="38">
        <v>36130</v>
      </c>
      <c r="B389" s="39">
        <f>VLOOKUP(Table8[[#This Row],[Month]],database!A:J,MATCH('Capacity Utilization'!$A$1,database!$A$1:$J$1,),)</f>
        <v>81.8964</v>
      </c>
      <c r="C389" s="69">
        <f>(VLOOKUP(A389,database!A:K,11,) - VLOOKUP(A377,database!A:K,11,))/VLOOKUP(A377,database!A:K,11,)</f>
        <v>2.4595924104005618E-2</v>
      </c>
    </row>
    <row r="390" spans="1:3" x14ac:dyDescent="0.2">
      <c r="A390" s="38">
        <v>36161</v>
      </c>
      <c r="B390" s="39">
        <f>VLOOKUP(Table8[[#This Row],[Month]],database!A:J,MATCH('Capacity Utilization'!$A$1,database!$A$1:$J$1,),)</f>
        <v>81.874700000000004</v>
      </c>
      <c r="C390" s="69">
        <f>(VLOOKUP(A390,database!A:K,11,) - VLOOKUP(A378,database!A:K,11,))/VLOOKUP(A378,database!A:K,11,)</f>
        <v>2.247191011235947E-2</v>
      </c>
    </row>
    <row r="391" spans="1:3" x14ac:dyDescent="0.2">
      <c r="A391" s="38">
        <v>36192</v>
      </c>
      <c r="B391" s="39">
        <f>VLOOKUP(Table8[[#This Row],[Month]],database!A:J,MATCH('Capacity Utilization'!$A$1,database!$A$1:$J$1,),)</f>
        <v>81.992400000000004</v>
      </c>
      <c r="C391" s="69">
        <f>(VLOOKUP(A391,database!A:K,11,) - VLOOKUP(A379,database!A:K,11,))/VLOOKUP(A379,database!A:K,11,)</f>
        <v>2.173913043478257E-2</v>
      </c>
    </row>
    <row r="392" spans="1:3" x14ac:dyDescent="0.2">
      <c r="A392" s="38">
        <v>36220</v>
      </c>
      <c r="B392" s="39">
        <f>VLOOKUP(Table8[[#This Row],[Month]],database!A:J,MATCH('Capacity Utilization'!$A$1,database!$A$1:$J$1,),)</f>
        <v>81.826300000000003</v>
      </c>
      <c r="C392" s="69">
        <f>(VLOOKUP(A392,database!A:K,11,) - VLOOKUP(A380,database!A:K,11,))/VLOOKUP(A380,database!A:K,11,)</f>
        <v>1.6748080949057761E-2</v>
      </c>
    </row>
    <row r="393" spans="1:3" x14ac:dyDescent="0.2">
      <c r="A393" s="38">
        <v>36251</v>
      </c>
      <c r="B393" s="39">
        <f>VLOOKUP(Table8[[#This Row],[Month]],database!A:J,MATCH('Capacity Utilization'!$A$1,database!$A$1:$J$1,),)</f>
        <v>81.688800000000001</v>
      </c>
      <c r="C393" s="69">
        <f>(VLOOKUP(A393,database!A:K,11,) - VLOOKUP(A381,database!A:K,11,))/VLOOKUP(A381,database!A:K,11,)</f>
        <v>1.6039051603905039E-2</v>
      </c>
    </row>
    <row r="394" spans="1:3" x14ac:dyDescent="0.2">
      <c r="A394" s="38">
        <v>36281</v>
      </c>
      <c r="B394" s="39">
        <f>VLOOKUP(Table8[[#This Row],[Month]],database!A:J,MATCH('Capacity Utilization'!$A$1,database!$A$1:$J$1,),)</f>
        <v>81.871899999999997</v>
      </c>
      <c r="C394" s="69">
        <f>(VLOOKUP(A394,database!A:K,11,) - VLOOKUP(A382,database!A:K,11,))/VLOOKUP(A382,database!A:K,11,)</f>
        <v>1.5331010452961593E-2</v>
      </c>
    </row>
    <row r="395" spans="1:3" x14ac:dyDescent="0.2">
      <c r="A395" s="38">
        <v>36312</v>
      </c>
      <c r="B395" s="39">
        <f>VLOOKUP(Table8[[#This Row],[Month]],database!A:J,MATCH('Capacity Utilization'!$A$1,database!$A$1:$J$1,),)</f>
        <v>81.519099999999995</v>
      </c>
      <c r="C395" s="69">
        <f>(VLOOKUP(A395,database!A:K,11,) - VLOOKUP(A383,database!A:K,11,))/VLOOKUP(A383,database!A:K,11,)</f>
        <v>1.6027874564460011E-2</v>
      </c>
    </row>
    <row r="396" spans="1:3" x14ac:dyDescent="0.2">
      <c r="A396" s="38">
        <v>36342</v>
      </c>
      <c r="B396" s="39">
        <f>VLOOKUP(Table8[[#This Row],[Month]],database!A:J,MATCH('Capacity Utilization'!$A$1,database!$A$1:$J$1,),)</f>
        <v>81.693399999999997</v>
      </c>
      <c r="C396" s="69">
        <f>(VLOOKUP(A396,database!A:K,11,) - VLOOKUP(A384,database!A:K,11,))/VLOOKUP(A384,database!A:K,11,)</f>
        <v>1.3908205841446452E-2</v>
      </c>
    </row>
    <row r="397" spans="1:3" x14ac:dyDescent="0.2">
      <c r="A397" s="38">
        <v>36373</v>
      </c>
      <c r="B397" s="39">
        <f>VLOOKUP(Table8[[#This Row],[Month]],database!A:J,MATCH('Capacity Utilization'!$A$1,database!$A$1:$J$1,),)</f>
        <v>81.760900000000007</v>
      </c>
      <c r="C397" s="69">
        <f>(VLOOKUP(A397,database!A:K,11,) - VLOOKUP(A385,database!A:K,11,))/VLOOKUP(A385,database!A:K,11,)</f>
        <v>1.3212795549373971E-2</v>
      </c>
    </row>
    <row r="398" spans="1:3" x14ac:dyDescent="0.2">
      <c r="A398" s="38">
        <v>36404</v>
      </c>
      <c r="B398" s="39">
        <f>VLOOKUP(Table8[[#This Row],[Month]],database!A:J,MATCH('Capacity Utilization'!$A$1,database!$A$1:$J$1,),)</f>
        <v>81.125200000000007</v>
      </c>
      <c r="C398" s="69">
        <f>(VLOOKUP(A398,database!A:K,11,) - VLOOKUP(A386,database!A:K,11,))/VLOOKUP(A386,database!A:K,11,)</f>
        <v>1.7361111111111112E-2</v>
      </c>
    </row>
    <row r="399" spans="1:3" x14ac:dyDescent="0.2">
      <c r="A399" s="38">
        <v>36434</v>
      </c>
      <c r="B399" s="39">
        <f>VLOOKUP(Table8[[#This Row],[Month]],database!A:J,MATCH('Capacity Utilization'!$A$1,database!$A$1:$J$1,),)</f>
        <v>81.886399999999995</v>
      </c>
      <c r="C399" s="69">
        <f>(VLOOKUP(A399,database!A:K,11,) - VLOOKUP(A387,database!A:K,11,))/VLOOKUP(A387,database!A:K,11,)</f>
        <v>1.8723994452149912E-2</v>
      </c>
    </row>
    <row r="400" spans="1:3" x14ac:dyDescent="0.2">
      <c r="A400" s="38">
        <v>36465</v>
      </c>
      <c r="B400" s="39">
        <f>VLOOKUP(Table8[[#This Row],[Month]],database!A:J,MATCH('Capacity Utilization'!$A$1,database!$A$1:$J$1,),)</f>
        <v>82.025300000000001</v>
      </c>
      <c r="C400" s="69">
        <f>(VLOOKUP(A400,database!A:K,11,) - VLOOKUP(A388,database!A:K,11,))/VLOOKUP(A388,database!A:K,11,)</f>
        <v>1.8018018018017976E-2</v>
      </c>
    </row>
    <row r="401" spans="1:3" x14ac:dyDescent="0.2">
      <c r="A401" s="38">
        <v>36495</v>
      </c>
      <c r="B401" s="39">
        <f>VLOOKUP(Table8[[#This Row],[Month]],database!A:J,MATCH('Capacity Utilization'!$A$1,database!$A$1:$J$1,),)</f>
        <v>82.384</v>
      </c>
      <c r="C401" s="69">
        <f>(VLOOKUP(A401,database!A:K,11,) - VLOOKUP(A389,database!A:K,11,))/VLOOKUP(A389,database!A:K,11,)</f>
        <v>8.2304526748970402E-3</v>
      </c>
    </row>
    <row r="402" spans="1:3" x14ac:dyDescent="0.2">
      <c r="A402" s="38">
        <v>36526</v>
      </c>
      <c r="B402" s="39">
        <f>VLOOKUP(Table8[[#This Row],[Month]],database!A:J,MATCH('Capacity Utilization'!$A$1,database!$A$1:$J$1,),)</f>
        <v>82.052800000000005</v>
      </c>
      <c r="C402" s="69">
        <f>(VLOOKUP(A402,database!A:K,11,) - VLOOKUP(A390,database!A:K,11,))/VLOOKUP(A390,database!A:K,11,)</f>
        <v>8.2417582417583599E-3</v>
      </c>
    </row>
    <row r="403" spans="1:3" x14ac:dyDescent="0.2">
      <c r="A403" s="38">
        <v>36557</v>
      </c>
      <c r="B403" s="39">
        <f>VLOOKUP(Table8[[#This Row],[Month]],database!A:J,MATCH('Capacity Utilization'!$A$1,database!$A$1:$J$1,),)</f>
        <v>82.073300000000003</v>
      </c>
      <c r="C403" s="69">
        <f>(VLOOKUP(A403,database!A:K,11,) - VLOOKUP(A391,database!A:K,11,))/VLOOKUP(A391,database!A:K,11,)</f>
        <v>1.0981468771448339E-2</v>
      </c>
    </row>
    <row r="404" spans="1:3" x14ac:dyDescent="0.2">
      <c r="A404" s="38">
        <v>36586</v>
      </c>
      <c r="B404" s="39">
        <f>VLOOKUP(Table8[[#This Row],[Month]],database!A:J,MATCH('Capacity Utilization'!$A$1,database!$A$1:$J$1,),)</f>
        <v>82.1053</v>
      </c>
      <c r="C404" s="69">
        <f>(VLOOKUP(A404,database!A:K,11,) - VLOOKUP(A392,database!A:K,11,))/VLOOKUP(A392,database!A:K,11,)</f>
        <v>1.166781056966381E-2</v>
      </c>
    </row>
    <row r="405" spans="1:3" x14ac:dyDescent="0.2">
      <c r="A405" s="38">
        <v>36617</v>
      </c>
      <c r="B405" s="39">
        <f>VLOOKUP(Table8[[#This Row],[Month]],database!A:J,MATCH('Capacity Utilization'!$A$1,database!$A$1:$J$1,),)</f>
        <v>82.338700000000003</v>
      </c>
      <c r="C405" s="69">
        <f>(VLOOKUP(A405,database!A:K,11,) - VLOOKUP(A393,database!A:K,11,))/VLOOKUP(A393,database!A:K,11,)</f>
        <v>1.166781056966381E-2</v>
      </c>
    </row>
    <row r="406" spans="1:3" x14ac:dyDescent="0.2">
      <c r="A406" s="38">
        <v>36647</v>
      </c>
      <c r="B406" s="39">
        <f>VLOOKUP(Table8[[#This Row],[Month]],database!A:J,MATCH('Capacity Utilization'!$A$1,database!$A$1:$J$1,),)</f>
        <v>82.305499999999995</v>
      </c>
      <c r="C406" s="69">
        <f>(VLOOKUP(A406,database!A:K,11,) - VLOOKUP(A394,database!A:K,11,))/VLOOKUP(A394,database!A:K,11,)</f>
        <v>1.4413177762525896E-2</v>
      </c>
    </row>
    <row r="407" spans="1:3" x14ac:dyDescent="0.2">
      <c r="A407" s="38">
        <v>36678</v>
      </c>
      <c r="B407" s="39">
        <f>VLOOKUP(Table8[[#This Row],[Month]],database!A:J,MATCH('Capacity Utilization'!$A$1,database!$A$1:$J$1,),)</f>
        <v>82.079899999999995</v>
      </c>
      <c r="C407" s="69">
        <f>(VLOOKUP(A407,database!A:K,11,) - VLOOKUP(A395,database!A:K,11,))/VLOOKUP(A395,database!A:K,11,)</f>
        <v>1.3717421124828532E-2</v>
      </c>
    </row>
    <row r="408" spans="1:3" x14ac:dyDescent="0.2">
      <c r="A408" s="38">
        <v>36708</v>
      </c>
      <c r="B408" s="39">
        <f>VLOOKUP(Table8[[#This Row],[Month]],database!A:J,MATCH('Capacity Utilization'!$A$1,database!$A$1:$J$1,),)</f>
        <v>81.655199999999994</v>
      </c>
      <c r="C408" s="69">
        <f>(VLOOKUP(A408,database!A:K,11,) - VLOOKUP(A396,database!A:K,11,))/VLOOKUP(A396,database!A:K,11,)</f>
        <v>1.5775034293552693E-2</v>
      </c>
    </row>
    <row r="409" spans="1:3" x14ac:dyDescent="0.2">
      <c r="A409" s="38">
        <v>36739</v>
      </c>
      <c r="B409" s="39">
        <f>VLOOKUP(Table8[[#This Row],[Month]],database!A:J,MATCH('Capacity Utilization'!$A$1,database!$A$1:$J$1,),)</f>
        <v>81.169700000000006</v>
      </c>
      <c r="C409" s="69">
        <f>(VLOOKUP(A409,database!A:K,11,) - VLOOKUP(A397,database!A:K,11,))/VLOOKUP(A397,database!A:K,11,)</f>
        <v>1.7158544955387784E-2</v>
      </c>
    </row>
    <row r="410" spans="1:3" x14ac:dyDescent="0.2">
      <c r="A410" s="38">
        <v>36770</v>
      </c>
      <c r="B410" s="39">
        <f>VLOOKUP(Table8[[#This Row],[Month]],database!A:J,MATCH('Capacity Utilization'!$A$1,database!$A$1:$J$1,),)</f>
        <v>81.223399999999998</v>
      </c>
      <c r="C410" s="69">
        <f>(VLOOKUP(A410,database!A:K,11,) - VLOOKUP(A398,database!A:K,11,))/VLOOKUP(A398,database!A:K,11,)</f>
        <v>1.4334470989761053E-2</v>
      </c>
    </row>
    <row r="411" spans="1:3" x14ac:dyDescent="0.2">
      <c r="A411" s="38">
        <v>36800</v>
      </c>
      <c r="B411" s="39">
        <f>VLOOKUP(Table8[[#This Row],[Month]],database!A:J,MATCH('Capacity Utilization'!$A$1,database!$A$1:$J$1,),)</f>
        <v>80.682299999999998</v>
      </c>
      <c r="C411" s="69">
        <f>(VLOOKUP(A411,database!A:K,11,) - VLOOKUP(A399,database!A:K,11,))/VLOOKUP(A399,database!A:K,11,)</f>
        <v>1.0891763104152446E-2</v>
      </c>
    </row>
    <row r="412" spans="1:3" x14ac:dyDescent="0.2">
      <c r="A412" s="38">
        <v>36831</v>
      </c>
      <c r="B412" s="39">
        <f>VLOOKUP(Table8[[#This Row],[Month]],database!A:J,MATCH('Capacity Utilization'!$A$1,database!$A$1:$J$1,),)</f>
        <v>80.422799999999995</v>
      </c>
      <c r="C412" s="69">
        <f>(VLOOKUP(A412,database!A:K,11,) - VLOOKUP(A400,database!A:K,11,))/VLOOKUP(A400,database!A:K,11,)</f>
        <v>1.2253233492171429E-2</v>
      </c>
    </row>
    <row r="413" spans="1:3" x14ac:dyDescent="0.2">
      <c r="A413" s="38">
        <v>36861</v>
      </c>
      <c r="B413" s="39">
        <f>VLOOKUP(Table8[[#This Row],[Month]],database!A:J,MATCH('Capacity Utilization'!$A$1,database!$A$1:$J$1,),)</f>
        <v>79.898799999999994</v>
      </c>
      <c r="C413" s="69">
        <f>(VLOOKUP(A413,database!A:K,11,) - VLOOKUP(A401,database!A:K,11,))/VLOOKUP(A401,database!A:K,11,)</f>
        <v>1.292517006802725E-2</v>
      </c>
    </row>
    <row r="414" spans="1:3" x14ac:dyDescent="0.2">
      <c r="A414" s="38">
        <v>36892</v>
      </c>
      <c r="B414" s="39">
        <f>VLOOKUP(Table8[[#This Row],[Month]],database!A:J,MATCH('Capacity Utilization'!$A$1,database!$A$1:$J$1,),)</f>
        <v>79.210300000000004</v>
      </c>
      <c r="C414" s="69">
        <f>(VLOOKUP(A414,database!A:K,11,) - VLOOKUP(A402,database!A:K,11,))/VLOOKUP(A402,database!A:K,11,)</f>
        <v>1.8392370572207006E-2</v>
      </c>
    </row>
    <row r="415" spans="1:3" x14ac:dyDescent="0.2">
      <c r="A415" s="38">
        <v>36923</v>
      </c>
      <c r="B415" s="39">
        <f>VLOOKUP(Table8[[#This Row],[Month]],database!A:J,MATCH('Capacity Utilization'!$A$1,database!$A$1:$J$1,),)</f>
        <v>78.427700000000002</v>
      </c>
      <c r="C415" s="69">
        <f>(VLOOKUP(A415,database!A:K,11,) - VLOOKUP(A403,database!A:K,11,))/VLOOKUP(A403,database!A:K,11,)</f>
        <v>1.2898845892735758E-2</v>
      </c>
    </row>
    <row r="416" spans="1:3" x14ac:dyDescent="0.2">
      <c r="A416" s="38">
        <v>36951</v>
      </c>
      <c r="B416" s="39">
        <f>VLOOKUP(Table8[[#This Row],[Month]],database!A:J,MATCH('Capacity Utilization'!$A$1,database!$A$1:$J$1,),)</f>
        <v>77.987700000000004</v>
      </c>
      <c r="C416" s="69">
        <f>(VLOOKUP(A416,database!A:K,11,) - VLOOKUP(A404,database!A:K,11,))/VLOOKUP(A404,database!A:K,11,)</f>
        <v>1.4246947082767939E-2</v>
      </c>
    </row>
    <row r="417" spans="1:3" x14ac:dyDescent="0.2">
      <c r="A417" s="38">
        <v>36982</v>
      </c>
      <c r="B417" s="39">
        <f>VLOOKUP(Table8[[#This Row],[Month]],database!A:J,MATCH('Capacity Utilization'!$A$1,database!$A$1:$J$1,),)</f>
        <v>77.500799999999998</v>
      </c>
      <c r="C417" s="69">
        <f>(VLOOKUP(A417,database!A:K,11,) - VLOOKUP(A405,database!A:K,11,))/VLOOKUP(A405,database!A:K,11,)</f>
        <v>1.6282225237449155E-2</v>
      </c>
    </row>
    <row r="418" spans="1:3" x14ac:dyDescent="0.2">
      <c r="A418" s="38">
        <v>37012</v>
      </c>
      <c r="B418" s="39">
        <f>VLOOKUP(Table8[[#This Row],[Month]],database!A:J,MATCH('Capacity Utilization'!$A$1,database!$A$1:$J$1,),)</f>
        <v>76.8523</v>
      </c>
      <c r="C418" s="69">
        <f>(VLOOKUP(A418,database!A:K,11,) - VLOOKUP(A406,database!A:K,11,))/VLOOKUP(A406,database!A:K,11,)</f>
        <v>1.5561569688768489E-2</v>
      </c>
    </row>
    <row r="419" spans="1:3" x14ac:dyDescent="0.2">
      <c r="A419" s="38">
        <v>37043</v>
      </c>
      <c r="B419" s="39">
        <f>VLOOKUP(Table8[[#This Row],[Month]],database!A:J,MATCH('Capacity Utilization'!$A$1,database!$A$1:$J$1,),)</f>
        <v>76.2089</v>
      </c>
      <c r="C419" s="69">
        <f>(VLOOKUP(A419,database!A:K,11,) - VLOOKUP(A407,database!A:K,11,))/VLOOKUP(A407,database!A:K,11,)</f>
        <v>1.623815967523665E-2</v>
      </c>
    </row>
    <row r="420" spans="1:3" x14ac:dyDescent="0.2">
      <c r="A420" s="38">
        <v>37073</v>
      </c>
      <c r="B420" s="39">
        <f>VLOOKUP(Table8[[#This Row],[Month]],database!A:J,MATCH('Capacity Utilization'!$A$1,database!$A$1:$J$1,),)</f>
        <v>75.563299999999998</v>
      </c>
      <c r="C420" s="69">
        <f>(VLOOKUP(A420,database!A:K,11,) - VLOOKUP(A408,database!A:K,11,))/VLOOKUP(A408,database!A:K,11,)</f>
        <v>1.6205266711681335E-2</v>
      </c>
    </row>
    <row r="421" spans="1:3" x14ac:dyDescent="0.2">
      <c r="A421" s="38">
        <v>37104</v>
      </c>
      <c r="B421" s="39">
        <f>VLOOKUP(Table8[[#This Row],[Month]],database!A:J,MATCH('Capacity Utilization'!$A$1,database!$A$1:$J$1,),)</f>
        <v>75.289100000000005</v>
      </c>
      <c r="C421" s="69">
        <f>(VLOOKUP(A421,database!A:K,11,) - VLOOKUP(A409,database!A:K,11,))/VLOOKUP(A409,database!A:K,11,)</f>
        <v>1.5519568151147176E-2</v>
      </c>
    </row>
    <row r="422" spans="1:3" x14ac:dyDescent="0.2">
      <c r="A422" s="38">
        <v>37135</v>
      </c>
      <c r="B422" s="39">
        <f>VLOOKUP(Table8[[#This Row],[Month]],database!A:J,MATCH('Capacity Utilization'!$A$1,database!$A$1:$J$1,),)</f>
        <v>74.7196</v>
      </c>
      <c r="C422" s="69">
        <f>(VLOOKUP(A422,database!A:K,11,) - VLOOKUP(A410,database!A:K,11,))/VLOOKUP(A410,database!A:K,11,)</f>
        <v>1.4131897711978429E-2</v>
      </c>
    </row>
    <row r="423" spans="1:3" x14ac:dyDescent="0.2">
      <c r="A423" s="38">
        <v>37165</v>
      </c>
      <c r="B423" s="39">
        <f>VLOOKUP(Table8[[#This Row],[Month]],database!A:J,MATCH('Capacity Utilization'!$A$1,database!$A$1:$J$1,),)</f>
        <v>74.3309</v>
      </c>
      <c r="C423" s="69">
        <f>(VLOOKUP(A423,database!A:K,11,) - VLOOKUP(A411,database!A:K,11,))/VLOOKUP(A411,database!A:K,11,)</f>
        <v>8.7542087542088302E-3</v>
      </c>
    </row>
    <row r="424" spans="1:3" x14ac:dyDescent="0.2">
      <c r="A424" s="38">
        <v>37196</v>
      </c>
      <c r="B424" s="39">
        <f>VLOOKUP(Table8[[#This Row],[Month]],database!A:J,MATCH('Capacity Utilization'!$A$1,database!$A$1:$J$1,),)</f>
        <v>73.753500000000003</v>
      </c>
      <c r="C424" s="69">
        <f>(VLOOKUP(A424,database!A:K,11,) - VLOOKUP(A412,database!A:K,11,))/VLOOKUP(A412,database!A:K,11,)</f>
        <v>1.0087424344317418E-2</v>
      </c>
    </row>
    <row r="425" spans="1:3" x14ac:dyDescent="0.2">
      <c r="A425" s="38">
        <v>37226</v>
      </c>
      <c r="B425" s="39">
        <f>VLOOKUP(Table8[[#This Row],[Month]],database!A:J,MATCH('Capacity Utilization'!$A$1,database!$A$1:$J$1,),)</f>
        <v>73.594700000000003</v>
      </c>
      <c r="C425" s="69">
        <f>(VLOOKUP(A425,database!A:K,11,) - VLOOKUP(A413,database!A:K,11,))/VLOOKUP(A413,database!A:K,11,)</f>
        <v>1.0073875083948958E-2</v>
      </c>
    </row>
    <row r="426" spans="1:3" x14ac:dyDescent="0.2">
      <c r="A426" s="38">
        <v>37257</v>
      </c>
      <c r="B426" s="39">
        <f>VLOOKUP(Table8[[#This Row],[Month]],database!A:J,MATCH('Capacity Utilization'!$A$1,database!$A$1:$J$1,),)</f>
        <v>73.986199999999997</v>
      </c>
      <c r="C426" s="69">
        <f>(VLOOKUP(A426,database!A:K,11,) - VLOOKUP(A414,database!A:K,11,))/VLOOKUP(A414,database!A:K,11,)</f>
        <v>3.3444816053511705E-3</v>
      </c>
    </row>
    <row r="427" spans="1:3" x14ac:dyDescent="0.2">
      <c r="A427" s="38">
        <v>37288</v>
      </c>
      <c r="B427" s="39">
        <f>VLOOKUP(Table8[[#This Row],[Month]],database!A:J,MATCH('Capacity Utilization'!$A$1,database!$A$1:$J$1,),)</f>
        <v>73.873599999999996</v>
      </c>
      <c r="C427" s="69">
        <f>(VLOOKUP(A427,database!A:K,11,) - VLOOKUP(A415,database!A:K,11,))/VLOOKUP(A415,database!A:K,11,)</f>
        <v>6.0321715817694757E-3</v>
      </c>
    </row>
    <row r="428" spans="1:3" x14ac:dyDescent="0.2">
      <c r="A428" s="38">
        <v>37316</v>
      </c>
      <c r="B428" s="39">
        <f>VLOOKUP(Table8[[#This Row],[Month]],database!A:J,MATCH('Capacity Utilization'!$A$1,database!$A$1:$J$1,),)</f>
        <v>74.346100000000007</v>
      </c>
      <c r="C428" s="69">
        <f>(VLOOKUP(A428,database!A:K,11,) - VLOOKUP(A416,database!A:K,11,))/VLOOKUP(A416,database!A:K,11,)</f>
        <v>3.3444816053511705E-3</v>
      </c>
    </row>
    <row r="429" spans="1:3" x14ac:dyDescent="0.2">
      <c r="A429" s="38">
        <v>37347</v>
      </c>
      <c r="B429" s="39">
        <f>VLOOKUP(Table8[[#This Row],[Month]],database!A:J,MATCH('Capacity Utilization'!$A$1,database!$A$1:$J$1,),)</f>
        <v>74.630700000000004</v>
      </c>
      <c r="C429" s="69">
        <f>(VLOOKUP(A429,database!A:K,11,) - VLOOKUP(A417,database!A:K,11,))/VLOOKUP(A417,database!A:K,11,)</f>
        <v>3.337783711615487E-3</v>
      </c>
    </row>
    <row r="430" spans="1:3" x14ac:dyDescent="0.2">
      <c r="A430" s="38">
        <v>37377</v>
      </c>
      <c r="B430" s="39">
        <f>VLOOKUP(Table8[[#This Row],[Month]],database!A:J,MATCH('Capacity Utilization'!$A$1,database!$A$1:$J$1,),)</f>
        <v>74.897000000000006</v>
      </c>
      <c r="C430" s="69">
        <f>(VLOOKUP(A430,database!A:K,11,) - VLOOKUP(A418,database!A:K,11,))/VLOOKUP(A418,database!A:K,11,)</f>
        <v>6.6622251832108143E-4</v>
      </c>
    </row>
    <row r="431" spans="1:3" x14ac:dyDescent="0.2">
      <c r="A431" s="38">
        <v>37408</v>
      </c>
      <c r="B431" s="39">
        <f>VLOOKUP(Table8[[#This Row],[Month]],database!A:J,MATCH('Capacity Utilization'!$A$1,database!$A$1:$J$1,),)</f>
        <v>75.468999999999994</v>
      </c>
      <c r="C431" s="69">
        <f>(VLOOKUP(A431,database!A:K,11,) - VLOOKUP(A419,database!A:K,11,))/VLOOKUP(A419,database!A:K,11,)</f>
        <v>1.9973368841545366E-3</v>
      </c>
    </row>
    <row r="432" spans="1:3" x14ac:dyDescent="0.2">
      <c r="A432" s="38">
        <v>37438</v>
      </c>
      <c r="B432" s="39">
        <f>VLOOKUP(Table8[[#This Row],[Month]],database!A:J,MATCH('Capacity Utilization'!$A$1,database!$A$1:$J$1,),)</f>
        <v>75.426199999999994</v>
      </c>
      <c r="C432" s="69">
        <f>(VLOOKUP(A432,database!A:K,11,) - VLOOKUP(A420,database!A:K,11,))/VLOOKUP(A420,database!A:K,11,)</f>
        <v>-3.3222591362126247E-3</v>
      </c>
    </row>
    <row r="433" spans="1:3" x14ac:dyDescent="0.2">
      <c r="A433" s="38">
        <v>37469</v>
      </c>
      <c r="B433" s="39">
        <f>VLOOKUP(Table8[[#This Row],[Month]],database!A:J,MATCH('Capacity Utilization'!$A$1,database!$A$1:$J$1,),)</f>
        <v>75.317999999999998</v>
      </c>
      <c r="C433" s="69">
        <f>(VLOOKUP(A433,database!A:K,11,) - VLOOKUP(A421,database!A:K,11,))/VLOOKUP(A421,database!A:K,11,)</f>
        <v>-3.9867109634551118E-3</v>
      </c>
    </row>
    <row r="434" spans="1:3" x14ac:dyDescent="0.2">
      <c r="A434" s="38">
        <v>37500</v>
      </c>
      <c r="B434" s="39">
        <f>VLOOKUP(Table8[[#This Row],[Month]],database!A:J,MATCH('Capacity Utilization'!$A$1,database!$A$1:$J$1,),)</f>
        <v>75.398799999999994</v>
      </c>
      <c r="C434" s="69">
        <f>(VLOOKUP(A434,database!A:K,11,) - VLOOKUP(A422,database!A:K,11,))/VLOOKUP(A422,database!A:K,11,)</f>
        <v>-2.6542800265426498E-3</v>
      </c>
    </row>
    <row r="435" spans="1:3" x14ac:dyDescent="0.2">
      <c r="A435" s="38">
        <v>37530</v>
      </c>
      <c r="B435" s="39">
        <f>VLOOKUP(Table8[[#This Row],[Month]],database!A:J,MATCH('Capacity Utilization'!$A$1,database!$A$1:$J$1,),)</f>
        <v>75.212100000000007</v>
      </c>
      <c r="C435" s="69">
        <f>(VLOOKUP(A435,database!A:K,11,) - VLOOKUP(A423,database!A:K,11,))/VLOOKUP(A423,database!A:K,11,)</f>
        <v>4.6728971962616056E-3</v>
      </c>
    </row>
    <row r="436" spans="1:3" x14ac:dyDescent="0.2">
      <c r="A436" s="38">
        <v>37561</v>
      </c>
      <c r="B436" s="39">
        <f>VLOOKUP(Table8[[#This Row],[Month]],database!A:J,MATCH('Capacity Utilization'!$A$1,database!$A$1:$J$1,),)</f>
        <v>75.642700000000005</v>
      </c>
      <c r="C436" s="69">
        <f>(VLOOKUP(A436,database!A:K,11,) - VLOOKUP(A424,database!A:K,11,))/VLOOKUP(A424,database!A:K,11,)</f>
        <v>6.6577896138497164E-4</v>
      </c>
    </row>
    <row r="437" spans="1:3" x14ac:dyDescent="0.2">
      <c r="A437" s="38">
        <v>37591</v>
      </c>
      <c r="B437" s="39">
        <f>VLOOKUP(Table8[[#This Row],[Month]],database!A:J,MATCH('Capacity Utilization'!$A$1,database!$A$1:$J$1,),)</f>
        <v>75.261700000000005</v>
      </c>
      <c r="C437" s="69">
        <f>(VLOOKUP(A437,database!A:K,11,) - VLOOKUP(A425,database!A:K,11,))/VLOOKUP(A425,database!A:K,11,)</f>
        <v>-5.9840425531915266E-3</v>
      </c>
    </row>
    <row r="438" spans="1:3" x14ac:dyDescent="0.2">
      <c r="A438" s="38">
        <v>37622</v>
      </c>
      <c r="B438" s="39">
        <f>VLOOKUP(Table8[[#This Row],[Month]],database!A:J,MATCH('Capacity Utilization'!$A$1,database!$A$1:$J$1,),)</f>
        <v>75.915400000000005</v>
      </c>
      <c r="C438" s="69">
        <f>(VLOOKUP(A438,database!A:K,11,) - VLOOKUP(A426,database!A:K,11,))/VLOOKUP(A426,database!A:K,11,)</f>
        <v>-1.3333333333332576E-3</v>
      </c>
    </row>
    <row r="439" spans="1:3" x14ac:dyDescent="0.2">
      <c r="A439" s="38">
        <v>37653</v>
      </c>
      <c r="B439" s="39">
        <f>VLOOKUP(Table8[[#This Row],[Month]],database!A:J,MATCH('Capacity Utilization'!$A$1,database!$A$1:$J$1,),)</f>
        <v>76.025599999999997</v>
      </c>
      <c r="C439" s="69">
        <f>(VLOOKUP(A439,database!A:K,11,) - VLOOKUP(A427,database!A:K,11,))/VLOOKUP(A427,database!A:K,11,)</f>
        <v>-1.3324450366421629E-3</v>
      </c>
    </row>
    <row r="440" spans="1:3" x14ac:dyDescent="0.2">
      <c r="A440" s="38">
        <v>37681</v>
      </c>
      <c r="B440" s="39">
        <f>VLOOKUP(Table8[[#This Row],[Month]],database!A:J,MATCH('Capacity Utilization'!$A$1,database!$A$1:$J$1,),)</f>
        <v>75.829499999999996</v>
      </c>
      <c r="C440" s="69">
        <f>(VLOOKUP(A440,database!A:K,11,) - VLOOKUP(A428,database!A:K,11,))/VLOOKUP(A428,database!A:K,11,)</f>
        <v>4.6666666666665907E-3</v>
      </c>
    </row>
    <row r="441" spans="1:3" x14ac:dyDescent="0.2">
      <c r="A441" s="38">
        <v>37712</v>
      </c>
      <c r="B441" s="39">
        <f>VLOOKUP(Table8[[#This Row],[Month]],database!A:J,MATCH('Capacity Utilization'!$A$1,database!$A$1:$J$1,),)</f>
        <v>75.379499999999993</v>
      </c>
      <c r="C441" s="69">
        <f>(VLOOKUP(A441,database!A:K,11,) - VLOOKUP(A429,database!A:K,11,))/VLOOKUP(A429,database!A:K,11,)</f>
        <v>-2.661343978709286E-3</v>
      </c>
    </row>
    <row r="442" spans="1:3" x14ac:dyDescent="0.2">
      <c r="A442" s="38">
        <v>37742</v>
      </c>
      <c r="B442" s="39">
        <f>VLOOKUP(Table8[[#This Row],[Month]],database!A:J,MATCH('Capacity Utilization'!$A$1,database!$A$1:$J$1,),)</f>
        <v>75.392600000000002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75.521299999999997</v>
      </c>
      <c r="C443" s="69">
        <f>(VLOOKUP(A443,database!A:K,11,) - VLOOKUP(A431,database!A:K,11,))/VLOOKUP(A431,database!A:K,11,)</f>
        <v>-2.6578073089701375E-3</v>
      </c>
    </row>
    <row r="444" spans="1:3" x14ac:dyDescent="0.2">
      <c r="A444" s="38">
        <v>37803</v>
      </c>
      <c r="B444" s="39">
        <f>VLOOKUP(Table8[[#This Row],[Month]],database!A:J,MATCH('Capacity Utilization'!$A$1,database!$A$1:$J$1,),)</f>
        <v>75.935299999999998</v>
      </c>
      <c r="C444" s="69">
        <f>(VLOOKUP(A444,database!A:K,11,) - VLOOKUP(A432,database!A:K,11,))/VLOOKUP(A432,database!A:K,11,)</f>
        <v>2.0000000000000759E-3</v>
      </c>
    </row>
    <row r="445" spans="1:3" x14ac:dyDescent="0.2">
      <c r="A445" s="38">
        <v>37834</v>
      </c>
      <c r="B445" s="39">
        <f>VLOOKUP(Table8[[#This Row],[Month]],database!A:J,MATCH('Capacity Utilization'!$A$1,database!$A$1:$J$1,),)</f>
        <v>75.7714</v>
      </c>
      <c r="C445" s="69">
        <f>(VLOOKUP(A445,database!A:K,11,) - VLOOKUP(A433,database!A:K,11,))/VLOOKUP(A433,database!A:K,11,)</f>
        <v>4.0026684456303824E-3</v>
      </c>
    </row>
    <row r="446" spans="1:3" x14ac:dyDescent="0.2">
      <c r="A446" s="38">
        <v>37865</v>
      </c>
      <c r="B446" s="39">
        <f>VLOOKUP(Table8[[#This Row],[Month]],database!A:J,MATCH('Capacity Utilization'!$A$1,database!$A$1:$J$1,),)</f>
        <v>76.285399999999996</v>
      </c>
      <c r="C446" s="69">
        <f>(VLOOKUP(A446,database!A:K,11,) - VLOOKUP(A434,database!A:K,11,))/VLOOKUP(A434,database!A:K,11,)</f>
        <v>6.6533599467727422E-4</v>
      </c>
    </row>
    <row r="447" spans="1:3" x14ac:dyDescent="0.2">
      <c r="A447" s="38">
        <v>37895</v>
      </c>
      <c r="B447" s="39">
        <f>VLOOKUP(Table8[[#This Row],[Month]],database!A:J,MATCH('Capacity Utilization'!$A$1,database!$A$1:$J$1,),)</f>
        <v>76.394300000000001</v>
      </c>
      <c r="C447" s="69">
        <f>(VLOOKUP(A447,database!A:K,11,) - VLOOKUP(A435,database!A:K,11,))/VLOOKUP(A435,database!A:K,11,)</f>
        <v>3.9867109634551118E-3</v>
      </c>
    </row>
    <row r="448" spans="1:3" x14ac:dyDescent="0.2">
      <c r="A448" s="38">
        <v>37926</v>
      </c>
      <c r="B448" s="39">
        <f>VLOOKUP(Table8[[#This Row],[Month]],database!A:J,MATCH('Capacity Utilization'!$A$1,database!$A$1:$J$1,),)</f>
        <v>76.921800000000005</v>
      </c>
      <c r="C448" s="69">
        <f>(VLOOKUP(A448,database!A:K,11,) - VLOOKUP(A436,database!A:K,11,))/VLOOKUP(A436,database!A:K,11,)</f>
        <v>4.6573519627411087E-3</v>
      </c>
    </row>
    <row r="449" spans="1:3" x14ac:dyDescent="0.2">
      <c r="A449" s="38">
        <v>37956</v>
      </c>
      <c r="B449" s="39">
        <f>VLOOKUP(Table8[[#This Row],[Month]],database!A:J,MATCH('Capacity Utilization'!$A$1,database!$A$1:$J$1,),)</f>
        <v>76.998099999999994</v>
      </c>
      <c r="C449" s="69">
        <f>(VLOOKUP(A449,database!A:K,11,) - VLOOKUP(A437,database!A:K,11,))/VLOOKUP(A437,database!A:K,11,)</f>
        <v>1.0033444816053512E-2</v>
      </c>
    </row>
    <row r="450" spans="1:3" x14ac:dyDescent="0.2">
      <c r="A450" s="38">
        <v>37987</v>
      </c>
      <c r="B450" s="39">
        <f>VLOOKUP(Table8[[#This Row],[Month]],database!A:J,MATCH('Capacity Utilization'!$A$1,database!$A$1:$J$1,),)</f>
        <v>77.138499999999993</v>
      </c>
      <c r="C450" s="69">
        <f>(VLOOKUP(A450,database!A:K,11,) - VLOOKUP(A438,database!A:K,11,))/VLOOKUP(A438,database!A:K,11,)</f>
        <v>1.0680907877169521E-2</v>
      </c>
    </row>
    <row r="451" spans="1:3" x14ac:dyDescent="0.2">
      <c r="A451" s="38">
        <v>38018</v>
      </c>
      <c r="B451" s="39">
        <f>VLOOKUP(Table8[[#This Row],[Month]],database!A:J,MATCH('Capacity Utilization'!$A$1,database!$A$1:$J$1,),)</f>
        <v>77.621099999999998</v>
      </c>
      <c r="C451" s="69">
        <f>(VLOOKUP(A451,database!A:K,11,) - VLOOKUP(A439,database!A:K,11,))/VLOOKUP(A439,database!A:K,11,)</f>
        <v>9.3395597064710179E-3</v>
      </c>
    </row>
    <row r="452" spans="1:3" x14ac:dyDescent="0.2">
      <c r="A452" s="38">
        <v>38047</v>
      </c>
      <c r="B452" s="39">
        <f>VLOOKUP(Table8[[#This Row],[Month]],database!A:J,MATCH('Capacity Utilization'!$A$1,database!$A$1:$J$1,),)</f>
        <v>77.327799999999996</v>
      </c>
      <c r="C452" s="69">
        <f>(VLOOKUP(A452,database!A:K,11,) - VLOOKUP(A440,database!A:K,11,))/VLOOKUP(A440,database!A:K,11,)</f>
        <v>7.2992700729928523E-3</v>
      </c>
    </row>
    <row r="453" spans="1:3" x14ac:dyDescent="0.2">
      <c r="A453" s="38">
        <v>38078</v>
      </c>
      <c r="B453" s="39">
        <f>VLOOKUP(Table8[[#This Row],[Month]],database!A:J,MATCH('Capacity Utilization'!$A$1,database!$A$1:$J$1,),)</f>
        <v>77.656700000000001</v>
      </c>
      <c r="C453" s="69">
        <f>(VLOOKUP(A453,database!A:K,11,) - VLOOKUP(A441,database!A:K,11,))/VLOOKUP(A441,database!A:K,11,)</f>
        <v>1.33422281521014E-2</v>
      </c>
    </row>
    <row r="454" spans="1:3" x14ac:dyDescent="0.2">
      <c r="A454" s="38">
        <v>38108</v>
      </c>
      <c r="B454" s="39">
        <f>VLOOKUP(Table8[[#This Row],[Month]],database!A:J,MATCH('Capacity Utilization'!$A$1,database!$A$1:$J$1,),)</f>
        <v>78.228399999999993</v>
      </c>
      <c r="C454" s="69">
        <f>(VLOOKUP(A454,database!A:K,11,) - VLOOKUP(A442,database!A:K,11,))/VLOOKUP(A442,database!A:K,11,)</f>
        <v>1.4656895403064737E-2</v>
      </c>
    </row>
    <row r="455" spans="1:3" x14ac:dyDescent="0.2">
      <c r="A455" s="38">
        <v>38139</v>
      </c>
      <c r="B455" s="39">
        <f>VLOOKUP(Table8[[#This Row],[Month]],database!A:J,MATCH('Capacity Utilization'!$A$1,database!$A$1:$J$1,),)</f>
        <v>77.6417</v>
      </c>
      <c r="C455" s="69">
        <f>(VLOOKUP(A455,database!A:K,11,) - VLOOKUP(A443,database!A:K,11,))/VLOOKUP(A443,database!A:K,11,)</f>
        <v>1.7988007994670333E-2</v>
      </c>
    </row>
    <row r="456" spans="1:3" x14ac:dyDescent="0.2">
      <c r="A456" s="38">
        <v>38169</v>
      </c>
      <c r="B456" s="39">
        <f>VLOOKUP(Table8[[#This Row],[Month]],database!A:J,MATCH('Capacity Utilization'!$A$1,database!$A$1:$J$1,),)</f>
        <v>78.215999999999994</v>
      </c>
      <c r="C456" s="69">
        <f>(VLOOKUP(A456,database!A:K,11,) - VLOOKUP(A444,database!A:K,11,))/VLOOKUP(A444,database!A:K,11,)</f>
        <v>1.4637391882900789E-2</v>
      </c>
    </row>
    <row r="457" spans="1:3" x14ac:dyDescent="0.2">
      <c r="A457" s="38">
        <v>38200</v>
      </c>
      <c r="B457" s="39">
        <f>VLOOKUP(Table8[[#This Row],[Month]],database!A:J,MATCH('Capacity Utilization'!$A$1,database!$A$1:$J$1,),)</f>
        <v>78.287000000000006</v>
      </c>
      <c r="C457" s="69">
        <f>(VLOOKUP(A457,database!A:K,11,) - VLOOKUP(A445,database!A:K,11,))/VLOOKUP(A445,database!A:K,11,)</f>
        <v>1.5946843853820634E-2</v>
      </c>
    </row>
    <row r="458" spans="1:3" x14ac:dyDescent="0.2">
      <c r="A458" s="38">
        <v>38231</v>
      </c>
      <c r="B458" s="39">
        <f>VLOOKUP(Table8[[#This Row],[Month]],database!A:J,MATCH('Capacity Utilization'!$A$1,database!$A$1:$J$1,),)</f>
        <v>78.361599999999996</v>
      </c>
      <c r="C458" s="69">
        <f>(VLOOKUP(A458,database!A:K,11,) - VLOOKUP(A446,database!A:K,11,))/VLOOKUP(A446,database!A:K,11,)</f>
        <v>1.8617021276595629E-2</v>
      </c>
    </row>
    <row r="459" spans="1:3" x14ac:dyDescent="0.2">
      <c r="A459" s="38">
        <v>38261</v>
      </c>
      <c r="B459" s="39">
        <f>VLOOKUP(Table8[[#This Row],[Month]],database!A:J,MATCH('Capacity Utilization'!$A$1,database!$A$1:$J$1,),)</f>
        <v>79.033100000000005</v>
      </c>
      <c r="C459" s="69">
        <f>(VLOOKUP(A459,database!A:K,11,) - VLOOKUP(A447,database!A:K,11,))/VLOOKUP(A447,database!A:K,11,)</f>
        <v>1.7207147584381167E-2</v>
      </c>
    </row>
    <row r="460" spans="1:3" x14ac:dyDescent="0.2">
      <c r="A460" s="38">
        <v>38292</v>
      </c>
      <c r="B460" s="39">
        <f>VLOOKUP(Table8[[#This Row],[Month]],database!A:J,MATCH('Capacity Utilization'!$A$1,database!$A$1:$J$1,),)</f>
        <v>79.191500000000005</v>
      </c>
      <c r="C460" s="69">
        <f>(VLOOKUP(A460,database!A:K,11,) - VLOOKUP(A448,database!A:K,11,))/VLOOKUP(A448,database!A:K,11,)</f>
        <v>2.0529801324503275E-2</v>
      </c>
    </row>
    <row r="461" spans="1:3" x14ac:dyDescent="0.2">
      <c r="A461" s="38">
        <v>38322</v>
      </c>
      <c r="B461" s="39">
        <f>VLOOKUP(Table8[[#This Row],[Month]],database!A:J,MATCH('Capacity Utilization'!$A$1,database!$A$1:$J$1,),)</f>
        <v>79.763099999999994</v>
      </c>
      <c r="C461" s="69">
        <f>(VLOOKUP(A461,database!A:K,11,) - VLOOKUP(A449,database!A:K,11,))/VLOOKUP(A449,database!A:K,11,)</f>
        <v>2.3178807947019868E-2</v>
      </c>
    </row>
    <row r="462" spans="1:3" x14ac:dyDescent="0.2">
      <c r="A462" s="38">
        <v>38353</v>
      </c>
      <c r="B462" s="39">
        <f>VLOOKUP(Table8[[#This Row],[Month]],database!A:J,MATCH('Capacity Utilization'!$A$1,database!$A$1:$J$1,),)</f>
        <v>79.997799999999998</v>
      </c>
      <c r="C462" s="69">
        <f>(VLOOKUP(A462,database!A:K,11,) - VLOOKUP(A450,database!A:K,11,))/VLOOKUP(A450,database!A:K,11,)</f>
        <v>2.6420079260237778E-2</v>
      </c>
    </row>
    <row r="463" spans="1:3" x14ac:dyDescent="0.2">
      <c r="A463" s="38">
        <v>38384</v>
      </c>
      <c r="B463" s="39">
        <f>VLOOKUP(Table8[[#This Row],[Month]],database!A:J,MATCH('Capacity Utilization'!$A$1,database!$A$1:$J$1,),)</f>
        <v>80.5137</v>
      </c>
      <c r="C463" s="69">
        <f>(VLOOKUP(A463,database!A:K,11,) - VLOOKUP(A451,database!A:K,11,))/VLOOKUP(A451,database!A:K,11,)</f>
        <v>2.6437541308658292E-2</v>
      </c>
    </row>
    <row r="464" spans="1:3" x14ac:dyDescent="0.2">
      <c r="A464" s="38">
        <v>38412</v>
      </c>
      <c r="B464" s="39">
        <f>VLOOKUP(Table8[[#This Row],[Month]],database!A:J,MATCH('Capacity Utilization'!$A$1,database!$A$1:$J$1,),)</f>
        <v>80.319400000000002</v>
      </c>
      <c r="C464" s="69">
        <f>(VLOOKUP(A464,database!A:K,11,) - VLOOKUP(A452,database!A:K,11,))/VLOOKUP(A452,database!A:K,11,)</f>
        <v>2.5032938076416222E-2</v>
      </c>
    </row>
    <row r="465" spans="1:3" x14ac:dyDescent="0.2">
      <c r="A465" s="38">
        <v>38443</v>
      </c>
      <c r="B465" s="39">
        <f>VLOOKUP(Table8[[#This Row],[Month]],database!A:J,MATCH('Capacity Utilization'!$A$1,database!$A$1:$J$1,),)</f>
        <v>80.3904</v>
      </c>
      <c r="C465" s="69">
        <f>(VLOOKUP(A465,database!A:K,11,) - VLOOKUP(A453,database!A:K,11,))/VLOOKUP(A453,database!A:K,11,)</f>
        <v>2.699144173798548E-2</v>
      </c>
    </row>
    <row r="466" spans="1:3" x14ac:dyDescent="0.2">
      <c r="A466" s="38">
        <v>38473</v>
      </c>
      <c r="B466" s="39">
        <f>VLOOKUP(Table8[[#This Row],[Month]],database!A:J,MATCH('Capacity Utilization'!$A$1,database!$A$1:$J$1,),)</f>
        <v>80.387</v>
      </c>
      <c r="C466" s="69">
        <f>(VLOOKUP(A466,database!A:K,11,) - VLOOKUP(A454,database!A:K,11,))/VLOOKUP(A454,database!A:K,11,)</f>
        <v>2.6920551543007182E-2</v>
      </c>
    </row>
    <row r="467" spans="1:3" x14ac:dyDescent="0.2">
      <c r="A467" s="38">
        <v>38504</v>
      </c>
      <c r="B467" s="39">
        <f>VLOOKUP(Table8[[#This Row],[Month]],database!A:J,MATCH('Capacity Utilization'!$A$1,database!$A$1:$J$1,),)</f>
        <v>80.613</v>
      </c>
      <c r="C467" s="69">
        <f>(VLOOKUP(A467,database!A:K,11,) - VLOOKUP(A455,database!A:K,11,))/VLOOKUP(A455,database!A:K,11,)</f>
        <v>2.225130890052341E-2</v>
      </c>
    </row>
    <row r="468" spans="1:3" x14ac:dyDescent="0.2">
      <c r="A468" s="38">
        <v>38534</v>
      </c>
      <c r="B468" s="39">
        <f>VLOOKUP(Table8[[#This Row],[Month]],database!A:J,MATCH('Capacity Utilization'!$A$1,database!$A$1:$J$1,),)</f>
        <v>80.262500000000003</v>
      </c>
      <c r="C468" s="69">
        <f>(VLOOKUP(A468,database!A:K,11,) - VLOOKUP(A456,database!A:K,11,))/VLOOKUP(A456,database!A:K,11,)</f>
        <v>2.8196721311475485E-2</v>
      </c>
    </row>
    <row r="469" spans="1:3" x14ac:dyDescent="0.2">
      <c r="A469" s="38">
        <v>38565</v>
      </c>
      <c r="B469" s="39">
        <f>VLOOKUP(Table8[[#This Row],[Month]],database!A:J,MATCH('Capacity Utilization'!$A$1,database!$A$1:$J$1,),)</f>
        <v>80.42</v>
      </c>
      <c r="C469" s="69">
        <f>(VLOOKUP(A469,database!A:K,11,) - VLOOKUP(A457,database!A:K,11,))/VLOOKUP(A457,database!A:K,11,)</f>
        <v>2.6160889470241987E-2</v>
      </c>
    </row>
    <row r="470" spans="1:3" x14ac:dyDescent="0.2">
      <c r="A470" s="38">
        <v>38596</v>
      </c>
      <c r="B470" s="39">
        <f>VLOOKUP(Table8[[#This Row],[Month]],database!A:J,MATCH('Capacity Utilization'!$A$1,database!$A$1:$J$1,),)</f>
        <v>78.757800000000003</v>
      </c>
      <c r="C470" s="69">
        <f>(VLOOKUP(A470,database!A:K,11,) - VLOOKUP(A458,database!A:K,11,))/VLOOKUP(A458,database!A:K,11,)</f>
        <v>2.545691906005226E-2</v>
      </c>
    </row>
    <row r="471" spans="1:3" x14ac:dyDescent="0.2">
      <c r="A471" s="38">
        <v>38626</v>
      </c>
      <c r="B471" s="39">
        <f>VLOOKUP(Table8[[#This Row],[Month]],database!A:J,MATCH('Capacity Utilization'!$A$1,database!$A$1:$J$1,),)</f>
        <v>79.597499999999997</v>
      </c>
      <c r="C471" s="69">
        <f>(VLOOKUP(A471,database!A:K,11,) - VLOOKUP(A459,database!A:K,11,))/VLOOKUP(A459,database!A:K,11,)</f>
        <v>2.0169160702667683E-2</v>
      </c>
    </row>
    <row r="472" spans="1:3" x14ac:dyDescent="0.2">
      <c r="A472" s="38">
        <v>38657</v>
      </c>
      <c r="B472" s="39">
        <f>VLOOKUP(Table8[[#This Row],[Month]],database!A:J,MATCH('Capacity Utilization'!$A$1,database!$A$1:$J$1,),)</f>
        <v>80.364400000000003</v>
      </c>
      <c r="C472" s="69">
        <f>(VLOOKUP(A472,database!A:K,11,) - VLOOKUP(A460,database!A:K,11,))/VLOOKUP(A460,database!A:K,11,)</f>
        <v>1.7521090201168182E-2</v>
      </c>
    </row>
    <row r="473" spans="1:3" x14ac:dyDescent="0.2">
      <c r="A473" s="38">
        <v>38687</v>
      </c>
      <c r="B473" s="39">
        <f>VLOOKUP(Table8[[#This Row],[Month]],database!A:J,MATCH('Capacity Utilization'!$A$1,database!$A$1:$J$1,),)</f>
        <v>80.628399999999999</v>
      </c>
      <c r="C473" s="69">
        <f>(VLOOKUP(A473,database!A:K,11,) - VLOOKUP(A461,database!A:K,11,))/VLOOKUP(A461,database!A:K,11,)</f>
        <v>1.4886731391585833E-2</v>
      </c>
    </row>
    <row r="474" spans="1:3" x14ac:dyDescent="0.2">
      <c r="A474" s="38">
        <v>38718</v>
      </c>
      <c r="B474" s="39">
        <f>VLOOKUP(Table8[[#This Row],[Month]],database!A:J,MATCH('Capacity Utilization'!$A$1,database!$A$1:$J$1,),)</f>
        <v>80.664900000000003</v>
      </c>
      <c r="C474" s="69">
        <f>(VLOOKUP(A474,database!A:K,11,) - VLOOKUP(A462,database!A:K,11,))/VLOOKUP(A462,database!A:K,11,)</f>
        <v>1.3513513513513476E-2</v>
      </c>
    </row>
    <row r="475" spans="1:3" x14ac:dyDescent="0.2">
      <c r="A475" s="38">
        <v>38749</v>
      </c>
      <c r="B475" s="39">
        <f>VLOOKUP(Table8[[#This Row],[Month]],database!A:J,MATCH('Capacity Utilization'!$A$1,database!$A$1:$J$1,),)</f>
        <v>80.580299999999994</v>
      </c>
      <c r="C475" s="69">
        <f>(VLOOKUP(A475,database!A:K,11,) - VLOOKUP(A463,database!A:K,11,))/VLOOKUP(A463,database!A:K,11,)</f>
        <v>1.7385705086928452E-2</v>
      </c>
    </row>
    <row r="476" spans="1:3" x14ac:dyDescent="0.2">
      <c r="A476" s="38">
        <v>38777</v>
      </c>
      <c r="B476" s="39">
        <f>VLOOKUP(Table8[[#This Row],[Month]],database!A:J,MATCH('Capacity Utilization'!$A$1,database!$A$1:$J$1,),)</f>
        <v>80.6554</v>
      </c>
      <c r="C476" s="69">
        <f>(VLOOKUP(A476,database!A:K,11,) - VLOOKUP(A464,database!A:K,11,))/VLOOKUP(A464,database!A:K,11,)</f>
        <v>1.7994858611825267E-2</v>
      </c>
    </row>
    <row r="477" spans="1:3" x14ac:dyDescent="0.2">
      <c r="A477" s="38">
        <v>38808</v>
      </c>
      <c r="B477" s="39">
        <f>VLOOKUP(Table8[[#This Row],[Month]],database!A:J,MATCH('Capacity Utilization'!$A$1,database!$A$1:$J$1,),)</f>
        <v>80.781700000000001</v>
      </c>
      <c r="C477" s="69">
        <f>(VLOOKUP(A477,database!A:K,11,) - VLOOKUP(A465,database!A:K,11,))/VLOOKUP(A465,database!A:K,11,)</f>
        <v>1.6025641025641024E-2</v>
      </c>
    </row>
    <row r="478" spans="1:3" x14ac:dyDescent="0.2">
      <c r="A478" s="38">
        <v>38838</v>
      </c>
      <c r="B478" s="39">
        <f>VLOOKUP(Table8[[#This Row],[Month]],database!A:J,MATCH('Capacity Utilization'!$A$1,database!$A$1:$J$1,),)</f>
        <v>80.662199999999999</v>
      </c>
      <c r="C478" s="69">
        <f>(VLOOKUP(A478,database!A:K,11,) - VLOOKUP(A466,database!A:K,11,))/VLOOKUP(A466,database!A:K,11,)</f>
        <v>1.5984654731457801E-2</v>
      </c>
    </row>
    <row r="479" spans="1:3" x14ac:dyDescent="0.2">
      <c r="A479" s="38">
        <v>38869</v>
      </c>
      <c r="B479" s="39">
        <f>VLOOKUP(Table8[[#This Row],[Month]],database!A:J,MATCH('Capacity Utilization'!$A$1,database!$A$1:$J$1,),)</f>
        <v>80.782399999999996</v>
      </c>
      <c r="C479" s="69">
        <f>(VLOOKUP(A479,database!A:K,11,) - VLOOKUP(A467,database!A:K,11,))/VLOOKUP(A467,database!A:K,11,)</f>
        <v>1.7925736235595464E-2</v>
      </c>
    </row>
    <row r="480" spans="1:3" x14ac:dyDescent="0.2">
      <c r="A480" s="38">
        <v>38899</v>
      </c>
      <c r="B480" s="39">
        <f>VLOOKUP(Table8[[#This Row],[Month]],database!A:J,MATCH('Capacity Utilization'!$A$1,database!$A$1:$J$1,),)</f>
        <v>80.573499999999996</v>
      </c>
      <c r="C480" s="69">
        <f>(VLOOKUP(A480,database!A:K,11,) - VLOOKUP(A468,database!A:K,11,))/VLOOKUP(A468,database!A:K,11,)</f>
        <v>8.2908163265305035E-3</v>
      </c>
    </row>
    <row r="481" spans="1:3" x14ac:dyDescent="0.2">
      <c r="A481" s="38">
        <v>38930</v>
      </c>
      <c r="B481" s="39">
        <f>VLOOKUP(Table8[[#This Row],[Month]],database!A:J,MATCH('Capacity Utilization'!$A$1,database!$A$1:$J$1,),)</f>
        <v>80.753299999999996</v>
      </c>
      <c r="C481" s="69">
        <f>(VLOOKUP(A481,database!A:K,11,) - VLOOKUP(A469,database!A:K,11,))/VLOOKUP(A469,database!A:K,11,)</f>
        <v>1.1472275334607922E-2</v>
      </c>
    </row>
    <row r="482" spans="1:3" x14ac:dyDescent="0.2">
      <c r="A482" s="38">
        <v>38961</v>
      </c>
      <c r="B482" s="39">
        <f>VLOOKUP(Table8[[#This Row],[Month]],database!A:J,MATCH('Capacity Utilization'!$A$1,database!$A$1:$J$1,),)</f>
        <v>80.414000000000001</v>
      </c>
      <c r="C482" s="69">
        <f>(VLOOKUP(A482,database!A:K,11,) - VLOOKUP(A470,database!A:K,11,))/VLOOKUP(A470,database!A:K,11,)</f>
        <v>1.3367281985996146E-2</v>
      </c>
    </row>
    <row r="483" spans="1:3" x14ac:dyDescent="0.2">
      <c r="A483" s="38">
        <v>38991</v>
      </c>
      <c r="B483" s="39">
        <f>VLOOKUP(Table8[[#This Row],[Month]],database!A:J,MATCH('Capacity Utilization'!$A$1,database!$A$1:$J$1,),)</f>
        <v>80.148099999999999</v>
      </c>
      <c r="C483" s="69">
        <f>(VLOOKUP(A483,database!A:K,11,) - VLOOKUP(A471,database!A:K,11,))/VLOOKUP(A471,database!A:K,11,)</f>
        <v>1.0841836734693805E-2</v>
      </c>
    </row>
    <row r="484" spans="1:3" x14ac:dyDescent="0.2">
      <c r="A484" s="38">
        <v>39022</v>
      </c>
      <c r="B484" s="39">
        <f>VLOOKUP(Table8[[#This Row],[Month]],database!A:J,MATCH('Capacity Utilization'!$A$1,database!$A$1:$J$1,),)</f>
        <v>79.915899999999993</v>
      </c>
      <c r="C484" s="69">
        <f>(VLOOKUP(A484,database!A:K,11,) - VLOOKUP(A472,database!A:K,11,))/VLOOKUP(A472,database!A:K,11,)</f>
        <v>1.9770408163265269E-2</v>
      </c>
    </row>
    <row r="485" spans="1:3" x14ac:dyDescent="0.2">
      <c r="A485" s="38">
        <v>39052</v>
      </c>
      <c r="B485" s="39">
        <f>VLOOKUP(Table8[[#This Row],[Month]],database!A:J,MATCH('Capacity Utilization'!$A$1,database!$A$1:$J$1,),)</f>
        <v>80.541300000000007</v>
      </c>
      <c r="C485" s="69">
        <f>(VLOOKUP(A485,database!A:K,11,) - VLOOKUP(A473,database!A:K,11,))/VLOOKUP(A473,database!A:K,11,)</f>
        <v>2.0408163265306048E-2</v>
      </c>
    </row>
    <row r="486" spans="1:3" x14ac:dyDescent="0.2">
      <c r="A486" s="38">
        <v>39083</v>
      </c>
      <c r="B486" s="39">
        <f>VLOOKUP(Table8[[#This Row],[Month]],database!A:J,MATCH('Capacity Utilization'!$A$1,database!$A$1:$J$1,),)</f>
        <v>80.036699999999996</v>
      </c>
      <c r="C486" s="69">
        <f>(VLOOKUP(A486,database!A:K,11,) - VLOOKUP(A474,database!A:K,11,))/VLOOKUP(A474,database!A:K,11,)</f>
        <v>1.7142857142857071E-2</v>
      </c>
    </row>
    <row r="487" spans="1:3" x14ac:dyDescent="0.2">
      <c r="A487" s="38">
        <v>39114</v>
      </c>
      <c r="B487" s="39">
        <f>VLOOKUP(Table8[[#This Row],[Month]],database!A:J,MATCH('Capacity Utilization'!$A$1,database!$A$1:$J$1,),)</f>
        <v>80.624600000000001</v>
      </c>
      <c r="C487" s="69">
        <f>(VLOOKUP(A487,database!A:K,11,) - VLOOKUP(A475,database!A:K,11,))/VLOOKUP(A475,database!A:K,11,)</f>
        <v>1.8354430379746871E-2</v>
      </c>
    </row>
    <row r="488" spans="1:3" x14ac:dyDescent="0.2">
      <c r="A488" s="38">
        <v>39142</v>
      </c>
      <c r="B488" s="39">
        <f>VLOOKUP(Table8[[#This Row],[Month]],database!A:J,MATCH('Capacity Utilization'!$A$1,database!$A$1:$J$1,),)</f>
        <v>80.595399999999998</v>
      </c>
      <c r="C488" s="69">
        <f>(VLOOKUP(A488,database!A:K,11,) - VLOOKUP(A476,database!A:K,11,))/VLOOKUP(A476,database!A:K,11,)</f>
        <v>1.5782828282828284E-2</v>
      </c>
    </row>
    <row r="489" spans="1:3" x14ac:dyDescent="0.2">
      <c r="A489" s="38">
        <v>39173</v>
      </c>
      <c r="B489" s="39">
        <f>VLOOKUP(Table8[[#This Row],[Month]],database!A:J,MATCH('Capacity Utilization'!$A$1,database!$A$1:$J$1,),)</f>
        <v>80.973699999999994</v>
      </c>
      <c r="C489" s="69">
        <f>(VLOOKUP(A489,database!A:K,11,) - VLOOKUP(A477,database!A:K,11,))/VLOOKUP(A477,database!A:K,11,)</f>
        <v>1.5772870662460567E-2</v>
      </c>
    </row>
    <row r="490" spans="1:3" x14ac:dyDescent="0.2">
      <c r="A490" s="38">
        <v>39203</v>
      </c>
      <c r="B490" s="39">
        <f>VLOOKUP(Table8[[#This Row],[Month]],database!A:J,MATCH('Capacity Utilization'!$A$1,database!$A$1:$J$1,),)</f>
        <v>80.871300000000005</v>
      </c>
      <c r="C490" s="69">
        <f>(VLOOKUP(A490,database!A:K,11,) - VLOOKUP(A478,database!A:K,11,))/VLOOKUP(A478,database!A:K,11,)</f>
        <v>1.5733165512901194E-2</v>
      </c>
    </row>
    <row r="491" spans="1:3" x14ac:dyDescent="0.2">
      <c r="A491" s="38">
        <v>39234</v>
      </c>
      <c r="B491" s="39">
        <f>VLOOKUP(Table8[[#This Row],[Month]],database!A:J,MATCH('Capacity Utilization'!$A$1,database!$A$1:$J$1,),)</f>
        <v>80.754800000000003</v>
      </c>
      <c r="C491" s="69">
        <f>(VLOOKUP(A491,database!A:K,11,) - VLOOKUP(A479,database!A:K,11,))/VLOOKUP(A479,database!A:K,11,)</f>
        <v>1.6981132075471625E-2</v>
      </c>
    </row>
    <row r="492" spans="1:3" x14ac:dyDescent="0.2">
      <c r="A492" s="38">
        <v>39264</v>
      </c>
      <c r="B492" s="39">
        <f>VLOOKUP(Table8[[#This Row],[Month]],database!A:J,MATCH('Capacity Utilization'!$A$1,database!$A$1:$J$1,),)</f>
        <v>80.558199999999999</v>
      </c>
      <c r="C492" s="69">
        <f>(VLOOKUP(A492,database!A:K,11,) - VLOOKUP(A480,database!A:K,11,))/VLOOKUP(A480,database!A:K,11,)</f>
        <v>2.5300442757748263E-2</v>
      </c>
    </row>
    <row r="493" spans="1:3" x14ac:dyDescent="0.2">
      <c r="A493" s="38">
        <v>39295</v>
      </c>
      <c r="B493" s="39">
        <f>VLOOKUP(Table8[[#This Row],[Month]],database!A:J,MATCH('Capacity Utilization'!$A$1,database!$A$1:$J$1,),)</f>
        <v>80.650899999999993</v>
      </c>
      <c r="C493" s="69">
        <f>(VLOOKUP(A493,database!A:K,11,) - VLOOKUP(A481,database!A:K,11,))/VLOOKUP(A481,database!A:K,11,)</f>
        <v>2.2684310018903735E-2</v>
      </c>
    </row>
    <row r="494" spans="1:3" x14ac:dyDescent="0.2">
      <c r="A494" s="38">
        <v>39326</v>
      </c>
      <c r="B494" s="39">
        <f>VLOOKUP(Table8[[#This Row],[Month]],database!A:J,MATCH('Capacity Utilization'!$A$1,database!$A$1:$J$1,),)</f>
        <v>80.8035</v>
      </c>
      <c r="C494" s="69">
        <f>(VLOOKUP(A494,database!A:K,11,) - VLOOKUP(A482,database!A:K,11,))/VLOOKUP(A482,database!A:K,11,)</f>
        <v>1.9472361809045369E-2</v>
      </c>
    </row>
    <row r="495" spans="1:3" x14ac:dyDescent="0.2">
      <c r="A495" s="38">
        <v>39356</v>
      </c>
      <c r="B495" s="39">
        <f>VLOOKUP(Table8[[#This Row],[Month]],database!A:J,MATCH('Capacity Utilization'!$A$1,database!$A$1:$J$1,),)</f>
        <v>80.545900000000003</v>
      </c>
      <c r="C495" s="69">
        <f>(VLOOKUP(A495,database!A:K,11,) - VLOOKUP(A483,database!A:K,11,))/VLOOKUP(A483,database!A:K,11,)</f>
        <v>2.7760252365930636E-2</v>
      </c>
    </row>
    <row r="496" spans="1:3" x14ac:dyDescent="0.2">
      <c r="A496" s="38">
        <v>39387</v>
      </c>
      <c r="B496" s="39">
        <f>VLOOKUP(Table8[[#This Row],[Month]],database!A:J,MATCH('Capacity Utilization'!$A$1,database!$A$1:$J$1,),)</f>
        <v>81.016000000000005</v>
      </c>
      <c r="C496" s="69">
        <f>(VLOOKUP(A496,database!A:K,11,) - VLOOKUP(A484,database!A:K,11,))/VLOOKUP(A484,database!A:K,11,)</f>
        <v>2.1888680425265792E-2</v>
      </c>
    </row>
    <row r="497" spans="1:3" x14ac:dyDescent="0.2">
      <c r="A497" s="38">
        <v>39417</v>
      </c>
      <c r="B497" s="39">
        <f>VLOOKUP(Table8[[#This Row],[Month]],database!A:J,MATCH('Capacity Utilization'!$A$1,database!$A$1:$J$1,),)</f>
        <v>81.030600000000007</v>
      </c>
      <c r="C497" s="69">
        <f>(VLOOKUP(A497,database!A:K,11,) - VLOOKUP(A485,database!A:K,11,))/VLOOKUP(A485,database!A:K,11,)</f>
        <v>2.1250000000000036E-2</v>
      </c>
    </row>
    <row r="498" spans="1:3" x14ac:dyDescent="0.2">
      <c r="A498" s="38">
        <v>39448</v>
      </c>
      <c r="B498" s="39">
        <f>VLOOKUP(Table8[[#This Row],[Month]],database!A:J,MATCH('Capacity Utilization'!$A$1,database!$A$1:$J$1,),)</f>
        <v>80.960999999999999</v>
      </c>
      <c r="C498" s="69">
        <f>(VLOOKUP(A498,database!A:K,11,) - VLOOKUP(A486,database!A:K,11,))/VLOOKUP(A486,database!A:K,11,)</f>
        <v>2.4344569288389552E-2</v>
      </c>
    </row>
    <row r="499" spans="1:3" x14ac:dyDescent="0.2">
      <c r="A499" s="38">
        <v>39479</v>
      </c>
      <c r="B499" s="39">
        <f>VLOOKUP(Table8[[#This Row],[Month]],database!A:J,MATCH('Capacity Utilization'!$A$1,database!$A$1:$J$1,),)</f>
        <v>80.691299999999998</v>
      </c>
      <c r="C499" s="69">
        <f>(VLOOKUP(A499,database!A:K,11,) - VLOOKUP(A487,database!A:K,11,))/VLOOKUP(A487,database!A:K,11,)</f>
        <v>2.4238657551274117E-2</v>
      </c>
    </row>
    <row r="500" spans="1:3" x14ac:dyDescent="0.2">
      <c r="A500" s="38">
        <v>39508</v>
      </c>
      <c r="B500" s="39">
        <f>VLOOKUP(Table8[[#This Row],[Month]],database!A:J,MATCH('Capacity Utilization'!$A$1,database!$A$1:$J$1,),)</f>
        <v>80.451599999999999</v>
      </c>
      <c r="C500" s="69">
        <f>(VLOOKUP(A500,database!A:K,11,) - VLOOKUP(A488,database!A:K,11,))/VLOOKUP(A488,database!A:K,11,)</f>
        <v>2.6103169670602788E-2</v>
      </c>
    </row>
    <row r="501" spans="1:3" x14ac:dyDescent="0.2">
      <c r="A501" s="38">
        <v>39539</v>
      </c>
      <c r="B501" s="39">
        <f>VLOOKUP(Table8[[#This Row],[Month]],database!A:J,MATCH('Capacity Utilization'!$A$1,database!$A$1:$J$1,),)</f>
        <v>79.966700000000003</v>
      </c>
      <c r="C501" s="69">
        <f>(VLOOKUP(A501,database!A:K,11,) - VLOOKUP(A489,database!A:K,11,))/VLOOKUP(A489,database!A:K,11,)</f>
        <v>2.9813664596273364E-2</v>
      </c>
    </row>
    <row r="502" spans="1:3" x14ac:dyDescent="0.2">
      <c r="A502" s="38">
        <v>39569</v>
      </c>
      <c r="B502" s="39">
        <f>VLOOKUP(Table8[[#This Row],[Month]],database!A:J,MATCH('Capacity Utilization'!$A$1,database!$A$1:$J$1,),)</f>
        <v>79.539900000000003</v>
      </c>
      <c r="C502" s="69">
        <f>(VLOOKUP(A502,database!A:K,11,) - VLOOKUP(A490,database!A:K,11,))/VLOOKUP(A490,database!A:K,11,)</f>
        <v>3.035935563816608E-2</v>
      </c>
    </row>
    <row r="503" spans="1:3" x14ac:dyDescent="0.2">
      <c r="A503" s="38">
        <v>39600</v>
      </c>
      <c r="B503" s="39">
        <f>VLOOKUP(Table8[[#This Row],[Month]],database!A:J,MATCH('Capacity Utilization'!$A$1,database!$A$1:$J$1,),)</f>
        <v>79.375799999999998</v>
      </c>
      <c r="C503" s="69">
        <f>(VLOOKUP(A503,database!A:K,11,) - VLOOKUP(A491,database!A:K,11,))/VLOOKUP(A491,database!A:K,11,)</f>
        <v>3.0303030303030342E-2</v>
      </c>
    </row>
    <row r="504" spans="1:3" x14ac:dyDescent="0.2">
      <c r="A504" s="38">
        <v>39630</v>
      </c>
      <c r="B504" s="39">
        <f>VLOOKUP(Table8[[#This Row],[Month]],database!A:J,MATCH('Capacity Utilization'!$A$1,database!$A$1:$J$1,),)</f>
        <v>79.028099999999995</v>
      </c>
      <c r="C504" s="69">
        <f>(VLOOKUP(A504,database!A:K,11,) - VLOOKUP(A492,database!A:K,11,))/VLOOKUP(A492,database!A:K,11,)</f>
        <v>3.2695866748920492E-2</v>
      </c>
    </row>
    <row r="505" spans="1:3" x14ac:dyDescent="0.2">
      <c r="A505" s="38">
        <v>39661</v>
      </c>
      <c r="B505" s="39">
        <f>VLOOKUP(Table8[[#This Row],[Month]],database!A:J,MATCH('Capacity Utilization'!$A$1,database!$A$1:$J$1,),)</f>
        <v>77.745900000000006</v>
      </c>
      <c r="C505" s="69">
        <f>(VLOOKUP(A505,database!A:K,11,) - VLOOKUP(A493,database!A:K,11,))/VLOOKUP(A493,database!A:K,11,)</f>
        <v>3.573629081947001E-2</v>
      </c>
    </row>
    <row r="506" spans="1:3" x14ac:dyDescent="0.2">
      <c r="A506" s="38">
        <v>39692</v>
      </c>
      <c r="B506" s="39">
        <f>VLOOKUP(Table8[[#This Row],[Month]],database!A:J,MATCH('Capacity Utilization'!$A$1,database!$A$1:$J$1,),)</f>
        <v>74.2851</v>
      </c>
      <c r="C506" s="69">
        <f>(VLOOKUP(A506,database!A:K,11,) - VLOOKUP(A494,database!A:K,11,))/VLOOKUP(A494,database!A:K,11,)</f>
        <v>4.06654343807763E-2</v>
      </c>
    </row>
    <row r="507" spans="1:3" x14ac:dyDescent="0.2">
      <c r="A507" s="38">
        <v>39722</v>
      </c>
      <c r="B507" s="39">
        <f>VLOOKUP(Table8[[#This Row],[Month]],database!A:J,MATCH('Capacity Utilization'!$A$1,database!$A$1:$J$1,),)</f>
        <v>74.936599999999999</v>
      </c>
      <c r="C507" s="69">
        <f>(VLOOKUP(A507,database!A:K,11,) - VLOOKUP(A495,database!A:K,11,))/VLOOKUP(A495,database!A:K,11,)</f>
        <v>4.6654389195825624E-2</v>
      </c>
    </row>
    <row r="508" spans="1:3" x14ac:dyDescent="0.2">
      <c r="A508" s="38">
        <v>39753</v>
      </c>
      <c r="B508" s="39">
        <f>VLOOKUP(Table8[[#This Row],[Month]],database!A:J,MATCH('Capacity Utilization'!$A$1,database!$A$1:$J$1,),)</f>
        <v>73.861800000000002</v>
      </c>
      <c r="C508" s="69">
        <f>(VLOOKUP(A508,database!A:K,11,) - VLOOKUP(A496,database!A:K,11,))/VLOOKUP(A496,database!A:K,11,)</f>
        <v>4.2839657282741736E-2</v>
      </c>
    </row>
    <row r="509" spans="1:3" x14ac:dyDescent="0.2">
      <c r="A509" s="38">
        <v>39783</v>
      </c>
      <c r="B509" s="39">
        <f>VLOOKUP(Table8[[#This Row],[Month]],database!A:J,MATCH('Capacity Utilization'!$A$1,database!$A$1:$J$1,),)</f>
        <v>71.686599999999999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69.811199999999999</v>
      </c>
      <c r="C510" s="69">
        <f>(VLOOKUP(A510,database!A:K,11,) - VLOOKUP(A498,database!A:K,11,))/VLOOKUP(A498,database!A:K,11,)</f>
        <v>4.0828762949421192E-2</v>
      </c>
    </row>
    <row r="511" spans="1:3" x14ac:dyDescent="0.2">
      <c r="A511" s="38">
        <v>39845</v>
      </c>
      <c r="B511" s="39">
        <f>VLOOKUP(Table8[[#This Row],[Month]],database!A:J,MATCH('Capacity Utilization'!$A$1,database!$A$1:$J$1,),)</f>
        <v>69.306299999999993</v>
      </c>
      <c r="C511" s="69">
        <f>(VLOOKUP(A511,database!A:K,11,) - VLOOKUP(A499,database!A:K,11,))/VLOOKUP(A499,database!A:K,11,)</f>
        <v>3.7014563106796079E-2</v>
      </c>
    </row>
    <row r="512" spans="1:3" x14ac:dyDescent="0.2">
      <c r="A512" s="38">
        <v>39873</v>
      </c>
      <c r="B512" s="39">
        <f>VLOOKUP(Table8[[#This Row],[Month]],database!A:J,MATCH('Capacity Utilization'!$A$1,database!$A$1:$J$1,),)</f>
        <v>68.139099999999999</v>
      </c>
      <c r="C512" s="69">
        <f>(VLOOKUP(A512,database!A:K,11,) - VLOOKUP(A500,database!A:K,11,))/VLOOKUP(A500,database!A:K,11,)</f>
        <v>3.6947304663840067E-2</v>
      </c>
    </row>
    <row r="513" spans="1:3" x14ac:dyDescent="0.2">
      <c r="A513" s="38">
        <v>39904</v>
      </c>
      <c r="B513" s="39">
        <f>VLOOKUP(Table8[[#This Row],[Month]],database!A:J,MATCH('Capacity Utilization'!$A$1,database!$A$1:$J$1,),)</f>
        <v>67.528700000000001</v>
      </c>
      <c r="C513" s="69">
        <f>(VLOOKUP(A513,database!A:K,11,) - VLOOKUP(A501,database!A:K,11,))/VLOOKUP(A501,database!A:K,11,)</f>
        <v>3.3172496984318456E-2</v>
      </c>
    </row>
    <row r="514" spans="1:3" x14ac:dyDescent="0.2">
      <c r="A514" s="38">
        <v>39934</v>
      </c>
      <c r="B514" s="39">
        <f>VLOOKUP(Table8[[#This Row],[Month]],database!A:J,MATCH('Capacity Utilization'!$A$1,database!$A$1:$J$1,),)</f>
        <v>66.804199999999994</v>
      </c>
      <c r="C514" s="69">
        <f>(VLOOKUP(A514,database!A:K,11,) - VLOOKUP(A502,database!A:K,11,))/VLOOKUP(A502,database!A:K,11,)</f>
        <v>2.9464822609741294E-2</v>
      </c>
    </row>
    <row r="515" spans="1:3" x14ac:dyDescent="0.2">
      <c r="A515" s="38">
        <v>39965</v>
      </c>
      <c r="B515" s="39">
        <f>VLOOKUP(Table8[[#This Row],[Month]],database!A:J,MATCH('Capacity Utilization'!$A$1,database!$A$1:$J$1,),)</f>
        <v>66.567099999999996</v>
      </c>
      <c r="C515" s="69">
        <f>(VLOOKUP(A515,database!A:K,11,) - VLOOKUP(A503,database!A:K,11,))/VLOOKUP(A503,database!A:K,11,)</f>
        <v>3.1212484993997702E-2</v>
      </c>
    </row>
    <row r="516" spans="1:3" x14ac:dyDescent="0.2">
      <c r="A516" s="38">
        <v>39995</v>
      </c>
      <c r="B516" s="39">
        <f>VLOOKUP(Table8[[#This Row],[Month]],database!A:J,MATCH('Capacity Utilization'!$A$1,database!$A$1:$J$1,),)</f>
        <v>67.341999999999999</v>
      </c>
      <c r="C516" s="69">
        <f>(VLOOKUP(A516,database!A:K,11,) - VLOOKUP(A504,database!A:K,11,))/VLOOKUP(A504,database!A:K,11,)</f>
        <v>2.3894862604540022E-2</v>
      </c>
    </row>
    <row r="517" spans="1:3" x14ac:dyDescent="0.2">
      <c r="A517" s="38">
        <v>40026</v>
      </c>
      <c r="B517" s="39">
        <f>VLOOKUP(Table8[[#This Row],[Month]],database!A:J,MATCH('Capacity Utilization'!$A$1,database!$A$1:$J$1,),)</f>
        <v>68.099699999999999</v>
      </c>
      <c r="C517" s="69">
        <f>(VLOOKUP(A517,database!A:K,11,) - VLOOKUP(A505,database!A:K,11,))/VLOOKUP(A505,database!A:K,11,)</f>
        <v>2.2010707911957271E-2</v>
      </c>
    </row>
    <row r="518" spans="1:3" x14ac:dyDescent="0.2">
      <c r="A518" s="38">
        <v>40057</v>
      </c>
      <c r="B518" s="39">
        <f>VLOOKUP(Table8[[#This Row],[Month]],database!A:J,MATCH('Capacity Utilization'!$A$1,database!$A$1:$J$1,),)</f>
        <v>68.730199999999996</v>
      </c>
      <c r="C518" s="69">
        <f>(VLOOKUP(A518,database!A:K,11,) - VLOOKUP(A506,database!A:K,11,))/VLOOKUP(A506,database!A:K,11,)</f>
        <v>1.5985790408525689E-2</v>
      </c>
    </row>
    <row r="519" spans="1:3" x14ac:dyDescent="0.2">
      <c r="A519" s="38">
        <v>40087</v>
      </c>
      <c r="B519" s="39">
        <f>VLOOKUP(Table8[[#This Row],[Month]],database!A:J,MATCH('Capacity Utilization'!$A$1,database!$A$1:$J$1,),)</f>
        <v>68.958600000000004</v>
      </c>
      <c r="C519" s="69">
        <f>(VLOOKUP(A519,database!A:K,11,) - VLOOKUP(A507,database!A:K,11,))/VLOOKUP(A507,database!A:K,11,)</f>
        <v>5.8651026392961877E-3</v>
      </c>
    </row>
    <row r="520" spans="1:3" x14ac:dyDescent="0.2">
      <c r="A520" s="38">
        <v>40118</v>
      </c>
      <c r="B520" s="39">
        <f>VLOOKUP(Table8[[#This Row],[Month]],database!A:J,MATCH('Capacity Utilization'!$A$1,database!$A$1:$J$1,),)</f>
        <v>69.347499999999997</v>
      </c>
      <c r="C520" s="69">
        <f>(VLOOKUP(A520,database!A:K,11,) - VLOOKUP(A508,database!A:K,11,))/VLOOKUP(A508,database!A:K,11,)</f>
        <v>9.9765258215961765E-3</v>
      </c>
    </row>
    <row r="521" spans="1:3" x14ac:dyDescent="0.2">
      <c r="A521" s="38">
        <v>40148</v>
      </c>
      <c r="B521" s="39">
        <f>VLOOKUP(Table8[[#This Row],[Month]],database!A:J,MATCH('Capacity Utilization'!$A$1,database!$A$1:$J$1,),)</f>
        <v>69.715900000000005</v>
      </c>
      <c r="C521" s="69">
        <f>(VLOOKUP(A521,database!A:K,11,) - VLOOKUP(A509,database!A:K,11,))/VLOOKUP(A509,database!A:K,11,)</f>
        <v>7.6112412177984949E-3</v>
      </c>
    </row>
    <row r="522" spans="1:3" x14ac:dyDescent="0.2">
      <c r="A522" s="38">
        <v>40179</v>
      </c>
      <c r="B522" s="39">
        <f>VLOOKUP(Table8[[#This Row],[Month]],database!A:J,MATCH('Capacity Utilization'!$A$1,database!$A$1:$J$1,),)</f>
        <v>70.61</v>
      </c>
      <c r="C522" s="69">
        <f>(VLOOKUP(A522,database!A:K,11,) - VLOOKUP(A510,database!A:K,11,))/VLOOKUP(A510,database!A:K,11,)</f>
        <v>9.9531615925057878E-3</v>
      </c>
    </row>
    <row r="523" spans="1:3" x14ac:dyDescent="0.2">
      <c r="A523" s="38">
        <v>40210</v>
      </c>
      <c r="B523" s="39">
        <f>VLOOKUP(Table8[[#This Row],[Month]],database!A:J,MATCH('Capacity Utilization'!$A$1,database!$A$1:$J$1,),)</f>
        <v>71.002099999999999</v>
      </c>
      <c r="C523" s="69">
        <f>(VLOOKUP(A523,database!A:K,11,) - VLOOKUP(A511,database!A:K,11,))/VLOOKUP(A511,database!A:K,11,)</f>
        <v>9.9473376243416536E-3</v>
      </c>
    </row>
    <row r="524" spans="1:3" x14ac:dyDescent="0.2">
      <c r="A524" s="38">
        <v>40238</v>
      </c>
      <c r="B524" s="39">
        <f>VLOOKUP(Table8[[#This Row],[Month]],database!A:J,MATCH('Capacity Utilization'!$A$1,database!$A$1:$J$1,),)</f>
        <v>71.657399999999996</v>
      </c>
      <c r="C524" s="69">
        <f>(VLOOKUP(A524,database!A:K,11,) - VLOOKUP(A512,database!A:K,11,))/VLOOKUP(A512,database!A:K,11,)</f>
        <v>9.9299065420561747E-3</v>
      </c>
    </row>
    <row r="525" spans="1:3" x14ac:dyDescent="0.2">
      <c r="A525" s="38">
        <v>40269</v>
      </c>
      <c r="B525" s="39">
        <f>VLOOKUP(Table8[[#This Row],[Month]],database!A:J,MATCH('Capacity Utilization'!$A$1,database!$A$1:$J$1,),)</f>
        <v>72.076599999999999</v>
      </c>
      <c r="C525" s="69">
        <f>(VLOOKUP(A525,database!A:K,11,) - VLOOKUP(A513,database!A:K,11,))/VLOOKUP(A513,database!A:K,11,)</f>
        <v>9.340338587273754E-3</v>
      </c>
    </row>
    <row r="526" spans="1:3" x14ac:dyDescent="0.2">
      <c r="A526" s="38">
        <v>40299</v>
      </c>
      <c r="B526" s="39">
        <f>VLOOKUP(Table8[[#This Row],[Month]],database!A:J,MATCH('Capacity Utilization'!$A$1,database!$A$1:$J$1,),)</f>
        <v>73.222300000000004</v>
      </c>
      <c r="C526" s="69">
        <f>(VLOOKUP(A526,database!A:K,11,) - VLOOKUP(A514,database!A:K,11,))/VLOOKUP(A514,database!A:K,11,)</f>
        <v>1.2850467289719726E-2</v>
      </c>
    </row>
    <row r="527" spans="1:3" x14ac:dyDescent="0.2">
      <c r="A527" s="38">
        <v>40330</v>
      </c>
      <c r="B527" s="39">
        <f>VLOOKUP(Table8[[#This Row],[Month]],database!A:J,MATCH('Capacity Utilization'!$A$1,database!$A$1:$J$1,),)</f>
        <v>73.547300000000007</v>
      </c>
      <c r="C527" s="69">
        <f>(VLOOKUP(A527,database!A:K,11,) - VLOOKUP(A515,database!A:K,11,))/VLOOKUP(A515,database!A:K,11,)</f>
        <v>1.0477299185098852E-2</v>
      </c>
    </row>
    <row r="528" spans="1:3" x14ac:dyDescent="0.2">
      <c r="A528" s="38">
        <v>40360</v>
      </c>
      <c r="B528" s="39">
        <f>VLOOKUP(Table8[[#This Row],[Month]],database!A:J,MATCH('Capacity Utilization'!$A$1,database!$A$1:$J$1,),)</f>
        <v>73.964500000000001</v>
      </c>
      <c r="C528" s="69">
        <f>(VLOOKUP(A528,database!A:K,11,) - VLOOKUP(A516,database!A:K,11,))/VLOOKUP(A516,database!A:K,11,)</f>
        <v>1.3418903150524988E-2</v>
      </c>
    </row>
    <row r="529" spans="1:3" x14ac:dyDescent="0.2">
      <c r="A529" s="38">
        <v>40391</v>
      </c>
      <c r="B529" s="39">
        <f>VLOOKUP(Table8[[#This Row],[Month]],database!A:J,MATCH('Capacity Utilization'!$A$1,database!$A$1:$J$1,),)</f>
        <v>74.365099999999998</v>
      </c>
      <c r="C529" s="69">
        <f>(VLOOKUP(A529,database!A:K,11,) - VLOOKUP(A517,database!A:K,11,))/VLOOKUP(A517,database!A:K,11,)</f>
        <v>1.2223515715948744E-2</v>
      </c>
    </row>
    <row r="530" spans="1:3" x14ac:dyDescent="0.2">
      <c r="A530" s="38">
        <v>40422</v>
      </c>
      <c r="B530" s="39">
        <f>VLOOKUP(Table8[[#This Row],[Month]],database!A:J,MATCH('Capacity Utilization'!$A$1,database!$A$1:$J$1,),)</f>
        <v>74.676199999999994</v>
      </c>
      <c r="C530" s="69">
        <f>(VLOOKUP(A530,database!A:K,11,) - VLOOKUP(A518,database!A:K,11,))/VLOOKUP(A518,database!A:K,11,)</f>
        <v>1.5734265734265833E-2</v>
      </c>
    </row>
    <row r="531" spans="1:3" x14ac:dyDescent="0.2">
      <c r="A531" s="38">
        <v>40452</v>
      </c>
      <c r="B531" s="39">
        <f>VLOOKUP(Table8[[#This Row],[Month]],database!A:J,MATCH('Capacity Utilization'!$A$1,database!$A$1:$J$1,),)</f>
        <v>74.563299999999998</v>
      </c>
      <c r="C531" s="69">
        <f>(VLOOKUP(A531,database!A:K,11,) - VLOOKUP(A519,database!A:K,11,))/VLOOKUP(A519,database!A:K,11,)</f>
        <v>1.6326530612244965E-2</v>
      </c>
    </row>
    <row r="532" spans="1:3" x14ac:dyDescent="0.2">
      <c r="A532" s="38">
        <v>40483</v>
      </c>
      <c r="B532" s="39">
        <f>VLOOKUP(Table8[[#This Row],[Month]],database!A:J,MATCH('Capacity Utilization'!$A$1,database!$A$1:$J$1,),)</f>
        <v>74.686099999999996</v>
      </c>
      <c r="C532" s="69">
        <f>(VLOOKUP(A532,database!A:K,11,) - VLOOKUP(A520,database!A:K,11,))/VLOOKUP(A520,database!A:K,11,)</f>
        <v>1.2783265543288885E-2</v>
      </c>
    </row>
    <row r="533" spans="1:3" x14ac:dyDescent="0.2">
      <c r="A533" s="38">
        <v>40513</v>
      </c>
      <c r="B533" s="39">
        <f>VLOOKUP(Table8[[#This Row],[Month]],database!A:J,MATCH('Capacity Utilization'!$A$1,database!$A$1:$J$1,),)</f>
        <v>75.461799999999997</v>
      </c>
      <c r="C533" s="69">
        <f>(VLOOKUP(A533,database!A:K,11,) - VLOOKUP(A521,database!A:K,11,))/VLOOKUP(A521,database!A:K,11,)</f>
        <v>1.452643811737362E-2</v>
      </c>
    </row>
    <row r="534" spans="1:3" x14ac:dyDescent="0.2">
      <c r="A534" s="38">
        <v>40544</v>
      </c>
      <c r="B534" s="39">
        <f>VLOOKUP(Table8[[#This Row],[Month]],database!A:J,MATCH('Capacity Utilization'!$A$1,database!$A$1:$J$1,),)</f>
        <v>75.338099999999997</v>
      </c>
      <c r="C534" s="69">
        <f>(VLOOKUP(A534,database!A:K,11,) - VLOOKUP(A522,database!A:K,11,))/VLOOKUP(A522,database!A:K,11,)</f>
        <v>1.6231884057971081E-2</v>
      </c>
    </row>
    <row r="535" spans="1:3" x14ac:dyDescent="0.2">
      <c r="A535" s="38">
        <v>40575</v>
      </c>
      <c r="B535" s="39">
        <f>VLOOKUP(Table8[[#This Row],[Month]],database!A:J,MATCH('Capacity Utilization'!$A$1,database!$A$1:$J$1,),)</f>
        <v>75.048199999999994</v>
      </c>
      <c r="C535" s="69">
        <f>(VLOOKUP(A535,database!A:K,11,) - VLOOKUP(A523,database!A:K,11,))/VLOOKUP(A523,database!A:K,11,)</f>
        <v>1.7960602549246783E-2</v>
      </c>
    </row>
    <row r="536" spans="1:3" x14ac:dyDescent="0.2">
      <c r="A536" s="38">
        <v>40603</v>
      </c>
      <c r="B536" s="39">
        <f>VLOOKUP(Table8[[#This Row],[Month]],database!A:J,MATCH('Capacity Utilization'!$A$1,database!$A$1:$J$1,),)</f>
        <v>75.825100000000006</v>
      </c>
      <c r="C536" s="69">
        <f>(VLOOKUP(A536,database!A:K,11,) - VLOOKUP(A524,database!A:K,11,))/VLOOKUP(A524,database!A:K,11,)</f>
        <v>1.9086176980913725E-2</v>
      </c>
    </row>
    <row r="537" spans="1:3" x14ac:dyDescent="0.2">
      <c r="A537" s="38">
        <v>40634</v>
      </c>
      <c r="B537" s="39">
        <f>VLOOKUP(Table8[[#This Row],[Month]],database!A:J,MATCH('Capacity Utilization'!$A$1,database!$A$1:$J$1,),)</f>
        <v>75.534700000000001</v>
      </c>
      <c r="C537" s="69">
        <f>(VLOOKUP(A537,database!A:K,11,) - VLOOKUP(A525,database!A:K,11,))/VLOOKUP(A525,database!A:K,11,)</f>
        <v>2.2556390977443642E-2</v>
      </c>
    </row>
    <row r="538" spans="1:3" x14ac:dyDescent="0.2">
      <c r="A538" s="38">
        <v>40664</v>
      </c>
      <c r="B538" s="39">
        <f>VLOOKUP(Table8[[#This Row],[Month]],database!A:J,MATCH('Capacity Utilization'!$A$1,database!$A$1:$J$1,),)</f>
        <v>75.5959</v>
      </c>
      <c r="C538" s="69">
        <f>(VLOOKUP(A538,database!A:K,11,) - VLOOKUP(A526,database!A:K,11,))/VLOOKUP(A526,database!A:K,11,)</f>
        <v>2.0761245674740452E-2</v>
      </c>
    </row>
    <row r="539" spans="1:3" x14ac:dyDescent="0.2">
      <c r="A539" s="38">
        <v>40695</v>
      </c>
      <c r="B539" s="39">
        <f>VLOOKUP(Table8[[#This Row],[Month]],database!A:J,MATCH('Capacity Utilization'!$A$1,database!$A$1:$J$1,),)</f>
        <v>75.729699999999994</v>
      </c>
      <c r="C539" s="69">
        <f>(VLOOKUP(A539,database!A:K,11,) - VLOOKUP(A527,database!A:K,11,))/VLOOKUP(A527,database!A:K,11,)</f>
        <v>2.3041474654377881E-2</v>
      </c>
    </row>
    <row r="540" spans="1:3" x14ac:dyDescent="0.2">
      <c r="A540" s="38">
        <v>40725</v>
      </c>
      <c r="B540" s="39">
        <f>VLOOKUP(Table8[[#This Row],[Month]],database!A:J,MATCH('Capacity Utilization'!$A$1,database!$A$1:$J$1,),)</f>
        <v>76.027600000000007</v>
      </c>
      <c r="C540" s="69">
        <f>(VLOOKUP(A540,database!A:K,11,) - VLOOKUP(A528,database!A:K,11,))/VLOOKUP(A528,database!A:K,11,)</f>
        <v>2.5906735751295339E-2</v>
      </c>
    </row>
    <row r="541" spans="1:3" x14ac:dyDescent="0.2">
      <c r="A541" s="38">
        <v>40756</v>
      </c>
      <c r="B541" s="39">
        <f>VLOOKUP(Table8[[#This Row],[Month]],database!A:J,MATCH('Capacity Utilization'!$A$1,database!$A$1:$J$1,),)</f>
        <v>76.417199999999994</v>
      </c>
      <c r="C541" s="69">
        <f>(VLOOKUP(A541,database!A:K,11,) - VLOOKUP(A529,database!A:K,11,))/VLOOKUP(A529,database!A:K,11,)</f>
        <v>2.6451983898792376E-2</v>
      </c>
    </row>
    <row r="542" spans="1:3" x14ac:dyDescent="0.2">
      <c r="A542" s="38">
        <v>40787</v>
      </c>
      <c r="B542" s="39">
        <f>VLOOKUP(Table8[[#This Row],[Month]],database!A:J,MATCH('Capacity Utilization'!$A$1,database!$A$1:$J$1,),)</f>
        <v>76.259900000000002</v>
      </c>
      <c r="C542" s="69">
        <f>(VLOOKUP(A542,database!A:K,11,) - VLOOKUP(A530,database!A:K,11,))/VLOOKUP(A530,database!A:K,11,)</f>
        <v>2.696500286861726E-2</v>
      </c>
    </row>
    <row r="543" spans="1:3" x14ac:dyDescent="0.2">
      <c r="A543" s="38">
        <v>40817</v>
      </c>
      <c r="B543" s="39">
        <f>VLOOKUP(Table8[[#This Row],[Month]],database!A:J,MATCH('Capacity Utilization'!$A$1,database!$A$1:$J$1,),)</f>
        <v>76.660399999999996</v>
      </c>
      <c r="C543" s="69">
        <f>(VLOOKUP(A543,database!A:K,11,) - VLOOKUP(A531,database!A:K,11,))/VLOOKUP(A531,database!A:K,11,)</f>
        <v>2.9259896729776212E-2</v>
      </c>
    </row>
    <row r="544" spans="1:3" x14ac:dyDescent="0.2">
      <c r="A544" s="38">
        <v>40848</v>
      </c>
      <c r="B544" s="39">
        <f>VLOOKUP(Table8[[#This Row],[Month]],database!A:J,MATCH('Capacity Utilization'!$A$1,database!$A$1:$J$1,),)</f>
        <v>76.539900000000003</v>
      </c>
      <c r="C544" s="69">
        <f>(VLOOKUP(A544,database!A:K,11,) - VLOOKUP(A532,database!A:K,11,))/VLOOKUP(A532,database!A:K,11,)</f>
        <v>3.040734366035561E-2</v>
      </c>
    </row>
    <row r="545" spans="1:3" x14ac:dyDescent="0.2">
      <c r="A545" s="38">
        <v>40878</v>
      </c>
      <c r="B545" s="39">
        <f>VLOOKUP(Table8[[#This Row],[Month]],database!A:J,MATCH('Capacity Utilization'!$A$1,database!$A$1:$J$1,),)</f>
        <v>76.775099999999995</v>
      </c>
      <c r="C545" s="69">
        <f>(VLOOKUP(A545,database!A:K,11,) - VLOOKUP(A533,database!A:K,11,))/VLOOKUP(A533,database!A:K,11,)</f>
        <v>3.0927835051546424E-2</v>
      </c>
    </row>
    <row r="546" spans="1:3" x14ac:dyDescent="0.2">
      <c r="A546" s="38">
        <v>40909</v>
      </c>
      <c r="B546" s="39">
        <f>VLOOKUP(Table8[[#This Row],[Month]],database!A:J,MATCH('Capacity Utilization'!$A$1,database!$A$1:$J$1,),)</f>
        <v>77.101500000000001</v>
      </c>
      <c r="C546" s="69">
        <f>(VLOOKUP(A546,database!A:K,11,) - VLOOKUP(A534,database!A:K,11,))/VLOOKUP(A534,database!A:K,11,)</f>
        <v>3.0804335424985608E-2</v>
      </c>
    </row>
    <row r="547" spans="1:3" x14ac:dyDescent="0.2">
      <c r="A547" s="38">
        <v>40940</v>
      </c>
      <c r="B547" s="39">
        <f>VLOOKUP(Table8[[#This Row],[Month]],database!A:J,MATCH('Capacity Utilization'!$A$1,database!$A$1:$J$1,),)</f>
        <v>77.193600000000004</v>
      </c>
      <c r="C547" s="69">
        <f>(VLOOKUP(A547,database!A:K,11,) - VLOOKUP(A535,database!A:K,11,))/VLOOKUP(A535,database!A:K,11,)</f>
        <v>3.0165054069436606E-2</v>
      </c>
    </row>
    <row r="548" spans="1:3" x14ac:dyDescent="0.2">
      <c r="A548" s="38">
        <v>40969</v>
      </c>
      <c r="B548" s="39">
        <f>VLOOKUP(Table8[[#This Row],[Month]],database!A:J,MATCH('Capacity Utilization'!$A$1,database!$A$1:$J$1,),)</f>
        <v>76.646600000000007</v>
      </c>
      <c r="C548" s="69">
        <f>(VLOOKUP(A548,database!A:K,11,) - VLOOKUP(A536,database!A:K,11,))/VLOOKUP(A536,database!A:K,11,)</f>
        <v>2.8944381384790142E-2</v>
      </c>
    </row>
    <row r="549" spans="1:3" x14ac:dyDescent="0.2">
      <c r="A549" s="38">
        <v>41000</v>
      </c>
      <c r="B549" s="39">
        <f>VLOOKUP(Table8[[#This Row],[Month]],database!A:J,MATCH('Capacity Utilization'!$A$1,database!$A$1:$J$1,),)</f>
        <v>77.060299999999998</v>
      </c>
      <c r="C549" s="69">
        <f>(VLOOKUP(A549,database!A:K,11,) - VLOOKUP(A537,database!A:K,11,))/VLOOKUP(A537,database!A:K,11,)</f>
        <v>2.7149321266968226E-2</v>
      </c>
    </row>
    <row r="550" spans="1:3" x14ac:dyDescent="0.2">
      <c r="A550" s="38">
        <v>41030</v>
      </c>
      <c r="B550" s="39">
        <f>VLOOKUP(Table8[[#This Row],[Month]],database!A:J,MATCH('Capacity Utilization'!$A$1,database!$A$1:$J$1,),)</f>
        <v>77.080299999999994</v>
      </c>
      <c r="C550" s="69">
        <f>(VLOOKUP(A550,database!A:K,11,) - VLOOKUP(A538,database!A:K,11,))/VLOOKUP(A538,database!A:K,11,)</f>
        <v>2.7118644067796675E-2</v>
      </c>
    </row>
    <row r="551" spans="1:3" x14ac:dyDescent="0.2">
      <c r="A551" s="38">
        <v>41061</v>
      </c>
      <c r="B551" s="39">
        <f>VLOOKUP(Table8[[#This Row],[Month]],database!A:J,MATCH('Capacity Utilization'!$A$1,database!$A$1:$J$1,),)</f>
        <v>76.9315</v>
      </c>
      <c r="C551" s="69">
        <f>(VLOOKUP(A551,database!A:K,11,) - VLOOKUP(A539,database!A:K,11,))/VLOOKUP(A539,database!A:K,11,)</f>
        <v>2.5337837837837839E-2</v>
      </c>
    </row>
    <row r="552" spans="1:3" x14ac:dyDescent="0.2">
      <c r="A552" s="38">
        <v>41091</v>
      </c>
      <c r="B552" s="39">
        <f>VLOOKUP(Table8[[#This Row],[Month]],database!A:J,MATCH('Capacity Utilization'!$A$1,database!$A$1:$J$1,),)</f>
        <v>76.983199999999997</v>
      </c>
      <c r="C552" s="69">
        <f>(VLOOKUP(A552,database!A:K,11,) - VLOOKUP(A540,database!A:K,11,))/VLOOKUP(A540,database!A:K,11,)</f>
        <v>2.637485970819314E-2</v>
      </c>
    </row>
    <row r="553" spans="1:3" x14ac:dyDescent="0.2">
      <c r="A553" s="38">
        <v>41122</v>
      </c>
      <c r="B553" s="39">
        <f>VLOOKUP(Table8[[#This Row],[Month]],database!A:J,MATCH('Capacity Utilization'!$A$1,database!$A$1:$J$1,),)</f>
        <v>76.532399999999996</v>
      </c>
      <c r="C553" s="69">
        <f>(VLOOKUP(A553,database!A:K,11,) - VLOOKUP(A541,database!A:K,11,))/VLOOKUP(A541,database!A:K,11,)</f>
        <v>2.6330532212885092E-2</v>
      </c>
    </row>
    <row r="554" spans="1:3" x14ac:dyDescent="0.2">
      <c r="A554" s="38">
        <v>41153</v>
      </c>
      <c r="B554" s="39">
        <f>VLOOKUP(Table8[[#This Row],[Month]],database!A:J,MATCH('Capacity Utilization'!$A$1,database!$A$1:$J$1,),)</f>
        <v>76.352099999999993</v>
      </c>
      <c r="C554" s="69">
        <f>(VLOOKUP(A554,database!A:K,11,) - VLOOKUP(A542,database!A:K,11,))/VLOOKUP(A542,database!A:K,11,)</f>
        <v>2.3463687150837926E-2</v>
      </c>
    </row>
    <row r="555" spans="1:3" x14ac:dyDescent="0.2">
      <c r="A555" s="38">
        <v>41183</v>
      </c>
      <c r="B555" s="39">
        <f>VLOOKUP(Table8[[#This Row],[Month]],database!A:J,MATCH('Capacity Utilization'!$A$1,database!$A$1:$J$1,),)</f>
        <v>76.484300000000005</v>
      </c>
      <c r="C555" s="69">
        <f>(VLOOKUP(A555,database!A:K,11,) - VLOOKUP(A543,database!A:K,11,))/VLOOKUP(A543,database!A:K,11,)</f>
        <v>2.1739130434782639E-2</v>
      </c>
    </row>
    <row r="556" spans="1:3" x14ac:dyDescent="0.2">
      <c r="A556" s="38">
        <v>41214</v>
      </c>
      <c r="B556" s="39">
        <f>VLOOKUP(Table8[[#This Row],[Month]],database!A:J,MATCH('Capacity Utilization'!$A$1,database!$A$1:$J$1,),)</f>
        <v>76.680599999999998</v>
      </c>
      <c r="C556" s="69">
        <f>(VLOOKUP(A556,database!A:K,11,) - VLOOKUP(A544,database!A:K,11,))/VLOOKUP(A544,database!A:K,11,)</f>
        <v>2.2828507795100192E-2</v>
      </c>
    </row>
    <row r="557" spans="1:3" x14ac:dyDescent="0.2">
      <c r="A557" s="38">
        <v>41244</v>
      </c>
      <c r="B557" s="39">
        <f>VLOOKUP(Table8[[#This Row],[Month]],database!A:J,MATCH('Capacity Utilization'!$A$1,database!$A$1:$J$1,),)</f>
        <v>76.763800000000003</v>
      </c>
      <c r="C557" s="69">
        <f>(VLOOKUP(A557,database!A:K,11,) - VLOOKUP(A545,database!A:K,11,))/VLOOKUP(A545,database!A:K,11,)</f>
        <v>2.0555555555555494E-2</v>
      </c>
    </row>
    <row r="558" spans="1:3" x14ac:dyDescent="0.2">
      <c r="A558" s="38">
        <v>41275</v>
      </c>
      <c r="B558" s="39">
        <f>VLOOKUP(Table8[[#This Row],[Month]],database!A:J,MATCH('Capacity Utilization'!$A$1,database!$A$1:$J$1,),)</f>
        <v>76.6541</v>
      </c>
      <c r="C558" s="69">
        <f>(VLOOKUP(A558,database!A:K,11,) - VLOOKUP(A546,database!A:K,11,))/VLOOKUP(A546,database!A:K,11,)</f>
        <v>1.7708909795240826E-2</v>
      </c>
    </row>
    <row r="559" spans="1:3" x14ac:dyDescent="0.2">
      <c r="A559" s="38">
        <v>41306</v>
      </c>
      <c r="B559" s="39">
        <f>VLOOKUP(Table8[[#This Row],[Month]],database!A:J,MATCH('Capacity Utilization'!$A$1,database!$A$1:$J$1,),)</f>
        <v>76.933899999999994</v>
      </c>
      <c r="C559" s="69">
        <f>(VLOOKUP(A559,database!A:K,11,) - VLOOKUP(A547,database!A:K,11,))/VLOOKUP(A547,database!A:K,11,)</f>
        <v>1.7679558011049663E-2</v>
      </c>
    </row>
    <row r="560" spans="1:3" x14ac:dyDescent="0.2">
      <c r="A560" s="38">
        <v>41334</v>
      </c>
      <c r="B560" s="39">
        <f>VLOOKUP(Table8[[#This Row],[Month]],database!A:J,MATCH('Capacity Utilization'!$A$1,database!$A$1:$J$1,),)</f>
        <v>77.166499999999999</v>
      </c>
      <c r="C560" s="69">
        <f>(VLOOKUP(A560,database!A:K,11,) - VLOOKUP(A548,database!A:K,11,))/VLOOKUP(A548,database!A:K,11,)</f>
        <v>1.7098731384445637E-2</v>
      </c>
    </row>
    <row r="561" spans="1:3" x14ac:dyDescent="0.2">
      <c r="A561" s="38">
        <v>41365</v>
      </c>
      <c r="B561" s="39">
        <f>VLOOKUP(Table8[[#This Row],[Month]],database!A:J,MATCH('Capacity Utilization'!$A$1,database!$A$1:$J$1,),)</f>
        <v>76.997699999999995</v>
      </c>
      <c r="C561" s="69">
        <f>(VLOOKUP(A561,database!A:K,11,) - VLOOKUP(A549,database!A:K,11,))/VLOOKUP(A549,database!A:K,11,)</f>
        <v>1.6519823788546256E-2</v>
      </c>
    </row>
    <row r="562" spans="1:3" x14ac:dyDescent="0.2">
      <c r="A562" s="38">
        <v>41395</v>
      </c>
      <c r="B562" s="39">
        <f>VLOOKUP(Table8[[#This Row],[Month]],database!A:J,MATCH('Capacity Utilization'!$A$1,database!$A$1:$J$1,),)</f>
        <v>76.990300000000005</v>
      </c>
      <c r="C562" s="69">
        <f>(VLOOKUP(A562,database!A:K,11,) - VLOOKUP(A550,database!A:K,11,))/VLOOKUP(A550,database!A:K,11,)</f>
        <v>1.65016501650165E-2</v>
      </c>
    </row>
    <row r="563" spans="1:3" x14ac:dyDescent="0.2">
      <c r="A563" s="38">
        <v>41426</v>
      </c>
      <c r="B563" s="39">
        <f>VLOOKUP(Table8[[#This Row],[Month]],database!A:J,MATCH('Capacity Utilization'!$A$1,database!$A$1:$J$1,),)</f>
        <v>77.026499999999999</v>
      </c>
      <c r="C563" s="69">
        <f>(VLOOKUP(A563,database!A:K,11,) - VLOOKUP(A551,database!A:K,11,))/VLOOKUP(A551,database!A:K,11,)</f>
        <v>1.5925315760571147E-2</v>
      </c>
    </row>
    <row r="564" spans="1:3" x14ac:dyDescent="0.2">
      <c r="A564" s="38">
        <v>41456</v>
      </c>
      <c r="B564" s="39">
        <f>VLOOKUP(Table8[[#This Row],[Month]],database!A:J,MATCH('Capacity Utilization'!$A$1,database!$A$1:$J$1,),)</f>
        <v>76.731200000000001</v>
      </c>
      <c r="C564" s="69">
        <f>(VLOOKUP(A564,database!A:K,11,) - VLOOKUP(A552,database!A:K,11,))/VLOOKUP(A552,database!A:K,11,)</f>
        <v>1.2575177692728173E-2</v>
      </c>
    </row>
    <row r="565" spans="1:3" x14ac:dyDescent="0.2">
      <c r="A565" s="38">
        <v>41487</v>
      </c>
      <c r="B565" s="39">
        <f>VLOOKUP(Table8[[#This Row],[Month]],database!A:J,MATCH('Capacity Utilization'!$A$1,database!$A$1:$J$1,),)</f>
        <v>77.121600000000001</v>
      </c>
      <c r="C565" s="69">
        <f>(VLOOKUP(A565,database!A:K,11,) - VLOOKUP(A553,database!A:K,11,))/VLOOKUP(A553,database!A:K,11,)</f>
        <v>1.1462882096069995E-2</v>
      </c>
    </row>
    <row r="566" spans="1:3" x14ac:dyDescent="0.2">
      <c r="A566" s="38">
        <v>41518</v>
      </c>
      <c r="B566" s="39">
        <f>VLOOKUP(Table8[[#This Row],[Month]],database!A:J,MATCH('Capacity Utilization'!$A$1,database!$A$1:$J$1,),)</f>
        <v>77.477999999999994</v>
      </c>
      <c r="C566" s="69">
        <f>(VLOOKUP(A566,database!A:K,11,) - VLOOKUP(A554,database!A:K,11,))/VLOOKUP(A554,database!A:K,11,)</f>
        <v>1.2008733624454242E-2</v>
      </c>
    </row>
    <row r="567" spans="1:3" x14ac:dyDescent="0.2">
      <c r="A567" s="38">
        <v>41548</v>
      </c>
      <c r="B567" s="39">
        <f>VLOOKUP(Table8[[#This Row],[Month]],database!A:J,MATCH('Capacity Utilization'!$A$1,database!$A$1:$J$1,),)</f>
        <v>77.339699999999993</v>
      </c>
      <c r="C567" s="69">
        <f>(VLOOKUP(A567,database!A:K,11,) - VLOOKUP(A555,database!A:K,11,))/VLOOKUP(A555,database!A:K,11,)</f>
        <v>1.2547735951991178E-2</v>
      </c>
    </row>
    <row r="568" spans="1:3" x14ac:dyDescent="0.2">
      <c r="A568" s="38">
        <v>41579</v>
      </c>
      <c r="B568" s="39">
        <f>VLOOKUP(Table8[[#This Row],[Month]],database!A:J,MATCH('Capacity Utilization'!$A$1,database!$A$1:$J$1,),)</f>
        <v>77.479699999999994</v>
      </c>
      <c r="C568" s="69">
        <f>(VLOOKUP(A568,database!A:K,11,) - VLOOKUP(A556,database!A:K,11,))/VLOOKUP(A556,database!A:K,11,)</f>
        <v>1.1976047904191711E-2</v>
      </c>
    </row>
    <row r="569" spans="1:3" x14ac:dyDescent="0.2">
      <c r="A569" s="38">
        <v>41609</v>
      </c>
      <c r="B569" s="39">
        <f>VLOOKUP(Table8[[#This Row],[Month]],database!A:J,MATCH('Capacity Utilization'!$A$1,database!$A$1:$J$1,),)</f>
        <v>77.593400000000003</v>
      </c>
      <c r="C569" s="69">
        <f>(VLOOKUP(A569,database!A:K,11,) - VLOOKUP(A557,database!A:K,11,))/VLOOKUP(A557,database!A:K,11,)</f>
        <v>1.633097441480675E-2</v>
      </c>
    </row>
    <row r="570" spans="1:3" x14ac:dyDescent="0.2">
      <c r="A570" s="38">
        <v>41640</v>
      </c>
      <c r="B570" s="39">
        <f>VLOOKUP(Table8[[#This Row],[Month]],database!A:J,MATCH('Capacity Utilization'!$A$1,database!$A$1:$J$1,),)</f>
        <v>77.254199999999997</v>
      </c>
      <c r="C570" s="69">
        <f>(VLOOKUP(A570,database!A:K,11,) - VLOOKUP(A558,database!A:K,11,))/VLOOKUP(A558,database!A:K,11,)</f>
        <v>1.957585644371938E-2</v>
      </c>
    </row>
    <row r="571" spans="1:3" x14ac:dyDescent="0.2">
      <c r="A571" s="38">
        <v>41671</v>
      </c>
      <c r="B571" s="39">
        <f>VLOOKUP(Table8[[#This Row],[Month]],database!A:J,MATCH('Capacity Utilization'!$A$1,database!$A$1:$J$1,),)</f>
        <v>77.795299999999997</v>
      </c>
      <c r="C571" s="69">
        <f>(VLOOKUP(A571,database!A:K,11,) - VLOOKUP(A559,database!A:K,11,))/VLOOKUP(A559,database!A:K,11,)</f>
        <v>1.9001085776330078E-2</v>
      </c>
    </row>
    <row r="572" spans="1:3" x14ac:dyDescent="0.2">
      <c r="A572" s="38">
        <v>41699</v>
      </c>
      <c r="B572" s="39">
        <f>VLOOKUP(Table8[[#This Row],[Month]],database!A:J,MATCH('Capacity Utilization'!$A$1,database!$A$1:$J$1,),)</f>
        <v>78.506600000000006</v>
      </c>
      <c r="C572" s="69">
        <f>(VLOOKUP(A572,database!A:K,11,) - VLOOKUP(A560,database!A:K,11,))/VLOOKUP(A560,database!A:K,11,)</f>
        <v>1.7895878524945678E-2</v>
      </c>
    </row>
    <row r="573" spans="1:3" x14ac:dyDescent="0.2">
      <c r="A573" s="38">
        <v>41730</v>
      </c>
      <c r="B573" s="39">
        <f>VLOOKUP(Table8[[#This Row],[Month]],database!A:J,MATCH('Capacity Utilization'!$A$1,database!$A$1:$J$1,),)</f>
        <v>78.497100000000003</v>
      </c>
      <c r="C573" s="69">
        <f>(VLOOKUP(A573,database!A:K,11,) - VLOOKUP(A561,database!A:K,11,))/VLOOKUP(A561,database!A:K,11,)</f>
        <v>1.7876489707475685E-2</v>
      </c>
    </row>
    <row r="574" spans="1:3" x14ac:dyDescent="0.2">
      <c r="A574" s="38">
        <v>41760</v>
      </c>
      <c r="B574" s="39">
        <f>VLOOKUP(Table8[[#This Row],[Month]],database!A:J,MATCH('Capacity Utilization'!$A$1,database!$A$1:$J$1,),)</f>
        <v>78.749099999999999</v>
      </c>
      <c r="C574" s="69">
        <f>(VLOOKUP(A574,database!A:K,11,) - VLOOKUP(A562,database!A:K,11,))/VLOOKUP(A562,database!A:K,11,)</f>
        <v>1.8398268398268275E-2</v>
      </c>
    </row>
    <row r="575" spans="1:3" x14ac:dyDescent="0.2">
      <c r="A575" s="38">
        <v>41791</v>
      </c>
      <c r="B575" s="39">
        <f>VLOOKUP(Table8[[#This Row],[Month]],database!A:J,MATCH('Capacity Utilization'!$A$1,database!$A$1:$J$1,),)</f>
        <v>78.950599999999994</v>
      </c>
      <c r="C575" s="69">
        <f>(VLOOKUP(A575,database!A:K,11,) - VLOOKUP(A563,database!A:K,11,))/VLOOKUP(A563,database!A:K,11,)</f>
        <v>1.891891891891892E-2</v>
      </c>
    </row>
    <row r="576" spans="1:3" x14ac:dyDescent="0.2">
      <c r="A576" s="38">
        <v>41821</v>
      </c>
      <c r="B576" s="39">
        <f>VLOOKUP(Table8[[#This Row],[Month]],database!A:J,MATCH('Capacity Utilization'!$A$1,database!$A$1:$J$1,),)</f>
        <v>79.089600000000004</v>
      </c>
      <c r="C576" s="69">
        <f>(VLOOKUP(A576,database!A:K,11,) - VLOOKUP(A564,database!A:K,11,))/VLOOKUP(A564,database!A:K,11,)</f>
        <v>1.8898488120950324E-2</v>
      </c>
    </row>
    <row r="577" spans="1:3" x14ac:dyDescent="0.2">
      <c r="A577" s="38">
        <v>41852</v>
      </c>
      <c r="B577" s="39">
        <f>VLOOKUP(Table8[[#This Row],[Month]],database!A:J,MATCH('Capacity Utilization'!$A$1,database!$A$1:$J$1,),)</f>
        <v>78.862099999999998</v>
      </c>
      <c r="C577" s="69">
        <f>(VLOOKUP(A577,database!A:K,11,) - VLOOKUP(A565,database!A:K,11,))/VLOOKUP(A565,database!A:K,11,)</f>
        <v>1.9967620075553093E-2</v>
      </c>
    </row>
    <row r="578" spans="1:3" x14ac:dyDescent="0.2">
      <c r="A578" s="38">
        <v>41883</v>
      </c>
      <c r="B578" s="39">
        <f>VLOOKUP(Table8[[#This Row],[Month]],database!A:J,MATCH('Capacity Utilization'!$A$1,database!$A$1:$J$1,),)</f>
        <v>79.027299999999997</v>
      </c>
      <c r="C578" s="69">
        <f>(VLOOKUP(A578,database!A:K,11,) - VLOOKUP(A566,database!A:K,11,))/VLOOKUP(A566,database!A:K,11,)</f>
        <v>2.0496224379719433E-2</v>
      </c>
    </row>
    <row r="579" spans="1:3" x14ac:dyDescent="0.2">
      <c r="A579" s="38">
        <v>41913</v>
      </c>
      <c r="B579" s="39">
        <f>VLOOKUP(Table8[[#This Row],[Month]],database!A:J,MATCH('Capacity Utilization'!$A$1,database!$A$1:$J$1,),)</f>
        <v>78.958299999999994</v>
      </c>
      <c r="C579" s="69">
        <f>(VLOOKUP(A579,database!A:K,11,) - VLOOKUP(A567,database!A:K,11,))/VLOOKUP(A567,database!A:K,11,)</f>
        <v>2.2090517241379282E-2</v>
      </c>
    </row>
    <row r="580" spans="1:3" x14ac:dyDescent="0.2">
      <c r="A580" s="38">
        <v>41944</v>
      </c>
      <c r="B580" s="39">
        <f>VLOOKUP(Table8[[#This Row],[Month]],database!A:J,MATCH('Capacity Utilization'!$A$1,database!$A$1:$J$1,),)</f>
        <v>79.374099999999999</v>
      </c>
      <c r="C580" s="69">
        <f>(VLOOKUP(A580,database!A:K,11,) - VLOOKUP(A568,database!A:K,11,))/VLOOKUP(A568,database!A:K,11,)</f>
        <v>2.0441097364174196E-2</v>
      </c>
    </row>
    <row r="581" spans="1:3" x14ac:dyDescent="0.2">
      <c r="A581" s="38">
        <v>41974</v>
      </c>
      <c r="B581" s="39">
        <f>VLOOKUP(Table8[[#This Row],[Month]],database!A:J,MATCH('Capacity Utilization'!$A$1,database!$A$1:$J$1,),)</f>
        <v>79.3048</v>
      </c>
      <c r="C581" s="69">
        <f>(VLOOKUP(A581,database!A:K,11,) - VLOOKUP(A569,database!A:K,11,))/VLOOKUP(A569,database!A:K,11,)</f>
        <v>1.6604177825388446E-2</v>
      </c>
    </row>
    <row r="582" spans="1:3" x14ac:dyDescent="0.2">
      <c r="A582" s="38">
        <v>42005</v>
      </c>
      <c r="B582" s="39">
        <f>VLOOKUP(Table8[[#This Row],[Month]],database!A:J,MATCH('Capacity Utilization'!$A$1,database!$A$1:$J$1,),)</f>
        <v>78.641000000000005</v>
      </c>
      <c r="C582" s="69">
        <f>(VLOOKUP(A582,database!A:K,11,) - VLOOKUP(A570,database!A:K,11,))/VLOOKUP(A570,database!A:K,11,)</f>
        <v>1.7066666666666605E-2</v>
      </c>
    </row>
    <row r="583" spans="1:3" x14ac:dyDescent="0.2">
      <c r="A583" s="38">
        <v>42036</v>
      </c>
      <c r="B583" s="39">
        <f>VLOOKUP(Table8[[#This Row],[Month]],database!A:J,MATCH('Capacity Utilization'!$A$1,database!$A$1:$J$1,),)</f>
        <v>78.108800000000002</v>
      </c>
      <c r="C583" s="69">
        <f>(VLOOKUP(A583,database!A:K,11,) - VLOOKUP(A571,database!A:K,11,))/VLOOKUP(A571,database!A:K,11,)</f>
        <v>1.8646776771443795E-2</v>
      </c>
    </row>
    <row r="584" spans="1:3" x14ac:dyDescent="0.2">
      <c r="A584" s="38">
        <v>42064</v>
      </c>
      <c r="B584" s="39">
        <f>VLOOKUP(Table8[[#This Row],[Month]],database!A:J,MATCH('Capacity Utilization'!$A$1,database!$A$1:$J$1,),)</f>
        <v>77.811300000000003</v>
      </c>
      <c r="C584" s="69">
        <f>(VLOOKUP(A584,database!A:K,11,) - VLOOKUP(A572,database!A:K,11,))/VLOOKUP(A572,database!A:K,11,)</f>
        <v>1.9712306872669245E-2</v>
      </c>
    </row>
    <row r="585" spans="1:3" x14ac:dyDescent="0.2">
      <c r="A585" s="38">
        <v>42095</v>
      </c>
      <c r="B585" s="39">
        <f>VLOOKUP(Table8[[#This Row],[Month]],database!A:J,MATCH('Capacity Utilization'!$A$1,database!$A$1:$J$1,),)</f>
        <v>77.341899999999995</v>
      </c>
      <c r="C585" s="69">
        <f>(VLOOKUP(A585,database!A:K,11,) - VLOOKUP(A573,database!A:K,11,))/VLOOKUP(A573,database!A:K,11,)</f>
        <v>1.9159127195316625E-2</v>
      </c>
    </row>
    <row r="586" spans="1:3" x14ac:dyDescent="0.2">
      <c r="A586" s="38">
        <v>42125</v>
      </c>
      <c r="B586" s="39">
        <f>VLOOKUP(Table8[[#This Row],[Month]],database!A:J,MATCH('Capacity Utilization'!$A$1,database!$A$1:$J$1,),)</f>
        <v>76.961299999999994</v>
      </c>
      <c r="C586" s="69">
        <f>(VLOOKUP(A586,database!A:K,11,) - VLOOKUP(A574,database!A:K,11,))/VLOOKUP(A574,database!A:K,11,)</f>
        <v>1.9128586609989496E-2</v>
      </c>
    </row>
    <row r="587" spans="1:3" x14ac:dyDescent="0.2">
      <c r="A587" s="38">
        <v>42156</v>
      </c>
      <c r="B587" s="39">
        <f>VLOOKUP(Table8[[#This Row],[Month]],database!A:J,MATCH('Capacity Utilization'!$A$1,database!$A$1:$J$1,),)</f>
        <v>76.722800000000007</v>
      </c>
      <c r="C587" s="69">
        <f>(VLOOKUP(A587,database!A:K,11,) - VLOOKUP(A575,database!A:K,11,))/VLOOKUP(A575,database!A:K,11,)</f>
        <v>2.2281167108753254E-2</v>
      </c>
    </row>
    <row r="588" spans="1:3" x14ac:dyDescent="0.2">
      <c r="A588" s="38">
        <v>42186</v>
      </c>
      <c r="B588" s="39">
        <f>VLOOKUP(Table8[[#This Row],[Month]],database!A:J,MATCH('Capacity Utilization'!$A$1,database!$A$1:$J$1,),)</f>
        <v>77.223699999999994</v>
      </c>
      <c r="C588" s="69">
        <f>(VLOOKUP(A588,database!A:K,11,) - VLOOKUP(A576,database!A:K,11,))/VLOOKUP(A576,database!A:K,11,)</f>
        <v>2.2787493375728732E-2</v>
      </c>
    </row>
    <row r="589" spans="1:3" x14ac:dyDescent="0.2">
      <c r="A589" s="38">
        <v>42217</v>
      </c>
      <c r="B589" s="39">
        <f>VLOOKUP(Table8[[#This Row],[Month]],database!A:J,MATCH('Capacity Utilization'!$A$1,database!$A$1:$J$1,),)</f>
        <v>77.052099999999996</v>
      </c>
      <c r="C589" s="69">
        <f>(VLOOKUP(A589,database!A:K,11,) - VLOOKUP(A577,database!A:K,11,))/VLOOKUP(A577,database!A:K,11,)</f>
        <v>2.1164021164021163E-2</v>
      </c>
    </row>
    <row r="590" spans="1:3" x14ac:dyDescent="0.2">
      <c r="A590" s="38">
        <v>42248</v>
      </c>
      <c r="B590" s="39">
        <f>VLOOKUP(Table8[[#This Row],[Month]],database!A:J,MATCH('Capacity Utilization'!$A$1,database!$A$1:$J$1,),)</f>
        <v>76.851900000000001</v>
      </c>
      <c r="C590" s="69">
        <f>(VLOOKUP(A590,database!A:K,11,) - VLOOKUP(A578,database!A:K,11,))/VLOOKUP(A578,database!A:K,11,)</f>
        <v>2.1141649048625793E-2</v>
      </c>
    </row>
    <row r="591" spans="1:3" x14ac:dyDescent="0.2">
      <c r="A591" s="38">
        <v>42278</v>
      </c>
      <c r="B591" s="39">
        <f>VLOOKUP(Table8[[#This Row],[Month]],database!A:J,MATCH('Capacity Utilization'!$A$1,database!$A$1:$J$1,),)</f>
        <v>76.511200000000002</v>
      </c>
      <c r="C591" s="69">
        <f>(VLOOKUP(A591,database!A:K,11,) - VLOOKUP(A579,database!A:K,11,))/VLOOKUP(A579,database!A:K,11,)</f>
        <v>1.7923036373220905E-2</v>
      </c>
    </row>
    <row r="592" spans="1:3" x14ac:dyDescent="0.2">
      <c r="A592" s="38">
        <v>42309</v>
      </c>
      <c r="B592" s="39">
        <f>VLOOKUP(Table8[[#This Row],[Month]],database!A:J,MATCH('Capacity Utilization'!$A$1,database!$A$1:$J$1,),)</f>
        <v>75.930300000000003</v>
      </c>
      <c r="C592" s="69">
        <f>(VLOOKUP(A592,database!A:K,11,) - VLOOKUP(A580,database!A:K,11,))/VLOOKUP(A580,database!A:K,11,)</f>
        <v>1.8450184501845018E-2</v>
      </c>
    </row>
    <row r="593" spans="1:3" x14ac:dyDescent="0.2">
      <c r="A593" s="38">
        <v>42339</v>
      </c>
      <c r="B593" s="39">
        <f>VLOOKUP(Table8[[#This Row],[Month]],database!A:J,MATCH('Capacity Utilization'!$A$1,database!$A$1:$J$1,),)</f>
        <v>75.533900000000003</v>
      </c>
      <c r="C593" s="69">
        <f>(VLOOKUP(A593,database!A:K,11,) - VLOOKUP(A581,database!A:K,11,))/VLOOKUP(A581,database!A:K,11,)</f>
        <v>1.8967334035827156E-2</v>
      </c>
    </row>
    <row r="594" spans="1:3" x14ac:dyDescent="0.2">
      <c r="A594" s="38">
        <v>42370</v>
      </c>
      <c r="B594" s="39">
        <f>VLOOKUP(Table8[[#This Row],[Month]],database!A:J,MATCH('Capacity Utilization'!$A$1,database!$A$1:$J$1,),)</f>
        <v>75.9559</v>
      </c>
      <c r="C594" s="69">
        <f>(VLOOKUP(A594,database!A:K,11,) - VLOOKUP(A582,database!A:K,11,))/VLOOKUP(A582,database!A:K,11,)</f>
        <v>1.6780283167278538E-2</v>
      </c>
    </row>
    <row r="595" spans="1:3" x14ac:dyDescent="0.2">
      <c r="A595" s="38">
        <v>42401</v>
      </c>
      <c r="B595" s="39">
        <f>VLOOKUP(Table8[[#This Row],[Month]],database!A:J,MATCH('Capacity Utilization'!$A$1,database!$A$1:$J$1,),)</f>
        <v>75.559299999999993</v>
      </c>
      <c r="C595" s="69">
        <f>(VLOOKUP(A595,database!A:K,11,) - VLOOKUP(A583,database!A:K,11,))/VLOOKUP(A583,database!A:K,11,)</f>
        <v>1.5167364016736433E-2</v>
      </c>
    </row>
    <row r="596" spans="1:3" x14ac:dyDescent="0.2">
      <c r="A596" s="38">
        <v>42430</v>
      </c>
      <c r="B596" s="39">
        <f>VLOOKUP(Table8[[#This Row],[Month]],database!A:J,MATCH('Capacity Utilization'!$A$1,database!$A$1:$J$1,),)</f>
        <v>74.972700000000003</v>
      </c>
      <c r="C596" s="69">
        <f>(VLOOKUP(A596,database!A:K,11,) - VLOOKUP(A584,database!A:K,11,))/VLOOKUP(A584,database!A:K,11,)</f>
        <v>1.5151515151515181E-2</v>
      </c>
    </row>
    <row r="597" spans="1:3" x14ac:dyDescent="0.2">
      <c r="A597" s="38">
        <v>42461</v>
      </c>
      <c r="B597" s="39">
        <f>VLOOKUP(Table8[[#This Row],[Month]],database!A:J,MATCH('Capacity Utilization'!$A$1,database!$A$1:$J$1,),)</f>
        <v>75.186599999999999</v>
      </c>
      <c r="C597" s="69">
        <f>(VLOOKUP(A597,database!A:K,11,) - VLOOKUP(A585,database!A:K,11,))/VLOOKUP(A585,database!A:K,11,)</f>
        <v>1.6187989556135741E-2</v>
      </c>
    </row>
    <row r="598" spans="1:3" x14ac:dyDescent="0.2">
      <c r="A598" s="38">
        <v>42491</v>
      </c>
      <c r="B598" s="39">
        <f>VLOOKUP(Table8[[#This Row],[Month]],database!A:J,MATCH('Capacity Utilization'!$A$1,database!$A$1:$J$1,),)</f>
        <v>74.995400000000004</v>
      </c>
      <c r="C598" s="69">
        <f>(VLOOKUP(A598,database!A:K,11,) - VLOOKUP(A586,database!A:K,11,))/VLOOKUP(A586,database!A:K,11,)</f>
        <v>1.5641293013555786E-2</v>
      </c>
    </row>
    <row r="599" spans="1:3" x14ac:dyDescent="0.2">
      <c r="A599" s="38">
        <v>42522</v>
      </c>
      <c r="B599" s="39">
        <f>VLOOKUP(Table8[[#This Row],[Month]],database!A:J,MATCH('Capacity Utilization'!$A$1,database!$A$1:$J$1,),)</f>
        <v>75.330100000000002</v>
      </c>
      <c r="C599" s="69">
        <f>(VLOOKUP(A599,database!A:K,11,) - VLOOKUP(A587,database!A:K,11,))/VLOOKUP(A587,database!A:K,11,)</f>
        <v>1.4011416709911869E-2</v>
      </c>
    </row>
    <row r="600" spans="1:3" x14ac:dyDescent="0.2">
      <c r="A600" s="38">
        <v>42552</v>
      </c>
      <c r="B600" s="39">
        <f>VLOOKUP(Table8[[#This Row],[Month]],database!A:J,MATCH('Capacity Utilization'!$A$1,database!$A$1:$J$1,),)</f>
        <v>75.427199999999999</v>
      </c>
      <c r="C600" s="69">
        <f>(VLOOKUP(A600,database!A:K,11,) - VLOOKUP(A588,database!A:K,11,))/VLOOKUP(A588,database!A:K,11,)</f>
        <v>1.2435233160621791E-2</v>
      </c>
    </row>
    <row r="601" spans="1:3" x14ac:dyDescent="0.2">
      <c r="A601" s="38">
        <v>42583</v>
      </c>
      <c r="B601" s="39">
        <f>VLOOKUP(Table8[[#This Row],[Month]],database!A:J,MATCH('Capacity Utilization'!$A$1,database!$A$1:$J$1,),)</f>
        <v>75.318399999999997</v>
      </c>
      <c r="C601" s="69">
        <f>(VLOOKUP(A601,database!A:K,11,) - VLOOKUP(A589,database!A:K,11,))/VLOOKUP(A589,database!A:K,11,)</f>
        <v>1.3471502590673546E-2</v>
      </c>
    </row>
    <row r="602" spans="1:3" x14ac:dyDescent="0.2">
      <c r="A602" s="38">
        <v>42614</v>
      </c>
      <c r="B602" s="39">
        <f>VLOOKUP(Table8[[#This Row],[Month]],database!A:J,MATCH('Capacity Utilization'!$A$1,database!$A$1:$J$1,),)</f>
        <v>75.215500000000006</v>
      </c>
      <c r="C602" s="69">
        <f>(VLOOKUP(A602,database!A:K,11,) - VLOOKUP(A590,database!A:K,11,))/VLOOKUP(A590,database!A:K,11,)</f>
        <v>1.3457556935817924E-2</v>
      </c>
    </row>
    <row r="603" spans="1:3" x14ac:dyDescent="0.2">
      <c r="A603" s="38">
        <v>42644</v>
      </c>
      <c r="B603" s="39">
        <f>VLOOKUP(Table8[[#This Row],[Month]],database!A:J,MATCH('Capacity Utilization'!$A$1,database!$A$1:$J$1,),)</f>
        <v>75.258600000000001</v>
      </c>
      <c r="C603" s="69">
        <f>(VLOOKUP(A603,database!A:K,11,) - VLOOKUP(A591,database!A:K,11,))/VLOOKUP(A591,database!A:K,11,)</f>
        <v>1.5535991714137753E-2</v>
      </c>
    </row>
    <row r="604" spans="1:3" x14ac:dyDescent="0.2">
      <c r="A604" s="38">
        <v>42675</v>
      </c>
      <c r="B604" s="39">
        <f>VLOOKUP(Table8[[#This Row],[Month]],database!A:J,MATCH('Capacity Utilization'!$A$1,database!$A$1:$J$1,),)</f>
        <v>74.930800000000005</v>
      </c>
      <c r="C604" s="69">
        <f>(VLOOKUP(A604,database!A:K,11,) - VLOOKUP(A592,database!A:K,11,))/VLOOKUP(A592,database!A:K,11,)</f>
        <v>1.6045548654244426E-2</v>
      </c>
    </row>
    <row r="605" spans="1:3" x14ac:dyDescent="0.2">
      <c r="A605" s="38">
        <v>42705</v>
      </c>
      <c r="B605" s="39">
        <f>VLOOKUP(Table8[[#This Row],[Month]],database!A:J,MATCH('Capacity Utilization'!$A$1,database!$A$1:$J$1,),)</f>
        <v>75.388000000000005</v>
      </c>
      <c r="C605" s="69">
        <f>(VLOOKUP(A605,database!A:K,11,) - VLOOKUP(A593,database!A:K,11,))/VLOOKUP(A593,database!A:K,11,)</f>
        <v>1.706308169596682E-2</v>
      </c>
    </row>
    <row r="606" spans="1:3" x14ac:dyDescent="0.2">
      <c r="A606" s="38">
        <v>42736</v>
      </c>
      <c r="B606" s="39">
        <f>VLOOKUP(Table8[[#This Row],[Month]],database!A:J,MATCH('Capacity Utilization'!$A$1,database!$A$1:$J$1,),)</f>
        <v>75.262299999999996</v>
      </c>
      <c r="C606" s="69">
        <f>(VLOOKUP(A606,database!A:K,11,) - VLOOKUP(A594,database!A:K,11,))/VLOOKUP(A594,database!A:K,11,)</f>
        <v>1.7019082001031371E-2</v>
      </c>
    </row>
    <row r="607" spans="1:3" x14ac:dyDescent="0.2">
      <c r="A607" s="38">
        <v>42767</v>
      </c>
      <c r="B607" s="39">
        <f>VLOOKUP(Table8[[#This Row],[Month]],database!A:J,MATCH('Capacity Utilization'!$A$1,database!$A$1:$J$1,),)</f>
        <v>75.0381</v>
      </c>
      <c r="C607" s="69">
        <f>(VLOOKUP(A607,database!A:K,11,) - VLOOKUP(A595,database!A:K,11,))/VLOOKUP(A595,database!A:K,11,)</f>
        <v>1.7001545595054155E-2</v>
      </c>
    </row>
    <row r="608" spans="1:3" x14ac:dyDescent="0.2">
      <c r="A608" s="38">
        <v>42795</v>
      </c>
      <c r="B608" s="39">
        <f>VLOOKUP(Table8[[#This Row],[Month]],database!A:J,MATCH('Capacity Utilization'!$A$1,database!$A$1:$J$1,),)</f>
        <v>75.566500000000005</v>
      </c>
      <c r="C608" s="69">
        <f>(VLOOKUP(A608,database!A:K,11,) - VLOOKUP(A596,database!A:K,11,))/VLOOKUP(A596,database!A:K,11,)</f>
        <v>1.8528049408131724E-2</v>
      </c>
    </row>
    <row r="609" spans="1:3" x14ac:dyDescent="0.2">
      <c r="A609" s="38">
        <v>42826</v>
      </c>
      <c r="B609" s="39">
        <f>VLOOKUP(Table8[[#This Row],[Month]],database!A:J,MATCH('Capacity Utilization'!$A$1,database!$A$1:$J$1,),)</f>
        <v>76.355900000000005</v>
      </c>
      <c r="C609" s="69">
        <f>(VLOOKUP(A609,database!A:K,11,) - VLOOKUP(A597,database!A:K,11,))/VLOOKUP(A597,database!A:K,11,)</f>
        <v>2.0041109969167553E-2</v>
      </c>
    </row>
    <row r="610" spans="1:3" x14ac:dyDescent="0.2">
      <c r="A610" s="38">
        <v>42856</v>
      </c>
      <c r="B610" s="39">
        <f>VLOOKUP(Table8[[#This Row],[Month]],database!A:J,MATCH('Capacity Utilization'!$A$1,database!$A$1:$J$1,),)</f>
        <v>76.472099999999998</v>
      </c>
      <c r="C610" s="69">
        <f>(VLOOKUP(A610,database!A:K,11,) - VLOOKUP(A598,database!A:K,11,))/VLOOKUP(A598,database!A:K,11,)</f>
        <v>1.8993839835728894E-2</v>
      </c>
    </row>
    <row r="611" spans="1:3" x14ac:dyDescent="0.2">
      <c r="A611" s="38">
        <v>42887</v>
      </c>
      <c r="B611" s="39">
        <f>VLOOKUP(Table8[[#This Row],[Month]],database!A:J,MATCH('Capacity Utilization'!$A$1,database!$A$1:$J$1,),)</f>
        <v>76.668499999999995</v>
      </c>
      <c r="C611" s="69">
        <f>(VLOOKUP(A611,database!A:K,11,) - VLOOKUP(A599,database!A:K,11,))/VLOOKUP(A599,database!A:K,11,)</f>
        <v>1.7400204708290713E-2</v>
      </c>
    </row>
    <row r="612" spans="1:3" x14ac:dyDescent="0.2">
      <c r="A612" s="38">
        <v>42917</v>
      </c>
      <c r="B612" s="39">
        <f>VLOOKUP(Table8[[#This Row],[Month]],database!A:J,MATCH('Capacity Utilization'!$A$1,database!$A$1:$J$1,),)</f>
        <v>76.607900000000001</v>
      </c>
      <c r="C612" s="69">
        <f>(VLOOKUP(A612,database!A:K,11,) - VLOOKUP(A600,database!A:K,11,))/VLOOKUP(A600,database!A:K,11,)</f>
        <v>1.7911975435005119E-2</v>
      </c>
    </row>
    <row r="613" spans="1:3" x14ac:dyDescent="0.2">
      <c r="A613" s="38">
        <v>42948</v>
      </c>
      <c r="B613" s="39">
        <f>VLOOKUP(Table8[[#This Row],[Month]],database!A:J,MATCH('Capacity Utilization'!$A$1,database!$A$1:$J$1,),)</f>
        <v>76.339200000000005</v>
      </c>
      <c r="C613" s="69">
        <f>(VLOOKUP(A613,database!A:K,11,) - VLOOKUP(A601,database!A:K,11,))/VLOOKUP(A601,database!A:K,11,)</f>
        <v>1.7893660531697341E-2</v>
      </c>
    </row>
    <row r="614" spans="1:3" x14ac:dyDescent="0.2">
      <c r="A614" s="38">
        <v>42979</v>
      </c>
      <c r="B614" s="39">
        <f>VLOOKUP(Table8[[#This Row],[Month]],database!A:J,MATCH('Capacity Utilization'!$A$1,database!$A$1:$J$1,),)</f>
        <v>76.493700000000004</v>
      </c>
      <c r="C614" s="69">
        <f>(VLOOKUP(A614,database!A:K,11,) - VLOOKUP(A602,database!A:K,11,))/VLOOKUP(A602,database!A:K,11,)</f>
        <v>1.6343207354443251E-2</v>
      </c>
    </row>
    <row r="615" spans="1:3" x14ac:dyDescent="0.2">
      <c r="A615" s="38">
        <v>43009</v>
      </c>
      <c r="B615" s="39">
        <f>VLOOKUP(Table8[[#This Row],[Month]],database!A:J,MATCH('Capacity Utilization'!$A$1,database!$A$1:$J$1,),)</f>
        <v>77.540199999999999</v>
      </c>
      <c r="C615" s="69">
        <f>(VLOOKUP(A615,database!A:K,11,) - VLOOKUP(A603,database!A:K,11,))/VLOOKUP(A603,database!A:K,11,)</f>
        <v>1.9887812340642561E-2</v>
      </c>
    </row>
    <row r="616" spans="1:3" x14ac:dyDescent="0.2">
      <c r="A616" s="38">
        <v>43040</v>
      </c>
      <c r="B616" s="39">
        <f>VLOOKUP(Table8[[#This Row],[Month]],database!A:J,MATCH('Capacity Utilization'!$A$1,database!$A$1:$J$1,),)</f>
        <v>77.762699999999995</v>
      </c>
      <c r="C616" s="69">
        <f>(VLOOKUP(A616,database!A:K,11,) - VLOOKUP(A604,database!A:K,11,))/VLOOKUP(A604,database!A:K,11,)</f>
        <v>2.1395822720325971E-2</v>
      </c>
    </row>
    <row r="617" spans="1:3" x14ac:dyDescent="0.2">
      <c r="A617" s="38">
        <v>43070</v>
      </c>
      <c r="B617" s="39">
        <f>VLOOKUP(Table8[[#This Row],[Month]],database!A:J,MATCH('Capacity Utilization'!$A$1,database!$A$1:$J$1,),)</f>
        <v>77.961699999999993</v>
      </c>
      <c r="C617" s="69">
        <f>(VLOOKUP(A617,database!A:K,11,) - VLOOKUP(A605,database!A:K,11,))/VLOOKUP(A605,database!A:K,11,)</f>
        <v>1.9827147941026975E-2</v>
      </c>
    </row>
    <row r="618" spans="1:3" x14ac:dyDescent="0.2">
      <c r="A618" s="38">
        <v>43101</v>
      </c>
      <c r="B618" s="39">
        <f>VLOOKUP(Table8[[#This Row],[Month]],database!A:J,MATCH('Capacity Utilization'!$A$1,database!$A$1:$J$1,),)</f>
        <v>77.996600000000001</v>
      </c>
      <c r="C618" s="69">
        <f>(VLOOKUP(A618,database!A:K,11,) - VLOOKUP(A606,database!A:K,11,))/VLOOKUP(A606,database!A:K,11,)</f>
        <v>1.8762677484787105E-2</v>
      </c>
    </row>
    <row r="619" spans="1:3" x14ac:dyDescent="0.2">
      <c r="A619" s="38">
        <v>43132</v>
      </c>
      <c r="B619" s="39">
        <f>VLOOKUP(Table8[[#This Row],[Month]],database!A:J,MATCH('Capacity Utilization'!$A$1,database!$A$1:$J$1,),)</f>
        <v>78.330399999999997</v>
      </c>
      <c r="C619" s="69">
        <f>(VLOOKUP(A619,database!A:K,11,) - VLOOKUP(A607,database!A:K,11,))/VLOOKUP(A607,database!A:K,11,)</f>
        <v>1.9756838905775103E-2</v>
      </c>
    </row>
    <row r="620" spans="1:3" x14ac:dyDescent="0.2">
      <c r="A620" s="38">
        <v>43160</v>
      </c>
      <c r="B620" s="39">
        <f>VLOOKUP(Table8[[#This Row],[Month]],database!A:J,MATCH('Capacity Utilization'!$A$1,database!$A$1:$J$1,),)</f>
        <v>78.814999999999998</v>
      </c>
      <c r="C620" s="69">
        <f>(VLOOKUP(A620,database!A:K,11,) - VLOOKUP(A608,database!A:K,11,))/VLOOKUP(A608,database!A:K,11,)</f>
        <v>2.02122283981809E-2</v>
      </c>
    </row>
    <row r="621" spans="1:3" x14ac:dyDescent="0.2">
      <c r="A621" s="38">
        <v>43191</v>
      </c>
      <c r="B621" s="39">
        <f>VLOOKUP(Table8[[#This Row],[Month]],database!A:J,MATCH('Capacity Utilization'!$A$1,database!$A$1:$J$1,),)</f>
        <v>79.739099999999993</v>
      </c>
      <c r="C621" s="69">
        <f>(VLOOKUP(A621,database!A:K,11,) - VLOOKUP(A609,database!A:K,11,))/VLOOKUP(A609,database!A:K,11,)</f>
        <v>1.914357682619653E-2</v>
      </c>
    </row>
    <row r="622" spans="1:3" x14ac:dyDescent="0.2">
      <c r="A622" s="38">
        <v>43221</v>
      </c>
      <c r="B622" s="39">
        <f>VLOOKUP(Table8[[#This Row],[Month]],database!A:J,MATCH('Capacity Utilization'!$A$1,database!$A$1:$J$1,),)</f>
        <v>79.018100000000004</v>
      </c>
      <c r="C622" s="69">
        <f>(VLOOKUP(A622,database!A:K,11,) - VLOOKUP(A610,database!A:K,11,))/VLOOKUP(A610,database!A:K,11,)</f>
        <v>2.0654911838790903E-2</v>
      </c>
    </row>
    <row r="623" spans="1:3" x14ac:dyDescent="0.2">
      <c r="A623" s="38">
        <v>43252</v>
      </c>
      <c r="B623" s="39">
        <f>VLOOKUP(Table8[[#This Row],[Month]],database!A:J,MATCH('Capacity Utilization'!$A$1,database!$A$1:$J$1,),)</f>
        <v>79.622399999999999</v>
      </c>
      <c r="C623" s="69">
        <f>(VLOOKUP(A623,database!A:K,11,) - VLOOKUP(A611,database!A:K,11,))/VLOOKUP(A611,database!A:K,11,)</f>
        <v>2.1126760563380222E-2</v>
      </c>
    </row>
    <row r="624" spans="1:3" x14ac:dyDescent="0.2">
      <c r="A624" s="38">
        <v>43282</v>
      </c>
      <c r="B624" s="39">
        <f>VLOOKUP(Table8[[#This Row],[Month]],database!A:J,MATCH('Capacity Utilization'!$A$1,database!$A$1:$J$1,),)</f>
        <v>79.773200000000003</v>
      </c>
      <c r="C624" s="69">
        <f>(VLOOKUP(A624,database!A:K,11,) - VLOOKUP(A612,database!A:K,11,))/VLOOKUP(A612,database!A:K,11,)</f>
        <v>2.3629964806435338E-2</v>
      </c>
    </row>
    <row r="625" spans="1:3" x14ac:dyDescent="0.2">
      <c r="A625" s="38">
        <v>43313</v>
      </c>
      <c r="B625" s="39">
        <f>VLOOKUP(Table8[[#This Row],[Month]],database!A:J,MATCH('Capacity Utilization'!$A$1,database!$A$1:$J$1,),)</f>
        <v>80.307299999999998</v>
      </c>
      <c r="C625" s="69">
        <f>(VLOOKUP(A625,database!A:K,11,) - VLOOKUP(A613,database!A:K,11,))/VLOOKUP(A613,database!A:K,11,)</f>
        <v>2.5113008538422903E-2</v>
      </c>
    </row>
    <row r="626" spans="1:3" x14ac:dyDescent="0.2">
      <c r="A626" s="38">
        <v>43344</v>
      </c>
      <c r="B626" s="39">
        <f>VLOOKUP(Table8[[#This Row],[Month]],database!A:J,MATCH('Capacity Utilization'!$A$1,database!$A$1:$J$1,),)</f>
        <v>80.2637</v>
      </c>
      <c r="C626" s="69">
        <f>(VLOOKUP(A626,database!A:K,11,) - VLOOKUP(A614,database!A:K,11,))/VLOOKUP(A614,database!A:K,11,)</f>
        <v>2.7135678391959829E-2</v>
      </c>
    </row>
    <row r="627" spans="1:3" x14ac:dyDescent="0.2">
      <c r="A627" s="38">
        <v>43374</v>
      </c>
      <c r="B627" s="39">
        <f>VLOOKUP(Table8[[#This Row],[Month]],database!A:J,MATCH('Capacity Utilization'!$A$1,database!$A$1:$J$1,),)</f>
        <v>80.1297</v>
      </c>
      <c r="C627" s="69">
        <f>(VLOOKUP(A627,database!A:K,11,) - VLOOKUP(A615,database!A:K,11,))/VLOOKUP(A615,database!A:K,11,)</f>
        <v>2.5499999999999971E-2</v>
      </c>
    </row>
    <row r="628" spans="1:3" x14ac:dyDescent="0.2">
      <c r="A628" s="38">
        <v>43405</v>
      </c>
      <c r="B628" s="39">
        <f>VLOOKUP(Table8[[#This Row],[Month]],database!A:J,MATCH('Capacity Utilization'!$A$1,database!$A$1:$J$1,),)</f>
        <v>80.012100000000004</v>
      </c>
      <c r="C628" s="69">
        <f>(VLOOKUP(A628,database!A:K,11,) - VLOOKUP(A616,database!A:K,11,))/VLOOKUP(A616,database!A:K,11,)</f>
        <v>2.5436408977556082E-2</v>
      </c>
    </row>
    <row r="629" spans="1:3" x14ac:dyDescent="0.2">
      <c r="A629" s="38">
        <v>43435</v>
      </c>
      <c r="B629" s="39">
        <f>VLOOKUP(Table8[[#This Row],[Month]],database!A:J,MATCH('Capacity Utilization'!$A$1,database!$A$1:$J$1,),)</f>
        <v>79.884600000000006</v>
      </c>
      <c r="C629" s="69">
        <f>(VLOOKUP(A629,database!A:K,11,) - VLOOKUP(A617,database!A:K,11,))/VLOOKUP(A617,database!A:K,11,)</f>
        <v>2.5922233300099788E-2</v>
      </c>
    </row>
    <row r="630" spans="1:3" x14ac:dyDescent="0.2">
      <c r="A630" s="38">
        <v>43466</v>
      </c>
      <c r="B630" s="39">
        <f>VLOOKUP(Table8[[#This Row],[Month]],database!A:J,MATCH('Capacity Utilization'!$A$1,database!$A$1:$J$1,),)</f>
        <v>79.359300000000005</v>
      </c>
      <c r="C630" s="69">
        <f>(VLOOKUP(A630,database!A:K,11,) - VLOOKUP(A618,database!A:K,11,))/VLOOKUP(A618,database!A:K,11,)</f>
        <v>2.8870084619213452E-2</v>
      </c>
    </row>
    <row r="631" spans="1:3" x14ac:dyDescent="0.2">
      <c r="A631" s="38">
        <v>43497</v>
      </c>
      <c r="B631" s="39">
        <f>VLOOKUP(Table8[[#This Row],[Month]],database!A:J,MATCH('Capacity Utilization'!$A$1,database!$A$1:$J$1,),)</f>
        <v>78.945300000000003</v>
      </c>
      <c r="C631" s="69">
        <f>(VLOOKUP(A631,database!A:K,11,) - VLOOKUP(A619,database!A:K,11,))/VLOOKUP(A619,database!A:K,11,)</f>
        <v>2.7819175360158935E-2</v>
      </c>
    </row>
    <row r="632" spans="1:3" x14ac:dyDescent="0.2">
      <c r="A632" s="38">
        <v>43525</v>
      </c>
      <c r="B632" s="39">
        <f>VLOOKUP(Table8[[#This Row],[Month]],database!A:J,MATCH('Capacity Utilization'!$A$1,database!$A$1:$J$1,),)</f>
        <v>78.940100000000001</v>
      </c>
      <c r="C632" s="69">
        <f>(VLOOKUP(A632,database!A:K,11,) - VLOOKUP(A620,database!A:K,11,))/VLOOKUP(A620,database!A:K,11,)</f>
        <v>2.6745913818722166E-2</v>
      </c>
    </row>
    <row r="633" spans="1:3" x14ac:dyDescent="0.2">
      <c r="A633" s="38">
        <v>43556</v>
      </c>
      <c r="B633" s="39">
        <f>VLOOKUP(Table8[[#This Row],[Month]],database!A:J,MATCH('Capacity Utilization'!$A$1,database!$A$1:$J$1,),)</f>
        <v>78.468500000000006</v>
      </c>
      <c r="C633" s="69">
        <f>(VLOOKUP(A633,database!A:K,11,) - VLOOKUP(A621,database!A:K,11,))/VLOOKUP(A621,database!A:K,11,)</f>
        <v>2.5704399406821496E-2</v>
      </c>
    </row>
    <row r="634" spans="1:3" x14ac:dyDescent="0.2">
      <c r="A634" s="38">
        <v>43586</v>
      </c>
      <c r="B634" s="39">
        <f>VLOOKUP(Table8[[#This Row],[Month]],database!A:J,MATCH('Capacity Utilization'!$A$1,database!$A$1:$J$1,),)</f>
        <v>78.537899999999993</v>
      </c>
      <c r="C634" s="69">
        <f>(VLOOKUP(A634,database!A:K,11,) - VLOOKUP(A622,database!A:K,11,))/VLOOKUP(A622,database!A:K,11,)</f>
        <v>2.4679170779861797E-2</v>
      </c>
    </row>
    <row r="635" spans="1:3" x14ac:dyDescent="0.2">
      <c r="A635" s="38">
        <v>43617</v>
      </c>
      <c r="B635" s="39">
        <f>VLOOKUP(Table8[[#This Row],[Month]],database!A:J,MATCH('Capacity Utilization'!$A$1,database!$A$1:$J$1,),)</f>
        <v>78.469399999999993</v>
      </c>
      <c r="C635" s="69">
        <f>(VLOOKUP(A635,database!A:K,11,) - VLOOKUP(A623,database!A:K,11,))/VLOOKUP(A623,database!A:K,11,)</f>
        <v>2.3645320197044392E-2</v>
      </c>
    </row>
    <row r="636" spans="1:3" x14ac:dyDescent="0.2">
      <c r="A636" s="38">
        <v>43647</v>
      </c>
      <c r="B636" s="39">
        <f>VLOOKUP(Table8[[#This Row],[Month]],database!A:J,MATCH('Capacity Utilization'!$A$1,database!$A$1:$J$1,),)</f>
        <v>78.085499999999996</v>
      </c>
      <c r="C636" s="69">
        <f>(VLOOKUP(A636,database!A:K,11,) - VLOOKUP(A624,database!A:K,11,))/VLOOKUP(A624,database!A:K,11,)</f>
        <v>2.161100196463657E-2</v>
      </c>
    </row>
    <row r="637" spans="1:3" x14ac:dyDescent="0.2">
      <c r="A637" s="38">
        <v>43678</v>
      </c>
      <c r="B637" s="39">
        <f>VLOOKUP(Table8[[#This Row],[Month]],database!A:J,MATCH('Capacity Utilization'!$A$1,database!$A$1:$J$1,),)</f>
        <v>78.538200000000003</v>
      </c>
      <c r="C637" s="69">
        <f>(VLOOKUP(A637,database!A:K,11,) - VLOOKUP(A625,database!A:K,11,))/VLOOKUP(A625,database!A:K,11,)</f>
        <v>1.9598236158745713E-2</v>
      </c>
    </row>
    <row r="638" spans="1:3" x14ac:dyDescent="0.2">
      <c r="A638" s="38">
        <v>43709</v>
      </c>
      <c r="B638" s="39">
        <f>VLOOKUP(Table8[[#This Row],[Month]],database!A:J,MATCH('Capacity Utilization'!$A$1,database!$A$1:$J$1,),)</f>
        <v>78.2029</v>
      </c>
      <c r="C638" s="69">
        <f>(VLOOKUP(A638,database!A:K,11,) - VLOOKUP(A626,database!A:K,11,))/VLOOKUP(A626,database!A:K,11,)</f>
        <v>1.8590998043052753E-2</v>
      </c>
    </row>
    <row r="639" spans="1:3" x14ac:dyDescent="0.2">
      <c r="A639" s="38">
        <v>43739</v>
      </c>
      <c r="B639" s="39">
        <f>VLOOKUP(Table8[[#This Row],[Month]],database!A:J,MATCH('Capacity Utilization'!$A$1,database!$A$1:$J$1,),)</f>
        <v>77.513800000000003</v>
      </c>
      <c r="C639" s="69">
        <f>(VLOOKUP(A639,database!A:K,11,) - VLOOKUP(A627,database!A:K,11,))/VLOOKUP(A627,database!A:K,11,)</f>
        <v>1.6577279375914217E-2</v>
      </c>
    </row>
    <row r="640" spans="1:3" x14ac:dyDescent="0.2">
      <c r="A640" s="38">
        <v>43770</v>
      </c>
      <c r="B640" s="39">
        <f>VLOOKUP(Table8[[#This Row],[Month]],database!A:J,MATCH('Capacity Utilization'!$A$1,database!$A$1:$J$1,),)</f>
        <v>77.687899999999999</v>
      </c>
      <c r="C640" s="69">
        <f>(VLOOKUP(A640,database!A:K,11,) - VLOOKUP(A628,database!A:K,11,))/VLOOKUP(A628,database!A:K,11,)</f>
        <v>1.5564202334630434E-2</v>
      </c>
    </row>
    <row r="641" spans="1:3" x14ac:dyDescent="0.2">
      <c r="A641" s="38">
        <v>43800</v>
      </c>
      <c r="B641" s="39">
        <f>VLOOKUP(Table8[[#This Row],[Month]],database!A:J,MATCH('Capacity Utilization'!$A$1,database!$A$1:$J$1,),)</f>
        <v>77.373999999999995</v>
      </c>
      <c r="C641" s="69">
        <f>(VLOOKUP(A641,database!A:K,11,) - VLOOKUP(A629,database!A:K,11,))/VLOOKUP(A629,database!A:K,11,)</f>
        <v>1.4577259475218658E-2</v>
      </c>
    </row>
    <row r="642" spans="1:3" x14ac:dyDescent="0.2">
      <c r="A642" s="38">
        <v>43831</v>
      </c>
      <c r="B642" s="39">
        <f>VLOOKUP(Table8[[#This Row],[Month]],database!A:J,MATCH('Capacity Utilization'!$A$1,database!$A$1:$J$1,),)</f>
        <v>76.976900000000001</v>
      </c>
      <c r="C642" s="69">
        <f>(VLOOKUP(A642,database!A:K,11,) - VLOOKUP(A630,database!A:K,11,))/VLOOKUP(A630,database!A:K,11,)</f>
        <v>1.0159651669085742E-2</v>
      </c>
    </row>
    <row r="643" spans="1:3" x14ac:dyDescent="0.2">
      <c r="A643" s="38">
        <v>43862</v>
      </c>
      <c r="B643" s="39">
        <f>VLOOKUP(Table8[[#This Row],[Month]],database!A:J,MATCH('Capacity Utilization'!$A$1,database!$A$1:$J$1,),)</f>
        <v>77.252600000000001</v>
      </c>
      <c r="C643" s="69">
        <f>(VLOOKUP(A643,database!A:K,11,) - VLOOKUP(A631,database!A:K,11,))/VLOOKUP(A631,database!A:K,11,)</f>
        <v>1.2083131947800869E-2</v>
      </c>
    </row>
    <row r="644" spans="1:3" x14ac:dyDescent="0.2">
      <c r="A644" s="38">
        <v>43891</v>
      </c>
      <c r="B644" s="39">
        <f>VLOOKUP(Table8[[#This Row],[Month]],database!A:J,MATCH('Capacity Utilization'!$A$1,database!$A$1:$J$1,),)</f>
        <v>74.332999999999998</v>
      </c>
      <c r="C644" s="69">
        <f>(VLOOKUP(A644,database!A:K,11,) - VLOOKUP(A632,database!A:K,11,))/VLOOKUP(A632,database!A:K,11,)</f>
        <v>1.0612638687891888E-2</v>
      </c>
    </row>
    <row r="645" spans="1:3" x14ac:dyDescent="0.2">
      <c r="A645" s="38">
        <v>43922</v>
      </c>
      <c r="B645" s="39">
        <f>VLOOKUP(Table8[[#This Row],[Month]],database!A:J,MATCH('Capacity Utilization'!$A$1,database!$A$1:$J$1,),)</f>
        <v>64.529799999999994</v>
      </c>
      <c r="C645" s="69">
        <f>(VLOOKUP(A645,database!A:K,11,) - VLOOKUP(A633,database!A:K,11,))/VLOOKUP(A633,database!A:K,11,)</f>
        <v>1.2048192771084338E-2</v>
      </c>
    </row>
    <row r="646" spans="1:3" x14ac:dyDescent="0.2">
      <c r="A646" s="38">
        <v>43952</v>
      </c>
      <c r="B646" s="39">
        <f>VLOOKUP(Table8[[#This Row],[Month]],database!A:J,MATCH('Capacity Utilization'!$A$1,database!$A$1:$J$1,),)</f>
        <v>65.599199999999996</v>
      </c>
      <c r="C646" s="69">
        <f>(VLOOKUP(A646,database!A:K,11,) - VLOOKUP(A634,database!A:K,11,))/VLOOKUP(A634,database!A:K,11,)</f>
        <v>1.0597302504817038E-2</v>
      </c>
    </row>
    <row r="647" spans="1:3" x14ac:dyDescent="0.2">
      <c r="A647" s="38">
        <v>43983</v>
      </c>
      <c r="B647" s="39">
        <f>VLOOKUP(Table8[[#This Row],[Month]],database!A:J,MATCH('Capacity Utilization'!$A$1,database!$A$1:$J$1,),)</f>
        <v>69.7637</v>
      </c>
      <c r="C647" s="69">
        <f>(VLOOKUP(A647,database!A:K,11,) - VLOOKUP(A635,database!A:K,11,))/VLOOKUP(A635,database!A:K,11,)</f>
        <v>1.0105871029836353E-2</v>
      </c>
    </row>
    <row r="648" spans="1:3" x14ac:dyDescent="0.2">
      <c r="A648" s="38">
        <v>44013</v>
      </c>
      <c r="B648" s="39">
        <f>VLOOKUP(Table8[[#This Row],[Month]],database!A:J,MATCH('Capacity Utilization'!$A$1,database!$A$1:$J$1,),)</f>
        <v>72.492800000000003</v>
      </c>
      <c r="C648" s="69">
        <f>(VLOOKUP(A648,database!A:K,11,) - VLOOKUP(A636,database!A:K,11,))/VLOOKUP(A636,database!A:K,11,)</f>
        <v>1.1057692307692362E-2</v>
      </c>
    </row>
    <row r="649" spans="1:3" x14ac:dyDescent="0.2">
      <c r="A649" s="38">
        <v>44044</v>
      </c>
      <c r="B649" s="39">
        <f>VLOOKUP(Table8[[#This Row],[Month]],database!A:J,MATCH('Capacity Utilization'!$A$1,database!$A$1:$J$1,),)</f>
        <v>73.257000000000005</v>
      </c>
      <c r="C649" s="69">
        <f>(VLOOKUP(A649,database!A:K,11,) - VLOOKUP(A637,database!A:K,11,))/VLOOKUP(A637,database!A:K,11,)</f>
        <v>1.201345506967804E-2</v>
      </c>
    </row>
    <row r="650" spans="1:3" x14ac:dyDescent="0.2">
      <c r="A650" s="38">
        <v>44075</v>
      </c>
      <c r="B650" s="39">
        <f>VLOOKUP(Table8[[#This Row],[Month]],database!A:J,MATCH('Capacity Utilization'!$A$1,database!$A$1:$J$1,),)</f>
        <v>73.339500000000001</v>
      </c>
      <c r="C650" s="69">
        <f>(VLOOKUP(A650,database!A:K,11,) - VLOOKUP(A638,database!A:K,11,))/VLOOKUP(A638,database!A:K,11,)</f>
        <v>1.2007684918347743E-2</v>
      </c>
    </row>
    <row r="651" spans="1:3" x14ac:dyDescent="0.2">
      <c r="A651" s="38">
        <v>44105</v>
      </c>
      <c r="B651" s="39">
        <f>VLOOKUP(Table8[[#This Row],[Month]],database!A:J,MATCH('Capacity Utilization'!$A$1,database!$A$1:$J$1,),)</f>
        <v>74.048199999999994</v>
      </c>
      <c r="C651" s="69">
        <f>(VLOOKUP(A651,database!A:K,11,) - VLOOKUP(A639,database!A:K,11,))/VLOOKUP(A639,database!A:K,11,)</f>
        <v>1.1031175059952093E-2</v>
      </c>
    </row>
    <row r="652" spans="1:3" x14ac:dyDescent="0.2">
      <c r="A652" s="38">
        <v>44136</v>
      </c>
      <c r="B652" s="39">
        <f>VLOOKUP(Table8[[#This Row],[Month]],database!A:J,MATCH('Capacity Utilization'!$A$1,database!$A$1:$J$1,),)</f>
        <v>74.415599999999998</v>
      </c>
      <c r="C652" s="69">
        <f>(VLOOKUP(A652,database!A:K,11,) - VLOOKUP(A640,database!A:K,11,))/VLOOKUP(A640,database!A:K,11,)</f>
        <v>1.2452107279693458E-2</v>
      </c>
    </row>
    <row r="653" spans="1:3" x14ac:dyDescent="0.2">
      <c r="A653" s="38">
        <v>44166</v>
      </c>
      <c r="B653" s="39">
        <f>VLOOKUP(Table8[[#This Row],[Month]],database!A:J,MATCH('Capacity Utilization'!$A$1,database!$A$1:$J$1,),)</f>
        <v>75.346599999999995</v>
      </c>
      <c r="C653" s="69">
        <f>(VLOOKUP(A653,database!A:K,11,) - VLOOKUP(A641,database!A:K,11,))/VLOOKUP(A641,database!A:K,11,)</f>
        <v>1.3409961685823672E-2</v>
      </c>
    </row>
    <row r="654" spans="1:3" x14ac:dyDescent="0.2">
      <c r="A654" s="38">
        <v>44197</v>
      </c>
      <c r="B654" s="39">
        <f>VLOOKUP(Table8[[#This Row],[Month]],database!A:J,MATCH('Capacity Utilization'!$A$1,database!$A$1:$J$1,),)</f>
        <v>76.364999999999995</v>
      </c>
      <c r="C654" s="69">
        <f>(VLOOKUP(A654,database!A:K,11,) - VLOOKUP(A642,database!A:K,11,))/VLOOKUP(A642,database!A:K,11,)</f>
        <v>1.628352490421445E-2</v>
      </c>
    </row>
    <row r="655" spans="1:3" x14ac:dyDescent="0.2">
      <c r="A655" s="38">
        <v>44228</v>
      </c>
      <c r="B655" s="39">
        <f>VLOOKUP(Table8[[#This Row],[Month]],database!A:J,MATCH('Capacity Utilization'!$A$1,database!$A$1:$J$1,),)</f>
        <v>74.163399999999996</v>
      </c>
      <c r="C655" s="69">
        <f>(VLOOKUP(A655,database!A:K,11,) - VLOOKUP(A643,database!A:K,11,))/VLOOKUP(A643,database!A:K,11,)</f>
        <v>1.7191977077363869E-2</v>
      </c>
    </row>
    <row r="656" spans="1:3" x14ac:dyDescent="0.2">
      <c r="A656" s="38">
        <v>44256</v>
      </c>
      <c r="B656" s="39">
        <f>VLOOKUP(Table8[[#This Row],[Month]],database!A:J,MATCH('Capacity Utilization'!$A$1,database!$A$1:$J$1,),)</f>
        <v>76.329899999999995</v>
      </c>
      <c r="C656" s="69">
        <f>(VLOOKUP(A656,database!A:K,11,) - VLOOKUP(A644,database!A:K,11,))/VLOOKUP(A644,database!A:K,11,)</f>
        <v>2.0525059665871176E-2</v>
      </c>
    </row>
    <row r="657" spans="1:3" x14ac:dyDescent="0.2">
      <c r="A657" s="38">
        <v>44287</v>
      </c>
      <c r="B657" s="39">
        <f>VLOOKUP(Table8[[#This Row],[Month]],database!A:J,MATCH('Capacity Utilization'!$A$1,database!$A$1:$J$1,),)</f>
        <v>76.577600000000004</v>
      </c>
      <c r="C657" s="69">
        <f>(VLOOKUP(A657,database!A:K,11,) - VLOOKUP(A645,database!A:K,11,))/VLOOKUP(A645,database!A:K,11,)</f>
        <v>2.3809523809523808E-2</v>
      </c>
    </row>
    <row r="658" spans="1:3" x14ac:dyDescent="0.2">
      <c r="A658" s="38">
        <v>44317</v>
      </c>
      <c r="B658" s="39">
        <f>VLOOKUP(Table8[[#This Row],[Month]],database!A:J,MATCH('Capacity Utilization'!$A$1,database!$A$1:$J$1,),)</f>
        <v>77.263499999999993</v>
      </c>
      <c r="C658" s="69">
        <f>(VLOOKUP(A658,database!A:K,11,) - VLOOKUP(A646,database!A:K,11,))/VLOOKUP(A646,database!A:K,11,)</f>
        <v>3.0505243088655754E-2</v>
      </c>
    </row>
    <row r="659" spans="1:3" x14ac:dyDescent="0.2">
      <c r="A659" s="38">
        <v>44348</v>
      </c>
      <c r="B659" s="39">
        <f>VLOOKUP(Table8[[#This Row],[Month]],database!A:J,MATCH('Capacity Utilization'!$A$1,database!$A$1:$J$1,),)</f>
        <v>77.662199999999999</v>
      </c>
      <c r="C659" s="69">
        <f>(VLOOKUP(A659,database!A:K,11,) - VLOOKUP(A647,database!A:K,11,))/VLOOKUP(A647,database!A:K,11,)</f>
        <v>3.7160552644116163E-2</v>
      </c>
    </row>
    <row r="660" spans="1:3" x14ac:dyDescent="0.2">
      <c r="A660" s="38">
        <v>44378</v>
      </c>
      <c r="B660" s="39">
        <f>VLOOKUP(Table8[[#This Row],[Month]],database!A:J,MATCH('Capacity Utilization'!$A$1,database!$A$1:$J$1,),)</f>
        <v>78.237300000000005</v>
      </c>
      <c r="C660" s="69">
        <f>(VLOOKUP(A660,database!A:K,11,) - VLOOKUP(A648,database!A:K,11,))/VLOOKUP(A648,database!A:K,11,)</f>
        <v>4.2068473609129714E-2</v>
      </c>
    </row>
    <row r="661" spans="1:3" x14ac:dyDescent="0.2">
      <c r="A661" s="38">
        <v>44409</v>
      </c>
      <c r="B661" s="39">
        <f>VLOOKUP(Table8[[#This Row],[Month]],database!A:J,MATCH('Capacity Utilization'!$A$1,database!$A$1:$J$1,),)</f>
        <v>78.226200000000006</v>
      </c>
      <c r="C661" s="69">
        <f>(VLOOKUP(A661,database!A:K,11,) - VLOOKUP(A649,database!A:K,11,))/VLOOKUP(A649,database!A:K,11,)</f>
        <v>4.5379867046533795E-2</v>
      </c>
    </row>
    <row r="662" spans="1:3" x14ac:dyDescent="0.2">
      <c r="A662" s="38">
        <v>44440</v>
      </c>
      <c r="B662" s="39">
        <f>VLOOKUP(Table8[[#This Row],[Month]],database!A:J,MATCH('Capacity Utilization'!$A$1,database!$A$1:$J$1,),)</f>
        <v>77.446899999999999</v>
      </c>
      <c r="C662" s="69">
        <f>(VLOOKUP(A662,database!A:K,11,) - VLOOKUP(A650,database!A:K,11,))/VLOOKUP(A650,database!A:K,11,)</f>
        <v>5.1523493118177617E-2</v>
      </c>
    </row>
    <row r="663" spans="1:3" x14ac:dyDescent="0.2">
      <c r="A663" s="38">
        <v>44470</v>
      </c>
      <c r="B663" s="39">
        <f>VLOOKUP(Table8[[#This Row],[Month]],database!A:J,MATCH('Capacity Utilization'!$A$1,database!$A$1:$J$1,),)</f>
        <v>78.578400000000002</v>
      </c>
      <c r="C663" s="69">
        <f>(VLOOKUP(A663,database!A:K,11,) - VLOOKUP(A651,database!A:K,11,))/VLOOKUP(A651,database!A:K,11,)</f>
        <v>5.6774193548387045E-2</v>
      </c>
    </row>
    <row r="664" spans="1:3" x14ac:dyDescent="0.2">
      <c r="A664" s="38">
        <v>44501</v>
      </c>
      <c r="B664" s="39">
        <f>VLOOKUP(Table8[[#This Row],[Month]],database!A:J,MATCH('Capacity Utilization'!$A$1,database!$A$1:$J$1,),)</f>
        <v>78.980800000000002</v>
      </c>
      <c r="C664" s="69">
        <f>(VLOOKUP(A664,database!A:K,11,) - VLOOKUP(A652,database!A:K,11,))/VLOOKUP(A652,database!A:K,11,)</f>
        <v>5.9962157048249705E-2</v>
      </c>
    </row>
    <row r="665" spans="1:3" x14ac:dyDescent="0.2">
      <c r="A665" s="38">
        <v>44531</v>
      </c>
      <c r="B665" s="39">
        <f>VLOOKUP(Table8[[#This Row],[Month]],database!A:J,MATCH('Capacity Utilization'!$A$1,database!$A$1:$J$1,),)</f>
        <v>78.741600000000005</v>
      </c>
      <c r="C665" s="69">
        <f>(VLOOKUP(A665,database!A:K,11,) - VLOOKUP(A653,database!A:K,11,))/VLOOKUP(A653,database!A:K,11,)</f>
        <v>6.4914933837429203E-2</v>
      </c>
    </row>
    <row r="666" spans="1:3" x14ac:dyDescent="0.2">
      <c r="A666" s="38">
        <v>44562</v>
      </c>
      <c r="B666" s="39">
        <f>VLOOKUP(Table8[[#This Row],[Month]],database!A:J,MATCH('Capacity Utilization'!$A$1,database!$A$1:$J$1,),)</f>
        <v>78.942099999999996</v>
      </c>
      <c r="C666" s="69">
        <f>(VLOOKUP(A666,database!A:K,11,) - VLOOKUP(A654,database!A:K,11,))/VLOOKUP(A654,database!A:K,11,)</f>
        <v>7.115457115928378E-2</v>
      </c>
    </row>
    <row r="667" spans="1:3" x14ac:dyDescent="0.2">
      <c r="A667" s="38">
        <v>44593</v>
      </c>
      <c r="B667" s="39">
        <f>VLOOKUP(Table8[[#This Row],[Month]],database!A:J,MATCH('Capacity Utilization'!$A$1,database!$A$1:$J$1,),)</f>
        <v>79.414500000000004</v>
      </c>
      <c r="C667" s="69">
        <f>(VLOOKUP(A667,database!A:K,11,) - VLOOKUP(A655,database!A:K,11,))/VLOOKUP(A655,database!A:K,11,)</f>
        <v>7.7708920187793393E-2</v>
      </c>
    </row>
    <row r="668" spans="1:3" x14ac:dyDescent="0.2">
      <c r="A668" s="38">
        <v>44621</v>
      </c>
      <c r="B668" s="39">
        <f>VLOOKUP(Table8[[#This Row],[Month]],database!A:J,MATCH('Capacity Utilization'!$A$1,database!$A$1:$J$1,),)</f>
        <v>79.815399999999997</v>
      </c>
      <c r="C668" s="69">
        <f>(VLOOKUP(A668,database!A:K,11,) - VLOOKUP(A656,database!A:K,11,))/VLOOKUP(A656,database!A:K,11,)</f>
        <v>8.0921421889616402E-2</v>
      </c>
    </row>
    <row r="669" spans="1:3" x14ac:dyDescent="0.2">
      <c r="A669" s="38">
        <v>44652</v>
      </c>
      <c r="B669" s="39">
        <f>VLOOKUP(Table8[[#This Row],[Month]],database!A:J,MATCH('Capacity Utilization'!$A$1,database!$A$1:$J$1,),)</f>
        <v>80.218299999999999</v>
      </c>
      <c r="C669" s="69">
        <f>(VLOOKUP(A669,database!A:K,11,) - VLOOKUP(A657,database!A:K,11,))/VLOOKUP(A657,database!A:K,11,)</f>
        <v>8.6265116279069756E-2</v>
      </c>
    </row>
    <row r="670" spans="1:3" x14ac:dyDescent="0.2">
      <c r="A670" s="38">
        <v>44682</v>
      </c>
      <c r="B670" s="39">
        <f>VLOOKUP(Table8[[#This Row],[Month]],database!A:J,MATCH('Capacity Utilization'!$A$1,database!$A$1:$J$1,),)</f>
        <v>80.036900000000003</v>
      </c>
      <c r="C670" s="69">
        <f>(VLOOKUP(A670,database!A:K,11,) - VLOOKUP(A658,database!A:K,11,))/VLOOKUP(A658,database!A:K,11,)</f>
        <v>8.8926919518963921E-2</v>
      </c>
    </row>
    <row r="671" spans="1:3" x14ac:dyDescent="0.2">
      <c r="A671" s="38">
        <v>44713</v>
      </c>
      <c r="B671" s="39">
        <f>VLOOKUP(Table8[[#This Row],[Month]],database!A:J,MATCH('Capacity Utilization'!$A$1,database!$A$1:$J$1,),)</f>
        <v>79.905500000000004</v>
      </c>
      <c r="C671" s="69">
        <f>(VLOOKUP(A671,database!A:K,11,) - VLOOKUP(A659,database!A:K,11,))/VLOOKUP(A659,database!A:K,11,)</f>
        <v>8.9223702342673433E-2</v>
      </c>
    </row>
    <row r="672" spans="1:3" x14ac:dyDescent="0.2">
      <c r="A672" s="38">
        <v>44743</v>
      </c>
      <c r="B672" s="39">
        <f>VLOOKUP(Table8[[#This Row],[Month]],database!A:J,MATCH('Capacity Utilization'!$A$1,database!$A$1:$J$1,),)</f>
        <v>80.202399999999997</v>
      </c>
      <c r="C672" s="69">
        <f>(VLOOKUP(A672,database!A:K,11,) - VLOOKUP(A660,database!A:K,11,))/VLOOKUP(A660,database!A:K,11,)</f>
        <v>8.8023107776971712E-2</v>
      </c>
    </row>
    <row r="673" spans="1:3" x14ac:dyDescent="0.2">
      <c r="A673" s="38">
        <v>44774</v>
      </c>
      <c r="B673" s="39">
        <f>VLOOKUP(Table8[[#This Row],[Month]],database!A:J,MATCH('Capacity Utilization'!$A$1,database!$A$1:$J$1,),)</f>
        <v>79.960499999999996</v>
      </c>
      <c r="C673" s="69">
        <f>(VLOOKUP(A673,database!A:K,11,) - VLOOKUP(A661,database!A:K,11,))/VLOOKUP(A661,database!A:K,11,)</f>
        <v>8.8305164042024556E-2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4"/>
  <sheetViews>
    <sheetView zoomScaleNormal="100" workbookViewId="0">
      <pane ySplit="6" topLeftCell="A575" activePane="bottomLeft" state="frozen"/>
      <selection activeCell="A572" sqref="A572:D575"/>
      <selection pane="bottomLeft" activeCell="AE586" sqref="AE58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5" x14ac:dyDescent="0.2">
      <c r="A1" s="15" t="s">
        <v>28</v>
      </c>
      <c r="B1" s="75"/>
      <c r="C1" s="75"/>
      <c r="S1" s="55" t="s">
        <v>63</v>
      </c>
      <c r="T1" s="63" t="s">
        <v>64</v>
      </c>
      <c r="U1" s="75" t="str">
        <f>S1&amp;T1</f>
        <v>Industrial Production: Materials since 2010</v>
      </c>
      <c r="Y1" s="61" t="str">
        <f>U2&amp; T1</f>
        <v>Industrial Production: Materials yoy since 2010</v>
      </c>
    </row>
    <row r="2" spans="1:25" x14ac:dyDescent="0.2">
      <c r="A2" s="16"/>
      <c r="B2" s="75"/>
      <c r="C2" s="75"/>
      <c r="S2" s="56"/>
      <c r="T2" s="63"/>
      <c r="U2" s="75"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VLOOKUP(Table17[[#This Row],[Date]],database!A:H,7,)</f>
        <v>37.318899999999999</v>
      </c>
      <c r="C7" s="66"/>
      <c r="D7" s="66"/>
    </row>
    <row r="8" spans="1:25" x14ac:dyDescent="0.2">
      <c r="A8" s="17">
        <v>26330</v>
      </c>
      <c r="B8" s="59">
        <f>VLOOKUP(Table17[[#This Row],[Date]],database!A:H,7,)</f>
        <v>37.7376</v>
      </c>
      <c r="C8" s="67">
        <f t="shared" ref="C8:C71" si="0">B8/B7-1</f>
        <v>1.121951611649874E-2</v>
      </c>
      <c r="D8" s="67"/>
    </row>
    <row r="9" spans="1:25" x14ac:dyDescent="0.2">
      <c r="A9" s="17">
        <v>26359</v>
      </c>
      <c r="B9" s="59">
        <f>VLOOKUP(Table17[[#This Row],[Date]],database!A:H,7,)</f>
        <v>38.1111</v>
      </c>
      <c r="C9" s="67">
        <f t="shared" si="0"/>
        <v>9.8972907657084441E-3</v>
      </c>
      <c r="D9" s="67"/>
    </row>
    <row r="10" spans="1:25" x14ac:dyDescent="0.2">
      <c r="A10" s="17">
        <v>26390</v>
      </c>
      <c r="B10" s="59">
        <f>VLOOKUP(Table17[[#This Row],[Date]],database!A:H,7,)</f>
        <v>38.456899999999997</v>
      </c>
      <c r="C10" s="67">
        <f t="shared" si="0"/>
        <v>9.073472033082064E-3</v>
      </c>
      <c r="D10" s="67"/>
    </row>
    <row r="11" spans="1:25" x14ac:dyDescent="0.2">
      <c r="A11" s="17">
        <v>26420</v>
      </c>
      <c r="B11" s="59">
        <f>VLOOKUP(Table17[[#This Row],[Date]],database!A:H,7,)</f>
        <v>38.545099999999998</v>
      </c>
      <c r="C11" s="67">
        <f t="shared" si="0"/>
        <v>2.2934765932771661E-3</v>
      </c>
      <c r="D11" s="67"/>
    </row>
    <row r="12" spans="1:25" x14ac:dyDescent="0.2">
      <c r="A12" s="17">
        <v>26451</v>
      </c>
      <c r="B12" s="59">
        <f>VLOOKUP(Table17[[#This Row],[Date]],database!A:H,7,)</f>
        <v>38.608600000000003</v>
      </c>
      <c r="C12" s="67">
        <f t="shared" si="0"/>
        <v>1.6474208135406343E-3</v>
      </c>
      <c r="D12" s="67"/>
    </row>
    <row r="13" spans="1:25" x14ac:dyDescent="0.2">
      <c r="A13" s="17">
        <v>26481</v>
      </c>
      <c r="B13" s="59">
        <f>VLOOKUP(Table17[[#This Row],[Date]],database!A:H,7,)</f>
        <v>38.2971</v>
      </c>
      <c r="C13" s="67">
        <f t="shared" si="0"/>
        <v>-8.0681506192921137E-3</v>
      </c>
      <c r="D13" s="67"/>
    </row>
    <row r="14" spans="1:25" x14ac:dyDescent="0.2">
      <c r="A14" s="17">
        <v>26512</v>
      </c>
      <c r="B14" s="59">
        <f>VLOOKUP(Table17[[#This Row],[Date]],database!A:H,7,)</f>
        <v>38.906500000000001</v>
      </c>
      <c r="C14" s="67">
        <f t="shared" si="0"/>
        <v>1.5912432011823352E-2</v>
      </c>
      <c r="D14" s="67"/>
    </row>
    <row r="15" spans="1:25" x14ac:dyDescent="0.2">
      <c r="A15" s="17">
        <v>26543</v>
      </c>
      <c r="B15" s="59">
        <f>VLOOKUP(Table17[[#This Row],[Date]],database!A:H,7,)</f>
        <v>39.295099999999998</v>
      </c>
      <c r="C15" s="67">
        <f t="shared" si="0"/>
        <v>9.9880482695693384E-3</v>
      </c>
      <c r="D15" s="67"/>
    </row>
    <row r="16" spans="1:25" x14ac:dyDescent="0.2">
      <c r="A16" s="17">
        <v>26573</v>
      </c>
      <c r="B16" s="59">
        <f>VLOOKUP(Table17[[#This Row],[Date]],database!A:H,7,)</f>
        <v>39.68</v>
      </c>
      <c r="C16" s="67">
        <f t="shared" si="0"/>
        <v>9.7951144035770543E-3</v>
      </c>
      <c r="D16" s="67"/>
    </row>
    <row r="17" spans="1:4" x14ac:dyDescent="0.2">
      <c r="A17" s="17">
        <v>26604</v>
      </c>
      <c r="B17" s="59">
        <f>VLOOKUP(Table17[[#This Row],[Date]],database!A:H,7,)</f>
        <v>40.264000000000003</v>
      </c>
      <c r="C17" s="67">
        <f t="shared" si="0"/>
        <v>1.471774193548403E-2</v>
      </c>
      <c r="D17" s="67"/>
    </row>
    <row r="18" spans="1:4" x14ac:dyDescent="0.2">
      <c r="A18" s="17">
        <v>26634</v>
      </c>
      <c r="B18" s="59">
        <f>VLOOKUP(Table17[[#This Row],[Date]],database!A:H,7,)</f>
        <v>40.906500000000001</v>
      </c>
      <c r="C18" s="67">
        <f t="shared" si="0"/>
        <v>1.5957182594873887E-2</v>
      </c>
      <c r="D18" s="67"/>
    </row>
    <row r="19" spans="1:4" x14ac:dyDescent="0.2">
      <c r="A19" s="17">
        <v>26665</v>
      </c>
      <c r="B19" s="59">
        <f>VLOOKUP(Table17[[#This Row],[Date]],database!A:H,7,)</f>
        <v>41.278399999999998</v>
      </c>
      <c r="C19" s="67">
        <f t="shared" si="0"/>
        <v>9.0914646816520062E-3</v>
      </c>
      <c r="D19" s="67"/>
    </row>
    <row r="20" spans="1:4" x14ac:dyDescent="0.2">
      <c r="A20" s="17">
        <v>26696</v>
      </c>
      <c r="B20" s="59">
        <f>VLOOKUP(Table17[[#This Row],[Date]],database!A:H,7,)</f>
        <v>41.895499999999998</v>
      </c>
      <c r="C20" s="67">
        <f t="shared" si="0"/>
        <v>1.4949707352998276E-2</v>
      </c>
      <c r="D20" s="67">
        <f>(Table17[[#This Row],[Index]]-B8)/B8</f>
        <v>0.11017923768337144</v>
      </c>
    </row>
    <row r="21" spans="1:4" x14ac:dyDescent="0.2">
      <c r="A21" s="17">
        <v>26724</v>
      </c>
      <c r="B21" s="59">
        <f>VLOOKUP(Table17[[#This Row],[Date]],database!A:H,7,)</f>
        <v>41.7652</v>
      </c>
      <c r="C21" s="67">
        <f t="shared" si="0"/>
        <v>-3.1101192252150911E-3</v>
      </c>
      <c r="D21" s="67">
        <f>(Table17[[#This Row],[Index]]-B9)/B9</f>
        <v>9.5880202880525608E-2</v>
      </c>
    </row>
    <row r="22" spans="1:4" x14ac:dyDescent="0.2">
      <c r="A22" s="17">
        <v>26755</v>
      </c>
      <c r="B22" s="59">
        <f>VLOOKUP(Table17[[#This Row],[Date]],database!A:H,7,)</f>
        <v>41.838299999999997</v>
      </c>
      <c r="C22" s="67">
        <f t="shared" si="0"/>
        <v>1.7502609828277116E-3</v>
      </c>
      <c r="D22" s="67">
        <f>(Table17[[#This Row],[Index]]-B10)/B10</f>
        <v>8.7927003996681991E-2</v>
      </c>
    </row>
    <row r="23" spans="1:4" x14ac:dyDescent="0.2">
      <c r="A23" s="17">
        <v>26785</v>
      </c>
      <c r="B23" s="59">
        <f>VLOOKUP(Table17[[#This Row],[Date]],database!A:H,7,)</f>
        <v>42.122900000000001</v>
      </c>
      <c r="C23" s="67">
        <f t="shared" si="0"/>
        <v>6.8023796377960632E-3</v>
      </c>
      <c r="D23" s="67">
        <f>(Table17[[#This Row],[Index]]-B11)/B11</f>
        <v>9.2821136798192344E-2</v>
      </c>
    </row>
    <row r="24" spans="1:4" x14ac:dyDescent="0.2">
      <c r="A24" s="17">
        <v>26816</v>
      </c>
      <c r="B24" s="59">
        <f>VLOOKUP(Table17[[#This Row],[Date]],database!A:H,7,)</f>
        <v>42.214199999999998</v>
      </c>
      <c r="C24" s="67">
        <f t="shared" si="0"/>
        <v>2.1674671022173797E-3</v>
      </c>
      <c r="D24" s="67">
        <f>(Table17[[#This Row],[Index]]-B12)/B12</f>
        <v>9.3388519656242272E-2</v>
      </c>
    </row>
    <row r="25" spans="1:4" x14ac:dyDescent="0.2">
      <c r="A25" s="17">
        <v>26846</v>
      </c>
      <c r="B25" s="59">
        <f>VLOOKUP(Table17[[#This Row],[Date]],database!A:H,7,)</f>
        <v>42.38</v>
      </c>
      <c r="C25" s="67">
        <f t="shared" si="0"/>
        <v>3.9275883470490935E-3</v>
      </c>
      <c r="D25" s="67">
        <f>(Table17[[#This Row],[Index]]-B13)/B13</f>
        <v>0.10661120554820083</v>
      </c>
    </row>
    <row r="26" spans="1:4" x14ac:dyDescent="0.2">
      <c r="A26" s="17">
        <v>26877</v>
      </c>
      <c r="B26" s="59">
        <f>VLOOKUP(Table17[[#This Row],[Date]],database!A:H,7,)</f>
        <v>42.433599999999998</v>
      </c>
      <c r="C26" s="67">
        <f t="shared" si="0"/>
        <v>1.2647475224161209E-3</v>
      </c>
      <c r="D26" s="67">
        <f>(Table17[[#This Row],[Index]]-B14)/B14</f>
        <v>9.0655803014920308E-2</v>
      </c>
    </row>
    <row r="27" spans="1:4" x14ac:dyDescent="0.2">
      <c r="A27" s="17">
        <v>26908</v>
      </c>
      <c r="B27" s="59">
        <f>VLOOKUP(Table17[[#This Row],[Date]],database!A:H,7,)</f>
        <v>42.616399999999999</v>
      </c>
      <c r="C27" s="67">
        <f t="shared" si="0"/>
        <v>4.3079069416689375E-3</v>
      </c>
      <c r="D27" s="67">
        <f>(Table17[[#This Row],[Index]]-B15)/B15</f>
        <v>8.4521988746688537E-2</v>
      </c>
    </row>
    <row r="28" spans="1:4" x14ac:dyDescent="0.2">
      <c r="A28" s="17">
        <v>26938</v>
      </c>
      <c r="B28" s="59">
        <f>VLOOKUP(Table17[[#This Row],[Date]],database!A:H,7,)</f>
        <v>42.965699999999998</v>
      </c>
      <c r="C28" s="67">
        <f t="shared" si="0"/>
        <v>8.1963751044198396E-3</v>
      </c>
      <c r="D28" s="67">
        <f>(Table17[[#This Row],[Index]]-B16)/B16</f>
        <v>8.2804939516128995E-2</v>
      </c>
    </row>
    <row r="29" spans="1:4" x14ac:dyDescent="0.2">
      <c r="A29" s="17">
        <v>26969</v>
      </c>
      <c r="B29" s="59">
        <f>VLOOKUP(Table17[[#This Row],[Date]],database!A:H,7,)</f>
        <v>43.2241</v>
      </c>
      <c r="C29" s="67">
        <f t="shared" si="0"/>
        <v>6.0140996189983476E-3</v>
      </c>
      <c r="D29" s="67">
        <f>(Table17[[#This Row],[Index]]-B17)/B17</f>
        <v>7.3517285912974295E-2</v>
      </c>
    </row>
    <row r="30" spans="1:4" x14ac:dyDescent="0.2">
      <c r="A30" s="17">
        <v>26999</v>
      </c>
      <c r="B30" s="59">
        <f>VLOOKUP(Table17[[#This Row],[Date]],database!A:H,7,)</f>
        <v>43.3735</v>
      </c>
      <c r="C30" s="67">
        <f t="shared" si="0"/>
        <v>3.4564051073360247E-3</v>
      </c>
      <c r="D30" s="67">
        <f>(Table17[[#This Row],[Index]]-B18)/B18</f>
        <v>6.030826396782904E-2</v>
      </c>
    </row>
    <row r="31" spans="1:4" x14ac:dyDescent="0.2">
      <c r="A31" s="17">
        <v>27030</v>
      </c>
      <c r="B31" s="59">
        <f>VLOOKUP(Table17[[#This Row],[Date]],database!A:H,7,)</f>
        <v>43.054200000000002</v>
      </c>
      <c r="C31" s="67">
        <f t="shared" si="0"/>
        <v>-7.3616378664391746E-3</v>
      </c>
      <c r="D31" s="67">
        <f>(Table17[[#This Row],[Index]]-B19)/B19</f>
        <v>4.3020078297608531E-2</v>
      </c>
    </row>
    <row r="32" spans="1:4" x14ac:dyDescent="0.2">
      <c r="A32" s="17">
        <v>27061</v>
      </c>
      <c r="B32" s="59">
        <f>VLOOKUP(Table17[[#This Row],[Date]],database!A:H,7,)</f>
        <v>42.973199999999999</v>
      </c>
      <c r="C32" s="67">
        <f t="shared" si="0"/>
        <v>-1.8813495547473913E-3</v>
      </c>
      <c r="D32" s="67">
        <f>(Table17[[#This Row],[Index]]-B20)/B20</f>
        <v>2.5723526393049378E-2</v>
      </c>
    </row>
    <row r="33" spans="1:4" x14ac:dyDescent="0.2">
      <c r="A33" s="17">
        <v>27089</v>
      </c>
      <c r="B33" s="59">
        <f>VLOOKUP(Table17[[#This Row],[Date]],database!A:H,7,)</f>
        <v>42.827199999999998</v>
      </c>
      <c r="C33" s="67">
        <f t="shared" si="0"/>
        <v>-3.3974663278508732E-3</v>
      </c>
      <c r="D33" s="67">
        <f>(Table17[[#This Row],[Index]]-B21)/B21</f>
        <v>2.5427868177334181E-2</v>
      </c>
    </row>
    <row r="34" spans="1:4" x14ac:dyDescent="0.2">
      <c r="A34" s="17">
        <v>27120</v>
      </c>
      <c r="B34" s="59">
        <f>VLOOKUP(Table17[[#This Row],[Date]],database!A:H,7,)</f>
        <v>42.770800000000001</v>
      </c>
      <c r="C34" s="67">
        <f t="shared" si="0"/>
        <v>-1.3169200881681942E-3</v>
      </c>
      <c r="D34" s="67">
        <f>(Table17[[#This Row],[Index]]-B22)/B22</f>
        <v>2.2288190485751206E-2</v>
      </c>
    </row>
    <row r="35" spans="1:4" x14ac:dyDescent="0.2">
      <c r="A35" s="17">
        <v>27150</v>
      </c>
      <c r="B35" s="59">
        <f>VLOOKUP(Table17[[#This Row],[Date]],database!A:H,7,)</f>
        <v>43.050600000000003</v>
      </c>
      <c r="C35" s="67">
        <f t="shared" si="0"/>
        <v>6.5418463063586785E-3</v>
      </c>
      <c r="D35" s="67">
        <f>(Table17[[#This Row],[Index]]-B23)/B23</f>
        <v>2.2023649843671767E-2</v>
      </c>
    </row>
    <row r="36" spans="1:4" x14ac:dyDescent="0.2">
      <c r="A36" s="17">
        <v>27181</v>
      </c>
      <c r="B36" s="59">
        <f>VLOOKUP(Table17[[#This Row],[Date]],database!A:H,7,)</f>
        <v>42.837800000000001</v>
      </c>
      <c r="C36" s="67">
        <f t="shared" si="0"/>
        <v>-4.943020538622056E-3</v>
      </c>
      <c r="D36" s="67">
        <f>(Table17[[#This Row],[Index]]-B24)/B24</f>
        <v>1.4772280417489927E-2</v>
      </c>
    </row>
    <row r="37" spans="1:4" x14ac:dyDescent="0.2">
      <c r="A37" s="17">
        <v>27211</v>
      </c>
      <c r="B37" s="59">
        <f>VLOOKUP(Table17[[#This Row],[Date]],database!A:H,7,)</f>
        <v>43.078600000000002</v>
      </c>
      <c r="C37" s="67">
        <f t="shared" si="0"/>
        <v>5.6212037032714601E-3</v>
      </c>
      <c r="D37" s="67">
        <f>(Table17[[#This Row],[Index]]-B25)/B25</f>
        <v>1.6484190655969771E-2</v>
      </c>
    </row>
    <row r="38" spans="1:4" x14ac:dyDescent="0.2">
      <c r="A38" s="17">
        <v>27242</v>
      </c>
      <c r="B38" s="59">
        <f>VLOOKUP(Table17[[#This Row],[Date]],database!A:H,7,)</f>
        <v>42.302700000000002</v>
      </c>
      <c r="C38" s="67">
        <f t="shared" si="0"/>
        <v>-1.8011263132970856E-2</v>
      </c>
      <c r="D38" s="67">
        <f>(Table17[[#This Row],[Index]]-B26)/B26</f>
        <v>-3.0848195769389566E-3</v>
      </c>
    </row>
    <row r="39" spans="1:4" x14ac:dyDescent="0.2">
      <c r="A39" s="17">
        <v>27273</v>
      </c>
      <c r="B39" s="59">
        <f>VLOOKUP(Table17[[#This Row],[Date]],database!A:H,7,)</f>
        <v>42.389200000000002</v>
      </c>
      <c r="C39" s="67">
        <f t="shared" si="0"/>
        <v>2.0447867393806884E-3</v>
      </c>
      <c r="D39" s="67">
        <f>(Table17[[#This Row],[Index]]-B27)/B27</f>
        <v>-5.3312809153282844E-3</v>
      </c>
    </row>
    <row r="40" spans="1:4" x14ac:dyDescent="0.2">
      <c r="A40" s="17">
        <v>27303</v>
      </c>
      <c r="B40" s="59">
        <f>VLOOKUP(Table17[[#This Row],[Date]],database!A:H,7,)</f>
        <v>42.183799999999998</v>
      </c>
      <c r="C40" s="67">
        <f t="shared" si="0"/>
        <v>-4.8455738725903252E-3</v>
      </c>
      <c r="D40" s="67">
        <f>(Table17[[#This Row],[Index]]-B28)/B28</f>
        <v>-1.8198237198509517E-2</v>
      </c>
    </row>
    <row r="41" spans="1:4" x14ac:dyDescent="0.2">
      <c r="A41" s="17">
        <v>27334</v>
      </c>
      <c r="B41" s="59">
        <f>VLOOKUP(Table17[[#This Row],[Date]],database!A:H,7,)</f>
        <v>40.3917</v>
      </c>
      <c r="C41" s="67">
        <f t="shared" si="0"/>
        <v>-4.2483133335545875E-2</v>
      </c>
      <c r="D41" s="67">
        <f>(Table17[[#This Row],[Index]]-B29)/B29</f>
        <v>-6.5528258540952844E-2</v>
      </c>
    </row>
    <row r="42" spans="1:4" x14ac:dyDescent="0.2">
      <c r="A42" s="17">
        <v>27364</v>
      </c>
      <c r="B42" s="59">
        <f>VLOOKUP(Table17[[#This Row],[Date]],database!A:H,7,)</f>
        <v>38.797800000000002</v>
      </c>
      <c r="C42" s="67">
        <f t="shared" si="0"/>
        <v>-3.9461077399564726E-2</v>
      </c>
      <c r="D42" s="67">
        <f>(Table17[[#This Row],[Index]]-B30)/B30</f>
        <v>-0.10549529090343177</v>
      </c>
    </row>
    <row r="43" spans="1:4" x14ac:dyDescent="0.2">
      <c r="A43" s="17">
        <v>27395</v>
      </c>
      <c r="B43" s="59">
        <f>VLOOKUP(Table17[[#This Row],[Date]],database!A:H,7,)</f>
        <v>38.473799999999997</v>
      </c>
      <c r="C43" s="67">
        <f t="shared" si="0"/>
        <v>-8.3509889736017584E-3</v>
      </c>
      <c r="D43" s="67">
        <f>(Table17[[#This Row],[Index]]-B31)/B31</f>
        <v>-0.1063868333403014</v>
      </c>
    </row>
    <row r="44" spans="1:4" x14ac:dyDescent="0.2">
      <c r="A44" s="17">
        <v>27426</v>
      </c>
      <c r="B44" s="59">
        <f>VLOOKUP(Table17[[#This Row],[Date]],database!A:H,7,)</f>
        <v>37.549999999999997</v>
      </c>
      <c r="C44" s="67">
        <f t="shared" si="0"/>
        <v>-2.4011145246895294E-2</v>
      </c>
      <c r="D44" s="67">
        <f>(Table17[[#This Row],[Index]]-B32)/B32</f>
        <v>-0.12619958485753915</v>
      </c>
    </row>
    <row r="45" spans="1:4" x14ac:dyDescent="0.2">
      <c r="A45" s="17">
        <v>27454</v>
      </c>
      <c r="B45" s="59">
        <f>VLOOKUP(Table17[[#This Row],[Date]],database!A:H,7,)</f>
        <v>37.014600000000002</v>
      </c>
      <c r="C45" s="67">
        <f t="shared" si="0"/>
        <v>-1.4258322237017174E-2</v>
      </c>
      <c r="D45" s="67">
        <f>(Table17[[#This Row],[Index]]-B33)/B33</f>
        <v>-0.13572215788097275</v>
      </c>
    </row>
    <row r="46" spans="1:4" x14ac:dyDescent="0.2">
      <c r="A46" s="17">
        <v>27485</v>
      </c>
      <c r="B46" s="59">
        <f>VLOOKUP(Table17[[#This Row],[Date]],database!A:H,7,)</f>
        <v>36.811599999999999</v>
      </c>
      <c r="C46" s="67">
        <f t="shared" si="0"/>
        <v>-5.48432240251151E-3</v>
      </c>
      <c r="D46" s="67">
        <f>(Table17[[#This Row],[Index]]-B34)/B34</f>
        <v>-0.13932870088939189</v>
      </c>
    </row>
    <row r="47" spans="1:4" x14ac:dyDescent="0.2">
      <c r="A47" s="17">
        <v>27515</v>
      </c>
      <c r="B47" s="59">
        <f>VLOOKUP(Table17[[#This Row],[Date]],database!A:H,7,)</f>
        <v>36.5672</v>
      </c>
      <c r="C47" s="67">
        <f t="shared" si="0"/>
        <v>-6.6392115528800533E-3</v>
      </c>
      <c r="D47" s="67">
        <f>(Table17[[#This Row],[Index]]-B35)/B35</f>
        <v>-0.15059952706814778</v>
      </c>
    </row>
    <row r="48" spans="1:4" x14ac:dyDescent="0.2">
      <c r="A48" s="17">
        <v>27546</v>
      </c>
      <c r="B48" s="59">
        <f>VLOOKUP(Table17[[#This Row],[Date]],database!A:H,7,)</f>
        <v>36.830300000000001</v>
      </c>
      <c r="C48" s="67">
        <f t="shared" si="0"/>
        <v>7.1949725437003842E-3</v>
      </c>
      <c r="D48" s="67">
        <f>(Table17[[#This Row],[Index]]-B36)/B36</f>
        <v>-0.14023829421678985</v>
      </c>
    </row>
    <row r="49" spans="1:4" x14ac:dyDescent="0.2">
      <c r="A49" s="17">
        <v>27576</v>
      </c>
      <c r="B49" s="59">
        <f>VLOOKUP(Table17[[#This Row],[Date]],database!A:H,7,)</f>
        <v>36.972000000000001</v>
      </c>
      <c r="C49" s="67">
        <f t="shared" si="0"/>
        <v>3.8473756662313896E-3</v>
      </c>
      <c r="D49" s="67">
        <f>(Table17[[#This Row],[Index]]-B37)/B37</f>
        <v>-0.14175483882948842</v>
      </c>
    </row>
    <row r="50" spans="1:4" x14ac:dyDescent="0.2">
      <c r="A50" s="17">
        <v>27607</v>
      </c>
      <c r="B50" s="59">
        <f>VLOOKUP(Table17[[#This Row],[Date]],database!A:H,7,)</f>
        <v>37.590800000000002</v>
      </c>
      <c r="C50" s="67">
        <f t="shared" si="0"/>
        <v>1.673699015471164E-2</v>
      </c>
      <c r="D50" s="67">
        <f>(Table17[[#This Row],[Index]]-B38)/B38</f>
        <v>-0.11138532528656563</v>
      </c>
    </row>
    <row r="51" spans="1:4" x14ac:dyDescent="0.2">
      <c r="A51" s="17">
        <v>27638</v>
      </c>
      <c r="B51" s="59">
        <f>VLOOKUP(Table17[[#This Row],[Date]],database!A:H,7,)</f>
        <v>38.067900000000002</v>
      </c>
      <c r="C51" s="67">
        <f t="shared" si="0"/>
        <v>1.2691935260755294E-2</v>
      </c>
      <c r="D51" s="67">
        <f>(Table17[[#This Row],[Index]]-B39)/B39</f>
        <v>-0.10194341955026281</v>
      </c>
    </row>
    <row r="52" spans="1:4" x14ac:dyDescent="0.2">
      <c r="A52" s="17">
        <v>27668</v>
      </c>
      <c r="B52" s="59">
        <f>VLOOKUP(Table17[[#This Row],[Date]],database!A:H,7,)</f>
        <v>38.289299999999997</v>
      </c>
      <c r="C52" s="67">
        <f t="shared" si="0"/>
        <v>5.8159236522108415E-3</v>
      </c>
      <c r="D52" s="67">
        <f>(Table17[[#This Row],[Index]]-B40)/B40</f>
        <v>-9.2322171070410936E-2</v>
      </c>
    </row>
    <row r="53" spans="1:4" x14ac:dyDescent="0.2">
      <c r="A53" s="17">
        <v>27699</v>
      </c>
      <c r="B53" s="59">
        <f>VLOOKUP(Table17[[#This Row],[Date]],database!A:H,7,)</f>
        <v>38.399500000000003</v>
      </c>
      <c r="C53" s="67">
        <f t="shared" si="0"/>
        <v>2.8780886566222019E-3</v>
      </c>
      <c r="D53" s="67">
        <f>(Table17[[#This Row],[Index]]-B41)/B41</f>
        <v>-4.9322014176179679E-2</v>
      </c>
    </row>
    <row r="54" spans="1:4" x14ac:dyDescent="0.2">
      <c r="A54" s="17">
        <v>27729</v>
      </c>
      <c r="B54" s="59">
        <f>VLOOKUP(Table17[[#This Row],[Date]],database!A:H,7,)</f>
        <v>39.0092</v>
      </c>
      <c r="C54" s="67">
        <f t="shared" si="0"/>
        <v>1.5877810908996093E-2</v>
      </c>
      <c r="D54" s="67">
        <f>(Table17[[#This Row],[Index]]-B42)/B42</f>
        <v>5.4487625587017197E-3</v>
      </c>
    </row>
    <row r="55" spans="1:4" x14ac:dyDescent="0.2">
      <c r="A55" s="17">
        <v>27760</v>
      </c>
      <c r="B55" s="59">
        <f>VLOOKUP(Table17[[#This Row],[Date]],database!A:H,7,)</f>
        <v>39.604100000000003</v>
      </c>
      <c r="C55" s="67">
        <f t="shared" si="0"/>
        <v>1.5250248659290699E-2</v>
      </c>
      <c r="D55" s="67">
        <f>(Table17[[#This Row],[Index]]-B43)/B43</f>
        <v>2.9378434155191469E-2</v>
      </c>
    </row>
    <row r="56" spans="1:4" x14ac:dyDescent="0.2">
      <c r="A56" s="17">
        <v>27791</v>
      </c>
      <c r="B56" s="59">
        <f>VLOOKUP(Table17[[#This Row],[Date]],database!A:H,7,)</f>
        <v>40.178800000000003</v>
      </c>
      <c r="C56" s="67">
        <f t="shared" si="0"/>
        <v>1.4511123848288454E-2</v>
      </c>
      <c r="D56" s="67">
        <f>(Table17[[#This Row],[Index]]-B44)/B44</f>
        <v>7.000798934753677E-2</v>
      </c>
    </row>
    <row r="57" spans="1:4" x14ac:dyDescent="0.2">
      <c r="A57" s="17">
        <v>27820</v>
      </c>
      <c r="B57" s="59">
        <f>VLOOKUP(Table17[[#This Row],[Date]],database!A:H,7,)</f>
        <v>40.341500000000003</v>
      </c>
      <c r="C57" s="67">
        <f t="shared" si="0"/>
        <v>4.04939918564029E-3</v>
      </c>
      <c r="D57" s="67">
        <f>(Table17[[#This Row],[Index]]-B45)/B45</f>
        <v>8.9880749758203565E-2</v>
      </c>
    </row>
    <row r="58" spans="1:4" x14ac:dyDescent="0.2">
      <c r="A58" s="17">
        <v>27851</v>
      </c>
      <c r="B58" s="59">
        <f>VLOOKUP(Table17[[#This Row],[Date]],database!A:H,7,)</f>
        <v>40.6203</v>
      </c>
      <c r="C58" s="67">
        <f t="shared" si="0"/>
        <v>6.9109973600385288E-3</v>
      </c>
      <c r="D58" s="67">
        <f>(Table17[[#This Row],[Index]]-B46)/B46</f>
        <v>0.10346466874572151</v>
      </c>
    </row>
    <row r="59" spans="1:4" x14ac:dyDescent="0.2">
      <c r="A59" s="17">
        <v>27881</v>
      </c>
      <c r="B59" s="59">
        <f>VLOOKUP(Table17[[#This Row],[Date]],database!A:H,7,)</f>
        <v>40.669600000000003</v>
      </c>
      <c r="C59" s="67">
        <f t="shared" si="0"/>
        <v>1.2136788748482452E-3</v>
      </c>
      <c r="D59" s="67">
        <f>(Table17[[#This Row],[Index]]-B47)/B47</f>
        <v>0.11218797173423185</v>
      </c>
    </row>
    <row r="60" spans="1:4" x14ac:dyDescent="0.2">
      <c r="A60" s="17">
        <v>27912</v>
      </c>
      <c r="B60" s="59">
        <f>VLOOKUP(Table17[[#This Row],[Date]],database!A:H,7,)</f>
        <v>40.838200000000001</v>
      </c>
      <c r="C60" s="67">
        <f t="shared" si="0"/>
        <v>4.1456026122705936E-3</v>
      </c>
      <c r="D60" s="67">
        <f>(Table17[[#This Row],[Index]]-B48)/B48</f>
        <v>0.10882072641276339</v>
      </c>
    </row>
    <row r="61" spans="1:4" x14ac:dyDescent="0.2">
      <c r="A61" s="17">
        <v>27942</v>
      </c>
      <c r="B61" s="59">
        <f>VLOOKUP(Table17[[#This Row],[Date]],database!A:H,7,)</f>
        <v>40.9375</v>
      </c>
      <c r="C61" s="67">
        <f t="shared" si="0"/>
        <v>2.4315469339981632E-3</v>
      </c>
      <c r="D61" s="67">
        <f>(Table17[[#This Row],[Index]]-B49)/B49</f>
        <v>0.10725684301633664</v>
      </c>
    </row>
    <row r="62" spans="1:4" x14ac:dyDescent="0.2">
      <c r="A62" s="17">
        <v>27973</v>
      </c>
      <c r="B62" s="59">
        <f>VLOOKUP(Table17[[#This Row],[Date]],database!A:H,7,)</f>
        <v>41.369900000000001</v>
      </c>
      <c r="C62" s="67">
        <f t="shared" si="0"/>
        <v>1.0562442748091705E-2</v>
      </c>
      <c r="D62" s="67">
        <f>(Table17[[#This Row],[Index]]-B50)/B50</f>
        <v>0.10053257711993359</v>
      </c>
    </row>
    <row r="63" spans="1:4" x14ac:dyDescent="0.2">
      <c r="A63" s="17">
        <v>28004</v>
      </c>
      <c r="B63" s="59">
        <f>VLOOKUP(Table17[[#This Row],[Date]],database!A:H,7,)</f>
        <v>41.463999999999999</v>
      </c>
      <c r="C63" s="67">
        <f t="shared" si="0"/>
        <v>2.2746006154232834E-3</v>
      </c>
      <c r="D63" s="67">
        <f>(Table17[[#This Row],[Index]]-B51)/B51</f>
        <v>8.921164550710696E-2</v>
      </c>
    </row>
    <row r="64" spans="1:4" x14ac:dyDescent="0.2">
      <c r="A64" s="17">
        <v>28034</v>
      </c>
      <c r="B64" s="59">
        <f>VLOOKUP(Table17[[#This Row],[Date]],database!A:H,7,)</f>
        <v>41.225000000000001</v>
      </c>
      <c r="C64" s="67">
        <f t="shared" si="0"/>
        <v>-5.7640362724290517E-3</v>
      </c>
      <c r="D64" s="67">
        <f>(Table17[[#This Row],[Index]]-B52)/B52</f>
        <v>7.6671550537617678E-2</v>
      </c>
    </row>
    <row r="65" spans="1:4" x14ac:dyDescent="0.2">
      <c r="A65" s="17">
        <v>28065</v>
      </c>
      <c r="B65" s="59">
        <f>VLOOKUP(Table17[[#This Row],[Date]],database!A:H,7,)</f>
        <v>41.795099999999998</v>
      </c>
      <c r="C65" s="67">
        <f t="shared" si="0"/>
        <v>1.382898726500903E-2</v>
      </c>
      <c r="D65" s="67">
        <f>(Table17[[#This Row],[Index]]-B53)/B53</f>
        <v>8.8428234742639736E-2</v>
      </c>
    </row>
    <row r="66" spans="1:4" x14ac:dyDescent="0.2">
      <c r="A66" s="17">
        <v>28095</v>
      </c>
      <c r="B66" s="59">
        <f>VLOOKUP(Table17[[#This Row],[Date]],database!A:H,7,)</f>
        <v>42.252499999999998</v>
      </c>
      <c r="C66" s="67">
        <f t="shared" si="0"/>
        <v>1.0943866625513499E-2</v>
      </c>
      <c r="D66" s="67">
        <f>(Table17[[#This Row],[Index]]-B54)/B54</f>
        <v>8.3141925494498684E-2</v>
      </c>
    </row>
    <row r="67" spans="1:4" x14ac:dyDescent="0.2">
      <c r="A67" s="17">
        <v>28126</v>
      </c>
      <c r="B67" s="59">
        <f>VLOOKUP(Table17[[#This Row],[Date]],database!A:H,7,)</f>
        <v>41.857900000000001</v>
      </c>
      <c r="C67" s="67">
        <f t="shared" si="0"/>
        <v>-9.3390923613986265E-3</v>
      </c>
      <c r="D67" s="67">
        <f>(Table17[[#This Row],[Index]]-B55)/B55</f>
        <v>5.6908249398420825E-2</v>
      </c>
    </row>
    <row r="68" spans="1:4" x14ac:dyDescent="0.2">
      <c r="A68" s="17">
        <v>28157</v>
      </c>
      <c r="B68" s="59">
        <f>VLOOKUP(Table17[[#This Row],[Date]],database!A:H,7,)</f>
        <v>42.482900000000001</v>
      </c>
      <c r="C68" s="67">
        <f t="shared" si="0"/>
        <v>1.4931470522888235E-2</v>
      </c>
      <c r="D68" s="67">
        <f>(Table17[[#This Row],[Index]]-B56)/B56</f>
        <v>5.7346162652941304E-2</v>
      </c>
    </row>
    <row r="69" spans="1:4" x14ac:dyDescent="0.2">
      <c r="A69" s="17">
        <v>28185</v>
      </c>
      <c r="B69" s="59">
        <f>VLOOKUP(Table17[[#This Row],[Date]],database!A:H,7,)</f>
        <v>43.3001</v>
      </c>
      <c r="C69" s="67">
        <f t="shared" si="0"/>
        <v>1.9235974945213341E-2</v>
      </c>
      <c r="D69" s="67">
        <f>(Table17[[#This Row],[Index]]-B57)/B57</f>
        <v>7.3338869402476276E-2</v>
      </c>
    </row>
    <row r="70" spans="1:4" x14ac:dyDescent="0.2">
      <c r="A70" s="17">
        <v>28216</v>
      </c>
      <c r="B70" s="59">
        <f>VLOOKUP(Table17[[#This Row],[Date]],database!A:H,7,)</f>
        <v>43.6646</v>
      </c>
      <c r="C70" s="67">
        <f t="shared" si="0"/>
        <v>8.4179944157172226E-3</v>
      </c>
      <c r="D70" s="67">
        <f>(Table17[[#This Row],[Index]]-B58)/B58</f>
        <v>7.4945285977700796E-2</v>
      </c>
    </row>
    <row r="71" spans="1:4" x14ac:dyDescent="0.2">
      <c r="A71" s="17">
        <v>28246</v>
      </c>
      <c r="B71" s="59">
        <f>VLOOKUP(Table17[[#This Row],[Date]],database!A:H,7,)</f>
        <v>44.021700000000003</v>
      </c>
      <c r="C71" s="67">
        <f t="shared" si="0"/>
        <v>8.1782496576174868E-3</v>
      </c>
      <c r="D71" s="67">
        <f>(Table17[[#This Row],[Index]]-B59)/B59</f>
        <v>8.2422743277534072E-2</v>
      </c>
    </row>
    <row r="72" spans="1:4" x14ac:dyDescent="0.2">
      <c r="A72" s="17">
        <v>28277</v>
      </c>
      <c r="B72" s="59">
        <f>VLOOKUP(Table17[[#This Row],[Date]],database!A:H,7,)</f>
        <v>44.206699999999998</v>
      </c>
      <c r="C72" s="67">
        <f t="shared" ref="C72:C135" si="1">B72/B71-1</f>
        <v>4.2024728713339066E-3</v>
      </c>
      <c r="D72" s="67">
        <f>(Table17[[#This Row],[Index]]-B60)/B60</f>
        <v>8.2484046799320185E-2</v>
      </c>
    </row>
    <row r="73" spans="1:4" x14ac:dyDescent="0.2">
      <c r="A73" s="17">
        <v>28307</v>
      </c>
      <c r="B73" s="59">
        <f>VLOOKUP(Table17[[#This Row],[Date]],database!A:H,7,)</f>
        <v>44.195500000000003</v>
      </c>
      <c r="C73" s="67">
        <f t="shared" si="1"/>
        <v>-2.5335526062775227E-4</v>
      </c>
      <c r="D73" s="67">
        <f>(Table17[[#This Row],[Index]]-B61)/B61</f>
        <v>7.9584732824427545E-2</v>
      </c>
    </row>
    <row r="74" spans="1:4" x14ac:dyDescent="0.2">
      <c r="A74" s="17">
        <v>28338</v>
      </c>
      <c r="B74" s="59">
        <f>VLOOKUP(Table17[[#This Row],[Date]],database!A:H,7,)</f>
        <v>44.130200000000002</v>
      </c>
      <c r="C74" s="67">
        <f t="shared" si="1"/>
        <v>-1.4775259924653117E-3</v>
      </c>
      <c r="D74" s="67">
        <f>(Table17[[#This Row],[Index]]-B62)/B62</f>
        <v>6.6722423791210531E-2</v>
      </c>
    </row>
    <row r="75" spans="1:4" x14ac:dyDescent="0.2">
      <c r="A75" s="17">
        <v>28369</v>
      </c>
      <c r="B75" s="59">
        <f>VLOOKUP(Table17[[#This Row],[Date]],database!A:H,7,)</f>
        <v>44.408499999999997</v>
      </c>
      <c r="C75" s="67">
        <f t="shared" si="1"/>
        <v>6.3063389696851324E-3</v>
      </c>
      <c r="D75" s="67">
        <f>(Table17[[#This Row],[Index]]-B63)/B63</f>
        <v>7.1013409222457982E-2</v>
      </c>
    </row>
    <row r="76" spans="1:4" x14ac:dyDescent="0.2">
      <c r="A76" s="17">
        <v>28399</v>
      </c>
      <c r="B76" s="59">
        <f>VLOOKUP(Table17[[#This Row],[Date]],database!A:H,7,)</f>
        <v>44.567500000000003</v>
      </c>
      <c r="C76" s="67">
        <f t="shared" si="1"/>
        <v>3.5803956449780294E-3</v>
      </c>
      <c r="D76" s="67">
        <f>(Table17[[#This Row],[Index]]-B64)/B64</f>
        <v>8.1079442086112827E-2</v>
      </c>
    </row>
    <row r="77" spans="1:4" x14ac:dyDescent="0.2">
      <c r="A77" s="17">
        <v>28430</v>
      </c>
      <c r="B77" s="59">
        <f>VLOOKUP(Table17[[#This Row],[Date]],database!A:H,7,)</f>
        <v>44.668799999999997</v>
      </c>
      <c r="C77" s="67">
        <f t="shared" si="1"/>
        <v>2.2729567509955917E-3</v>
      </c>
      <c r="D77" s="67">
        <f>(Table17[[#This Row],[Index]]-B65)/B65</f>
        <v>6.8756863842890661E-2</v>
      </c>
    </row>
    <row r="78" spans="1:4" x14ac:dyDescent="0.2">
      <c r="A78" s="17">
        <v>28460</v>
      </c>
      <c r="B78" s="59">
        <f>VLOOKUP(Table17[[#This Row],[Date]],database!A:H,7,)</f>
        <v>44.313400000000001</v>
      </c>
      <c r="C78" s="67">
        <f t="shared" si="1"/>
        <v>-7.9563364137831272E-3</v>
      </c>
      <c r="D78" s="67">
        <f>(Table17[[#This Row],[Index]]-B66)/B66</f>
        <v>4.8775812082125412E-2</v>
      </c>
    </row>
    <row r="79" spans="1:4" x14ac:dyDescent="0.2">
      <c r="A79" s="17">
        <v>28491</v>
      </c>
      <c r="B79" s="59">
        <f>VLOOKUP(Table17[[#This Row],[Date]],database!A:H,7,)</f>
        <v>43.898299999999999</v>
      </c>
      <c r="C79" s="67">
        <f t="shared" si="1"/>
        <v>-9.3673696895296699E-3</v>
      </c>
      <c r="D79" s="67">
        <f>(Table17[[#This Row],[Index]]-B67)/B67</f>
        <v>4.8745875927841534E-2</v>
      </c>
    </row>
    <row r="80" spans="1:4" x14ac:dyDescent="0.2">
      <c r="A80" s="17">
        <v>28522</v>
      </c>
      <c r="B80" s="59">
        <f>VLOOKUP(Table17[[#This Row],[Date]],database!A:H,7,)</f>
        <v>43.822000000000003</v>
      </c>
      <c r="C80" s="67">
        <f t="shared" si="1"/>
        <v>-1.7381083094333283E-3</v>
      </c>
      <c r="D80" s="67">
        <f>(Table17[[#This Row],[Index]]-B68)/B68</f>
        <v>3.1520917828114413E-2</v>
      </c>
    </row>
    <row r="81" spans="1:4" x14ac:dyDescent="0.2">
      <c r="A81" s="17">
        <v>28550</v>
      </c>
      <c r="B81" s="59">
        <f>VLOOKUP(Table17[[#This Row],[Date]],database!A:H,7,)</f>
        <v>44.4512</v>
      </c>
      <c r="C81" s="67">
        <f t="shared" si="1"/>
        <v>1.435808498014679E-2</v>
      </c>
      <c r="D81" s="67">
        <f>(Table17[[#This Row],[Index]]-B69)/B69</f>
        <v>2.6584234216549145E-2</v>
      </c>
    </row>
    <row r="82" spans="1:4" x14ac:dyDescent="0.2">
      <c r="A82" s="17">
        <v>28581</v>
      </c>
      <c r="B82" s="59">
        <f>VLOOKUP(Table17[[#This Row],[Date]],database!A:H,7,)</f>
        <v>45.743499999999997</v>
      </c>
      <c r="C82" s="67">
        <f t="shared" si="1"/>
        <v>2.9072331005687069E-2</v>
      </c>
      <c r="D82" s="67">
        <f>(Table17[[#This Row],[Index]]-B70)/B70</f>
        <v>4.7610650275051125E-2</v>
      </c>
    </row>
    <row r="83" spans="1:4" x14ac:dyDescent="0.2">
      <c r="A83" s="17">
        <v>28611</v>
      </c>
      <c r="B83" s="59">
        <f>VLOOKUP(Table17[[#This Row],[Date]],database!A:H,7,)</f>
        <v>46.193399999999997</v>
      </c>
      <c r="C83" s="67">
        <f t="shared" si="1"/>
        <v>9.8352771432006492E-3</v>
      </c>
      <c r="D83" s="67">
        <f>(Table17[[#This Row],[Index]]-B71)/B71</f>
        <v>4.933248829554502E-2</v>
      </c>
    </row>
    <row r="84" spans="1:4" x14ac:dyDescent="0.2">
      <c r="A84" s="17">
        <v>28642</v>
      </c>
      <c r="B84" s="59">
        <f>VLOOKUP(Table17[[#This Row],[Date]],database!A:H,7,)</f>
        <v>46.389899999999997</v>
      </c>
      <c r="C84" s="67">
        <f t="shared" si="1"/>
        <v>4.2538544467392025E-3</v>
      </c>
      <c r="D84" s="67">
        <f>(Table17[[#This Row],[Index]]-B72)/B72</f>
        <v>4.9386179018112625E-2</v>
      </c>
    </row>
    <row r="85" spans="1:4" x14ac:dyDescent="0.2">
      <c r="A85" s="17">
        <v>28672</v>
      </c>
      <c r="B85" s="59">
        <f>VLOOKUP(Table17[[#This Row],[Date]],database!A:H,7,)</f>
        <v>46.371000000000002</v>
      </c>
      <c r="C85" s="67">
        <f t="shared" si="1"/>
        <v>-4.0741626948959109E-4</v>
      </c>
      <c r="D85" s="67">
        <f>(Table17[[#This Row],[Index]]-B73)/B73</f>
        <v>4.9224468554490829E-2</v>
      </c>
    </row>
    <row r="86" spans="1:4" x14ac:dyDescent="0.2">
      <c r="A86" s="17">
        <v>28703</v>
      </c>
      <c r="B86" s="59">
        <f>VLOOKUP(Table17[[#This Row],[Date]],database!A:H,7,)</f>
        <v>46.540399999999998</v>
      </c>
      <c r="C86" s="67">
        <f t="shared" si="1"/>
        <v>3.6531452847683443E-3</v>
      </c>
      <c r="D86" s="67">
        <f>(Table17[[#This Row],[Index]]-B74)/B74</f>
        <v>5.4615660024201027E-2</v>
      </c>
    </row>
    <row r="87" spans="1:4" x14ac:dyDescent="0.2">
      <c r="A87" s="17">
        <v>28734</v>
      </c>
      <c r="B87" s="59">
        <f>VLOOKUP(Table17[[#This Row],[Date]],database!A:H,7,)</f>
        <v>46.6023</v>
      </c>
      <c r="C87" s="67">
        <f t="shared" si="1"/>
        <v>1.3300272451461925E-3</v>
      </c>
      <c r="D87" s="67">
        <f>(Table17[[#This Row],[Index]]-B75)/B75</f>
        <v>4.9400452616053303E-2</v>
      </c>
    </row>
    <row r="88" spans="1:4" x14ac:dyDescent="0.2">
      <c r="A88" s="17">
        <v>28764</v>
      </c>
      <c r="B88" s="59">
        <f>VLOOKUP(Table17[[#This Row],[Date]],database!A:H,7,)</f>
        <v>47.054699999999997</v>
      </c>
      <c r="C88" s="67">
        <f t="shared" si="1"/>
        <v>9.7076753722455944E-3</v>
      </c>
      <c r="D88" s="67">
        <f>(Table17[[#This Row],[Index]]-B76)/B76</f>
        <v>5.5807483031356797E-2</v>
      </c>
    </row>
    <row r="89" spans="1:4" x14ac:dyDescent="0.2">
      <c r="A89" s="17">
        <v>28795</v>
      </c>
      <c r="B89" s="59">
        <f>VLOOKUP(Table17[[#This Row],[Date]],database!A:H,7,)</f>
        <v>47.456499999999998</v>
      </c>
      <c r="C89" s="67">
        <f t="shared" si="1"/>
        <v>8.5389982297199296E-3</v>
      </c>
      <c r="D89" s="67">
        <f>(Table17[[#This Row],[Index]]-B77)/B77</f>
        <v>6.2408213339064426E-2</v>
      </c>
    </row>
    <row r="90" spans="1:4" x14ac:dyDescent="0.2">
      <c r="A90" s="17">
        <v>28825</v>
      </c>
      <c r="B90" s="59">
        <f>VLOOKUP(Table17[[#This Row],[Date]],database!A:H,7,)</f>
        <v>47.654899999999998</v>
      </c>
      <c r="C90" s="67">
        <f t="shared" si="1"/>
        <v>4.1806707195009007E-3</v>
      </c>
      <c r="D90" s="67">
        <f>(Table17[[#This Row],[Index]]-B78)/B78</f>
        <v>7.5406084841154061E-2</v>
      </c>
    </row>
    <row r="91" spans="1:4" x14ac:dyDescent="0.2">
      <c r="A91" s="17">
        <v>28856</v>
      </c>
      <c r="B91" s="59">
        <f>VLOOKUP(Table17[[#This Row],[Date]],database!A:H,7,)</f>
        <v>47.086300000000001</v>
      </c>
      <c r="C91" s="67">
        <f t="shared" si="1"/>
        <v>-1.1931616685797231E-2</v>
      </c>
      <c r="D91" s="67">
        <f>(Table17[[#This Row],[Index]]-B79)/B79</f>
        <v>7.2622402234255146E-2</v>
      </c>
    </row>
    <row r="92" spans="1:4" x14ac:dyDescent="0.2">
      <c r="A92" s="17">
        <v>28887</v>
      </c>
      <c r="B92" s="59">
        <f>VLOOKUP(Table17[[#This Row],[Date]],database!A:H,7,)</f>
        <v>47.4848</v>
      </c>
      <c r="C92" s="67">
        <f t="shared" si="1"/>
        <v>8.4631835586996829E-3</v>
      </c>
      <c r="D92" s="67">
        <f>(Table17[[#This Row],[Index]]-B80)/B80</f>
        <v>8.3583588152069663E-2</v>
      </c>
    </row>
    <row r="93" spans="1:4" x14ac:dyDescent="0.2">
      <c r="A93" s="17">
        <v>28915</v>
      </c>
      <c r="B93" s="59">
        <f>VLOOKUP(Table17[[#This Row],[Date]],database!A:H,7,)</f>
        <v>47.528399999999998</v>
      </c>
      <c r="C93" s="67">
        <f t="shared" si="1"/>
        <v>9.1818855718028836E-4</v>
      </c>
      <c r="D93" s="67">
        <f>(Table17[[#This Row],[Index]]-B81)/B81</f>
        <v>6.9226477575408493E-2</v>
      </c>
    </row>
    <row r="94" spans="1:4" x14ac:dyDescent="0.2">
      <c r="A94" s="17">
        <v>28946</v>
      </c>
      <c r="B94" s="59">
        <f>VLOOKUP(Table17[[#This Row],[Date]],database!A:H,7,)</f>
        <v>47.206499999999998</v>
      </c>
      <c r="C94" s="67">
        <f t="shared" si="1"/>
        <v>-6.7727926881612222E-3</v>
      </c>
      <c r="D94" s="67">
        <f>(Table17[[#This Row],[Index]]-B82)/B82</f>
        <v>3.1982686064686808E-2</v>
      </c>
    </row>
    <row r="95" spans="1:4" x14ac:dyDescent="0.2">
      <c r="A95" s="17">
        <v>28976</v>
      </c>
      <c r="B95" s="59">
        <f>VLOOKUP(Table17[[#This Row],[Date]],database!A:H,7,)</f>
        <v>47.466099999999997</v>
      </c>
      <c r="C95" s="67">
        <f t="shared" si="1"/>
        <v>5.4992426890363433E-3</v>
      </c>
      <c r="D95" s="67">
        <f>(Table17[[#This Row],[Index]]-B83)/B83</f>
        <v>2.7551554984045351E-2</v>
      </c>
    </row>
    <row r="96" spans="1:4" x14ac:dyDescent="0.2">
      <c r="A96" s="17">
        <v>29007</v>
      </c>
      <c r="B96" s="59">
        <f>VLOOKUP(Table17[[#This Row],[Date]],database!A:H,7,)</f>
        <v>47.488300000000002</v>
      </c>
      <c r="C96" s="67">
        <f t="shared" si="1"/>
        <v>4.6770221273728652E-4</v>
      </c>
      <c r="D96" s="67">
        <f>(Table17[[#This Row],[Index]]-B84)/B84</f>
        <v>2.3677567746427677E-2</v>
      </c>
    </row>
    <row r="97" spans="1:4" x14ac:dyDescent="0.2">
      <c r="A97" s="17">
        <v>29037</v>
      </c>
      <c r="B97" s="59">
        <f>VLOOKUP(Table17[[#This Row],[Date]],database!A:H,7,)</f>
        <v>47.354399999999998</v>
      </c>
      <c r="C97" s="67">
        <f t="shared" si="1"/>
        <v>-2.819641890739466E-3</v>
      </c>
      <c r="D97" s="67">
        <f>(Table17[[#This Row],[Index]]-B85)/B85</f>
        <v>2.1207220029759895E-2</v>
      </c>
    </row>
    <row r="98" spans="1:4" x14ac:dyDescent="0.2">
      <c r="A98" s="17">
        <v>29068</v>
      </c>
      <c r="B98" s="59">
        <f>VLOOKUP(Table17[[#This Row],[Date]],database!A:H,7,)</f>
        <v>47.092100000000002</v>
      </c>
      <c r="C98" s="67">
        <f t="shared" si="1"/>
        <v>-5.5390840133122676E-3</v>
      </c>
      <c r="D98" s="67">
        <f>(Table17[[#This Row],[Index]]-B86)/B86</f>
        <v>1.1854216981375405E-2</v>
      </c>
    </row>
    <row r="99" spans="1:4" x14ac:dyDescent="0.2">
      <c r="A99" s="17">
        <v>29099</v>
      </c>
      <c r="B99" s="59">
        <f>VLOOKUP(Table17[[#This Row],[Date]],database!A:H,7,)</f>
        <v>46.761299999999999</v>
      </c>
      <c r="C99" s="67">
        <f t="shared" si="1"/>
        <v>-7.0245327772600064E-3</v>
      </c>
      <c r="D99" s="67">
        <f>(Table17[[#This Row],[Index]]-B87)/B87</f>
        <v>3.4118487714125466E-3</v>
      </c>
    </row>
    <row r="100" spans="1:4" x14ac:dyDescent="0.2">
      <c r="A100" s="17">
        <v>29129</v>
      </c>
      <c r="B100" s="59">
        <f>VLOOKUP(Table17[[#This Row],[Date]],database!A:H,7,)</f>
        <v>47.256999999999998</v>
      </c>
      <c r="C100" s="67">
        <f t="shared" si="1"/>
        <v>1.0600646260903845E-2</v>
      </c>
      <c r="D100" s="67">
        <f>(Table17[[#This Row],[Index]]-B88)/B88</f>
        <v>4.2992517219321569E-3</v>
      </c>
    </row>
    <row r="101" spans="1:4" x14ac:dyDescent="0.2">
      <c r="A101" s="17">
        <v>29160</v>
      </c>
      <c r="B101" s="59">
        <f>VLOOKUP(Table17[[#This Row],[Date]],database!A:H,7,)</f>
        <v>47.141300000000001</v>
      </c>
      <c r="C101" s="67">
        <f t="shared" si="1"/>
        <v>-2.4483145354127211E-3</v>
      </c>
      <c r="D101" s="67">
        <f>(Table17[[#This Row],[Index]]-B89)/B89</f>
        <v>-6.6418720301749451E-3</v>
      </c>
    </row>
    <row r="102" spans="1:4" x14ac:dyDescent="0.2">
      <c r="A102" s="17">
        <v>29190</v>
      </c>
      <c r="B102" s="59">
        <f>VLOOKUP(Table17[[#This Row],[Date]],database!A:H,7,)</f>
        <v>47.051299999999998</v>
      </c>
      <c r="C102" s="67">
        <f t="shared" si="1"/>
        <v>-1.9091539690251347E-3</v>
      </c>
      <c r="D102" s="67">
        <f>(Table17[[#This Row],[Index]]-B90)/B90</f>
        <v>-1.2666063720624746E-2</v>
      </c>
    </row>
    <row r="103" spans="1:4" x14ac:dyDescent="0.2">
      <c r="A103" s="17">
        <v>29221</v>
      </c>
      <c r="B103" s="59">
        <f>VLOOKUP(Table17[[#This Row],[Date]],database!A:H,7,)</f>
        <v>47.4223</v>
      </c>
      <c r="C103" s="67">
        <f t="shared" si="1"/>
        <v>7.8850106160723854E-3</v>
      </c>
      <c r="D103" s="67">
        <f>(Table17[[#This Row],[Index]]-B91)/B91</f>
        <v>7.1358335651771007E-3</v>
      </c>
    </row>
    <row r="104" spans="1:4" x14ac:dyDescent="0.2">
      <c r="A104" s="17">
        <v>29252</v>
      </c>
      <c r="B104" s="59">
        <f>VLOOKUP(Table17[[#This Row],[Date]],database!A:H,7,)</f>
        <v>47.33</v>
      </c>
      <c r="C104" s="67">
        <f t="shared" si="1"/>
        <v>-1.9463417000019634E-3</v>
      </c>
      <c r="D104" s="67">
        <f>(Table17[[#This Row],[Index]]-B92)/B92</f>
        <v>-3.2599905654020151E-3</v>
      </c>
    </row>
    <row r="105" spans="1:4" x14ac:dyDescent="0.2">
      <c r="A105" s="17">
        <v>29281</v>
      </c>
      <c r="B105" s="59">
        <f>VLOOKUP(Table17[[#This Row],[Date]],database!A:H,7,)</f>
        <v>47.256599999999999</v>
      </c>
      <c r="C105" s="67">
        <f t="shared" si="1"/>
        <v>-1.5508134375660232E-3</v>
      </c>
      <c r="D105" s="67">
        <f>(Table17[[#This Row],[Index]]-B93)/B93</f>
        <v>-5.718686090842506E-3</v>
      </c>
    </row>
    <row r="106" spans="1:4" x14ac:dyDescent="0.2">
      <c r="A106" s="17">
        <v>29312</v>
      </c>
      <c r="B106" s="59">
        <f>VLOOKUP(Table17[[#This Row],[Date]],database!A:H,7,)</f>
        <v>46.121000000000002</v>
      </c>
      <c r="C106" s="67">
        <f t="shared" si="1"/>
        <v>-2.4030505791783563E-2</v>
      </c>
      <c r="D106" s="67">
        <f>(Table17[[#This Row],[Index]]-B94)/B94</f>
        <v>-2.2994714710897781E-2</v>
      </c>
    </row>
    <row r="107" spans="1:4" x14ac:dyDescent="0.2">
      <c r="A107" s="17">
        <v>29342</v>
      </c>
      <c r="B107" s="59">
        <f>VLOOKUP(Table17[[#This Row],[Date]],database!A:H,7,)</f>
        <v>44.761899999999997</v>
      </c>
      <c r="C107" s="67">
        <f t="shared" si="1"/>
        <v>-2.9468138158322832E-2</v>
      </c>
      <c r="D107" s="67">
        <f>(Table17[[#This Row],[Index]]-B95)/B95</f>
        <v>-5.6971185751515302E-2</v>
      </c>
    </row>
    <row r="108" spans="1:4" x14ac:dyDescent="0.2">
      <c r="A108" s="17">
        <v>29373</v>
      </c>
      <c r="B108" s="59">
        <f>VLOOKUP(Table17[[#This Row],[Date]],database!A:H,7,)</f>
        <v>43.993200000000002</v>
      </c>
      <c r="C108" s="67">
        <f t="shared" si="1"/>
        <v>-1.7173086933306991E-2</v>
      </c>
      <c r="D108" s="67">
        <f>(Table17[[#This Row],[Index]]-B96)/B96</f>
        <v>-7.3599181272018588E-2</v>
      </c>
    </row>
    <row r="109" spans="1:4" x14ac:dyDescent="0.2">
      <c r="A109" s="17">
        <v>29403</v>
      </c>
      <c r="B109" s="59">
        <f>VLOOKUP(Table17[[#This Row],[Date]],database!A:H,7,)</f>
        <v>43.314599999999999</v>
      </c>
      <c r="C109" s="67">
        <f t="shared" si="1"/>
        <v>-1.5425111153541948E-2</v>
      </c>
      <c r="D109" s="67">
        <f>(Table17[[#This Row],[Index]]-B97)/B97</f>
        <v>-8.5309918402513812E-2</v>
      </c>
    </row>
    <row r="110" spans="1:4" x14ac:dyDescent="0.2">
      <c r="A110" s="17">
        <v>29434</v>
      </c>
      <c r="B110" s="59">
        <f>VLOOKUP(Table17[[#This Row],[Date]],database!A:H,7,)</f>
        <v>43.457099999999997</v>
      </c>
      <c r="C110" s="67">
        <f t="shared" si="1"/>
        <v>3.2898837805266368E-3</v>
      </c>
      <c r="D110" s="67">
        <f>(Table17[[#This Row],[Index]]-B98)/B98</f>
        <v>-7.718916760985399E-2</v>
      </c>
    </row>
    <row r="111" spans="1:4" x14ac:dyDescent="0.2">
      <c r="A111" s="17">
        <v>29465</v>
      </c>
      <c r="B111" s="59">
        <f>VLOOKUP(Table17[[#This Row],[Date]],database!A:H,7,)</f>
        <v>44.3155</v>
      </c>
      <c r="C111" s="67">
        <f t="shared" si="1"/>
        <v>1.9752813694425164E-2</v>
      </c>
      <c r="D111" s="67">
        <f>(Table17[[#This Row],[Index]]-B99)/B99</f>
        <v>-5.2303935091624877E-2</v>
      </c>
    </row>
    <row r="112" spans="1:4" x14ac:dyDescent="0.2">
      <c r="A112" s="17">
        <v>29495</v>
      </c>
      <c r="B112" s="59">
        <f>VLOOKUP(Table17[[#This Row],[Date]],database!A:H,7,)</f>
        <v>44.9529</v>
      </c>
      <c r="C112" s="67">
        <f t="shared" si="1"/>
        <v>1.4383229344134607E-2</v>
      </c>
      <c r="D112" s="67">
        <f>(Table17[[#This Row],[Index]]-B100)/B100</f>
        <v>-4.875679793469747E-2</v>
      </c>
    </row>
    <row r="113" spans="1:4" x14ac:dyDescent="0.2">
      <c r="A113" s="17">
        <v>29526</v>
      </c>
      <c r="B113" s="59">
        <f>VLOOKUP(Table17[[#This Row],[Date]],database!A:H,7,)</f>
        <v>45.955599999999997</v>
      </c>
      <c r="C113" s="67">
        <f t="shared" si="1"/>
        <v>2.2305568717479796E-2</v>
      </c>
      <c r="D113" s="67">
        <f>(Table17[[#This Row],[Index]]-B101)/B101</f>
        <v>-2.5152042900811054E-2</v>
      </c>
    </row>
    <row r="114" spans="1:4" x14ac:dyDescent="0.2">
      <c r="A114" s="17">
        <v>29556</v>
      </c>
      <c r="B114" s="59">
        <f>VLOOKUP(Table17[[#This Row],[Date]],database!A:H,7,)</f>
        <v>46.430199999999999</v>
      </c>
      <c r="C114" s="67">
        <f t="shared" si="1"/>
        <v>1.0327359451296481E-2</v>
      </c>
      <c r="D114" s="67">
        <f>(Table17[[#This Row],[Index]]-B102)/B102</f>
        <v>-1.3200485427607706E-2</v>
      </c>
    </row>
    <row r="115" spans="1:4" x14ac:dyDescent="0.2">
      <c r="A115" s="17">
        <v>29587</v>
      </c>
      <c r="B115" s="59">
        <f>VLOOKUP(Table17[[#This Row],[Date]],database!A:H,7,)</f>
        <v>45.876300000000001</v>
      </c>
      <c r="C115" s="67">
        <f t="shared" si="1"/>
        <v>-1.1929735387743334E-2</v>
      </c>
      <c r="D115" s="67">
        <f>(Table17[[#This Row],[Index]]-B103)/B103</f>
        <v>-3.2600696296889844E-2</v>
      </c>
    </row>
    <row r="116" spans="1:4" x14ac:dyDescent="0.2">
      <c r="A116" s="17">
        <v>29618</v>
      </c>
      <c r="B116" s="59">
        <f>VLOOKUP(Table17[[#This Row],[Date]],database!A:H,7,)</f>
        <v>45.759300000000003</v>
      </c>
      <c r="C116" s="67">
        <f t="shared" si="1"/>
        <v>-2.5503364482313273E-3</v>
      </c>
      <c r="D116" s="67">
        <f>(Table17[[#This Row],[Index]]-B104)/B104</f>
        <v>-3.318613986900476E-2</v>
      </c>
    </row>
    <row r="117" spans="1:4" x14ac:dyDescent="0.2">
      <c r="A117" s="17">
        <v>29646</v>
      </c>
      <c r="B117" s="59">
        <f>VLOOKUP(Table17[[#This Row],[Date]],database!A:H,7,)</f>
        <v>46.039099999999998</v>
      </c>
      <c r="C117" s="67">
        <f t="shared" si="1"/>
        <v>6.1146040258481804E-3</v>
      </c>
      <c r="D117" s="67">
        <f>(Table17[[#This Row],[Index]]-B105)/B105</f>
        <v>-2.5763597042529535E-2</v>
      </c>
    </row>
    <row r="118" spans="1:4" x14ac:dyDescent="0.2">
      <c r="A118" s="17">
        <v>29677</v>
      </c>
      <c r="B118" s="59">
        <f>VLOOKUP(Table17[[#This Row],[Date]],database!A:H,7,)</f>
        <v>45.443600000000004</v>
      </c>
      <c r="C118" s="67">
        <f t="shared" si="1"/>
        <v>-1.2934657714855247E-2</v>
      </c>
      <c r="D118" s="67">
        <f>(Table17[[#This Row],[Index]]-B106)/B106</f>
        <v>-1.468745257041258E-2</v>
      </c>
    </row>
    <row r="119" spans="1:4" x14ac:dyDescent="0.2">
      <c r="A119" s="17">
        <v>29707</v>
      </c>
      <c r="B119" s="59">
        <f>VLOOKUP(Table17[[#This Row],[Date]],database!A:H,7,)</f>
        <v>45.665700000000001</v>
      </c>
      <c r="C119" s="67">
        <f t="shared" si="1"/>
        <v>4.8873768803527895E-3</v>
      </c>
      <c r="D119" s="67">
        <f>(Table17[[#This Row],[Index]]-B107)/B107</f>
        <v>2.0191278743753146E-2</v>
      </c>
    </row>
    <row r="120" spans="1:4" x14ac:dyDescent="0.2">
      <c r="A120" s="17">
        <v>29738</v>
      </c>
      <c r="B120" s="59">
        <f>VLOOKUP(Table17[[#This Row],[Date]],database!A:H,7,)</f>
        <v>46.313600000000001</v>
      </c>
      <c r="C120" s="67">
        <f t="shared" si="1"/>
        <v>1.4187891568507638E-2</v>
      </c>
      <c r="D120" s="67">
        <f>(Table17[[#This Row],[Index]]-B108)/B108</f>
        <v>5.2744515061418563E-2</v>
      </c>
    </row>
    <row r="121" spans="1:4" x14ac:dyDescent="0.2">
      <c r="A121" s="17">
        <v>29768</v>
      </c>
      <c r="B121" s="59">
        <f>VLOOKUP(Table17[[#This Row],[Date]],database!A:H,7,)</f>
        <v>46.583199999999998</v>
      </c>
      <c r="C121" s="67">
        <f t="shared" si="1"/>
        <v>5.8211842741655584E-3</v>
      </c>
      <c r="D121" s="67">
        <f>(Table17[[#This Row],[Index]]-B109)/B109</f>
        <v>7.546185350897848E-2</v>
      </c>
    </row>
    <row r="122" spans="1:4" x14ac:dyDescent="0.2">
      <c r="A122" s="17">
        <v>29799</v>
      </c>
      <c r="B122" s="59">
        <f>VLOOKUP(Table17[[#This Row],[Date]],database!A:H,7,)</f>
        <v>46.520099999999999</v>
      </c>
      <c r="C122" s="67">
        <f t="shared" si="1"/>
        <v>-1.3545655944632307E-3</v>
      </c>
      <c r="D122" s="67">
        <f>(Table17[[#This Row],[Index]]-B110)/B110</f>
        <v>7.048330422416596E-2</v>
      </c>
    </row>
    <row r="123" spans="1:4" x14ac:dyDescent="0.2">
      <c r="A123" s="17">
        <v>29830</v>
      </c>
      <c r="B123" s="59">
        <f>VLOOKUP(Table17[[#This Row],[Date]],database!A:H,7,)</f>
        <v>46.151899999999998</v>
      </c>
      <c r="C123" s="67">
        <f t="shared" si="1"/>
        <v>-7.9148583085590918E-3</v>
      </c>
      <c r="D123" s="67">
        <f>(Table17[[#This Row],[Index]]-B111)/B111</f>
        <v>4.1439225553135985E-2</v>
      </c>
    </row>
    <row r="124" spans="1:4" x14ac:dyDescent="0.2">
      <c r="A124" s="17">
        <v>29860</v>
      </c>
      <c r="B124" s="59">
        <f>VLOOKUP(Table17[[#This Row],[Date]],database!A:H,7,)</f>
        <v>45.513500000000001</v>
      </c>
      <c r="C124" s="67">
        <f t="shared" si="1"/>
        <v>-1.3832583273928001E-2</v>
      </c>
      <c r="D124" s="67">
        <f>(Table17[[#This Row],[Index]]-B112)/B112</f>
        <v>1.2470830580452005E-2</v>
      </c>
    </row>
    <row r="125" spans="1:4" x14ac:dyDescent="0.2">
      <c r="A125" s="17">
        <v>29891</v>
      </c>
      <c r="B125" s="59">
        <f>VLOOKUP(Table17[[#This Row],[Date]],database!A:H,7,)</f>
        <v>44.709800000000001</v>
      </c>
      <c r="C125" s="67">
        <f t="shared" si="1"/>
        <v>-1.7658496929482403E-2</v>
      </c>
      <c r="D125" s="67">
        <f>(Table17[[#This Row],[Index]]-B113)/B113</f>
        <v>-2.7108774556310781E-2</v>
      </c>
    </row>
    <row r="126" spans="1:4" x14ac:dyDescent="0.2">
      <c r="A126" s="17">
        <v>29921</v>
      </c>
      <c r="B126" s="59">
        <f>VLOOKUP(Table17[[#This Row],[Date]],database!A:H,7,)</f>
        <v>44.124200000000002</v>
      </c>
      <c r="C126" s="67">
        <f t="shared" si="1"/>
        <v>-1.3097799587562409E-2</v>
      </c>
      <c r="D126" s="67">
        <f>(Table17[[#This Row],[Index]]-B114)/B114</f>
        <v>-4.9665950178978284E-2</v>
      </c>
    </row>
    <row r="127" spans="1:4" x14ac:dyDescent="0.2">
      <c r="A127" s="17">
        <v>29952</v>
      </c>
      <c r="B127" s="59">
        <f>VLOOKUP(Table17[[#This Row],[Date]],database!A:H,7,)</f>
        <v>43.374299999999998</v>
      </c>
      <c r="C127" s="67">
        <f t="shared" si="1"/>
        <v>-1.6995208978293208E-2</v>
      </c>
      <c r="D127" s="67">
        <f>(Table17[[#This Row],[Index]]-B115)/B115</f>
        <v>-5.4537964046795458E-2</v>
      </c>
    </row>
    <row r="128" spans="1:4" x14ac:dyDescent="0.2">
      <c r="A128" s="17">
        <v>29983</v>
      </c>
      <c r="B128" s="59">
        <f>VLOOKUP(Table17[[#This Row],[Date]],database!A:H,7,)</f>
        <v>43.856499999999997</v>
      </c>
      <c r="C128" s="67">
        <f t="shared" si="1"/>
        <v>1.1117182294584582E-2</v>
      </c>
      <c r="D128" s="67">
        <f>(Table17[[#This Row],[Index]]-B116)/B116</f>
        <v>-4.1582803932752599E-2</v>
      </c>
    </row>
    <row r="129" spans="1:4" x14ac:dyDescent="0.2">
      <c r="A129" s="17">
        <v>30011</v>
      </c>
      <c r="B129" s="59">
        <f>VLOOKUP(Table17[[#This Row],[Date]],database!A:H,7,)</f>
        <v>43.5824</v>
      </c>
      <c r="C129" s="67">
        <f t="shared" si="1"/>
        <v>-6.249928744883837E-3</v>
      </c>
      <c r="D129" s="67">
        <f>(Table17[[#This Row],[Index]]-B117)/B117</f>
        <v>-5.3361164749093665E-2</v>
      </c>
    </row>
    <row r="130" spans="1:4" x14ac:dyDescent="0.2">
      <c r="A130" s="17">
        <v>30042</v>
      </c>
      <c r="B130" s="59">
        <f>VLOOKUP(Table17[[#This Row],[Date]],database!A:H,7,)</f>
        <v>43.047499999999999</v>
      </c>
      <c r="C130" s="67">
        <f t="shared" si="1"/>
        <v>-1.2273302984691092E-2</v>
      </c>
      <c r="D130" s="67">
        <f>(Table17[[#This Row],[Index]]-B118)/B118</f>
        <v>-5.2726896636710208E-2</v>
      </c>
    </row>
    <row r="131" spans="1:4" x14ac:dyDescent="0.2">
      <c r="A131" s="17">
        <v>30072</v>
      </c>
      <c r="B131" s="59">
        <f>VLOOKUP(Table17[[#This Row],[Date]],database!A:H,7,)</f>
        <v>42.5379</v>
      </c>
      <c r="C131" s="67">
        <f t="shared" si="1"/>
        <v>-1.1838085835414347E-2</v>
      </c>
      <c r="D131" s="67">
        <f>(Table17[[#This Row],[Index]]-B119)/B119</f>
        <v>-6.8493420663649093E-2</v>
      </c>
    </row>
    <row r="132" spans="1:4" x14ac:dyDescent="0.2">
      <c r="A132" s="17">
        <v>30103</v>
      </c>
      <c r="B132" s="59">
        <f>VLOOKUP(Table17[[#This Row],[Date]],database!A:H,7,)</f>
        <v>42.424100000000003</v>
      </c>
      <c r="C132" s="67">
        <f t="shared" si="1"/>
        <v>-2.675261355167935E-3</v>
      </c>
      <c r="D132" s="67">
        <f>(Table17[[#This Row],[Index]]-B120)/B120</f>
        <v>-8.3981810958336164E-2</v>
      </c>
    </row>
    <row r="133" spans="1:4" x14ac:dyDescent="0.2">
      <c r="A133" s="17">
        <v>30133</v>
      </c>
      <c r="B133" s="59">
        <f>VLOOKUP(Table17[[#This Row],[Date]],database!A:H,7,)</f>
        <v>42.108899999999998</v>
      </c>
      <c r="C133" s="67">
        <f t="shared" si="1"/>
        <v>-7.4297392284103925E-3</v>
      </c>
      <c r="D133" s="67">
        <f>(Table17[[#This Row],[Index]]-B121)/B121</f>
        <v>-9.6049648800425894E-2</v>
      </c>
    </row>
    <row r="134" spans="1:4" x14ac:dyDescent="0.2">
      <c r="A134" s="17">
        <v>30164</v>
      </c>
      <c r="B134" s="59">
        <f>VLOOKUP(Table17[[#This Row],[Date]],database!A:H,7,)</f>
        <v>41.692100000000003</v>
      </c>
      <c r="C134" s="67">
        <f t="shared" si="1"/>
        <v>-9.8981450477213517E-3</v>
      </c>
      <c r="D134" s="67">
        <f>(Table17[[#This Row],[Index]]-B122)/B122</f>
        <v>-0.10378309590908007</v>
      </c>
    </row>
    <row r="135" spans="1:4" x14ac:dyDescent="0.2">
      <c r="A135" s="17">
        <v>30195</v>
      </c>
      <c r="B135" s="59">
        <f>VLOOKUP(Table17[[#This Row],[Date]],database!A:H,7,)</f>
        <v>41.487499999999997</v>
      </c>
      <c r="C135" s="67">
        <f t="shared" si="1"/>
        <v>-4.9074045202809335E-3</v>
      </c>
      <c r="D135" s="67">
        <f>(Table17[[#This Row],[Index]]-B123)/B123</f>
        <v>-0.1010662616273653</v>
      </c>
    </row>
    <row r="136" spans="1:4" x14ac:dyDescent="0.2">
      <c r="A136" s="17">
        <v>30225</v>
      </c>
      <c r="B136" s="59">
        <f>VLOOKUP(Table17[[#This Row],[Date]],database!A:H,7,)</f>
        <v>40.994900000000001</v>
      </c>
      <c r="C136" s="67">
        <f t="shared" ref="C136:C199" si="2">B136/B135-1</f>
        <v>-1.1873455860198723E-2</v>
      </c>
      <c r="D136" s="67">
        <f>(Table17[[#This Row],[Index]]-B124)/B124</f>
        <v>-9.9280433278038371E-2</v>
      </c>
    </row>
    <row r="137" spans="1:4" x14ac:dyDescent="0.2">
      <c r="A137" s="17">
        <v>30256</v>
      </c>
      <c r="B137" s="59">
        <f>VLOOKUP(Table17[[#This Row],[Date]],database!A:H,7,)</f>
        <v>40.835099999999997</v>
      </c>
      <c r="C137" s="67">
        <f t="shared" si="2"/>
        <v>-3.8980458544843888E-3</v>
      </c>
      <c r="D137" s="67">
        <f>(Table17[[#This Row],[Index]]-B125)/B125</f>
        <v>-8.6663326608484137E-2</v>
      </c>
    </row>
    <row r="138" spans="1:4" x14ac:dyDescent="0.2">
      <c r="A138" s="17">
        <v>30286</v>
      </c>
      <c r="B138" s="59">
        <f>VLOOKUP(Table17[[#This Row],[Date]],database!A:H,7,)</f>
        <v>40.470799999999997</v>
      </c>
      <c r="C138" s="67">
        <f t="shared" si="2"/>
        <v>-8.9212466725929751E-3</v>
      </c>
      <c r="D138" s="67">
        <f>(Table17[[#This Row],[Index]]-B126)/B126</f>
        <v>-8.2798101721957673E-2</v>
      </c>
    </row>
    <row r="139" spans="1:4" x14ac:dyDescent="0.2">
      <c r="A139" s="17">
        <v>30317</v>
      </c>
      <c r="B139" s="59">
        <f>VLOOKUP(Table17[[#This Row],[Date]],database!A:H,7,)</f>
        <v>41.3767</v>
      </c>
      <c r="C139" s="67">
        <f t="shared" si="2"/>
        <v>2.2384039850954274E-2</v>
      </c>
      <c r="D139" s="67">
        <f>(Table17[[#This Row],[Index]]-B127)/B127</f>
        <v>-4.6054921923811991E-2</v>
      </c>
    </row>
    <row r="140" spans="1:4" x14ac:dyDescent="0.2">
      <c r="A140" s="17">
        <v>30348</v>
      </c>
      <c r="B140" s="59">
        <f>VLOOKUP(Table17[[#This Row],[Date]],database!A:H,7,)</f>
        <v>41.240400000000001</v>
      </c>
      <c r="C140" s="67">
        <f t="shared" si="2"/>
        <v>-3.2941244710187334E-3</v>
      </c>
      <c r="D140" s="67">
        <f>(Table17[[#This Row],[Index]]-B128)/B128</f>
        <v>-5.9651362967860999E-2</v>
      </c>
    </row>
    <row r="141" spans="1:4" x14ac:dyDescent="0.2">
      <c r="A141" s="17">
        <v>30376</v>
      </c>
      <c r="B141" s="59">
        <f>VLOOKUP(Table17[[#This Row],[Date]],database!A:H,7,)</f>
        <v>41.616199999999999</v>
      </c>
      <c r="C141" s="67">
        <f t="shared" si="2"/>
        <v>9.1124237398279018E-3</v>
      </c>
      <c r="D141" s="67">
        <f>(Table17[[#This Row],[Index]]-B129)/B129</f>
        <v>-4.5114541649840315E-2</v>
      </c>
    </row>
    <row r="142" spans="1:4" x14ac:dyDescent="0.2">
      <c r="A142" s="17">
        <v>30407</v>
      </c>
      <c r="B142" s="59">
        <f>VLOOKUP(Table17[[#This Row],[Date]],database!A:H,7,)</f>
        <v>42.128999999999998</v>
      </c>
      <c r="C142" s="67">
        <f t="shared" si="2"/>
        <v>1.2322124557263781E-2</v>
      </c>
      <c r="D142" s="67">
        <f>(Table17[[#This Row],[Index]]-B130)/B130</f>
        <v>-2.1336895290086571E-2</v>
      </c>
    </row>
    <row r="143" spans="1:4" x14ac:dyDescent="0.2">
      <c r="A143" s="17">
        <v>30437</v>
      </c>
      <c r="B143" s="59">
        <f>VLOOKUP(Table17[[#This Row],[Date]],database!A:H,7,)</f>
        <v>42.417700000000004</v>
      </c>
      <c r="C143" s="67">
        <f t="shared" si="2"/>
        <v>6.8527617555604881E-3</v>
      </c>
      <c r="D143" s="67">
        <f>(Table17[[#This Row],[Index]]-B131)/B131</f>
        <v>-2.8257154208364064E-3</v>
      </c>
    </row>
    <row r="144" spans="1:4" x14ac:dyDescent="0.2">
      <c r="A144" s="17">
        <v>30468</v>
      </c>
      <c r="B144" s="59">
        <f>VLOOKUP(Table17[[#This Row],[Date]],database!A:H,7,)</f>
        <v>42.719499999999996</v>
      </c>
      <c r="C144" s="67">
        <f t="shared" si="2"/>
        <v>7.1149543704631668E-3</v>
      </c>
      <c r="D144" s="67">
        <f>(Table17[[#This Row],[Index]]-B132)/B132</f>
        <v>6.9630233758640409E-3</v>
      </c>
    </row>
    <row r="145" spans="1:4" x14ac:dyDescent="0.2">
      <c r="A145" s="17">
        <v>30498</v>
      </c>
      <c r="B145" s="59">
        <f>VLOOKUP(Table17[[#This Row],[Date]],database!A:H,7,)</f>
        <v>43.404200000000003</v>
      </c>
      <c r="C145" s="67">
        <f t="shared" si="2"/>
        <v>1.6027809314247854E-2</v>
      </c>
      <c r="D145" s="67">
        <f>(Table17[[#This Row],[Index]]-B133)/B133</f>
        <v>3.0760718042979147E-2</v>
      </c>
    </row>
    <row r="146" spans="1:4" x14ac:dyDescent="0.2">
      <c r="A146" s="17">
        <v>30529</v>
      </c>
      <c r="B146" s="59">
        <f>VLOOKUP(Table17[[#This Row],[Date]],database!A:H,7,)</f>
        <v>44.044499999999999</v>
      </c>
      <c r="C146" s="67">
        <f t="shared" si="2"/>
        <v>1.475202860552649E-2</v>
      </c>
      <c r="D146" s="67">
        <f>(Table17[[#This Row],[Index]]-B134)/B134</f>
        <v>5.6423159303561003E-2</v>
      </c>
    </row>
    <row r="147" spans="1:4" x14ac:dyDescent="0.2">
      <c r="A147" s="17">
        <v>30560</v>
      </c>
      <c r="B147" s="59">
        <f>VLOOKUP(Table17[[#This Row],[Date]],database!A:H,7,)</f>
        <v>44.615499999999997</v>
      </c>
      <c r="C147" s="67">
        <f t="shared" si="2"/>
        <v>1.2964161246012518E-2</v>
      </c>
      <c r="D147" s="67">
        <f>(Table17[[#This Row],[Index]]-B135)/B135</f>
        <v>7.5396203675805976E-2</v>
      </c>
    </row>
    <row r="148" spans="1:4" x14ac:dyDescent="0.2">
      <c r="A148" s="17">
        <v>30590</v>
      </c>
      <c r="B148" s="59">
        <f>VLOOKUP(Table17[[#This Row],[Date]],database!A:H,7,)</f>
        <v>45.2027</v>
      </c>
      <c r="C148" s="67">
        <f t="shared" si="2"/>
        <v>1.3161345272382885E-2</v>
      </c>
      <c r="D148" s="67">
        <f>(Table17[[#This Row],[Index]]-B136)/B136</f>
        <v>0.10264203596057067</v>
      </c>
    </row>
    <row r="149" spans="1:4" x14ac:dyDescent="0.2">
      <c r="A149" s="17">
        <v>30621</v>
      </c>
      <c r="B149" s="59">
        <f>VLOOKUP(Table17[[#This Row],[Date]],database!A:H,7,)</f>
        <v>45.448700000000002</v>
      </c>
      <c r="C149" s="67">
        <f t="shared" si="2"/>
        <v>5.4421527917580814E-3</v>
      </c>
      <c r="D149" s="67">
        <f>(Table17[[#This Row],[Index]]-B137)/B137</f>
        <v>0.11298123428129246</v>
      </c>
    </row>
    <row r="150" spans="1:4" x14ac:dyDescent="0.2">
      <c r="A150" s="17">
        <v>30651</v>
      </c>
      <c r="B150" s="59">
        <f>VLOOKUP(Table17[[#This Row],[Date]],database!A:H,7,)</f>
        <v>45.639000000000003</v>
      </c>
      <c r="C150" s="67">
        <f t="shared" si="2"/>
        <v>4.1871384660068234E-3</v>
      </c>
      <c r="D150" s="67">
        <f>(Table17[[#This Row],[Index]]-B138)/B138</f>
        <v>0.12770194807120211</v>
      </c>
    </row>
    <row r="151" spans="1:4" x14ac:dyDescent="0.2">
      <c r="A151" s="17">
        <v>30682</v>
      </c>
      <c r="B151" s="59">
        <f>VLOOKUP(Table17[[#This Row],[Date]],database!A:H,7,)</f>
        <v>46.5809</v>
      </c>
      <c r="C151" s="67">
        <f t="shared" si="2"/>
        <v>2.0638050789894447E-2</v>
      </c>
      <c r="D151" s="67">
        <f>(Table17[[#This Row],[Index]]-B139)/B139</f>
        <v>0.12577610104237411</v>
      </c>
    </row>
    <row r="152" spans="1:4" x14ac:dyDescent="0.2">
      <c r="A152" s="17">
        <v>30713</v>
      </c>
      <c r="B152" s="59">
        <f>VLOOKUP(Table17[[#This Row],[Date]],database!A:H,7,)</f>
        <v>46.823</v>
      </c>
      <c r="C152" s="67">
        <f t="shared" si="2"/>
        <v>5.1974092385504989E-3</v>
      </c>
      <c r="D152" s="67">
        <f>(Table17[[#This Row],[Index]]-B140)/B140</f>
        <v>0.13536726122928</v>
      </c>
    </row>
    <row r="153" spans="1:4" x14ac:dyDescent="0.2">
      <c r="A153" s="17">
        <v>30742</v>
      </c>
      <c r="B153" s="59">
        <f>VLOOKUP(Table17[[#This Row],[Date]],database!A:H,7,)</f>
        <v>47.037500000000001</v>
      </c>
      <c r="C153" s="67">
        <f t="shared" si="2"/>
        <v>4.58108194690654E-3</v>
      </c>
      <c r="D153" s="67">
        <f>(Table17[[#This Row],[Index]]-B141)/B141</f>
        <v>0.130268981790745</v>
      </c>
    </row>
    <row r="154" spans="1:4" x14ac:dyDescent="0.2">
      <c r="A154" s="17">
        <v>30773</v>
      </c>
      <c r="B154" s="59">
        <f>VLOOKUP(Table17[[#This Row],[Date]],database!A:H,7,)</f>
        <v>47.346699999999998</v>
      </c>
      <c r="C154" s="67">
        <f t="shared" si="2"/>
        <v>6.573478607494021E-3</v>
      </c>
      <c r="D154" s="67">
        <f>(Table17[[#This Row],[Index]]-B142)/B142</f>
        <v>0.12385055425004156</v>
      </c>
    </row>
    <row r="155" spans="1:4" x14ac:dyDescent="0.2">
      <c r="A155" s="17">
        <v>30803</v>
      </c>
      <c r="B155" s="59">
        <f>VLOOKUP(Table17[[#This Row],[Date]],database!A:H,7,)</f>
        <v>47.698999999999998</v>
      </c>
      <c r="C155" s="67">
        <f t="shared" si="2"/>
        <v>7.4408564905261709E-3</v>
      </c>
      <c r="D155" s="67">
        <f>(Table17[[#This Row],[Index]]-B143)/B143</f>
        <v>0.12450698647027053</v>
      </c>
    </row>
    <row r="156" spans="1:4" x14ac:dyDescent="0.2">
      <c r="A156" s="17">
        <v>30834</v>
      </c>
      <c r="B156" s="59">
        <f>VLOOKUP(Table17[[#This Row],[Date]],database!A:H,7,)</f>
        <v>47.802300000000002</v>
      </c>
      <c r="C156" s="67">
        <f t="shared" si="2"/>
        <v>2.1656638503952941E-3</v>
      </c>
      <c r="D156" s="67">
        <f>(Table17[[#This Row],[Index]]-B144)/B144</f>
        <v>0.11898079331452864</v>
      </c>
    </row>
    <row r="157" spans="1:4" x14ac:dyDescent="0.2">
      <c r="A157" s="17">
        <v>30864</v>
      </c>
      <c r="B157" s="59">
        <f>VLOOKUP(Table17[[#This Row],[Date]],database!A:H,7,)</f>
        <v>47.9437</v>
      </c>
      <c r="C157" s="67">
        <f t="shared" si="2"/>
        <v>2.9580166644700423E-3</v>
      </c>
      <c r="D157" s="67">
        <f>(Table17[[#This Row],[Index]]-B145)/B145</f>
        <v>0.10458665290455754</v>
      </c>
    </row>
    <row r="158" spans="1:4" x14ac:dyDescent="0.2">
      <c r="A158" s="17">
        <v>30895</v>
      </c>
      <c r="B158" s="59">
        <f>VLOOKUP(Table17[[#This Row],[Date]],database!A:H,7,)</f>
        <v>47.919699999999999</v>
      </c>
      <c r="C158" s="67">
        <f t="shared" si="2"/>
        <v>-5.0058714700784712E-4</v>
      </c>
      <c r="D158" s="67">
        <f>(Table17[[#This Row],[Index]]-B146)/B146</f>
        <v>8.7983743713744039E-2</v>
      </c>
    </row>
    <row r="159" spans="1:4" x14ac:dyDescent="0.2">
      <c r="A159" s="17">
        <v>30926</v>
      </c>
      <c r="B159" s="59">
        <f>VLOOKUP(Table17[[#This Row],[Date]],database!A:H,7,)</f>
        <v>47.664200000000001</v>
      </c>
      <c r="C159" s="67">
        <f t="shared" si="2"/>
        <v>-5.3318363846184269E-3</v>
      </c>
      <c r="D159" s="67">
        <f>(Table17[[#This Row],[Index]]-B147)/B147</f>
        <v>6.8332754311842381E-2</v>
      </c>
    </row>
    <row r="160" spans="1:4" x14ac:dyDescent="0.2">
      <c r="A160" s="17">
        <v>30956</v>
      </c>
      <c r="B160" s="59">
        <f>VLOOKUP(Table17[[#This Row],[Date]],database!A:H,7,)</f>
        <v>47.278100000000002</v>
      </c>
      <c r="C160" s="67">
        <f t="shared" si="2"/>
        <v>-8.1004191825311267E-3</v>
      </c>
      <c r="D160" s="67">
        <f>(Table17[[#This Row],[Index]]-B148)/B148</f>
        <v>4.5913186601685342E-2</v>
      </c>
    </row>
    <row r="161" spans="1:4" x14ac:dyDescent="0.2">
      <c r="A161" s="17">
        <v>30987</v>
      </c>
      <c r="B161" s="59">
        <f>VLOOKUP(Table17[[#This Row],[Date]],database!A:H,7,)</f>
        <v>47.432499999999997</v>
      </c>
      <c r="C161" s="67">
        <f t="shared" si="2"/>
        <v>3.2657826773918597E-3</v>
      </c>
      <c r="D161" s="67">
        <f>(Table17[[#This Row],[Index]]-B149)/B149</f>
        <v>4.3649213288828835E-2</v>
      </c>
    </row>
    <row r="162" spans="1:4" x14ac:dyDescent="0.2">
      <c r="A162" s="17">
        <v>31017</v>
      </c>
      <c r="B162" s="59">
        <f>VLOOKUP(Table17[[#This Row],[Date]],database!A:H,7,)</f>
        <v>47.2911</v>
      </c>
      <c r="C162" s="67">
        <f t="shared" si="2"/>
        <v>-2.9810783745322089E-3</v>
      </c>
      <c r="D162" s="67">
        <f>(Table17[[#This Row],[Index]]-B150)/B150</f>
        <v>3.6199303227502734E-2</v>
      </c>
    </row>
    <row r="163" spans="1:4" x14ac:dyDescent="0.2">
      <c r="A163" s="17">
        <v>31048</v>
      </c>
      <c r="B163" s="59">
        <f>VLOOKUP(Table17[[#This Row],[Date]],database!A:H,7,)</f>
        <v>47.432400000000001</v>
      </c>
      <c r="C163" s="67">
        <f t="shared" si="2"/>
        <v>2.9878772115683461E-3</v>
      </c>
      <c r="D163" s="67">
        <f>(Table17[[#This Row],[Index]]-B151)/B151</f>
        <v>1.8280024645294563E-2</v>
      </c>
    </row>
    <row r="164" spans="1:4" x14ac:dyDescent="0.2">
      <c r="A164" s="17">
        <v>31079</v>
      </c>
      <c r="B164" s="59">
        <f>VLOOKUP(Table17[[#This Row],[Date]],database!A:H,7,)</f>
        <v>47.553800000000003</v>
      </c>
      <c r="C164" s="67">
        <f t="shared" si="2"/>
        <v>2.5594319494690598E-3</v>
      </c>
      <c r="D164" s="67">
        <f>(Table17[[#This Row],[Index]]-B152)/B152</f>
        <v>1.5607714157572179E-2</v>
      </c>
    </row>
    <row r="165" spans="1:4" x14ac:dyDescent="0.2">
      <c r="A165" s="17">
        <v>31107</v>
      </c>
      <c r="B165" s="59">
        <f>VLOOKUP(Table17[[#This Row],[Date]],database!A:H,7,)</f>
        <v>47.459099999999999</v>
      </c>
      <c r="C165" s="67">
        <f t="shared" si="2"/>
        <v>-1.9914286555439142E-3</v>
      </c>
      <c r="D165" s="67">
        <f>(Table17[[#This Row],[Index]]-B153)/B153</f>
        <v>8.9630613871910271E-3</v>
      </c>
    </row>
    <row r="166" spans="1:4" x14ac:dyDescent="0.2">
      <c r="A166" s="17">
        <v>31138</v>
      </c>
      <c r="B166" s="59">
        <f>VLOOKUP(Table17[[#This Row],[Date]],database!A:H,7,)</f>
        <v>47.439</v>
      </c>
      <c r="C166" s="67">
        <f t="shared" si="2"/>
        <v>-4.2352256996025517E-4</v>
      </c>
      <c r="D166" s="67">
        <f>(Table17[[#This Row],[Index]]-B154)/B154</f>
        <v>1.9494494864478751E-3</v>
      </c>
    </row>
    <row r="167" spans="1:4" x14ac:dyDescent="0.2">
      <c r="A167" s="17">
        <v>31168</v>
      </c>
      <c r="B167" s="59">
        <f>VLOOKUP(Table17[[#This Row],[Date]],database!A:H,7,)</f>
        <v>47.4801</v>
      </c>
      <c r="C167" s="67">
        <f t="shared" si="2"/>
        <v>8.6637576677417449E-4</v>
      </c>
      <c r="D167" s="67">
        <f>(Table17[[#This Row],[Index]]-B155)/B155</f>
        <v>-4.5891947420280904E-3</v>
      </c>
    </row>
    <row r="168" spans="1:4" x14ac:dyDescent="0.2">
      <c r="A168" s="17">
        <v>31199</v>
      </c>
      <c r="B168" s="59">
        <f>VLOOKUP(Table17[[#This Row],[Date]],database!A:H,7,)</f>
        <v>47.336799999999997</v>
      </c>
      <c r="C168" s="67">
        <f t="shared" si="2"/>
        <v>-3.0181065330529E-3</v>
      </c>
      <c r="D168" s="67">
        <f>(Table17[[#This Row],[Index]]-B156)/B156</f>
        <v>-9.7380251577854158E-3</v>
      </c>
    </row>
    <row r="169" spans="1:4" x14ac:dyDescent="0.2">
      <c r="A169" s="17">
        <v>31229</v>
      </c>
      <c r="B169" s="59">
        <f>VLOOKUP(Table17[[#This Row],[Date]],database!A:H,7,)</f>
        <v>47.055500000000002</v>
      </c>
      <c r="C169" s="67">
        <f t="shared" si="2"/>
        <v>-5.9425225194773557E-3</v>
      </c>
      <c r="D169" s="67">
        <f>(Table17[[#This Row],[Index]]-B157)/B157</f>
        <v>-1.8525895998848602E-2</v>
      </c>
    </row>
    <row r="170" spans="1:4" x14ac:dyDescent="0.2">
      <c r="A170" s="17">
        <v>31260</v>
      </c>
      <c r="B170" s="59">
        <f>VLOOKUP(Table17[[#This Row],[Date]],database!A:H,7,)</f>
        <v>47.124899999999997</v>
      </c>
      <c r="C170" s="67">
        <f t="shared" si="2"/>
        <v>1.474854161575001E-3</v>
      </c>
      <c r="D170" s="67">
        <f>(Table17[[#This Row],[Index]]-B158)/B158</f>
        <v>-1.6586080463775903E-2</v>
      </c>
    </row>
    <row r="171" spans="1:4" x14ac:dyDescent="0.2">
      <c r="A171" s="17">
        <v>31291</v>
      </c>
      <c r="B171" s="59">
        <f>VLOOKUP(Table17[[#This Row],[Date]],database!A:H,7,)</f>
        <v>47.3626</v>
      </c>
      <c r="C171" s="67">
        <f t="shared" si="2"/>
        <v>5.0440425337774375E-3</v>
      </c>
      <c r="D171" s="67">
        <f>(Table17[[#This Row],[Index]]-B159)/B159</f>
        <v>-6.3276001695192728E-3</v>
      </c>
    </row>
    <row r="172" spans="1:4" x14ac:dyDescent="0.2">
      <c r="A172" s="17">
        <v>31321</v>
      </c>
      <c r="B172" s="59">
        <f>VLOOKUP(Table17[[#This Row],[Date]],database!A:H,7,)</f>
        <v>47.086399999999998</v>
      </c>
      <c r="C172" s="67">
        <f t="shared" si="2"/>
        <v>-5.8316055284127755E-3</v>
      </c>
      <c r="D172" s="67">
        <f>(Table17[[#This Row],[Index]]-B160)/B160</f>
        <v>-4.0547314718655022E-3</v>
      </c>
    </row>
    <row r="173" spans="1:4" x14ac:dyDescent="0.2">
      <c r="A173" s="17">
        <v>31352</v>
      </c>
      <c r="B173" s="59">
        <f>VLOOKUP(Table17[[#This Row],[Date]],database!A:H,7,)</f>
        <v>47.144399999999997</v>
      </c>
      <c r="C173" s="67">
        <f t="shared" si="2"/>
        <v>1.2317781779875858E-3</v>
      </c>
      <c r="D173" s="67">
        <f>(Table17[[#This Row],[Index]]-B161)/B161</f>
        <v>-6.0738944816317933E-3</v>
      </c>
    </row>
    <row r="174" spans="1:4" x14ac:dyDescent="0.2">
      <c r="A174" s="17">
        <v>31382</v>
      </c>
      <c r="B174" s="59">
        <f>VLOOKUP(Table17[[#This Row],[Date]],database!A:H,7,)</f>
        <v>47.815199999999997</v>
      </c>
      <c r="C174" s="67">
        <f t="shared" si="2"/>
        <v>1.422862524499191E-2</v>
      </c>
      <c r="D174" s="67">
        <f>(Table17[[#This Row],[Index]]-B162)/B162</f>
        <v>1.1082423542696134E-2</v>
      </c>
    </row>
    <row r="175" spans="1:4" x14ac:dyDescent="0.2">
      <c r="A175" s="17">
        <v>31413</v>
      </c>
      <c r="B175" s="59">
        <f>VLOOKUP(Table17[[#This Row],[Date]],database!A:H,7,)</f>
        <v>47.884999999999998</v>
      </c>
      <c r="C175" s="67">
        <f t="shared" si="2"/>
        <v>1.4597868460237695E-3</v>
      </c>
      <c r="D175" s="67">
        <f>(Table17[[#This Row],[Index]]-B163)/B163</f>
        <v>9.5420008264392436E-3</v>
      </c>
    </row>
    <row r="176" spans="1:4" x14ac:dyDescent="0.2">
      <c r="A176" s="17">
        <v>31444</v>
      </c>
      <c r="B176" s="59">
        <f>VLOOKUP(Table17[[#This Row],[Date]],database!A:H,7,)</f>
        <v>47.702199999999998</v>
      </c>
      <c r="C176" s="67">
        <f t="shared" si="2"/>
        <v>-3.8174793776757365E-3</v>
      </c>
      <c r="D176" s="67">
        <f>(Table17[[#This Row],[Index]]-B164)/B164</f>
        <v>3.1206759501868453E-3</v>
      </c>
    </row>
    <row r="177" spans="1:4" x14ac:dyDescent="0.2">
      <c r="A177" s="17">
        <v>31472</v>
      </c>
      <c r="B177" s="59">
        <f>VLOOKUP(Table17[[#This Row],[Date]],database!A:H,7,)</f>
        <v>47.156399999999998</v>
      </c>
      <c r="C177" s="67">
        <f t="shared" si="2"/>
        <v>-1.1441820293403682E-2</v>
      </c>
      <c r="D177" s="67">
        <f>(Table17[[#This Row],[Index]]-B165)/B165</f>
        <v>-6.3781234789534891E-3</v>
      </c>
    </row>
    <row r="178" spans="1:4" x14ac:dyDescent="0.2">
      <c r="A178" s="17">
        <v>31503</v>
      </c>
      <c r="B178" s="59">
        <f>VLOOKUP(Table17[[#This Row],[Date]],database!A:H,7,)</f>
        <v>47.084800000000001</v>
      </c>
      <c r="C178" s="67">
        <f t="shared" si="2"/>
        <v>-1.5183516977546052E-3</v>
      </c>
      <c r="D178" s="67">
        <f>(Table17[[#This Row],[Index]]-B166)/B166</f>
        <v>-7.4664305740002688E-3</v>
      </c>
    </row>
    <row r="179" spans="1:4" x14ac:dyDescent="0.2">
      <c r="A179" s="17">
        <v>31533</v>
      </c>
      <c r="B179" s="59">
        <f>VLOOKUP(Table17[[#This Row],[Date]],database!A:H,7,)</f>
        <v>47.092799999999997</v>
      </c>
      <c r="C179" s="67">
        <f t="shared" si="2"/>
        <v>1.6990621177104259E-4</v>
      </c>
      <c r="D179" s="67">
        <f>(Table17[[#This Row],[Index]]-B167)/B167</f>
        <v>-8.1571016067784885E-3</v>
      </c>
    </row>
    <row r="180" spans="1:4" x14ac:dyDescent="0.2">
      <c r="A180" s="17">
        <v>31564</v>
      </c>
      <c r="B180" s="59">
        <f>VLOOKUP(Table17[[#This Row],[Date]],database!A:H,7,)</f>
        <v>46.843000000000004</v>
      </c>
      <c r="C180" s="67">
        <f t="shared" si="2"/>
        <v>-5.3044202086092174E-3</v>
      </c>
      <c r="D180" s="67">
        <f>(Table17[[#This Row],[Index]]-B168)/B168</f>
        <v>-1.0431630359466487E-2</v>
      </c>
    </row>
    <row r="181" spans="1:4" x14ac:dyDescent="0.2">
      <c r="A181" s="17">
        <v>31594</v>
      </c>
      <c r="B181" s="59">
        <f>VLOOKUP(Table17[[#This Row],[Date]],database!A:H,7,)</f>
        <v>47.1706</v>
      </c>
      <c r="C181" s="67">
        <f t="shared" si="2"/>
        <v>6.99357428004177E-3</v>
      </c>
      <c r="D181" s="67">
        <f>(Table17[[#This Row],[Index]]-B169)/B169</f>
        <v>2.4460477521224553E-3</v>
      </c>
    </row>
    <row r="182" spans="1:4" x14ac:dyDescent="0.2">
      <c r="A182" s="17">
        <v>31625</v>
      </c>
      <c r="B182" s="59">
        <f>VLOOKUP(Table17[[#This Row],[Date]],database!A:H,7,)</f>
        <v>46.974899999999998</v>
      </c>
      <c r="C182" s="67">
        <f t="shared" si="2"/>
        <v>-4.1487706325550322E-3</v>
      </c>
      <c r="D182" s="67">
        <f>(Table17[[#This Row],[Index]]-B170)/B170</f>
        <v>-3.1830306271206643E-3</v>
      </c>
    </row>
    <row r="183" spans="1:4" x14ac:dyDescent="0.2">
      <c r="A183" s="17">
        <v>31656</v>
      </c>
      <c r="B183" s="59">
        <f>VLOOKUP(Table17[[#This Row],[Date]],database!A:H,7,)</f>
        <v>47.156799999999997</v>
      </c>
      <c r="C183" s="67">
        <f t="shared" si="2"/>
        <v>3.8722807286444283E-3</v>
      </c>
      <c r="D183" s="67">
        <f>(Table17[[#This Row],[Index]]-B171)/B171</f>
        <v>-4.3452006435458256E-3</v>
      </c>
    </row>
    <row r="184" spans="1:4" x14ac:dyDescent="0.2">
      <c r="A184" s="17">
        <v>31686</v>
      </c>
      <c r="B184" s="59">
        <f>VLOOKUP(Table17[[#This Row],[Date]],database!A:H,7,)</f>
        <v>47.431399999999996</v>
      </c>
      <c r="C184" s="67">
        <f t="shared" si="2"/>
        <v>5.8231262511450055E-3</v>
      </c>
      <c r="D184" s="67">
        <f>(Table17[[#This Row],[Index]]-B172)/B172</f>
        <v>7.3269564035474974E-3</v>
      </c>
    </row>
    <row r="185" spans="1:4" x14ac:dyDescent="0.2">
      <c r="A185" s="17">
        <v>31717</v>
      </c>
      <c r="B185" s="59">
        <f>VLOOKUP(Table17[[#This Row],[Date]],database!A:H,7,)</f>
        <v>47.631799999999998</v>
      </c>
      <c r="C185" s="67">
        <f t="shared" si="2"/>
        <v>4.2250492289916952E-3</v>
      </c>
      <c r="D185" s="67">
        <f>(Table17[[#This Row],[Index]]-B173)/B173</f>
        <v>1.033844952953057E-2</v>
      </c>
    </row>
    <row r="186" spans="1:4" x14ac:dyDescent="0.2">
      <c r="A186" s="17">
        <v>31747</v>
      </c>
      <c r="B186" s="59">
        <f>VLOOKUP(Table17[[#This Row],[Date]],database!A:H,7,)</f>
        <v>48.039200000000001</v>
      </c>
      <c r="C186" s="67">
        <f t="shared" si="2"/>
        <v>8.5531094772819394E-3</v>
      </c>
      <c r="D186" s="67">
        <f>(Table17[[#This Row],[Index]]-B174)/B174</f>
        <v>4.6847027723402549E-3</v>
      </c>
    </row>
    <row r="187" spans="1:4" x14ac:dyDescent="0.2">
      <c r="A187" s="17">
        <v>31778</v>
      </c>
      <c r="B187" s="59">
        <f>VLOOKUP(Table17[[#This Row],[Date]],database!A:H,7,)</f>
        <v>47.943199999999997</v>
      </c>
      <c r="C187" s="67">
        <f t="shared" si="2"/>
        <v>-1.9983679994671766E-3</v>
      </c>
      <c r="D187" s="67">
        <f>(Table17[[#This Row],[Index]]-B175)/B175</f>
        <v>1.2154119244022004E-3</v>
      </c>
    </row>
    <row r="188" spans="1:4" x14ac:dyDescent="0.2">
      <c r="A188" s="17">
        <v>31809</v>
      </c>
      <c r="B188" s="59">
        <f>VLOOKUP(Table17[[#This Row],[Date]],database!A:H,7,)</f>
        <v>48.537100000000002</v>
      </c>
      <c r="C188" s="67">
        <f t="shared" si="2"/>
        <v>1.2387575297435394E-2</v>
      </c>
      <c r="D188" s="67">
        <f>(Table17[[#This Row],[Index]]-B176)/B176</f>
        <v>1.7502337418400089E-2</v>
      </c>
    </row>
    <row r="189" spans="1:4" x14ac:dyDescent="0.2">
      <c r="A189" s="17">
        <v>31837</v>
      </c>
      <c r="B189" s="59">
        <f>VLOOKUP(Table17[[#This Row],[Date]],database!A:H,7,)</f>
        <v>48.598799999999997</v>
      </c>
      <c r="C189" s="67">
        <f t="shared" si="2"/>
        <v>1.2711925516768474E-3</v>
      </c>
      <c r="D189" s="67">
        <f>(Table17[[#This Row],[Index]]-B177)/B177</f>
        <v>3.0587576659795897E-2</v>
      </c>
    </row>
    <row r="190" spans="1:4" x14ac:dyDescent="0.2">
      <c r="A190" s="17">
        <v>31868</v>
      </c>
      <c r="B190" s="59">
        <f>VLOOKUP(Table17[[#This Row],[Date]],database!A:H,7,)</f>
        <v>49.075800000000001</v>
      </c>
      <c r="C190" s="67">
        <f t="shared" si="2"/>
        <v>9.8150571619053384E-3</v>
      </c>
      <c r="D190" s="67">
        <f>(Table17[[#This Row],[Index]]-B178)/B178</f>
        <v>4.2285408454533088E-2</v>
      </c>
    </row>
    <row r="191" spans="1:4" x14ac:dyDescent="0.2">
      <c r="A191" s="17">
        <v>31898</v>
      </c>
      <c r="B191" s="59">
        <f>VLOOKUP(Table17[[#This Row],[Date]],database!A:H,7,)</f>
        <v>49.283700000000003</v>
      </c>
      <c r="C191" s="67">
        <f t="shared" si="2"/>
        <v>4.2363038401820319E-3</v>
      </c>
      <c r="D191" s="67">
        <f>(Table17[[#This Row],[Index]]-B179)/B179</f>
        <v>4.6523035368464104E-2</v>
      </c>
    </row>
    <row r="192" spans="1:4" x14ac:dyDescent="0.2">
      <c r="A192" s="17">
        <v>31929</v>
      </c>
      <c r="B192" s="59">
        <f>VLOOKUP(Table17[[#This Row],[Date]],database!A:H,7,)</f>
        <v>49.654200000000003</v>
      </c>
      <c r="C192" s="67">
        <f t="shared" si="2"/>
        <v>7.5176985494189719E-3</v>
      </c>
      <c r="D192" s="67">
        <f>(Table17[[#This Row],[Index]]-B180)/B180</f>
        <v>6.0013235702239383E-2</v>
      </c>
    </row>
    <row r="193" spans="1:4" x14ac:dyDescent="0.2">
      <c r="A193" s="17">
        <v>31959</v>
      </c>
      <c r="B193" s="59">
        <f>VLOOKUP(Table17[[#This Row],[Date]],database!A:H,7,)</f>
        <v>49.982999999999997</v>
      </c>
      <c r="C193" s="67">
        <f t="shared" si="2"/>
        <v>6.6217963435115657E-3</v>
      </c>
      <c r="D193" s="67">
        <f>(Table17[[#This Row],[Index]]-B181)/B181</f>
        <v>5.9621883122114125E-2</v>
      </c>
    </row>
    <row r="194" spans="1:4" x14ac:dyDescent="0.2">
      <c r="A194" s="17">
        <v>31990</v>
      </c>
      <c r="B194" s="59">
        <f>VLOOKUP(Table17[[#This Row],[Date]],database!A:H,7,)</f>
        <v>50.365699999999997</v>
      </c>
      <c r="C194" s="67">
        <f t="shared" si="2"/>
        <v>7.6566032451033106E-3</v>
      </c>
      <c r="D194" s="67">
        <f>(Table17[[#This Row],[Index]]-B182)/B182</f>
        <v>7.2183229767386392E-2</v>
      </c>
    </row>
    <row r="195" spans="1:4" x14ac:dyDescent="0.2">
      <c r="A195" s="17">
        <v>32021</v>
      </c>
      <c r="B195" s="59">
        <f>VLOOKUP(Table17[[#This Row],[Date]],database!A:H,7,)</f>
        <v>50.573799999999999</v>
      </c>
      <c r="C195" s="67">
        <f t="shared" si="2"/>
        <v>4.1317801599105586E-3</v>
      </c>
      <c r="D195" s="67">
        <f>(Table17[[#This Row],[Index]]-B183)/B183</f>
        <v>7.2460387473280666E-2</v>
      </c>
    </row>
    <row r="196" spans="1:4" x14ac:dyDescent="0.2">
      <c r="A196" s="17">
        <v>32051</v>
      </c>
      <c r="B196" s="59">
        <f>VLOOKUP(Table17[[#This Row],[Date]],database!A:H,7,)</f>
        <v>51.217799999999997</v>
      </c>
      <c r="C196" s="67">
        <f t="shared" si="2"/>
        <v>1.2733866152039086E-2</v>
      </c>
      <c r="D196" s="67">
        <f>(Table17[[#This Row],[Index]]-B184)/B184</f>
        <v>7.9828974055161789E-2</v>
      </c>
    </row>
    <row r="197" spans="1:4" x14ac:dyDescent="0.2">
      <c r="A197" s="17">
        <v>32082</v>
      </c>
      <c r="B197" s="59">
        <f>VLOOKUP(Table17[[#This Row],[Date]],database!A:H,7,)</f>
        <v>51.695</v>
      </c>
      <c r="C197" s="67">
        <f t="shared" si="2"/>
        <v>9.3170733612142342E-3</v>
      </c>
      <c r="D197" s="67">
        <f>(Table17[[#This Row],[Index]]-B185)/B185</f>
        <v>8.5304355493598855E-2</v>
      </c>
    </row>
    <row r="198" spans="1:4" x14ac:dyDescent="0.2">
      <c r="A198" s="17">
        <v>32112</v>
      </c>
      <c r="B198" s="59">
        <f>VLOOKUP(Table17[[#This Row],[Date]],database!A:H,7,)</f>
        <v>51.999099999999999</v>
      </c>
      <c r="C198" s="67">
        <f t="shared" si="2"/>
        <v>5.8825805203597259E-3</v>
      </c>
      <c r="D198" s="67">
        <f>(Table17[[#This Row],[Index]]-B186)/B186</f>
        <v>8.2430598344685121E-2</v>
      </c>
    </row>
    <row r="199" spans="1:4" x14ac:dyDescent="0.2">
      <c r="A199" s="17">
        <v>32143</v>
      </c>
      <c r="B199" s="59">
        <f>VLOOKUP(Table17[[#This Row],[Date]],database!A:H,7,)</f>
        <v>51.816400000000002</v>
      </c>
      <c r="C199" s="67">
        <f t="shared" si="2"/>
        <v>-3.5135223494252577E-3</v>
      </c>
      <c r="D199" s="67">
        <f>(Table17[[#This Row],[Index]]-B187)/B187</f>
        <v>8.0787264930167454E-2</v>
      </c>
    </row>
    <row r="200" spans="1:4" x14ac:dyDescent="0.2">
      <c r="A200" s="17">
        <v>32174</v>
      </c>
      <c r="B200" s="59">
        <f>VLOOKUP(Table17[[#This Row],[Date]],database!A:H,7,)</f>
        <v>52.065199999999997</v>
      </c>
      <c r="C200" s="67">
        <f t="shared" ref="C200:C263" si="3">B200/B199-1</f>
        <v>4.8015686153417558E-3</v>
      </c>
      <c r="D200" s="67">
        <f>(Table17[[#This Row],[Index]]-B188)/B188</f>
        <v>7.2688726767771356E-2</v>
      </c>
    </row>
    <row r="201" spans="1:4" x14ac:dyDescent="0.2">
      <c r="A201" s="17">
        <v>32203</v>
      </c>
      <c r="B201" s="59">
        <f>VLOOKUP(Table17[[#This Row],[Date]],database!A:H,7,)</f>
        <v>52.240299999999998</v>
      </c>
      <c r="C201" s="67">
        <f t="shared" si="3"/>
        <v>3.3630908937256621E-3</v>
      </c>
      <c r="D201" s="67">
        <f>(Table17[[#This Row],[Index]]-B189)/B189</f>
        <v>7.4929833658444259E-2</v>
      </c>
    </row>
    <row r="202" spans="1:4" x14ac:dyDescent="0.2">
      <c r="A202" s="17">
        <v>32234</v>
      </c>
      <c r="B202" s="59">
        <f>VLOOKUP(Table17[[#This Row],[Date]],database!A:H,7,)</f>
        <v>52.569200000000002</v>
      </c>
      <c r="C202" s="67">
        <f t="shared" si="3"/>
        <v>6.2959056513842704E-3</v>
      </c>
      <c r="D202" s="67">
        <f>(Table17[[#This Row],[Index]]-B190)/B190</f>
        <v>7.118376063151291E-2</v>
      </c>
    </row>
    <row r="203" spans="1:4" x14ac:dyDescent="0.2">
      <c r="A203" s="17">
        <v>32264</v>
      </c>
      <c r="B203" s="59">
        <f>VLOOKUP(Table17[[#This Row],[Date]],database!A:H,7,)</f>
        <v>52.547199999999997</v>
      </c>
      <c r="C203" s="67">
        <f t="shared" si="3"/>
        <v>-4.1849600146104393E-4</v>
      </c>
      <c r="D203" s="67">
        <f>(Table17[[#This Row],[Index]]-B191)/B191</f>
        <v>6.621864835635298E-2</v>
      </c>
    </row>
    <row r="204" spans="1:4" x14ac:dyDescent="0.2">
      <c r="A204" s="17">
        <v>32295</v>
      </c>
      <c r="B204" s="59">
        <f>VLOOKUP(Table17[[#This Row],[Date]],database!A:H,7,)</f>
        <v>52.775700000000001</v>
      </c>
      <c r="C204" s="67">
        <f t="shared" si="3"/>
        <v>4.3484714694599358E-3</v>
      </c>
      <c r="D204" s="67">
        <f>(Table17[[#This Row],[Index]]-B192)/B192</f>
        <v>6.2864772768466665E-2</v>
      </c>
    </row>
    <row r="205" spans="1:4" x14ac:dyDescent="0.2">
      <c r="A205" s="17">
        <v>32325</v>
      </c>
      <c r="B205" s="59">
        <f>VLOOKUP(Table17[[#This Row],[Date]],database!A:H,7,)</f>
        <v>52.843699999999998</v>
      </c>
      <c r="C205" s="67">
        <f t="shared" si="3"/>
        <v>1.2884717777310595E-3</v>
      </c>
      <c r="D205" s="67">
        <f>(Table17[[#This Row],[Index]]-B193)/B193</f>
        <v>5.7233459376187935E-2</v>
      </c>
    </row>
    <row r="206" spans="1:4" x14ac:dyDescent="0.2">
      <c r="A206" s="17">
        <v>32356</v>
      </c>
      <c r="B206" s="59">
        <f>VLOOKUP(Table17[[#This Row],[Date]],database!A:H,7,)</f>
        <v>53.127800000000001</v>
      </c>
      <c r="C206" s="67">
        <f t="shared" si="3"/>
        <v>5.3762321714794226E-3</v>
      </c>
      <c r="D206" s="67">
        <f>(Table17[[#This Row],[Index]]-B194)/B194</f>
        <v>5.4840893703453027E-2</v>
      </c>
    </row>
    <row r="207" spans="1:4" x14ac:dyDescent="0.2">
      <c r="A207" s="17">
        <v>32387</v>
      </c>
      <c r="B207" s="59">
        <f>VLOOKUP(Table17[[#This Row],[Date]],database!A:H,7,)</f>
        <v>52.8795</v>
      </c>
      <c r="C207" s="67">
        <f t="shared" si="3"/>
        <v>-4.6736360248307296E-3</v>
      </c>
      <c r="D207" s="67">
        <f>(Table17[[#This Row],[Index]]-B195)/B195</f>
        <v>4.5590799979436027E-2</v>
      </c>
    </row>
    <row r="208" spans="1:4" x14ac:dyDescent="0.2">
      <c r="A208" s="17">
        <v>32417</v>
      </c>
      <c r="B208" s="59">
        <f>VLOOKUP(Table17[[#This Row],[Date]],database!A:H,7,)</f>
        <v>52.9998</v>
      </c>
      <c r="C208" s="67">
        <f t="shared" si="3"/>
        <v>2.2749836893314335E-3</v>
      </c>
      <c r="D208" s="67">
        <f>(Table17[[#This Row],[Index]]-B196)/B196</f>
        <v>3.4792591638063398E-2</v>
      </c>
    </row>
    <row r="209" spans="1:4" x14ac:dyDescent="0.2">
      <c r="A209" s="17">
        <v>32448</v>
      </c>
      <c r="B209" s="59">
        <f>VLOOKUP(Table17[[#This Row],[Date]],database!A:H,7,)</f>
        <v>53.174199999999999</v>
      </c>
      <c r="C209" s="67">
        <f t="shared" si="3"/>
        <v>3.2905784550130157E-3</v>
      </c>
      <c r="D209" s="67">
        <f>(Table17[[#This Row],[Index]]-B197)/B197</f>
        <v>2.861398587871165E-2</v>
      </c>
    </row>
    <row r="210" spans="1:4" x14ac:dyDescent="0.2">
      <c r="A210" s="17">
        <v>32478</v>
      </c>
      <c r="B210" s="59">
        <f>VLOOKUP(Table17[[#This Row],[Date]],database!A:H,7,)</f>
        <v>53.428100000000001</v>
      </c>
      <c r="C210" s="67">
        <f t="shared" si="3"/>
        <v>4.7748720244027432E-3</v>
      </c>
      <c r="D210" s="67">
        <f>(Table17[[#This Row],[Index]]-B198)/B198</f>
        <v>2.7481244867699674E-2</v>
      </c>
    </row>
    <row r="211" spans="1:4" x14ac:dyDescent="0.2">
      <c r="A211" s="17">
        <v>32509</v>
      </c>
      <c r="B211" s="59">
        <f>VLOOKUP(Table17[[#This Row],[Date]],database!A:H,7,)</f>
        <v>53.578800000000001</v>
      </c>
      <c r="C211" s="67">
        <f t="shared" si="3"/>
        <v>2.8206131230570364E-3</v>
      </c>
      <c r="D211" s="67">
        <f>(Table17[[#This Row],[Index]]-B199)/B199</f>
        <v>3.4012397619286545E-2</v>
      </c>
    </row>
    <row r="212" spans="1:4" x14ac:dyDescent="0.2">
      <c r="A212" s="17">
        <v>32540</v>
      </c>
      <c r="B212" s="59">
        <f>VLOOKUP(Table17[[#This Row],[Date]],database!A:H,7,)</f>
        <v>53.207500000000003</v>
      </c>
      <c r="C212" s="67">
        <f t="shared" si="3"/>
        <v>-6.929979768117156E-3</v>
      </c>
      <c r="D212" s="67">
        <f>(Table17[[#This Row],[Index]]-B200)/B200</f>
        <v>2.1939798560266857E-2</v>
      </c>
    </row>
    <row r="213" spans="1:4" x14ac:dyDescent="0.2">
      <c r="A213" s="17">
        <v>32568</v>
      </c>
      <c r="B213" s="59">
        <f>VLOOKUP(Table17[[#This Row],[Date]],database!A:H,7,)</f>
        <v>53.418900000000001</v>
      </c>
      <c r="C213" s="67">
        <f t="shared" si="3"/>
        <v>3.973124089649005E-3</v>
      </c>
      <c r="D213" s="67">
        <f>(Table17[[#This Row],[Index]]-B201)/B201</f>
        <v>2.2561126180362729E-2</v>
      </c>
    </row>
    <row r="214" spans="1:4" x14ac:dyDescent="0.2">
      <c r="A214" s="17">
        <v>32599</v>
      </c>
      <c r="B214" s="59">
        <f>VLOOKUP(Table17[[#This Row],[Date]],database!A:H,7,)</f>
        <v>53.305199999999999</v>
      </c>
      <c r="C214" s="67">
        <f t="shared" si="3"/>
        <v>-2.1284601517440604E-3</v>
      </c>
      <c r="D214" s="67">
        <f>(Table17[[#This Row],[Index]]-B202)/B202</f>
        <v>1.4000593503420198E-2</v>
      </c>
    </row>
    <row r="215" spans="1:4" x14ac:dyDescent="0.2">
      <c r="A215" s="17">
        <v>32629</v>
      </c>
      <c r="B215" s="59">
        <f>VLOOKUP(Table17[[#This Row],[Date]],database!A:H,7,)</f>
        <v>53.155200000000001</v>
      </c>
      <c r="C215" s="67">
        <f t="shared" si="3"/>
        <v>-2.8139843767587269E-3</v>
      </c>
      <c r="D215" s="67">
        <f>(Table17[[#This Row],[Index]]-B203)/B203</f>
        <v>1.1570549905608751E-2</v>
      </c>
    </row>
    <row r="216" spans="1:4" x14ac:dyDescent="0.2">
      <c r="A216" s="17">
        <v>32660</v>
      </c>
      <c r="B216" s="59">
        <f>VLOOKUP(Table17[[#This Row],[Date]],database!A:H,7,)</f>
        <v>52.916499999999999</v>
      </c>
      <c r="C216" s="67">
        <f t="shared" si="3"/>
        <v>-4.4906236831016022E-3</v>
      </c>
      <c r="D216" s="67">
        <f>(Table17[[#This Row],[Index]]-B204)/B204</f>
        <v>2.6678945044783624E-3</v>
      </c>
    </row>
    <row r="217" spans="1:4" x14ac:dyDescent="0.2">
      <c r="A217" s="17">
        <v>32690</v>
      </c>
      <c r="B217" s="59">
        <f>VLOOKUP(Table17[[#This Row],[Date]],database!A:H,7,)</f>
        <v>52.7027</v>
      </c>
      <c r="C217" s="67">
        <f t="shared" si="3"/>
        <v>-4.0403276860714321E-3</v>
      </c>
      <c r="D217" s="67">
        <f>(Table17[[#This Row],[Index]]-B205)/B205</f>
        <v>-2.6682461674712075E-3</v>
      </c>
    </row>
    <row r="218" spans="1:4" x14ac:dyDescent="0.2">
      <c r="A218" s="17">
        <v>32721</v>
      </c>
      <c r="B218" s="59">
        <f>VLOOKUP(Table17[[#This Row],[Date]],database!A:H,7,)</f>
        <v>53.058900000000001</v>
      </c>
      <c r="C218" s="67">
        <f t="shared" si="3"/>
        <v>6.7586670132651072E-3</v>
      </c>
      <c r="D218" s="67">
        <f>(Table17[[#This Row],[Index]]-B206)/B206</f>
        <v>-1.2968728236441053E-3</v>
      </c>
    </row>
    <row r="219" spans="1:4" x14ac:dyDescent="0.2">
      <c r="A219" s="17">
        <v>32752</v>
      </c>
      <c r="B219" s="59">
        <f>VLOOKUP(Table17[[#This Row],[Date]],database!A:H,7,)</f>
        <v>52.822699999999998</v>
      </c>
      <c r="C219" s="67">
        <f t="shared" si="3"/>
        <v>-4.4516565552622511E-3</v>
      </c>
      <c r="D219" s="67">
        <f>(Table17[[#This Row],[Index]]-B207)/B207</f>
        <v>-1.0741402622945115E-3</v>
      </c>
    </row>
    <row r="220" spans="1:4" x14ac:dyDescent="0.2">
      <c r="A220" s="17">
        <v>32782</v>
      </c>
      <c r="B220" s="59">
        <f>VLOOKUP(Table17[[#This Row],[Date]],database!A:H,7,)</f>
        <v>52.920999999999999</v>
      </c>
      <c r="C220" s="67">
        <f t="shared" si="3"/>
        <v>1.860942360008222E-3</v>
      </c>
      <c r="D220" s="67">
        <f>(Table17[[#This Row],[Index]]-B208)/B208</f>
        <v>-1.486798063388939E-3</v>
      </c>
    </row>
    <row r="221" spans="1:4" x14ac:dyDescent="0.2">
      <c r="A221" s="17">
        <v>32813</v>
      </c>
      <c r="B221" s="59">
        <f>VLOOKUP(Table17[[#This Row],[Date]],database!A:H,7,)</f>
        <v>53.071300000000001</v>
      </c>
      <c r="C221" s="67">
        <f t="shared" si="3"/>
        <v>2.8400823869541014E-3</v>
      </c>
      <c r="D221" s="67">
        <f>(Table17[[#This Row],[Index]]-B209)/B209</f>
        <v>-1.9351490008311966E-3</v>
      </c>
    </row>
    <row r="222" spans="1:4" x14ac:dyDescent="0.2">
      <c r="A222" s="17">
        <v>32843</v>
      </c>
      <c r="B222" s="59">
        <f>VLOOKUP(Table17[[#This Row],[Date]],database!A:H,7,)</f>
        <v>53.005899999999997</v>
      </c>
      <c r="C222" s="67">
        <f t="shared" si="3"/>
        <v>-1.2323044658789639E-3</v>
      </c>
      <c r="D222" s="67">
        <f>(Table17[[#This Row],[Index]]-B210)/B210</f>
        <v>-7.9022087628046606E-3</v>
      </c>
    </row>
    <row r="223" spans="1:4" x14ac:dyDescent="0.2">
      <c r="A223" s="17">
        <v>32874</v>
      </c>
      <c r="B223" s="59">
        <f>VLOOKUP(Table17[[#This Row],[Date]],database!A:H,7,)</f>
        <v>52.902700000000003</v>
      </c>
      <c r="C223" s="67">
        <f t="shared" si="3"/>
        <v>-1.9469530750348962E-3</v>
      </c>
      <c r="D223" s="67">
        <f>(Table17[[#This Row],[Index]]-B211)/B211</f>
        <v>-1.2618796986867905E-2</v>
      </c>
    </row>
    <row r="224" spans="1:4" x14ac:dyDescent="0.2">
      <c r="A224" s="17">
        <v>32905</v>
      </c>
      <c r="B224" s="59">
        <f>VLOOKUP(Table17[[#This Row],[Date]],database!A:H,7,)</f>
        <v>53.391100000000002</v>
      </c>
      <c r="C224" s="67">
        <f t="shared" si="3"/>
        <v>9.2320429770125223E-3</v>
      </c>
      <c r="D224" s="67">
        <f>(Table17[[#This Row],[Index]]-B212)/B212</f>
        <v>3.4506413569515277E-3</v>
      </c>
    </row>
    <row r="225" spans="1:4" x14ac:dyDescent="0.2">
      <c r="A225" s="17">
        <v>32933</v>
      </c>
      <c r="B225" s="59">
        <f>VLOOKUP(Table17[[#This Row],[Date]],database!A:H,7,)</f>
        <v>53.4818</v>
      </c>
      <c r="C225" s="67">
        <f t="shared" si="3"/>
        <v>1.6987850034930752E-3</v>
      </c>
      <c r="D225" s="67">
        <f>(Table17[[#This Row],[Index]]-B213)/B213</f>
        <v>1.1774858711055276E-3</v>
      </c>
    </row>
    <row r="226" spans="1:4" x14ac:dyDescent="0.2">
      <c r="A226" s="17">
        <v>32964</v>
      </c>
      <c r="B226" s="59">
        <f>VLOOKUP(Table17[[#This Row],[Date]],database!A:H,7,)</f>
        <v>53.5152</v>
      </c>
      <c r="C226" s="67">
        <f t="shared" si="3"/>
        <v>6.2451151606723876E-4</v>
      </c>
      <c r="D226" s="67">
        <f>(Table17[[#This Row],[Index]]-B214)/B214</f>
        <v>3.9395781274622526E-3</v>
      </c>
    </row>
    <row r="227" spans="1:4" x14ac:dyDescent="0.2">
      <c r="A227" s="17">
        <v>32994</v>
      </c>
      <c r="B227" s="59">
        <f>VLOOKUP(Table17[[#This Row],[Date]],database!A:H,7,)</f>
        <v>53.663800000000002</v>
      </c>
      <c r="C227" s="67">
        <f t="shared" si="3"/>
        <v>2.7767811761891803E-3</v>
      </c>
      <c r="D227" s="67">
        <f>(Table17[[#This Row],[Index]]-B215)/B215</f>
        <v>9.568207814099115E-3</v>
      </c>
    </row>
    <row r="228" spans="1:4" x14ac:dyDescent="0.2">
      <c r="A228" s="17">
        <v>33025</v>
      </c>
      <c r="B228" s="59">
        <f>VLOOKUP(Table17[[#This Row],[Date]],database!A:H,7,)</f>
        <v>53.734400000000001</v>
      </c>
      <c r="C228" s="67">
        <f t="shared" si="3"/>
        <v>1.3155982245014464E-3</v>
      </c>
      <c r="D228" s="67">
        <f>(Table17[[#This Row],[Index]]-B216)/B216</f>
        <v>1.5456426634414627E-2</v>
      </c>
    </row>
    <row r="229" spans="1:4" x14ac:dyDescent="0.2">
      <c r="A229" s="17">
        <v>33055</v>
      </c>
      <c r="B229" s="59">
        <f>VLOOKUP(Table17[[#This Row],[Date]],database!A:H,7,)</f>
        <v>53.744599999999998</v>
      </c>
      <c r="C229" s="67">
        <f t="shared" si="3"/>
        <v>1.8982253454025155E-4</v>
      </c>
      <c r="D229" s="67">
        <f>(Table17[[#This Row],[Index]]-B217)/B217</f>
        <v>1.9769385629199231E-2</v>
      </c>
    </row>
    <row r="230" spans="1:4" x14ac:dyDescent="0.2">
      <c r="A230" s="17">
        <v>33086</v>
      </c>
      <c r="B230" s="59">
        <f>VLOOKUP(Table17[[#This Row],[Date]],database!A:H,7,)</f>
        <v>54.065100000000001</v>
      </c>
      <c r="C230" s="67">
        <f t="shared" si="3"/>
        <v>5.9633898103250704E-3</v>
      </c>
      <c r="D230" s="67">
        <f>(Table17[[#This Row],[Index]]-B218)/B218</f>
        <v>1.8963830761662977E-2</v>
      </c>
    </row>
    <row r="231" spans="1:4" x14ac:dyDescent="0.2">
      <c r="A231" s="17">
        <v>33117</v>
      </c>
      <c r="B231" s="59">
        <f>VLOOKUP(Table17[[#This Row],[Date]],database!A:H,7,)</f>
        <v>53.923299999999998</v>
      </c>
      <c r="C231" s="67">
        <f t="shared" si="3"/>
        <v>-2.6227640381688566E-3</v>
      </c>
      <c r="D231" s="67">
        <f>(Table17[[#This Row],[Index]]-B219)/B219</f>
        <v>2.0835739180314526E-2</v>
      </c>
    </row>
    <row r="232" spans="1:4" x14ac:dyDescent="0.2">
      <c r="A232" s="17">
        <v>33147</v>
      </c>
      <c r="B232" s="59">
        <f>VLOOKUP(Table17[[#This Row],[Date]],database!A:H,7,)</f>
        <v>53.698</v>
      </c>
      <c r="C232" s="67">
        <f t="shared" si="3"/>
        <v>-4.1781567522758412E-3</v>
      </c>
      <c r="D232" s="67">
        <f>(Table17[[#This Row],[Index]]-B220)/B220</f>
        <v>1.4682262239942576E-2</v>
      </c>
    </row>
    <row r="233" spans="1:4" x14ac:dyDescent="0.2">
      <c r="A233" s="17">
        <v>33178</v>
      </c>
      <c r="B233" s="59">
        <f>VLOOKUP(Table17[[#This Row],[Date]],database!A:H,7,)</f>
        <v>53.023299999999999</v>
      </c>
      <c r="C233" s="67">
        <f t="shared" si="3"/>
        <v>-1.2564713769600333E-2</v>
      </c>
      <c r="D233" s="67">
        <f>(Table17[[#This Row],[Index]]-B221)/B221</f>
        <v>-9.0444364468181141E-4</v>
      </c>
    </row>
    <row r="234" spans="1:4" x14ac:dyDescent="0.2">
      <c r="A234" s="17">
        <v>33208</v>
      </c>
      <c r="B234" s="59">
        <f>VLOOKUP(Table17[[#This Row],[Date]],database!A:H,7,)</f>
        <v>52.628700000000002</v>
      </c>
      <c r="C234" s="67">
        <f t="shared" si="3"/>
        <v>-7.4420113421834744E-3</v>
      </c>
      <c r="D234" s="67">
        <f>(Table17[[#This Row],[Index]]-B222)/B222</f>
        <v>-7.1161889525504689E-3</v>
      </c>
    </row>
    <row r="235" spans="1:4" x14ac:dyDescent="0.2">
      <c r="A235" s="17">
        <v>33239</v>
      </c>
      <c r="B235" s="59">
        <f>VLOOKUP(Table17[[#This Row],[Date]],database!A:H,7,)</f>
        <v>52.3521</v>
      </c>
      <c r="C235" s="67">
        <f t="shared" si="3"/>
        <v>-5.2556874861054981E-3</v>
      </c>
      <c r="D235" s="67">
        <f>(Table17[[#This Row],[Index]]-B223)/B223</f>
        <v>-1.0407786370071902E-2</v>
      </c>
    </row>
    <row r="236" spans="1:4" x14ac:dyDescent="0.2">
      <c r="A236" s="17">
        <v>33270</v>
      </c>
      <c r="B236" s="59">
        <f>VLOOKUP(Table17[[#This Row],[Date]],database!A:H,7,)</f>
        <v>52.062199999999997</v>
      </c>
      <c r="C236" s="67">
        <f t="shared" si="3"/>
        <v>-5.5375047037272696E-3</v>
      </c>
      <c r="D236" s="67">
        <f>(Table17[[#This Row],[Index]]-B224)/B224</f>
        <v>-2.4889916109613858E-2</v>
      </c>
    </row>
    <row r="237" spans="1:4" x14ac:dyDescent="0.2">
      <c r="A237" s="17">
        <v>33298</v>
      </c>
      <c r="B237" s="59">
        <f>VLOOKUP(Table17[[#This Row],[Date]],database!A:H,7,)</f>
        <v>51.639800000000001</v>
      </c>
      <c r="C237" s="67">
        <f t="shared" si="3"/>
        <v>-8.1133720818558075E-3</v>
      </c>
      <c r="D237" s="67">
        <f>(Table17[[#This Row],[Index]]-B225)/B225</f>
        <v>-3.4441623131607361E-2</v>
      </c>
    </row>
    <row r="238" spans="1:4" x14ac:dyDescent="0.2">
      <c r="A238" s="17">
        <v>33329</v>
      </c>
      <c r="B238" s="59">
        <f>VLOOKUP(Table17[[#This Row],[Date]],database!A:H,7,)</f>
        <v>51.911299999999997</v>
      </c>
      <c r="C238" s="67">
        <f t="shared" si="3"/>
        <v>5.2575726474539675E-3</v>
      </c>
      <c r="D238" s="67">
        <f>(Table17[[#This Row],[Index]]-B226)/B226</f>
        <v>-2.9970924148653148E-2</v>
      </c>
    </row>
    <row r="239" spans="1:4" x14ac:dyDescent="0.2">
      <c r="A239" s="17">
        <v>33359</v>
      </c>
      <c r="B239" s="59">
        <f>VLOOKUP(Table17[[#This Row],[Date]],database!A:H,7,)</f>
        <v>52.401400000000002</v>
      </c>
      <c r="C239" s="67">
        <f t="shared" si="3"/>
        <v>9.4411043452968801E-3</v>
      </c>
      <c r="D239" s="67">
        <f>(Table17[[#This Row],[Index]]-B227)/B227</f>
        <v>-2.3524237940660175E-2</v>
      </c>
    </row>
    <row r="240" spans="1:4" x14ac:dyDescent="0.2">
      <c r="A240" s="17">
        <v>33390</v>
      </c>
      <c r="B240" s="59">
        <f>VLOOKUP(Table17[[#This Row],[Date]],database!A:H,7,)</f>
        <v>52.688499999999998</v>
      </c>
      <c r="C240" s="67">
        <f t="shared" si="3"/>
        <v>5.478861251798417E-3</v>
      </c>
      <c r="D240" s="67">
        <f>(Table17[[#This Row],[Index]]-B228)/B228</f>
        <v>-1.9464253811338792E-2</v>
      </c>
    </row>
    <row r="241" spans="1:4" x14ac:dyDescent="0.2">
      <c r="A241" s="17">
        <v>33420</v>
      </c>
      <c r="B241" s="59">
        <f>VLOOKUP(Table17[[#This Row],[Date]],database!A:H,7,)</f>
        <v>53.122199999999999</v>
      </c>
      <c r="C241" s="67">
        <f t="shared" si="3"/>
        <v>8.2313977433405849E-3</v>
      </c>
      <c r="D241" s="67">
        <f>(Table17[[#This Row],[Index]]-B229)/B229</f>
        <v>-1.1580698339926225E-2</v>
      </c>
    </row>
    <row r="242" spans="1:4" x14ac:dyDescent="0.2">
      <c r="A242" s="17">
        <v>33451</v>
      </c>
      <c r="B242" s="59">
        <f>VLOOKUP(Table17[[#This Row],[Date]],database!A:H,7,)</f>
        <v>53.088999999999999</v>
      </c>
      <c r="C242" s="67">
        <f t="shared" si="3"/>
        <v>-6.2497411628281707E-4</v>
      </c>
      <c r="D242" s="67">
        <f>(Table17[[#This Row],[Index]]-B230)/B230</f>
        <v>-1.805416063227484E-2</v>
      </c>
    </row>
    <row r="243" spans="1:4" x14ac:dyDescent="0.2">
      <c r="A243" s="17">
        <v>33482</v>
      </c>
      <c r="B243" s="59">
        <f>VLOOKUP(Table17[[#This Row],[Date]],database!A:H,7,)</f>
        <v>53.363799999999998</v>
      </c>
      <c r="C243" s="67">
        <f t="shared" si="3"/>
        <v>5.1762135282260591E-3</v>
      </c>
      <c r="D243" s="67">
        <f>(Table17[[#This Row],[Index]]-B231)/B231</f>
        <v>-1.0375848659113961E-2</v>
      </c>
    </row>
    <row r="244" spans="1:4" x14ac:dyDescent="0.2">
      <c r="A244" s="17">
        <v>33512</v>
      </c>
      <c r="B244" s="59">
        <f>VLOOKUP(Table17[[#This Row],[Date]],database!A:H,7,)</f>
        <v>53.477800000000002</v>
      </c>
      <c r="C244" s="67">
        <f t="shared" si="3"/>
        <v>2.1362796502499837E-3</v>
      </c>
      <c r="D244" s="67">
        <f>(Table17[[#This Row],[Index]]-B232)/B232</f>
        <v>-4.1007113858988866E-3</v>
      </c>
    </row>
    <row r="245" spans="1:4" x14ac:dyDescent="0.2">
      <c r="A245" s="17">
        <v>33543</v>
      </c>
      <c r="B245" s="59">
        <f>VLOOKUP(Table17[[#This Row],[Date]],database!A:H,7,)</f>
        <v>53.242600000000003</v>
      </c>
      <c r="C245" s="67">
        <f t="shared" si="3"/>
        <v>-4.3980866826982545E-3</v>
      </c>
      <c r="D245" s="67">
        <f>(Table17[[#This Row],[Index]]-B233)/B233</f>
        <v>4.1359176060336506E-3</v>
      </c>
    </row>
    <row r="246" spans="1:4" x14ac:dyDescent="0.2">
      <c r="A246" s="17">
        <v>33573</v>
      </c>
      <c r="B246" s="59">
        <f>VLOOKUP(Table17[[#This Row],[Date]],database!A:H,7,)</f>
        <v>53.218699999999998</v>
      </c>
      <c r="C246" s="67">
        <f t="shared" si="3"/>
        <v>-4.4888867185310932E-4</v>
      </c>
      <c r="D246" s="67">
        <f>(Table17[[#This Row],[Index]]-B234)/B234</f>
        <v>1.1210613220543094E-2</v>
      </c>
    </row>
    <row r="247" spans="1:4" x14ac:dyDescent="0.2">
      <c r="A247" s="17">
        <v>33604</v>
      </c>
      <c r="B247" s="59">
        <f>VLOOKUP(Table17[[#This Row],[Date]],database!A:H,7,)</f>
        <v>53.184699999999999</v>
      </c>
      <c r="C247" s="67">
        <f t="shared" si="3"/>
        <v>-6.3887317803701382E-4</v>
      </c>
      <c r="D247" s="67">
        <f>(Table17[[#This Row],[Index]]-B235)/B235</f>
        <v>1.5903851039404327E-2</v>
      </c>
    </row>
    <row r="248" spans="1:4" x14ac:dyDescent="0.2">
      <c r="A248" s="17">
        <v>33635</v>
      </c>
      <c r="B248" s="59">
        <f>VLOOKUP(Table17[[#This Row],[Date]],database!A:H,7,)</f>
        <v>53.412399999999998</v>
      </c>
      <c r="C248" s="67">
        <f t="shared" si="3"/>
        <v>4.2813064659572575E-3</v>
      </c>
      <c r="D248" s="67">
        <f>(Table17[[#This Row],[Index]]-B236)/B236</f>
        <v>2.5934363127182506E-2</v>
      </c>
    </row>
    <row r="249" spans="1:4" x14ac:dyDescent="0.2">
      <c r="A249" s="17">
        <v>33664</v>
      </c>
      <c r="B249" s="59">
        <f>VLOOKUP(Table17[[#This Row],[Date]],database!A:H,7,)</f>
        <v>53.840800000000002</v>
      </c>
      <c r="C249" s="67">
        <f t="shared" si="3"/>
        <v>8.0206094464956301E-3</v>
      </c>
      <c r="D249" s="67">
        <f>(Table17[[#This Row],[Index]]-B237)/B237</f>
        <v>4.2622163525033029E-2</v>
      </c>
    </row>
    <row r="250" spans="1:4" x14ac:dyDescent="0.2">
      <c r="A250" s="17">
        <v>33695</v>
      </c>
      <c r="B250" s="59">
        <f>VLOOKUP(Table17[[#This Row],[Date]],database!A:H,7,)</f>
        <v>54.262099999999997</v>
      </c>
      <c r="C250" s="67">
        <f t="shared" si="3"/>
        <v>7.8249208778471413E-3</v>
      </c>
      <c r="D250" s="67">
        <f>(Table17[[#This Row],[Index]]-B238)/B238</f>
        <v>4.5284937961484292E-2</v>
      </c>
    </row>
    <row r="251" spans="1:4" x14ac:dyDescent="0.2">
      <c r="A251" s="17">
        <v>33725</v>
      </c>
      <c r="B251" s="59">
        <f>VLOOKUP(Table17[[#This Row],[Date]],database!A:H,7,)</f>
        <v>54.281199999999998</v>
      </c>
      <c r="C251" s="67">
        <f t="shared" si="3"/>
        <v>3.5199522318518639E-4</v>
      </c>
      <c r="D251" s="67">
        <f>(Table17[[#This Row],[Index]]-B239)/B239</f>
        <v>3.5873087360261291E-2</v>
      </c>
    </row>
    <row r="252" spans="1:4" x14ac:dyDescent="0.2">
      <c r="A252" s="17">
        <v>33756</v>
      </c>
      <c r="B252" s="59">
        <f>VLOOKUP(Table17[[#This Row],[Date]],database!A:H,7,)</f>
        <v>54.514899999999997</v>
      </c>
      <c r="C252" s="67">
        <f t="shared" si="3"/>
        <v>4.3053580245093759E-3</v>
      </c>
      <c r="D252" s="67">
        <f>(Table17[[#This Row],[Index]]-B240)/B240</f>
        <v>3.46641107642085E-2</v>
      </c>
    </row>
    <row r="253" spans="1:4" x14ac:dyDescent="0.2">
      <c r="A253" s="17">
        <v>33786</v>
      </c>
      <c r="B253" s="59">
        <f>VLOOKUP(Table17[[#This Row],[Date]],database!A:H,7,)</f>
        <v>54.928699999999999</v>
      </c>
      <c r="C253" s="67">
        <f t="shared" si="3"/>
        <v>7.5905853262137057E-3</v>
      </c>
      <c r="D253" s="67">
        <f>(Table17[[#This Row],[Index]]-B241)/B241</f>
        <v>3.4006498224847609E-2</v>
      </c>
    </row>
    <row r="254" spans="1:4" x14ac:dyDescent="0.2">
      <c r="A254" s="17">
        <v>33817</v>
      </c>
      <c r="B254" s="59">
        <f>VLOOKUP(Table17[[#This Row],[Date]],database!A:H,7,)</f>
        <v>54.316800000000001</v>
      </c>
      <c r="C254" s="67">
        <f t="shared" si="3"/>
        <v>-1.1139895901413954E-2</v>
      </c>
      <c r="D254" s="67">
        <f>(Table17[[#This Row],[Index]]-B242)/B242</f>
        <v>2.3127201491834504E-2</v>
      </c>
    </row>
    <row r="255" spans="1:4" x14ac:dyDescent="0.2">
      <c r="A255" s="17">
        <v>33848</v>
      </c>
      <c r="B255" s="59">
        <f>VLOOKUP(Table17[[#This Row],[Date]],database!A:H,7,)</f>
        <v>54.745199999999997</v>
      </c>
      <c r="C255" s="67">
        <f t="shared" si="3"/>
        <v>7.8870625662776916E-3</v>
      </c>
      <c r="D255" s="67">
        <f>(Table17[[#This Row],[Index]]-B243)/B243</f>
        <v>2.5886462358377764E-2</v>
      </c>
    </row>
    <row r="256" spans="1:4" x14ac:dyDescent="0.2">
      <c r="A256" s="17">
        <v>33878</v>
      </c>
      <c r="B256" s="59">
        <f>VLOOKUP(Table17[[#This Row],[Date]],database!A:H,7,)</f>
        <v>55.050800000000002</v>
      </c>
      <c r="C256" s="67">
        <f t="shared" si="3"/>
        <v>5.582224560326754E-3</v>
      </c>
      <c r="D256" s="67">
        <f>(Table17[[#This Row],[Index]]-B244)/B244</f>
        <v>2.9414074625358565E-2</v>
      </c>
    </row>
    <row r="257" spans="1:4" x14ac:dyDescent="0.2">
      <c r="A257" s="17">
        <v>33909</v>
      </c>
      <c r="B257" s="59">
        <f>VLOOKUP(Table17[[#This Row],[Date]],database!A:H,7,)</f>
        <v>55.355400000000003</v>
      </c>
      <c r="C257" s="67">
        <f t="shared" si="3"/>
        <v>5.5330712723520303E-3</v>
      </c>
      <c r="D257" s="67">
        <f>(Table17[[#This Row],[Index]]-B245)/B245</f>
        <v>3.9682509869916192E-2</v>
      </c>
    </row>
    <row r="258" spans="1:4" x14ac:dyDescent="0.2">
      <c r="A258" s="17">
        <v>33939</v>
      </c>
      <c r="B258" s="59">
        <f>VLOOKUP(Table17[[#This Row],[Date]],database!A:H,7,)</f>
        <v>55.316800000000001</v>
      </c>
      <c r="C258" s="67">
        <f t="shared" si="3"/>
        <v>-6.973122766704698E-4</v>
      </c>
      <c r="D258" s="67">
        <f>(Table17[[#This Row],[Index]]-B246)/B246</f>
        <v>3.9424112201162417E-2</v>
      </c>
    </row>
    <row r="259" spans="1:4" x14ac:dyDescent="0.2">
      <c r="A259" s="17">
        <v>33970</v>
      </c>
      <c r="B259" s="59">
        <f>VLOOKUP(Table17[[#This Row],[Date]],database!A:H,7,)</f>
        <v>55.540900000000001</v>
      </c>
      <c r="C259" s="67">
        <f t="shared" si="3"/>
        <v>4.051210482168166E-3</v>
      </c>
      <c r="D259" s="67">
        <f>(Table17[[#This Row],[Index]]-B247)/B247</f>
        <v>4.4302214734688761E-2</v>
      </c>
    </row>
    <row r="260" spans="1:4" x14ac:dyDescent="0.2">
      <c r="A260" s="17">
        <v>34001</v>
      </c>
      <c r="B260" s="59">
        <f>VLOOKUP(Table17[[#This Row],[Date]],database!A:H,7,)</f>
        <v>55.944499999999998</v>
      </c>
      <c r="C260" s="67">
        <f t="shared" si="3"/>
        <v>7.2667169599340831E-3</v>
      </c>
      <c r="D260" s="67">
        <f>(Table17[[#This Row],[Index]]-B248)/B248</f>
        <v>4.7406594723322669E-2</v>
      </c>
    </row>
    <row r="261" spans="1:4" x14ac:dyDescent="0.2">
      <c r="A261" s="17">
        <v>34029</v>
      </c>
      <c r="B261" s="59">
        <f>VLOOKUP(Table17[[#This Row],[Date]],database!A:H,7,)</f>
        <v>55.770400000000002</v>
      </c>
      <c r="C261" s="67">
        <f t="shared" si="3"/>
        <v>-3.1120127983983448E-3</v>
      </c>
      <c r="D261" s="67">
        <f>(Table17[[#This Row],[Index]]-B249)/B249</f>
        <v>3.583899199120371E-2</v>
      </c>
    </row>
    <row r="262" spans="1:4" x14ac:dyDescent="0.2">
      <c r="A262" s="17">
        <v>34060</v>
      </c>
      <c r="B262" s="59">
        <f>VLOOKUP(Table17[[#This Row],[Date]],database!A:H,7,)</f>
        <v>55.999099999999999</v>
      </c>
      <c r="C262" s="67">
        <f t="shared" si="3"/>
        <v>4.1007416120377727E-3</v>
      </c>
      <c r="D262" s="67">
        <f>(Table17[[#This Row],[Index]]-B250)/B250</f>
        <v>3.201129333365281E-2</v>
      </c>
    </row>
    <row r="263" spans="1:4" x14ac:dyDescent="0.2">
      <c r="A263" s="17">
        <v>34090</v>
      </c>
      <c r="B263" s="59">
        <f>VLOOKUP(Table17[[#This Row],[Date]],database!A:H,7,)</f>
        <v>55.778599999999997</v>
      </c>
      <c r="C263" s="67">
        <f t="shared" si="3"/>
        <v>-3.9375632822670203E-3</v>
      </c>
      <c r="D263" s="67">
        <f>(Table17[[#This Row],[Index]]-B251)/B251</f>
        <v>2.7585978202397866E-2</v>
      </c>
    </row>
    <row r="264" spans="1:4" x14ac:dyDescent="0.2">
      <c r="A264" s="17">
        <v>34121</v>
      </c>
      <c r="B264" s="59">
        <f>VLOOKUP(Table17[[#This Row],[Date]],database!A:H,7,)</f>
        <v>56.095100000000002</v>
      </c>
      <c r="C264" s="67">
        <f t="shared" ref="C264:C327" si="4">B264/B263-1</f>
        <v>5.6742191449767887E-3</v>
      </c>
      <c r="D264" s="67">
        <f>(Table17[[#This Row],[Index]]-B252)/B252</f>
        <v>2.8986570643989167E-2</v>
      </c>
    </row>
    <row r="265" spans="1:4" x14ac:dyDescent="0.2">
      <c r="A265" s="17">
        <v>34151</v>
      </c>
      <c r="B265" s="59">
        <f>VLOOKUP(Table17[[#This Row],[Date]],database!A:H,7,)</f>
        <v>56.044699999999999</v>
      </c>
      <c r="C265" s="67">
        <f t="shared" si="4"/>
        <v>-8.9847419828115171E-4</v>
      </c>
      <c r="D265" s="67">
        <f>(Table17[[#This Row],[Index]]-B253)/B253</f>
        <v>2.0317247631930116E-2</v>
      </c>
    </row>
    <row r="266" spans="1:4" x14ac:dyDescent="0.2">
      <c r="A266" s="17">
        <v>34182</v>
      </c>
      <c r="B266" s="59">
        <f>VLOOKUP(Table17[[#This Row],[Date]],database!A:H,7,)</f>
        <v>56.117600000000003</v>
      </c>
      <c r="C266" s="67">
        <f t="shared" si="4"/>
        <v>1.3007474390978047E-3</v>
      </c>
      <c r="D266" s="67">
        <f>(Table17[[#This Row],[Index]]-B254)/B254</f>
        <v>3.3153646753858887E-2</v>
      </c>
    </row>
    <row r="267" spans="1:4" x14ac:dyDescent="0.2">
      <c r="A267" s="17">
        <v>34213</v>
      </c>
      <c r="B267" s="59">
        <f>VLOOKUP(Table17[[#This Row],[Date]],database!A:H,7,)</f>
        <v>56.314</v>
      </c>
      <c r="C267" s="67">
        <f t="shared" si="4"/>
        <v>3.4997932912312901E-3</v>
      </c>
      <c r="D267" s="67">
        <f>(Table17[[#This Row],[Index]]-B255)/B255</f>
        <v>2.8656393619897327E-2</v>
      </c>
    </row>
    <row r="268" spans="1:4" x14ac:dyDescent="0.2">
      <c r="A268" s="17">
        <v>34243</v>
      </c>
      <c r="B268" s="59">
        <f>VLOOKUP(Table17[[#This Row],[Date]],database!A:H,7,)</f>
        <v>56.757100000000001</v>
      </c>
      <c r="C268" s="67">
        <f t="shared" si="4"/>
        <v>7.8683808644386399E-3</v>
      </c>
      <c r="D268" s="67">
        <f>(Table17[[#This Row],[Index]]-B256)/B256</f>
        <v>3.099500824692827E-2</v>
      </c>
    </row>
    <row r="269" spans="1:4" x14ac:dyDescent="0.2">
      <c r="A269" s="17">
        <v>34274</v>
      </c>
      <c r="B269" s="59">
        <f>VLOOKUP(Table17[[#This Row],[Date]],database!A:H,7,)</f>
        <v>57.186100000000003</v>
      </c>
      <c r="C269" s="67">
        <f t="shared" si="4"/>
        <v>7.5585257174872744E-3</v>
      </c>
      <c r="D269" s="67">
        <f>(Table17[[#This Row],[Index]]-B257)/B257</f>
        <v>3.3071750904157503E-2</v>
      </c>
    </row>
    <row r="270" spans="1:4" x14ac:dyDescent="0.2">
      <c r="A270" s="17">
        <v>34304</v>
      </c>
      <c r="B270" s="59">
        <f>VLOOKUP(Table17[[#This Row],[Date]],database!A:H,7,)</f>
        <v>57.595100000000002</v>
      </c>
      <c r="C270" s="67">
        <f t="shared" si="4"/>
        <v>7.1520876576649517E-3</v>
      </c>
      <c r="D270" s="67">
        <f>(Table17[[#This Row],[Index]]-B258)/B258</f>
        <v>4.118640268417554E-2</v>
      </c>
    </row>
    <row r="271" spans="1:4" x14ac:dyDescent="0.2">
      <c r="A271" s="17">
        <v>34335</v>
      </c>
      <c r="B271" s="59">
        <f>VLOOKUP(Table17[[#This Row],[Date]],database!A:H,7,)</f>
        <v>57.681699999999999</v>
      </c>
      <c r="C271" s="67">
        <f t="shared" si="4"/>
        <v>1.5036001326500514E-3</v>
      </c>
      <c r="D271" s="67">
        <f>(Table17[[#This Row],[Index]]-B259)/B259</f>
        <v>3.8544568057053426E-2</v>
      </c>
    </row>
    <row r="272" spans="1:4" x14ac:dyDescent="0.2">
      <c r="A272" s="17">
        <v>34366</v>
      </c>
      <c r="B272" s="59">
        <f>VLOOKUP(Table17[[#This Row],[Date]],database!A:H,7,)</f>
        <v>57.902000000000001</v>
      </c>
      <c r="C272" s="67">
        <f t="shared" si="4"/>
        <v>3.8192355634456554E-3</v>
      </c>
      <c r="D272" s="67">
        <f>(Table17[[#This Row],[Index]]-B260)/B260</f>
        <v>3.49900347665991E-2</v>
      </c>
    </row>
    <row r="273" spans="1:4" x14ac:dyDescent="0.2">
      <c r="A273" s="17">
        <v>34394</v>
      </c>
      <c r="B273" s="59">
        <f>VLOOKUP(Table17[[#This Row],[Date]],database!A:H,7,)</f>
        <v>58.499899999999997</v>
      </c>
      <c r="C273" s="67">
        <f t="shared" si="4"/>
        <v>1.0326068184173254E-2</v>
      </c>
      <c r="D273" s="67">
        <f>(Table17[[#This Row],[Index]]-B261)/B261</f>
        <v>4.8941732531952331E-2</v>
      </c>
    </row>
    <row r="274" spans="1:4" x14ac:dyDescent="0.2">
      <c r="A274" s="17">
        <v>34425</v>
      </c>
      <c r="B274" s="59">
        <f>VLOOKUP(Table17[[#This Row],[Date]],database!A:H,7,)</f>
        <v>58.946100000000001</v>
      </c>
      <c r="C274" s="67">
        <f t="shared" si="4"/>
        <v>7.6273634655785738E-3</v>
      </c>
      <c r="D274" s="67">
        <f>(Table17[[#This Row],[Index]]-B262)/B262</f>
        <v>5.2625845772521392E-2</v>
      </c>
    </row>
    <row r="275" spans="1:4" x14ac:dyDescent="0.2">
      <c r="A275" s="17">
        <v>34455</v>
      </c>
      <c r="B275" s="59">
        <f>VLOOKUP(Table17[[#This Row],[Date]],database!A:H,7,)</f>
        <v>59.319499999999998</v>
      </c>
      <c r="C275" s="67">
        <f t="shared" si="4"/>
        <v>6.3346005927449323E-3</v>
      </c>
      <c r="D275" s="67">
        <f>(Table17[[#This Row],[Index]]-B263)/B263</f>
        <v>6.3481335135697217E-2</v>
      </c>
    </row>
    <row r="276" spans="1:4" x14ac:dyDescent="0.2">
      <c r="A276" s="17">
        <v>34486</v>
      </c>
      <c r="B276" s="59">
        <f>VLOOKUP(Table17[[#This Row],[Date]],database!A:H,7,)</f>
        <v>59.761299999999999</v>
      </c>
      <c r="C276" s="67">
        <f t="shared" si="4"/>
        <v>7.4478038419070192E-3</v>
      </c>
      <c r="D276" s="67">
        <f>(Table17[[#This Row],[Index]]-B264)/B264</f>
        <v>6.5356867177346969E-2</v>
      </c>
    </row>
    <row r="277" spans="1:4" x14ac:dyDescent="0.2">
      <c r="A277" s="17">
        <v>34516</v>
      </c>
      <c r="B277" s="59">
        <f>VLOOKUP(Table17[[#This Row],[Date]],database!A:H,7,)</f>
        <v>59.958300000000001</v>
      </c>
      <c r="C277" s="67">
        <f t="shared" si="4"/>
        <v>3.2964477011043769E-3</v>
      </c>
      <c r="D277" s="67">
        <f>(Table17[[#This Row],[Index]]-B265)/B265</f>
        <v>6.9829975002096589E-2</v>
      </c>
    </row>
    <row r="278" spans="1:4" x14ac:dyDescent="0.2">
      <c r="A278" s="17">
        <v>34547</v>
      </c>
      <c r="B278" s="59">
        <f>VLOOKUP(Table17[[#This Row],[Date]],database!A:H,7,)</f>
        <v>60.368099999999998</v>
      </c>
      <c r="C278" s="67">
        <f t="shared" si="4"/>
        <v>6.8347501513550402E-3</v>
      </c>
      <c r="D278" s="67">
        <f>(Table17[[#This Row],[Index]]-B266)/B266</f>
        <v>7.5742725989707244E-2</v>
      </c>
    </row>
    <row r="279" spans="1:4" x14ac:dyDescent="0.2">
      <c r="A279" s="17">
        <v>34578</v>
      </c>
      <c r="B279" s="59">
        <f>VLOOKUP(Table17[[#This Row],[Date]],database!A:H,7,)</f>
        <v>60.692500000000003</v>
      </c>
      <c r="C279" s="67">
        <f t="shared" si="4"/>
        <v>5.3736990231596504E-3</v>
      </c>
      <c r="D279" s="67">
        <f>(Table17[[#This Row],[Index]]-B267)/B267</f>
        <v>7.7751536030116891E-2</v>
      </c>
    </row>
    <row r="280" spans="1:4" x14ac:dyDescent="0.2">
      <c r="A280" s="17">
        <v>34608</v>
      </c>
      <c r="B280" s="59">
        <f>VLOOKUP(Table17[[#This Row],[Date]],database!A:H,7,)</f>
        <v>61.0503</v>
      </c>
      <c r="C280" s="67">
        <f t="shared" si="4"/>
        <v>5.8952918400130283E-3</v>
      </c>
      <c r="D280" s="67">
        <f>(Table17[[#This Row],[Index]]-B268)/B268</f>
        <v>7.5641637786285743E-2</v>
      </c>
    </row>
    <row r="281" spans="1:4" x14ac:dyDescent="0.2">
      <c r="A281" s="17">
        <v>34639</v>
      </c>
      <c r="B281" s="59">
        <f>VLOOKUP(Table17[[#This Row],[Date]],database!A:H,7,)</f>
        <v>61.632199999999997</v>
      </c>
      <c r="C281" s="67">
        <f t="shared" si="4"/>
        <v>9.5314846937688547E-3</v>
      </c>
      <c r="D281" s="67">
        <f>(Table17[[#This Row],[Index]]-B269)/B269</f>
        <v>7.7747914265879195E-2</v>
      </c>
    </row>
    <row r="282" spans="1:4" x14ac:dyDescent="0.2">
      <c r="A282" s="17">
        <v>34669</v>
      </c>
      <c r="B282" s="59">
        <f>VLOOKUP(Table17[[#This Row],[Date]],database!A:H,7,)</f>
        <v>62.3932</v>
      </c>
      <c r="C282" s="67">
        <f t="shared" si="4"/>
        <v>1.2347441759340105E-2</v>
      </c>
      <c r="D282" s="67">
        <f>(Table17[[#This Row],[Index]]-B270)/B270</f>
        <v>8.3307434139362507E-2</v>
      </c>
    </row>
    <row r="283" spans="1:4" x14ac:dyDescent="0.2">
      <c r="A283" s="17">
        <v>34700</v>
      </c>
      <c r="B283" s="59">
        <f>VLOOKUP(Table17[[#This Row],[Date]],database!A:H,7,)</f>
        <v>62.577599999999997</v>
      </c>
      <c r="C283" s="67">
        <f t="shared" si="4"/>
        <v>2.9554502734272514E-3</v>
      </c>
      <c r="D283" s="67">
        <f>(Table17[[#This Row],[Index]]-B271)/B271</f>
        <v>8.4877872878226499E-2</v>
      </c>
    </row>
    <row r="284" spans="1:4" x14ac:dyDescent="0.2">
      <c r="A284" s="17">
        <v>34731</v>
      </c>
      <c r="B284" s="59">
        <f>VLOOKUP(Table17[[#This Row],[Date]],database!A:H,7,)</f>
        <v>62.4435</v>
      </c>
      <c r="C284" s="67">
        <f t="shared" si="4"/>
        <v>-2.1429393265320895E-3</v>
      </c>
      <c r="D284" s="67">
        <f>(Table17[[#This Row],[Index]]-B272)/B272</f>
        <v>7.8434250975786657E-2</v>
      </c>
    </row>
    <row r="285" spans="1:4" x14ac:dyDescent="0.2">
      <c r="A285" s="17">
        <v>34759</v>
      </c>
      <c r="B285" s="59">
        <f>VLOOKUP(Table17[[#This Row],[Date]],database!A:H,7,)</f>
        <v>62.505200000000002</v>
      </c>
      <c r="C285" s="67">
        <f t="shared" si="4"/>
        <v>9.8809323628556989E-4</v>
      </c>
      <c r="D285" s="67">
        <f>(Table17[[#This Row],[Index]]-B273)/B273</f>
        <v>6.8466783703903869E-2</v>
      </c>
    </row>
    <row r="286" spans="1:4" x14ac:dyDescent="0.2">
      <c r="A286" s="17">
        <v>34790</v>
      </c>
      <c r="B286" s="59">
        <f>VLOOKUP(Table17[[#This Row],[Date]],database!A:H,7,)</f>
        <v>62.590499999999999</v>
      </c>
      <c r="C286" s="67">
        <f t="shared" si="4"/>
        <v>1.3646864580867391E-3</v>
      </c>
      <c r="D286" s="67">
        <f>(Table17[[#This Row],[Index]]-B274)/B274</f>
        <v>6.1825973219602266E-2</v>
      </c>
    </row>
    <row r="287" spans="1:4" x14ac:dyDescent="0.2">
      <c r="A287" s="17">
        <v>34820</v>
      </c>
      <c r="B287" s="59">
        <f>VLOOKUP(Table17[[#This Row],[Date]],database!A:H,7,)</f>
        <v>62.819299999999998</v>
      </c>
      <c r="C287" s="67">
        <f t="shared" si="4"/>
        <v>3.6555068261157064E-3</v>
      </c>
      <c r="D287" s="67">
        <f>(Table17[[#This Row],[Index]]-B275)/B275</f>
        <v>5.8999148677922109E-2</v>
      </c>
    </row>
    <row r="288" spans="1:4" x14ac:dyDescent="0.2">
      <c r="A288" s="17">
        <v>34851</v>
      </c>
      <c r="B288" s="59">
        <f>VLOOKUP(Table17[[#This Row],[Date]],database!A:H,7,)</f>
        <v>62.842100000000002</v>
      </c>
      <c r="C288" s="67">
        <f t="shared" si="4"/>
        <v>3.6294578258599941E-4</v>
      </c>
      <c r="D288" s="67">
        <f>(Table17[[#This Row],[Index]]-B276)/B276</f>
        <v>5.1551756738892958E-2</v>
      </c>
    </row>
    <row r="289" spans="1:4" x14ac:dyDescent="0.2">
      <c r="A289" s="17">
        <v>34881</v>
      </c>
      <c r="B289" s="59">
        <f>VLOOKUP(Table17[[#This Row],[Date]],database!A:H,7,)</f>
        <v>62.5702</v>
      </c>
      <c r="C289" s="67">
        <f t="shared" si="4"/>
        <v>-4.3267172802946563E-3</v>
      </c>
      <c r="D289" s="67">
        <f>(Table17[[#This Row],[Index]]-B277)/B277</f>
        <v>4.3561942216507117E-2</v>
      </c>
    </row>
    <row r="290" spans="1:4" x14ac:dyDescent="0.2">
      <c r="A290" s="17">
        <v>34912</v>
      </c>
      <c r="B290" s="59">
        <f>VLOOKUP(Table17[[#This Row],[Date]],database!A:H,7,)</f>
        <v>63.314700000000002</v>
      </c>
      <c r="C290" s="67">
        <f t="shared" si="4"/>
        <v>1.1898635452659567E-2</v>
      </c>
      <c r="D290" s="67">
        <f>(Table17[[#This Row],[Index]]-B278)/B278</f>
        <v>4.8810547292361423E-2</v>
      </c>
    </row>
    <row r="291" spans="1:4" x14ac:dyDescent="0.2">
      <c r="A291" s="17">
        <v>34943</v>
      </c>
      <c r="B291" s="59">
        <f>VLOOKUP(Table17[[#This Row],[Date]],database!A:H,7,)</f>
        <v>63.576900000000002</v>
      </c>
      <c r="C291" s="67">
        <f t="shared" si="4"/>
        <v>4.1412183900422228E-3</v>
      </c>
      <c r="D291" s="67">
        <f>(Table17[[#This Row],[Index]]-B279)/B279</f>
        <v>4.7524817728714412E-2</v>
      </c>
    </row>
    <row r="292" spans="1:4" x14ac:dyDescent="0.2">
      <c r="A292" s="17">
        <v>34973</v>
      </c>
      <c r="B292" s="59">
        <f>VLOOKUP(Table17[[#This Row],[Date]],database!A:H,7,)</f>
        <v>63.718200000000003</v>
      </c>
      <c r="C292" s="67">
        <f t="shared" si="4"/>
        <v>2.2225053439222098E-3</v>
      </c>
      <c r="D292" s="67">
        <f>(Table17[[#This Row],[Index]]-B280)/B280</f>
        <v>4.3700030958078881E-2</v>
      </c>
    </row>
    <row r="293" spans="1:4" x14ac:dyDescent="0.2">
      <c r="A293" s="17">
        <v>35004</v>
      </c>
      <c r="B293" s="59">
        <f>VLOOKUP(Table17[[#This Row],[Date]],database!A:H,7,)</f>
        <v>63.871000000000002</v>
      </c>
      <c r="C293" s="67">
        <f t="shared" si="4"/>
        <v>2.3980589533287855E-3</v>
      </c>
      <c r="D293" s="67">
        <f>(Table17[[#This Row],[Index]]-B281)/B281</f>
        <v>3.6325167688318845E-2</v>
      </c>
    </row>
    <row r="294" spans="1:4" x14ac:dyDescent="0.2">
      <c r="A294" s="17">
        <v>35034</v>
      </c>
      <c r="B294" s="59">
        <f>VLOOKUP(Table17[[#This Row],[Date]],database!A:H,7,)</f>
        <v>64.114500000000007</v>
      </c>
      <c r="C294" s="67">
        <f t="shared" si="4"/>
        <v>3.8123718119333905E-3</v>
      </c>
      <c r="D294" s="67">
        <f>(Table17[[#This Row],[Index]]-B282)/B282</f>
        <v>2.7587942275760925E-2</v>
      </c>
    </row>
    <row r="295" spans="1:4" x14ac:dyDescent="0.2">
      <c r="A295" s="17">
        <v>35065</v>
      </c>
      <c r="B295" s="59">
        <f>VLOOKUP(Table17[[#This Row],[Date]],database!A:H,7,)</f>
        <v>64.107399999999998</v>
      </c>
      <c r="C295" s="67">
        <f t="shared" si="4"/>
        <v>-1.1073938032746256E-4</v>
      </c>
      <c r="D295" s="67">
        <f>(Table17[[#This Row],[Index]]-B283)/B283</f>
        <v>2.4446447291043467E-2</v>
      </c>
    </row>
    <row r="296" spans="1:4" x14ac:dyDescent="0.2">
      <c r="A296" s="17">
        <v>35096</v>
      </c>
      <c r="B296" s="59">
        <f>VLOOKUP(Table17[[#This Row],[Date]],database!A:H,7,)</f>
        <v>64.886600000000001</v>
      </c>
      <c r="C296" s="67">
        <f t="shared" si="4"/>
        <v>1.2154603056745428E-2</v>
      </c>
      <c r="D296" s="67">
        <f>(Table17[[#This Row],[Index]]-B284)/B284</f>
        <v>3.9124968971950662E-2</v>
      </c>
    </row>
    <row r="297" spans="1:4" x14ac:dyDescent="0.2">
      <c r="A297" s="17">
        <v>35125</v>
      </c>
      <c r="B297" s="59">
        <f>VLOOKUP(Table17[[#This Row],[Date]],database!A:H,7,)</f>
        <v>64.831199999999995</v>
      </c>
      <c r="C297" s="67">
        <f t="shared" si="4"/>
        <v>-8.5379724010825608E-4</v>
      </c>
      <c r="D297" s="67">
        <f>(Table17[[#This Row],[Index]]-B285)/B285</f>
        <v>3.7212903886396545E-2</v>
      </c>
    </row>
    <row r="298" spans="1:4" x14ac:dyDescent="0.2">
      <c r="A298" s="17">
        <v>35156</v>
      </c>
      <c r="B298" s="59">
        <f>VLOOKUP(Table17[[#This Row],[Date]],database!A:H,7,)</f>
        <v>65.463300000000004</v>
      </c>
      <c r="C298" s="67">
        <f t="shared" si="4"/>
        <v>9.7499352163774589E-3</v>
      </c>
      <c r="D298" s="67">
        <f>(Table17[[#This Row],[Index]]-B286)/B286</f>
        <v>4.5898339204831488E-2</v>
      </c>
    </row>
    <row r="299" spans="1:4" x14ac:dyDescent="0.2">
      <c r="A299" s="17">
        <v>35186</v>
      </c>
      <c r="B299" s="59">
        <f>VLOOKUP(Table17[[#This Row],[Date]],database!A:H,7,)</f>
        <v>66.031599999999997</v>
      </c>
      <c r="C299" s="67">
        <f t="shared" si="4"/>
        <v>8.6812000006109002E-3</v>
      </c>
      <c r="D299" s="67">
        <f>(Table17[[#This Row],[Index]]-B287)/B287</f>
        <v>5.1135558657928362E-2</v>
      </c>
    </row>
    <row r="300" spans="1:4" x14ac:dyDescent="0.2">
      <c r="A300" s="17">
        <v>35217</v>
      </c>
      <c r="B300" s="59">
        <f>VLOOKUP(Table17[[#This Row],[Date]],database!A:H,7,)</f>
        <v>66.509</v>
      </c>
      <c r="C300" s="67">
        <f t="shared" si="4"/>
        <v>7.2298717583703098E-3</v>
      </c>
      <c r="D300" s="67">
        <f>(Table17[[#This Row],[Index]]-B288)/B288</f>
        <v>5.8351009912144855E-2</v>
      </c>
    </row>
    <row r="301" spans="1:4" x14ac:dyDescent="0.2">
      <c r="A301" s="17">
        <v>35247</v>
      </c>
      <c r="B301" s="59">
        <f>VLOOKUP(Table17[[#This Row],[Date]],database!A:H,7,)</f>
        <v>66.481999999999999</v>
      </c>
      <c r="C301" s="67">
        <f t="shared" si="4"/>
        <v>-4.0596009562621216E-4</v>
      </c>
      <c r="D301" s="67">
        <f>(Table17[[#This Row],[Index]]-B289)/B289</f>
        <v>6.2518579131919022E-2</v>
      </c>
    </row>
    <row r="302" spans="1:4" x14ac:dyDescent="0.2">
      <c r="A302" s="17">
        <v>35278</v>
      </c>
      <c r="B302" s="59">
        <f>VLOOKUP(Table17[[#This Row],[Date]],database!A:H,7,)</f>
        <v>67.082999999999998</v>
      </c>
      <c r="C302" s="67">
        <f t="shared" si="4"/>
        <v>9.0400409133299942E-3</v>
      </c>
      <c r="D302" s="67">
        <f>(Table17[[#This Row],[Index]]-B290)/B290</f>
        <v>5.9516984207458871E-2</v>
      </c>
    </row>
    <row r="303" spans="1:4" x14ac:dyDescent="0.2">
      <c r="A303" s="17">
        <v>35309</v>
      </c>
      <c r="B303" s="59">
        <f>VLOOKUP(Table17[[#This Row],[Date]],database!A:H,7,)</f>
        <v>67.352099999999993</v>
      </c>
      <c r="C303" s="67">
        <f t="shared" si="4"/>
        <v>4.0114485040918524E-3</v>
      </c>
      <c r="D303" s="67">
        <f>(Table17[[#This Row],[Index]]-B291)/B291</f>
        <v>5.9380057851200527E-2</v>
      </c>
    </row>
    <row r="304" spans="1:4" x14ac:dyDescent="0.2">
      <c r="A304" s="17">
        <v>35339</v>
      </c>
      <c r="B304" s="59">
        <f>VLOOKUP(Table17[[#This Row],[Date]],database!A:H,7,)</f>
        <v>67.5261</v>
      </c>
      <c r="C304" s="67">
        <f t="shared" si="4"/>
        <v>2.5834383783134296E-3</v>
      </c>
      <c r="D304" s="67">
        <f>(Table17[[#This Row],[Index]]-B292)/B292</f>
        <v>5.976157518573965E-2</v>
      </c>
    </row>
    <row r="305" spans="1:4" x14ac:dyDescent="0.2">
      <c r="A305" s="17">
        <v>35370</v>
      </c>
      <c r="B305" s="59">
        <f>VLOOKUP(Table17[[#This Row],[Date]],database!A:H,7,)</f>
        <v>67.9726</v>
      </c>
      <c r="C305" s="67">
        <f t="shared" si="4"/>
        <v>6.6122580750258564E-3</v>
      </c>
      <c r="D305" s="67">
        <f>(Table17[[#This Row],[Index]]-B293)/B293</f>
        <v>6.421693726417306E-2</v>
      </c>
    </row>
    <row r="306" spans="1:4" x14ac:dyDescent="0.2">
      <c r="A306" s="17">
        <v>35400</v>
      </c>
      <c r="B306" s="59">
        <f>VLOOKUP(Table17[[#This Row],[Date]],database!A:H,7,)</f>
        <v>68.454300000000003</v>
      </c>
      <c r="C306" s="67">
        <f t="shared" si="4"/>
        <v>7.0866790442032368E-3</v>
      </c>
      <c r="D306" s="67">
        <f>(Table17[[#This Row],[Index]]-B294)/B294</f>
        <v>6.7688276442926271E-2</v>
      </c>
    </row>
    <row r="307" spans="1:4" x14ac:dyDescent="0.2">
      <c r="A307" s="17">
        <v>35431</v>
      </c>
      <c r="B307" s="59">
        <f>VLOOKUP(Table17[[#This Row],[Date]],database!A:H,7,)</f>
        <v>68.711200000000005</v>
      </c>
      <c r="C307" s="67">
        <f t="shared" si="4"/>
        <v>3.7528687021852747E-3</v>
      </c>
      <c r="D307" s="67">
        <f>(Table17[[#This Row],[Index]]-B295)/B295</f>
        <v>7.1813862362223507E-2</v>
      </c>
    </row>
    <row r="308" spans="1:4" x14ac:dyDescent="0.2">
      <c r="A308" s="17">
        <v>35462</v>
      </c>
      <c r="B308" s="59">
        <f>VLOOKUP(Table17[[#This Row],[Date]],database!A:H,7,)</f>
        <v>69.666399999999996</v>
      </c>
      <c r="C308" s="67">
        <f t="shared" si="4"/>
        <v>1.3901663775337747E-2</v>
      </c>
      <c r="D308" s="67">
        <f>(Table17[[#This Row],[Index]]-B296)/B296</f>
        <v>7.3663899788245862E-2</v>
      </c>
    </row>
    <row r="309" spans="1:4" x14ac:dyDescent="0.2">
      <c r="A309" s="17">
        <v>35490</v>
      </c>
      <c r="B309" s="59">
        <f>VLOOKUP(Table17[[#This Row],[Date]],database!A:H,7,)</f>
        <v>69.956100000000006</v>
      </c>
      <c r="C309" s="67">
        <f t="shared" si="4"/>
        <v>4.1583891230208003E-3</v>
      </c>
      <c r="D309" s="67">
        <f>(Table17[[#This Row],[Index]]-B297)/B297</f>
        <v>7.9049901899085798E-2</v>
      </c>
    </row>
    <row r="310" spans="1:4" x14ac:dyDescent="0.2">
      <c r="A310" s="17">
        <v>35521</v>
      </c>
      <c r="B310" s="59">
        <f>VLOOKUP(Table17[[#This Row],[Date]],database!A:H,7,)</f>
        <v>70.265799999999999</v>
      </c>
      <c r="C310" s="67">
        <f t="shared" si="4"/>
        <v>4.4270621146689226E-3</v>
      </c>
      <c r="D310" s="67">
        <f>(Table17[[#This Row],[Index]]-B298)/B298</f>
        <v>7.3361715648309733E-2</v>
      </c>
    </row>
    <row r="311" spans="1:4" x14ac:dyDescent="0.2">
      <c r="A311" s="17">
        <v>35551</v>
      </c>
      <c r="B311" s="59">
        <f>VLOOKUP(Table17[[#This Row],[Date]],database!A:H,7,)</f>
        <v>70.518799999999999</v>
      </c>
      <c r="C311" s="67">
        <f t="shared" si="4"/>
        <v>3.6006136698081281E-3</v>
      </c>
      <c r="D311" s="67">
        <f>(Table17[[#This Row],[Index]]-B299)/B299</f>
        <v>6.7955342593546145E-2</v>
      </c>
    </row>
    <row r="312" spans="1:4" x14ac:dyDescent="0.2">
      <c r="A312" s="17">
        <v>35582</v>
      </c>
      <c r="B312" s="59">
        <f>VLOOKUP(Table17[[#This Row],[Date]],database!A:H,7,)</f>
        <v>70.953500000000005</v>
      </c>
      <c r="C312" s="67">
        <f t="shared" si="4"/>
        <v>6.1643136298406009E-3</v>
      </c>
      <c r="D312" s="67">
        <f>(Table17[[#This Row],[Index]]-B300)/B300</f>
        <v>6.6825542407794508E-2</v>
      </c>
    </row>
    <row r="313" spans="1:4" x14ac:dyDescent="0.2">
      <c r="A313" s="17">
        <v>35612</v>
      </c>
      <c r="B313" s="59">
        <f>VLOOKUP(Table17[[#This Row],[Date]],database!A:H,7,)</f>
        <v>71.588499999999996</v>
      </c>
      <c r="C313" s="67">
        <f t="shared" si="4"/>
        <v>8.949523279330629E-3</v>
      </c>
      <c r="D313" s="67">
        <f>(Table17[[#This Row],[Index]]-B301)/B301</f>
        <v>7.6810264432477918E-2</v>
      </c>
    </row>
    <row r="314" spans="1:4" x14ac:dyDescent="0.2">
      <c r="A314" s="17">
        <v>35643</v>
      </c>
      <c r="B314" s="59">
        <f>VLOOKUP(Table17[[#This Row],[Date]],database!A:H,7,)</f>
        <v>72.319500000000005</v>
      </c>
      <c r="C314" s="67">
        <f t="shared" si="4"/>
        <v>1.0211137263666847E-2</v>
      </c>
      <c r="D314" s="67">
        <f>(Table17[[#This Row],[Index]]-B302)/B302</f>
        <v>7.8060015205044603E-2</v>
      </c>
    </row>
    <row r="315" spans="1:4" x14ac:dyDescent="0.2">
      <c r="A315" s="17">
        <v>35674</v>
      </c>
      <c r="B315" s="59">
        <f>VLOOKUP(Table17[[#This Row],[Date]],database!A:H,7,)</f>
        <v>73.106999999999999</v>
      </c>
      <c r="C315" s="67">
        <f t="shared" si="4"/>
        <v>1.0889179267002502E-2</v>
      </c>
      <c r="D315" s="67">
        <f>(Table17[[#This Row],[Index]]-B303)/B303</f>
        <v>8.5444997260664582E-2</v>
      </c>
    </row>
    <row r="316" spans="1:4" x14ac:dyDescent="0.2">
      <c r="A316" s="17">
        <v>35704</v>
      </c>
      <c r="B316" s="59">
        <f>VLOOKUP(Table17[[#This Row],[Date]],database!A:H,7,)</f>
        <v>73.361099999999993</v>
      </c>
      <c r="C316" s="67">
        <f t="shared" si="4"/>
        <v>3.4757273585293014E-3</v>
      </c>
      <c r="D316" s="67">
        <f>(Table17[[#This Row],[Index]]-B304)/B304</f>
        <v>8.6411032178668606E-2</v>
      </c>
    </row>
    <row r="317" spans="1:4" x14ac:dyDescent="0.2">
      <c r="A317" s="17">
        <v>35735</v>
      </c>
      <c r="B317" s="59">
        <f>VLOOKUP(Table17[[#This Row],[Date]],database!A:H,7,)</f>
        <v>74.172499999999999</v>
      </c>
      <c r="C317" s="67">
        <f t="shared" si="4"/>
        <v>1.1060357600962911E-2</v>
      </c>
      <c r="D317" s="67">
        <f>(Table17[[#This Row],[Index]]-B305)/B305</f>
        <v>9.1211752971050095E-2</v>
      </c>
    </row>
    <row r="318" spans="1:4" x14ac:dyDescent="0.2">
      <c r="A318" s="17">
        <v>35765</v>
      </c>
      <c r="B318" s="59">
        <f>VLOOKUP(Table17[[#This Row],[Date]],database!A:H,7,)</f>
        <v>74.698700000000002</v>
      </c>
      <c r="C318" s="67">
        <f t="shared" si="4"/>
        <v>7.0942734841079602E-3</v>
      </c>
      <c r="D318" s="67">
        <f>(Table17[[#This Row],[Index]]-B306)/B306</f>
        <v>9.1219981798075486E-2</v>
      </c>
    </row>
    <row r="319" spans="1:4" x14ac:dyDescent="0.2">
      <c r="A319" s="17">
        <v>35796</v>
      </c>
      <c r="B319" s="59">
        <f>VLOOKUP(Table17[[#This Row],[Date]],database!A:H,7,)</f>
        <v>74.917500000000004</v>
      </c>
      <c r="C319" s="67">
        <f t="shared" si="4"/>
        <v>2.9291005064344677E-3</v>
      </c>
      <c r="D319" s="67">
        <f>(Table17[[#This Row],[Index]]-B307)/B307</f>
        <v>9.0324430369430289E-2</v>
      </c>
    </row>
    <row r="320" spans="1:4" x14ac:dyDescent="0.2">
      <c r="A320" s="17">
        <v>35827</v>
      </c>
      <c r="B320" s="59">
        <f>VLOOKUP(Table17[[#This Row],[Date]],database!A:H,7,)</f>
        <v>74.998199999999997</v>
      </c>
      <c r="C320" s="67">
        <f t="shared" si="4"/>
        <v>1.077184903393702E-3</v>
      </c>
      <c r="D320" s="67">
        <f>(Table17[[#This Row],[Index]]-B308)/B308</f>
        <v>7.6533307304525594E-2</v>
      </c>
    </row>
    <row r="321" spans="1:4" x14ac:dyDescent="0.2">
      <c r="A321" s="17">
        <v>35855</v>
      </c>
      <c r="B321" s="59">
        <f>VLOOKUP(Table17[[#This Row],[Date]],database!A:H,7,)</f>
        <v>74.927899999999994</v>
      </c>
      <c r="C321" s="67">
        <f t="shared" si="4"/>
        <v>-9.3735582987330979E-4</v>
      </c>
      <c r="D321" s="67">
        <f>(Table17[[#This Row],[Index]]-B309)/B309</f>
        <v>7.1070285507625314E-2</v>
      </c>
    </row>
    <row r="322" spans="1:4" x14ac:dyDescent="0.2">
      <c r="A322" s="17">
        <v>35886</v>
      </c>
      <c r="B322" s="59">
        <f>VLOOKUP(Table17[[#This Row],[Date]],database!A:H,7,)</f>
        <v>75.118300000000005</v>
      </c>
      <c r="C322" s="67">
        <f t="shared" si="4"/>
        <v>2.5411095199519007E-3</v>
      </c>
      <c r="D322" s="67">
        <f>(Table17[[#This Row],[Index]]-B310)/B310</f>
        <v>6.9059200919935532E-2</v>
      </c>
    </row>
    <row r="323" spans="1:4" x14ac:dyDescent="0.2">
      <c r="A323" s="17">
        <v>35916</v>
      </c>
      <c r="B323" s="59">
        <f>VLOOKUP(Table17[[#This Row],[Date]],database!A:H,7,)</f>
        <v>75.649500000000003</v>
      </c>
      <c r="C323" s="67">
        <f t="shared" si="4"/>
        <v>7.0715125342293295E-3</v>
      </c>
      <c r="D323" s="67">
        <f>(Table17[[#This Row],[Index]]-B311)/B311</f>
        <v>7.2756484795543946E-2</v>
      </c>
    </row>
    <row r="324" spans="1:4" x14ac:dyDescent="0.2">
      <c r="A324" s="17">
        <v>35947</v>
      </c>
      <c r="B324" s="59">
        <f>VLOOKUP(Table17[[#This Row],[Date]],database!A:H,7,)</f>
        <v>75.0745</v>
      </c>
      <c r="C324" s="67">
        <f t="shared" si="4"/>
        <v>-7.6008433631419292E-3</v>
      </c>
      <c r="D324" s="67">
        <f>(Table17[[#This Row],[Index]]-B312)/B312</f>
        <v>5.8080292022239847E-2</v>
      </c>
    </row>
    <row r="325" spans="1:4" x14ac:dyDescent="0.2">
      <c r="A325" s="17">
        <v>35977</v>
      </c>
      <c r="B325" s="59">
        <f>VLOOKUP(Table17[[#This Row],[Date]],database!A:H,7,)</f>
        <v>74.707599999999999</v>
      </c>
      <c r="C325" s="67">
        <f t="shared" si="4"/>
        <v>-4.8871454355340349E-3</v>
      </c>
      <c r="D325" s="67">
        <f>(Table17[[#This Row],[Index]]-B313)/B313</f>
        <v>4.3569847112315568E-2</v>
      </c>
    </row>
    <row r="326" spans="1:4" x14ac:dyDescent="0.2">
      <c r="A326" s="17">
        <v>36008</v>
      </c>
      <c r="B326" s="59">
        <f>VLOOKUP(Table17[[#This Row],[Date]],database!A:H,7,)</f>
        <v>76.210400000000007</v>
      </c>
      <c r="C326" s="67">
        <f t="shared" si="4"/>
        <v>2.0115757968399484E-2</v>
      </c>
      <c r="D326" s="67">
        <f>(Table17[[#This Row],[Index]]-B314)/B314</f>
        <v>5.3801533472991402E-2</v>
      </c>
    </row>
    <row r="327" spans="1:4" x14ac:dyDescent="0.2">
      <c r="A327" s="17">
        <v>36039</v>
      </c>
      <c r="B327" s="59">
        <f>VLOOKUP(Table17[[#This Row],[Date]],database!A:H,7,)</f>
        <v>76.3673</v>
      </c>
      <c r="C327" s="67">
        <f t="shared" si="4"/>
        <v>2.0587741305648777E-3</v>
      </c>
      <c r="D327" s="67">
        <f>(Table17[[#This Row],[Index]]-B315)/B315</f>
        <v>4.4596276690330623E-2</v>
      </c>
    </row>
    <row r="328" spans="1:4" x14ac:dyDescent="0.2">
      <c r="A328" s="17">
        <v>36069</v>
      </c>
      <c r="B328" s="59">
        <f>VLOOKUP(Table17[[#This Row],[Date]],database!A:H,7,)</f>
        <v>77.032499999999999</v>
      </c>
      <c r="C328" s="67">
        <f t="shared" ref="C328:C391" si="5">B328/B327-1</f>
        <v>8.7105344826907682E-3</v>
      </c>
      <c r="D328" s="67">
        <f>(Table17[[#This Row],[Index]]-B316)/B316</f>
        <v>5.0045596371919257E-2</v>
      </c>
    </row>
    <row r="329" spans="1:4" x14ac:dyDescent="0.2">
      <c r="A329" s="17">
        <v>36100</v>
      </c>
      <c r="B329" s="59">
        <f>VLOOKUP(Table17[[#This Row],[Date]],database!A:H,7,)</f>
        <v>77.150099999999995</v>
      </c>
      <c r="C329" s="67">
        <f t="shared" si="5"/>
        <v>1.5266283711419248E-3</v>
      </c>
      <c r="D329" s="67">
        <f>(Table17[[#This Row],[Index]]-B317)/B317</f>
        <v>4.0144258316761543E-2</v>
      </c>
    </row>
    <row r="330" spans="1:4" x14ac:dyDescent="0.2">
      <c r="A330" s="17">
        <v>36130</v>
      </c>
      <c r="B330" s="59">
        <f>VLOOKUP(Table17[[#This Row],[Date]],database!A:H,7,)</f>
        <v>77.780199999999994</v>
      </c>
      <c r="C330" s="67">
        <f t="shared" si="5"/>
        <v>8.1671961539906412E-3</v>
      </c>
      <c r="D330" s="67">
        <f>(Table17[[#This Row],[Index]]-B318)/B318</f>
        <v>4.1252391273208115E-2</v>
      </c>
    </row>
    <row r="331" spans="1:4" x14ac:dyDescent="0.2">
      <c r="A331" s="17">
        <v>36161</v>
      </c>
      <c r="B331" s="59">
        <f>VLOOKUP(Table17[[#This Row],[Date]],database!A:H,7,)</f>
        <v>77.974800000000002</v>
      </c>
      <c r="C331" s="67">
        <f t="shared" si="5"/>
        <v>2.5019220829980426E-3</v>
      </c>
      <c r="D331" s="67">
        <f>(Table17[[#This Row],[Index]]-B319)/B319</f>
        <v>4.0808889778756602E-2</v>
      </c>
    </row>
    <row r="332" spans="1:4" x14ac:dyDescent="0.2">
      <c r="A332" s="17">
        <v>36192</v>
      </c>
      <c r="B332" s="59">
        <f>VLOOKUP(Table17[[#This Row],[Date]],database!A:H,7,)</f>
        <v>78.534700000000001</v>
      </c>
      <c r="C332" s="67">
        <f t="shared" si="5"/>
        <v>7.1805249901248924E-3</v>
      </c>
      <c r="D332" s="67">
        <f>(Table17[[#This Row],[Index]]-B320)/B320</f>
        <v>4.7154465040494357E-2</v>
      </c>
    </row>
    <row r="333" spans="1:4" x14ac:dyDescent="0.2">
      <c r="A333" s="17">
        <v>36220</v>
      </c>
      <c r="B333" s="59">
        <f>VLOOKUP(Table17[[#This Row],[Date]],database!A:H,7,)</f>
        <v>79.070400000000006</v>
      </c>
      <c r="C333" s="67">
        <f t="shared" si="5"/>
        <v>6.8211885956144247E-3</v>
      </c>
      <c r="D333" s="67">
        <f>(Table17[[#This Row],[Index]]-B321)/B321</f>
        <v>5.5286482071431504E-2</v>
      </c>
    </row>
    <row r="334" spans="1:4" x14ac:dyDescent="0.2">
      <c r="A334" s="17">
        <v>36251</v>
      </c>
      <c r="B334" s="59">
        <f>VLOOKUP(Table17[[#This Row],[Date]],database!A:H,7,)</f>
        <v>79.430999999999997</v>
      </c>
      <c r="C334" s="67">
        <f t="shared" si="5"/>
        <v>4.5604929278211248E-3</v>
      </c>
      <c r="D334" s="67">
        <f>(Table17[[#This Row],[Index]]-B322)/B322</f>
        <v>5.7412108633981232E-2</v>
      </c>
    </row>
    <row r="335" spans="1:4" x14ac:dyDescent="0.2">
      <c r="A335" s="17">
        <v>36281</v>
      </c>
      <c r="B335" s="59">
        <f>VLOOKUP(Table17[[#This Row],[Date]],database!A:H,7,)</f>
        <v>79.820599999999999</v>
      </c>
      <c r="C335" s="67">
        <f t="shared" si="5"/>
        <v>4.9048860016869256E-3</v>
      </c>
      <c r="D335" s="67">
        <f>(Table17[[#This Row],[Index]]-B323)/B323</f>
        <v>5.5137178699132122E-2</v>
      </c>
    </row>
    <row r="336" spans="1:4" x14ac:dyDescent="0.2">
      <c r="A336" s="17">
        <v>36312</v>
      </c>
      <c r="B336" s="59">
        <f>VLOOKUP(Table17[[#This Row],[Date]],database!A:H,7,)</f>
        <v>80.269400000000005</v>
      </c>
      <c r="C336" s="67">
        <f t="shared" si="5"/>
        <v>5.6226087000097458E-3</v>
      </c>
      <c r="D336" s="67">
        <f>(Table17[[#This Row],[Index]]-B324)/B324</f>
        <v>6.9196598045941082E-2</v>
      </c>
    </row>
    <row r="337" spans="1:4" x14ac:dyDescent="0.2">
      <c r="A337" s="17">
        <v>36342</v>
      </c>
      <c r="B337" s="59">
        <f>VLOOKUP(Table17[[#This Row],[Date]],database!A:H,7,)</f>
        <v>81.244299999999996</v>
      </c>
      <c r="C337" s="67">
        <f t="shared" si="5"/>
        <v>1.2145350532082988E-2</v>
      </c>
      <c r="D337" s="67">
        <f>(Table17[[#This Row],[Index]]-B325)/B325</f>
        <v>8.7497122113412776E-2</v>
      </c>
    </row>
    <row r="338" spans="1:4" x14ac:dyDescent="0.2">
      <c r="A338" s="17">
        <v>36373</v>
      </c>
      <c r="B338" s="59">
        <f>VLOOKUP(Table17[[#This Row],[Date]],database!A:H,7,)</f>
        <v>81.256299999999996</v>
      </c>
      <c r="C338" s="67">
        <f t="shared" si="5"/>
        <v>1.477026696026229E-4</v>
      </c>
      <c r="D338" s="67">
        <f>(Table17[[#This Row],[Index]]-B326)/B326</f>
        <v>6.6210123552690819E-2</v>
      </c>
    </row>
    <row r="339" spans="1:4" x14ac:dyDescent="0.2">
      <c r="A339" s="17">
        <v>36404</v>
      </c>
      <c r="B339" s="59">
        <f>VLOOKUP(Table17[[#This Row],[Date]],database!A:H,7,)</f>
        <v>81.036600000000007</v>
      </c>
      <c r="C339" s="67">
        <f t="shared" si="5"/>
        <v>-2.7037903522556528E-3</v>
      </c>
      <c r="D339" s="67">
        <f>(Table17[[#This Row],[Index]]-B327)/B327</f>
        <v>6.1142661846104375E-2</v>
      </c>
    </row>
    <row r="340" spans="1:4" x14ac:dyDescent="0.2">
      <c r="A340" s="17">
        <v>36434</v>
      </c>
      <c r="B340" s="59">
        <f>VLOOKUP(Table17[[#This Row],[Date]],database!A:H,7,)</f>
        <v>82.019499999999994</v>
      </c>
      <c r="C340" s="67">
        <f t="shared" si="5"/>
        <v>1.2129087350653656E-2</v>
      </c>
      <c r="D340" s="67">
        <f>(Table17[[#This Row],[Index]]-B328)/B328</f>
        <v>6.4738908902086709E-2</v>
      </c>
    </row>
    <row r="341" spans="1:4" x14ac:dyDescent="0.2">
      <c r="A341" s="17">
        <v>36465</v>
      </c>
      <c r="B341" s="59">
        <f>VLOOKUP(Table17[[#This Row],[Date]],database!A:H,7,)</f>
        <v>82.897999999999996</v>
      </c>
      <c r="C341" s="67">
        <f t="shared" si="5"/>
        <v>1.0710867537597757E-2</v>
      </c>
      <c r="D341" s="67">
        <f>(Table17[[#This Row],[Index]]-B329)/B329</f>
        <v>7.4502819827842112E-2</v>
      </c>
    </row>
    <row r="342" spans="1:4" x14ac:dyDescent="0.2">
      <c r="A342" s="17">
        <v>36495</v>
      </c>
      <c r="B342" s="59">
        <f>VLOOKUP(Table17[[#This Row],[Date]],database!A:H,7,)</f>
        <v>83.422499999999999</v>
      </c>
      <c r="C342" s="67">
        <f t="shared" si="5"/>
        <v>6.3270525223768637E-3</v>
      </c>
      <c r="D342" s="67">
        <f>(Table17[[#This Row],[Index]]-B330)/B330</f>
        <v>7.2541597990234102E-2</v>
      </c>
    </row>
    <row r="343" spans="1:4" x14ac:dyDescent="0.2">
      <c r="A343" s="17">
        <v>36526</v>
      </c>
      <c r="B343" s="59">
        <f>VLOOKUP(Table17[[#This Row],[Date]],database!A:H,7,)</f>
        <v>83.616699999999994</v>
      </c>
      <c r="C343" s="67">
        <f t="shared" si="5"/>
        <v>2.3279091372230276E-3</v>
      </c>
      <c r="D343" s="67">
        <f>(Table17[[#This Row],[Index]]-B331)/B331</f>
        <v>7.2355427650984586E-2</v>
      </c>
    </row>
    <row r="344" spans="1:4" x14ac:dyDescent="0.2">
      <c r="A344" s="17">
        <v>36557</v>
      </c>
      <c r="B344" s="59">
        <f>VLOOKUP(Table17[[#This Row],[Date]],database!A:H,7,)</f>
        <v>83.767200000000003</v>
      </c>
      <c r="C344" s="67">
        <f t="shared" si="5"/>
        <v>1.7998796891052216E-3</v>
      </c>
      <c r="D344" s="67">
        <f>(Table17[[#This Row],[Index]]-B332)/B332</f>
        <v>6.6626599452216689E-2</v>
      </c>
    </row>
    <row r="345" spans="1:4" x14ac:dyDescent="0.2">
      <c r="A345" s="17">
        <v>36586</v>
      </c>
      <c r="B345" s="59">
        <f>VLOOKUP(Table17[[#This Row],[Date]],database!A:H,7,)</f>
        <v>84.263300000000001</v>
      </c>
      <c r="C345" s="67">
        <f t="shared" si="5"/>
        <v>5.9223657947262698E-3</v>
      </c>
      <c r="D345" s="67">
        <f>(Table17[[#This Row],[Index]]-B333)/B333</f>
        <v>6.5674386369614854E-2</v>
      </c>
    </row>
    <row r="346" spans="1:4" x14ac:dyDescent="0.2">
      <c r="A346" s="17">
        <v>36617</v>
      </c>
      <c r="B346" s="59">
        <f>VLOOKUP(Table17[[#This Row],[Date]],database!A:H,7,)</f>
        <v>84.588899999999995</v>
      </c>
      <c r="C346" s="67">
        <f t="shared" si="5"/>
        <v>3.8640784303485276E-3</v>
      </c>
      <c r="D346" s="67">
        <f>(Table17[[#This Row],[Index]]-B334)/B334</f>
        <v>6.4935604486913143E-2</v>
      </c>
    </row>
    <row r="347" spans="1:4" x14ac:dyDescent="0.2">
      <c r="A347" s="17">
        <v>36647</v>
      </c>
      <c r="B347" s="59">
        <f>VLOOKUP(Table17[[#This Row],[Date]],database!A:H,7,)</f>
        <v>84.988900000000001</v>
      </c>
      <c r="C347" s="67">
        <f t="shared" si="5"/>
        <v>4.7287528269075452E-3</v>
      </c>
      <c r="D347" s="67">
        <f>(Table17[[#This Row],[Index]]-B335)/B335</f>
        <v>6.474894951929705E-2</v>
      </c>
    </row>
    <row r="348" spans="1:4" x14ac:dyDescent="0.2">
      <c r="A348" s="17">
        <v>36678</v>
      </c>
      <c r="B348" s="59">
        <f>VLOOKUP(Table17[[#This Row],[Date]],database!A:H,7,)</f>
        <v>85.092500000000001</v>
      </c>
      <c r="C348" s="67">
        <f t="shared" si="5"/>
        <v>1.2189827142132792E-3</v>
      </c>
      <c r="D348" s="67">
        <f>(Table17[[#This Row],[Index]]-B336)/B336</f>
        <v>6.0086409017633076E-2</v>
      </c>
    </row>
    <row r="349" spans="1:4" x14ac:dyDescent="0.2">
      <c r="A349" s="17">
        <v>36708</v>
      </c>
      <c r="B349" s="59">
        <f>VLOOKUP(Table17[[#This Row],[Date]],database!A:H,7,)</f>
        <v>84.702600000000004</v>
      </c>
      <c r="C349" s="67">
        <f t="shared" si="5"/>
        <v>-4.5820724505685195E-3</v>
      </c>
      <c r="D349" s="67">
        <f>(Table17[[#This Row],[Index]]-B337)/B337</f>
        <v>4.2566678523908857E-2</v>
      </c>
    </row>
    <row r="350" spans="1:4" x14ac:dyDescent="0.2">
      <c r="A350" s="17">
        <v>36739</v>
      </c>
      <c r="B350" s="59">
        <f>VLOOKUP(Table17[[#This Row],[Date]],database!A:H,7,)</f>
        <v>84.738699999999994</v>
      </c>
      <c r="C350" s="67">
        <f t="shared" si="5"/>
        <v>4.2619707069202484E-4</v>
      </c>
      <c r="D350" s="67">
        <f>(Table17[[#This Row],[Index]]-B338)/B338</f>
        <v>4.2856984627653472E-2</v>
      </c>
    </row>
    <row r="351" spans="1:4" x14ac:dyDescent="0.2">
      <c r="A351" s="17">
        <v>36770</v>
      </c>
      <c r="B351" s="59">
        <f>VLOOKUP(Table17[[#This Row],[Date]],database!A:H,7,)</f>
        <v>84.912599999999998</v>
      </c>
      <c r="C351" s="67">
        <f t="shared" si="5"/>
        <v>2.0521910296005252E-3</v>
      </c>
      <c r="D351" s="67">
        <f>(Table17[[#This Row],[Index]]-B339)/B339</f>
        <v>4.7830239669482556E-2</v>
      </c>
    </row>
    <row r="352" spans="1:4" x14ac:dyDescent="0.2">
      <c r="A352" s="17">
        <v>36800</v>
      </c>
      <c r="B352" s="59">
        <f>VLOOKUP(Table17[[#This Row],[Date]],database!A:H,7,)</f>
        <v>84.807100000000005</v>
      </c>
      <c r="C352" s="67">
        <f t="shared" si="5"/>
        <v>-1.2424540056480415E-3</v>
      </c>
      <c r="D352" s="67">
        <f>(Table17[[#This Row],[Index]]-B340)/B340</f>
        <v>3.3987039667396315E-2</v>
      </c>
    </row>
    <row r="353" spans="1:4" x14ac:dyDescent="0.2">
      <c r="A353" s="17">
        <v>36831</v>
      </c>
      <c r="B353" s="59">
        <f>VLOOKUP(Table17[[#This Row],[Date]],database!A:H,7,)</f>
        <v>84.62</v>
      </c>
      <c r="C353" s="67">
        <f t="shared" si="5"/>
        <v>-2.2061832087172384E-3</v>
      </c>
      <c r="D353" s="67">
        <f>(Table17[[#This Row],[Index]]-B341)/B341</f>
        <v>2.0772515621607378E-2</v>
      </c>
    </row>
    <row r="354" spans="1:4" x14ac:dyDescent="0.2">
      <c r="A354" s="17">
        <v>36861</v>
      </c>
      <c r="B354" s="59">
        <f>VLOOKUP(Table17[[#This Row],[Date]],database!A:H,7,)</f>
        <v>84.084100000000007</v>
      </c>
      <c r="C354" s="67">
        <f t="shared" si="5"/>
        <v>-6.3330181990073342E-3</v>
      </c>
      <c r="D354" s="67">
        <f>(Table17[[#This Row],[Index]]-B342)/B342</f>
        <v>7.9307141358746988E-3</v>
      </c>
    </row>
    <row r="355" spans="1:4" x14ac:dyDescent="0.2">
      <c r="A355" s="17">
        <v>36892</v>
      </c>
      <c r="B355" s="59">
        <f>VLOOKUP(Table17[[#This Row],[Date]],database!A:H,7,)</f>
        <v>83.301699999999997</v>
      </c>
      <c r="C355" s="67">
        <f t="shared" si="5"/>
        <v>-9.304969667273677E-3</v>
      </c>
      <c r="D355" s="67">
        <f>(Table17[[#This Row],[Index]]-B343)/B343</f>
        <v>-3.7671900469642755E-3</v>
      </c>
    </row>
    <row r="356" spans="1:4" x14ac:dyDescent="0.2">
      <c r="A356" s="17">
        <v>36923</v>
      </c>
      <c r="B356" s="59">
        <f>VLOOKUP(Table17[[#This Row],[Date]],database!A:H,7,)</f>
        <v>82.897000000000006</v>
      </c>
      <c r="C356" s="67">
        <f t="shared" si="5"/>
        <v>-4.8582441894942097E-3</v>
      </c>
      <c r="D356" s="67">
        <f>(Table17[[#This Row],[Index]]-B344)/B344</f>
        <v>-1.0388314280529812E-2</v>
      </c>
    </row>
    <row r="357" spans="1:4" x14ac:dyDescent="0.2">
      <c r="A357" s="17">
        <v>36951</v>
      </c>
      <c r="B357" s="59">
        <f>VLOOKUP(Table17[[#This Row],[Date]],database!A:H,7,)</f>
        <v>82.613799999999998</v>
      </c>
      <c r="C357" s="67">
        <f t="shared" si="5"/>
        <v>-3.4162876823046195E-3</v>
      </c>
      <c r="D357" s="67">
        <f>(Table17[[#This Row],[Index]]-B345)/B345</f>
        <v>-1.9575544750799024E-2</v>
      </c>
    </row>
    <row r="358" spans="1:4" x14ac:dyDescent="0.2">
      <c r="A358" s="17">
        <v>36982</v>
      </c>
      <c r="B358" s="59">
        <f>VLOOKUP(Table17[[#This Row],[Date]],database!A:H,7,)</f>
        <v>82.410300000000007</v>
      </c>
      <c r="C358" s="67">
        <f t="shared" si="5"/>
        <v>-2.4632688485457521E-3</v>
      </c>
      <c r="D358" s="67">
        <f>(Table17[[#This Row],[Index]]-B346)/B346</f>
        <v>-2.5755152271751836E-2</v>
      </c>
    </row>
    <row r="359" spans="1:4" x14ac:dyDescent="0.2">
      <c r="A359" s="17">
        <v>37012</v>
      </c>
      <c r="B359" s="59">
        <f>VLOOKUP(Table17[[#This Row],[Date]],database!A:H,7,)</f>
        <v>81.851799999999997</v>
      </c>
      <c r="C359" s="67">
        <f t="shared" si="5"/>
        <v>-6.7770654881733616E-3</v>
      </c>
      <c r="D359" s="67">
        <f>(Table17[[#This Row],[Index]]-B347)/B347</f>
        <v>-3.6911879080679992E-2</v>
      </c>
    </row>
    <row r="360" spans="1:4" x14ac:dyDescent="0.2">
      <c r="A360" s="17">
        <v>37043</v>
      </c>
      <c r="B360" s="59">
        <f>VLOOKUP(Table17[[#This Row],[Date]],database!A:H,7,)</f>
        <v>81.096299999999999</v>
      </c>
      <c r="C360" s="67">
        <f t="shared" si="5"/>
        <v>-9.2300963448573858E-3</v>
      </c>
      <c r="D360" s="67">
        <f>(Table17[[#This Row],[Index]]-B348)/B348</f>
        <v>-4.6963010841143481E-2</v>
      </c>
    </row>
    <row r="361" spans="1:4" x14ac:dyDescent="0.2">
      <c r="A361" s="17">
        <v>37073</v>
      </c>
      <c r="B361" s="59">
        <f>VLOOKUP(Table17[[#This Row],[Date]],database!A:H,7,)</f>
        <v>80.449399999999997</v>
      </c>
      <c r="C361" s="67">
        <f t="shared" si="5"/>
        <v>-7.9769360624344365E-3</v>
      </c>
      <c r="D361" s="67">
        <f>(Table17[[#This Row],[Index]]-B349)/B349</f>
        <v>-5.0213334655606873E-2</v>
      </c>
    </row>
    <row r="362" spans="1:4" x14ac:dyDescent="0.2">
      <c r="A362" s="17">
        <v>37104</v>
      </c>
      <c r="B362" s="59">
        <f>VLOOKUP(Table17[[#This Row],[Date]],database!A:H,7,)</f>
        <v>80.750100000000003</v>
      </c>
      <c r="C362" s="67">
        <f t="shared" si="5"/>
        <v>3.7377531715587775E-3</v>
      </c>
      <c r="D362" s="67">
        <f>(Table17[[#This Row],[Index]]-B350)/B350</f>
        <v>-4.7069402764026248E-2</v>
      </c>
    </row>
    <row r="363" spans="1:4" x14ac:dyDescent="0.2">
      <c r="A363" s="17">
        <v>37135</v>
      </c>
      <c r="B363" s="59">
        <f>VLOOKUP(Table17[[#This Row],[Date]],database!A:H,7,)</f>
        <v>80.415599999999998</v>
      </c>
      <c r="C363" s="67">
        <f t="shared" si="5"/>
        <v>-4.1424097307619645E-3</v>
      </c>
      <c r="D363" s="67">
        <f>(Table17[[#This Row],[Index]]-B351)/B351</f>
        <v>-5.296033804170406E-2</v>
      </c>
    </row>
    <row r="364" spans="1:4" x14ac:dyDescent="0.2">
      <c r="A364" s="17">
        <v>37165</v>
      </c>
      <c r="B364" s="59">
        <f>VLOOKUP(Table17[[#This Row],[Date]],database!A:H,7,)</f>
        <v>80.035600000000002</v>
      </c>
      <c r="C364" s="67">
        <f t="shared" si="5"/>
        <v>-4.7254512805972038E-3</v>
      </c>
      <c r="D364" s="67">
        <f>(Table17[[#This Row],[Index]]-B352)/B352</f>
        <v>-5.6262977981796372E-2</v>
      </c>
    </row>
    <row r="365" spans="1:4" x14ac:dyDescent="0.2">
      <c r="A365" s="17">
        <v>37196</v>
      </c>
      <c r="B365" s="59">
        <f>VLOOKUP(Table17[[#This Row],[Date]],database!A:H,7,)</f>
        <v>79.450100000000006</v>
      </c>
      <c r="C365" s="67">
        <f t="shared" si="5"/>
        <v>-7.3154946049007741E-3</v>
      </c>
      <c r="D365" s="67">
        <f>(Table17[[#This Row],[Index]]-B353)/B353</f>
        <v>-6.1095485700779932E-2</v>
      </c>
    </row>
    <row r="366" spans="1:4" x14ac:dyDescent="0.2">
      <c r="A366" s="17">
        <v>37226</v>
      </c>
      <c r="B366" s="59">
        <f>VLOOKUP(Table17[[#This Row],[Date]],database!A:H,7,)</f>
        <v>79.239999999999995</v>
      </c>
      <c r="C366" s="67">
        <f t="shared" si="5"/>
        <v>-2.6444271309917777E-3</v>
      </c>
      <c r="D366" s="67">
        <f>(Table17[[#This Row],[Index]]-B354)/B354</f>
        <v>-5.7610178380930653E-2</v>
      </c>
    </row>
    <row r="367" spans="1:4" x14ac:dyDescent="0.2">
      <c r="A367" s="17">
        <v>37257</v>
      </c>
      <c r="B367" s="59">
        <f>VLOOKUP(Table17[[#This Row],[Date]],database!A:H,7,)</f>
        <v>80.111599999999996</v>
      </c>
      <c r="C367" s="67">
        <f t="shared" si="5"/>
        <v>1.0999495204442322E-2</v>
      </c>
      <c r="D367" s="67">
        <f>(Table17[[#This Row],[Index]]-B355)/B355</f>
        <v>-3.8295737061788668E-2</v>
      </c>
    </row>
    <row r="368" spans="1:4" x14ac:dyDescent="0.2">
      <c r="A368" s="17">
        <v>37288</v>
      </c>
      <c r="B368" s="59">
        <f>VLOOKUP(Table17[[#This Row],[Date]],database!A:H,7,)</f>
        <v>80.529499999999999</v>
      </c>
      <c r="C368" s="67">
        <f t="shared" si="5"/>
        <v>5.2164730201369469E-3</v>
      </c>
      <c r="D368" s="67">
        <f>(Table17[[#This Row],[Index]]-B356)/B356</f>
        <v>-2.8559537739604651E-2</v>
      </c>
    </row>
    <row r="369" spans="1:4" x14ac:dyDescent="0.2">
      <c r="A369" s="17">
        <v>37316</v>
      </c>
      <c r="B369" s="59">
        <f>VLOOKUP(Table17[[#This Row],[Date]],database!A:H,7,)</f>
        <v>81.1678</v>
      </c>
      <c r="C369" s="67">
        <f t="shared" si="5"/>
        <v>7.9262878820804961E-3</v>
      </c>
      <c r="D369" s="67">
        <f>(Table17[[#This Row],[Index]]-B357)/B357</f>
        <v>-1.7503129017185967E-2</v>
      </c>
    </row>
    <row r="370" spans="1:4" x14ac:dyDescent="0.2">
      <c r="A370" s="17">
        <v>37347</v>
      </c>
      <c r="B370" s="59">
        <f>VLOOKUP(Table17[[#This Row],[Date]],database!A:H,7,)</f>
        <v>82.129199999999997</v>
      </c>
      <c r="C370" s="67">
        <f t="shared" si="5"/>
        <v>1.1844598473778944E-2</v>
      </c>
      <c r="D370" s="67">
        <f>(Table17[[#This Row],[Index]]-B358)/B358</f>
        <v>-3.4109813943161136E-3</v>
      </c>
    </row>
    <row r="371" spans="1:4" x14ac:dyDescent="0.2">
      <c r="A371" s="17">
        <v>37377</v>
      </c>
      <c r="B371" s="59">
        <f>VLOOKUP(Table17[[#This Row],[Date]],database!A:H,7,)</f>
        <v>82.492000000000004</v>
      </c>
      <c r="C371" s="67">
        <f t="shared" si="5"/>
        <v>4.4174300979433756E-3</v>
      </c>
      <c r="D371" s="67">
        <f>(Table17[[#This Row],[Index]]-B359)/B359</f>
        <v>7.821452918567548E-3</v>
      </c>
    </row>
    <row r="372" spans="1:4" x14ac:dyDescent="0.2">
      <c r="A372" s="17">
        <v>37408</v>
      </c>
      <c r="B372" s="59">
        <f>VLOOKUP(Table17[[#This Row],[Date]],database!A:H,7,)</f>
        <v>83.164699999999996</v>
      </c>
      <c r="C372" s="67">
        <f t="shared" si="5"/>
        <v>8.1547301556512686E-3</v>
      </c>
      <c r="D372" s="67">
        <f>(Table17[[#This Row],[Index]]-B360)/B360</f>
        <v>2.5505479288204232E-2</v>
      </c>
    </row>
    <row r="373" spans="1:4" x14ac:dyDescent="0.2">
      <c r="A373" s="17">
        <v>37438</v>
      </c>
      <c r="B373" s="59">
        <f>VLOOKUP(Table17[[#This Row],[Date]],database!A:H,7,)</f>
        <v>83.197500000000005</v>
      </c>
      <c r="C373" s="67">
        <f t="shared" si="5"/>
        <v>3.9439810400332398E-4</v>
      </c>
      <c r="D373" s="67">
        <f>(Table17[[#This Row],[Index]]-B361)/B361</f>
        <v>3.4159359796344137E-2</v>
      </c>
    </row>
    <row r="374" spans="1:4" x14ac:dyDescent="0.2">
      <c r="A374" s="17">
        <v>37469</v>
      </c>
      <c r="B374" s="59">
        <f>VLOOKUP(Table17[[#This Row],[Date]],database!A:H,7,)</f>
        <v>83.242599999999996</v>
      </c>
      <c r="C374" s="67">
        <f t="shared" si="5"/>
        <v>5.4208359626173319E-4</v>
      </c>
      <c r="D374" s="67">
        <f>(Table17[[#This Row],[Index]]-B362)/B362</f>
        <v>3.0866834839832921E-2</v>
      </c>
    </row>
    <row r="375" spans="1:4" x14ac:dyDescent="0.2">
      <c r="A375" s="17">
        <v>37500</v>
      </c>
      <c r="B375" s="59">
        <f>VLOOKUP(Table17[[#This Row],[Date]],database!A:H,7,)</f>
        <v>83.102800000000002</v>
      </c>
      <c r="C375" s="67">
        <f t="shared" si="5"/>
        <v>-1.6794285618180194E-3</v>
      </c>
      <c r="D375" s="67">
        <f>(Table17[[#This Row],[Index]]-B363)/B363</f>
        <v>3.3416401792687046E-2</v>
      </c>
    </row>
    <row r="376" spans="1:4" x14ac:dyDescent="0.2">
      <c r="A376" s="17">
        <v>37530</v>
      </c>
      <c r="B376" s="59">
        <f>VLOOKUP(Table17[[#This Row],[Date]],database!A:H,7,)</f>
        <v>82.656499999999994</v>
      </c>
      <c r="C376" s="67">
        <f t="shared" si="5"/>
        <v>-5.3704568317795021E-3</v>
      </c>
      <c r="D376" s="67">
        <f>(Table17[[#This Row],[Index]]-B364)/B364</f>
        <v>3.2746677728410757E-2</v>
      </c>
    </row>
    <row r="377" spans="1:4" x14ac:dyDescent="0.2">
      <c r="A377" s="17">
        <v>37561</v>
      </c>
      <c r="B377" s="59">
        <f>VLOOKUP(Table17[[#This Row],[Date]],database!A:H,7,)</f>
        <v>83.299599999999998</v>
      </c>
      <c r="C377" s="67">
        <f t="shared" si="5"/>
        <v>7.7803923466395197E-3</v>
      </c>
      <c r="D377" s="67">
        <f>(Table17[[#This Row],[Index]]-B365)/B365</f>
        <v>4.845179552952094E-2</v>
      </c>
    </row>
    <row r="378" spans="1:4" x14ac:dyDescent="0.2">
      <c r="A378" s="17">
        <v>37591</v>
      </c>
      <c r="B378" s="59">
        <f>VLOOKUP(Table17[[#This Row],[Date]],database!A:H,7,)</f>
        <v>82.969800000000006</v>
      </c>
      <c r="C378" s="67">
        <f t="shared" si="5"/>
        <v>-3.9592026852468543E-3</v>
      </c>
      <c r="D378" s="67">
        <f>(Table17[[#This Row],[Index]]-B366)/B366</f>
        <v>4.706966178697642E-2</v>
      </c>
    </row>
    <row r="379" spans="1:4" x14ac:dyDescent="0.2">
      <c r="A379" s="17">
        <v>37622</v>
      </c>
      <c r="B379" s="59">
        <f>VLOOKUP(Table17[[#This Row],[Date]],database!A:H,7,)</f>
        <v>83.535399999999996</v>
      </c>
      <c r="C379" s="67">
        <f t="shared" si="5"/>
        <v>6.8169382112526211E-3</v>
      </c>
      <c r="D379" s="67">
        <f>(Table17[[#This Row],[Index]]-B367)/B367</f>
        <v>4.2737880656484206E-2</v>
      </c>
    </row>
    <row r="380" spans="1:4" x14ac:dyDescent="0.2">
      <c r="A380" s="17">
        <v>37653</v>
      </c>
      <c r="B380" s="59">
        <f>VLOOKUP(Table17[[#This Row],[Date]],database!A:H,7,)</f>
        <v>83.523200000000003</v>
      </c>
      <c r="C380" s="67">
        <f t="shared" si="5"/>
        <v>-1.4604586797928309E-4</v>
      </c>
      <c r="D380" s="67">
        <f>(Table17[[#This Row],[Index]]-B368)/B368</f>
        <v>3.717519666705995E-2</v>
      </c>
    </row>
    <row r="381" spans="1:4" x14ac:dyDescent="0.2">
      <c r="A381" s="17">
        <v>37681</v>
      </c>
      <c r="B381" s="59">
        <f>VLOOKUP(Table17[[#This Row],[Date]],database!A:H,7,)</f>
        <v>82.985100000000003</v>
      </c>
      <c r="C381" s="67">
        <f t="shared" si="5"/>
        <v>-6.442521359334874E-3</v>
      </c>
      <c r="D381" s="67">
        <f>(Table17[[#This Row],[Index]]-B369)/B369</f>
        <v>2.2389420435197246E-2</v>
      </c>
    </row>
    <row r="382" spans="1:4" x14ac:dyDescent="0.2">
      <c r="A382" s="17">
        <v>37712</v>
      </c>
      <c r="B382" s="59">
        <f>VLOOKUP(Table17[[#This Row],[Date]],database!A:H,7,)</f>
        <v>82.680499999999995</v>
      </c>
      <c r="C382" s="67">
        <f t="shared" si="5"/>
        <v>-3.6705384460584689E-3</v>
      </c>
      <c r="D382" s="67">
        <f>(Table17[[#This Row],[Index]]-B370)/B370</f>
        <v>6.7125943026353323E-3</v>
      </c>
    </row>
    <row r="383" spans="1:4" x14ac:dyDescent="0.2">
      <c r="A383" s="17">
        <v>37742</v>
      </c>
      <c r="B383" s="59">
        <f>VLOOKUP(Table17[[#This Row],[Date]],database!A:H,7,)</f>
        <v>82.603999999999999</v>
      </c>
      <c r="C383" s="67">
        <f t="shared" si="5"/>
        <v>-9.2524839593366437E-4</v>
      </c>
      <c r="D383" s="67">
        <f>(Table17[[#This Row],[Index]]-B371)/B371</f>
        <v>1.3577074140522082E-3</v>
      </c>
    </row>
    <row r="384" spans="1:4" x14ac:dyDescent="0.2">
      <c r="A384" s="17">
        <v>37773</v>
      </c>
      <c r="B384" s="59">
        <f>VLOOKUP(Table17[[#This Row],[Date]],database!A:H,7,)</f>
        <v>82.727699999999999</v>
      </c>
      <c r="C384" s="67">
        <f t="shared" si="5"/>
        <v>1.4975061740352125E-3</v>
      </c>
      <c r="D384" s="67">
        <f>(Table17[[#This Row],[Index]]-B372)/B372</f>
        <v>-5.2546332758970768E-3</v>
      </c>
    </row>
    <row r="385" spans="1:4" x14ac:dyDescent="0.2">
      <c r="A385" s="17">
        <v>37803</v>
      </c>
      <c r="B385" s="59">
        <f>VLOOKUP(Table17[[#This Row],[Date]],database!A:H,7,)</f>
        <v>82.988</v>
      </c>
      <c r="C385" s="67">
        <f t="shared" si="5"/>
        <v>3.1464672654988313E-3</v>
      </c>
      <c r="D385" s="67">
        <f>(Table17[[#This Row],[Index]]-B373)/B373</f>
        <v>-2.5181045103519406E-3</v>
      </c>
    </row>
    <row r="386" spans="1:4" x14ac:dyDescent="0.2">
      <c r="A386" s="17">
        <v>37834</v>
      </c>
      <c r="B386" s="59">
        <f>VLOOKUP(Table17[[#This Row],[Date]],database!A:H,7,)</f>
        <v>83.007000000000005</v>
      </c>
      <c r="C386" s="67">
        <f t="shared" si="5"/>
        <v>2.2894876367685058E-4</v>
      </c>
      <c r="D386" s="67">
        <f>(Table17[[#This Row],[Index]]-B374)/B374</f>
        <v>-2.8302816106175318E-3</v>
      </c>
    </row>
    <row r="387" spans="1:4" x14ac:dyDescent="0.2">
      <c r="A387" s="17">
        <v>37865</v>
      </c>
      <c r="B387" s="59">
        <f>VLOOKUP(Table17[[#This Row],[Date]],database!A:H,7,)</f>
        <v>83.582099999999997</v>
      </c>
      <c r="C387" s="67">
        <f t="shared" si="5"/>
        <v>6.9283313455490436E-3</v>
      </c>
      <c r="D387" s="67">
        <f>(Table17[[#This Row],[Index]]-B375)/B375</f>
        <v>5.7675553651621234E-3</v>
      </c>
    </row>
    <row r="388" spans="1:4" x14ac:dyDescent="0.2">
      <c r="A388" s="17">
        <v>37895</v>
      </c>
      <c r="B388" s="59">
        <f>VLOOKUP(Table17[[#This Row],[Date]],database!A:H,7,)</f>
        <v>84.132199999999997</v>
      </c>
      <c r="C388" s="67">
        <f t="shared" si="5"/>
        <v>6.5815527487345094E-3</v>
      </c>
      <c r="D388" s="67">
        <f>(Table17[[#This Row],[Index]]-B376)/B376</f>
        <v>1.7853405358320321E-2</v>
      </c>
    </row>
    <row r="389" spans="1:4" x14ac:dyDescent="0.2">
      <c r="A389" s="17">
        <v>37926</v>
      </c>
      <c r="B389" s="59">
        <f>VLOOKUP(Table17[[#This Row],[Date]],database!A:H,7,)</f>
        <v>84.562399999999997</v>
      </c>
      <c r="C389" s="67">
        <f t="shared" si="5"/>
        <v>5.1133810835803928E-3</v>
      </c>
      <c r="D389" s="67">
        <f>(Table17[[#This Row],[Index]]-B377)/B377</f>
        <v>1.5159736661400518E-2</v>
      </c>
    </row>
    <row r="390" spans="1:4" x14ac:dyDescent="0.2">
      <c r="A390" s="17">
        <v>37956</v>
      </c>
      <c r="B390" s="59">
        <f>VLOOKUP(Table17[[#This Row],[Date]],database!A:H,7,)</f>
        <v>84.742599999999996</v>
      </c>
      <c r="C390" s="67">
        <f t="shared" si="5"/>
        <v>2.130970738768001E-3</v>
      </c>
      <c r="D390" s="67">
        <f>(Table17[[#This Row],[Index]]-B378)/B378</f>
        <v>2.1366810574449852E-2</v>
      </c>
    </row>
    <row r="391" spans="1:4" x14ac:dyDescent="0.2">
      <c r="A391" s="17">
        <v>37987</v>
      </c>
      <c r="B391" s="59">
        <f>VLOOKUP(Table17[[#This Row],[Date]],database!A:H,7,)</f>
        <v>84.871700000000004</v>
      </c>
      <c r="C391" s="67">
        <f t="shared" si="5"/>
        <v>1.5234368546634958E-3</v>
      </c>
      <c r="D391" s="67">
        <f>(Table17[[#This Row],[Index]]-B379)/B379</f>
        <v>1.5996810932850127E-2</v>
      </c>
    </row>
    <row r="392" spans="1:4" x14ac:dyDescent="0.2">
      <c r="A392" s="17">
        <v>38018</v>
      </c>
      <c r="B392" s="59">
        <f>VLOOKUP(Table17[[#This Row],[Date]],database!A:H,7,)</f>
        <v>85.289900000000003</v>
      </c>
      <c r="C392" s="67">
        <f t="shared" ref="C392:C455" si="6">B392/B391-1</f>
        <v>4.9274375321808339E-3</v>
      </c>
      <c r="D392" s="67">
        <f>(Table17[[#This Row],[Index]]-B380)/B380</f>
        <v>2.115220681199954E-2</v>
      </c>
    </row>
    <row r="393" spans="1:4" x14ac:dyDescent="0.2">
      <c r="A393" s="17">
        <v>38047</v>
      </c>
      <c r="B393" s="59">
        <f>VLOOKUP(Table17[[#This Row],[Date]],database!A:H,7,)</f>
        <v>85.179199999999994</v>
      </c>
      <c r="C393" s="67">
        <f t="shared" si="6"/>
        <v>-1.2979262491807919E-3</v>
      </c>
      <c r="D393" s="67">
        <f>(Table17[[#This Row],[Index]]-B381)/B381</f>
        <v>2.6439686160527512E-2</v>
      </c>
    </row>
    <row r="394" spans="1:4" x14ac:dyDescent="0.2">
      <c r="A394" s="17">
        <v>38078</v>
      </c>
      <c r="B394" s="59">
        <f>VLOOKUP(Table17[[#This Row],[Date]],database!A:H,7,)</f>
        <v>85.480800000000002</v>
      </c>
      <c r="C394" s="67">
        <f t="shared" si="6"/>
        <v>3.5407705167460612E-3</v>
      </c>
      <c r="D394" s="67">
        <f>(Table17[[#This Row],[Index]]-B382)/B382</f>
        <v>3.3868929191284612E-2</v>
      </c>
    </row>
    <row r="395" spans="1:4" x14ac:dyDescent="0.2">
      <c r="A395" s="17">
        <v>38108</v>
      </c>
      <c r="B395" s="59">
        <f>VLOOKUP(Table17[[#This Row],[Date]],database!A:H,7,)</f>
        <v>86.231700000000004</v>
      </c>
      <c r="C395" s="67">
        <f t="shared" si="6"/>
        <v>8.7844287840077584E-3</v>
      </c>
      <c r="D395" s="67">
        <f>(Table17[[#This Row],[Index]]-B383)/B383</f>
        <v>4.3916759478959913E-2</v>
      </c>
    </row>
    <row r="396" spans="1:4" x14ac:dyDescent="0.2">
      <c r="A396" s="17">
        <v>38139</v>
      </c>
      <c r="B396" s="59">
        <f>VLOOKUP(Table17[[#This Row],[Date]],database!A:H,7,)</f>
        <v>85.615899999999996</v>
      </c>
      <c r="C396" s="67">
        <f t="shared" si="6"/>
        <v>-7.1412253266490699E-3</v>
      </c>
      <c r="D396" s="67">
        <f>(Table17[[#This Row],[Index]]-B384)/B384</f>
        <v>3.4912127376924507E-2</v>
      </c>
    </row>
    <row r="397" spans="1:4" x14ac:dyDescent="0.2">
      <c r="A397" s="17">
        <v>38169</v>
      </c>
      <c r="B397" s="59">
        <f>VLOOKUP(Table17[[#This Row],[Date]],database!A:H,7,)</f>
        <v>86.204099999999997</v>
      </c>
      <c r="C397" s="67">
        <f t="shared" si="6"/>
        <v>6.8702191999383544E-3</v>
      </c>
      <c r="D397" s="67">
        <f>(Table17[[#This Row],[Index]]-B385)/B385</f>
        <v>3.8753795729503028E-2</v>
      </c>
    </row>
    <row r="398" spans="1:4" x14ac:dyDescent="0.2">
      <c r="A398" s="17">
        <v>38200</v>
      </c>
      <c r="B398" s="59">
        <f>VLOOKUP(Table17[[#This Row],[Date]],database!A:H,7,)</f>
        <v>86.174599999999998</v>
      </c>
      <c r="C398" s="67">
        <f t="shared" si="6"/>
        <v>-3.4221110132814925E-4</v>
      </c>
      <c r="D398" s="67">
        <f>(Table17[[#This Row],[Index]]-B386)/B386</f>
        <v>3.8160637054706147E-2</v>
      </c>
    </row>
    <row r="399" spans="1:4" x14ac:dyDescent="0.2">
      <c r="A399" s="17">
        <v>38231</v>
      </c>
      <c r="B399" s="59">
        <f>VLOOKUP(Table17[[#This Row],[Date]],database!A:H,7,)</f>
        <v>86.401799999999994</v>
      </c>
      <c r="C399" s="67">
        <f t="shared" si="6"/>
        <v>2.63650774126023E-3</v>
      </c>
      <c r="D399" s="67">
        <f>(Table17[[#This Row],[Index]]-B387)/B387</f>
        <v>3.3735692211609873E-2</v>
      </c>
    </row>
    <row r="400" spans="1:4" x14ac:dyDescent="0.2">
      <c r="A400" s="17">
        <v>38261</v>
      </c>
      <c r="B400" s="59">
        <f>VLOOKUP(Table17[[#This Row],[Date]],database!A:H,7,)</f>
        <v>87.196700000000007</v>
      </c>
      <c r="C400" s="67">
        <f t="shared" si="6"/>
        <v>9.2000398139855388E-3</v>
      </c>
      <c r="D400" s="67">
        <f>(Table17[[#This Row],[Index]]-B388)/B388</f>
        <v>3.6424817133035976E-2</v>
      </c>
    </row>
    <row r="401" spans="1:4" x14ac:dyDescent="0.2">
      <c r="A401" s="17">
        <v>38292</v>
      </c>
      <c r="B401" s="59">
        <f>VLOOKUP(Table17[[#This Row],[Date]],database!A:H,7,)</f>
        <v>87.720200000000006</v>
      </c>
      <c r="C401" s="67">
        <f t="shared" si="6"/>
        <v>6.0036675699883801E-3</v>
      </c>
      <c r="D401" s="67">
        <f>(Table17[[#This Row],[Index]]-B389)/B389</f>
        <v>3.7342837951619266E-2</v>
      </c>
    </row>
    <row r="402" spans="1:4" x14ac:dyDescent="0.2">
      <c r="A402" s="17">
        <v>38322</v>
      </c>
      <c r="B402" s="59">
        <f>VLOOKUP(Table17[[#This Row],[Date]],database!A:H,7,)</f>
        <v>88.4405</v>
      </c>
      <c r="C402" s="67">
        <f t="shared" si="6"/>
        <v>8.2113355874700034E-3</v>
      </c>
      <c r="D402" s="67">
        <f>(Table17[[#This Row],[Index]]-B390)/B390</f>
        <v>4.3636848527187085E-2</v>
      </c>
    </row>
    <row r="403" spans="1:4" x14ac:dyDescent="0.2">
      <c r="A403" s="17">
        <v>38353</v>
      </c>
      <c r="B403" s="59">
        <f>VLOOKUP(Table17[[#This Row],[Date]],database!A:H,7,)</f>
        <v>88.406700000000001</v>
      </c>
      <c r="C403" s="67">
        <f t="shared" si="6"/>
        <v>-3.8217784838390223E-4</v>
      </c>
      <c r="D403" s="67">
        <f>(Table17[[#This Row],[Index]]-B391)/B391</f>
        <v>4.1651103960448493E-2</v>
      </c>
    </row>
    <row r="404" spans="1:4" x14ac:dyDescent="0.2">
      <c r="A404" s="17">
        <v>38384</v>
      </c>
      <c r="B404" s="59">
        <f>VLOOKUP(Table17[[#This Row],[Date]],database!A:H,7,)</f>
        <v>89.089500000000001</v>
      </c>
      <c r="C404" s="67">
        <f t="shared" si="6"/>
        <v>7.723396529901061E-3</v>
      </c>
      <c r="D404" s="67">
        <f>(Table17[[#This Row],[Index]]-B392)/B392</f>
        <v>4.45492373657373E-2</v>
      </c>
    </row>
    <row r="405" spans="1:4" x14ac:dyDescent="0.2">
      <c r="A405" s="17">
        <v>38412</v>
      </c>
      <c r="B405" s="59">
        <f>VLOOKUP(Table17[[#This Row],[Date]],database!A:H,7,)</f>
        <v>89.112899999999996</v>
      </c>
      <c r="C405" s="67">
        <f t="shared" si="6"/>
        <v>2.6265721549667553E-4</v>
      </c>
      <c r="D405" s="67">
        <f>(Table17[[#This Row],[Index]]-B393)/B393</f>
        <v>4.618146214099219E-2</v>
      </c>
    </row>
    <row r="406" spans="1:4" x14ac:dyDescent="0.2">
      <c r="A406" s="17">
        <v>38443</v>
      </c>
      <c r="B406" s="59">
        <f>VLOOKUP(Table17[[#This Row],[Date]],database!A:H,7,)</f>
        <v>88.929400000000001</v>
      </c>
      <c r="C406" s="67">
        <f t="shared" si="6"/>
        <v>-2.0591855949025906E-3</v>
      </c>
      <c r="D406" s="67">
        <f>(Table17[[#This Row],[Index]]-B394)/B394</f>
        <v>4.0343562531001104E-2</v>
      </c>
    </row>
    <row r="407" spans="1:4" x14ac:dyDescent="0.2">
      <c r="A407" s="17">
        <v>38473</v>
      </c>
      <c r="B407" s="59">
        <f>VLOOKUP(Table17[[#This Row],[Date]],database!A:H,7,)</f>
        <v>88.735100000000003</v>
      </c>
      <c r="C407" s="67">
        <f t="shared" si="6"/>
        <v>-2.1848792412857421E-3</v>
      </c>
      <c r="D407" s="67">
        <f>(Table17[[#This Row],[Index]]-B395)/B395</f>
        <v>2.9031087175597825E-2</v>
      </c>
    </row>
    <row r="408" spans="1:4" x14ac:dyDescent="0.2">
      <c r="A408" s="17">
        <v>38504</v>
      </c>
      <c r="B408" s="59">
        <f>VLOOKUP(Table17[[#This Row],[Date]],database!A:H,7,)</f>
        <v>89.037300000000002</v>
      </c>
      <c r="C408" s="67">
        <f t="shared" si="6"/>
        <v>3.4056421866881514E-3</v>
      </c>
      <c r="D408" s="67">
        <f>(Table17[[#This Row],[Index]]-B396)/B396</f>
        <v>3.9962203282334303E-2</v>
      </c>
    </row>
    <row r="409" spans="1:4" x14ac:dyDescent="0.2">
      <c r="A409" s="17">
        <v>38534</v>
      </c>
      <c r="B409" s="59">
        <f>VLOOKUP(Table17[[#This Row],[Date]],database!A:H,7,)</f>
        <v>88.75</v>
      </c>
      <c r="C409" s="67">
        <f t="shared" si="6"/>
        <v>-3.2267375583042712E-3</v>
      </c>
      <c r="D409" s="67">
        <f>(Table17[[#This Row],[Index]]-B397)/B397</f>
        <v>2.9533398063433216E-2</v>
      </c>
    </row>
    <row r="410" spans="1:4" x14ac:dyDescent="0.2">
      <c r="A410" s="17">
        <v>38565</v>
      </c>
      <c r="B410" s="59">
        <f>VLOOKUP(Table17[[#This Row],[Date]],database!A:H,7,)</f>
        <v>88.784599999999998</v>
      </c>
      <c r="C410" s="67">
        <f t="shared" si="6"/>
        <v>3.8985915492961709E-4</v>
      </c>
      <c r="D410" s="67">
        <f>(Table17[[#This Row],[Index]]-B398)/B398</f>
        <v>3.0287346851624486E-2</v>
      </c>
    </row>
    <row r="411" spans="1:4" x14ac:dyDescent="0.2">
      <c r="A411" s="17">
        <v>38596</v>
      </c>
      <c r="B411" s="59">
        <f>VLOOKUP(Table17[[#This Row],[Date]],database!A:H,7,)</f>
        <v>85.328800000000001</v>
      </c>
      <c r="C411" s="67">
        <f t="shared" si="6"/>
        <v>-3.8923416898876573E-2</v>
      </c>
      <c r="D411" s="67">
        <f>(Table17[[#This Row],[Index]]-B399)/B399</f>
        <v>-1.2418722758090611E-2</v>
      </c>
    </row>
    <row r="412" spans="1:4" x14ac:dyDescent="0.2">
      <c r="A412" s="17">
        <v>38626</v>
      </c>
      <c r="B412" s="59">
        <f>VLOOKUP(Table17[[#This Row],[Date]],database!A:H,7,)</f>
        <v>86.392600000000002</v>
      </c>
      <c r="C412" s="67">
        <f t="shared" si="6"/>
        <v>1.2467068563017492E-2</v>
      </c>
      <c r="D412" s="67">
        <f>(Table17[[#This Row],[Index]]-B400)/B400</f>
        <v>-9.221679260797774E-3</v>
      </c>
    </row>
    <row r="413" spans="1:4" x14ac:dyDescent="0.2">
      <c r="A413" s="17">
        <v>38657</v>
      </c>
      <c r="B413" s="59">
        <f>VLOOKUP(Table17[[#This Row],[Date]],database!A:H,7,)</f>
        <v>88.18</v>
      </c>
      <c r="C413" s="67">
        <f t="shared" si="6"/>
        <v>2.0689271997833103E-2</v>
      </c>
      <c r="D413" s="67">
        <f>(Table17[[#This Row],[Index]]-B401)/B401</f>
        <v>5.2416661156723457E-3</v>
      </c>
    </row>
    <row r="414" spans="1:4" x14ac:dyDescent="0.2">
      <c r="A414" s="17">
        <v>38687</v>
      </c>
      <c r="B414" s="59">
        <f>VLOOKUP(Table17[[#This Row],[Date]],database!A:H,7,)</f>
        <v>88.861400000000003</v>
      </c>
      <c r="C414" s="67">
        <f t="shared" si="6"/>
        <v>7.7273758221818589E-3</v>
      </c>
      <c r="D414" s="67">
        <f>(Table17[[#This Row],[Index]]-B402)/B402</f>
        <v>4.7591318457042096E-3</v>
      </c>
    </row>
    <row r="415" spans="1:4" x14ac:dyDescent="0.2">
      <c r="A415" s="17">
        <v>38718</v>
      </c>
      <c r="B415" s="59">
        <f>VLOOKUP(Table17[[#This Row],[Date]],database!A:H,7,)</f>
        <v>89.238299999999995</v>
      </c>
      <c r="C415" s="67">
        <f t="shared" si="6"/>
        <v>4.2414366642884449E-3</v>
      </c>
      <c r="D415" s="67">
        <f>(Table17[[#This Row],[Index]]-B403)/B403</f>
        <v>9.406526880881139E-3</v>
      </c>
    </row>
    <row r="416" spans="1:4" x14ac:dyDescent="0.2">
      <c r="A416" s="17">
        <v>38749</v>
      </c>
      <c r="B416" s="59">
        <f>VLOOKUP(Table17[[#This Row],[Date]],database!A:H,7,)</f>
        <v>89.574399999999997</v>
      </c>
      <c r="C416" s="67">
        <f t="shared" si="6"/>
        <v>3.7663200666082641E-3</v>
      </c>
      <c r="D416" s="67">
        <f>(Table17[[#This Row],[Index]]-B404)/B404</f>
        <v>5.4428411877942527E-3</v>
      </c>
    </row>
    <row r="417" spans="1:4" x14ac:dyDescent="0.2">
      <c r="A417" s="17">
        <v>38777</v>
      </c>
      <c r="B417" s="59">
        <f>VLOOKUP(Table17[[#This Row],[Date]],database!A:H,7,)</f>
        <v>89.571600000000004</v>
      </c>
      <c r="C417" s="67">
        <f t="shared" si="6"/>
        <v>-3.1258931123101519E-5</v>
      </c>
      <c r="D417" s="67">
        <f>(Table17[[#This Row],[Index]]-B405)/B405</f>
        <v>5.1474029012635375E-3</v>
      </c>
    </row>
    <row r="418" spans="1:4" x14ac:dyDescent="0.2">
      <c r="A418" s="17">
        <v>38808</v>
      </c>
      <c r="B418" s="59">
        <f>VLOOKUP(Table17[[#This Row],[Date]],database!A:H,7,)</f>
        <v>89.741600000000005</v>
      </c>
      <c r="C418" s="67">
        <f t="shared" si="6"/>
        <v>1.8979230023803417E-3</v>
      </c>
      <c r="D418" s="67">
        <f>(Table17[[#This Row],[Index]]-B406)/B406</f>
        <v>9.1330875953284773E-3</v>
      </c>
    </row>
    <row r="419" spans="1:4" x14ac:dyDescent="0.2">
      <c r="A419" s="17">
        <v>38838</v>
      </c>
      <c r="B419" s="59">
        <f>VLOOKUP(Table17[[#This Row],[Date]],database!A:H,7,)</f>
        <v>89.933400000000006</v>
      </c>
      <c r="C419" s="67">
        <f t="shared" si="6"/>
        <v>2.1372473858276564E-3</v>
      </c>
      <c r="D419" s="67">
        <f>(Table17[[#This Row],[Index]]-B407)/B407</f>
        <v>1.3504239021537173E-2</v>
      </c>
    </row>
    <row r="420" spans="1:4" x14ac:dyDescent="0.2">
      <c r="A420" s="17">
        <v>38869</v>
      </c>
      <c r="B420" s="59">
        <f>VLOOKUP(Table17[[#This Row],[Date]],database!A:H,7,)</f>
        <v>90.176400000000001</v>
      </c>
      <c r="C420" s="67">
        <f t="shared" si="6"/>
        <v>2.7019994796149138E-3</v>
      </c>
      <c r="D420" s="67">
        <f>(Table17[[#This Row],[Index]]-B408)/B408</f>
        <v>1.2793514628138982E-2</v>
      </c>
    </row>
    <row r="421" spans="1:4" x14ac:dyDescent="0.2">
      <c r="A421" s="17">
        <v>38899</v>
      </c>
      <c r="B421" s="59">
        <f>VLOOKUP(Table17[[#This Row],[Date]],database!A:H,7,)</f>
        <v>90.302700000000002</v>
      </c>
      <c r="C421" s="67">
        <f t="shared" si="6"/>
        <v>1.4005881804994846E-3</v>
      </c>
      <c r="D421" s="67">
        <f>(Table17[[#This Row],[Index]]-B409)/B409</f>
        <v>1.749521126760565E-2</v>
      </c>
    </row>
    <row r="422" spans="1:4" x14ac:dyDescent="0.2">
      <c r="A422" s="17">
        <v>38930</v>
      </c>
      <c r="B422" s="59">
        <f>VLOOKUP(Table17[[#This Row],[Date]],database!A:H,7,)</f>
        <v>90.567700000000002</v>
      </c>
      <c r="C422" s="67">
        <f t="shared" si="6"/>
        <v>2.9345744922355532E-3</v>
      </c>
      <c r="D422" s="67">
        <f>(Table17[[#This Row],[Index]]-B410)/B410</f>
        <v>2.008343789350861E-2</v>
      </c>
    </row>
    <row r="423" spans="1:4" x14ac:dyDescent="0.2">
      <c r="A423" s="17">
        <v>38961</v>
      </c>
      <c r="B423" s="59">
        <f>VLOOKUP(Table17[[#This Row],[Date]],database!A:H,7,)</f>
        <v>90.382400000000004</v>
      </c>
      <c r="C423" s="67">
        <f t="shared" si="6"/>
        <v>-2.0459832810151291E-3</v>
      </c>
      <c r="D423" s="67">
        <f>(Table17[[#This Row],[Index]]-B411)/B411</f>
        <v>5.9225021329258151E-2</v>
      </c>
    </row>
    <row r="424" spans="1:4" x14ac:dyDescent="0.2">
      <c r="A424" s="17">
        <v>38991</v>
      </c>
      <c r="B424" s="59">
        <f>VLOOKUP(Table17[[#This Row],[Date]],database!A:H,7,)</f>
        <v>90.215699999999998</v>
      </c>
      <c r="C424" s="67">
        <f t="shared" si="6"/>
        <v>-1.8443856326011421E-3</v>
      </c>
      <c r="D424" s="67">
        <f>(Table17[[#This Row],[Index]]-B412)/B412</f>
        <v>4.4252632748638152E-2</v>
      </c>
    </row>
    <row r="425" spans="1:4" x14ac:dyDescent="0.2">
      <c r="A425" s="17">
        <v>39022</v>
      </c>
      <c r="B425" s="59">
        <f>VLOOKUP(Table17[[#This Row],[Date]],database!A:H,7,)</f>
        <v>89.990399999999994</v>
      </c>
      <c r="C425" s="67">
        <f t="shared" si="6"/>
        <v>-2.4973480225726208E-3</v>
      </c>
      <c r="D425" s="67">
        <f>(Table17[[#This Row],[Index]]-B413)/B413</f>
        <v>2.0530732592424439E-2</v>
      </c>
    </row>
    <row r="426" spans="1:4" x14ac:dyDescent="0.2">
      <c r="A426" s="17">
        <v>39052</v>
      </c>
      <c r="B426" s="59">
        <f>VLOOKUP(Table17[[#This Row],[Date]],database!A:H,7,)</f>
        <v>90.936700000000002</v>
      </c>
      <c r="C426" s="67">
        <f t="shared" si="6"/>
        <v>1.0515566104829066E-2</v>
      </c>
      <c r="D426" s="67">
        <f>(Table17[[#This Row],[Index]]-B414)/B414</f>
        <v>2.3354347331912377E-2</v>
      </c>
    </row>
    <row r="427" spans="1:4" x14ac:dyDescent="0.2">
      <c r="A427" s="17">
        <v>39083</v>
      </c>
      <c r="B427" s="59">
        <f>VLOOKUP(Table17[[#This Row],[Date]],database!A:H,7,)</f>
        <v>90.875799999999998</v>
      </c>
      <c r="C427" s="67">
        <f t="shared" si="6"/>
        <v>-6.6969661313864837E-4</v>
      </c>
      <c r="D427" s="67">
        <f>(Table17[[#This Row],[Index]]-B415)/B415</f>
        <v>1.8349744448291853E-2</v>
      </c>
    </row>
    <row r="428" spans="1:4" x14ac:dyDescent="0.2">
      <c r="A428" s="17">
        <v>39114</v>
      </c>
      <c r="B428" s="59">
        <f>VLOOKUP(Table17[[#This Row],[Date]],database!A:H,7,)</f>
        <v>91.824100000000001</v>
      </c>
      <c r="C428" s="67">
        <f t="shared" si="6"/>
        <v>1.0435121341435316E-2</v>
      </c>
      <c r="D428" s="67">
        <f>(Table17[[#This Row],[Index]]-B416)/B416</f>
        <v>2.5115434767076356E-2</v>
      </c>
    </row>
    <row r="429" spans="1:4" x14ac:dyDescent="0.2">
      <c r="A429" s="17">
        <v>39142</v>
      </c>
      <c r="B429" s="59">
        <f>VLOOKUP(Table17[[#This Row],[Date]],database!A:H,7,)</f>
        <v>92.1494</v>
      </c>
      <c r="C429" s="67">
        <f t="shared" si="6"/>
        <v>3.5426429444993524E-3</v>
      </c>
      <c r="D429" s="67">
        <f>(Table17[[#This Row],[Index]]-B417)/B417</f>
        <v>2.877921126785718E-2</v>
      </c>
    </row>
    <row r="430" spans="1:4" x14ac:dyDescent="0.2">
      <c r="A430" s="17">
        <v>39173</v>
      </c>
      <c r="B430" s="59">
        <f>VLOOKUP(Table17[[#This Row],[Date]],database!A:H,7,)</f>
        <v>92.836100000000002</v>
      </c>
      <c r="C430" s="67">
        <f t="shared" si="6"/>
        <v>7.4520289877091361E-3</v>
      </c>
      <c r="D430" s="67">
        <f>(Table17[[#This Row],[Index]]-B418)/B418</f>
        <v>3.4482335951219904E-2</v>
      </c>
    </row>
    <row r="431" spans="1:4" x14ac:dyDescent="0.2">
      <c r="A431" s="17">
        <v>39203</v>
      </c>
      <c r="B431" s="59">
        <f>VLOOKUP(Table17[[#This Row],[Date]],database!A:H,7,)</f>
        <v>93.232500000000002</v>
      </c>
      <c r="C431" s="67">
        <f t="shared" si="6"/>
        <v>4.2698906998461794E-3</v>
      </c>
      <c r="D431" s="67">
        <f>(Table17[[#This Row],[Index]]-B419)/B419</f>
        <v>3.6683812688055775E-2</v>
      </c>
    </row>
    <row r="432" spans="1:4" x14ac:dyDescent="0.2">
      <c r="A432" s="17">
        <v>39234</v>
      </c>
      <c r="B432" s="59">
        <f>VLOOKUP(Table17[[#This Row],[Date]],database!A:H,7,)</f>
        <v>93.132199999999997</v>
      </c>
      <c r="C432" s="67">
        <f t="shared" si="6"/>
        <v>-1.0758051108787914E-3</v>
      </c>
      <c r="D432" s="67">
        <f>(Table17[[#This Row],[Index]]-B420)/B420</f>
        <v>3.2777977386544553E-2</v>
      </c>
    </row>
    <row r="433" spans="1:4" x14ac:dyDescent="0.2">
      <c r="A433" s="17">
        <v>39264</v>
      </c>
      <c r="B433" s="59">
        <f>VLOOKUP(Table17[[#This Row],[Date]],database!A:H,7,)</f>
        <v>93.233900000000006</v>
      </c>
      <c r="C433" s="67">
        <f t="shared" si="6"/>
        <v>1.0919961087572094E-3</v>
      </c>
      <c r="D433" s="67">
        <f>(Table17[[#This Row],[Index]]-B421)/B421</f>
        <v>3.2459716043927854E-2</v>
      </c>
    </row>
    <row r="434" spans="1:4" x14ac:dyDescent="0.2">
      <c r="A434" s="17">
        <v>39295</v>
      </c>
      <c r="B434" s="59">
        <f>VLOOKUP(Table17[[#This Row],[Date]],database!A:H,7,)</f>
        <v>93.744399999999999</v>
      </c>
      <c r="C434" s="67">
        <f t="shared" si="6"/>
        <v>5.4754761948174746E-3</v>
      </c>
      <c r="D434" s="67">
        <f>(Table17[[#This Row],[Index]]-B422)/B422</f>
        <v>3.5075418719918872E-2</v>
      </c>
    </row>
    <row r="435" spans="1:4" x14ac:dyDescent="0.2">
      <c r="A435" s="17">
        <v>39326</v>
      </c>
      <c r="B435" s="59">
        <f>VLOOKUP(Table17[[#This Row],[Date]],database!A:H,7,)</f>
        <v>93.822100000000006</v>
      </c>
      <c r="C435" s="67">
        <f t="shared" si="6"/>
        <v>8.2884950994421835E-4</v>
      </c>
      <c r="D435" s="67">
        <f>(Table17[[#This Row],[Index]]-B423)/B423</f>
        <v>3.8057188125121724E-2</v>
      </c>
    </row>
    <row r="436" spans="1:4" x14ac:dyDescent="0.2">
      <c r="A436" s="17">
        <v>39356</v>
      </c>
      <c r="B436" s="59">
        <f>VLOOKUP(Table17[[#This Row],[Date]],database!A:H,7,)</f>
        <v>93.941299999999998</v>
      </c>
      <c r="C436" s="67">
        <f t="shared" si="6"/>
        <v>1.270489575483813E-3</v>
      </c>
      <c r="D436" s="67">
        <f>(Table17[[#This Row],[Index]]-B424)/B424</f>
        <v>4.1296581415429912E-2</v>
      </c>
    </row>
    <row r="437" spans="1:4" x14ac:dyDescent="0.2">
      <c r="A437" s="17">
        <v>39387</v>
      </c>
      <c r="B437" s="59">
        <f>VLOOKUP(Table17[[#This Row],[Date]],database!A:H,7,)</f>
        <v>94.798100000000005</v>
      </c>
      <c r="C437" s="67">
        <f t="shared" si="6"/>
        <v>9.12058913385283E-3</v>
      </c>
      <c r="D437" s="67">
        <f>(Table17[[#This Row],[Index]]-B425)/B425</f>
        <v>5.3424587511556917E-2</v>
      </c>
    </row>
    <row r="438" spans="1:4" x14ac:dyDescent="0.2">
      <c r="A438" s="17">
        <v>39417</v>
      </c>
      <c r="B438" s="59">
        <f>VLOOKUP(Table17[[#This Row],[Date]],database!A:H,7,)</f>
        <v>94.781999999999996</v>
      </c>
      <c r="C438" s="67">
        <f t="shared" si="6"/>
        <v>-1.698346274873197E-4</v>
      </c>
      <c r="D438" s="67">
        <f>(Table17[[#This Row],[Index]]-B426)/B426</f>
        <v>4.2285457906433753E-2</v>
      </c>
    </row>
    <row r="439" spans="1:4" x14ac:dyDescent="0.2">
      <c r="A439" s="17">
        <v>39448</v>
      </c>
      <c r="B439" s="59">
        <f>VLOOKUP(Table17[[#This Row],[Date]],database!A:H,7,)</f>
        <v>94.536100000000005</v>
      </c>
      <c r="C439" s="67">
        <f t="shared" si="6"/>
        <v>-2.5943744592854534E-3</v>
      </c>
      <c r="D439" s="67">
        <f>(Table17[[#This Row],[Index]]-B427)/B427</f>
        <v>4.0278049821844832E-2</v>
      </c>
    </row>
    <row r="440" spans="1:4" x14ac:dyDescent="0.2">
      <c r="A440" s="17">
        <v>39479</v>
      </c>
      <c r="B440" s="59">
        <f>VLOOKUP(Table17[[#This Row],[Date]],database!A:H,7,)</f>
        <v>94.059799999999996</v>
      </c>
      <c r="C440" s="67">
        <f t="shared" si="6"/>
        <v>-5.0382869612772829E-3</v>
      </c>
      <c r="D440" s="67">
        <f>(Table17[[#This Row],[Index]]-B428)/B428</f>
        <v>2.4347638582899199E-2</v>
      </c>
    </row>
    <row r="441" spans="1:4" x14ac:dyDescent="0.2">
      <c r="A441" s="17">
        <v>39508</v>
      </c>
      <c r="B441" s="59">
        <f>VLOOKUP(Table17[[#This Row],[Date]],database!A:H,7,)</f>
        <v>94.125200000000007</v>
      </c>
      <c r="C441" s="67">
        <f t="shared" si="6"/>
        <v>6.9530235020720532E-4</v>
      </c>
      <c r="D441" s="67">
        <f>(Table17[[#This Row],[Index]]-B429)/B429</f>
        <v>2.144126820142081E-2</v>
      </c>
    </row>
    <row r="442" spans="1:4" x14ac:dyDescent="0.2">
      <c r="A442" s="17">
        <v>39539</v>
      </c>
      <c r="B442" s="59">
        <f>VLOOKUP(Table17[[#This Row],[Date]],database!A:H,7,)</f>
        <v>93.783199999999994</v>
      </c>
      <c r="C442" s="67">
        <f t="shared" si="6"/>
        <v>-3.6334584149623206E-3</v>
      </c>
      <c r="D442" s="67">
        <f>(Table17[[#This Row],[Index]]-B430)/B430</f>
        <v>1.0201850357780991E-2</v>
      </c>
    </row>
    <row r="443" spans="1:4" x14ac:dyDescent="0.2">
      <c r="A443" s="17">
        <v>39569</v>
      </c>
      <c r="B443" s="59">
        <f>VLOOKUP(Table17[[#This Row],[Date]],database!A:H,7,)</f>
        <v>93.103200000000001</v>
      </c>
      <c r="C443" s="67">
        <f t="shared" si="6"/>
        <v>-7.2507655955437178E-3</v>
      </c>
      <c r="D443" s="67">
        <f>(Table17[[#This Row],[Index]]-B431)/B431</f>
        <v>-1.3868554420400679E-3</v>
      </c>
    </row>
    <row r="444" spans="1:4" x14ac:dyDescent="0.2">
      <c r="A444" s="17">
        <v>39600</v>
      </c>
      <c r="B444" s="59">
        <f>VLOOKUP(Table17[[#This Row],[Date]],database!A:H,7,)</f>
        <v>93.079899999999995</v>
      </c>
      <c r="C444" s="67">
        <f t="shared" si="6"/>
        <v>-2.5025992661908969E-4</v>
      </c>
      <c r="D444" s="67">
        <f>(Table17[[#This Row],[Index]]-B432)/B432</f>
        <v>-5.6156732043270165E-4</v>
      </c>
    </row>
    <row r="445" spans="1:4" x14ac:dyDescent="0.2">
      <c r="A445" s="17">
        <v>39630</v>
      </c>
      <c r="B445" s="59">
        <f>VLOOKUP(Table17[[#This Row],[Date]],database!A:H,7,)</f>
        <v>93.057900000000004</v>
      </c>
      <c r="C445" s="67">
        <f t="shared" si="6"/>
        <v>-2.3635607687577664E-4</v>
      </c>
      <c r="D445" s="67">
        <f>(Table17[[#This Row],[Index]]-B433)/B433</f>
        <v>-1.8877253874395679E-3</v>
      </c>
    </row>
    <row r="446" spans="1:4" x14ac:dyDescent="0.2">
      <c r="A446" s="17">
        <v>39661</v>
      </c>
      <c r="B446" s="59">
        <f>VLOOKUP(Table17[[#This Row],[Date]],database!A:H,7,)</f>
        <v>91.499200000000002</v>
      </c>
      <c r="C446" s="67">
        <f t="shared" si="6"/>
        <v>-1.6749786960591262E-2</v>
      </c>
      <c r="D446" s="67">
        <f>(Table17[[#This Row],[Index]]-B434)/B434</f>
        <v>-2.3950230627109426E-2</v>
      </c>
    </row>
    <row r="447" spans="1:4" x14ac:dyDescent="0.2">
      <c r="A447" s="17">
        <v>39692</v>
      </c>
      <c r="B447" s="59">
        <f>VLOOKUP(Table17[[#This Row],[Date]],database!A:H,7,)</f>
        <v>85.474400000000003</v>
      </c>
      <c r="C447" s="67">
        <f t="shared" si="6"/>
        <v>-6.5845384440519683E-2</v>
      </c>
      <c r="D447" s="67">
        <f>(Table17[[#This Row],[Index]]-B435)/B435</f>
        <v>-8.8973706621361087E-2</v>
      </c>
    </row>
    <row r="448" spans="1:4" x14ac:dyDescent="0.2">
      <c r="A448" s="17">
        <v>39722</v>
      </c>
      <c r="B448" s="59">
        <f>VLOOKUP(Table17[[#This Row],[Date]],database!A:H,7,)</f>
        <v>87.970399999999998</v>
      </c>
      <c r="C448" s="67">
        <f t="shared" si="6"/>
        <v>2.920172589687664E-2</v>
      </c>
      <c r="D448" s="67">
        <f>(Table17[[#This Row],[Index]]-B436)/B436</f>
        <v>-6.3559903897433823E-2</v>
      </c>
    </row>
    <row r="449" spans="1:4" x14ac:dyDescent="0.2">
      <c r="A449" s="17">
        <v>39753</v>
      </c>
      <c r="B449" s="59">
        <f>VLOOKUP(Table17[[#This Row],[Date]],database!A:H,7,)</f>
        <v>86.624799999999993</v>
      </c>
      <c r="C449" s="67">
        <f t="shared" si="6"/>
        <v>-1.5296054127297398E-2</v>
      </c>
      <c r="D449" s="67">
        <f>(Table17[[#This Row],[Index]]-B437)/B437</f>
        <v>-8.6217972723082126E-2</v>
      </c>
    </row>
    <row r="450" spans="1:4" x14ac:dyDescent="0.2">
      <c r="A450" s="17">
        <v>39783</v>
      </c>
      <c r="B450" s="59">
        <f>VLOOKUP(Table17[[#This Row],[Date]],database!A:H,7,)</f>
        <v>83.424300000000002</v>
      </c>
      <c r="C450" s="67">
        <f t="shared" si="6"/>
        <v>-3.6946694249221812E-2</v>
      </c>
      <c r="D450" s="67">
        <f>(Table17[[#This Row],[Index]]-B438)/B438</f>
        <v>-0.11982971450275363</v>
      </c>
    </row>
    <row r="451" spans="1:4" x14ac:dyDescent="0.2">
      <c r="A451" s="17">
        <v>39814</v>
      </c>
      <c r="B451" s="59">
        <f>VLOOKUP(Table17[[#This Row],[Date]],database!A:H,7,)</f>
        <v>81.854399999999998</v>
      </c>
      <c r="C451" s="67">
        <f t="shared" si="6"/>
        <v>-1.8818257989578591E-2</v>
      </c>
      <c r="D451" s="67">
        <f>(Table17[[#This Row],[Index]]-B439)/B439</f>
        <v>-0.13414663816256442</v>
      </c>
    </row>
    <row r="452" spans="1:4" x14ac:dyDescent="0.2">
      <c r="A452" s="17">
        <v>39845</v>
      </c>
      <c r="B452" s="59">
        <f>VLOOKUP(Table17[[#This Row],[Date]],database!A:H,7,)</f>
        <v>81.391000000000005</v>
      </c>
      <c r="C452" s="67">
        <f t="shared" si="6"/>
        <v>-5.6612717214956643E-3</v>
      </c>
      <c r="D452" s="67">
        <f>(Table17[[#This Row],[Index]]-B440)/B440</f>
        <v>-0.13468878309330862</v>
      </c>
    </row>
    <row r="453" spans="1:4" x14ac:dyDescent="0.2">
      <c r="A453" s="17">
        <v>39873</v>
      </c>
      <c r="B453" s="59">
        <f>VLOOKUP(Table17[[#This Row],[Date]],database!A:H,7,)</f>
        <v>79.911100000000005</v>
      </c>
      <c r="C453" s="67">
        <f t="shared" si="6"/>
        <v>-1.8182600041773633E-2</v>
      </c>
      <c r="D453" s="67">
        <f>(Table17[[#This Row],[Index]]-B441)/B441</f>
        <v>-0.15101269373132808</v>
      </c>
    </row>
    <row r="454" spans="1:4" x14ac:dyDescent="0.2">
      <c r="A454" s="17">
        <v>39904</v>
      </c>
      <c r="B454" s="59">
        <f>VLOOKUP(Table17[[#This Row],[Date]],database!A:H,7,)</f>
        <v>79.316500000000005</v>
      </c>
      <c r="C454" s="67">
        <f t="shared" si="6"/>
        <v>-7.4407685540557322E-3</v>
      </c>
      <c r="D454" s="67">
        <f>(Table17[[#This Row],[Index]]-B442)/B442</f>
        <v>-0.154256839178019</v>
      </c>
    </row>
    <row r="455" spans="1:4" x14ac:dyDescent="0.2">
      <c r="A455" s="17">
        <v>39934</v>
      </c>
      <c r="B455" s="59">
        <f>VLOOKUP(Table17[[#This Row],[Date]],database!A:H,7,)</f>
        <v>78.831800000000001</v>
      </c>
      <c r="C455" s="67">
        <f t="shared" si="6"/>
        <v>-6.1109605189336724E-3</v>
      </c>
      <c r="D455" s="67">
        <f>(Table17[[#This Row],[Index]]-B443)/B443</f>
        <v>-0.15328581616958387</v>
      </c>
    </row>
    <row r="456" spans="1:4" x14ac:dyDescent="0.2">
      <c r="A456" s="17">
        <v>39965</v>
      </c>
      <c r="B456" s="59">
        <f>VLOOKUP(Table17[[#This Row],[Date]],database!A:H,7,)</f>
        <v>78.5959</v>
      </c>
      <c r="C456" s="67">
        <f t="shared" ref="C456:C519" si="7">B456/B455-1</f>
        <v>-2.9924472103897148E-3</v>
      </c>
      <c r="D456" s="67">
        <f>(Table17[[#This Row],[Index]]-B444)/B444</f>
        <v>-0.15560824624865299</v>
      </c>
    </row>
    <row r="457" spans="1:4" x14ac:dyDescent="0.2">
      <c r="A457" s="17">
        <v>39995</v>
      </c>
      <c r="B457" s="59">
        <f>VLOOKUP(Table17[[#This Row],[Date]],database!A:H,7,)</f>
        <v>79.721900000000005</v>
      </c>
      <c r="C457" s="67">
        <f t="shared" si="7"/>
        <v>1.4326447053853997E-2</v>
      </c>
      <c r="D457" s="67">
        <f>(Table17[[#This Row],[Index]]-B445)/B445</f>
        <v>-0.14330862828411126</v>
      </c>
    </row>
    <row r="458" spans="1:4" x14ac:dyDescent="0.2">
      <c r="A458" s="17">
        <v>40026</v>
      </c>
      <c r="B458" s="59">
        <f>VLOOKUP(Table17[[#This Row],[Date]],database!A:H,7,)</f>
        <v>80.8596</v>
      </c>
      <c r="C458" s="67">
        <f t="shared" si="7"/>
        <v>1.4270859073855391E-2</v>
      </c>
      <c r="D458" s="67">
        <f>(Table17[[#This Row],[Index]]-B446)/B446</f>
        <v>-0.11628079808348052</v>
      </c>
    </row>
    <row r="459" spans="1:4" x14ac:dyDescent="0.2">
      <c r="A459" s="17">
        <v>40057</v>
      </c>
      <c r="B459" s="59">
        <f>VLOOKUP(Table17[[#This Row],[Date]],database!A:H,7,)</f>
        <v>81.733400000000003</v>
      </c>
      <c r="C459" s="67">
        <f t="shared" si="7"/>
        <v>1.0806385388995254E-2</v>
      </c>
      <c r="D459" s="67">
        <f>(Table17[[#This Row],[Index]]-B447)/B447</f>
        <v>-4.3767490617073641E-2</v>
      </c>
    </row>
    <row r="460" spans="1:4" x14ac:dyDescent="0.2">
      <c r="A460" s="17">
        <v>40087</v>
      </c>
      <c r="B460" s="59">
        <f>VLOOKUP(Table17[[#This Row],[Date]],database!A:H,7,)</f>
        <v>81.939099999999996</v>
      </c>
      <c r="C460" s="67">
        <f t="shared" si="7"/>
        <v>2.5167189912569388E-3</v>
      </c>
      <c r="D460" s="67">
        <f>(Table17[[#This Row],[Index]]-B448)/B448</f>
        <v>-6.8560561279703197E-2</v>
      </c>
    </row>
    <row r="461" spans="1:4" x14ac:dyDescent="0.2">
      <c r="A461" s="17">
        <v>40118</v>
      </c>
      <c r="B461" s="59">
        <f>VLOOKUP(Table17[[#This Row],[Date]],database!A:H,7,)</f>
        <v>82.797799999999995</v>
      </c>
      <c r="C461" s="67">
        <f t="shared" si="7"/>
        <v>1.0479734339283731E-2</v>
      </c>
      <c r="D461" s="67">
        <f>(Table17[[#This Row],[Index]]-B449)/B449</f>
        <v>-4.4179034179588274E-2</v>
      </c>
    </row>
    <row r="462" spans="1:4" x14ac:dyDescent="0.2">
      <c r="A462" s="17">
        <v>40148</v>
      </c>
      <c r="B462" s="59">
        <f>VLOOKUP(Table17[[#This Row],[Date]],database!A:H,7,)</f>
        <v>83.120699999999999</v>
      </c>
      <c r="C462" s="67">
        <f t="shared" si="7"/>
        <v>3.8998620736301337E-3</v>
      </c>
      <c r="D462" s="67">
        <f>(Table17[[#This Row],[Index]]-B450)/B450</f>
        <v>-3.6392274193490742E-3</v>
      </c>
    </row>
    <row r="463" spans="1:4" x14ac:dyDescent="0.2">
      <c r="A463" s="17">
        <v>40179</v>
      </c>
      <c r="B463" s="59">
        <f>VLOOKUP(Table17[[#This Row],[Date]],database!A:H,7,)</f>
        <v>84.167199999999994</v>
      </c>
      <c r="C463" s="67">
        <f t="shared" si="7"/>
        <v>1.2590124962855054E-2</v>
      </c>
      <c r="D463" s="67">
        <f>(Table17[[#This Row],[Index]]-B451)/B451</f>
        <v>2.8255047987646307E-2</v>
      </c>
    </row>
    <row r="464" spans="1:4" x14ac:dyDescent="0.2">
      <c r="A464" s="17">
        <v>40210</v>
      </c>
      <c r="B464" s="59">
        <f>VLOOKUP(Table17[[#This Row],[Date]],database!A:H,7,)</f>
        <v>85.254199999999997</v>
      </c>
      <c r="C464" s="67">
        <f t="shared" si="7"/>
        <v>1.2914769648984414E-2</v>
      </c>
      <c r="D464" s="67">
        <f>(Table17[[#This Row],[Index]]-B452)/B452</f>
        <v>4.7464707400080991E-2</v>
      </c>
    </row>
    <row r="465" spans="1:4" x14ac:dyDescent="0.2">
      <c r="A465" s="17">
        <v>40238</v>
      </c>
      <c r="B465" s="59">
        <f>VLOOKUP(Table17[[#This Row],[Date]],database!A:H,7,)</f>
        <v>85.746600000000001</v>
      </c>
      <c r="C465" s="67">
        <f t="shared" si="7"/>
        <v>5.7756685301135757E-3</v>
      </c>
      <c r="D465" s="67">
        <f>(Table17[[#This Row],[Index]]-B453)/B453</f>
        <v>7.3024898918923595E-2</v>
      </c>
    </row>
    <row r="466" spans="1:4" x14ac:dyDescent="0.2">
      <c r="A466" s="17">
        <v>40269</v>
      </c>
      <c r="B466" s="59">
        <f>VLOOKUP(Table17[[#This Row],[Date]],database!A:H,7,)</f>
        <v>86.201999999999998</v>
      </c>
      <c r="C466" s="67">
        <f t="shared" si="7"/>
        <v>5.3109977538468023E-3</v>
      </c>
      <c r="D466" s="67">
        <f>(Table17[[#This Row],[Index]]-B454)/B454</f>
        <v>8.6810436668284571E-2</v>
      </c>
    </row>
    <row r="467" spans="1:4" x14ac:dyDescent="0.2">
      <c r="A467" s="17">
        <v>40299</v>
      </c>
      <c r="B467" s="59">
        <f>VLOOKUP(Table17[[#This Row],[Date]],database!A:H,7,)</f>
        <v>87.364000000000004</v>
      </c>
      <c r="C467" s="67">
        <f t="shared" si="7"/>
        <v>1.3479965662049676E-2</v>
      </c>
      <c r="D467" s="67">
        <f>(Table17[[#This Row],[Index]]-B455)/B455</f>
        <v>0.10823297197323926</v>
      </c>
    </row>
    <row r="468" spans="1:4" x14ac:dyDescent="0.2">
      <c r="A468" s="17">
        <v>40330</v>
      </c>
      <c r="B468" s="59">
        <f>VLOOKUP(Table17[[#This Row],[Date]],database!A:H,7,)</f>
        <v>87.897400000000005</v>
      </c>
      <c r="C468" s="67">
        <f t="shared" si="7"/>
        <v>6.1054896753811594E-3</v>
      </c>
      <c r="D468" s="67">
        <f>(Table17[[#This Row],[Index]]-B456)/B456</f>
        <v>0.11834586791422967</v>
      </c>
    </row>
    <row r="469" spans="1:4" x14ac:dyDescent="0.2">
      <c r="A469" s="17">
        <v>40360</v>
      </c>
      <c r="B469" s="59">
        <f>VLOOKUP(Table17[[#This Row],[Date]],database!A:H,7,)</f>
        <v>88.102000000000004</v>
      </c>
      <c r="C469" s="67">
        <f t="shared" si="7"/>
        <v>2.327713902800399E-3</v>
      </c>
      <c r="D469" s="67">
        <f>(Table17[[#This Row],[Index]]-B457)/B457</f>
        <v>0.10511666179556682</v>
      </c>
    </row>
    <row r="470" spans="1:4" x14ac:dyDescent="0.2">
      <c r="A470" s="17">
        <v>40391</v>
      </c>
      <c r="B470" s="59">
        <f>VLOOKUP(Table17[[#This Row],[Date]],database!A:H,7,)</f>
        <v>88.854200000000006</v>
      </c>
      <c r="C470" s="67">
        <f t="shared" si="7"/>
        <v>8.5378311502577464E-3</v>
      </c>
      <c r="D470" s="67">
        <f>(Table17[[#This Row],[Index]]-B458)/B458</f>
        <v>9.8870140342025015E-2</v>
      </c>
    </row>
    <row r="471" spans="1:4" x14ac:dyDescent="0.2">
      <c r="A471" s="17">
        <v>40422</v>
      </c>
      <c r="B471" s="59">
        <f>VLOOKUP(Table17[[#This Row],[Date]],database!A:H,7,)</f>
        <v>89.536500000000004</v>
      </c>
      <c r="C471" s="67">
        <f t="shared" si="7"/>
        <v>7.6788716796729606E-3</v>
      </c>
      <c r="D471" s="67">
        <f>(Table17[[#This Row],[Index]]-B459)/B459</f>
        <v>9.5470150513743468E-2</v>
      </c>
    </row>
    <row r="472" spans="1:4" x14ac:dyDescent="0.2">
      <c r="A472" s="17">
        <v>40452</v>
      </c>
      <c r="B472" s="59">
        <f>VLOOKUP(Table17[[#This Row],[Date]],database!A:H,7,)</f>
        <v>89.140100000000004</v>
      </c>
      <c r="C472" s="67">
        <f t="shared" si="7"/>
        <v>-4.4272447549323912E-3</v>
      </c>
      <c r="D472" s="67">
        <f>(Table17[[#This Row],[Index]]-B460)/B460</f>
        <v>8.7882341885620024E-2</v>
      </c>
    </row>
    <row r="473" spans="1:4" x14ac:dyDescent="0.2">
      <c r="A473" s="17">
        <v>40483</v>
      </c>
      <c r="B473" s="59">
        <f>VLOOKUP(Table17[[#This Row],[Date]],database!A:H,7,)</f>
        <v>89.293099999999995</v>
      </c>
      <c r="C473" s="67">
        <f t="shared" si="7"/>
        <v>1.7163992411943774E-3</v>
      </c>
      <c r="D473" s="67">
        <f>(Table17[[#This Row],[Index]]-B461)/B461</f>
        <v>7.8447736534062507E-2</v>
      </c>
    </row>
    <row r="474" spans="1:4" x14ac:dyDescent="0.2">
      <c r="A474" s="17">
        <v>40513</v>
      </c>
      <c r="B474" s="59">
        <f>VLOOKUP(Table17[[#This Row],[Date]],database!A:H,7,)</f>
        <v>90.440600000000003</v>
      </c>
      <c r="C474" s="67">
        <f t="shared" si="7"/>
        <v>1.2850936970493887E-2</v>
      </c>
      <c r="D474" s="67">
        <f>(Table17[[#This Row],[Index]]-B462)/B462</f>
        <v>8.8063502833830853E-2</v>
      </c>
    </row>
    <row r="475" spans="1:4" x14ac:dyDescent="0.2">
      <c r="A475" s="17">
        <v>40544</v>
      </c>
      <c r="B475" s="59">
        <f>VLOOKUP(Table17[[#This Row],[Date]],database!A:H,7,)</f>
        <v>90.018600000000006</v>
      </c>
      <c r="C475" s="67">
        <f t="shared" si="7"/>
        <v>-4.6660460014639193E-3</v>
      </c>
      <c r="D475" s="67">
        <f>(Table17[[#This Row],[Index]]-B463)/B463</f>
        <v>6.9521143628396967E-2</v>
      </c>
    </row>
    <row r="476" spans="1:4" x14ac:dyDescent="0.2">
      <c r="A476" s="17">
        <v>40575</v>
      </c>
      <c r="B476" s="59">
        <f>VLOOKUP(Table17[[#This Row],[Date]],database!A:H,7,)</f>
        <v>89.376000000000005</v>
      </c>
      <c r="C476" s="67">
        <f t="shared" si="7"/>
        <v>-7.138524704894289E-3</v>
      </c>
      <c r="D476" s="67">
        <f>(Table17[[#This Row],[Index]]-B464)/B464</f>
        <v>4.8347178203537275E-2</v>
      </c>
    </row>
    <row r="477" spans="1:4" x14ac:dyDescent="0.2">
      <c r="A477" s="17">
        <v>40603</v>
      </c>
      <c r="B477" s="59">
        <f>VLOOKUP(Table17[[#This Row],[Date]],database!A:H,7,)</f>
        <v>91.145899999999997</v>
      </c>
      <c r="C477" s="67">
        <f t="shared" si="7"/>
        <v>1.9802855352667237E-2</v>
      </c>
      <c r="D477" s="67">
        <f>(Table17[[#This Row],[Index]]-B465)/B465</f>
        <v>6.2968094361758917E-2</v>
      </c>
    </row>
    <row r="478" spans="1:4" x14ac:dyDescent="0.2">
      <c r="A478" s="17">
        <v>40634</v>
      </c>
      <c r="B478" s="59">
        <f>VLOOKUP(Table17[[#This Row],[Date]],database!A:H,7,)</f>
        <v>90.676599999999993</v>
      </c>
      <c r="C478" s="68">
        <f t="shared" si="7"/>
        <v>-5.1488876625279678E-3</v>
      </c>
      <c r="D478" s="67">
        <f>(Table17[[#This Row],[Index]]-B466)/B466</f>
        <v>5.1908308391916604E-2</v>
      </c>
    </row>
    <row r="479" spans="1:4" x14ac:dyDescent="0.2">
      <c r="A479" s="17">
        <v>40664</v>
      </c>
      <c r="B479" s="59">
        <f>VLOOKUP(Table17[[#This Row],[Date]],database!A:H,7,)</f>
        <v>90.601200000000006</v>
      </c>
      <c r="C479" s="67">
        <f t="shared" si="7"/>
        <v>-8.3152654598861453E-4</v>
      </c>
      <c r="D479" s="67">
        <f>(Table17[[#This Row],[Index]]-B467)/B467</f>
        <v>3.7054164186621504E-2</v>
      </c>
    </row>
    <row r="480" spans="1:4" x14ac:dyDescent="0.2">
      <c r="A480" s="17">
        <v>40695</v>
      </c>
      <c r="B480" s="59">
        <f>VLOOKUP(Table17[[#This Row],[Date]],database!A:H,7,)</f>
        <v>91.164299999999997</v>
      </c>
      <c r="C480" s="67">
        <f t="shared" si="7"/>
        <v>6.2151494682187725E-3</v>
      </c>
      <c r="D480" s="67">
        <f>(Table17[[#This Row],[Index]]-B468)/B468</f>
        <v>3.7167197209473687E-2</v>
      </c>
    </row>
    <row r="481" spans="1:4" x14ac:dyDescent="0.2">
      <c r="A481" s="17">
        <v>40725</v>
      </c>
      <c r="B481" s="59">
        <f>VLOOKUP(Table17[[#This Row],[Date]],database!A:H,7,)</f>
        <v>91.348299999999995</v>
      </c>
      <c r="C481" s="67">
        <f t="shared" si="7"/>
        <v>2.0183339311550252E-3</v>
      </c>
      <c r="D481" s="67">
        <f>(Table17[[#This Row],[Index]]-B469)/B469</f>
        <v>3.6847063630791474E-2</v>
      </c>
    </row>
    <row r="482" spans="1:4" x14ac:dyDescent="0.2">
      <c r="A482" s="17">
        <v>40756</v>
      </c>
      <c r="B482" s="59">
        <f>VLOOKUP(Table17[[#This Row],[Date]],database!A:H,7,)</f>
        <v>91.956999999999994</v>
      </c>
      <c r="C482" s="67">
        <f t="shared" si="7"/>
        <v>6.663506600560698E-3</v>
      </c>
      <c r="D482" s="67">
        <f>(Table17[[#This Row],[Index]]-B470)/B470</f>
        <v>3.4920127579787873E-2</v>
      </c>
    </row>
    <row r="483" spans="1:4" x14ac:dyDescent="0.2">
      <c r="A483" s="17">
        <v>40787</v>
      </c>
      <c r="B483" s="59">
        <f>VLOOKUP(Table17[[#This Row],[Date]],database!A:H,7,)</f>
        <v>91.927700000000002</v>
      </c>
      <c r="C483" s="67">
        <f t="shared" si="7"/>
        <v>-3.1862718444486404E-4</v>
      </c>
      <c r="D483" s="67">
        <f>(Table17[[#This Row],[Index]]-B471)/B471</f>
        <v>2.6706426987876425E-2</v>
      </c>
    </row>
    <row r="484" spans="1:4" x14ac:dyDescent="0.2">
      <c r="A484" s="17">
        <v>40817</v>
      </c>
      <c r="B484" s="59">
        <f>VLOOKUP(Table17[[#This Row],[Date]],database!A:H,7,)</f>
        <v>92.860500000000002</v>
      </c>
      <c r="C484" s="67">
        <f t="shared" si="7"/>
        <v>1.0147104735569457E-2</v>
      </c>
      <c r="D484" s="67">
        <f>(Table17[[#This Row],[Index]]-B472)/B472</f>
        <v>4.1736547300261023E-2</v>
      </c>
    </row>
    <row r="485" spans="1:4" x14ac:dyDescent="0.2">
      <c r="A485" s="17">
        <v>40848</v>
      </c>
      <c r="B485" s="59">
        <f>VLOOKUP(Table17[[#This Row],[Date]],database!A:H,7,)</f>
        <v>93.298199999999994</v>
      </c>
      <c r="C485" s="67">
        <f t="shared" si="7"/>
        <v>4.7135218957468084E-3</v>
      </c>
      <c r="D485" s="67">
        <f>(Table17[[#This Row],[Index]]-B473)/B473</f>
        <v>4.4853409725947459E-2</v>
      </c>
    </row>
    <row r="486" spans="1:4" x14ac:dyDescent="0.2">
      <c r="A486" s="17">
        <v>40878</v>
      </c>
      <c r="B486" s="59">
        <f>VLOOKUP(Table17[[#This Row],[Date]],database!A:H,7,)</f>
        <v>93.880200000000002</v>
      </c>
      <c r="C486" s="67">
        <f t="shared" si="7"/>
        <v>6.2380624706586119E-3</v>
      </c>
      <c r="D486" s="67">
        <f>(Table17[[#This Row],[Index]]-B474)/B474</f>
        <v>3.8031592006244966E-2</v>
      </c>
    </row>
    <row r="487" spans="1:4" x14ac:dyDescent="0.2">
      <c r="A487" s="17">
        <v>40909</v>
      </c>
      <c r="B487" s="59">
        <f>VLOOKUP(Table17[[#This Row],[Date]],database!A:H,7,)</f>
        <v>94.593400000000003</v>
      </c>
      <c r="C487" s="67">
        <f t="shared" si="7"/>
        <v>7.5969160696292004E-3</v>
      </c>
      <c r="D487" s="67">
        <f>(Table17[[#This Row],[Index]]-B475)/B475</f>
        <v>5.0820608185419412E-2</v>
      </c>
    </row>
    <row r="488" spans="1:4" x14ac:dyDescent="0.2">
      <c r="A488" s="17">
        <v>40940</v>
      </c>
      <c r="B488" s="59">
        <f>VLOOKUP(Table17[[#This Row],[Date]],database!A:H,7,)</f>
        <v>94.934200000000004</v>
      </c>
      <c r="C488" s="67">
        <f t="shared" si="7"/>
        <v>3.6027883552129936E-3</v>
      </c>
      <c r="D488" s="67">
        <f>(Table17[[#This Row],[Index]]-B476)/B476</f>
        <v>6.2188954529180079E-2</v>
      </c>
    </row>
    <row r="489" spans="1:4" x14ac:dyDescent="0.2">
      <c r="A489" s="17">
        <v>40969</v>
      </c>
      <c r="B489" s="59">
        <f>VLOOKUP(Table17[[#This Row],[Date]],database!A:H,7,)</f>
        <v>94.686099999999996</v>
      </c>
      <c r="C489" s="67">
        <f t="shared" si="7"/>
        <v>-2.6133890631617751E-3</v>
      </c>
      <c r="D489" s="67">
        <f>(Table17[[#This Row],[Index]]-B477)/B477</f>
        <v>3.8841023019137437E-2</v>
      </c>
    </row>
    <row r="490" spans="1:4" x14ac:dyDescent="0.2">
      <c r="A490" s="17">
        <v>41000</v>
      </c>
      <c r="B490" s="59">
        <f>VLOOKUP(Table17[[#This Row],[Date]],database!A:H,7,)</f>
        <v>95.334199999999996</v>
      </c>
      <c r="C490" s="67">
        <f t="shared" si="7"/>
        <v>6.844721664531539E-3</v>
      </c>
      <c r="D490" s="67">
        <f>(Table17[[#This Row],[Index]]-B478)/B478</f>
        <v>5.1364960750623676E-2</v>
      </c>
    </row>
    <row r="491" spans="1:4" x14ac:dyDescent="0.2">
      <c r="A491" s="17">
        <v>41030</v>
      </c>
      <c r="B491" s="59">
        <f>VLOOKUP(Table17[[#This Row],[Date]],database!A:H,7,)</f>
        <v>95.4178</v>
      </c>
      <c r="C491" s="67">
        <f t="shared" si="7"/>
        <v>8.7691510496767933E-4</v>
      </c>
      <c r="D491" s="67">
        <f>(Table17[[#This Row],[Index]]-B479)/B479</f>
        <v>5.3162651267312067E-2</v>
      </c>
    </row>
    <row r="492" spans="1:4" x14ac:dyDescent="0.2">
      <c r="A492" s="17">
        <v>41061</v>
      </c>
      <c r="B492" s="59">
        <f>VLOOKUP(Table17[[#This Row],[Date]],database!A:H,7,)</f>
        <v>95.331900000000005</v>
      </c>
      <c r="C492" s="67">
        <f t="shared" si="7"/>
        <v>-9.0025131579218876E-4</v>
      </c>
      <c r="D492" s="67">
        <f>(Table17[[#This Row],[Index]]-B480)/B480</f>
        <v>4.5715263540662382E-2</v>
      </c>
    </row>
    <row r="493" spans="1:4" x14ac:dyDescent="0.2">
      <c r="A493" s="17">
        <v>41091</v>
      </c>
      <c r="B493" s="59">
        <f>VLOOKUP(Table17[[#This Row],[Date]],database!A:H,7,)</f>
        <v>95.9572</v>
      </c>
      <c r="C493" s="67">
        <f t="shared" si="7"/>
        <v>6.5591895262759881E-3</v>
      </c>
      <c r="D493" s="67">
        <f>(Table17[[#This Row],[Index]]-B481)/B481</f>
        <v>5.0454140909026286E-2</v>
      </c>
    </row>
    <row r="494" spans="1:4" x14ac:dyDescent="0.2">
      <c r="A494" s="17">
        <v>41122</v>
      </c>
      <c r="B494" s="59">
        <f>VLOOKUP(Table17[[#This Row],[Date]],database!A:H,7,)</f>
        <v>95.275099999999995</v>
      </c>
      <c r="C494" s="67">
        <f t="shared" si="7"/>
        <v>-7.1083774849620696E-3</v>
      </c>
      <c r="D494" s="67">
        <f>(Table17[[#This Row],[Index]]-B482)/B482</f>
        <v>3.6083169307393685E-2</v>
      </c>
    </row>
    <row r="495" spans="1:4" x14ac:dyDescent="0.2">
      <c r="A495" s="17">
        <v>41153</v>
      </c>
      <c r="B495" s="59">
        <f>VLOOKUP(Table17[[#This Row],[Date]],database!A:H,7,)</f>
        <v>95.470500000000001</v>
      </c>
      <c r="C495" s="67">
        <f t="shared" si="7"/>
        <v>2.0509031215920626E-3</v>
      </c>
      <c r="D495" s="67">
        <f>(Table17[[#This Row],[Index]]-B483)/B483</f>
        <v>3.8538982265410748E-2</v>
      </c>
    </row>
    <row r="496" spans="1:4" x14ac:dyDescent="0.2">
      <c r="A496" s="17">
        <v>41183</v>
      </c>
      <c r="B496" s="59">
        <f>VLOOKUP(Table17[[#This Row],[Date]],database!A:H,7,)</f>
        <v>96.3352</v>
      </c>
      <c r="C496" s="67">
        <f t="shared" si="7"/>
        <v>9.0572480504449437E-3</v>
      </c>
      <c r="D496" s="67">
        <f>(Table17[[#This Row],[Index]]-B484)/B484</f>
        <v>3.7418493331394923E-2</v>
      </c>
    </row>
    <row r="497" spans="1:4" x14ac:dyDescent="0.2">
      <c r="A497" s="17">
        <v>41214</v>
      </c>
      <c r="B497" s="59">
        <f>VLOOKUP(Table17[[#This Row],[Date]],database!A:H,7,)</f>
        <v>96.5244</v>
      </c>
      <c r="C497" s="67">
        <f t="shared" si="7"/>
        <v>1.9639757845522077E-3</v>
      </c>
      <c r="D497" s="67">
        <f>(Table17[[#This Row],[Index]]-B485)/B485</f>
        <v>3.4579445262609629E-2</v>
      </c>
    </row>
    <row r="498" spans="1:4" x14ac:dyDescent="0.2">
      <c r="A498" s="17">
        <v>41244</v>
      </c>
      <c r="B498" s="59">
        <f>VLOOKUP(Table17[[#This Row],[Date]],database!A:H,7,)</f>
        <v>96.854399999999998</v>
      </c>
      <c r="C498" s="67">
        <f t="shared" si="7"/>
        <v>3.4188246702389069E-3</v>
      </c>
      <c r="D498" s="67">
        <f>(Table17[[#This Row],[Index]]-B486)/B486</f>
        <v>3.1680801702595393E-2</v>
      </c>
    </row>
    <row r="499" spans="1:4" x14ac:dyDescent="0.2">
      <c r="A499" s="17">
        <v>41275</v>
      </c>
      <c r="B499" s="59">
        <f>VLOOKUP(Table17[[#This Row],[Date]],database!A:H,7,)</f>
        <v>97.174000000000007</v>
      </c>
      <c r="C499" s="67">
        <f t="shared" si="7"/>
        <v>3.2997984603695407E-3</v>
      </c>
      <c r="D499" s="67">
        <f>(Table17[[#This Row],[Index]]-B487)/B487</f>
        <v>2.7280973091145935E-2</v>
      </c>
    </row>
    <row r="500" spans="1:4" x14ac:dyDescent="0.2">
      <c r="A500" s="17">
        <v>41306</v>
      </c>
      <c r="B500" s="59">
        <f>VLOOKUP(Table17[[#This Row],[Date]],database!A:H,7,)</f>
        <v>97.588899999999995</v>
      </c>
      <c r="C500" s="67">
        <f t="shared" si="7"/>
        <v>4.2696606088046263E-3</v>
      </c>
      <c r="D500" s="67">
        <f>(Table17[[#This Row],[Index]]-B488)/B488</f>
        <v>2.7963578984180528E-2</v>
      </c>
    </row>
    <row r="501" spans="1:4" x14ac:dyDescent="0.2">
      <c r="A501" s="17">
        <v>41334</v>
      </c>
      <c r="B501" s="59">
        <f>VLOOKUP(Table17[[#This Row],[Date]],database!A:H,7,)</f>
        <v>98.047899999999998</v>
      </c>
      <c r="C501" s="67">
        <f t="shared" si="7"/>
        <v>4.7034037682565089E-3</v>
      </c>
      <c r="D501" s="67">
        <f>(Table17[[#This Row],[Index]]-B489)/B489</f>
        <v>3.5504683369575921E-2</v>
      </c>
    </row>
    <row r="502" spans="1:4" x14ac:dyDescent="0.2">
      <c r="A502" s="17">
        <v>41365</v>
      </c>
      <c r="B502" s="59">
        <f>VLOOKUP(Table17[[#This Row],[Date]],database!A:H,7,)</f>
        <v>98.115899999999996</v>
      </c>
      <c r="C502" s="67">
        <f t="shared" si="7"/>
        <v>6.9353856635379074E-4</v>
      </c>
      <c r="D502" s="67">
        <f>(Table17[[#This Row],[Index]]-B490)/B490</f>
        <v>2.9178406070434332E-2</v>
      </c>
    </row>
    <row r="503" spans="1:4" x14ac:dyDescent="0.2">
      <c r="A503" s="17">
        <v>41395</v>
      </c>
      <c r="B503" s="59">
        <f>VLOOKUP(Table17[[#This Row],[Date]],database!A:H,7,)</f>
        <v>98.360500000000002</v>
      </c>
      <c r="C503" s="67">
        <f t="shared" si="7"/>
        <v>2.4929700486873152E-3</v>
      </c>
      <c r="D503" s="67">
        <f>(Table17[[#This Row],[Index]]-B491)/B491</f>
        <v>3.084015770642377E-2</v>
      </c>
    </row>
    <row r="504" spans="1:4" x14ac:dyDescent="0.2">
      <c r="A504" s="17">
        <v>41426</v>
      </c>
      <c r="B504" s="59">
        <f>VLOOKUP(Table17[[#This Row],[Date]],database!A:H,7,)</f>
        <v>98.410799999999995</v>
      </c>
      <c r="C504" s="67">
        <f t="shared" si="7"/>
        <v>5.1138414302487334E-4</v>
      </c>
      <c r="D504" s="67">
        <f>(Table17[[#This Row],[Index]]-B492)/B492</f>
        <v>3.2296639424998247E-2</v>
      </c>
    </row>
    <row r="505" spans="1:4" x14ac:dyDescent="0.2">
      <c r="A505" s="17">
        <v>41456</v>
      </c>
      <c r="B505" s="59">
        <f>VLOOKUP(Table17[[#This Row],[Date]],database!A:H,7,)</f>
        <v>98.709800000000001</v>
      </c>
      <c r="C505" s="67">
        <f t="shared" si="7"/>
        <v>3.0382844159382305E-3</v>
      </c>
      <c r="D505" s="67">
        <f>(Table17[[#This Row],[Index]]-B493)/B493</f>
        <v>2.868570571046259E-2</v>
      </c>
    </row>
    <row r="506" spans="1:4" x14ac:dyDescent="0.2">
      <c r="A506" s="17">
        <v>41487</v>
      </c>
      <c r="B506" s="59">
        <f>VLOOKUP(Table17[[#This Row],[Date]],database!A:H,7,)</f>
        <v>99.2089</v>
      </c>
      <c r="C506" s="67">
        <f t="shared" si="7"/>
        <v>5.056235551079924E-3</v>
      </c>
      <c r="D506" s="67">
        <f>(Table17[[#This Row],[Index]]-B494)/B494</f>
        <v>4.1288857214529351E-2</v>
      </c>
    </row>
    <row r="507" spans="1:4" x14ac:dyDescent="0.2">
      <c r="A507" s="17">
        <v>41518</v>
      </c>
      <c r="B507" s="59">
        <f>VLOOKUP(Table17[[#This Row],[Date]],database!A:H,7,)</f>
        <v>99.913300000000007</v>
      </c>
      <c r="C507" s="67">
        <f t="shared" si="7"/>
        <v>7.100169440443338E-3</v>
      </c>
      <c r="D507" s="67">
        <f>(Table17[[#This Row],[Index]]-B495)/B495</f>
        <v>4.6535840914209155E-2</v>
      </c>
    </row>
    <row r="508" spans="1:4" x14ac:dyDescent="0.2">
      <c r="A508" s="17">
        <v>41548</v>
      </c>
      <c r="B508" s="59">
        <f>VLOOKUP(Table17[[#This Row],[Date]],database!A:H,7,)</f>
        <v>99.612300000000005</v>
      </c>
      <c r="C508" s="67">
        <f t="shared" si="7"/>
        <v>-3.0126119345472713E-3</v>
      </c>
      <c r="D508" s="67">
        <f>(Table17[[#This Row],[Index]]-B496)/B496</f>
        <v>3.4017679934229696E-2</v>
      </c>
    </row>
    <row r="509" spans="1:4" x14ac:dyDescent="0.2">
      <c r="A509" s="17">
        <v>41579</v>
      </c>
      <c r="B509" s="59">
        <f>VLOOKUP(Table17[[#This Row],[Date]],database!A:H,7,)</f>
        <v>100.2392</v>
      </c>
      <c r="C509" s="67">
        <f t="shared" si="7"/>
        <v>6.2933995098997109E-3</v>
      </c>
      <c r="D509" s="67">
        <f>(Table17[[#This Row],[Index]]-B497)/B497</f>
        <v>3.8485605712130784E-2</v>
      </c>
    </row>
    <row r="510" spans="1:4" x14ac:dyDescent="0.2">
      <c r="A510" s="17">
        <v>41609</v>
      </c>
      <c r="B510" s="59">
        <f>VLOOKUP(Table17[[#This Row],[Date]],database!A:H,7,)</f>
        <v>100.5127</v>
      </c>
      <c r="C510" s="67">
        <f t="shared" si="7"/>
        <v>2.7284734914085895E-3</v>
      </c>
      <c r="D510" s="67">
        <f>(Table17[[#This Row],[Index]]-B498)/B498</f>
        <v>3.7771128621931445E-2</v>
      </c>
    </row>
    <row r="511" spans="1:4" x14ac:dyDescent="0.2">
      <c r="A511" s="17">
        <v>41640</v>
      </c>
      <c r="B511" s="59">
        <f>VLOOKUP(Table17[[#This Row],[Date]],database!A:H,7,)</f>
        <v>100.7251</v>
      </c>
      <c r="C511" s="67">
        <f t="shared" si="7"/>
        <v>2.1131657989488239E-3</v>
      </c>
      <c r="D511" s="67">
        <f>(Table17[[#This Row],[Index]]-B499)/B499</f>
        <v>3.6543725687941127E-2</v>
      </c>
    </row>
    <row r="512" spans="1:4" x14ac:dyDescent="0.2">
      <c r="A512" s="17">
        <v>41671</v>
      </c>
      <c r="B512" s="59">
        <f>VLOOKUP(Table17[[#This Row],[Date]],database!A:H,7,)</f>
        <v>101.3057</v>
      </c>
      <c r="C512" s="67">
        <f t="shared" si="7"/>
        <v>5.7642037585468042E-3</v>
      </c>
      <c r="D512" s="67">
        <f>(Table17[[#This Row],[Index]]-B500)/B500</f>
        <v>3.8086298749140594E-2</v>
      </c>
    </row>
    <row r="513" spans="1:4" x14ac:dyDescent="0.2">
      <c r="A513" s="17">
        <v>41699</v>
      </c>
      <c r="B513" s="59">
        <f>VLOOKUP(Table17[[#This Row],[Date]],database!A:H,7,)</f>
        <v>102.4933</v>
      </c>
      <c r="C513" s="67">
        <f t="shared" si="7"/>
        <v>1.1722933655263335E-2</v>
      </c>
      <c r="D513" s="67">
        <f>(Table17[[#This Row],[Index]]-B501)/B501</f>
        <v>4.533906386572284E-2</v>
      </c>
    </row>
    <row r="514" spans="1:4" x14ac:dyDescent="0.2">
      <c r="A514" s="17">
        <v>41730</v>
      </c>
      <c r="B514" s="59">
        <f>VLOOKUP(Table17[[#This Row],[Date]],database!A:H,7,)</f>
        <v>102.9408</v>
      </c>
      <c r="C514" s="67">
        <f t="shared" si="7"/>
        <v>4.3661390549429857E-3</v>
      </c>
      <c r="D514" s="67">
        <f>(Table17[[#This Row],[Index]]-B502)/B502</f>
        <v>4.9175515894977262E-2</v>
      </c>
    </row>
    <row r="515" spans="1:4" x14ac:dyDescent="0.2">
      <c r="A515" s="17">
        <v>41760</v>
      </c>
      <c r="B515" s="59">
        <f>VLOOKUP(Table17[[#This Row],[Date]],database!A:H,7,)</f>
        <v>103.5009</v>
      </c>
      <c r="C515" s="67">
        <f t="shared" si="7"/>
        <v>5.4409913270541121E-3</v>
      </c>
      <c r="D515" s="67">
        <f>(Table17[[#This Row],[Index]]-B503)/B503</f>
        <v>5.2260816079625454E-2</v>
      </c>
    </row>
    <row r="516" spans="1:4" x14ac:dyDescent="0.2">
      <c r="A516" s="17">
        <v>41791</v>
      </c>
      <c r="B516" s="59">
        <f>VLOOKUP(Table17[[#This Row],[Date]],database!A:H,7,)</f>
        <v>104.2487</v>
      </c>
      <c r="C516" s="67">
        <f t="shared" si="7"/>
        <v>7.2250579463559728E-3</v>
      </c>
      <c r="D516" s="67">
        <f>(Table17[[#This Row],[Index]]-B504)/B504</f>
        <v>5.9321741109715651E-2</v>
      </c>
    </row>
    <row r="517" spans="1:4" x14ac:dyDescent="0.2">
      <c r="A517" s="17">
        <v>41821</v>
      </c>
      <c r="B517" s="59">
        <f>VLOOKUP(Table17[[#This Row],[Date]],database!A:H,7,)</f>
        <v>104.38849999999999</v>
      </c>
      <c r="C517" s="67">
        <f t="shared" si="7"/>
        <v>1.3410239168449856E-3</v>
      </c>
      <c r="D517" s="67">
        <f>(Table17[[#This Row],[Index]]-B505)/B505</f>
        <v>5.7529242283947409E-2</v>
      </c>
    </row>
    <row r="518" spans="1:4" x14ac:dyDescent="0.2">
      <c r="A518" s="17">
        <v>41852</v>
      </c>
      <c r="B518" s="59">
        <f>VLOOKUP(Table17[[#This Row],[Date]],database!A:H,7,)</f>
        <v>104.52370000000001</v>
      </c>
      <c r="C518" s="67">
        <f t="shared" si="7"/>
        <v>1.2951618233809636E-3</v>
      </c>
      <c r="D518" s="67">
        <f>(Table17[[#This Row],[Index]]-B506)/B506</f>
        <v>5.3571806561709741E-2</v>
      </c>
    </row>
    <row r="519" spans="1:4" x14ac:dyDescent="0.2">
      <c r="A519" s="17">
        <v>41883</v>
      </c>
      <c r="B519" s="59">
        <f>VLOOKUP(Table17[[#This Row],[Date]],database!A:H,7,)</f>
        <v>104.9126</v>
      </c>
      <c r="C519" s="67">
        <f t="shared" si="7"/>
        <v>3.7206872699684368E-3</v>
      </c>
      <c r="D519" s="67">
        <f>(Table17[[#This Row],[Index]]-B507)/B507</f>
        <v>5.0036381542797513E-2</v>
      </c>
    </row>
    <row r="520" spans="1:4" x14ac:dyDescent="0.2">
      <c r="A520" s="17">
        <v>41913</v>
      </c>
      <c r="B520" s="59">
        <f>VLOOKUP(Table17[[#This Row],[Date]],database!A:H,7,)</f>
        <v>104.9255</v>
      </c>
      <c r="C520" s="67">
        <f t="shared" ref="C520:C583" si="8">B520/B519-1</f>
        <v>1.2295949199625511E-4</v>
      </c>
      <c r="D520" s="67">
        <f>(Table17[[#This Row],[Index]]-B508)/B508</f>
        <v>5.3338794506300871E-2</v>
      </c>
    </row>
    <row r="521" spans="1:4" x14ac:dyDescent="0.2">
      <c r="A521" s="17">
        <v>41944</v>
      </c>
      <c r="B521" s="59">
        <f>VLOOKUP(Table17[[#This Row],[Date]],database!A:H,7,)</f>
        <v>104.9239</v>
      </c>
      <c r="C521" s="68">
        <f t="shared" si="8"/>
        <v>-1.5248914706167405E-5</v>
      </c>
      <c r="D521" s="67">
        <f>(Table17[[#This Row],[Index]]-B509)/B509</f>
        <v>4.6735209379165102E-2</v>
      </c>
    </row>
    <row r="522" spans="1:4" x14ac:dyDescent="0.2">
      <c r="A522" s="17">
        <v>41974</v>
      </c>
      <c r="B522" s="59">
        <f>VLOOKUP(Table17[[#This Row],[Date]],database!A:H,7,)</f>
        <v>105.3522</v>
      </c>
      <c r="C522" s="67">
        <f t="shared" si="8"/>
        <v>4.08200610156495E-3</v>
      </c>
      <c r="D522" s="67">
        <f>(Table17[[#This Row],[Index]]-B510)/B510</f>
        <v>4.8148144463336484E-2</v>
      </c>
    </row>
    <row r="523" spans="1:4" x14ac:dyDescent="0.2">
      <c r="A523" s="17">
        <v>42005</v>
      </c>
      <c r="B523" s="59">
        <f>VLOOKUP(Table17[[#This Row],[Date]],database!A:H,7,)</f>
        <v>104.0844</v>
      </c>
      <c r="C523" s="68">
        <f t="shared" si="8"/>
        <v>-1.2033920506643425E-2</v>
      </c>
      <c r="D523" s="67">
        <f>(Table17[[#This Row],[Index]]-B511)/B511</f>
        <v>3.3351170661533272E-2</v>
      </c>
    </row>
    <row r="524" spans="1:4" x14ac:dyDescent="0.2">
      <c r="A524" s="17">
        <v>42036</v>
      </c>
      <c r="B524" s="59">
        <f>VLOOKUP(Table17[[#This Row],[Date]],database!A:H,7,)</f>
        <v>103.5711</v>
      </c>
      <c r="C524" s="67">
        <f t="shared" si="8"/>
        <v>-4.931574760482893E-3</v>
      </c>
      <c r="D524" s="67">
        <f>(Table17[[#This Row],[Index]]-B512)/B512</f>
        <v>2.2362019116397198E-2</v>
      </c>
    </row>
    <row r="525" spans="1:4" x14ac:dyDescent="0.2">
      <c r="A525" s="17">
        <v>42064</v>
      </c>
      <c r="B525" s="59">
        <f>VLOOKUP(Table17[[#This Row],[Date]],database!A:H,7,)</f>
        <v>102.65949999999999</v>
      </c>
      <c r="C525" s="68">
        <f t="shared" si="8"/>
        <v>-8.8016830949947389E-3</v>
      </c>
      <c r="D525" s="67">
        <f>(Table17[[#This Row],[Index]]-B513)/B513</f>
        <v>1.6215694099027862E-3</v>
      </c>
    </row>
    <row r="526" spans="1:4" x14ac:dyDescent="0.2">
      <c r="A526" s="17">
        <v>42095</v>
      </c>
      <c r="B526" s="59">
        <f>VLOOKUP(Table17[[#This Row],[Date]],database!A:H,7,)</f>
        <v>102.2106</v>
      </c>
      <c r="C526" s="67">
        <f t="shared" si="8"/>
        <v>-4.3727078351247783E-3</v>
      </c>
      <c r="D526" s="67">
        <f>(Table17[[#This Row],[Index]]-B514)/B514</f>
        <v>-7.0933973701389191E-3</v>
      </c>
    </row>
    <row r="527" spans="1:4" x14ac:dyDescent="0.2">
      <c r="A527" s="17">
        <v>42125</v>
      </c>
      <c r="B527" s="59">
        <f>VLOOKUP(Table17[[#This Row],[Date]],database!A:H,7,)</f>
        <v>101.3927</v>
      </c>
      <c r="C527" s="67">
        <f t="shared" si="8"/>
        <v>-8.0021054567724903E-3</v>
      </c>
      <c r="D527" s="67">
        <f>(Table17[[#This Row],[Index]]-B515)/B515</f>
        <v>-2.0368905004690747E-2</v>
      </c>
    </row>
    <row r="528" spans="1:4" x14ac:dyDescent="0.2">
      <c r="A528" s="17">
        <v>42156</v>
      </c>
      <c r="B528" s="59">
        <f>VLOOKUP(Table17[[#This Row],[Date]],database!A:H,7,)</f>
        <v>100.9515</v>
      </c>
      <c r="C528" s="67">
        <f t="shared" si="8"/>
        <v>-4.3513980789544604E-3</v>
      </c>
      <c r="D528" s="67">
        <f>(Table17[[#This Row],[Index]]-B516)/B516</f>
        <v>-3.1628212150367381E-2</v>
      </c>
    </row>
    <row r="529" spans="1:4" x14ac:dyDescent="0.2">
      <c r="A529" s="17">
        <v>42186</v>
      </c>
      <c r="B529" s="59">
        <f>VLOOKUP(Table17[[#This Row],[Date]],database!A:H,7,)</f>
        <v>101.48260000000001</v>
      </c>
      <c r="C529" s="67">
        <f t="shared" si="8"/>
        <v>5.2609421355800379E-3</v>
      </c>
      <c r="D529" s="67">
        <f>(Table17[[#This Row],[Index]]-B517)/B517</f>
        <v>-2.7837357563333016E-2</v>
      </c>
    </row>
    <row r="530" spans="1:4" x14ac:dyDescent="0.2">
      <c r="A530" s="17">
        <v>42217</v>
      </c>
      <c r="B530" s="59">
        <f>VLOOKUP(Table17[[#This Row],[Date]],database!A:H,7,)</f>
        <v>100.8981</v>
      </c>
      <c r="C530" s="67">
        <f t="shared" si="8"/>
        <v>-5.7596080510353698E-3</v>
      </c>
      <c r="D530" s="67">
        <f>(Table17[[#This Row],[Index]]-B518)/B518</f>
        <v>-3.4686870059134969E-2</v>
      </c>
    </row>
    <row r="531" spans="1:4" x14ac:dyDescent="0.2">
      <c r="A531" s="17">
        <v>42248</v>
      </c>
      <c r="B531" s="59">
        <f>VLOOKUP(Table17[[#This Row],[Date]],database!A:H,7,)</f>
        <v>100.87309999999999</v>
      </c>
      <c r="C531" s="67">
        <f t="shared" si="8"/>
        <v>-2.4777473510406711E-4</v>
      </c>
      <c r="D531" s="67">
        <f>(Table17[[#This Row],[Index]]-B519)/B519</f>
        <v>-3.8503478133227124E-2</v>
      </c>
    </row>
    <row r="532" spans="1:4" x14ac:dyDescent="0.2">
      <c r="A532" s="17">
        <v>42278</v>
      </c>
      <c r="B532" s="59">
        <f>VLOOKUP(Table17[[#This Row],[Date]],database!A:H,7,)</f>
        <v>100.1922</v>
      </c>
      <c r="C532" s="67">
        <f t="shared" si="8"/>
        <v>-6.7500651809054846E-3</v>
      </c>
      <c r="D532" s="67">
        <f>(Table17[[#This Row],[Index]]-B520)/B520</f>
        <v>-4.511105498663337E-2</v>
      </c>
    </row>
    <row r="533" spans="1:4" x14ac:dyDescent="0.2">
      <c r="A533" s="17">
        <v>42309</v>
      </c>
      <c r="B533" s="59">
        <f>VLOOKUP(Table17[[#This Row],[Date]],database!A:H,7,)</f>
        <v>99.064599999999999</v>
      </c>
      <c r="C533" s="67">
        <f t="shared" si="8"/>
        <v>-1.1254369102584816E-2</v>
      </c>
      <c r="D533" s="67">
        <f>(Table17[[#This Row],[Index]]-B521)/B521</f>
        <v>-5.5843330261265589E-2</v>
      </c>
    </row>
    <row r="534" spans="1:4" x14ac:dyDescent="0.2">
      <c r="A534" s="17">
        <v>42339</v>
      </c>
      <c r="B534" s="59">
        <f>VLOOKUP(Table17[[#This Row],[Date]],database!A:H,7,)</f>
        <v>98.639899999999997</v>
      </c>
      <c r="C534" s="67">
        <f t="shared" si="8"/>
        <v>-4.2871015478789243E-3</v>
      </c>
      <c r="D534" s="67">
        <f>(Table17[[#This Row],[Index]]-B522)/B522</f>
        <v>-6.3712955211186847E-2</v>
      </c>
    </row>
    <row r="535" spans="1:4" x14ac:dyDescent="0.2">
      <c r="A535" s="17">
        <v>42370</v>
      </c>
      <c r="B535" s="59">
        <f>VLOOKUP(Table17[[#This Row],[Date]],database!A:H,7,)</f>
        <v>99.007199999999997</v>
      </c>
      <c r="C535" s="67">
        <f t="shared" si="8"/>
        <v>3.7236452997215785E-3</v>
      </c>
      <c r="D535" s="67">
        <f>(Table17[[#This Row],[Index]]-B523)/B523</f>
        <v>-4.8779644211812766E-2</v>
      </c>
    </row>
    <row r="536" spans="1:4" x14ac:dyDescent="0.2">
      <c r="A536" s="17">
        <v>42401</v>
      </c>
      <c r="B536" s="59">
        <f>VLOOKUP(Table17[[#This Row],[Date]],database!A:H,7,)</f>
        <v>98.344200000000001</v>
      </c>
      <c r="C536" s="67">
        <f t="shared" si="8"/>
        <v>-6.6964826800475219E-3</v>
      </c>
      <c r="D536" s="67">
        <f>(Table17[[#This Row],[Index]]-B524)/B524</f>
        <v>-5.0466780791166656E-2</v>
      </c>
    </row>
    <row r="537" spans="1:4" x14ac:dyDescent="0.2">
      <c r="A537" s="17">
        <v>42430</v>
      </c>
      <c r="B537" s="59">
        <f>VLOOKUP(Table17[[#This Row],[Date]],database!A:H,7,)</f>
        <v>97.532399999999996</v>
      </c>
      <c r="C537" s="67">
        <f t="shared" si="8"/>
        <v>-8.2546810081327582E-3</v>
      </c>
      <c r="D537" s="67">
        <f>(Table17[[#This Row],[Index]]-B525)/B525</f>
        <v>-4.9942771979212826E-2</v>
      </c>
    </row>
    <row r="538" spans="1:4" x14ac:dyDescent="0.2">
      <c r="A538" s="17">
        <v>42461</v>
      </c>
      <c r="B538" s="59">
        <f>VLOOKUP(Table17[[#This Row],[Date]],database!A:H,7,)</f>
        <v>97.604100000000003</v>
      </c>
      <c r="C538" s="67">
        <f t="shared" si="8"/>
        <v>7.3514032260058038E-4</v>
      </c>
      <c r="D538" s="67">
        <f>(Table17[[#This Row],[Index]]-B526)/B526</f>
        <v>-4.5068711073019796E-2</v>
      </c>
    </row>
    <row r="539" spans="1:4" x14ac:dyDescent="0.2">
      <c r="A539" s="17">
        <v>42491</v>
      </c>
      <c r="B539" s="59">
        <f>VLOOKUP(Table17[[#This Row],[Date]],database!A:H,7,)</f>
        <v>97.398200000000003</v>
      </c>
      <c r="C539" s="67">
        <f t="shared" si="8"/>
        <v>-2.1095425294633818E-3</v>
      </c>
      <c r="D539" s="67">
        <f>(Table17[[#This Row],[Index]]-B527)/B527</f>
        <v>-3.939632734901035E-2</v>
      </c>
    </row>
    <row r="540" spans="1:4" x14ac:dyDescent="0.2">
      <c r="A540" s="17">
        <v>42522</v>
      </c>
      <c r="B540" s="59">
        <f>VLOOKUP(Table17[[#This Row],[Date]],database!A:H,7,)</f>
        <v>97.875600000000006</v>
      </c>
      <c r="C540" s="67">
        <f t="shared" si="8"/>
        <v>4.9015279543154211E-3</v>
      </c>
      <c r="D540" s="67">
        <f>(Table17[[#This Row],[Index]]-B528)/B528</f>
        <v>-3.0469086640614457E-2</v>
      </c>
    </row>
    <row r="541" spans="1:4" x14ac:dyDescent="0.2">
      <c r="A541" s="17">
        <v>42552</v>
      </c>
      <c r="B541" s="59">
        <f>VLOOKUP(Table17[[#This Row],[Date]],database!A:H,7,)</f>
        <v>98.075400000000002</v>
      </c>
      <c r="C541" s="67">
        <f t="shared" si="8"/>
        <v>2.041366796218913E-3</v>
      </c>
      <c r="D541" s="67">
        <f>(Table17[[#This Row],[Index]]-B529)/B529</f>
        <v>-3.3574228488430558E-2</v>
      </c>
    </row>
    <row r="542" spans="1:4" x14ac:dyDescent="0.2">
      <c r="A542" s="17">
        <v>42583</v>
      </c>
      <c r="B542" s="59">
        <f>VLOOKUP(Table17[[#This Row],[Date]],database!A:H,7,)</f>
        <v>97.861099999999993</v>
      </c>
      <c r="C542" s="67">
        <f t="shared" si="8"/>
        <v>-2.1850535404394078E-3</v>
      </c>
      <c r="D542" s="67">
        <f>(Table17[[#This Row],[Index]]-B530)/B530</f>
        <v>-3.0099674820437711E-2</v>
      </c>
    </row>
    <row r="543" spans="1:4" x14ac:dyDescent="0.2">
      <c r="A543" s="17">
        <v>42614</v>
      </c>
      <c r="B543" s="59">
        <f>VLOOKUP(Table17[[#This Row],[Date]],database!A:H,7,)</f>
        <v>97.746600000000001</v>
      </c>
      <c r="C543" s="67">
        <f t="shared" si="8"/>
        <v>-1.1700256792535058E-3</v>
      </c>
      <c r="D543" s="67">
        <f>(Table17[[#This Row],[Index]]-B531)/B531</f>
        <v>-3.0994387998386021E-2</v>
      </c>
    </row>
    <row r="544" spans="1:4" x14ac:dyDescent="0.2">
      <c r="A544" s="17">
        <v>42644</v>
      </c>
      <c r="B544" s="59">
        <f>VLOOKUP(Table17[[#This Row],[Date]],database!A:H,7,)</f>
        <v>98.1066</v>
      </c>
      <c r="C544" s="67">
        <f t="shared" si="8"/>
        <v>3.6829925542167796E-3</v>
      </c>
      <c r="D544" s="67">
        <f>(Table17[[#This Row],[Index]]-B532)/B532</f>
        <v>-2.0815991664021746E-2</v>
      </c>
    </row>
    <row r="545" spans="1:4" x14ac:dyDescent="0.2">
      <c r="A545" s="17">
        <v>42675</v>
      </c>
      <c r="B545" s="59">
        <f>VLOOKUP(Table17[[#This Row],[Date]],database!A:H,7,)</f>
        <v>97.789100000000005</v>
      </c>
      <c r="C545" s="67">
        <f t="shared" si="8"/>
        <v>-3.2362756430249773E-3</v>
      </c>
      <c r="D545" s="67">
        <f>(Table17[[#This Row],[Index]]-B533)/B533</f>
        <v>-1.2875436836165431E-2</v>
      </c>
    </row>
    <row r="546" spans="1:4" x14ac:dyDescent="0.2">
      <c r="A546" s="17">
        <v>42705</v>
      </c>
      <c r="B546" s="59">
        <f>VLOOKUP(Table17[[#This Row],[Date]],database!A:H,7,)</f>
        <v>98.060599999999994</v>
      </c>
      <c r="C546" s="67">
        <f t="shared" si="8"/>
        <v>2.776383052916831E-3</v>
      </c>
      <c r="D546" s="67">
        <f>(Table17[[#This Row],[Index]]-B534)/B534</f>
        <v>-5.8728770000780976E-3</v>
      </c>
    </row>
    <row r="547" spans="1:4" x14ac:dyDescent="0.2">
      <c r="A547" s="17">
        <v>42736</v>
      </c>
      <c r="B547" s="59">
        <f>VLOOKUP(Table17[[#This Row],[Date]],database!A:H,7,)</f>
        <v>98.341399999999993</v>
      </c>
      <c r="C547" s="67">
        <f t="shared" si="8"/>
        <v>2.8635354056572027E-3</v>
      </c>
      <c r="D547" s="67">
        <f>(Table17[[#This Row],[Index]]-B535)/B535</f>
        <v>-6.7247634515470028E-3</v>
      </c>
    </row>
    <row r="548" spans="1:4" x14ac:dyDescent="0.2">
      <c r="A548" s="17">
        <v>42767</v>
      </c>
      <c r="B548" s="59">
        <f>VLOOKUP(Table17[[#This Row],[Date]],database!A:H,7,)</f>
        <v>98.446600000000004</v>
      </c>
      <c r="C548" s="67">
        <f t="shared" si="8"/>
        <v>1.0697427533064019E-3</v>
      </c>
      <c r="D548" s="67">
        <f>(Table17[[#This Row],[Index]]-B536)/B536</f>
        <v>1.0412408662636224E-3</v>
      </c>
    </row>
    <row r="549" spans="1:4" x14ac:dyDescent="0.2">
      <c r="A549" s="17">
        <v>42795</v>
      </c>
      <c r="B549" s="59">
        <f>VLOOKUP(Table17[[#This Row],[Date]],database!A:H,7,)</f>
        <v>99.2286</v>
      </c>
      <c r="C549" s="67">
        <f t="shared" si="8"/>
        <v>7.9433926616052641E-3</v>
      </c>
      <c r="D549" s="67">
        <f>(Table17[[#This Row],[Index]]-B537)/B537</f>
        <v>1.7391143866038409E-2</v>
      </c>
    </row>
    <row r="550" spans="1:4" x14ac:dyDescent="0.2">
      <c r="A550" s="17">
        <v>42826</v>
      </c>
      <c r="B550" s="59">
        <f>VLOOKUP(Table17[[#This Row],[Date]],database!A:H,7,)</f>
        <v>99.957800000000006</v>
      </c>
      <c r="C550" s="67">
        <f t="shared" si="8"/>
        <v>7.3486877775157389E-3</v>
      </c>
      <c r="D550" s="67">
        <f>(Table17[[#This Row],[Index]]-B538)/B538</f>
        <v>2.4114765670704443E-2</v>
      </c>
    </row>
    <row r="551" spans="1:4" x14ac:dyDescent="0.2">
      <c r="A551" s="17">
        <v>42856</v>
      </c>
      <c r="B551" s="59">
        <f>VLOOKUP(Table17[[#This Row],[Date]],database!A:H,7,)</f>
        <v>99.874200000000002</v>
      </c>
      <c r="C551" s="67">
        <f t="shared" si="8"/>
        <v>-8.3635294094108747E-4</v>
      </c>
      <c r="D551" s="67">
        <f>(Table17[[#This Row],[Index]]-B539)/B539</f>
        <v>2.5421414358786906E-2</v>
      </c>
    </row>
    <row r="552" spans="1:4" x14ac:dyDescent="0.2">
      <c r="A552" s="17">
        <v>42887</v>
      </c>
      <c r="B552" s="59">
        <f>VLOOKUP(Table17[[#This Row],[Date]],database!A:H,7,)</f>
        <v>100.4996</v>
      </c>
      <c r="C552" s="67">
        <f t="shared" si="8"/>
        <v>6.2618774418217171E-3</v>
      </c>
      <c r="D552" s="67">
        <f>(Table17[[#This Row],[Index]]-B540)/B540</f>
        <v>2.6809541908299872E-2</v>
      </c>
    </row>
    <row r="553" spans="1:4" x14ac:dyDescent="0.2">
      <c r="A553" s="17">
        <v>42917</v>
      </c>
      <c r="B553" s="59">
        <f>VLOOKUP(Table17[[#This Row],[Date]],database!A:H,7,)</f>
        <v>100.31229999999999</v>
      </c>
      <c r="C553" s="67">
        <f t="shared" si="8"/>
        <v>-1.8636890097075698E-3</v>
      </c>
      <c r="D553" s="67">
        <f>(Table17[[#This Row],[Index]]-B541)/B541</f>
        <v>2.2807962037371159E-2</v>
      </c>
    </row>
    <row r="554" spans="1:4" x14ac:dyDescent="0.2">
      <c r="A554" s="17">
        <v>42948</v>
      </c>
      <c r="B554" s="59">
        <f>VLOOKUP(Table17[[#This Row],[Date]],database!A:H,7,)</f>
        <v>99.482900000000001</v>
      </c>
      <c r="C554" s="67">
        <f t="shared" si="8"/>
        <v>-8.2681784786112766E-3</v>
      </c>
      <c r="D554" s="67">
        <f>(Table17[[#This Row],[Index]]-B542)/B542</f>
        <v>1.6572468529374874E-2</v>
      </c>
    </row>
    <row r="555" spans="1:4" x14ac:dyDescent="0.2">
      <c r="A555" s="17">
        <v>42979</v>
      </c>
      <c r="B555" s="59">
        <f>VLOOKUP(Table17[[#This Row],[Date]],database!A:H,7,)</f>
        <v>99.282300000000006</v>
      </c>
      <c r="C555" s="67">
        <f t="shared" si="8"/>
        <v>-2.0164269437259463E-3</v>
      </c>
      <c r="D555" s="67">
        <f>(Table17[[#This Row],[Index]]-B543)/B543</f>
        <v>1.5711032404196214E-2</v>
      </c>
    </row>
    <row r="556" spans="1:4" x14ac:dyDescent="0.2">
      <c r="A556" s="17">
        <v>43009</v>
      </c>
      <c r="B556" s="59">
        <f>VLOOKUP(Table17[[#This Row],[Date]],database!A:H,7,)</f>
        <v>101.10809999999999</v>
      </c>
      <c r="C556" s="67">
        <f t="shared" si="8"/>
        <v>1.8389984921783453E-2</v>
      </c>
      <c r="D556" s="67">
        <f>(Table17[[#This Row],[Index]]-B544)/B544</f>
        <v>3.0594271945006687E-2</v>
      </c>
    </row>
    <row r="557" spans="1:4" x14ac:dyDescent="0.2">
      <c r="A557" s="17">
        <v>43040</v>
      </c>
      <c r="B557" s="59">
        <f>VLOOKUP(Table17[[#This Row],[Date]],database!A:H,7,)</f>
        <v>101.6669</v>
      </c>
      <c r="C557" s="67">
        <f t="shared" si="8"/>
        <v>5.52675799466118E-3</v>
      </c>
      <c r="D557" s="67">
        <f>(Table17[[#This Row],[Index]]-B545)/B545</f>
        <v>3.9654726344756148E-2</v>
      </c>
    </row>
    <row r="558" spans="1:4" x14ac:dyDescent="0.2">
      <c r="A558" s="17">
        <v>43070</v>
      </c>
      <c r="B558" s="59">
        <f>VLOOKUP(Table17[[#This Row],[Date]],database!A:H,7,)</f>
        <v>101.7993</v>
      </c>
      <c r="C558" s="67">
        <f t="shared" si="8"/>
        <v>1.3022920931000659E-3</v>
      </c>
      <c r="D558" s="67">
        <f>(Table17[[#This Row],[Index]]-B546)/B546</f>
        <v>3.812642386442678E-2</v>
      </c>
    </row>
    <row r="559" spans="1:4" x14ac:dyDescent="0.2">
      <c r="A559" s="17">
        <v>43101</v>
      </c>
      <c r="B559" s="59">
        <f>VLOOKUP(Table17[[#This Row],[Date]],database!A:H,7,)</f>
        <v>101.5448</v>
      </c>
      <c r="C559" s="67">
        <f t="shared" si="8"/>
        <v>-2.500017190688042E-3</v>
      </c>
      <c r="D559" s="67">
        <f>(Table17[[#This Row],[Index]]-B547)/B547</f>
        <v>3.2574276957619094E-2</v>
      </c>
    </row>
    <row r="560" spans="1:4" x14ac:dyDescent="0.2">
      <c r="A560" s="17">
        <v>43132</v>
      </c>
      <c r="B560" s="59">
        <f>VLOOKUP(Table17[[#This Row],[Date]],database!A:H,7,)</f>
        <v>102.10129999999999</v>
      </c>
      <c r="C560" s="67">
        <f t="shared" si="8"/>
        <v>5.4803397121270248E-3</v>
      </c>
      <c r="D560" s="67">
        <f>(Table17[[#This Row],[Index]]-B548)/B548</f>
        <v>3.712367923320857E-2</v>
      </c>
    </row>
    <row r="561" spans="1:4" x14ac:dyDescent="0.2">
      <c r="A561" s="17">
        <v>43160</v>
      </c>
      <c r="B561" s="59">
        <f>VLOOKUP(Table17[[#This Row],[Date]],database!A:H,7,)</f>
        <v>103.1035</v>
      </c>
      <c r="C561" s="67">
        <f t="shared" si="8"/>
        <v>9.8157418171953559E-3</v>
      </c>
      <c r="D561" s="67">
        <f>(Table17[[#This Row],[Index]]-B549)/B549</f>
        <v>3.9050233501228444E-2</v>
      </c>
    </row>
    <row r="562" spans="1:4" x14ac:dyDescent="0.2">
      <c r="A562" s="17">
        <v>43191</v>
      </c>
      <c r="B562" s="59">
        <f>VLOOKUP(Table17[[#This Row],[Date]],database!A:H,7,)</f>
        <v>103.9722</v>
      </c>
      <c r="C562" s="67">
        <f t="shared" si="8"/>
        <v>8.4255141678022394E-3</v>
      </c>
      <c r="D562" s="67">
        <f>(Table17[[#This Row],[Index]]-B550)/B550</f>
        <v>4.0160947920022193E-2</v>
      </c>
    </row>
    <row r="563" spans="1:4" x14ac:dyDescent="0.2">
      <c r="A563" s="17">
        <v>43221</v>
      </c>
      <c r="B563" s="59">
        <f>VLOOKUP(Table17[[#This Row],[Date]],database!A:H,7,)</f>
        <v>103.99290000000001</v>
      </c>
      <c r="C563" s="67">
        <f t="shared" si="8"/>
        <v>1.990916802760978E-4</v>
      </c>
      <c r="D563" s="67">
        <f>(Table17[[#This Row],[Index]]-B551)/B551</f>
        <v>4.1238878509164571E-2</v>
      </c>
    </row>
    <row r="564" spans="1:4" x14ac:dyDescent="0.2">
      <c r="A564" s="17">
        <v>43252</v>
      </c>
      <c r="B564" s="59">
        <f>VLOOKUP(Table17[[#This Row],[Date]],database!A:H,7,)</f>
        <v>104.6938</v>
      </c>
      <c r="C564" s="67">
        <f t="shared" si="8"/>
        <v>6.7398832035647782E-3</v>
      </c>
      <c r="D564" s="67">
        <f>(Table17[[#This Row],[Index]]-B552)/B552</f>
        <v>4.1733499436813627E-2</v>
      </c>
    </row>
    <row r="565" spans="1:4" x14ac:dyDescent="0.2">
      <c r="A565" s="17">
        <v>43282</v>
      </c>
      <c r="B565" s="59">
        <f>VLOOKUP(Table17[[#This Row],[Date]],database!A:H,7,)</f>
        <v>105.2927</v>
      </c>
      <c r="C565" s="67">
        <f t="shared" si="8"/>
        <v>5.7204915668358503E-3</v>
      </c>
      <c r="D565" s="67">
        <f>(Table17[[#This Row],[Index]]-B553)/B553</f>
        <v>4.9648946340578405E-2</v>
      </c>
    </row>
    <row r="566" spans="1:4" x14ac:dyDescent="0.2">
      <c r="A566" s="17">
        <v>43313</v>
      </c>
      <c r="B566" s="59">
        <f>VLOOKUP(Table17[[#This Row],[Date]],database!A:H,7,)</f>
        <v>106.2011</v>
      </c>
      <c r="C566" s="67">
        <f t="shared" si="8"/>
        <v>8.627378726160595E-3</v>
      </c>
      <c r="D566" s="67">
        <f>(Table17[[#This Row],[Index]]-B554)/B554</f>
        <v>6.7531203855134864E-2</v>
      </c>
    </row>
    <row r="567" spans="1:4" x14ac:dyDescent="0.2">
      <c r="A567" s="17">
        <v>43344</v>
      </c>
      <c r="B567" s="59">
        <f>VLOOKUP(Table17[[#This Row],[Date]],database!A:H,7,)</f>
        <v>106.2865</v>
      </c>
      <c r="C567" s="67">
        <f t="shared" si="8"/>
        <v>8.0413479709728897E-4</v>
      </c>
      <c r="D567" s="67">
        <f>(Table17[[#This Row],[Index]]-B555)/B555</f>
        <v>7.054832533089983E-2</v>
      </c>
    </row>
    <row r="568" spans="1:4" x14ac:dyDescent="0.2">
      <c r="A568" s="17">
        <v>43374</v>
      </c>
      <c r="B568" s="59">
        <f>VLOOKUP(Table17[[#This Row],[Date]],database!A:H,7,)</f>
        <v>106.1691</v>
      </c>
      <c r="C568" s="67">
        <f t="shared" si="8"/>
        <v>-1.1045617270303287E-3</v>
      </c>
      <c r="D568" s="67">
        <f>(Table17[[#This Row],[Index]]-B556)/B556</f>
        <v>5.0055336812777684E-2</v>
      </c>
    </row>
    <row r="569" spans="1:4" x14ac:dyDescent="0.2">
      <c r="A569" s="17">
        <v>43405</v>
      </c>
      <c r="B569" s="59">
        <f>VLOOKUP(Table17[[#This Row],[Date]],database!A:H,7,)</f>
        <v>106.4877</v>
      </c>
      <c r="C569" s="67">
        <f t="shared" si="8"/>
        <v>3.0008731354038698E-3</v>
      </c>
      <c r="D569" s="67">
        <f>(Table17[[#This Row],[Index]]-B557)/B557</f>
        <v>4.7417596090763126E-2</v>
      </c>
    </row>
    <row r="570" spans="1:4" x14ac:dyDescent="0.2">
      <c r="A570" s="17">
        <v>43435</v>
      </c>
      <c r="B570" s="59">
        <f>VLOOKUP(Table17[[#This Row],[Date]],database!A:H,7,)</f>
        <v>106.533</v>
      </c>
      <c r="C570" s="67">
        <f t="shared" si="8"/>
        <v>4.2540124352385966E-4</v>
      </c>
      <c r="D570" s="67">
        <f>(Table17[[#This Row],[Index]]-B558)/B558</f>
        <v>4.6500319746795887E-2</v>
      </c>
    </row>
    <row r="571" spans="1:4" x14ac:dyDescent="0.2">
      <c r="A571" s="17">
        <v>43466</v>
      </c>
      <c r="B571" s="59">
        <f>VLOOKUP(Table17[[#This Row],[Date]],database!A:H,7,)</f>
        <v>105.92489999999999</v>
      </c>
      <c r="C571" s="67">
        <f t="shared" si="8"/>
        <v>-5.7080904508463037E-3</v>
      </c>
      <c r="D571" s="67">
        <f>(Table17[[#This Row],[Index]]-B559)/B559</f>
        <v>4.3134655836635644E-2</v>
      </c>
    </row>
    <row r="572" spans="1:4" x14ac:dyDescent="0.2">
      <c r="A572" s="17">
        <v>43497</v>
      </c>
      <c r="B572" s="59">
        <f>VLOOKUP(Table17[[#This Row],[Date]],database!A:H,7,)</f>
        <v>105.2959</v>
      </c>
      <c r="C572" s="67">
        <f t="shared" si="8"/>
        <v>-5.9381694011511055E-3</v>
      </c>
      <c r="D572" s="67">
        <f>(Table17[[#This Row],[Index]]-B560)/B560</f>
        <v>3.1288534034336568E-2</v>
      </c>
    </row>
    <row r="573" spans="1:4" x14ac:dyDescent="0.2">
      <c r="A573" s="17">
        <v>43525</v>
      </c>
      <c r="B573" s="59">
        <f>VLOOKUP(Table17[[#This Row],[Date]],database!A:H,7,)</f>
        <v>105.2664</v>
      </c>
      <c r="C573" s="67">
        <f t="shared" si="8"/>
        <v>-2.8016285534382401E-4</v>
      </c>
      <c r="D573" s="67">
        <f>(Table17[[#This Row],[Index]]-B561)/B561</f>
        <v>2.0977949342165954E-2</v>
      </c>
    </row>
    <row r="574" spans="1:4" x14ac:dyDescent="0.2">
      <c r="A574" s="17">
        <v>43556</v>
      </c>
      <c r="B574" s="59">
        <f>VLOOKUP(Table17[[#This Row],[Date]],database!A:H,7,)</f>
        <v>105.5086</v>
      </c>
      <c r="C574" s="67">
        <f t="shared" si="8"/>
        <v>2.3008291344626119E-3</v>
      </c>
      <c r="D574" s="67">
        <f>(Table17[[#This Row],[Index]]-B562)/B562</f>
        <v>1.4777026936046371E-2</v>
      </c>
    </row>
    <row r="575" spans="1:4" x14ac:dyDescent="0.2">
      <c r="A575" s="17">
        <v>43586</v>
      </c>
      <c r="B575" s="59">
        <f>VLOOKUP(Table17[[#This Row],[Date]],database!A:H,7,)</f>
        <v>105.55880000000001</v>
      </c>
      <c r="C575" s="67">
        <f t="shared" si="8"/>
        <v>4.7579059906022181E-4</v>
      </c>
      <c r="D575" s="67">
        <f>(Table17[[#This Row],[Index]]-B563)/B563</f>
        <v>1.5057758750837789E-2</v>
      </c>
    </row>
    <row r="576" spans="1:4" x14ac:dyDescent="0.2">
      <c r="A576" s="17">
        <v>43617</v>
      </c>
      <c r="B576" s="59">
        <f>VLOOKUP(Table17[[#This Row],[Date]],database!A:H,7,)</f>
        <v>105.1297</v>
      </c>
      <c r="C576" s="67">
        <f t="shared" si="8"/>
        <v>-4.0650329484610559E-3</v>
      </c>
      <c r="D576" s="67">
        <f>(Table17[[#This Row],[Index]]-B564)/B564</f>
        <v>4.1635703355881988E-3</v>
      </c>
    </row>
    <row r="577" spans="1:4" x14ac:dyDescent="0.2">
      <c r="A577" s="17">
        <v>43647</v>
      </c>
      <c r="B577" s="59">
        <f>VLOOKUP(Table17[[#This Row],[Date]],database!A:H,7,)</f>
        <v>104.7409</v>
      </c>
      <c r="C577" s="67">
        <f t="shared" si="8"/>
        <v>-3.6982888755509036E-3</v>
      </c>
      <c r="D577" s="67">
        <f>(Table17[[#This Row],[Index]]-B565)/B565</f>
        <v>-5.2406292174101343E-3</v>
      </c>
    </row>
    <row r="578" spans="1:4" x14ac:dyDescent="0.2">
      <c r="A578" s="17">
        <v>43678</v>
      </c>
      <c r="B578" s="59">
        <f>VLOOKUP(Table17[[#This Row],[Date]],database!A:H,7,)</f>
        <v>105.74250000000001</v>
      </c>
      <c r="C578" s="67">
        <f t="shared" si="8"/>
        <v>9.5626445829661844E-3</v>
      </c>
      <c r="D578" s="67">
        <f>(Table17[[#This Row],[Index]]-B566)/B566</f>
        <v>-4.3182226926085504E-3</v>
      </c>
    </row>
    <row r="579" spans="1:4" x14ac:dyDescent="0.2">
      <c r="A579" s="17">
        <v>43709</v>
      </c>
      <c r="B579" s="59">
        <f>VLOOKUP(Table17[[#This Row],[Date]],database!A:H,7,)</f>
        <v>105.845</v>
      </c>
      <c r="C579" s="67">
        <f t="shared" si="8"/>
        <v>9.6933588670577997E-4</v>
      </c>
      <c r="D579" s="67">
        <f>(Table17[[#This Row],[Index]]-B567)/B567</f>
        <v>-4.1538671421112268E-3</v>
      </c>
    </row>
    <row r="580" spans="1:4" x14ac:dyDescent="0.2">
      <c r="A580" s="17">
        <v>43739</v>
      </c>
      <c r="B580" s="59">
        <f>VLOOKUP(Table17[[#This Row],[Date]],database!A:H,7,)</f>
        <v>104.5232</v>
      </c>
      <c r="C580" s="67">
        <f t="shared" si="8"/>
        <v>-1.2488072181019327E-2</v>
      </c>
      <c r="D580" s="67">
        <f>(Table17[[#This Row],[Index]]-B568)/B568</f>
        <v>-1.5502627412307323E-2</v>
      </c>
    </row>
    <row r="581" spans="1:4" x14ac:dyDescent="0.2">
      <c r="A581" s="17">
        <v>43770</v>
      </c>
      <c r="B581" s="59">
        <f>VLOOKUP(Table17[[#This Row],[Date]],database!A:H,7,)</f>
        <v>104.0826</v>
      </c>
      <c r="C581" s="67">
        <f t="shared" si="8"/>
        <v>-4.215332098519764E-3</v>
      </c>
      <c r="D581" s="67">
        <f>(Table17[[#This Row],[Index]]-B569)/B569</f>
        <v>-2.2585707081662992E-2</v>
      </c>
    </row>
    <row r="582" spans="1:4" x14ac:dyDescent="0.2">
      <c r="A582" s="17">
        <v>43800</v>
      </c>
      <c r="B582" s="59">
        <f>VLOOKUP(Table17[[#This Row],[Date]],database!A:H,7,)</f>
        <v>103.75709999999999</v>
      </c>
      <c r="C582" s="67">
        <f t="shared" si="8"/>
        <v>-3.1273238754605526E-3</v>
      </c>
      <c r="D582" s="67">
        <f>(Table17[[#This Row],[Index]]-B570)/B570</f>
        <v>-2.605671482075983E-2</v>
      </c>
    </row>
    <row r="583" spans="1:4" x14ac:dyDescent="0.2">
      <c r="A583" s="17">
        <v>43831</v>
      </c>
      <c r="B583" s="59">
        <f>VLOOKUP(Table17[[#This Row],[Date]],database!A:H,7,)</f>
        <v>103.26349999999999</v>
      </c>
      <c r="C583" s="67">
        <f t="shared" si="8"/>
        <v>-4.7572648040471455E-3</v>
      </c>
      <c r="D583" s="67">
        <f>(Table17[[#This Row],[Index]]-B571)/B571</f>
        <v>-2.5125348242009203E-2</v>
      </c>
    </row>
    <row r="584" spans="1:4" x14ac:dyDescent="0.2">
      <c r="A584" s="17">
        <v>43862</v>
      </c>
      <c r="B584" s="59">
        <f>VLOOKUP(Table17[[#This Row],[Date]],database!A:H,7,)</f>
        <v>103.32170000000001</v>
      </c>
      <c r="C584" s="67">
        <f t="shared" ref="C584:C647" si="9">B584/B583-1</f>
        <v>5.6360669549282427E-4</v>
      </c>
      <c r="D584" s="67">
        <f>(Table17[[#This Row],[Index]]-B572)/B572</f>
        <v>-1.8749068102366723E-2</v>
      </c>
    </row>
    <row r="585" spans="1:4" x14ac:dyDescent="0.2">
      <c r="A585" s="17">
        <v>43891</v>
      </c>
      <c r="B585" s="59">
        <f>VLOOKUP(Table17[[#This Row],[Date]],database!A:H,7,)</f>
        <v>100.7296</v>
      </c>
      <c r="C585" s="67">
        <f t="shared" si="9"/>
        <v>-2.5087663094974233E-2</v>
      </c>
      <c r="D585" s="67">
        <f>(Table17[[#This Row],[Index]]-B573)/B573</f>
        <v>-4.3098272573204741E-2</v>
      </c>
    </row>
    <row r="586" spans="1:4" x14ac:dyDescent="0.2">
      <c r="A586" s="17">
        <v>43922</v>
      </c>
      <c r="B586" s="59">
        <f>VLOOKUP(Table17[[#This Row],[Date]],database!A:H,7,)</f>
        <v>88.0274</v>
      </c>
      <c r="C586" s="67">
        <f t="shared" si="9"/>
        <v>-0.12610196009911689</v>
      </c>
      <c r="D586" s="67">
        <f>(Table17[[#This Row],[Index]]-B574)/B574</f>
        <v>-0.16568507211734398</v>
      </c>
    </row>
    <row r="587" spans="1:4" x14ac:dyDescent="0.2">
      <c r="A587" s="17">
        <v>43952</v>
      </c>
      <c r="B587" s="59">
        <f>VLOOKUP(Table17[[#This Row],[Date]],database!A:H,7,)</f>
        <v>86.647300000000001</v>
      </c>
      <c r="C587" s="67">
        <f t="shared" si="9"/>
        <v>-1.5678072963645429E-2</v>
      </c>
      <c r="D587" s="67">
        <f>(Table17[[#This Row],[Index]]-B575)/B575</f>
        <v>-0.17915607225546334</v>
      </c>
    </row>
    <row r="588" spans="1:4" x14ac:dyDescent="0.2">
      <c r="A588" s="17">
        <v>43983</v>
      </c>
      <c r="B588" s="59">
        <f>VLOOKUP(Table17[[#This Row],[Date]],database!A:H,7,)</f>
        <v>91.2547</v>
      </c>
      <c r="C588" s="67">
        <f t="shared" si="9"/>
        <v>5.3174190078629113E-2</v>
      </c>
      <c r="D588" s="67">
        <f>(Table17[[#This Row],[Index]]-B576)/B576</f>
        <v>-0.13197983062826205</v>
      </c>
    </row>
    <row r="589" spans="1:4" x14ac:dyDescent="0.2">
      <c r="A589" s="17">
        <v>44013</v>
      </c>
      <c r="B589" s="59">
        <f>VLOOKUP(Table17[[#This Row],[Date]],database!A:H,7,)</f>
        <v>94.495900000000006</v>
      </c>
      <c r="C589" s="67">
        <f t="shared" si="9"/>
        <v>3.5518170570940422E-2</v>
      </c>
      <c r="D589" s="67">
        <f>(Table17[[#This Row],[Index]]-B577)/B577</f>
        <v>-9.7812793283235014E-2</v>
      </c>
    </row>
    <row r="590" spans="1:4" x14ac:dyDescent="0.2">
      <c r="A590" s="17">
        <v>44044</v>
      </c>
      <c r="B590" s="59">
        <f>VLOOKUP(Table17[[#This Row],[Date]],database!A:H,7,)</f>
        <v>94.990700000000004</v>
      </c>
      <c r="C590" s="67">
        <f t="shared" si="9"/>
        <v>5.2362060152875145E-3</v>
      </c>
      <c r="D590" s="67">
        <f>(Table17[[#This Row],[Index]]-B578)/B578</f>
        <v>-0.10167907889448426</v>
      </c>
    </row>
    <row r="591" spans="1:4" x14ac:dyDescent="0.2">
      <c r="A591" s="17">
        <v>44075</v>
      </c>
      <c r="B591" s="59">
        <f>VLOOKUP(Table17[[#This Row],[Date]],database!A:H,7,)</f>
        <v>95.614900000000006</v>
      </c>
      <c r="C591" s="67">
        <f t="shared" si="9"/>
        <v>6.5711695987080709E-3</v>
      </c>
      <c r="D591" s="67">
        <f>(Table17[[#This Row],[Index]]-B579)/B579</f>
        <v>-9.6651707685766863E-2</v>
      </c>
    </row>
    <row r="592" spans="1:4" x14ac:dyDescent="0.2">
      <c r="A592" s="17">
        <v>44105</v>
      </c>
      <c r="B592" s="59">
        <f>VLOOKUP(Table17[[#This Row],[Date]],database!A:H,7,)</f>
        <v>96.230999999999995</v>
      </c>
      <c r="C592" s="67">
        <f t="shared" si="9"/>
        <v>6.4435563913154414E-3</v>
      </c>
      <c r="D592" s="67">
        <f>(Table17[[#This Row],[Index]]-B580)/B580</f>
        <v>-7.9333583357570459E-2</v>
      </c>
    </row>
    <row r="593" spans="1:4" x14ac:dyDescent="0.2">
      <c r="A593" s="17">
        <v>44136</v>
      </c>
      <c r="B593" s="59">
        <f>VLOOKUP(Table17[[#This Row],[Date]],database!A:H,7,)</f>
        <v>96.743399999999994</v>
      </c>
      <c r="C593" s="67">
        <f t="shared" si="9"/>
        <v>5.3246874707735259E-3</v>
      </c>
      <c r="D593" s="67">
        <f>(Table17[[#This Row],[Index]]-B581)/B581</f>
        <v>-7.0513226994713865E-2</v>
      </c>
    </row>
    <row r="594" spans="1:4" x14ac:dyDescent="0.2">
      <c r="A594" s="17">
        <v>44166</v>
      </c>
      <c r="B594" s="59">
        <f>VLOOKUP(Table17[[#This Row],[Date]],database!A:H,7,)</f>
        <v>97.560299999999998</v>
      </c>
      <c r="C594" s="67">
        <f t="shared" si="9"/>
        <v>8.4439868766241766E-3</v>
      </c>
      <c r="D594" s="67">
        <f>(Table17[[#This Row],[Index]]-B582)/B582</f>
        <v>-5.9724105627470277E-2</v>
      </c>
    </row>
    <row r="595" spans="1:4" x14ac:dyDescent="0.2">
      <c r="A595" s="17">
        <v>44197</v>
      </c>
      <c r="B595" s="59">
        <f>VLOOKUP(Table17[[#This Row],[Date]],database!A:H,7,)</f>
        <v>98.480199999999996</v>
      </c>
      <c r="C595" s="67">
        <f t="shared" si="9"/>
        <v>9.4290402961041409E-3</v>
      </c>
      <c r="D595" s="67">
        <f>(Table17[[#This Row],[Index]]-B583)/B583</f>
        <v>-4.6321304236249958E-2</v>
      </c>
    </row>
    <row r="596" spans="1:4" x14ac:dyDescent="0.2">
      <c r="A596" s="17">
        <v>44228</v>
      </c>
      <c r="B596" s="59">
        <f>VLOOKUP(Table17[[#This Row],[Date]],database!A:H,7,)</f>
        <v>94.286000000000001</v>
      </c>
      <c r="C596" s="67">
        <f t="shared" si="9"/>
        <v>-4.2589271752088154E-2</v>
      </c>
      <c r="D596" s="67">
        <f>(Table17[[#This Row],[Index]]-B584)/B584</f>
        <v>-8.7452103478746532E-2</v>
      </c>
    </row>
    <row r="597" spans="1:4" x14ac:dyDescent="0.2">
      <c r="A597" s="17">
        <v>44256</v>
      </c>
      <c r="B597" s="59">
        <f>VLOOKUP(Table17[[#This Row],[Date]],database!A:H,7,)</f>
        <v>97.992500000000007</v>
      </c>
      <c r="C597" s="67">
        <f t="shared" si="9"/>
        <v>3.931124451138035E-2</v>
      </c>
      <c r="D597" s="67">
        <f>(Table17[[#This Row],[Index]]-B585)/B585</f>
        <v>-2.7172747633267658E-2</v>
      </c>
    </row>
    <row r="598" spans="1:4" x14ac:dyDescent="0.2">
      <c r="A598" s="17">
        <v>44287</v>
      </c>
      <c r="B598" s="59">
        <f>VLOOKUP(Table17[[#This Row],[Date]],database!A:H,7,)</f>
        <v>99.000799999999998</v>
      </c>
      <c r="C598" s="67">
        <f t="shared" si="9"/>
        <v>1.0289562976758315E-2</v>
      </c>
      <c r="D598" s="67">
        <f>(Table17[[#This Row],[Index]]-B586)/B586</f>
        <v>0.12465891302026412</v>
      </c>
    </row>
    <row r="599" spans="1:4" x14ac:dyDescent="0.2">
      <c r="A599" s="17">
        <v>44317</v>
      </c>
      <c r="B599" s="59">
        <f>VLOOKUP(Table17[[#This Row],[Date]],database!A:H,7,)</f>
        <v>99.898300000000006</v>
      </c>
      <c r="C599" s="67">
        <f t="shared" si="9"/>
        <v>9.0655833084178905E-3</v>
      </c>
      <c r="D599" s="67">
        <f>(Table17[[#This Row],[Index]]-B587)/B587</f>
        <v>0.15293032789250219</v>
      </c>
    </row>
    <row r="600" spans="1:4" x14ac:dyDescent="0.2">
      <c r="A600" s="17">
        <v>44348</v>
      </c>
      <c r="B600" s="59">
        <f>VLOOKUP(Table17[[#This Row],[Date]],database!A:H,7,)</f>
        <v>100.8711</v>
      </c>
      <c r="C600" s="67">
        <f t="shared" si="9"/>
        <v>9.7379034478064508E-3</v>
      </c>
      <c r="D600" s="67">
        <f>(Table17[[#This Row],[Index]]-B588)/B588</f>
        <v>0.10537977769912124</v>
      </c>
    </row>
    <row r="601" spans="1:4" x14ac:dyDescent="0.2">
      <c r="A601" s="17">
        <v>44378</v>
      </c>
      <c r="B601" s="59">
        <f>VLOOKUP(Table17[[#This Row],[Date]],database!A:H,7,)</f>
        <v>101.0609</v>
      </c>
      <c r="C601" s="67">
        <f t="shared" si="9"/>
        <v>1.8816093013758195E-3</v>
      </c>
      <c r="D601" s="67">
        <f>(Table17[[#This Row],[Index]]-B589)/B589</f>
        <v>6.9473913683027494E-2</v>
      </c>
    </row>
    <row r="602" spans="1:4" x14ac:dyDescent="0.2">
      <c r="A602" s="17">
        <v>44409</v>
      </c>
      <c r="B602" s="59">
        <f>VLOOKUP(Table17[[#This Row],[Date]],database!A:H,7,)</f>
        <v>100.9286</v>
      </c>
      <c r="C602" s="67">
        <f t="shared" si="9"/>
        <v>-1.3091116346678477E-3</v>
      </c>
      <c r="D602" s="67">
        <f>(Table17[[#This Row],[Index]]-B590)/B590</f>
        <v>6.2510329958616995E-2</v>
      </c>
    </row>
    <row r="603" spans="1:4" x14ac:dyDescent="0.2">
      <c r="A603" s="17">
        <v>44440</v>
      </c>
      <c r="B603" s="59">
        <f>VLOOKUP(Table17[[#This Row],[Date]],database!A:H,7,)</f>
        <v>99.402000000000001</v>
      </c>
      <c r="C603" s="67">
        <f t="shared" si="9"/>
        <v>-1.5125544196590512E-2</v>
      </c>
      <c r="D603" s="67">
        <f>(Table17[[#This Row],[Index]]-B591)/B591</f>
        <v>3.9607843547396847E-2</v>
      </c>
    </row>
    <row r="604" spans="1:4" x14ac:dyDescent="0.2">
      <c r="A604" s="17">
        <v>44470</v>
      </c>
      <c r="B604" s="59">
        <f>VLOOKUP(Table17[[#This Row],[Date]],database!A:H,7,)</f>
        <v>101.6131</v>
      </c>
      <c r="C604" s="67">
        <f t="shared" si="9"/>
        <v>2.2244019235025503E-2</v>
      </c>
      <c r="D604" s="67">
        <f>(Table17[[#This Row],[Index]]-B592)/B592</f>
        <v>5.5928962600409519E-2</v>
      </c>
    </row>
    <row r="605" spans="1:4" x14ac:dyDescent="0.2">
      <c r="A605" s="17">
        <v>44501</v>
      </c>
      <c r="B605" s="59">
        <f>VLOOKUP(Table17[[#This Row],[Date]],database!A:H,7,)</f>
        <v>102.0746</v>
      </c>
      <c r="C605" s="67">
        <f t="shared" si="9"/>
        <v>4.5417372366358677E-3</v>
      </c>
      <c r="D605" s="67">
        <f>(Table17[[#This Row],[Index]]-B593)/B593</f>
        <v>5.5106601587291845E-2</v>
      </c>
    </row>
    <row r="606" spans="1:4" x14ac:dyDescent="0.2">
      <c r="A606" s="17">
        <v>44531</v>
      </c>
      <c r="B606" s="59">
        <f>VLOOKUP(Table17[[#This Row],[Date]],database!A:H,7,)</f>
        <v>101.8582</v>
      </c>
      <c r="C606" s="67">
        <f t="shared" si="9"/>
        <v>-2.1200181044060962E-3</v>
      </c>
      <c r="D606" s="67">
        <f>(Table17[[#This Row],[Index]]-B594)/B594</f>
        <v>4.4053780072426989E-2</v>
      </c>
    </row>
    <row r="607" spans="1:4" x14ac:dyDescent="0.2">
      <c r="A607" s="17">
        <v>44562</v>
      </c>
      <c r="B607" s="59">
        <f>VLOOKUP(Table17[[#This Row],[Date]],database!A:H,7,)</f>
        <v>101.8282</v>
      </c>
      <c r="C607" s="67">
        <f t="shared" si="9"/>
        <v>-2.9452709747468386E-4</v>
      </c>
      <c r="D607" s="67">
        <f>(Table17[[#This Row],[Index]]-B595)/B595</f>
        <v>3.3996681566446849E-2</v>
      </c>
    </row>
    <row r="608" spans="1:4" x14ac:dyDescent="0.2">
      <c r="A608" s="17">
        <v>44593</v>
      </c>
      <c r="B608" s="59">
        <f>VLOOKUP(Table17[[#This Row],[Date]],database!A:H,7,)</f>
        <v>102.3028</v>
      </c>
      <c r="C608" s="67">
        <f t="shared" si="9"/>
        <v>4.6607914114165094E-3</v>
      </c>
      <c r="D608" s="67">
        <f>(Table17[[#This Row],[Index]]-B596)/B596</f>
        <v>8.502640901088182E-2</v>
      </c>
    </row>
    <row r="609" spans="1:4" x14ac:dyDescent="0.2">
      <c r="A609" s="17">
        <v>44621</v>
      </c>
      <c r="B609" s="59">
        <f>VLOOKUP(Table17[[#This Row],[Date]],database!A:H,7,)</f>
        <v>103.35550000000001</v>
      </c>
      <c r="C609" s="67">
        <f t="shared" si="9"/>
        <v>1.0290040937295908E-2</v>
      </c>
      <c r="D609" s="67">
        <f>(Table17[[#This Row],[Index]]-B597)/B597</f>
        <v>5.4728678215169517E-2</v>
      </c>
    </row>
    <row r="610" spans="1:4" x14ac:dyDescent="0.2">
      <c r="A610" s="17">
        <v>44652</v>
      </c>
      <c r="B610" s="59">
        <f>VLOOKUP(Table17[[#This Row],[Date]],database!A:H,7,)</f>
        <v>103.6339</v>
      </c>
      <c r="C610" s="67">
        <f t="shared" si="9"/>
        <v>2.6936157243686587E-3</v>
      </c>
      <c r="D610" s="67">
        <f>(Table17[[#This Row],[Index]]-B598)/B598</f>
        <v>4.679861172839006E-2</v>
      </c>
    </row>
    <row r="611" spans="1:4" x14ac:dyDescent="0.2">
      <c r="A611" s="17">
        <v>44682</v>
      </c>
      <c r="B611" s="59">
        <f>VLOOKUP(Table17[[#This Row],[Date]],database!A:H,7,)</f>
        <v>103.94370000000001</v>
      </c>
      <c r="C611" s="67">
        <f t="shared" si="9"/>
        <v>2.9893693086915363E-3</v>
      </c>
      <c r="D611" s="67">
        <f>(Table17[[#This Row],[Index]]-B599)/B599</f>
        <v>4.049518360172296E-2</v>
      </c>
    </row>
    <row r="612" spans="1:4" x14ac:dyDescent="0.2">
      <c r="A612" s="17">
        <v>44713</v>
      </c>
      <c r="B612" s="59">
        <f>VLOOKUP(Table17[[#This Row],[Date]],database!A:H,7,)</f>
        <v>104.5029</v>
      </c>
      <c r="C612" s="67">
        <f t="shared" si="9"/>
        <v>5.3798354301413109E-3</v>
      </c>
      <c r="D612" s="67">
        <f>(Table17[[#This Row],[Index]]-B600)/B600</f>
        <v>3.6004365968052281E-2</v>
      </c>
    </row>
    <row r="613" spans="1:4" x14ac:dyDescent="0.2">
      <c r="A613" s="17">
        <v>44743</v>
      </c>
      <c r="B613" s="59">
        <f>VLOOKUP(Table17[[#This Row],[Date]],database!A:H,7,)</f>
        <v>105.06319999999999</v>
      </c>
      <c r="C613" s="67">
        <f t="shared" si="9"/>
        <v>5.3615736979548689E-3</v>
      </c>
      <c r="D613" s="67">
        <f>(Table17[[#This Row],[Index]]-B601)/B601</f>
        <v>3.9602853329032205E-2</v>
      </c>
    </row>
    <row r="614" spans="1:4" x14ac:dyDescent="0.2">
      <c r="A614" s="17">
        <v>44774</v>
      </c>
      <c r="B614" s="59">
        <f>VLOOKUP(Table17[[#This Row],[Date]],database!A:H,7,)</f>
        <v>104.60420000000001</v>
      </c>
      <c r="C614" s="67">
        <f t="shared" si="9"/>
        <v>-4.3687989705243346E-3</v>
      </c>
      <c r="D614" s="67">
        <f>(Table17[[#This Row],[Index]]-B602)/B602</f>
        <v>3.6417824085541686E-2</v>
      </c>
    </row>
  </sheetData>
  <conditionalFormatting sqref="D463:D61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4"/>
  <sheetViews>
    <sheetView zoomScale="110" zoomScaleNormal="110" workbookViewId="0">
      <pane ySplit="6" topLeftCell="A566" activePane="bottomLeft" state="frozen"/>
      <selection activeCell="J582" sqref="J582"/>
      <selection pane="bottomLeft" activeCell="AB616" sqref="AB61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22" width="9.1640625" style="75" customWidth="1"/>
    <col min="23" max="23" width="15.33203125" style="75" customWidth="1"/>
    <col min="24" max="26" width="9.1640625" style="75" customWidth="1"/>
    <col min="27" max="16384" width="9.1640625" style="75"/>
  </cols>
  <sheetData>
    <row r="1" spans="1:25" x14ac:dyDescent="0.2">
      <c r="A1" s="15" t="s">
        <v>30</v>
      </c>
      <c r="B1" s="75"/>
      <c r="C1" s="75"/>
      <c r="S1" s="75" t="s">
        <v>66</v>
      </c>
      <c r="T1" s="75" t="s">
        <v>67</v>
      </c>
      <c r="U1" s="75" t="str">
        <f>S1&amp;T1</f>
        <v xml:space="preserve">Industrial Production: Consumer Goods since 2010 </v>
      </c>
      <c r="Y1" s="75" t="str">
        <f>U2&amp; T1</f>
        <v xml:space="preserve">Industrial Production: Consumer Goods yoy since 2010 </v>
      </c>
    </row>
    <row r="2" spans="1:25" x14ac:dyDescent="0.2">
      <c r="A2" s="16"/>
      <c r="B2" s="75"/>
      <c r="C2" s="75"/>
      <c r="U2" s="75"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VLOOKUP(Table18[[#This Row],[Date]],database!A:G,5,)</f>
        <v>57.259900000000002</v>
      </c>
      <c r="C7" s="66"/>
      <c r="D7" s="66"/>
    </row>
    <row r="8" spans="1:25" x14ac:dyDescent="0.2">
      <c r="A8" s="17">
        <v>26330</v>
      </c>
      <c r="B8" s="59">
        <f>VLOOKUP(Table18[[#This Row],[Date]],database!A:G,5,)</f>
        <v>57.619500000000002</v>
      </c>
      <c r="C8" s="67">
        <f t="shared" ref="C8:C71" si="0">B8/B7-1</f>
        <v>6.2801367099838412E-3</v>
      </c>
      <c r="D8" s="67"/>
    </row>
    <row r="9" spans="1:25" x14ac:dyDescent="0.2">
      <c r="A9" s="17">
        <v>26359</v>
      </c>
      <c r="B9" s="59">
        <f>VLOOKUP(Table18[[#This Row],[Date]],database!A:G,5,)</f>
        <v>57.597799999999999</v>
      </c>
      <c r="C9" s="67">
        <f t="shared" si="0"/>
        <v>-3.7660861340349516E-4</v>
      </c>
      <c r="D9" s="67"/>
    </row>
    <row r="10" spans="1:25" x14ac:dyDescent="0.2">
      <c r="A10" s="17">
        <v>26390</v>
      </c>
      <c r="B10" s="59">
        <f>VLOOKUP(Table18[[#This Row],[Date]],database!A:G,5,)</f>
        <v>58.268799999999999</v>
      </c>
      <c r="C10" s="67">
        <f t="shared" si="0"/>
        <v>1.1649750511304235E-2</v>
      </c>
      <c r="D10" s="67"/>
    </row>
    <row r="11" spans="1:25" x14ac:dyDescent="0.2">
      <c r="A11" s="17">
        <v>26420</v>
      </c>
      <c r="B11" s="59">
        <f>VLOOKUP(Table18[[#This Row],[Date]],database!A:G,5,)</f>
        <v>58.014200000000002</v>
      </c>
      <c r="C11" s="67">
        <f t="shared" si="0"/>
        <v>-4.369405239167401E-3</v>
      </c>
      <c r="D11" s="67"/>
    </row>
    <row r="12" spans="1:25" x14ac:dyDescent="0.2">
      <c r="A12" s="17">
        <v>26451</v>
      </c>
      <c r="B12" s="59">
        <f>VLOOKUP(Table18[[#This Row],[Date]],database!A:G,5,)</f>
        <v>58.039099999999998</v>
      </c>
      <c r="C12" s="67">
        <f t="shared" si="0"/>
        <v>4.2920526353884547E-4</v>
      </c>
      <c r="D12" s="67"/>
    </row>
    <row r="13" spans="1:25" x14ac:dyDescent="0.2">
      <c r="A13" s="17">
        <v>26481</v>
      </c>
      <c r="B13" s="59">
        <f>VLOOKUP(Table18[[#This Row],[Date]],database!A:G,5,)</f>
        <v>58.471200000000003</v>
      </c>
      <c r="C13" s="67">
        <f t="shared" si="0"/>
        <v>7.4449810558745444E-3</v>
      </c>
      <c r="D13" s="67"/>
    </row>
    <row r="14" spans="1:25" x14ac:dyDescent="0.2">
      <c r="A14" s="17">
        <v>26512</v>
      </c>
      <c r="B14" s="59">
        <f>VLOOKUP(Table18[[#This Row],[Date]],database!A:G,5,)</f>
        <v>59.105400000000003</v>
      </c>
      <c r="C14" s="67">
        <f t="shared" si="0"/>
        <v>1.0846365390140722E-2</v>
      </c>
      <c r="D14" s="67"/>
    </row>
    <row r="15" spans="1:25" x14ac:dyDescent="0.2">
      <c r="A15" s="17">
        <v>26543</v>
      </c>
      <c r="B15" s="59">
        <f>VLOOKUP(Table18[[#This Row],[Date]],database!A:G,5,)</f>
        <v>59.431899999999999</v>
      </c>
      <c r="C15" s="67">
        <f t="shared" si="0"/>
        <v>5.5240299532699488E-3</v>
      </c>
      <c r="D15" s="67"/>
    </row>
    <row r="16" spans="1:25" x14ac:dyDescent="0.2">
      <c r="A16" s="17">
        <v>26573</v>
      </c>
      <c r="B16" s="59">
        <f>VLOOKUP(Table18[[#This Row],[Date]],database!A:G,5,)</f>
        <v>60.283900000000003</v>
      </c>
      <c r="C16" s="67">
        <f t="shared" si="0"/>
        <v>1.4335735522505555E-2</v>
      </c>
      <c r="D16" s="67"/>
    </row>
    <row r="17" spans="1:4" x14ac:dyDescent="0.2">
      <c r="A17" s="17">
        <v>26604</v>
      </c>
      <c r="B17" s="59">
        <f>VLOOKUP(Table18[[#This Row],[Date]],database!A:G,5,)</f>
        <v>60.709499999999998</v>
      </c>
      <c r="C17" s="67">
        <f t="shared" si="0"/>
        <v>7.0599281068410846E-3</v>
      </c>
      <c r="D17" s="67"/>
    </row>
    <row r="18" spans="1:4" x14ac:dyDescent="0.2">
      <c r="A18" s="17">
        <v>26634</v>
      </c>
      <c r="B18" s="59">
        <f>VLOOKUP(Table18[[#This Row],[Date]],database!A:G,5,)</f>
        <v>61.210700000000003</v>
      </c>
      <c r="C18" s="67">
        <f t="shared" si="0"/>
        <v>8.2557095676953907E-3</v>
      </c>
      <c r="D18" s="67"/>
    </row>
    <row r="19" spans="1:4" x14ac:dyDescent="0.2">
      <c r="A19" s="17">
        <v>26665</v>
      </c>
      <c r="B19" s="59">
        <f>VLOOKUP(Table18[[#This Row],[Date]],database!A:G,5,)</f>
        <v>61.104799999999997</v>
      </c>
      <c r="C19" s="67">
        <f t="shared" si="0"/>
        <v>-1.7300896738643434E-3</v>
      </c>
      <c r="D19" s="67"/>
    </row>
    <row r="20" spans="1:4" x14ac:dyDescent="0.2">
      <c r="A20" s="17">
        <v>26696</v>
      </c>
      <c r="B20" s="59">
        <f>VLOOKUP(Table18[[#This Row],[Date]],database!A:G,5,)</f>
        <v>61.866199999999999</v>
      </c>
      <c r="C20" s="67">
        <f t="shared" si="0"/>
        <v>1.2460559563242102E-2</v>
      </c>
      <c r="D20" s="67">
        <f>(Table18[[#This Row],[Index]]-B8)/B8</f>
        <v>7.3702479195411216E-2</v>
      </c>
    </row>
    <row r="21" spans="1:4" x14ac:dyDescent="0.2">
      <c r="A21" s="17">
        <v>26724</v>
      </c>
      <c r="B21" s="59">
        <f>VLOOKUP(Table18[[#This Row],[Date]],database!A:G,5,)</f>
        <v>62.031700000000001</v>
      </c>
      <c r="C21" s="67">
        <f t="shared" si="0"/>
        <v>2.6751279373875558E-3</v>
      </c>
      <c r="D21" s="67">
        <f>(Table18[[#This Row],[Index]]-B9)/B9</f>
        <v>7.6980370778050575E-2</v>
      </c>
    </row>
    <row r="22" spans="1:4" x14ac:dyDescent="0.2">
      <c r="A22" s="17">
        <v>26755</v>
      </c>
      <c r="B22" s="59">
        <f>VLOOKUP(Table18[[#This Row],[Date]],database!A:G,5,)</f>
        <v>61.395499999999998</v>
      </c>
      <c r="C22" s="67">
        <f t="shared" si="0"/>
        <v>-1.0256046505254579E-2</v>
      </c>
      <c r="D22" s="67">
        <f>(Table18[[#This Row],[Index]]-B10)/B10</f>
        <v>5.3659934647701683E-2</v>
      </c>
    </row>
    <row r="23" spans="1:4" x14ac:dyDescent="0.2">
      <c r="A23" s="17">
        <v>26785</v>
      </c>
      <c r="B23" s="59">
        <f>VLOOKUP(Table18[[#This Row],[Date]],database!A:G,5,)</f>
        <v>61.760199999999998</v>
      </c>
      <c r="C23" s="67">
        <f t="shared" si="0"/>
        <v>5.9401747685090545E-3</v>
      </c>
      <c r="D23" s="67">
        <f>(Table18[[#This Row],[Index]]-B11)/B11</f>
        <v>6.457039828179989E-2</v>
      </c>
    </row>
    <row r="24" spans="1:4" x14ac:dyDescent="0.2">
      <c r="A24" s="17">
        <v>26816</v>
      </c>
      <c r="B24" s="59">
        <f>VLOOKUP(Table18[[#This Row],[Date]],database!A:G,5,)</f>
        <v>61.351300000000002</v>
      </c>
      <c r="C24" s="67">
        <f t="shared" si="0"/>
        <v>-6.6207687151271788E-3</v>
      </c>
      <c r="D24" s="67">
        <f>(Table18[[#This Row],[Index]]-B12)/B12</f>
        <v>5.7068424562062549E-2</v>
      </c>
    </row>
    <row r="25" spans="1:4" x14ac:dyDescent="0.2">
      <c r="A25" s="17">
        <v>26846</v>
      </c>
      <c r="B25" s="59">
        <f>VLOOKUP(Table18[[#This Row],[Date]],database!A:G,5,)</f>
        <v>61.192799999999998</v>
      </c>
      <c r="C25" s="67">
        <f t="shared" si="0"/>
        <v>-2.5834823385976202E-3</v>
      </c>
      <c r="D25" s="67">
        <f>(Table18[[#This Row],[Index]]-B13)/B13</f>
        <v>4.6545991872921966E-2</v>
      </c>
    </row>
    <row r="26" spans="1:4" x14ac:dyDescent="0.2">
      <c r="A26" s="17">
        <v>26877</v>
      </c>
      <c r="B26" s="59">
        <f>VLOOKUP(Table18[[#This Row],[Date]],database!A:G,5,)</f>
        <v>60.626899999999999</v>
      </c>
      <c r="C26" s="67">
        <f t="shared" si="0"/>
        <v>-9.2478200049679327E-3</v>
      </c>
      <c r="D26" s="67">
        <f>(Table18[[#This Row],[Index]]-B14)/B14</f>
        <v>2.5742148771516579E-2</v>
      </c>
    </row>
    <row r="27" spans="1:4" x14ac:dyDescent="0.2">
      <c r="A27" s="17">
        <v>26908</v>
      </c>
      <c r="B27" s="59">
        <f>VLOOKUP(Table18[[#This Row],[Date]],database!A:G,5,)</f>
        <v>61.5627</v>
      </c>
      <c r="C27" s="67">
        <f t="shared" si="0"/>
        <v>1.5435392540275039E-2</v>
      </c>
      <c r="D27" s="67">
        <f>(Table18[[#This Row],[Index]]-B15)/B15</f>
        <v>3.5852799590792163E-2</v>
      </c>
    </row>
    <row r="28" spans="1:4" x14ac:dyDescent="0.2">
      <c r="A28" s="17">
        <v>26938</v>
      </c>
      <c r="B28" s="59">
        <f>VLOOKUP(Table18[[#This Row],[Date]],database!A:G,5,)</f>
        <v>61.827500000000001</v>
      </c>
      <c r="C28" s="67">
        <f t="shared" si="0"/>
        <v>4.3013058231688994E-3</v>
      </c>
      <c r="D28" s="67">
        <f>(Table18[[#This Row],[Index]]-B16)/B16</f>
        <v>2.5605509928853274E-2</v>
      </c>
    </row>
    <row r="29" spans="1:4" x14ac:dyDescent="0.2">
      <c r="A29" s="17">
        <v>26969</v>
      </c>
      <c r="B29" s="59">
        <f>VLOOKUP(Table18[[#This Row],[Date]],database!A:G,5,)</f>
        <v>62.023099999999999</v>
      </c>
      <c r="C29" s="67">
        <f t="shared" si="0"/>
        <v>3.1636407747361872E-3</v>
      </c>
      <c r="D29" s="67">
        <f>(Table18[[#This Row],[Index]]-B17)/B17</f>
        <v>2.1637470247654833E-2</v>
      </c>
    </row>
    <row r="30" spans="1:4" x14ac:dyDescent="0.2">
      <c r="A30" s="17">
        <v>26999</v>
      </c>
      <c r="B30" s="59">
        <f>VLOOKUP(Table18[[#This Row],[Date]],database!A:G,5,)</f>
        <v>60.9131</v>
      </c>
      <c r="C30" s="67">
        <f t="shared" si="0"/>
        <v>-1.7896557895364817E-2</v>
      </c>
      <c r="D30" s="67">
        <f>(Table18[[#This Row],[Index]]-B18)/B18</f>
        <v>-4.8618950608309121E-3</v>
      </c>
    </row>
    <row r="31" spans="1:4" x14ac:dyDescent="0.2">
      <c r="A31" s="17">
        <v>27030</v>
      </c>
      <c r="B31" s="59">
        <f>VLOOKUP(Table18[[#This Row],[Date]],database!A:G,5,)</f>
        <v>60.119900000000001</v>
      </c>
      <c r="C31" s="67">
        <f t="shared" si="0"/>
        <v>-1.3021829458687795E-2</v>
      </c>
      <c r="D31" s="67">
        <f>(Table18[[#This Row],[Index]]-B19)/B19</f>
        <v>-1.6118210026053535E-2</v>
      </c>
    </row>
    <row r="32" spans="1:4" x14ac:dyDescent="0.2">
      <c r="A32" s="17">
        <v>27061</v>
      </c>
      <c r="B32" s="59">
        <f>VLOOKUP(Table18[[#This Row],[Date]],database!A:G,5,)</f>
        <v>59.922199999999997</v>
      </c>
      <c r="C32" s="67">
        <f t="shared" si="0"/>
        <v>-3.2884286234675653E-3</v>
      </c>
      <c r="D32" s="67">
        <f>(Table18[[#This Row],[Index]]-B20)/B20</f>
        <v>-3.1422650817409227E-2</v>
      </c>
    </row>
    <row r="33" spans="1:4" x14ac:dyDescent="0.2">
      <c r="A33" s="17">
        <v>27089</v>
      </c>
      <c r="B33" s="59">
        <f>VLOOKUP(Table18[[#This Row],[Date]],database!A:G,5,)</f>
        <v>60.0319</v>
      </c>
      <c r="C33" s="67">
        <f t="shared" si="0"/>
        <v>1.830707150271671E-3</v>
      </c>
      <c r="D33" s="67">
        <f>(Table18[[#This Row],[Index]]-B21)/B21</f>
        <v>-3.2238355550468556E-2</v>
      </c>
    </row>
    <row r="34" spans="1:4" x14ac:dyDescent="0.2">
      <c r="A34" s="17">
        <v>27120</v>
      </c>
      <c r="B34" s="59">
        <f>VLOOKUP(Table18[[#This Row],[Date]],database!A:G,5,)</f>
        <v>59.837299999999999</v>
      </c>
      <c r="C34" s="67">
        <f t="shared" si="0"/>
        <v>-3.2416098774151747E-3</v>
      </c>
      <c r="D34" s="67">
        <f>(Table18[[#This Row],[Index]]-B22)/B22</f>
        <v>-2.5379710239349779E-2</v>
      </c>
    </row>
    <row r="35" spans="1:4" x14ac:dyDescent="0.2">
      <c r="A35" s="17">
        <v>27150</v>
      </c>
      <c r="B35" s="59">
        <f>VLOOKUP(Table18[[#This Row],[Date]],database!A:G,5,)</f>
        <v>60.421700000000001</v>
      </c>
      <c r="C35" s="67">
        <f t="shared" si="0"/>
        <v>9.7664834476154372E-3</v>
      </c>
      <c r="D35" s="67">
        <f>(Table18[[#This Row],[Index]]-B23)/B23</f>
        <v>-2.1672533443868321E-2</v>
      </c>
    </row>
    <row r="36" spans="1:4" x14ac:dyDescent="0.2">
      <c r="A36" s="17">
        <v>27181</v>
      </c>
      <c r="B36" s="59">
        <f>VLOOKUP(Table18[[#This Row],[Date]],database!A:G,5,)</f>
        <v>60.6175</v>
      </c>
      <c r="C36" s="67">
        <f t="shared" si="0"/>
        <v>3.2405576142346959E-3</v>
      </c>
      <c r="D36" s="67">
        <f>(Table18[[#This Row],[Index]]-B24)/B24</f>
        <v>-1.1960626751185423E-2</v>
      </c>
    </row>
    <row r="37" spans="1:4" x14ac:dyDescent="0.2">
      <c r="A37" s="17">
        <v>27211</v>
      </c>
      <c r="B37" s="59">
        <f>VLOOKUP(Table18[[#This Row],[Date]],database!A:G,5,)</f>
        <v>60.594000000000001</v>
      </c>
      <c r="C37" s="67">
        <f t="shared" si="0"/>
        <v>-3.876768259990504E-4</v>
      </c>
      <c r="D37" s="67">
        <f>(Table18[[#This Row],[Index]]-B25)/B25</f>
        <v>-9.7854649566615215E-3</v>
      </c>
    </row>
    <row r="38" spans="1:4" x14ac:dyDescent="0.2">
      <c r="A38" s="17">
        <v>27242</v>
      </c>
      <c r="B38" s="59">
        <f>VLOOKUP(Table18[[#This Row],[Date]],database!A:G,5,)</f>
        <v>60.509900000000002</v>
      </c>
      <c r="C38" s="67">
        <f t="shared" si="0"/>
        <v>-1.3879261973132051E-3</v>
      </c>
      <c r="D38" s="67">
        <f>(Table18[[#This Row],[Index]]-B26)/B26</f>
        <v>-1.9298364257449635E-3</v>
      </c>
    </row>
    <row r="39" spans="1:4" x14ac:dyDescent="0.2">
      <c r="A39" s="17">
        <v>27273</v>
      </c>
      <c r="B39" s="59">
        <f>VLOOKUP(Table18[[#This Row],[Date]],database!A:G,5,)</f>
        <v>59.986600000000003</v>
      </c>
      <c r="C39" s="67">
        <f t="shared" si="0"/>
        <v>-8.6481716215032201E-3</v>
      </c>
      <c r="D39" s="67">
        <f>(Table18[[#This Row],[Index]]-B27)/B27</f>
        <v>-2.5601541192962568E-2</v>
      </c>
    </row>
    <row r="40" spans="1:4" x14ac:dyDescent="0.2">
      <c r="A40" s="17">
        <v>27303</v>
      </c>
      <c r="B40" s="59">
        <f>VLOOKUP(Table18[[#This Row],[Date]],database!A:G,5,)</f>
        <v>60.001899999999999</v>
      </c>
      <c r="C40" s="67">
        <f t="shared" si="0"/>
        <v>2.5505696272154488E-4</v>
      </c>
      <c r="D40" s="67">
        <f>(Table18[[#This Row],[Index]]-B28)/B28</f>
        <v>-2.9527313897537526E-2</v>
      </c>
    </row>
    <row r="41" spans="1:4" x14ac:dyDescent="0.2">
      <c r="A41" s="17">
        <v>27334</v>
      </c>
      <c r="B41" s="59">
        <f>VLOOKUP(Table18[[#This Row],[Date]],database!A:G,5,)</f>
        <v>58.306600000000003</v>
      </c>
      <c r="C41" s="67">
        <f t="shared" si="0"/>
        <v>-2.8254105286665832E-2</v>
      </c>
      <c r="D41" s="67">
        <f>(Table18[[#This Row],[Index]]-B29)/B29</f>
        <v>-5.9921222899210078E-2</v>
      </c>
    </row>
    <row r="42" spans="1:4" x14ac:dyDescent="0.2">
      <c r="A42" s="17">
        <v>27364</v>
      </c>
      <c r="B42" s="59">
        <f>VLOOKUP(Table18[[#This Row],[Date]],database!A:G,5,)</f>
        <v>56.386600000000001</v>
      </c>
      <c r="C42" s="67">
        <f t="shared" si="0"/>
        <v>-3.2929376777243058E-2</v>
      </c>
      <c r="D42" s="67">
        <f>(Table18[[#This Row],[Index]]-B30)/B30</f>
        <v>-7.4310780439675511E-2</v>
      </c>
    </row>
    <row r="43" spans="1:4" x14ac:dyDescent="0.2">
      <c r="A43" s="17">
        <v>27395</v>
      </c>
      <c r="B43" s="59">
        <f>VLOOKUP(Table18[[#This Row],[Date]],database!A:G,5,)</f>
        <v>55.1</v>
      </c>
      <c r="C43" s="67">
        <f t="shared" si="0"/>
        <v>-2.2817477911418638E-2</v>
      </c>
      <c r="D43" s="67">
        <f>(Table18[[#This Row],[Index]]-B31)/B31</f>
        <v>-8.3498142877815831E-2</v>
      </c>
    </row>
    <row r="44" spans="1:4" x14ac:dyDescent="0.2">
      <c r="A44" s="17">
        <v>27426</v>
      </c>
      <c r="B44" s="59">
        <f>VLOOKUP(Table18[[#This Row],[Date]],database!A:G,5,)</f>
        <v>54.361600000000003</v>
      </c>
      <c r="C44" s="67">
        <f t="shared" si="0"/>
        <v>-1.340108892921954E-2</v>
      </c>
      <c r="D44" s="67">
        <f>(Table18[[#This Row],[Index]]-B32)/B32</f>
        <v>-9.2796993434820382E-2</v>
      </c>
    </row>
    <row r="45" spans="1:4" x14ac:dyDescent="0.2">
      <c r="A45" s="17">
        <v>27454</v>
      </c>
      <c r="B45" s="59">
        <f>VLOOKUP(Table18[[#This Row],[Date]],database!A:G,5,)</f>
        <v>54.505400000000002</v>
      </c>
      <c r="C45" s="67">
        <f t="shared" si="0"/>
        <v>2.6452495879443205E-3</v>
      </c>
      <c r="D45" s="67">
        <f>(Table18[[#This Row],[Index]]-B33)/B33</f>
        <v>-9.2059388425153932E-2</v>
      </c>
    </row>
    <row r="46" spans="1:4" x14ac:dyDescent="0.2">
      <c r="A46" s="17">
        <v>27485</v>
      </c>
      <c r="B46" s="59">
        <f>VLOOKUP(Table18[[#This Row],[Date]],database!A:G,5,)</f>
        <v>55.655099999999997</v>
      </c>
      <c r="C46" s="67">
        <f t="shared" si="0"/>
        <v>2.1093322863422692E-2</v>
      </c>
      <c r="D46" s="67">
        <f>(Table18[[#This Row],[Index]]-B34)/B34</f>
        <v>-6.9892859470597798E-2</v>
      </c>
    </row>
    <row r="47" spans="1:4" x14ac:dyDescent="0.2">
      <c r="A47" s="17">
        <v>27515</v>
      </c>
      <c r="B47" s="59">
        <f>VLOOKUP(Table18[[#This Row],[Date]],database!A:G,5,)</f>
        <v>55.919899999999998</v>
      </c>
      <c r="C47" s="67">
        <f t="shared" si="0"/>
        <v>4.7578748398620085E-3</v>
      </c>
      <c r="D47" s="67">
        <f>(Table18[[#This Row],[Index]]-B35)/B35</f>
        <v>-7.4506344574879604E-2</v>
      </c>
    </row>
    <row r="48" spans="1:4" x14ac:dyDescent="0.2">
      <c r="A48" s="17">
        <v>27546</v>
      </c>
      <c r="B48" s="59">
        <f>VLOOKUP(Table18[[#This Row],[Date]],database!A:G,5,)</f>
        <v>56.689399999999999</v>
      </c>
      <c r="C48" s="67">
        <f t="shared" si="0"/>
        <v>1.3760754221663563E-2</v>
      </c>
      <c r="D48" s="67">
        <f>(Table18[[#This Row],[Index]]-B36)/B36</f>
        <v>-6.4801418732214303E-2</v>
      </c>
    </row>
    <row r="49" spans="1:4" x14ac:dyDescent="0.2">
      <c r="A49" s="17">
        <v>27576</v>
      </c>
      <c r="B49" s="59">
        <f>VLOOKUP(Table18[[#This Row],[Date]],database!A:G,5,)</f>
        <v>58.137700000000002</v>
      </c>
      <c r="C49" s="67">
        <f t="shared" si="0"/>
        <v>2.5547986043246151E-2</v>
      </c>
      <c r="D49" s="67">
        <f>(Table18[[#This Row],[Index]]-B37)/B37</f>
        <v>-4.0537016866356385E-2</v>
      </c>
    </row>
    <row r="50" spans="1:4" x14ac:dyDescent="0.2">
      <c r="A50" s="17">
        <v>27607</v>
      </c>
      <c r="B50" s="59">
        <f>VLOOKUP(Table18[[#This Row],[Date]],database!A:G,5,)</f>
        <v>58.454799999999999</v>
      </c>
      <c r="C50" s="67">
        <f t="shared" si="0"/>
        <v>5.4542921374598485E-3</v>
      </c>
      <c r="D50" s="67">
        <f>(Table18[[#This Row],[Index]]-B38)/B38</f>
        <v>-3.396303745337545E-2</v>
      </c>
    </row>
    <row r="51" spans="1:4" x14ac:dyDescent="0.2">
      <c r="A51" s="17">
        <v>27638</v>
      </c>
      <c r="B51" s="59">
        <f>VLOOKUP(Table18[[#This Row],[Date]],database!A:G,5,)</f>
        <v>59.307600000000001</v>
      </c>
      <c r="C51" s="67">
        <f t="shared" si="0"/>
        <v>1.4589050001026393E-2</v>
      </c>
      <c r="D51" s="67">
        <f>(Table18[[#This Row],[Index]]-B39)/B39</f>
        <v>-1.1319194620131864E-2</v>
      </c>
    </row>
    <row r="52" spans="1:4" x14ac:dyDescent="0.2">
      <c r="A52" s="17">
        <v>27668</v>
      </c>
      <c r="B52" s="59">
        <f>VLOOKUP(Table18[[#This Row],[Date]],database!A:G,5,)</f>
        <v>59.3992</v>
      </c>
      <c r="C52" s="67">
        <f t="shared" si="0"/>
        <v>1.5444900822154661E-3</v>
      </c>
      <c r="D52" s="67">
        <f>(Table18[[#This Row],[Index]]-B40)/B40</f>
        <v>-1.0044681918405894E-2</v>
      </c>
    </row>
    <row r="53" spans="1:4" x14ac:dyDescent="0.2">
      <c r="A53" s="17">
        <v>27699</v>
      </c>
      <c r="B53" s="59">
        <f>VLOOKUP(Table18[[#This Row],[Date]],database!A:G,5,)</f>
        <v>59.604500000000002</v>
      </c>
      <c r="C53" s="67">
        <f t="shared" si="0"/>
        <v>3.4562755053939576E-3</v>
      </c>
      <c r="D53" s="67">
        <f>(Table18[[#This Row],[Index]]-B41)/B41</f>
        <v>2.225991568707485E-2</v>
      </c>
    </row>
    <row r="54" spans="1:4" x14ac:dyDescent="0.2">
      <c r="A54" s="17">
        <v>27729</v>
      </c>
      <c r="B54" s="59">
        <f>VLOOKUP(Table18[[#This Row],[Date]],database!A:G,5,)</f>
        <v>60.165999999999997</v>
      </c>
      <c r="C54" s="67">
        <f t="shared" si="0"/>
        <v>9.420429665545349E-3</v>
      </c>
      <c r="D54" s="67">
        <f>(Table18[[#This Row],[Index]]-B42)/B42</f>
        <v>6.7026563048667512E-2</v>
      </c>
    </row>
    <row r="55" spans="1:4" x14ac:dyDescent="0.2">
      <c r="A55" s="17">
        <v>27760</v>
      </c>
      <c r="B55" s="59">
        <f>VLOOKUP(Table18[[#This Row],[Date]],database!A:G,5,)</f>
        <v>60.862200000000001</v>
      </c>
      <c r="C55" s="67">
        <f t="shared" si="0"/>
        <v>1.1571319349799047E-2</v>
      </c>
      <c r="D55" s="67">
        <f>(Table18[[#This Row],[Index]]-B43)/B43</f>
        <v>0.10457713248638838</v>
      </c>
    </row>
    <row r="56" spans="1:4" x14ac:dyDescent="0.2">
      <c r="A56" s="17">
        <v>27791</v>
      </c>
      <c r="B56" s="59">
        <f>VLOOKUP(Table18[[#This Row],[Date]],database!A:G,5,)</f>
        <v>61.150399999999998</v>
      </c>
      <c r="C56" s="67">
        <f t="shared" si="0"/>
        <v>4.7352872554722314E-3</v>
      </c>
      <c r="D56" s="67">
        <f>(Table18[[#This Row],[Index]]-B44)/B44</f>
        <v>0.12488226983753227</v>
      </c>
    </row>
    <row r="57" spans="1:4" x14ac:dyDescent="0.2">
      <c r="A57" s="17">
        <v>27820</v>
      </c>
      <c r="B57" s="59">
        <f>VLOOKUP(Table18[[#This Row],[Date]],database!A:G,5,)</f>
        <v>61.0655</v>
      </c>
      <c r="C57" s="67">
        <f t="shared" si="0"/>
        <v>-1.388380125068589E-3</v>
      </c>
      <c r="D57" s="67">
        <f>(Table18[[#This Row],[Index]]-B45)/B45</f>
        <v>0.12035688207040034</v>
      </c>
    </row>
    <row r="58" spans="1:4" x14ac:dyDescent="0.2">
      <c r="A58" s="17">
        <v>27851</v>
      </c>
      <c r="B58" s="59">
        <f>VLOOKUP(Table18[[#This Row],[Date]],database!A:G,5,)</f>
        <v>61.191400000000002</v>
      </c>
      <c r="C58" s="67">
        <f t="shared" si="0"/>
        <v>2.0617206114745823E-3</v>
      </c>
      <c r="D58" s="67">
        <f>(Table18[[#This Row],[Index]]-B46)/B46</f>
        <v>9.9475160407581781E-2</v>
      </c>
    </row>
    <row r="59" spans="1:4" x14ac:dyDescent="0.2">
      <c r="A59" s="17">
        <v>27881</v>
      </c>
      <c r="B59" s="59">
        <f>VLOOKUP(Table18[[#This Row],[Date]],database!A:G,5,)</f>
        <v>61.657400000000003</v>
      </c>
      <c r="C59" s="67">
        <f t="shared" si="0"/>
        <v>7.615449229793736E-3</v>
      </c>
      <c r="D59" s="67">
        <f>(Table18[[#This Row],[Index]]-B47)/B47</f>
        <v>0.10260211481064888</v>
      </c>
    </row>
    <row r="60" spans="1:4" x14ac:dyDescent="0.2">
      <c r="A60" s="17">
        <v>27912</v>
      </c>
      <c r="B60" s="59">
        <f>VLOOKUP(Table18[[#This Row],[Date]],database!A:G,5,)</f>
        <v>61.496899999999997</v>
      </c>
      <c r="C60" s="67">
        <f t="shared" si="0"/>
        <v>-2.603093870322204E-3</v>
      </c>
      <c r="D60" s="67">
        <f>(Table18[[#This Row],[Index]]-B48)/B48</f>
        <v>8.4804213838918702E-2</v>
      </c>
    </row>
    <row r="61" spans="1:4" x14ac:dyDescent="0.2">
      <c r="A61" s="17">
        <v>27942</v>
      </c>
      <c r="B61" s="59">
        <f>VLOOKUP(Table18[[#This Row],[Date]],database!A:G,5,)</f>
        <v>61.865200000000002</v>
      </c>
      <c r="C61" s="67">
        <f t="shared" si="0"/>
        <v>5.9889197666875837E-3</v>
      </c>
      <c r="D61" s="67">
        <f>(Table18[[#This Row],[Index]]-B49)/B49</f>
        <v>6.4115023470140697E-2</v>
      </c>
    </row>
    <row r="62" spans="1:4" x14ac:dyDescent="0.2">
      <c r="A62" s="17">
        <v>27973</v>
      </c>
      <c r="B62" s="59">
        <f>VLOOKUP(Table18[[#This Row],[Date]],database!A:G,5,)</f>
        <v>61.987200000000001</v>
      </c>
      <c r="C62" s="67">
        <f t="shared" si="0"/>
        <v>1.9720295093201834E-3</v>
      </c>
      <c r="D62" s="67">
        <f>(Table18[[#This Row],[Index]]-B50)/B50</f>
        <v>6.0429596885114699E-2</v>
      </c>
    </row>
    <row r="63" spans="1:4" x14ac:dyDescent="0.2">
      <c r="A63" s="17">
        <v>28004</v>
      </c>
      <c r="B63" s="59">
        <f>VLOOKUP(Table18[[#This Row],[Date]],database!A:G,5,)</f>
        <v>62.049199999999999</v>
      </c>
      <c r="C63" s="67">
        <f t="shared" si="0"/>
        <v>1.0002064942440381E-3</v>
      </c>
      <c r="D63" s="67">
        <f>(Table18[[#This Row],[Index]]-B51)/B51</f>
        <v>4.622679049565314E-2</v>
      </c>
    </row>
    <row r="64" spans="1:4" x14ac:dyDescent="0.2">
      <c r="A64" s="17">
        <v>28034</v>
      </c>
      <c r="B64" s="59">
        <f>VLOOKUP(Table18[[#This Row],[Date]],database!A:G,5,)</f>
        <v>62.490600000000001</v>
      </c>
      <c r="C64" s="67">
        <f t="shared" si="0"/>
        <v>7.1137097657987258E-3</v>
      </c>
      <c r="D64" s="67">
        <f>(Table18[[#This Row],[Index]]-B52)/B52</f>
        <v>5.2044471979420602E-2</v>
      </c>
    </row>
    <row r="65" spans="1:4" x14ac:dyDescent="0.2">
      <c r="A65" s="17">
        <v>28065</v>
      </c>
      <c r="B65" s="59">
        <f>VLOOKUP(Table18[[#This Row],[Date]],database!A:G,5,)</f>
        <v>63.6051</v>
      </c>
      <c r="C65" s="67">
        <f t="shared" si="0"/>
        <v>1.7834682336223429E-2</v>
      </c>
      <c r="D65" s="67">
        <f>(Table18[[#This Row],[Index]]-B53)/B53</f>
        <v>6.7119093357045162E-2</v>
      </c>
    </row>
    <row r="66" spans="1:4" x14ac:dyDescent="0.2">
      <c r="A66" s="17">
        <v>28095</v>
      </c>
      <c r="B66" s="59">
        <f>VLOOKUP(Table18[[#This Row],[Date]],database!A:G,5,)</f>
        <v>64.291700000000006</v>
      </c>
      <c r="C66" s="67">
        <f t="shared" si="0"/>
        <v>1.0794731868985386E-2</v>
      </c>
      <c r="D66" s="67">
        <f>(Table18[[#This Row],[Index]]-B54)/B54</f>
        <v>6.8571950935744599E-2</v>
      </c>
    </row>
    <row r="67" spans="1:4" x14ac:dyDescent="0.2">
      <c r="A67" s="17">
        <v>28126</v>
      </c>
      <c r="B67" s="59">
        <f>VLOOKUP(Table18[[#This Row],[Date]],database!A:G,5,)</f>
        <v>64.025599999999997</v>
      </c>
      <c r="C67" s="67">
        <f t="shared" si="0"/>
        <v>-4.1389479512908833E-3</v>
      </c>
      <c r="D67" s="67">
        <f>(Table18[[#This Row],[Index]]-B55)/B55</f>
        <v>5.1976432005415442E-2</v>
      </c>
    </row>
    <row r="68" spans="1:4" x14ac:dyDescent="0.2">
      <c r="A68" s="17">
        <v>28157</v>
      </c>
      <c r="B68" s="59">
        <f>VLOOKUP(Table18[[#This Row],[Date]],database!A:G,5,)</f>
        <v>64.9161</v>
      </c>
      <c r="C68" s="67">
        <f t="shared" si="0"/>
        <v>1.3908499100359961E-2</v>
      </c>
      <c r="D68" s="67">
        <f>(Table18[[#This Row],[Index]]-B56)/B56</f>
        <v>6.1580954499071187E-2</v>
      </c>
    </row>
    <row r="69" spans="1:4" x14ac:dyDescent="0.2">
      <c r="A69" s="17">
        <v>28185</v>
      </c>
      <c r="B69" s="59">
        <f>VLOOKUP(Table18[[#This Row],[Date]],database!A:G,5,)</f>
        <v>65.002200000000002</v>
      </c>
      <c r="C69" s="67">
        <f t="shared" si="0"/>
        <v>1.3263273671708653E-3</v>
      </c>
      <c r="D69" s="67">
        <f>(Table18[[#This Row],[Index]]-B57)/B57</f>
        <v>6.4466842980078792E-2</v>
      </c>
    </row>
    <row r="70" spans="1:4" x14ac:dyDescent="0.2">
      <c r="A70" s="17">
        <v>28216</v>
      </c>
      <c r="B70" s="59">
        <f>VLOOKUP(Table18[[#This Row],[Date]],database!A:G,5,)</f>
        <v>65.456800000000001</v>
      </c>
      <c r="C70" s="67">
        <f t="shared" si="0"/>
        <v>6.9936094470648413E-3</v>
      </c>
      <c r="D70" s="67">
        <f>(Table18[[#This Row],[Index]]-B58)/B58</f>
        <v>6.9705873701206372E-2</v>
      </c>
    </row>
    <row r="71" spans="1:4" x14ac:dyDescent="0.2">
      <c r="A71" s="17">
        <v>28246</v>
      </c>
      <c r="B71" s="59">
        <f>VLOOKUP(Table18[[#This Row],[Date]],database!A:G,5,)</f>
        <v>65.461500000000001</v>
      </c>
      <c r="C71" s="67">
        <f t="shared" si="0"/>
        <v>7.1803082338339763E-5</v>
      </c>
      <c r="D71" s="67">
        <f>(Table18[[#This Row],[Index]]-B59)/B59</f>
        <v>6.1697379389983979E-2</v>
      </c>
    </row>
    <row r="72" spans="1:4" x14ac:dyDescent="0.2">
      <c r="A72" s="17">
        <v>28277</v>
      </c>
      <c r="B72" s="59">
        <f>VLOOKUP(Table18[[#This Row],[Date]],database!A:G,5,)</f>
        <v>65.941500000000005</v>
      </c>
      <c r="C72" s="67">
        <f t="shared" ref="C72:C135" si="1">B72/B71-1</f>
        <v>7.3325542494444562E-3</v>
      </c>
      <c r="D72" s="67">
        <f>(Table18[[#This Row],[Index]]-B60)/B60</f>
        <v>7.2273561756771618E-2</v>
      </c>
    </row>
    <row r="73" spans="1:4" x14ac:dyDescent="0.2">
      <c r="A73" s="17">
        <v>28307</v>
      </c>
      <c r="B73" s="59">
        <f>VLOOKUP(Table18[[#This Row],[Date]],database!A:G,5,)</f>
        <v>66.063599999999994</v>
      </c>
      <c r="C73" s="67">
        <f t="shared" si="1"/>
        <v>1.851641227451406E-3</v>
      </c>
      <c r="D73" s="67">
        <f>(Table18[[#This Row],[Index]]-B61)/B61</f>
        <v>6.7863677802706399E-2</v>
      </c>
    </row>
    <row r="74" spans="1:4" x14ac:dyDescent="0.2">
      <c r="A74" s="17">
        <v>28338</v>
      </c>
      <c r="B74" s="59">
        <f>VLOOKUP(Table18[[#This Row],[Date]],database!A:G,5,)</f>
        <v>66.192999999999998</v>
      </c>
      <c r="C74" s="67">
        <f t="shared" si="1"/>
        <v>1.958718568167761E-3</v>
      </c>
      <c r="D74" s="67">
        <f>(Table18[[#This Row],[Index]]-B62)/B62</f>
        <v>6.7849491507924159E-2</v>
      </c>
    </row>
    <row r="75" spans="1:4" x14ac:dyDescent="0.2">
      <c r="A75" s="17">
        <v>28369</v>
      </c>
      <c r="B75" s="59">
        <f>VLOOKUP(Table18[[#This Row],[Date]],database!A:G,5,)</f>
        <v>66.310500000000005</v>
      </c>
      <c r="C75" s="67">
        <f t="shared" si="1"/>
        <v>1.7751121719820073E-3</v>
      </c>
      <c r="D75" s="67">
        <f>(Table18[[#This Row],[Index]]-B63)/B63</f>
        <v>6.867614731535629E-2</v>
      </c>
    </row>
    <row r="76" spans="1:4" x14ac:dyDescent="0.2">
      <c r="A76" s="17">
        <v>28399</v>
      </c>
      <c r="B76" s="59">
        <f>VLOOKUP(Table18[[#This Row],[Date]],database!A:G,5,)</f>
        <v>66.814899999999994</v>
      </c>
      <c r="C76" s="67">
        <f t="shared" si="1"/>
        <v>7.6066384660045117E-3</v>
      </c>
      <c r="D76" s="67">
        <f>(Table18[[#This Row],[Index]]-B64)/B64</f>
        <v>6.9199207560817044E-2</v>
      </c>
    </row>
    <row r="77" spans="1:4" x14ac:dyDescent="0.2">
      <c r="A77" s="17">
        <v>28430</v>
      </c>
      <c r="B77" s="59">
        <f>VLOOKUP(Table18[[#This Row],[Date]],database!A:G,5,)</f>
        <v>66.901399999999995</v>
      </c>
      <c r="C77" s="67">
        <f t="shared" si="1"/>
        <v>1.2946214092963704E-3</v>
      </c>
      <c r="D77" s="67">
        <f>(Table18[[#This Row],[Index]]-B65)/B65</f>
        <v>5.1824460617151694E-2</v>
      </c>
    </row>
    <row r="78" spans="1:4" x14ac:dyDescent="0.2">
      <c r="A78" s="17">
        <v>28460</v>
      </c>
      <c r="B78" s="59">
        <f>VLOOKUP(Table18[[#This Row],[Date]],database!A:G,5,)</f>
        <v>67.486500000000007</v>
      </c>
      <c r="C78" s="67">
        <f t="shared" si="1"/>
        <v>8.7457063678788582E-3</v>
      </c>
      <c r="D78" s="67">
        <f>(Table18[[#This Row],[Index]]-B66)/B66</f>
        <v>4.9692261987161646E-2</v>
      </c>
    </row>
    <row r="79" spans="1:4" x14ac:dyDescent="0.2">
      <c r="A79" s="17">
        <v>28491</v>
      </c>
      <c r="B79" s="59">
        <f>VLOOKUP(Table18[[#This Row],[Date]],database!A:G,5,)</f>
        <v>65.708100000000002</v>
      </c>
      <c r="C79" s="67">
        <f t="shared" si="1"/>
        <v>-2.6351937054077568E-2</v>
      </c>
      <c r="D79" s="67">
        <f>(Table18[[#This Row],[Index]]-B67)/B67</f>
        <v>2.6278551079568245E-2</v>
      </c>
    </row>
    <row r="80" spans="1:4" x14ac:dyDescent="0.2">
      <c r="A80" s="17">
        <v>28522</v>
      </c>
      <c r="B80" s="59">
        <f>VLOOKUP(Table18[[#This Row],[Date]],database!A:G,5,)</f>
        <v>66.788700000000006</v>
      </c>
      <c r="C80" s="67">
        <f t="shared" si="1"/>
        <v>1.6445461061878275E-2</v>
      </c>
      <c r="D80" s="67">
        <f>(Table18[[#This Row],[Index]]-B68)/B68</f>
        <v>2.8846464898538354E-2</v>
      </c>
    </row>
    <row r="81" spans="1:4" x14ac:dyDescent="0.2">
      <c r="A81" s="17">
        <v>28550</v>
      </c>
      <c r="B81" s="59">
        <f>VLOOKUP(Table18[[#This Row],[Date]],database!A:G,5,)</f>
        <v>68.140199999999993</v>
      </c>
      <c r="C81" s="67">
        <f t="shared" si="1"/>
        <v>2.0235458992314381E-2</v>
      </c>
      <c r="D81" s="67">
        <f>(Table18[[#This Row],[Index]]-B69)/B69</f>
        <v>4.8275289144059597E-2</v>
      </c>
    </row>
    <row r="82" spans="1:4" x14ac:dyDescent="0.2">
      <c r="A82" s="17">
        <v>28581</v>
      </c>
      <c r="B82" s="59">
        <f>VLOOKUP(Table18[[#This Row],[Date]],database!A:G,5,)</f>
        <v>68.575100000000006</v>
      </c>
      <c r="C82" s="67">
        <f t="shared" si="1"/>
        <v>6.3824291680978362E-3</v>
      </c>
      <c r="D82" s="67">
        <f>(Table18[[#This Row],[Index]]-B70)/B70</f>
        <v>4.7639053543711347E-2</v>
      </c>
    </row>
    <row r="83" spans="1:4" x14ac:dyDescent="0.2">
      <c r="A83" s="17">
        <v>28611</v>
      </c>
      <c r="B83" s="59">
        <f>VLOOKUP(Table18[[#This Row],[Date]],database!A:G,5,)</f>
        <v>68.192499999999995</v>
      </c>
      <c r="C83" s="67">
        <f t="shared" si="1"/>
        <v>-5.5792846091367032E-3</v>
      </c>
      <c r="D83" s="67">
        <f>(Table18[[#This Row],[Index]]-B71)/B71</f>
        <v>4.1719178448400882E-2</v>
      </c>
    </row>
    <row r="84" spans="1:4" x14ac:dyDescent="0.2">
      <c r="A84" s="17">
        <v>28642</v>
      </c>
      <c r="B84" s="59">
        <f>VLOOKUP(Table18[[#This Row],[Date]],database!A:G,5,)</f>
        <v>68.559299999999993</v>
      </c>
      <c r="C84" s="67">
        <f t="shared" si="1"/>
        <v>5.3788906404663717E-3</v>
      </c>
      <c r="D84" s="67">
        <f>(Table18[[#This Row],[Index]]-B72)/B72</f>
        <v>3.9698823957598599E-2</v>
      </c>
    </row>
    <row r="85" spans="1:4" x14ac:dyDescent="0.2">
      <c r="A85" s="17">
        <v>28672</v>
      </c>
      <c r="B85" s="59">
        <f>VLOOKUP(Table18[[#This Row],[Date]],database!A:G,5,)</f>
        <v>68.184299999999993</v>
      </c>
      <c r="C85" s="67">
        <f t="shared" si="1"/>
        <v>-5.4697174562751139E-3</v>
      </c>
      <c r="D85" s="67">
        <f>(Table18[[#This Row],[Index]]-B73)/B73</f>
        <v>3.2100884602110684E-2</v>
      </c>
    </row>
    <row r="86" spans="1:4" x14ac:dyDescent="0.2">
      <c r="A86" s="17">
        <v>28703</v>
      </c>
      <c r="B86" s="59">
        <f>VLOOKUP(Table18[[#This Row],[Date]],database!A:G,5,)</f>
        <v>68.078900000000004</v>
      </c>
      <c r="C86" s="67">
        <f t="shared" si="1"/>
        <v>-1.5458103991680128E-3</v>
      </c>
      <c r="D86" s="67">
        <f>(Table18[[#This Row],[Index]]-B74)/B74</f>
        <v>2.8490928043750949E-2</v>
      </c>
    </row>
    <row r="87" spans="1:4" x14ac:dyDescent="0.2">
      <c r="A87" s="17">
        <v>28734</v>
      </c>
      <c r="B87" s="59">
        <f>VLOOKUP(Table18[[#This Row],[Date]],database!A:G,5,)</f>
        <v>68.1905</v>
      </c>
      <c r="C87" s="67">
        <f t="shared" si="1"/>
        <v>1.639274430109694E-3</v>
      </c>
      <c r="D87" s="67">
        <f>(Table18[[#This Row],[Index]]-B75)/B75</f>
        <v>2.8351467716274125E-2</v>
      </c>
    </row>
    <row r="88" spans="1:4" x14ac:dyDescent="0.2">
      <c r="A88" s="17">
        <v>28764</v>
      </c>
      <c r="B88" s="59">
        <f>VLOOKUP(Table18[[#This Row],[Date]],database!A:G,5,)</f>
        <v>68.09</v>
      </c>
      <c r="C88" s="67">
        <f t="shared" si="1"/>
        <v>-1.4738123345626741E-3</v>
      </c>
      <c r="D88" s="67">
        <f>(Table18[[#This Row],[Index]]-B76)/B76</f>
        <v>1.9084066577964034E-2</v>
      </c>
    </row>
    <row r="89" spans="1:4" x14ac:dyDescent="0.2">
      <c r="A89" s="17">
        <v>28795</v>
      </c>
      <c r="B89" s="59">
        <f>VLOOKUP(Table18[[#This Row],[Date]],database!A:G,5,)</f>
        <v>68.303200000000004</v>
      </c>
      <c r="C89" s="67">
        <f t="shared" si="1"/>
        <v>3.1311499485975336E-3</v>
      </c>
      <c r="D89" s="67">
        <f>(Table18[[#This Row],[Index]]-B77)/B77</f>
        <v>2.0953223699354703E-2</v>
      </c>
    </row>
    <row r="90" spans="1:4" x14ac:dyDescent="0.2">
      <c r="A90" s="17">
        <v>28825</v>
      </c>
      <c r="B90" s="59">
        <f>VLOOKUP(Table18[[#This Row],[Date]],database!A:G,5,)</f>
        <v>68.436899999999994</v>
      </c>
      <c r="C90" s="67">
        <f t="shared" si="1"/>
        <v>1.9574485529227914E-3</v>
      </c>
      <c r="D90" s="67">
        <f>(Table18[[#This Row],[Index]]-B78)/B78</f>
        <v>1.408281656331248E-2</v>
      </c>
    </row>
    <row r="91" spans="1:4" x14ac:dyDescent="0.2">
      <c r="A91" s="17">
        <v>28856</v>
      </c>
      <c r="B91" s="59">
        <f>VLOOKUP(Table18[[#This Row],[Date]],database!A:G,5,)</f>
        <v>68.291700000000006</v>
      </c>
      <c r="C91" s="67">
        <f t="shared" si="1"/>
        <v>-2.1216624364924774E-3</v>
      </c>
      <c r="D91" s="67">
        <f>(Table18[[#This Row],[Index]]-B79)/B79</f>
        <v>3.9319353321736653E-2</v>
      </c>
    </row>
    <row r="92" spans="1:4" x14ac:dyDescent="0.2">
      <c r="A92" s="17">
        <v>28887</v>
      </c>
      <c r="B92" s="59">
        <f>VLOOKUP(Table18[[#This Row],[Date]],database!A:G,5,)</f>
        <v>67.796099999999996</v>
      </c>
      <c r="C92" s="67">
        <f t="shared" si="1"/>
        <v>-7.2571044504677884E-3</v>
      </c>
      <c r="D92" s="67">
        <f>(Table18[[#This Row],[Index]]-B80)/B80</f>
        <v>1.5083389854870507E-2</v>
      </c>
    </row>
    <row r="93" spans="1:4" x14ac:dyDescent="0.2">
      <c r="A93" s="17">
        <v>28915</v>
      </c>
      <c r="B93" s="59">
        <f>VLOOKUP(Table18[[#This Row],[Date]],database!A:G,5,)</f>
        <v>68.070999999999998</v>
      </c>
      <c r="C93" s="67">
        <f t="shared" si="1"/>
        <v>4.0548055124114413E-3</v>
      </c>
      <c r="D93" s="67">
        <f>(Table18[[#This Row],[Index]]-B81)/B81</f>
        <v>-1.0155532270230356E-3</v>
      </c>
    </row>
    <row r="94" spans="1:4" x14ac:dyDescent="0.2">
      <c r="A94" s="17">
        <v>28946</v>
      </c>
      <c r="B94" s="59">
        <f>VLOOKUP(Table18[[#This Row],[Date]],database!A:G,5,)</f>
        <v>66.759900000000002</v>
      </c>
      <c r="C94" s="67">
        <f t="shared" si="1"/>
        <v>-1.9260771841165814E-2</v>
      </c>
      <c r="D94" s="67">
        <f>(Table18[[#This Row],[Index]]-B82)/B82</f>
        <v>-2.6470249405396482E-2</v>
      </c>
    </row>
    <row r="95" spans="1:4" x14ac:dyDescent="0.2">
      <c r="A95" s="17">
        <v>28976</v>
      </c>
      <c r="B95" s="59">
        <f>VLOOKUP(Table18[[#This Row],[Date]],database!A:G,5,)</f>
        <v>67.262</v>
      </c>
      <c r="C95" s="67">
        <f t="shared" si="1"/>
        <v>7.5209819068033923E-3</v>
      </c>
      <c r="D95" s="67">
        <f>(Table18[[#This Row],[Index]]-B83)/B83</f>
        <v>-1.3645195586024783E-2</v>
      </c>
    </row>
    <row r="96" spans="1:4" x14ac:dyDescent="0.2">
      <c r="A96" s="17">
        <v>29007</v>
      </c>
      <c r="B96" s="59">
        <f>VLOOKUP(Table18[[#This Row],[Date]],database!A:G,5,)</f>
        <v>66.993399999999994</v>
      </c>
      <c r="C96" s="67">
        <f t="shared" si="1"/>
        <v>-3.9933394784574805E-3</v>
      </c>
      <c r="D96" s="67">
        <f>(Table18[[#This Row],[Index]]-B84)/B84</f>
        <v>-2.2840081506083045E-2</v>
      </c>
    </row>
    <row r="97" spans="1:4" x14ac:dyDescent="0.2">
      <c r="A97" s="17">
        <v>29037</v>
      </c>
      <c r="B97" s="59">
        <f>VLOOKUP(Table18[[#This Row],[Date]],database!A:G,5,)</f>
        <v>66.494299999999996</v>
      </c>
      <c r="C97" s="67">
        <f t="shared" si="1"/>
        <v>-7.4499876107197993E-3</v>
      </c>
      <c r="D97" s="67">
        <f>(Table18[[#This Row],[Index]]-B85)/B85</f>
        <v>-2.4785764464840116E-2</v>
      </c>
    </row>
    <row r="98" spans="1:4" x14ac:dyDescent="0.2">
      <c r="A98" s="17">
        <v>29068</v>
      </c>
      <c r="B98" s="59">
        <f>VLOOKUP(Table18[[#This Row],[Date]],database!A:G,5,)</f>
        <v>65.761099999999999</v>
      </c>
      <c r="C98" s="67">
        <f t="shared" si="1"/>
        <v>-1.1026509039120613E-2</v>
      </c>
      <c r="D98" s="67">
        <f>(Table18[[#This Row],[Index]]-B86)/B86</f>
        <v>-3.4045790986634704E-2</v>
      </c>
    </row>
    <row r="99" spans="1:4" x14ac:dyDescent="0.2">
      <c r="A99" s="17">
        <v>29099</v>
      </c>
      <c r="B99" s="59">
        <f>VLOOKUP(Table18[[#This Row],[Date]],database!A:G,5,)</f>
        <v>66.100399999999993</v>
      </c>
      <c r="C99" s="67">
        <f t="shared" si="1"/>
        <v>5.1595852259160857E-3</v>
      </c>
      <c r="D99" s="67">
        <f>(Table18[[#This Row],[Index]]-B87)/B87</f>
        <v>-3.0650897119100268E-2</v>
      </c>
    </row>
    <row r="100" spans="1:4" x14ac:dyDescent="0.2">
      <c r="A100" s="17">
        <v>29129</v>
      </c>
      <c r="B100" s="59">
        <f>VLOOKUP(Table18[[#This Row],[Date]],database!A:G,5,)</f>
        <v>66.332499999999996</v>
      </c>
      <c r="C100" s="67">
        <f t="shared" si="1"/>
        <v>3.5113251962166636E-3</v>
      </c>
      <c r="D100" s="67">
        <f>(Table18[[#This Row],[Index]]-B88)/B88</f>
        <v>-2.5811426053752494E-2</v>
      </c>
    </row>
    <row r="101" spans="1:4" x14ac:dyDescent="0.2">
      <c r="A101" s="17">
        <v>29160</v>
      </c>
      <c r="B101" s="59">
        <f>VLOOKUP(Table18[[#This Row],[Date]],database!A:G,5,)</f>
        <v>66.152799999999999</v>
      </c>
      <c r="C101" s="67">
        <f t="shared" si="1"/>
        <v>-2.7090792597896929E-3</v>
      </c>
      <c r="D101" s="67">
        <f>(Table18[[#This Row],[Index]]-B89)/B89</f>
        <v>-3.1483151594654493E-2</v>
      </c>
    </row>
    <row r="102" spans="1:4" x14ac:dyDescent="0.2">
      <c r="A102" s="17">
        <v>29190</v>
      </c>
      <c r="B102" s="59">
        <f>VLOOKUP(Table18[[#This Row],[Date]],database!A:G,5,)</f>
        <v>66.1892</v>
      </c>
      <c r="C102" s="67">
        <f t="shared" si="1"/>
        <v>5.5024125962921389E-4</v>
      </c>
      <c r="D102" s="67">
        <f>(Table18[[#This Row],[Index]]-B90)/B90</f>
        <v>-3.2843392964906286E-2</v>
      </c>
    </row>
    <row r="103" spans="1:4" x14ac:dyDescent="0.2">
      <c r="A103" s="17">
        <v>29221</v>
      </c>
      <c r="B103" s="59">
        <f>VLOOKUP(Table18[[#This Row],[Date]],database!A:G,5,)</f>
        <v>65.9649</v>
      </c>
      <c r="C103" s="67">
        <f t="shared" si="1"/>
        <v>-3.3887703734143404E-3</v>
      </c>
      <c r="D103" s="67">
        <f>(Table18[[#This Row],[Index]]-B91)/B91</f>
        <v>-3.4071490386093854E-2</v>
      </c>
    </row>
    <row r="104" spans="1:4" x14ac:dyDescent="0.2">
      <c r="A104" s="17">
        <v>29252</v>
      </c>
      <c r="B104" s="59">
        <f>VLOOKUP(Table18[[#This Row],[Date]],database!A:G,5,)</f>
        <v>66.147499999999994</v>
      </c>
      <c r="C104" s="67">
        <f t="shared" si="1"/>
        <v>2.7681388132172469E-3</v>
      </c>
      <c r="D104" s="67">
        <f>(Table18[[#This Row],[Index]]-B92)/B92</f>
        <v>-2.4317032985673247E-2</v>
      </c>
    </row>
    <row r="105" spans="1:4" x14ac:dyDescent="0.2">
      <c r="A105" s="17">
        <v>29281</v>
      </c>
      <c r="B105" s="59">
        <f>VLOOKUP(Table18[[#This Row],[Date]],database!A:G,5,)</f>
        <v>65.636600000000001</v>
      </c>
      <c r="C105" s="67">
        <f t="shared" si="1"/>
        <v>-7.7236479080841081E-3</v>
      </c>
      <c r="D105" s="67">
        <f>(Table18[[#This Row],[Index]]-B93)/B93</f>
        <v>-3.5762659576030857E-2</v>
      </c>
    </row>
    <row r="106" spans="1:4" x14ac:dyDescent="0.2">
      <c r="A106" s="17">
        <v>29312</v>
      </c>
      <c r="B106" s="59">
        <f>VLOOKUP(Table18[[#This Row],[Date]],database!A:G,5,)</f>
        <v>64.592600000000004</v>
      </c>
      <c r="C106" s="67">
        <f t="shared" si="1"/>
        <v>-1.5905759896155502E-2</v>
      </c>
      <c r="D106" s="67">
        <f>(Table18[[#This Row],[Index]]-B94)/B94</f>
        <v>-3.2464098957607747E-2</v>
      </c>
    </row>
    <row r="107" spans="1:4" x14ac:dyDescent="0.2">
      <c r="A107" s="17">
        <v>29342</v>
      </c>
      <c r="B107" s="59">
        <f>VLOOKUP(Table18[[#This Row],[Date]],database!A:G,5,)</f>
        <v>63.224600000000002</v>
      </c>
      <c r="C107" s="67">
        <f t="shared" si="1"/>
        <v>-2.1178896653796242E-2</v>
      </c>
      <c r="D107" s="67">
        <f>(Table18[[#This Row],[Index]]-B95)/B95</f>
        <v>-6.0024976955784813E-2</v>
      </c>
    </row>
    <row r="108" spans="1:4" x14ac:dyDescent="0.2">
      <c r="A108" s="17">
        <v>29373</v>
      </c>
      <c r="B108" s="59">
        <f>VLOOKUP(Table18[[#This Row],[Date]],database!A:G,5,)</f>
        <v>62.863799999999998</v>
      </c>
      <c r="C108" s="67">
        <f t="shared" si="1"/>
        <v>-5.7066395042436602E-3</v>
      </c>
      <c r="D108" s="67">
        <f>(Table18[[#This Row],[Index]]-B96)/B96</f>
        <v>-6.1641893082005045E-2</v>
      </c>
    </row>
    <row r="109" spans="1:4" x14ac:dyDescent="0.2">
      <c r="A109" s="17">
        <v>29403</v>
      </c>
      <c r="B109" s="59">
        <f>VLOOKUP(Table18[[#This Row],[Date]],database!A:G,5,)</f>
        <v>62.879600000000003</v>
      </c>
      <c r="C109" s="67">
        <f t="shared" si="1"/>
        <v>2.5133701748858428E-4</v>
      </c>
      <c r="D109" s="67">
        <f>(Table18[[#This Row],[Index]]-B97)/B97</f>
        <v>-5.4361050496057439E-2</v>
      </c>
    </row>
    <row r="110" spans="1:4" x14ac:dyDescent="0.2">
      <c r="A110" s="17">
        <v>29434</v>
      </c>
      <c r="B110" s="59">
        <f>VLOOKUP(Table18[[#This Row],[Date]],database!A:G,5,)</f>
        <v>63.1066</v>
      </c>
      <c r="C110" s="67">
        <f t="shared" si="1"/>
        <v>3.6100738554316614E-3</v>
      </c>
      <c r="D110" s="67">
        <f>(Table18[[#This Row],[Index]]-B98)/B98</f>
        <v>-4.0365808966090877E-2</v>
      </c>
    </row>
    <row r="111" spans="1:4" x14ac:dyDescent="0.2">
      <c r="A111" s="17">
        <v>29465</v>
      </c>
      <c r="B111" s="59">
        <f>VLOOKUP(Table18[[#This Row],[Date]],database!A:G,5,)</f>
        <v>63.713500000000003</v>
      </c>
      <c r="C111" s="67">
        <f t="shared" si="1"/>
        <v>9.6170606560961325E-3</v>
      </c>
      <c r="D111" s="67">
        <f>(Table18[[#This Row],[Index]]-B99)/B99</f>
        <v>-3.6110220210467565E-2</v>
      </c>
    </row>
    <row r="112" spans="1:4" x14ac:dyDescent="0.2">
      <c r="A112" s="17">
        <v>29495</v>
      </c>
      <c r="B112" s="59">
        <f>VLOOKUP(Table18[[#This Row],[Date]],database!A:G,5,)</f>
        <v>64.177499999999995</v>
      </c>
      <c r="C112" s="67">
        <f t="shared" si="1"/>
        <v>7.2826010186222145E-3</v>
      </c>
      <c r="D112" s="67">
        <f>(Table18[[#This Row],[Index]]-B100)/B100</f>
        <v>-3.2487845324690026E-2</v>
      </c>
    </row>
    <row r="113" spans="1:4" x14ac:dyDescent="0.2">
      <c r="A113" s="17">
        <v>29526</v>
      </c>
      <c r="B113" s="59">
        <f>VLOOKUP(Table18[[#This Row],[Date]],database!A:G,5,)</f>
        <v>64.464600000000004</v>
      </c>
      <c r="C113" s="67">
        <f t="shared" si="1"/>
        <v>4.4735304429124323E-3</v>
      </c>
      <c r="D113" s="67">
        <f>(Table18[[#This Row],[Index]]-B101)/B101</f>
        <v>-2.5519705893023346E-2</v>
      </c>
    </row>
    <row r="114" spans="1:4" x14ac:dyDescent="0.2">
      <c r="A114" s="17">
        <v>29556</v>
      </c>
      <c r="B114" s="59">
        <f>VLOOKUP(Table18[[#This Row],[Date]],database!A:G,5,)</f>
        <v>64.493399999999994</v>
      </c>
      <c r="C114" s="67">
        <f t="shared" si="1"/>
        <v>4.4675682467576472E-4</v>
      </c>
      <c r="D114" s="67">
        <f>(Table18[[#This Row],[Index]]-B102)/B102</f>
        <v>-2.5620493977869585E-2</v>
      </c>
    </row>
    <row r="115" spans="1:4" x14ac:dyDescent="0.2">
      <c r="A115" s="17">
        <v>29587</v>
      </c>
      <c r="B115" s="59">
        <f>VLOOKUP(Table18[[#This Row],[Date]],database!A:G,5,)</f>
        <v>64.489099999999993</v>
      </c>
      <c r="C115" s="67">
        <f t="shared" si="1"/>
        <v>-6.6673489070190328E-5</v>
      </c>
      <c r="D115" s="67">
        <f>(Table18[[#This Row],[Index]]-B103)/B103</f>
        <v>-2.2372504165093961E-2</v>
      </c>
    </row>
    <row r="116" spans="1:4" x14ac:dyDescent="0.2">
      <c r="A116" s="17">
        <v>29618</v>
      </c>
      <c r="B116" s="59">
        <f>VLOOKUP(Table18[[#This Row],[Date]],database!A:G,5,)</f>
        <v>64.370599999999996</v>
      </c>
      <c r="C116" s="67">
        <f t="shared" si="1"/>
        <v>-1.8375198289323214E-3</v>
      </c>
      <c r="D116" s="67">
        <f>(Table18[[#This Row],[Index]]-B104)/B104</f>
        <v>-2.6862693223477802E-2</v>
      </c>
    </row>
    <row r="117" spans="1:4" x14ac:dyDescent="0.2">
      <c r="A117" s="17">
        <v>29646</v>
      </c>
      <c r="B117" s="59">
        <f>VLOOKUP(Table18[[#This Row],[Date]],database!A:G,5,)</f>
        <v>64.322800000000001</v>
      </c>
      <c r="C117" s="67">
        <f t="shared" si="1"/>
        <v>-7.425750264872244E-4</v>
      </c>
      <c r="D117" s="67">
        <f>(Table18[[#This Row],[Index]]-B105)/B105</f>
        <v>-2.0016271409548949E-2</v>
      </c>
    </row>
    <row r="118" spans="1:4" x14ac:dyDescent="0.2">
      <c r="A118" s="17">
        <v>29677</v>
      </c>
      <c r="B118" s="59">
        <f>VLOOKUP(Table18[[#This Row],[Date]],database!A:G,5,)</f>
        <v>64.475899999999996</v>
      </c>
      <c r="C118" s="67">
        <f t="shared" si="1"/>
        <v>2.3801824547438066E-3</v>
      </c>
      <c r="D118" s="67">
        <f>(Table18[[#This Row],[Index]]-B106)/B106</f>
        <v>-1.806708508405122E-3</v>
      </c>
    </row>
    <row r="119" spans="1:4" x14ac:dyDescent="0.2">
      <c r="A119" s="17">
        <v>29707</v>
      </c>
      <c r="B119" s="59">
        <f>VLOOKUP(Table18[[#This Row],[Date]],database!A:G,5,)</f>
        <v>65.130399999999995</v>
      </c>
      <c r="C119" s="67">
        <f t="shared" si="1"/>
        <v>1.0151079705750465E-2</v>
      </c>
      <c r="D119" s="67">
        <f>(Table18[[#This Row],[Index]]-B107)/B107</f>
        <v>3.014333028599615E-2</v>
      </c>
    </row>
    <row r="120" spans="1:4" x14ac:dyDescent="0.2">
      <c r="A120" s="17">
        <v>29738</v>
      </c>
      <c r="B120" s="59">
        <f>VLOOKUP(Table18[[#This Row],[Date]],database!A:G,5,)</f>
        <v>64.674800000000005</v>
      </c>
      <c r="C120" s="67">
        <f t="shared" si="1"/>
        <v>-6.9951973272079915E-3</v>
      </c>
      <c r="D120" s="67">
        <f>(Table18[[#This Row],[Index]]-B108)/B108</f>
        <v>2.8808312574168396E-2</v>
      </c>
    </row>
    <row r="121" spans="1:4" x14ac:dyDescent="0.2">
      <c r="A121" s="17">
        <v>29768</v>
      </c>
      <c r="B121" s="59">
        <f>VLOOKUP(Table18[[#This Row],[Date]],database!A:G,5,)</f>
        <v>65.140199999999993</v>
      </c>
      <c r="C121" s="67">
        <f t="shared" si="1"/>
        <v>7.1960021523065354E-3</v>
      </c>
      <c r="D121" s="67">
        <f>(Table18[[#This Row],[Index]]-B109)/B109</f>
        <v>3.5951246509201541E-2</v>
      </c>
    </row>
    <row r="122" spans="1:4" x14ac:dyDescent="0.2">
      <c r="A122" s="17">
        <v>29799</v>
      </c>
      <c r="B122" s="59">
        <f>VLOOKUP(Table18[[#This Row],[Date]],database!A:G,5,)</f>
        <v>65.130200000000002</v>
      </c>
      <c r="C122" s="67">
        <f t="shared" si="1"/>
        <v>-1.5351503372706965E-4</v>
      </c>
      <c r="D122" s="67">
        <f>(Table18[[#This Row],[Index]]-B110)/B110</f>
        <v>3.2066376575508773E-2</v>
      </c>
    </row>
    <row r="123" spans="1:4" x14ac:dyDescent="0.2">
      <c r="A123" s="17">
        <v>29830</v>
      </c>
      <c r="B123" s="59">
        <f>VLOOKUP(Table18[[#This Row],[Date]],database!A:G,5,)</f>
        <v>64.662599999999998</v>
      </c>
      <c r="C123" s="67">
        <f t="shared" si="1"/>
        <v>-7.17946513291845E-3</v>
      </c>
      <c r="D123" s="67">
        <f>(Table18[[#This Row],[Index]]-B111)/B111</f>
        <v>1.4896372040462291E-2</v>
      </c>
    </row>
    <row r="124" spans="1:4" x14ac:dyDescent="0.2">
      <c r="A124" s="17">
        <v>29860</v>
      </c>
      <c r="B124" s="59">
        <f>VLOOKUP(Table18[[#This Row],[Date]],database!A:G,5,)</f>
        <v>64.983699999999999</v>
      </c>
      <c r="C124" s="67">
        <f t="shared" si="1"/>
        <v>4.9657761982970783E-3</v>
      </c>
      <c r="D124" s="67">
        <f>(Table18[[#This Row],[Index]]-B112)/B112</f>
        <v>1.256203498110715E-2</v>
      </c>
    </row>
    <row r="125" spans="1:4" x14ac:dyDescent="0.2">
      <c r="A125" s="17">
        <v>29891</v>
      </c>
      <c r="B125" s="59">
        <f>VLOOKUP(Table18[[#This Row],[Date]],database!A:G,5,)</f>
        <v>64.882199999999997</v>
      </c>
      <c r="C125" s="67">
        <f t="shared" si="1"/>
        <v>-1.5619301455596091E-3</v>
      </c>
      <c r="D125" s="67">
        <f>(Table18[[#This Row],[Index]]-B113)/B113</f>
        <v>6.4779739577999875E-3</v>
      </c>
    </row>
    <row r="126" spans="1:4" x14ac:dyDescent="0.2">
      <c r="A126" s="17">
        <v>29921</v>
      </c>
      <c r="B126" s="59">
        <f>VLOOKUP(Table18[[#This Row],[Date]],database!A:G,5,)</f>
        <v>64.226299999999995</v>
      </c>
      <c r="C126" s="67">
        <f t="shared" si="1"/>
        <v>-1.0109090012360933E-2</v>
      </c>
      <c r="D126" s="67">
        <f>(Table18[[#This Row],[Index]]-B114)/B114</f>
        <v>-4.1415090536395856E-3</v>
      </c>
    </row>
    <row r="127" spans="1:4" x14ac:dyDescent="0.2">
      <c r="A127" s="17">
        <v>29952</v>
      </c>
      <c r="B127" s="59">
        <f>VLOOKUP(Table18[[#This Row],[Date]],database!A:G,5,)</f>
        <v>63.044199999999996</v>
      </c>
      <c r="C127" s="67">
        <f t="shared" si="1"/>
        <v>-1.8405232747332412E-2</v>
      </c>
      <c r="D127" s="67">
        <f>(Table18[[#This Row],[Index]]-B115)/B115</f>
        <v>-2.2405336715817046E-2</v>
      </c>
    </row>
    <row r="128" spans="1:4" x14ac:dyDescent="0.2">
      <c r="A128" s="17">
        <v>29983</v>
      </c>
      <c r="B128" s="59">
        <f>VLOOKUP(Table18[[#This Row],[Date]],database!A:G,5,)</f>
        <v>64.827299999999994</v>
      </c>
      <c r="C128" s="67">
        <f t="shared" si="1"/>
        <v>2.8283331377033871E-2</v>
      </c>
      <c r="D128" s="67">
        <f>(Table18[[#This Row],[Index]]-B116)/B116</f>
        <v>7.0948538618561567E-3</v>
      </c>
    </row>
    <row r="129" spans="1:4" x14ac:dyDescent="0.2">
      <c r="A129" s="17">
        <v>30011</v>
      </c>
      <c r="B129" s="59">
        <f>VLOOKUP(Table18[[#This Row],[Date]],database!A:G,5,)</f>
        <v>64.458100000000002</v>
      </c>
      <c r="C129" s="67">
        <f t="shared" si="1"/>
        <v>-5.6951315263784608E-3</v>
      </c>
      <c r="D129" s="67">
        <f>(Table18[[#This Row],[Index]]-B117)/B117</f>
        <v>2.1034532078827548E-3</v>
      </c>
    </row>
    <row r="130" spans="1:4" x14ac:dyDescent="0.2">
      <c r="A130" s="17">
        <v>30042</v>
      </c>
      <c r="B130" s="59">
        <f>VLOOKUP(Table18[[#This Row],[Date]],database!A:G,5,)</f>
        <v>64.406999999999996</v>
      </c>
      <c r="C130" s="67">
        <f t="shared" si="1"/>
        <v>-7.9276305072606412E-4</v>
      </c>
      <c r="D130" s="67">
        <f>(Table18[[#This Row],[Index]]-B118)/B118</f>
        <v>-1.0686163357161249E-3</v>
      </c>
    </row>
    <row r="131" spans="1:4" x14ac:dyDescent="0.2">
      <c r="A131" s="17">
        <v>30072</v>
      </c>
      <c r="B131" s="59">
        <f>VLOOKUP(Table18[[#This Row],[Date]],database!A:G,5,)</f>
        <v>64.444800000000001</v>
      </c>
      <c r="C131" s="67">
        <f t="shared" si="1"/>
        <v>5.8689272905132484E-4</v>
      </c>
      <c r="D131" s="67">
        <f>(Table18[[#This Row],[Index]]-B119)/B119</f>
        <v>-1.0526574380012926E-2</v>
      </c>
    </row>
    <row r="132" spans="1:4" x14ac:dyDescent="0.2">
      <c r="A132" s="17">
        <v>30103</v>
      </c>
      <c r="B132" s="59">
        <f>VLOOKUP(Table18[[#This Row],[Date]],database!A:G,5,)</f>
        <v>64.886600000000001</v>
      </c>
      <c r="C132" s="67">
        <f t="shared" si="1"/>
        <v>6.8554794180446521E-3</v>
      </c>
      <c r="D132" s="67">
        <f>(Table18[[#This Row],[Index]]-B120)/B120</f>
        <v>3.2748458441308925E-3</v>
      </c>
    </row>
    <row r="133" spans="1:4" x14ac:dyDescent="0.2">
      <c r="A133" s="17">
        <v>30133</v>
      </c>
      <c r="B133" s="59">
        <f>VLOOKUP(Table18[[#This Row],[Date]],database!A:G,5,)</f>
        <v>65.042400000000001</v>
      </c>
      <c r="C133" s="67">
        <f t="shared" si="1"/>
        <v>2.401112094022384E-3</v>
      </c>
      <c r="D133" s="67">
        <f>(Table18[[#This Row],[Index]]-B121)/B121</f>
        <v>-1.501377029852416E-3</v>
      </c>
    </row>
    <row r="134" spans="1:4" x14ac:dyDescent="0.2">
      <c r="A134" s="17">
        <v>30164</v>
      </c>
      <c r="B134" s="59">
        <f>VLOOKUP(Table18[[#This Row],[Date]],database!A:G,5,)</f>
        <v>64.869</v>
      </c>
      <c r="C134" s="67">
        <f t="shared" si="1"/>
        <v>-2.6659532858566148E-3</v>
      </c>
      <c r="D134" s="67">
        <f>(Table18[[#This Row],[Index]]-B122)/B122</f>
        <v>-4.0104283419980643E-3</v>
      </c>
    </row>
    <row r="135" spans="1:4" x14ac:dyDescent="0.2">
      <c r="A135" s="17">
        <v>30195</v>
      </c>
      <c r="B135" s="59">
        <f>VLOOKUP(Table18[[#This Row],[Date]],database!A:G,5,)</f>
        <v>64.842299999999994</v>
      </c>
      <c r="C135" s="67">
        <f t="shared" si="1"/>
        <v>-4.115987605790572E-4</v>
      </c>
      <c r="D135" s="67">
        <f>(Table18[[#This Row],[Index]]-B123)/B123</f>
        <v>2.7790407437993038E-3</v>
      </c>
    </row>
    <row r="136" spans="1:4" x14ac:dyDescent="0.2">
      <c r="A136" s="17">
        <v>30225</v>
      </c>
      <c r="B136" s="59">
        <f>VLOOKUP(Table18[[#This Row],[Date]],database!A:G,5,)</f>
        <v>64.8523</v>
      </c>
      <c r="C136" s="67">
        <f t="shared" ref="C136:C199" si="2">B136/B135-1</f>
        <v>1.5422031605916153E-4</v>
      </c>
      <c r="D136" s="67">
        <f>(Table18[[#This Row],[Index]]-B124)/B124</f>
        <v>-2.0220455283401729E-3</v>
      </c>
    </row>
    <row r="137" spans="1:4" x14ac:dyDescent="0.2">
      <c r="A137" s="17">
        <v>30256</v>
      </c>
      <c r="B137" s="59">
        <f>VLOOKUP(Table18[[#This Row],[Date]],database!A:G,5,)</f>
        <v>64.733699999999999</v>
      </c>
      <c r="C137" s="67">
        <f t="shared" si="2"/>
        <v>-1.8287709148326892E-3</v>
      </c>
      <c r="D137" s="67">
        <f>(Table18[[#This Row],[Index]]-B125)/B125</f>
        <v>-2.2887633280005691E-3</v>
      </c>
    </row>
    <row r="138" spans="1:4" x14ac:dyDescent="0.2">
      <c r="A138" s="17">
        <v>30286</v>
      </c>
      <c r="B138" s="59">
        <f>VLOOKUP(Table18[[#This Row],[Date]],database!A:G,5,)</f>
        <v>63.908799999999999</v>
      </c>
      <c r="C138" s="67">
        <f t="shared" si="2"/>
        <v>-1.2742976224130564E-2</v>
      </c>
      <c r="D138" s="67">
        <f>(Table18[[#This Row],[Index]]-B126)/B126</f>
        <v>-4.9434577423889507E-3</v>
      </c>
    </row>
    <row r="139" spans="1:4" x14ac:dyDescent="0.2">
      <c r="A139" s="17">
        <v>30317</v>
      </c>
      <c r="B139" s="59">
        <f>VLOOKUP(Table18[[#This Row],[Date]],database!A:G,5,)</f>
        <v>65.2804</v>
      </c>
      <c r="C139" s="67">
        <f t="shared" si="2"/>
        <v>2.1461833112184969E-2</v>
      </c>
      <c r="D139" s="67">
        <f>(Table18[[#This Row],[Index]]-B127)/B127</f>
        <v>3.5470352546308842E-2</v>
      </c>
    </row>
    <row r="140" spans="1:4" x14ac:dyDescent="0.2">
      <c r="A140" s="17">
        <v>30348</v>
      </c>
      <c r="B140" s="59">
        <f>VLOOKUP(Table18[[#This Row],[Date]],database!A:G,5,)</f>
        <v>64.451700000000002</v>
      </c>
      <c r="C140" s="67">
        <f t="shared" si="2"/>
        <v>-1.2694468783892243E-2</v>
      </c>
      <c r="D140" s="67">
        <f>(Table18[[#This Row],[Index]]-B128)/B128</f>
        <v>-5.7938553664889873E-3</v>
      </c>
    </row>
    <row r="141" spans="1:4" x14ac:dyDescent="0.2">
      <c r="A141" s="17">
        <v>30376</v>
      </c>
      <c r="B141" s="59">
        <f>VLOOKUP(Table18[[#This Row],[Date]],database!A:G,5,)</f>
        <v>64.715199999999996</v>
      </c>
      <c r="C141" s="67">
        <f t="shared" si="2"/>
        <v>4.0883328135641328E-3</v>
      </c>
      <c r="D141" s="67">
        <f>(Table18[[#This Row],[Index]]-B129)/B129</f>
        <v>3.9886375800713041E-3</v>
      </c>
    </row>
    <row r="142" spans="1:4" x14ac:dyDescent="0.2">
      <c r="A142" s="17">
        <v>30407</v>
      </c>
      <c r="B142" s="59">
        <f>VLOOKUP(Table18[[#This Row],[Date]],database!A:G,5,)</f>
        <v>66.007900000000006</v>
      </c>
      <c r="C142" s="67">
        <f t="shared" si="2"/>
        <v>1.997521447820616E-2</v>
      </c>
      <c r="D142" s="67">
        <f>(Table18[[#This Row],[Index]]-B130)/B130</f>
        <v>2.4855993913705188E-2</v>
      </c>
    </row>
    <row r="143" spans="1:4" x14ac:dyDescent="0.2">
      <c r="A143" s="17">
        <v>30437</v>
      </c>
      <c r="B143" s="59">
        <f>VLOOKUP(Table18[[#This Row],[Date]],database!A:G,5,)</f>
        <v>66.248800000000003</v>
      </c>
      <c r="C143" s="67">
        <f t="shared" si="2"/>
        <v>3.6495631583490784E-3</v>
      </c>
      <c r="D143" s="67">
        <f>(Table18[[#This Row],[Index]]-B131)/B131</f>
        <v>2.7992949004419319E-2</v>
      </c>
    </row>
    <row r="144" spans="1:4" x14ac:dyDescent="0.2">
      <c r="A144" s="17">
        <v>30468</v>
      </c>
      <c r="B144" s="59">
        <f>VLOOKUP(Table18[[#This Row],[Date]],database!A:G,5,)</f>
        <v>66.474999999999994</v>
      </c>
      <c r="C144" s="67">
        <f t="shared" si="2"/>
        <v>3.4144014684038826E-3</v>
      </c>
      <c r="D144" s="67">
        <f>(Table18[[#This Row],[Index]]-B132)/B132</f>
        <v>2.4479630617107274E-2</v>
      </c>
    </row>
    <row r="145" spans="1:4" x14ac:dyDescent="0.2">
      <c r="A145" s="17">
        <v>30498</v>
      </c>
      <c r="B145" s="59">
        <f>VLOOKUP(Table18[[#This Row],[Date]],database!A:G,5,)</f>
        <v>67.3446</v>
      </c>
      <c r="C145" s="67">
        <f t="shared" si="2"/>
        <v>1.3081609627679569E-2</v>
      </c>
      <c r="D145" s="67">
        <f>(Table18[[#This Row],[Index]]-B133)/B133</f>
        <v>3.5395372864469934E-2</v>
      </c>
    </row>
    <row r="146" spans="1:4" x14ac:dyDescent="0.2">
      <c r="A146" s="17">
        <v>30529</v>
      </c>
      <c r="B146" s="59">
        <f>VLOOKUP(Table18[[#This Row],[Date]],database!A:G,5,)</f>
        <v>67.948099999999997</v>
      </c>
      <c r="C146" s="67">
        <f t="shared" si="2"/>
        <v>8.961371810063401E-3</v>
      </c>
      <c r="D146" s="67">
        <f>(Table18[[#This Row],[Index]]-B134)/B134</f>
        <v>4.7466432348271081E-2</v>
      </c>
    </row>
    <row r="147" spans="1:4" x14ac:dyDescent="0.2">
      <c r="A147" s="17">
        <v>30560</v>
      </c>
      <c r="B147" s="59">
        <f>VLOOKUP(Table18[[#This Row],[Date]],database!A:G,5,)</f>
        <v>68.803700000000006</v>
      </c>
      <c r="C147" s="67">
        <f t="shared" si="2"/>
        <v>1.2591963572197162E-2</v>
      </c>
      <c r="D147" s="67">
        <f>(Table18[[#This Row],[Index]]-B135)/B135</f>
        <v>6.1092836003658293E-2</v>
      </c>
    </row>
    <row r="148" spans="1:4" x14ac:dyDescent="0.2">
      <c r="A148" s="17">
        <v>30590</v>
      </c>
      <c r="B148" s="59">
        <f>VLOOKUP(Table18[[#This Row],[Date]],database!A:G,5,)</f>
        <v>68.402799999999999</v>
      </c>
      <c r="C148" s="67">
        <f t="shared" si="2"/>
        <v>-5.8267215280574103E-3</v>
      </c>
      <c r="D148" s="67">
        <f>(Table18[[#This Row],[Index]]-B136)/B136</f>
        <v>5.4747480043113347E-2</v>
      </c>
    </row>
    <row r="149" spans="1:4" x14ac:dyDescent="0.2">
      <c r="A149" s="17">
        <v>30621</v>
      </c>
      <c r="B149" s="59">
        <f>VLOOKUP(Table18[[#This Row],[Date]],database!A:G,5,)</f>
        <v>68.514799999999994</v>
      </c>
      <c r="C149" s="67">
        <f t="shared" si="2"/>
        <v>1.6373598741570294E-3</v>
      </c>
      <c r="D149" s="67">
        <f>(Table18[[#This Row],[Index]]-B137)/B137</f>
        <v>5.8410070797745149E-2</v>
      </c>
    </row>
    <row r="150" spans="1:4" x14ac:dyDescent="0.2">
      <c r="A150" s="17">
        <v>30651</v>
      </c>
      <c r="B150" s="59">
        <f>VLOOKUP(Table18[[#This Row],[Date]],database!A:G,5,)</f>
        <v>68.61</v>
      </c>
      <c r="C150" s="67">
        <f t="shared" si="2"/>
        <v>1.3894808129046865E-3</v>
      </c>
      <c r="D150" s="67">
        <f>(Table18[[#This Row],[Index]]-B138)/B138</f>
        <v>7.3561074531206971E-2</v>
      </c>
    </row>
    <row r="151" spans="1:4" x14ac:dyDescent="0.2">
      <c r="A151" s="17">
        <v>30682</v>
      </c>
      <c r="B151" s="59">
        <f>VLOOKUP(Table18[[#This Row],[Date]],database!A:G,5,)</f>
        <v>69.981899999999996</v>
      </c>
      <c r="C151" s="67">
        <f t="shared" si="2"/>
        <v>1.9995627459553855E-2</v>
      </c>
      <c r="D151" s="67">
        <f>(Table18[[#This Row],[Index]]-B139)/B139</f>
        <v>7.2020085661239755E-2</v>
      </c>
    </row>
    <row r="152" spans="1:4" x14ac:dyDescent="0.2">
      <c r="A152" s="17">
        <v>30713</v>
      </c>
      <c r="B152" s="59">
        <f>VLOOKUP(Table18[[#This Row],[Date]],database!A:G,5,)</f>
        <v>69.829899999999995</v>
      </c>
      <c r="C152" s="67">
        <f t="shared" si="2"/>
        <v>-2.1719901860338675E-3</v>
      </c>
      <c r="D152" s="67">
        <f>(Table18[[#This Row],[Index]]-B140)/B140</f>
        <v>8.3445432781447074E-2</v>
      </c>
    </row>
    <row r="153" spans="1:4" x14ac:dyDescent="0.2">
      <c r="A153" s="17">
        <v>30742</v>
      </c>
      <c r="B153" s="59">
        <f>VLOOKUP(Table18[[#This Row],[Date]],database!A:G,5,)</f>
        <v>70.092500000000001</v>
      </c>
      <c r="C153" s="67">
        <f t="shared" si="2"/>
        <v>3.7605667486277916E-3</v>
      </c>
      <c r="D153" s="67">
        <f>(Table18[[#This Row],[Index]]-B141)/B141</f>
        <v>8.3091762058990867E-2</v>
      </c>
    </row>
    <row r="154" spans="1:4" x14ac:dyDescent="0.2">
      <c r="A154" s="17">
        <v>30773</v>
      </c>
      <c r="B154" s="59">
        <f>VLOOKUP(Table18[[#This Row],[Date]],database!A:G,5,)</f>
        <v>70.275099999999995</v>
      </c>
      <c r="C154" s="67">
        <f t="shared" si="2"/>
        <v>2.6051289367621244E-3</v>
      </c>
      <c r="D154" s="67">
        <f>(Table18[[#This Row],[Index]]-B142)/B142</f>
        <v>6.4646807427595598E-2</v>
      </c>
    </row>
    <row r="155" spans="1:4" x14ac:dyDescent="0.2">
      <c r="A155" s="17">
        <v>30803</v>
      </c>
      <c r="B155" s="59">
        <f>VLOOKUP(Table18[[#This Row],[Date]],database!A:G,5,)</f>
        <v>70.026499999999999</v>
      </c>
      <c r="C155" s="67">
        <f t="shared" si="2"/>
        <v>-3.5375260938795838E-3</v>
      </c>
      <c r="D155" s="67">
        <f>(Table18[[#This Row],[Index]]-B143)/B143</f>
        <v>5.702291966043152E-2</v>
      </c>
    </row>
    <row r="156" spans="1:4" x14ac:dyDescent="0.2">
      <c r="A156" s="17">
        <v>30834</v>
      </c>
      <c r="B156" s="59">
        <f>VLOOKUP(Table18[[#This Row],[Date]],database!A:G,5,)</f>
        <v>69.991399999999999</v>
      </c>
      <c r="C156" s="67">
        <f t="shared" si="2"/>
        <v>-5.0123881673369564E-4</v>
      </c>
      <c r="D156" s="67">
        <f>(Table18[[#This Row],[Index]]-B144)/B144</f>
        <v>5.2898081985708986E-2</v>
      </c>
    </row>
    <row r="157" spans="1:4" x14ac:dyDescent="0.2">
      <c r="A157" s="17">
        <v>30864</v>
      </c>
      <c r="B157" s="59">
        <f>VLOOKUP(Table18[[#This Row],[Date]],database!A:G,5,)</f>
        <v>69.990499999999997</v>
      </c>
      <c r="C157" s="67">
        <f t="shared" si="2"/>
        <v>-1.2858722643116494E-5</v>
      </c>
      <c r="D157" s="67">
        <f>(Table18[[#This Row],[Index]]-B145)/B145</f>
        <v>3.9288970459398338E-2</v>
      </c>
    </row>
    <row r="158" spans="1:4" x14ac:dyDescent="0.2">
      <c r="A158" s="17">
        <v>30895</v>
      </c>
      <c r="B158" s="59">
        <f>VLOOKUP(Table18[[#This Row],[Date]],database!A:G,5,)</f>
        <v>69.651799999999994</v>
      </c>
      <c r="C158" s="67">
        <f t="shared" si="2"/>
        <v>-4.839228180967492E-3</v>
      </c>
      <c r="D158" s="67">
        <f>(Table18[[#This Row],[Index]]-B146)/B146</f>
        <v>2.507354878208512E-2</v>
      </c>
    </row>
    <row r="159" spans="1:4" x14ac:dyDescent="0.2">
      <c r="A159" s="17">
        <v>30926</v>
      </c>
      <c r="B159" s="59">
        <f>VLOOKUP(Table18[[#This Row],[Date]],database!A:G,5,)</f>
        <v>69.403599999999997</v>
      </c>
      <c r="C159" s="67">
        <f t="shared" si="2"/>
        <v>-3.5634398536721346E-3</v>
      </c>
      <c r="D159" s="67">
        <f>(Table18[[#This Row],[Index]]-B147)/B147</f>
        <v>8.7190078440547662E-3</v>
      </c>
    </row>
    <row r="160" spans="1:4" x14ac:dyDescent="0.2">
      <c r="A160" s="17">
        <v>30956</v>
      </c>
      <c r="B160" s="59">
        <f>VLOOKUP(Table18[[#This Row],[Date]],database!A:G,5,)</f>
        <v>70.031300000000002</v>
      </c>
      <c r="C160" s="67">
        <f t="shared" si="2"/>
        <v>9.0441994363406053E-3</v>
      </c>
      <c r="D160" s="67">
        <f>(Table18[[#This Row],[Index]]-B148)/B148</f>
        <v>2.3807504955937513E-2</v>
      </c>
    </row>
    <row r="161" spans="1:4" x14ac:dyDescent="0.2">
      <c r="A161" s="17">
        <v>30987</v>
      </c>
      <c r="B161" s="59">
        <f>VLOOKUP(Table18[[#This Row],[Date]],database!A:G,5,)</f>
        <v>70.239199999999997</v>
      </c>
      <c r="C161" s="67">
        <f t="shared" si="2"/>
        <v>2.9686725792608115E-3</v>
      </c>
      <c r="D161" s="67">
        <f>(Table18[[#This Row],[Index]]-B149)/B149</f>
        <v>2.516828480853776E-2</v>
      </c>
    </row>
    <row r="162" spans="1:4" x14ac:dyDescent="0.2">
      <c r="A162" s="17">
        <v>31017</v>
      </c>
      <c r="B162" s="59">
        <f>VLOOKUP(Table18[[#This Row],[Date]],database!A:G,5,)</f>
        <v>70.570800000000006</v>
      </c>
      <c r="C162" s="67">
        <f t="shared" si="2"/>
        <v>4.7210104898689487E-3</v>
      </c>
      <c r="D162" s="67">
        <f>(Table18[[#This Row],[Index]]-B150)/B150</f>
        <v>2.8578924355050373E-2</v>
      </c>
    </row>
    <row r="163" spans="1:4" x14ac:dyDescent="0.2">
      <c r="A163" s="17">
        <v>31048</v>
      </c>
      <c r="B163" s="59">
        <f>VLOOKUP(Table18[[#This Row],[Date]],database!A:G,5,)</f>
        <v>70.160499999999999</v>
      </c>
      <c r="C163" s="67">
        <f t="shared" si="2"/>
        <v>-5.8140193961242481E-3</v>
      </c>
      <c r="D163" s="67">
        <f>(Table18[[#This Row],[Index]]-B151)/B151</f>
        <v>2.5520884685897782E-3</v>
      </c>
    </row>
    <row r="164" spans="1:4" x14ac:dyDescent="0.2">
      <c r="A164" s="17">
        <v>31079</v>
      </c>
      <c r="B164" s="59">
        <f>VLOOKUP(Table18[[#This Row],[Date]],database!A:G,5,)</f>
        <v>70.559100000000001</v>
      </c>
      <c r="C164" s="67">
        <f t="shared" si="2"/>
        <v>5.6812593980943848E-3</v>
      </c>
      <c r="D164" s="67">
        <f>(Table18[[#This Row],[Index]]-B152)/B152</f>
        <v>1.0442518176311378E-2</v>
      </c>
    </row>
    <row r="165" spans="1:4" x14ac:dyDescent="0.2">
      <c r="A165" s="17">
        <v>31107</v>
      </c>
      <c r="B165" s="59">
        <f>VLOOKUP(Table18[[#This Row],[Date]],database!A:G,5,)</f>
        <v>70.500100000000003</v>
      </c>
      <c r="C165" s="67">
        <f t="shared" si="2"/>
        <v>-8.3617846599515211E-4</v>
      </c>
      <c r="D165" s="67">
        <f>(Table18[[#This Row],[Index]]-B153)/B153</f>
        <v>5.8151728073617317E-3</v>
      </c>
    </row>
    <row r="166" spans="1:4" x14ac:dyDescent="0.2">
      <c r="A166" s="17">
        <v>31138</v>
      </c>
      <c r="B166" s="59">
        <f>VLOOKUP(Table18[[#This Row],[Date]],database!A:G,5,)</f>
        <v>70.128799999999998</v>
      </c>
      <c r="C166" s="67">
        <f t="shared" si="2"/>
        <v>-5.2666591962281517E-3</v>
      </c>
      <c r="D166" s="67">
        <f>(Table18[[#This Row],[Index]]-B154)/B154</f>
        <v>-2.0818184534777831E-3</v>
      </c>
    </row>
    <row r="167" spans="1:4" x14ac:dyDescent="0.2">
      <c r="A167" s="17">
        <v>31168</v>
      </c>
      <c r="B167" s="59">
        <f>VLOOKUP(Table18[[#This Row],[Date]],database!A:G,5,)</f>
        <v>70.251499999999993</v>
      </c>
      <c r="C167" s="67">
        <f t="shared" si="2"/>
        <v>1.7496378092880516E-3</v>
      </c>
      <c r="D167" s="67">
        <f>(Table18[[#This Row],[Index]]-B155)/B155</f>
        <v>3.2130693380362338E-3</v>
      </c>
    </row>
    <row r="168" spans="1:4" x14ac:dyDescent="0.2">
      <c r="A168" s="17">
        <v>31199</v>
      </c>
      <c r="B168" s="59">
        <f>VLOOKUP(Table18[[#This Row],[Date]],database!A:G,5,)</f>
        <v>70.471000000000004</v>
      </c>
      <c r="C168" s="67">
        <f t="shared" si="2"/>
        <v>3.1244884450867261E-3</v>
      </c>
      <c r="D168" s="67">
        <f>(Table18[[#This Row],[Index]]-B156)/B156</f>
        <v>6.8522704217947481E-3</v>
      </c>
    </row>
    <row r="169" spans="1:4" x14ac:dyDescent="0.2">
      <c r="A169" s="17">
        <v>31229</v>
      </c>
      <c r="B169" s="59">
        <f>VLOOKUP(Table18[[#This Row],[Date]],database!A:G,5,)</f>
        <v>70.249499999999998</v>
      </c>
      <c r="C169" s="67">
        <f t="shared" si="2"/>
        <v>-3.1431368931902348E-3</v>
      </c>
      <c r="D169" s="67">
        <f>(Table18[[#This Row],[Index]]-B157)/B157</f>
        <v>3.7005022110143571E-3</v>
      </c>
    </row>
    <row r="170" spans="1:4" x14ac:dyDescent="0.2">
      <c r="A170" s="17">
        <v>31260</v>
      </c>
      <c r="B170" s="59">
        <f>VLOOKUP(Table18[[#This Row],[Date]],database!A:G,5,)</f>
        <v>70.577699999999993</v>
      </c>
      <c r="C170" s="67">
        <f t="shared" si="2"/>
        <v>4.6719193730915265E-3</v>
      </c>
      <c r="D170" s="67">
        <f>(Table18[[#This Row],[Index]]-B158)/B158</f>
        <v>1.32932673671032E-2</v>
      </c>
    </row>
    <row r="171" spans="1:4" x14ac:dyDescent="0.2">
      <c r="A171" s="17">
        <v>31291</v>
      </c>
      <c r="B171" s="59">
        <f>VLOOKUP(Table18[[#This Row],[Date]],database!A:G,5,)</f>
        <v>70.916399999999996</v>
      </c>
      <c r="C171" s="67">
        <f t="shared" si="2"/>
        <v>4.7989662457121884E-3</v>
      </c>
      <c r="D171" s="67">
        <f>(Table18[[#This Row],[Index]]-B159)/B159</f>
        <v>2.1797140205983532E-2</v>
      </c>
    </row>
    <row r="172" spans="1:4" x14ac:dyDescent="0.2">
      <c r="A172" s="17">
        <v>31321</v>
      </c>
      <c r="B172" s="59">
        <f>VLOOKUP(Table18[[#This Row],[Date]],database!A:G,5,)</f>
        <v>70.830699999999993</v>
      </c>
      <c r="C172" s="67">
        <f t="shared" si="2"/>
        <v>-1.2084651787175327E-3</v>
      </c>
      <c r="D172" s="67">
        <f>(Table18[[#This Row],[Index]]-B160)/B160</f>
        <v>1.1414895910828322E-2</v>
      </c>
    </row>
    <row r="173" spans="1:4" x14ac:dyDescent="0.2">
      <c r="A173" s="17">
        <v>31352</v>
      </c>
      <c r="B173" s="59">
        <f>VLOOKUP(Table18[[#This Row],[Date]],database!A:G,5,)</f>
        <v>71.227900000000005</v>
      </c>
      <c r="C173" s="67">
        <f t="shared" si="2"/>
        <v>5.6077378876675521E-3</v>
      </c>
      <c r="D173" s="67">
        <f>(Table18[[#This Row],[Index]]-B161)/B161</f>
        <v>1.4076185377965704E-2</v>
      </c>
    </row>
    <row r="174" spans="1:4" x14ac:dyDescent="0.2">
      <c r="A174" s="17">
        <v>31382</v>
      </c>
      <c r="B174" s="59">
        <f>VLOOKUP(Table18[[#This Row],[Date]],database!A:G,5,)</f>
        <v>71.908900000000003</v>
      </c>
      <c r="C174" s="67">
        <f t="shared" si="2"/>
        <v>9.5608602808729959E-3</v>
      </c>
      <c r="D174" s="67">
        <f>(Table18[[#This Row],[Index]]-B162)/B162</f>
        <v>1.8961100058381045E-2</v>
      </c>
    </row>
    <row r="175" spans="1:4" x14ac:dyDescent="0.2">
      <c r="A175" s="17">
        <v>31413</v>
      </c>
      <c r="B175" s="59">
        <f>VLOOKUP(Table18[[#This Row],[Date]],database!A:G,5,)</f>
        <v>72.742900000000006</v>
      </c>
      <c r="C175" s="67">
        <f t="shared" si="2"/>
        <v>1.1598008035166751E-2</v>
      </c>
      <c r="D175" s="67">
        <f>(Table18[[#This Row],[Index]]-B163)/B163</f>
        <v>3.6807035297639082E-2</v>
      </c>
    </row>
    <row r="176" spans="1:4" x14ac:dyDescent="0.2">
      <c r="A176" s="17">
        <v>31444</v>
      </c>
      <c r="B176" s="59">
        <f>VLOOKUP(Table18[[#This Row],[Date]],database!A:G,5,)</f>
        <v>72.128600000000006</v>
      </c>
      <c r="C176" s="67">
        <f t="shared" si="2"/>
        <v>-8.4448104213606934E-3</v>
      </c>
      <c r="D176" s="67">
        <f>(Table18[[#This Row],[Index]]-B164)/B164</f>
        <v>2.224376444710895E-2</v>
      </c>
    </row>
    <row r="177" spans="1:4" x14ac:dyDescent="0.2">
      <c r="A177" s="17">
        <v>31472</v>
      </c>
      <c r="B177" s="59">
        <f>VLOOKUP(Table18[[#This Row],[Date]],database!A:G,5,)</f>
        <v>71.8613</v>
      </c>
      <c r="C177" s="67">
        <f t="shared" si="2"/>
        <v>-3.7058808849749214E-3</v>
      </c>
      <c r="D177" s="67">
        <f>(Table18[[#This Row],[Index]]-B165)/B165</f>
        <v>1.9307774031526146E-2</v>
      </c>
    </row>
    <row r="178" spans="1:4" x14ac:dyDescent="0.2">
      <c r="A178" s="17">
        <v>31503</v>
      </c>
      <c r="B178" s="59">
        <f>VLOOKUP(Table18[[#This Row],[Date]],database!A:G,5,)</f>
        <v>72.3446</v>
      </c>
      <c r="C178" s="67">
        <f t="shared" si="2"/>
        <v>6.7254558434095557E-3</v>
      </c>
      <c r="D178" s="67">
        <f>(Table18[[#This Row],[Index]]-B166)/B166</f>
        <v>3.1596148800492829E-2</v>
      </c>
    </row>
    <row r="179" spans="1:4" x14ac:dyDescent="0.2">
      <c r="A179" s="17">
        <v>31533</v>
      </c>
      <c r="B179" s="59">
        <f>VLOOKUP(Table18[[#This Row],[Date]],database!A:G,5,)</f>
        <v>72.746799999999993</v>
      </c>
      <c r="C179" s="67">
        <f t="shared" si="2"/>
        <v>5.5595027134021091E-3</v>
      </c>
      <c r="D179" s="67">
        <f>(Table18[[#This Row],[Index]]-B167)/B167</f>
        <v>3.5519526273460361E-2</v>
      </c>
    </row>
    <row r="180" spans="1:4" x14ac:dyDescent="0.2">
      <c r="A180" s="17">
        <v>31564</v>
      </c>
      <c r="B180" s="59">
        <f>VLOOKUP(Table18[[#This Row],[Date]],database!A:G,5,)</f>
        <v>72.741</v>
      </c>
      <c r="C180" s="67">
        <f t="shared" si="2"/>
        <v>-7.9728592872752024E-5</v>
      </c>
      <c r="D180" s="67">
        <f>(Table18[[#This Row],[Index]]-B168)/B168</f>
        <v>3.2211831817343245E-2</v>
      </c>
    </row>
    <row r="181" spans="1:4" x14ac:dyDescent="0.2">
      <c r="A181" s="17">
        <v>31594</v>
      </c>
      <c r="B181" s="59">
        <f>VLOOKUP(Table18[[#This Row],[Date]],database!A:G,5,)</f>
        <v>73.184200000000004</v>
      </c>
      <c r="C181" s="67">
        <f t="shared" si="2"/>
        <v>6.0928499745673825E-3</v>
      </c>
      <c r="D181" s="67">
        <f>(Table18[[#This Row],[Index]]-B169)/B169</f>
        <v>4.1775386301681955E-2</v>
      </c>
    </row>
    <row r="182" spans="1:4" x14ac:dyDescent="0.2">
      <c r="A182" s="17">
        <v>31625</v>
      </c>
      <c r="B182" s="59">
        <f>VLOOKUP(Table18[[#This Row],[Date]],database!A:G,5,)</f>
        <v>73.123500000000007</v>
      </c>
      <c r="C182" s="67">
        <f t="shared" si="2"/>
        <v>-8.2941399919655989E-4</v>
      </c>
      <c r="D182" s="67">
        <f>(Table18[[#This Row],[Index]]-B170)/B170</f>
        <v>3.6070883579374421E-2</v>
      </c>
    </row>
    <row r="183" spans="1:4" x14ac:dyDescent="0.2">
      <c r="A183" s="17">
        <v>31656</v>
      </c>
      <c r="B183" s="59">
        <f>VLOOKUP(Table18[[#This Row],[Date]],database!A:G,5,)</f>
        <v>73.235200000000006</v>
      </c>
      <c r="C183" s="67">
        <f t="shared" si="2"/>
        <v>1.5275527019358304E-3</v>
      </c>
      <c r="D183" s="67">
        <f>(Table18[[#This Row],[Index]]-B171)/B171</f>
        <v>3.2697655267328998E-2</v>
      </c>
    </row>
    <row r="184" spans="1:4" x14ac:dyDescent="0.2">
      <c r="A184" s="17">
        <v>31686</v>
      </c>
      <c r="B184" s="59">
        <f>VLOOKUP(Table18[[#This Row],[Date]],database!A:G,5,)</f>
        <v>73.521199999999993</v>
      </c>
      <c r="C184" s="67">
        <f t="shared" si="2"/>
        <v>3.9052259022982483E-3</v>
      </c>
      <c r="D184" s="67">
        <f>(Table18[[#This Row],[Index]]-B172)/B172</f>
        <v>3.7984941557827334E-2</v>
      </c>
    </row>
    <row r="185" spans="1:4" x14ac:dyDescent="0.2">
      <c r="A185" s="17">
        <v>31717</v>
      </c>
      <c r="B185" s="59">
        <f>VLOOKUP(Table18[[#This Row],[Date]],database!A:G,5,)</f>
        <v>74.023200000000003</v>
      </c>
      <c r="C185" s="67">
        <f t="shared" si="2"/>
        <v>6.827962546857469E-3</v>
      </c>
      <c r="D185" s="67">
        <f>(Table18[[#This Row],[Index]]-B173)/B173</f>
        <v>3.9244453367290023E-2</v>
      </c>
    </row>
    <row r="186" spans="1:4" x14ac:dyDescent="0.2">
      <c r="A186" s="17">
        <v>31747</v>
      </c>
      <c r="B186" s="59">
        <f>VLOOKUP(Table18[[#This Row],[Date]],database!A:G,5,)</f>
        <v>74.787499999999994</v>
      </c>
      <c r="C186" s="67">
        <f t="shared" si="2"/>
        <v>1.0325141307049535E-2</v>
      </c>
      <c r="D186" s="67">
        <f>(Table18[[#This Row],[Index]]-B174)/B174</f>
        <v>4.0031206151116085E-2</v>
      </c>
    </row>
    <row r="187" spans="1:4" x14ac:dyDescent="0.2">
      <c r="A187" s="17">
        <v>31778</v>
      </c>
      <c r="B187" s="59">
        <f>VLOOKUP(Table18[[#This Row],[Date]],database!A:G,5,)</f>
        <v>73.962500000000006</v>
      </c>
      <c r="C187" s="67">
        <f t="shared" si="2"/>
        <v>-1.1031255223132086E-2</v>
      </c>
      <c r="D187" s="67">
        <f>(Table18[[#This Row],[Index]]-B175)/B175</f>
        <v>1.6765897427790201E-2</v>
      </c>
    </row>
    <row r="188" spans="1:4" x14ac:dyDescent="0.2">
      <c r="A188" s="17">
        <v>31809</v>
      </c>
      <c r="B188" s="59">
        <f>VLOOKUP(Table18[[#This Row],[Date]],database!A:G,5,)</f>
        <v>74.959100000000007</v>
      </c>
      <c r="C188" s="67">
        <f t="shared" si="2"/>
        <v>1.3474395808686923E-2</v>
      </c>
      <c r="D188" s="67">
        <f>(Table18[[#This Row],[Index]]-B176)/B176</f>
        <v>3.9242408697798103E-2</v>
      </c>
    </row>
    <row r="189" spans="1:4" x14ac:dyDescent="0.2">
      <c r="A189" s="17">
        <v>31837</v>
      </c>
      <c r="B189" s="59">
        <f>VLOOKUP(Table18[[#This Row],[Date]],database!A:G,5,)</f>
        <v>75.123400000000004</v>
      </c>
      <c r="C189" s="67">
        <f t="shared" si="2"/>
        <v>2.1918619620566737E-3</v>
      </c>
      <c r="D189" s="67">
        <f>(Table18[[#This Row],[Index]]-B177)/B177</f>
        <v>4.5394391696225979E-2</v>
      </c>
    </row>
    <row r="190" spans="1:4" x14ac:dyDescent="0.2">
      <c r="A190" s="17">
        <v>31868</v>
      </c>
      <c r="B190" s="59">
        <f>VLOOKUP(Table18[[#This Row],[Date]],database!A:G,5,)</f>
        <v>75.014799999999994</v>
      </c>
      <c r="C190" s="67">
        <f t="shared" si="2"/>
        <v>-1.445621470806846E-3</v>
      </c>
      <c r="D190" s="67">
        <f>(Table18[[#This Row],[Index]]-B178)/B178</f>
        <v>3.690945834243322E-2</v>
      </c>
    </row>
    <row r="191" spans="1:4" x14ac:dyDescent="0.2">
      <c r="A191" s="17">
        <v>31898</v>
      </c>
      <c r="B191" s="59">
        <f>VLOOKUP(Table18[[#This Row],[Date]],database!A:G,5,)</f>
        <v>75.5976</v>
      </c>
      <c r="C191" s="67">
        <f t="shared" si="2"/>
        <v>7.7691335576446363E-3</v>
      </c>
      <c r="D191" s="67">
        <f>(Table18[[#This Row],[Index]]-B179)/B179</f>
        <v>3.9187978027899605E-2</v>
      </c>
    </row>
    <row r="192" spans="1:4" x14ac:dyDescent="0.2">
      <c r="A192" s="17">
        <v>31929</v>
      </c>
      <c r="B192" s="59">
        <f>VLOOKUP(Table18[[#This Row],[Date]],database!A:G,5,)</f>
        <v>75.802499999999995</v>
      </c>
      <c r="C192" s="67">
        <f t="shared" si="2"/>
        <v>2.7104035048730601E-3</v>
      </c>
      <c r="D192" s="67">
        <f>(Table18[[#This Row],[Index]]-B180)/B180</f>
        <v>4.2087680950220578E-2</v>
      </c>
    </row>
    <row r="193" spans="1:4" x14ac:dyDescent="0.2">
      <c r="A193" s="17">
        <v>31959</v>
      </c>
      <c r="B193" s="59">
        <f>VLOOKUP(Table18[[#This Row],[Date]],database!A:G,5,)</f>
        <v>76.313100000000006</v>
      </c>
      <c r="C193" s="67">
        <f t="shared" si="2"/>
        <v>6.7359255961216835E-3</v>
      </c>
      <c r="D193" s="67">
        <f>(Table18[[#This Row],[Index]]-B181)/B181</f>
        <v>4.275376379054497E-2</v>
      </c>
    </row>
    <row r="194" spans="1:4" x14ac:dyDescent="0.2">
      <c r="A194" s="17">
        <v>31990</v>
      </c>
      <c r="B194" s="59">
        <f>VLOOKUP(Table18[[#This Row],[Date]],database!A:G,5,)</f>
        <v>76.701899999999995</v>
      </c>
      <c r="C194" s="67">
        <f t="shared" si="2"/>
        <v>5.0948002374426871E-3</v>
      </c>
      <c r="D194" s="67">
        <f>(Table18[[#This Row],[Index]]-B182)/B182</f>
        <v>4.893638843873703E-2</v>
      </c>
    </row>
    <row r="195" spans="1:4" x14ac:dyDescent="0.2">
      <c r="A195" s="17">
        <v>32021</v>
      </c>
      <c r="B195" s="59">
        <f>VLOOKUP(Table18[[#This Row],[Date]],database!A:G,5,)</f>
        <v>76.483800000000002</v>
      </c>
      <c r="C195" s="67">
        <f t="shared" si="2"/>
        <v>-2.8434758461002296E-3</v>
      </c>
      <c r="D195" s="67">
        <f>(Table18[[#This Row],[Index]]-B183)/B183</f>
        <v>4.4358450581141254E-2</v>
      </c>
    </row>
    <row r="196" spans="1:4" x14ac:dyDescent="0.2">
      <c r="A196" s="17">
        <v>32051</v>
      </c>
      <c r="B196" s="59">
        <f>VLOOKUP(Table18[[#This Row],[Date]],database!A:G,5,)</f>
        <v>77.800299999999993</v>
      </c>
      <c r="C196" s="67">
        <f t="shared" si="2"/>
        <v>1.7212795389350388E-2</v>
      </c>
      <c r="D196" s="67">
        <f>(Table18[[#This Row],[Index]]-B184)/B184</f>
        <v>5.8202260028399976E-2</v>
      </c>
    </row>
    <row r="197" spans="1:4" x14ac:dyDescent="0.2">
      <c r="A197" s="17">
        <v>32082</v>
      </c>
      <c r="B197" s="59">
        <f>VLOOKUP(Table18[[#This Row],[Date]],database!A:G,5,)</f>
        <v>77.842699999999994</v>
      </c>
      <c r="C197" s="67">
        <f t="shared" si="2"/>
        <v>5.4498504504474354E-4</v>
      </c>
      <c r="D197" s="67">
        <f>(Table18[[#This Row],[Index]]-B185)/B185</f>
        <v>5.1598687978903782E-2</v>
      </c>
    </row>
    <row r="198" spans="1:4" x14ac:dyDescent="0.2">
      <c r="A198" s="17">
        <v>32112</v>
      </c>
      <c r="B198" s="59">
        <f>VLOOKUP(Table18[[#This Row],[Date]],database!A:G,5,)</f>
        <v>78.024699999999996</v>
      </c>
      <c r="C198" s="67">
        <f t="shared" si="2"/>
        <v>2.3380483976018773E-3</v>
      </c>
      <c r="D198" s="67">
        <f>(Table18[[#This Row],[Index]]-B186)/B186</f>
        <v>4.328530837372558E-2</v>
      </c>
    </row>
    <row r="199" spans="1:4" x14ac:dyDescent="0.2">
      <c r="A199" s="17">
        <v>32143</v>
      </c>
      <c r="B199" s="59">
        <f>VLOOKUP(Table18[[#This Row],[Date]],database!A:G,5,)</f>
        <v>78.308400000000006</v>
      </c>
      <c r="C199" s="67">
        <f t="shared" si="2"/>
        <v>3.6360280782881116E-3</v>
      </c>
      <c r="D199" s="67">
        <f>(Table18[[#This Row],[Index]]-B187)/B187</f>
        <v>5.8758154470170694E-2</v>
      </c>
    </row>
    <row r="200" spans="1:4" x14ac:dyDescent="0.2">
      <c r="A200" s="17">
        <v>32174</v>
      </c>
      <c r="B200" s="59">
        <f>VLOOKUP(Table18[[#This Row],[Date]],database!A:G,5,)</f>
        <v>78.683999999999997</v>
      </c>
      <c r="C200" s="67">
        <f t="shared" ref="C200:C263" si="3">B200/B199-1</f>
        <v>4.7964203073997957E-3</v>
      </c>
      <c r="D200" s="67">
        <f>(Table18[[#This Row],[Index]]-B188)/B188</f>
        <v>4.969243227306612E-2</v>
      </c>
    </row>
    <row r="201" spans="1:4" x14ac:dyDescent="0.2">
      <c r="A201" s="17">
        <v>32203</v>
      </c>
      <c r="B201" s="59">
        <f>VLOOKUP(Table18[[#This Row],[Date]],database!A:G,5,)</f>
        <v>78.561000000000007</v>
      </c>
      <c r="C201" s="67">
        <f t="shared" si="3"/>
        <v>-1.5632148848557792E-3</v>
      </c>
      <c r="D201" s="67">
        <f>(Table18[[#This Row],[Index]]-B189)/B189</f>
        <v>4.5759377237984476E-2</v>
      </c>
    </row>
    <row r="202" spans="1:4" x14ac:dyDescent="0.2">
      <c r="A202" s="17">
        <v>32234</v>
      </c>
      <c r="B202" s="59">
        <f>VLOOKUP(Table18[[#This Row],[Date]],database!A:G,5,)</f>
        <v>79.185400000000001</v>
      </c>
      <c r="C202" s="67">
        <f t="shared" si="3"/>
        <v>7.9479640024948672E-3</v>
      </c>
      <c r="D202" s="67">
        <f>(Table18[[#This Row],[Index]]-B190)/B190</f>
        <v>5.5597028852973115E-2</v>
      </c>
    </row>
    <row r="203" spans="1:4" x14ac:dyDescent="0.2">
      <c r="A203" s="17">
        <v>32264</v>
      </c>
      <c r="B203" s="59">
        <f>VLOOKUP(Table18[[#This Row],[Date]],database!A:G,5,)</f>
        <v>78.771699999999996</v>
      </c>
      <c r="C203" s="67">
        <f t="shared" si="3"/>
        <v>-5.2244479411609479E-3</v>
      </c>
      <c r="D203" s="67">
        <f>(Table18[[#This Row],[Index]]-B191)/B191</f>
        <v>4.1986782649184574E-2</v>
      </c>
    </row>
    <row r="204" spans="1:4" x14ac:dyDescent="0.2">
      <c r="A204" s="17">
        <v>32295</v>
      </c>
      <c r="B204" s="59">
        <f>VLOOKUP(Table18[[#This Row],[Date]],database!A:G,5,)</f>
        <v>78.763800000000003</v>
      </c>
      <c r="C204" s="67">
        <f t="shared" si="3"/>
        <v>-1.002898248989581E-4</v>
      </c>
      <c r="D204" s="67">
        <f>(Table18[[#This Row],[Index]]-B192)/B192</f>
        <v>3.9065993865637791E-2</v>
      </c>
    </row>
    <row r="205" spans="1:4" x14ac:dyDescent="0.2">
      <c r="A205" s="17">
        <v>32325</v>
      </c>
      <c r="B205" s="59">
        <f>VLOOKUP(Table18[[#This Row],[Date]],database!A:G,5,)</f>
        <v>78.715999999999994</v>
      </c>
      <c r="C205" s="67">
        <f t="shared" si="3"/>
        <v>-6.0687777887824534E-4</v>
      </c>
      <c r="D205" s="67">
        <f>(Table18[[#This Row],[Index]]-B193)/B193</f>
        <v>3.1487385520965444E-2</v>
      </c>
    </row>
    <row r="206" spans="1:4" x14ac:dyDescent="0.2">
      <c r="A206" s="17">
        <v>32356</v>
      </c>
      <c r="B206" s="59">
        <f>VLOOKUP(Table18[[#This Row],[Date]],database!A:G,5,)</f>
        <v>79.243200000000002</v>
      </c>
      <c r="C206" s="67">
        <f t="shared" si="3"/>
        <v>6.6974947914020255E-3</v>
      </c>
      <c r="D206" s="67">
        <f>(Table18[[#This Row],[Index]]-B194)/B194</f>
        <v>3.3132164913776671E-2</v>
      </c>
    </row>
    <row r="207" spans="1:4" x14ac:dyDescent="0.2">
      <c r="A207" s="17">
        <v>32387</v>
      </c>
      <c r="B207" s="59">
        <f>VLOOKUP(Table18[[#This Row],[Date]],database!A:G,5,)</f>
        <v>78.764499999999998</v>
      </c>
      <c r="C207" s="67">
        <f t="shared" si="3"/>
        <v>-6.0408968845276911E-3</v>
      </c>
      <c r="D207" s="67">
        <f>(Table18[[#This Row],[Index]]-B195)/B195</f>
        <v>2.9819386589055405E-2</v>
      </c>
    </row>
    <row r="208" spans="1:4" x14ac:dyDescent="0.2">
      <c r="A208" s="17">
        <v>32417</v>
      </c>
      <c r="B208" s="59">
        <f>VLOOKUP(Table18[[#This Row],[Date]],database!A:G,5,)</f>
        <v>79.365399999999994</v>
      </c>
      <c r="C208" s="67">
        <f t="shared" si="3"/>
        <v>7.6290714725542053E-3</v>
      </c>
      <c r="D208" s="67">
        <f>(Table18[[#This Row],[Index]]-B196)/B196</f>
        <v>2.0116889009425428E-2</v>
      </c>
    </row>
    <row r="209" spans="1:4" x14ac:dyDescent="0.2">
      <c r="A209" s="17">
        <v>32448</v>
      </c>
      <c r="B209" s="59">
        <f>VLOOKUP(Table18[[#This Row],[Date]],database!A:G,5,)</f>
        <v>79.522599999999997</v>
      </c>
      <c r="C209" s="67">
        <f t="shared" si="3"/>
        <v>1.980711997923601E-3</v>
      </c>
      <c r="D209" s="67">
        <f>(Table18[[#This Row],[Index]]-B197)/B197</f>
        <v>2.1580700566655623E-2</v>
      </c>
    </row>
    <row r="210" spans="1:4" x14ac:dyDescent="0.2">
      <c r="A210" s="17">
        <v>32478</v>
      </c>
      <c r="B210" s="59">
        <f>VLOOKUP(Table18[[#This Row],[Date]],database!A:G,5,)</f>
        <v>79.936999999999998</v>
      </c>
      <c r="C210" s="67">
        <f t="shared" si="3"/>
        <v>5.2110972226764307E-3</v>
      </c>
      <c r="D210" s="67">
        <f>(Table18[[#This Row],[Index]]-B198)/B198</f>
        <v>2.4508905513254162E-2</v>
      </c>
    </row>
    <row r="211" spans="1:4" x14ac:dyDescent="0.2">
      <c r="A211" s="17">
        <v>32509</v>
      </c>
      <c r="B211" s="59">
        <f>VLOOKUP(Table18[[#This Row],[Date]],database!A:G,5,)</f>
        <v>79.987099999999998</v>
      </c>
      <c r="C211" s="67">
        <f t="shared" si="3"/>
        <v>6.267435605540328E-4</v>
      </c>
      <c r="D211" s="67">
        <f>(Table18[[#This Row],[Index]]-B199)/B199</f>
        <v>2.1437036128946471E-2</v>
      </c>
    </row>
    <row r="212" spans="1:4" x14ac:dyDescent="0.2">
      <c r="A212" s="17">
        <v>32540</v>
      </c>
      <c r="B212" s="59">
        <f>VLOOKUP(Table18[[#This Row],[Date]],database!A:G,5,)</f>
        <v>79.992900000000006</v>
      </c>
      <c r="C212" s="67">
        <f t="shared" si="3"/>
        <v>7.2511692510435211E-5</v>
      </c>
      <c r="D212" s="67">
        <f>(Table18[[#This Row],[Index]]-B200)/B200</f>
        <v>1.6634894006405474E-2</v>
      </c>
    </row>
    <row r="213" spans="1:4" x14ac:dyDescent="0.2">
      <c r="A213" s="17">
        <v>32568</v>
      </c>
      <c r="B213" s="59">
        <f>VLOOKUP(Table18[[#This Row],[Date]],database!A:G,5,)</f>
        <v>80.143000000000001</v>
      </c>
      <c r="C213" s="67">
        <f t="shared" si="3"/>
        <v>1.8764165319671289E-3</v>
      </c>
      <c r="D213" s="67">
        <f>(Table18[[#This Row],[Index]]-B201)/B201</f>
        <v>2.0137218212599044E-2</v>
      </c>
    </row>
    <row r="214" spans="1:4" x14ac:dyDescent="0.2">
      <c r="A214" s="17">
        <v>32599</v>
      </c>
      <c r="B214" s="59">
        <f>VLOOKUP(Table18[[#This Row],[Date]],database!A:G,5,)</f>
        <v>79.960599999999999</v>
      </c>
      <c r="C214" s="67">
        <f t="shared" si="3"/>
        <v>-2.2759317719576178E-3</v>
      </c>
      <c r="D214" s="67">
        <f>(Table18[[#This Row],[Index]]-B202)/B202</f>
        <v>9.7896834517473934E-3</v>
      </c>
    </row>
    <row r="215" spans="1:4" x14ac:dyDescent="0.2">
      <c r="A215" s="17">
        <v>32629</v>
      </c>
      <c r="B215" s="59">
        <f>VLOOKUP(Table18[[#This Row],[Date]],database!A:G,5,)</f>
        <v>79.241200000000006</v>
      </c>
      <c r="C215" s="67">
        <f t="shared" si="3"/>
        <v>-8.996930988511731E-3</v>
      </c>
      <c r="D215" s="67">
        <f>(Table18[[#This Row],[Index]]-B203)/B203</f>
        <v>5.960262378493935E-3</v>
      </c>
    </row>
    <row r="216" spans="1:4" x14ac:dyDescent="0.2">
      <c r="A216" s="17">
        <v>32660</v>
      </c>
      <c r="B216" s="59">
        <f>VLOOKUP(Table18[[#This Row],[Date]],database!A:G,5,)</f>
        <v>79.252700000000004</v>
      </c>
      <c r="C216" s="67">
        <f t="shared" si="3"/>
        <v>1.4512652509046653E-4</v>
      </c>
      <c r="D216" s="67">
        <f>(Table18[[#This Row],[Index]]-B204)/B204</f>
        <v>6.2071662362659114E-3</v>
      </c>
    </row>
    <row r="217" spans="1:4" x14ac:dyDescent="0.2">
      <c r="A217" s="17">
        <v>32690</v>
      </c>
      <c r="B217" s="59">
        <f>VLOOKUP(Table18[[#This Row],[Date]],database!A:G,5,)</f>
        <v>77.498800000000003</v>
      </c>
      <c r="C217" s="67">
        <f t="shared" si="3"/>
        <v>-2.2130476311848057E-2</v>
      </c>
      <c r="D217" s="67">
        <f>(Table18[[#This Row],[Index]]-B205)/B205</f>
        <v>-1.5463184104883267E-2</v>
      </c>
    </row>
    <row r="218" spans="1:4" x14ac:dyDescent="0.2">
      <c r="A218" s="17">
        <v>32721</v>
      </c>
      <c r="B218" s="59">
        <f>VLOOKUP(Table18[[#This Row],[Date]],database!A:G,5,)</f>
        <v>78.859300000000005</v>
      </c>
      <c r="C218" s="67">
        <f t="shared" si="3"/>
        <v>1.7555110530743656E-2</v>
      </c>
      <c r="D218" s="67">
        <f>(Table18[[#This Row],[Index]]-B206)/B206</f>
        <v>-4.8445797241908079E-3</v>
      </c>
    </row>
    <row r="219" spans="1:4" x14ac:dyDescent="0.2">
      <c r="A219" s="17">
        <v>32752</v>
      </c>
      <c r="B219" s="59">
        <f>VLOOKUP(Table18[[#This Row],[Date]],database!A:G,5,)</f>
        <v>78.577500000000001</v>
      </c>
      <c r="C219" s="67">
        <f t="shared" si="3"/>
        <v>-3.5734529725727215E-3</v>
      </c>
      <c r="D219" s="67">
        <f>(Table18[[#This Row],[Index]]-B207)/B207</f>
        <v>-2.3741660265728546E-3</v>
      </c>
    </row>
    <row r="220" spans="1:4" x14ac:dyDescent="0.2">
      <c r="A220" s="17">
        <v>32782</v>
      </c>
      <c r="B220" s="59">
        <f>VLOOKUP(Table18[[#This Row],[Date]],database!A:G,5,)</f>
        <v>78.753600000000006</v>
      </c>
      <c r="C220" s="67">
        <f t="shared" si="3"/>
        <v>2.2410995513983956E-3</v>
      </c>
      <c r="D220" s="67">
        <f>(Table18[[#This Row],[Index]]-B208)/B208</f>
        <v>-7.7086488570584687E-3</v>
      </c>
    </row>
    <row r="221" spans="1:4" x14ac:dyDescent="0.2">
      <c r="A221" s="17">
        <v>32813</v>
      </c>
      <c r="B221" s="59">
        <f>VLOOKUP(Table18[[#This Row],[Date]],database!A:G,5,)</f>
        <v>79.074600000000004</v>
      </c>
      <c r="C221" s="67">
        <f t="shared" si="3"/>
        <v>4.0760041445724315E-3</v>
      </c>
      <c r="D221" s="67">
        <f>(Table18[[#This Row],[Index]]-B209)/B209</f>
        <v>-5.633618619109452E-3</v>
      </c>
    </row>
    <row r="222" spans="1:4" x14ac:dyDescent="0.2">
      <c r="A222" s="17">
        <v>32843</v>
      </c>
      <c r="B222" s="59">
        <f>VLOOKUP(Table18[[#This Row],[Date]],database!A:G,5,)</f>
        <v>80.340400000000002</v>
      </c>
      <c r="C222" s="67">
        <f t="shared" si="3"/>
        <v>1.6007668707777256E-2</v>
      </c>
      <c r="D222" s="67">
        <f>(Table18[[#This Row],[Index]]-B210)/B210</f>
        <v>5.0464740983525132E-3</v>
      </c>
    </row>
    <row r="223" spans="1:4" x14ac:dyDescent="0.2">
      <c r="A223" s="17">
        <v>32874</v>
      </c>
      <c r="B223" s="59">
        <f>VLOOKUP(Table18[[#This Row],[Date]],database!A:G,5,)</f>
        <v>78.649600000000007</v>
      </c>
      <c r="C223" s="67">
        <f t="shared" si="3"/>
        <v>-2.1045451603427412E-2</v>
      </c>
      <c r="D223" s="67">
        <f>(Table18[[#This Row],[Index]]-B211)/B211</f>
        <v>-1.6721446333221125E-2</v>
      </c>
    </row>
    <row r="224" spans="1:4" x14ac:dyDescent="0.2">
      <c r="A224" s="17">
        <v>32905</v>
      </c>
      <c r="B224" s="59">
        <f>VLOOKUP(Table18[[#This Row],[Date]],database!A:G,5,)</f>
        <v>79.612799999999993</v>
      </c>
      <c r="C224" s="67">
        <f t="shared" si="3"/>
        <v>1.2246724713157908E-2</v>
      </c>
      <c r="D224" s="67">
        <f>(Table18[[#This Row],[Index]]-B212)/B212</f>
        <v>-4.7516717108645008E-3</v>
      </c>
    </row>
    <row r="225" spans="1:4" x14ac:dyDescent="0.2">
      <c r="A225" s="17">
        <v>32933</v>
      </c>
      <c r="B225" s="59">
        <f>VLOOKUP(Table18[[#This Row],[Date]],database!A:G,5,)</f>
        <v>80.127899999999997</v>
      </c>
      <c r="C225" s="67">
        <f t="shared" si="3"/>
        <v>6.470065115157464E-3</v>
      </c>
      <c r="D225" s="67">
        <f>(Table18[[#This Row],[Index]]-B213)/B213</f>
        <v>-1.8841321138469844E-4</v>
      </c>
    </row>
    <row r="226" spans="1:4" x14ac:dyDescent="0.2">
      <c r="A226" s="17">
        <v>32964</v>
      </c>
      <c r="B226" s="59">
        <f>VLOOKUP(Table18[[#This Row],[Date]],database!A:G,5,)</f>
        <v>79.792400000000001</v>
      </c>
      <c r="C226" s="67">
        <f t="shared" si="3"/>
        <v>-4.187055944309015E-3</v>
      </c>
      <c r="D226" s="67">
        <f>(Table18[[#This Row],[Index]]-B214)/B214</f>
        <v>-2.1035359914757866E-3</v>
      </c>
    </row>
    <row r="227" spans="1:4" x14ac:dyDescent="0.2">
      <c r="A227" s="17">
        <v>32994</v>
      </c>
      <c r="B227" s="59">
        <f>VLOOKUP(Table18[[#This Row],[Date]],database!A:G,5,)</f>
        <v>79.733000000000004</v>
      </c>
      <c r="C227" s="67">
        <f t="shared" si="3"/>
        <v>-7.4443180052230495E-4</v>
      </c>
      <c r="D227" s="67">
        <f>(Table18[[#This Row],[Index]]-B215)/B215</f>
        <v>6.2063673947390721E-3</v>
      </c>
    </row>
    <row r="228" spans="1:4" x14ac:dyDescent="0.2">
      <c r="A228" s="17">
        <v>33025</v>
      </c>
      <c r="B228" s="59">
        <f>VLOOKUP(Table18[[#This Row],[Date]],database!A:G,5,)</f>
        <v>80.568299999999994</v>
      </c>
      <c r="C228" s="67">
        <f t="shared" si="3"/>
        <v>1.0476214365444436E-2</v>
      </c>
      <c r="D228" s="67">
        <f>(Table18[[#This Row],[Index]]-B216)/B216</f>
        <v>1.6600065360549095E-2</v>
      </c>
    </row>
    <row r="229" spans="1:4" x14ac:dyDescent="0.2">
      <c r="A229" s="17">
        <v>33055</v>
      </c>
      <c r="B229" s="59">
        <f>VLOOKUP(Table18[[#This Row],[Date]],database!A:G,5,)</f>
        <v>79.905799999999999</v>
      </c>
      <c r="C229" s="67">
        <f t="shared" si="3"/>
        <v>-8.222837021508389E-3</v>
      </c>
      <c r="D229" s="67">
        <f>(Table18[[#This Row],[Index]]-B217)/B217</f>
        <v>3.1058545422638757E-2</v>
      </c>
    </row>
    <row r="230" spans="1:4" x14ac:dyDescent="0.2">
      <c r="A230" s="17">
        <v>33086</v>
      </c>
      <c r="B230" s="59">
        <f>VLOOKUP(Table18[[#This Row],[Date]],database!A:G,5,)</f>
        <v>80.176500000000004</v>
      </c>
      <c r="C230" s="67">
        <f t="shared" si="3"/>
        <v>3.3877390627463644E-3</v>
      </c>
      <c r="D230" s="67">
        <f>(Table18[[#This Row],[Index]]-B218)/B218</f>
        <v>1.6703166272082046E-2</v>
      </c>
    </row>
    <row r="231" spans="1:4" x14ac:dyDescent="0.2">
      <c r="A231" s="17">
        <v>33117</v>
      </c>
      <c r="B231" s="59">
        <f>VLOOKUP(Table18[[#This Row],[Date]],database!A:G,5,)</f>
        <v>80.719499999999996</v>
      </c>
      <c r="C231" s="67">
        <f t="shared" si="3"/>
        <v>6.7725580438158239E-3</v>
      </c>
      <c r="D231" s="67">
        <f>(Table18[[#This Row],[Index]]-B219)/B219</f>
        <v>2.7259711749546573E-2</v>
      </c>
    </row>
    <row r="232" spans="1:4" x14ac:dyDescent="0.2">
      <c r="A232" s="17">
        <v>33147</v>
      </c>
      <c r="B232" s="59">
        <f>VLOOKUP(Table18[[#This Row],[Date]],database!A:G,5,)</f>
        <v>79.622799999999998</v>
      </c>
      <c r="C232" s="67">
        <f t="shared" si="3"/>
        <v>-1.358655591275959E-2</v>
      </c>
      <c r="D232" s="67">
        <f>(Table18[[#This Row],[Index]]-B220)/B220</f>
        <v>1.1036955770910691E-2</v>
      </c>
    </row>
    <row r="233" spans="1:4" x14ac:dyDescent="0.2">
      <c r="A233" s="17">
        <v>33178</v>
      </c>
      <c r="B233" s="59">
        <f>VLOOKUP(Table18[[#This Row],[Date]],database!A:G,5,)</f>
        <v>78.732500000000002</v>
      </c>
      <c r="C233" s="67">
        <f t="shared" si="3"/>
        <v>-1.1181470634039403E-2</v>
      </c>
      <c r="D233" s="67">
        <f>(Table18[[#This Row],[Index]]-B221)/B221</f>
        <v>-4.3262944105945788E-3</v>
      </c>
    </row>
    <row r="234" spans="1:4" x14ac:dyDescent="0.2">
      <c r="A234" s="17">
        <v>33208</v>
      </c>
      <c r="B234" s="59">
        <f>VLOOKUP(Table18[[#This Row],[Date]],database!A:G,5,)</f>
        <v>78.138900000000007</v>
      </c>
      <c r="C234" s="67">
        <f t="shared" si="3"/>
        <v>-7.5394532118248092E-3</v>
      </c>
      <c r="D234" s="67">
        <f>(Table18[[#This Row],[Index]]-B222)/B222</f>
        <v>-2.7402153835430192E-2</v>
      </c>
    </row>
    <row r="235" spans="1:4" x14ac:dyDescent="0.2">
      <c r="A235" s="17">
        <v>33239</v>
      </c>
      <c r="B235" s="59">
        <f>VLOOKUP(Table18[[#This Row],[Date]],database!A:G,5,)</f>
        <v>78.525700000000001</v>
      </c>
      <c r="C235" s="67">
        <f t="shared" si="3"/>
        <v>4.9501592676630679E-3</v>
      </c>
      <c r="D235" s="67">
        <f>(Table18[[#This Row],[Index]]-B223)/B223</f>
        <v>-1.5753417690618401E-3</v>
      </c>
    </row>
    <row r="236" spans="1:4" x14ac:dyDescent="0.2">
      <c r="A236" s="17">
        <v>33270</v>
      </c>
      <c r="B236" s="59">
        <f>VLOOKUP(Table18[[#This Row],[Date]],database!A:G,5,)</f>
        <v>77.772900000000007</v>
      </c>
      <c r="C236" s="67">
        <f t="shared" si="3"/>
        <v>-9.5866703512352824E-3</v>
      </c>
      <c r="D236" s="67">
        <f>(Table18[[#This Row],[Index]]-B224)/B224</f>
        <v>-2.3110605329796037E-2</v>
      </c>
    </row>
    <row r="237" spans="1:4" x14ac:dyDescent="0.2">
      <c r="A237" s="17">
        <v>33298</v>
      </c>
      <c r="B237" s="59">
        <f>VLOOKUP(Table18[[#This Row],[Date]],database!A:G,5,)</f>
        <v>77.8262</v>
      </c>
      <c r="C237" s="67">
        <f t="shared" si="3"/>
        <v>6.8532869418524989E-4</v>
      </c>
      <c r="D237" s="67">
        <f>(Table18[[#This Row],[Index]]-B225)/B225</f>
        <v>-2.872532538603903E-2</v>
      </c>
    </row>
    <row r="238" spans="1:4" x14ac:dyDescent="0.2">
      <c r="A238" s="17">
        <v>33329</v>
      </c>
      <c r="B238" s="59">
        <f>VLOOKUP(Table18[[#This Row],[Date]],database!A:G,5,)</f>
        <v>77.848299999999995</v>
      </c>
      <c r="C238" s="67">
        <f t="shared" si="3"/>
        <v>2.8396606798208879E-4</v>
      </c>
      <c r="D238" s="67">
        <f>(Table18[[#This Row],[Index]]-B226)/B226</f>
        <v>-2.4364475814739321E-2</v>
      </c>
    </row>
    <row r="239" spans="1:4" x14ac:dyDescent="0.2">
      <c r="A239" s="17">
        <v>33359</v>
      </c>
      <c r="B239" s="59">
        <f>VLOOKUP(Table18[[#This Row],[Date]],database!A:G,5,)</f>
        <v>79.182400000000001</v>
      </c>
      <c r="C239" s="67">
        <f t="shared" si="3"/>
        <v>1.7137175763632717E-2</v>
      </c>
      <c r="D239" s="67">
        <f>(Table18[[#This Row],[Index]]-B227)/B227</f>
        <v>-6.905547263993614E-3</v>
      </c>
    </row>
    <row r="240" spans="1:4" x14ac:dyDescent="0.2">
      <c r="A240" s="17">
        <v>33390</v>
      </c>
      <c r="B240" s="59">
        <f>VLOOKUP(Table18[[#This Row],[Date]],database!A:G,5,)</f>
        <v>80.134100000000004</v>
      </c>
      <c r="C240" s="67">
        <f t="shared" si="3"/>
        <v>1.2019085049202793E-2</v>
      </c>
      <c r="D240" s="67">
        <f>(Table18[[#This Row],[Index]]-B228)/B228</f>
        <v>-5.3892163543228537E-3</v>
      </c>
    </row>
    <row r="241" spans="1:4" x14ac:dyDescent="0.2">
      <c r="A241" s="17">
        <v>33420</v>
      </c>
      <c r="B241" s="59">
        <f>VLOOKUP(Table18[[#This Row],[Date]],database!A:G,5,)</f>
        <v>79.942099999999996</v>
      </c>
      <c r="C241" s="67">
        <f t="shared" si="3"/>
        <v>-2.3959837322689026E-3</v>
      </c>
      <c r="D241" s="67">
        <f>(Table18[[#This Row],[Index]]-B229)/B229</f>
        <v>4.5428492049384543E-4</v>
      </c>
    </row>
    <row r="242" spans="1:4" x14ac:dyDescent="0.2">
      <c r="A242" s="17">
        <v>33451</v>
      </c>
      <c r="B242" s="59">
        <f>VLOOKUP(Table18[[#This Row],[Date]],database!A:G,5,)</f>
        <v>79.947900000000004</v>
      </c>
      <c r="C242" s="67">
        <f t="shared" si="3"/>
        <v>7.255250987903139E-5</v>
      </c>
      <c r="D242" s="67">
        <f>(Table18[[#This Row],[Index]]-B230)/B230</f>
        <v>-2.8512095189987107E-3</v>
      </c>
    </row>
    <row r="243" spans="1:4" x14ac:dyDescent="0.2">
      <c r="A243" s="17">
        <v>33482</v>
      </c>
      <c r="B243" s="59">
        <f>VLOOKUP(Table18[[#This Row],[Date]],database!A:G,5,)</f>
        <v>81.107900000000001</v>
      </c>
      <c r="C243" s="67">
        <f t="shared" si="3"/>
        <v>1.4509449278842901E-2</v>
      </c>
      <c r="D243" s="67">
        <f>(Table18[[#This Row],[Index]]-B231)/B231</f>
        <v>4.8117245523077359E-3</v>
      </c>
    </row>
    <row r="244" spans="1:4" x14ac:dyDescent="0.2">
      <c r="A244" s="17">
        <v>33512</v>
      </c>
      <c r="B244" s="59">
        <f>VLOOKUP(Table18[[#This Row],[Date]],database!A:G,5,)</f>
        <v>80.915899999999993</v>
      </c>
      <c r="C244" s="67">
        <f t="shared" si="3"/>
        <v>-2.3672170035226037E-3</v>
      </c>
      <c r="D244" s="67">
        <f>(Table18[[#This Row],[Index]]-B232)/B232</f>
        <v>1.6240323123527377E-2</v>
      </c>
    </row>
    <row r="245" spans="1:4" x14ac:dyDescent="0.2">
      <c r="A245" s="17">
        <v>33543</v>
      </c>
      <c r="B245" s="59">
        <f>VLOOKUP(Table18[[#This Row],[Date]],database!A:G,5,)</f>
        <v>81.031999999999996</v>
      </c>
      <c r="C245" s="67">
        <f t="shared" si="3"/>
        <v>1.4348230693843611E-3</v>
      </c>
      <c r="D245" s="67">
        <f>(Table18[[#This Row],[Index]]-B233)/B233</f>
        <v>2.920649033118464E-2</v>
      </c>
    </row>
    <row r="246" spans="1:4" x14ac:dyDescent="0.2">
      <c r="A246" s="17">
        <v>33573</v>
      </c>
      <c r="B246" s="59">
        <f>VLOOKUP(Table18[[#This Row],[Date]],database!A:G,5,)</f>
        <v>80.012600000000006</v>
      </c>
      <c r="C246" s="67">
        <f t="shared" si="3"/>
        <v>-1.2580215223615188E-2</v>
      </c>
      <c r="D246" s="67">
        <f>(Table18[[#This Row],[Index]]-B234)/B234</f>
        <v>2.3979093639659624E-2</v>
      </c>
    </row>
    <row r="247" spans="1:4" x14ac:dyDescent="0.2">
      <c r="A247" s="17">
        <v>33604</v>
      </c>
      <c r="B247" s="59">
        <f>VLOOKUP(Table18[[#This Row],[Date]],database!A:G,5,)</f>
        <v>79.248000000000005</v>
      </c>
      <c r="C247" s="67">
        <f t="shared" si="3"/>
        <v>-9.5559949307983949E-3</v>
      </c>
      <c r="D247" s="67">
        <f>(Table18[[#This Row],[Index]]-B235)/B235</f>
        <v>9.1982624796723127E-3</v>
      </c>
    </row>
    <row r="248" spans="1:4" x14ac:dyDescent="0.2">
      <c r="A248" s="17">
        <v>33635</v>
      </c>
      <c r="B248" s="59">
        <f>VLOOKUP(Table18[[#This Row],[Date]],database!A:G,5,)</f>
        <v>80.054100000000005</v>
      </c>
      <c r="C248" s="67">
        <f t="shared" si="3"/>
        <v>1.0171865536038771E-2</v>
      </c>
      <c r="D248" s="67">
        <f>(Table18[[#This Row],[Index]]-B236)/B236</f>
        <v>2.9331553793159292E-2</v>
      </c>
    </row>
    <row r="249" spans="1:4" x14ac:dyDescent="0.2">
      <c r="A249" s="17">
        <v>33664</v>
      </c>
      <c r="B249" s="59">
        <f>VLOOKUP(Table18[[#This Row],[Date]],database!A:G,5,)</f>
        <v>80.7864</v>
      </c>
      <c r="C249" s="67">
        <f t="shared" si="3"/>
        <v>9.1475639598721514E-3</v>
      </c>
      <c r="D249" s="67">
        <f>(Table18[[#This Row],[Index]]-B237)/B237</f>
        <v>3.8036034137604049E-2</v>
      </c>
    </row>
    <row r="250" spans="1:4" x14ac:dyDescent="0.2">
      <c r="A250" s="17">
        <v>33695</v>
      </c>
      <c r="B250" s="59">
        <f>VLOOKUP(Table18[[#This Row],[Date]],database!A:G,5,)</f>
        <v>81.544799999999995</v>
      </c>
      <c r="C250" s="67">
        <f t="shared" si="3"/>
        <v>9.3877187249338245E-3</v>
      </c>
      <c r="D250" s="67">
        <f>(Table18[[#This Row],[Index]]-B238)/B238</f>
        <v>4.7483374717238534E-2</v>
      </c>
    </row>
    <row r="251" spans="1:4" x14ac:dyDescent="0.2">
      <c r="A251" s="17">
        <v>33725</v>
      </c>
      <c r="B251" s="59">
        <f>VLOOKUP(Table18[[#This Row],[Date]],database!A:G,5,)</f>
        <v>82.075100000000006</v>
      </c>
      <c r="C251" s="67">
        <f t="shared" si="3"/>
        <v>6.5031737155527569E-3</v>
      </c>
      <c r="D251" s="67">
        <f>(Table18[[#This Row],[Index]]-B239)/B239</f>
        <v>3.6532108145244463E-2</v>
      </c>
    </row>
    <row r="252" spans="1:4" x14ac:dyDescent="0.2">
      <c r="A252" s="17">
        <v>33756</v>
      </c>
      <c r="B252" s="59">
        <f>VLOOKUP(Table18[[#This Row],[Date]],database!A:G,5,)</f>
        <v>81.673599999999993</v>
      </c>
      <c r="C252" s="67">
        <f t="shared" si="3"/>
        <v>-4.891861234406214E-3</v>
      </c>
      <c r="D252" s="67">
        <f>(Table18[[#This Row],[Index]]-B240)/B240</f>
        <v>1.9211546644936295E-2</v>
      </c>
    </row>
    <row r="253" spans="1:4" x14ac:dyDescent="0.2">
      <c r="A253" s="17">
        <v>33786</v>
      </c>
      <c r="B253" s="59">
        <f>VLOOKUP(Table18[[#This Row],[Date]],database!A:G,5,)</f>
        <v>82.740399999999994</v>
      </c>
      <c r="C253" s="67">
        <f t="shared" si="3"/>
        <v>1.3061748227089387E-2</v>
      </c>
      <c r="D253" s="67">
        <f>(Table18[[#This Row],[Index]]-B241)/B241</f>
        <v>3.5004084205944024E-2</v>
      </c>
    </row>
    <row r="254" spans="1:4" x14ac:dyDescent="0.2">
      <c r="A254" s="17">
        <v>33817</v>
      </c>
      <c r="B254" s="59">
        <f>VLOOKUP(Table18[[#This Row],[Date]],database!A:G,5,)</f>
        <v>82.772199999999998</v>
      </c>
      <c r="C254" s="67">
        <f t="shared" si="3"/>
        <v>3.8433461767173327E-4</v>
      </c>
      <c r="D254" s="67">
        <f>(Table18[[#This Row],[Index]]-B242)/B242</f>
        <v>3.5326756550203238E-2</v>
      </c>
    </row>
    <row r="255" spans="1:4" x14ac:dyDescent="0.2">
      <c r="A255" s="17">
        <v>33848</v>
      </c>
      <c r="B255" s="59">
        <f>VLOOKUP(Table18[[#This Row],[Date]],database!A:G,5,)</f>
        <v>82.407200000000003</v>
      </c>
      <c r="C255" s="67">
        <f t="shared" si="3"/>
        <v>-4.4096931095222169E-3</v>
      </c>
      <c r="D255" s="67">
        <f>(Table18[[#This Row],[Index]]-B243)/B243</f>
        <v>1.6019401316024733E-2</v>
      </c>
    </row>
    <row r="256" spans="1:4" x14ac:dyDescent="0.2">
      <c r="A256" s="17">
        <v>33878</v>
      </c>
      <c r="B256" s="59">
        <f>VLOOKUP(Table18[[#This Row],[Date]],database!A:G,5,)</f>
        <v>83.507999999999996</v>
      </c>
      <c r="C256" s="67">
        <f t="shared" si="3"/>
        <v>1.3358056092185988E-2</v>
      </c>
      <c r="D256" s="67">
        <f>(Table18[[#This Row],[Index]]-B244)/B244</f>
        <v>3.2034495074515668E-2</v>
      </c>
    </row>
    <row r="257" spans="1:4" x14ac:dyDescent="0.2">
      <c r="A257" s="17">
        <v>33909</v>
      </c>
      <c r="B257" s="59">
        <f>VLOOKUP(Table18[[#This Row],[Date]],database!A:G,5,)</f>
        <v>83.675399999999996</v>
      </c>
      <c r="C257" s="67">
        <f t="shared" si="3"/>
        <v>2.0045983618335317E-3</v>
      </c>
      <c r="D257" s="67">
        <f>(Table18[[#This Row],[Index]]-B245)/B245</f>
        <v>3.2621680323822684E-2</v>
      </c>
    </row>
    <row r="258" spans="1:4" x14ac:dyDescent="0.2">
      <c r="A258" s="17">
        <v>33939</v>
      </c>
      <c r="B258" s="59">
        <f>VLOOKUP(Table18[[#This Row],[Date]],database!A:G,5,)</f>
        <v>83.697299999999998</v>
      </c>
      <c r="C258" s="67">
        <f t="shared" si="3"/>
        <v>2.6172566847604273E-4</v>
      </c>
      <c r="D258" s="67">
        <f>(Table18[[#This Row],[Index]]-B246)/B246</f>
        <v>4.6051496889239846E-2</v>
      </c>
    </row>
    <row r="259" spans="1:4" x14ac:dyDescent="0.2">
      <c r="A259" s="17">
        <v>33970</v>
      </c>
      <c r="B259" s="59">
        <f>VLOOKUP(Table18[[#This Row],[Date]],database!A:G,5,)</f>
        <v>84.166799999999995</v>
      </c>
      <c r="C259" s="67">
        <f t="shared" si="3"/>
        <v>5.6094999480269525E-3</v>
      </c>
      <c r="D259" s="67">
        <f>(Table18[[#This Row],[Index]]-B247)/B247</f>
        <v>6.2068443367655837E-2</v>
      </c>
    </row>
    <row r="260" spans="1:4" x14ac:dyDescent="0.2">
      <c r="A260" s="17">
        <v>34001</v>
      </c>
      <c r="B260" s="59">
        <f>VLOOKUP(Table18[[#This Row],[Date]],database!A:G,5,)</f>
        <v>84.267200000000003</v>
      </c>
      <c r="C260" s="67">
        <f t="shared" si="3"/>
        <v>1.1928693974347926E-3</v>
      </c>
      <c r="D260" s="67">
        <f>(Table18[[#This Row],[Index]]-B248)/B248</f>
        <v>5.262816020666021E-2</v>
      </c>
    </row>
    <row r="261" spans="1:4" x14ac:dyDescent="0.2">
      <c r="A261" s="17">
        <v>34029</v>
      </c>
      <c r="B261" s="59">
        <f>VLOOKUP(Table18[[#This Row],[Date]],database!A:G,5,)</f>
        <v>84.308800000000005</v>
      </c>
      <c r="C261" s="67">
        <f t="shared" si="3"/>
        <v>4.9366776159653902E-4</v>
      </c>
      <c r="D261" s="67">
        <f>(Table18[[#This Row],[Index]]-B249)/B249</f>
        <v>4.3601398255151913E-2</v>
      </c>
    </row>
    <row r="262" spans="1:4" x14ac:dyDescent="0.2">
      <c r="A262" s="17">
        <v>34060</v>
      </c>
      <c r="B262" s="59">
        <f>VLOOKUP(Table18[[#This Row],[Date]],database!A:G,5,)</f>
        <v>84.387299999999996</v>
      </c>
      <c r="C262" s="67">
        <f t="shared" si="3"/>
        <v>9.311009052435093E-4</v>
      </c>
      <c r="D262" s="67">
        <f>(Table18[[#This Row],[Index]]-B250)/B250</f>
        <v>3.4858139329546477E-2</v>
      </c>
    </row>
    <row r="263" spans="1:4" x14ac:dyDescent="0.2">
      <c r="A263" s="17">
        <v>34090</v>
      </c>
      <c r="B263" s="59">
        <f>VLOOKUP(Table18[[#This Row],[Date]],database!A:G,5,)</f>
        <v>83.758200000000002</v>
      </c>
      <c r="C263" s="67">
        <f t="shared" si="3"/>
        <v>-7.4549132393143536E-3</v>
      </c>
      <c r="D263" s="67">
        <f>(Table18[[#This Row],[Index]]-B251)/B251</f>
        <v>2.0506828502188799E-2</v>
      </c>
    </row>
    <row r="264" spans="1:4" x14ac:dyDescent="0.2">
      <c r="A264" s="17">
        <v>34121</v>
      </c>
      <c r="B264" s="59">
        <f>VLOOKUP(Table18[[#This Row],[Date]],database!A:G,5,)</f>
        <v>83.921999999999997</v>
      </c>
      <c r="C264" s="67">
        <f t="shared" ref="C264:C327" si="4">B264/B263-1</f>
        <v>1.9556294189702061E-3</v>
      </c>
      <c r="D264" s="67">
        <f>(Table18[[#This Row],[Index]]-B252)/B252</f>
        <v>2.7529091407749919E-2</v>
      </c>
    </row>
    <row r="265" spans="1:4" x14ac:dyDescent="0.2">
      <c r="A265" s="17">
        <v>34151</v>
      </c>
      <c r="B265" s="59">
        <f>VLOOKUP(Table18[[#This Row],[Date]],database!A:G,5,)</f>
        <v>84.591800000000006</v>
      </c>
      <c r="C265" s="67">
        <f t="shared" si="4"/>
        <v>7.9812206572771327E-3</v>
      </c>
      <c r="D265" s="67">
        <f>(Table18[[#This Row],[Index]]-B253)/B253</f>
        <v>2.237600978482111E-2</v>
      </c>
    </row>
    <row r="266" spans="1:4" x14ac:dyDescent="0.2">
      <c r="A266" s="17">
        <v>34182</v>
      </c>
      <c r="B266" s="59">
        <f>VLOOKUP(Table18[[#This Row],[Date]],database!A:G,5,)</f>
        <v>84.486900000000006</v>
      </c>
      <c r="C266" s="67">
        <f t="shared" si="4"/>
        <v>-1.2400729148688283E-3</v>
      </c>
      <c r="D266" s="67">
        <f>(Table18[[#This Row],[Index]]-B254)/B254</f>
        <v>2.0715892533966811E-2</v>
      </c>
    </row>
    <row r="267" spans="1:4" x14ac:dyDescent="0.2">
      <c r="A267" s="17">
        <v>34213</v>
      </c>
      <c r="B267" s="59">
        <f>VLOOKUP(Table18[[#This Row],[Date]],database!A:G,5,)</f>
        <v>84.742699999999999</v>
      </c>
      <c r="C267" s="67">
        <f t="shared" si="4"/>
        <v>3.0276883161768353E-3</v>
      </c>
      <c r="D267" s="67">
        <f>(Table18[[#This Row],[Index]]-B255)/B255</f>
        <v>2.8340970206486765E-2</v>
      </c>
    </row>
    <row r="268" spans="1:4" x14ac:dyDescent="0.2">
      <c r="A268" s="17">
        <v>34243</v>
      </c>
      <c r="B268" s="59">
        <f>VLOOKUP(Table18[[#This Row],[Date]],database!A:G,5,)</f>
        <v>85.158199999999994</v>
      </c>
      <c r="C268" s="67">
        <f t="shared" si="4"/>
        <v>4.9030771972098375E-3</v>
      </c>
      <c r="D268" s="67">
        <f>(Table18[[#This Row],[Index]]-B256)/B256</f>
        <v>1.9760980983857812E-2</v>
      </c>
    </row>
    <row r="269" spans="1:4" x14ac:dyDescent="0.2">
      <c r="A269" s="17">
        <v>34274</v>
      </c>
      <c r="B269" s="59">
        <f>VLOOKUP(Table18[[#This Row],[Date]],database!A:G,5,)</f>
        <v>85.279700000000005</v>
      </c>
      <c r="C269" s="67">
        <f t="shared" si="4"/>
        <v>1.4267563194150235E-3</v>
      </c>
      <c r="D269" s="67">
        <f>(Table18[[#This Row],[Index]]-B257)/B257</f>
        <v>1.9172899083840761E-2</v>
      </c>
    </row>
    <row r="270" spans="1:4" x14ac:dyDescent="0.2">
      <c r="A270" s="17">
        <v>34304</v>
      </c>
      <c r="B270" s="59">
        <f>VLOOKUP(Table18[[#This Row],[Date]],database!A:G,5,)</f>
        <v>85.511099999999999</v>
      </c>
      <c r="C270" s="67">
        <f t="shared" si="4"/>
        <v>2.7134241794939395E-3</v>
      </c>
      <c r="D270" s="67">
        <f>(Table18[[#This Row],[Index]]-B258)/B258</f>
        <v>2.1670949958959258E-2</v>
      </c>
    </row>
    <row r="271" spans="1:4" x14ac:dyDescent="0.2">
      <c r="A271" s="17">
        <v>34335</v>
      </c>
      <c r="B271" s="59">
        <f>VLOOKUP(Table18[[#This Row],[Date]],database!A:G,5,)</f>
        <v>86.069699999999997</v>
      </c>
      <c r="C271" s="67">
        <f t="shared" si="4"/>
        <v>6.5324852563000135E-3</v>
      </c>
      <c r="D271" s="67">
        <f>(Table18[[#This Row],[Index]]-B259)/B259</f>
        <v>2.2608677055561129E-2</v>
      </c>
    </row>
    <row r="272" spans="1:4" x14ac:dyDescent="0.2">
      <c r="A272" s="17">
        <v>34366</v>
      </c>
      <c r="B272" s="59">
        <f>VLOOKUP(Table18[[#This Row],[Date]],database!A:G,5,)</f>
        <v>86.230099999999993</v>
      </c>
      <c r="C272" s="67">
        <f t="shared" si="4"/>
        <v>1.8636058915042497E-3</v>
      </c>
      <c r="D272" s="67">
        <f>(Table18[[#This Row],[Index]]-B260)/B260</f>
        <v>2.3293760798982172E-2</v>
      </c>
    </row>
    <row r="273" spans="1:4" x14ac:dyDescent="0.2">
      <c r="A273" s="17">
        <v>34394</v>
      </c>
      <c r="B273" s="59">
        <f>VLOOKUP(Table18[[#This Row],[Date]],database!A:G,5,)</f>
        <v>86.962699999999998</v>
      </c>
      <c r="C273" s="67">
        <f t="shared" si="4"/>
        <v>8.4958732507558476E-3</v>
      </c>
      <c r="D273" s="67">
        <f>(Table18[[#This Row],[Index]]-B261)/B261</f>
        <v>3.1478327292050093E-2</v>
      </c>
    </row>
    <row r="274" spans="1:4" x14ac:dyDescent="0.2">
      <c r="A274" s="17">
        <v>34425</v>
      </c>
      <c r="B274" s="59">
        <f>VLOOKUP(Table18[[#This Row],[Date]],database!A:G,5,)</f>
        <v>87.209699999999998</v>
      </c>
      <c r="C274" s="67">
        <f t="shared" si="4"/>
        <v>2.8402981968131957E-3</v>
      </c>
      <c r="D274" s="67">
        <f>(Table18[[#This Row],[Index]]-B262)/B262</f>
        <v>3.3445791013576712E-2</v>
      </c>
    </row>
    <row r="275" spans="1:4" x14ac:dyDescent="0.2">
      <c r="A275" s="17">
        <v>34455</v>
      </c>
      <c r="B275" s="59">
        <f>VLOOKUP(Table18[[#This Row],[Date]],database!A:G,5,)</f>
        <v>87.699399999999997</v>
      </c>
      <c r="C275" s="67">
        <f t="shared" si="4"/>
        <v>5.6152010613497172E-3</v>
      </c>
      <c r="D275" s="67">
        <f>(Table18[[#This Row],[Index]]-B263)/B263</f>
        <v>4.7054497350707096E-2</v>
      </c>
    </row>
    <row r="276" spans="1:4" x14ac:dyDescent="0.2">
      <c r="A276" s="17">
        <v>34486</v>
      </c>
      <c r="B276" s="59">
        <f>VLOOKUP(Table18[[#This Row],[Date]],database!A:G,5,)</f>
        <v>88.322000000000003</v>
      </c>
      <c r="C276" s="67">
        <f t="shared" si="4"/>
        <v>7.0992503939595331E-3</v>
      </c>
      <c r="D276" s="67">
        <f>(Table18[[#This Row],[Index]]-B264)/B264</f>
        <v>5.2429637043921805E-2</v>
      </c>
    </row>
    <row r="277" spans="1:4" x14ac:dyDescent="0.2">
      <c r="A277" s="17">
        <v>34516</v>
      </c>
      <c r="B277" s="59">
        <f>VLOOKUP(Table18[[#This Row],[Date]],database!A:G,5,)</f>
        <v>87.8857</v>
      </c>
      <c r="C277" s="67">
        <f t="shared" si="4"/>
        <v>-4.9398790788252045E-3</v>
      </c>
      <c r="D277" s="67">
        <f>(Table18[[#This Row],[Index]]-B265)/B265</f>
        <v>3.8938762385952223E-2</v>
      </c>
    </row>
    <row r="278" spans="1:4" x14ac:dyDescent="0.2">
      <c r="A278" s="17">
        <v>34547</v>
      </c>
      <c r="B278" s="59">
        <f>VLOOKUP(Table18[[#This Row],[Date]],database!A:G,5,)</f>
        <v>89.024000000000001</v>
      </c>
      <c r="C278" s="67">
        <f t="shared" si="4"/>
        <v>1.2952050219774192E-2</v>
      </c>
      <c r="D278" s="67">
        <f>(Table18[[#This Row],[Index]]-B266)/B266</f>
        <v>5.3701816494628102E-2</v>
      </c>
    </row>
    <row r="279" spans="1:4" x14ac:dyDescent="0.2">
      <c r="A279" s="17">
        <v>34578</v>
      </c>
      <c r="B279" s="59">
        <f>VLOOKUP(Table18[[#This Row],[Date]],database!A:G,5,)</f>
        <v>88.533799999999999</v>
      </c>
      <c r="C279" s="67">
        <f t="shared" si="4"/>
        <v>-5.5063803019410607E-3</v>
      </c>
      <c r="D279" s="67">
        <f>(Table18[[#This Row],[Index]]-B267)/B267</f>
        <v>4.4736596780607651E-2</v>
      </c>
    </row>
    <row r="280" spans="1:4" x14ac:dyDescent="0.2">
      <c r="A280" s="17">
        <v>34608</v>
      </c>
      <c r="B280" s="59">
        <f>VLOOKUP(Table18[[#This Row],[Date]],database!A:G,5,)</f>
        <v>89.403199999999998</v>
      </c>
      <c r="C280" s="67">
        <f t="shared" si="4"/>
        <v>9.819978358547754E-3</v>
      </c>
      <c r="D280" s="67">
        <f>(Table18[[#This Row],[Index]]-B268)/B268</f>
        <v>4.9848399801780741E-2</v>
      </c>
    </row>
    <row r="281" spans="1:4" x14ac:dyDescent="0.2">
      <c r="A281" s="17">
        <v>34639</v>
      </c>
      <c r="B281" s="59">
        <f>VLOOKUP(Table18[[#This Row],[Date]],database!A:G,5,)</f>
        <v>89.493300000000005</v>
      </c>
      <c r="C281" s="67">
        <f t="shared" si="4"/>
        <v>1.0077939044688122E-3</v>
      </c>
      <c r="D281" s="67">
        <f>(Table18[[#This Row],[Index]]-B269)/B269</f>
        <v>4.9409179441297274E-2</v>
      </c>
    </row>
    <row r="282" spans="1:4" x14ac:dyDescent="0.2">
      <c r="A282" s="17">
        <v>34669</v>
      </c>
      <c r="B282" s="59">
        <f>VLOOKUP(Table18[[#This Row],[Date]],database!A:G,5,)</f>
        <v>90.193399999999997</v>
      </c>
      <c r="C282" s="67">
        <f t="shared" si="4"/>
        <v>7.8229319960263499E-3</v>
      </c>
      <c r="D282" s="67">
        <f>(Table18[[#This Row],[Index]]-B270)/B270</f>
        <v>5.4756633934074032E-2</v>
      </c>
    </row>
    <row r="283" spans="1:4" x14ac:dyDescent="0.2">
      <c r="A283" s="17">
        <v>34700</v>
      </c>
      <c r="B283" s="59">
        <f>VLOOKUP(Table18[[#This Row],[Date]],database!A:G,5,)</f>
        <v>90.032200000000003</v>
      </c>
      <c r="C283" s="67">
        <f t="shared" si="4"/>
        <v>-1.7872704654663396E-3</v>
      </c>
      <c r="D283" s="67">
        <f>(Table18[[#This Row],[Index]]-B271)/B271</f>
        <v>4.6038268984323241E-2</v>
      </c>
    </row>
    <row r="284" spans="1:4" x14ac:dyDescent="0.2">
      <c r="A284" s="17">
        <v>34731</v>
      </c>
      <c r="B284" s="59">
        <f>VLOOKUP(Table18[[#This Row],[Date]],database!A:G,5,)</f>
        <v>90.214799999999997</v>
      </c>
      <c r="C284" s="67">
        <f t="shared" si="4"/>
        <v>2.0281632571457209E-3</v>
      </c>
      <c r="D284" s="67">
        <f>(Table18[[#This Row],[Index]]-B272)/B272</f>
        <v>4.6210082094303544E-2</v>
      </c>
    </row>
    <row r="285" spans="1:4" x14ac:dyDescent="0.2">
      <c r="A285" s="17">
        <v>34759</v>
      </c>
      <c r="B285" s="59">
        <f>VLOOKUP(Table18[[#This Row],[Date]],database!A:G,5,)</f>
        <v>90.178700000000006</v>
      </c>
      <c r="C285" s="67">
        <f t="shared" si="4"/>
        <v>-4.001560719526509E-4</v>
      </c>
      <c r="D285" s="67">
        <f>(Table18[[#This Row],[Index]]-B273)/B273</f>
        <v>3.6981372473485853E-2</v>
      </c>
    </row>
    <row r="286" spans="1:4" x14ac:dyDescent="0.2">
      <c r="A286" s="17">
        <v>34790</v>
      </c>
      <c r="B286" s="59">
        <f>VLOOKUP(Table18[[#This Row],[Date]],database!A:G,5,)</f>
        <v>89.738799999999998</v>
      </c>
      <c r="C286" s="67">
        <f t="shared" si="4"/>
        <v>-4.8780920549975626E-3</v>
      </c>
      <c r="D286" s="67">
        <f>(Table18[[#This Row],[Index]]-B274)/B274</f>
        <v>2.9000214425688883E-2</v>
      </c>
    </row>
    <row r="287" spans="1:4" x14ac:dyDescent="0.2">
      <c r="A287" s="17">
        <v>34820</v>
      </c>
      <c r="B287" s="59">
        <f>VLOOKUP(Table18[[#This Row],[Date]],database!A:G,5,)</f>
        <v>90.057299999999998</v>
      </c>
      <c r="C287" s="67">
        <f t="shared" si="4"/>
        <v>3.5491894253099066E-3</v>
      </c>
      <c r="D287" s="67">
        <f>(Table18[[#This Row],[Index]]-B275)/B275</f>
        <v>2.6886158856274968E-2</v>
      </c>
    </row>
    <row r="288" spans="1:4" x14ac:dyDescent="0.2">
      <c r="A288" s="17">
        <v>34851</v>
      </c>
      <c r="B288" s="59">
        <f>VLOOKUP(Table18[[#This Row],[Date]],database!A:G,5,)</f>
        <v>90.441500000000005</v>
      </c>
      <c r="C288" s="67">
        <f t="shared" si="4"/>
        <v>4.2661727588990672E-3</v>
      </c>
      <c r="D288" s="67">
        <f>(Table18[[#This Row],[Index]]-B276)/B276</f>
        <v>2.3997418536717944E-2</v>
      </c>
    </row>
    <row r="289" spans="1:4" x14ac:dyDescent="0.2">
      <c r="A289" s="17">
        <v>34881</v>
      </c>
      <c r="B289" s="59">
        <f>VLOOKUP(Table18[[#This Row],[Date]],database!A:G,5,)</f>
        <v>89.946799999999996</v>
      </c>
      <c r="C289" s="67">
        <f t="shared" si="4"/>
        <v>-5.4698340916504717E-3</v>
      </c>
      <c r="D289" s="67">
        <f>(Table18[[#This Row],[Index]]-B277)/B277</f>
        <v>2.3452051926536356E-2</v>
      </c>
    </row>
    <row r="290" spans="1:4" x14ac:dyDescent="0.2">
      <c r="A290" s="17">
        <v>34912</v>
      </c>
      <c r="B290" s="59">
        <f>VLOOKUP(Table18[[#This Row],[Date]],database!A:G,5,)</f>
        <v>91.316900000000004</v>
      </c>
      <c r="C290" s="67">
        <f t="shared" si="4"/>
        <v>1.5232337337181656E-2</v>
      </c>
      <c r="D290" s="67">
        <f>(Table18[[#This Row],[Index]]-B278)/B278</f>
        <v>2.5755975916606791E-2</v>
      </c>
    </row>
    <row r="291" spans="1:4" x14ac:dyDescent="0.2">
      <c r="A291" s="17">
        <v>34943</v>
      </c>
      <c r="B291" s="59">
        <f>VLOOKUP(Table18[[#This Row],[Date]],database!A:G,5,)</f>
        <v>91.507499999999993</v>
      </c>
      <c r="C291" s="67">
        <f t="shared" si="4"/>
        <v>2.0872368641509098E-3</v>
      </c>
      <c r="D291" s="67">
        <f>(Table18[[#This Row],[Index]]-B279)/B279</f>
        <v>3.3588301868890683E-2</v>
      </c>
    </row>
    <row r="292" spans="1:4" x14ac:dyDescent="0.2">
      <c r="A292" s="17">
        <v>34973</v>
      </c>
      <c r="B292" s="59">
        <f>VLOOKUP(Table18[[#This Row],[Date]],database!A:G,5,)</f>
        <v>90.670500000000004</v>
      </c>
      <c r="C292" s="67">
        <f t="shared" si="4"/>
        <v>-9.1467912466189905E-3</v>
      </c>
      <c r="D292" s="67">
        <f>(Table18[[#This Row],[Index]]-B280)/B280</f>
        <v>1.4175107826118147E-2</v>
      </c>
    </row>
    <row r="293" spans="1:4" x14ac:dyDescent="0.2">
      <c r="A293" s="17">
        <v>35004</v>
      </c>
      <c r="B293" s="59">
        <f>VLOOKUP(Table18[[#This Row],[Date]],database!A:G,5,)</f>
        <v>90.977199999999996</v>
      </c>
      <c r="C293" s="67">
        <f t="shared" si="4"/>
        <v>3.3825775748450582E-3</v>
      </c>
      <c r="D293" s="67">
        <f>(Table18[[#This Row],[Index]]-B281)/B281</f>
        <v>1.6581129537071391E-2</v>
      </c>
    </row>
    <row r="294" spans="1:4" x14ac:dyDescent="0.2">
      <c r="A294" s="17">
        <v>35034</v>
      </c>
      <c r="B294" s="59">
        <f>VLOOKUP(Table18[[#This Row],[Date]],database!A:G,5,)</f>
        <v>91.261499999999998</v>
      </c>
      <c r="C294" s="67">
        <f t="shared" si="4"/>
        <v>3.1249587808814816E-3</v>
      </c>
      <c r="D294" s="67">
        <f>(Table18[[#This Row],[Index]]-B282)/B282</f>
        <v>1.1842329926580008E-2</v>
      </c>
    </row>
    <row r="295" spans="1:4" x14ac:dyDescent="0.2">
      <c r="A295" s="17">
        <v>35065</v>
      </c>
      <c r="B295" s="59">
        <f>VLOOKUP(Table18[[#This Row],[Date]],database!A:G,5,)</f>
        <v>90.235200000000006</v>
      </c>
      <c r="C295" s="67">
        <f t="shared" si="4"/>
        <v>-1.1245706020611035E-2</v>
      </c>
      <c r="D295" s="67">
        <f>(Table18[[#This Row],[Index]]-B283)/B283</f>
        <v>2.2547488565202553E-3</v>
      </c>
    </row>
    <row r="296" spans="1:4" x14ac:dyDescent="0.2">
      <c r="A296" s="17">
        <v>35096</v>
      </c>
      <c r="B296" s="59">
        <f>VLOOKUP(Table18[[#This Row],[Date]],database!A:G,5,)</f>
        <v>91.598200000000006</v>
      </c>
      <c r="C296" s="67">
        <f t="shared" si="4"/>
        <v>1.5104970122524319E-2</v>
      </c>
      <c r="D296" s="67">
        <f>(Table18[[#This Row],[Index]]-B284)/B284</f>
        <v>1.5334512740703398E-2</v>
      </c>
    </row>
    <row r="297" spans="1:4" x14ac:dyDescent="0.2">
      <c r="A297" s="17">
        <v>35125</v>
      </c>
      <c r="B297" s="59">
        <f>VLOOKUP(Table18[[#This Row],[Date]],database!A:G,5,)</f>
        <v>91.035899999999998</v>
      </c>
      <c r="C297" s="67">
        <f t="shared" si="4"/>
        <v>-6.1387669190007266E-3</v>
      </c>
      <c r="D297" s="67">
        <f>(Table18[[#This Row],[Index]]-B285)/B285</f>
        <v>9.5055706059190438E-3</v>
      </c>
    </row>
    <row r="298" spans="1:4" x14ac:dyDescent="0.2">
      <c r="A298" s="17">
        <v>35156</v>
      </c>
      <c r="B298" s="59">
        <f>VLOOKUP(Table18[[#This Row],[Date]],database!A:G,5,)</f>
        <v>91.878299999999996</v>
      </c>
      <c r="C298" s="67">
        <f t="shared" si="4"/>
        <v>9.2534923035856309E-3</v>
      </c>
      <c r="D298" s="67">
        <f>(Table18[[#This Row],[Index]]-B286)/B286</f>
        <v>2.3841415307536966E-2</v>
      </c>
    </row>
    <row r="299" spans="1:4" x14ac:dyDescent="0.2">
      <c r="A299" s="17">
        <v>35186</v>
      </c>
      <c r="B299" s="59">
        <f>VLOOKUP(Table18[[#This Row],[Date]],database!A:G,5,)</f>
        <v>92.023399999999995</v>
      </c>
      <c r="C299" s="67">
        <f t="shared" si="4"/>
        <v>1.5792630033424349E-3</v>
      </c>
      <c r="D299" s="67">
        <f>(Table18[[#This Row],[Index]]-B287)/B287</f>
        <v>2.1831656067858991E-2</v>
      </c>
    </row>
    <row r="300" spans="1:4" x14ac:dyDescent="0.2">
      <c r="A300" s="17">
        <v>35217</v>
      </c>
      <c r="B300" s="59">
        <f>VLOOKUP(Table18[[#This Row],[Date]],database!A:G,5,)</f>
        <v>92.675399999999996</v>
      </c>
      <c r="C300" s="67">
        <f t="shared" si="4"/>
        <v>7.0851544281129719E-3</v>
      </c>
      <c r="D300" s="67">
        <f>(Table18[[#This Row],[Index]]-B288)/B288</f>
        <v>2.469994416280127E-2</v>
      </c>
    </row>
    <row r="301" spans="1:4" x14ac:dyDescent="0.2">
      <c r="A301" s="17">
        <v>35247</v>
      </c>
      <c r="B301" s="59">
        <f>VLOOKUP(Table18[[#This Row],[Date]],database!A:G,5,)</f>
        <v>92.180700000000002</v>
      </c>
      <c r="C301" s="67">
        <f t="shared" si="4"/>
        <v>-5.3379861322421229E-3</v>
      </c>
      <c r="D301" s="67">
        <f>(Table18[[#This Row],[Index]]-B289)/B289</f>
        <v>2.4835791823611352E-2</v>
      </c>
    </row>
    <row r="302" spans="1:4" x14ac:dyDescent="0.2">
      <c r="A302" s="17">
        <v>35278</v>
      </c>
      <c r="B302" s="59">
        <f>VLOOKUP(Table18[[#This Row],[Date]],database!A:G,5,)</f>
        <v>91.869299999999996</v>
      </c>
      <c r="C302" s="67">
        <f t="shared" si="4"/>
        <v>-3.3781474864045258E-3</v>
      </c>
      <c r="D302" s="67">
        <f>(Table18[[#This Row],[Index]]-B290)/B290</f>
        <v>6.0492636083790789E-3</v>
      </c>
    </row>
    <row r="303" spans="1:4" x14ac:dyDescent="0.2">
      <c r="A303" s="17">
        <v>35309</v>
      </c>
      <c r="B303" s="59">
        <f>VLOOKUP(Table18[[#This Row],[Date]],database!A:G,5,)</f>
        <v>92.817700000000002</v>
      </c>
      <c r="C303" s="67">
        <f t="shared" si="4"/>
        <v>1.0323361558213673E-2</v>
      </c>
      <c r="D303" s="67">
        <f>(Table18[[#This Row],[Index]]-B291)/B291</f>
        <v>1.4317952080430664E-2</v>
      </c>
    </row>
    <row r="304" spans="1:4" x14ac:dyDescent="0.2">
      <c r="A304" s="17">
        <v>35339</v>
      </c>
      <c r="B304" s="59">
        <f>VLOOKUP(Table18[[#This Row],[Date]],database!A:G,5,)</f>
        <v>92.305199999999999</v>
      </c>
      <c r="C304" s="67">
        <f t="shared" si="4"/>
        <v>-5.5215761648910178E-3</v>
      </c>
      <c r="D304" s="67">
        <f>(Table18[[#This Row],[Index]]-B292)/B292</f>
        <v>1.8029017155524619E-2</v>
      </c>
    </row>
    <row r="305" spans="1:4" x14ac:dyDescent="0.2">
      <c r="A305" s="17">
        <v>35370</v>
      </c>
      <c r="B305" s="59">
        <f>VLOOKUP(Table18[[#This Row],[Date]],database!A:G,5,)</f>
        <v>93.386200000000002</v>
      </c>
      <c r="C305" s="67">
        <f t="shared" si="4"/>
        <v>1.1711149534370691E-2</v>
      </c>
      <c r="D305" s="67">
        <f>(Table18[[#This Row],[Index]]-B293)/B293</f>
        <v>2.647916181197054E-2</v>
      </c>
    </row>
    <row r="306" spans="1:4" x14ac:dyDescent="0.2">
      <c r="A306" s="17">
        <v>35400</v>
      </c>
      <c r="B306" s="59">
        <f>VLOOKUP(Table18[[#This Row],[Date]],database!A:G,5,)</f>
        <v>93.607699999999994</v>
      </c>
      <c r="C306" s="67">
        <f t="shared" si="4"/>
        <v>2.3718707903308545E-3</v>
      </c>
      <c r="D306" s="67">
        <f>(Table18[[#This Row],[Index]]-B294)/B294</f>
        <v>2.5708540841428162E-2</v>
      </c>
    </row>
    <row r="307" spans="1:4" x14ac:dyDescent="0.2">
      <c r="A307" s="17">
        <v>35431</v>
      </c>
      <c r="B307" s="59">
        <f>VLOOKUP(Table18[[#This Row],[Date]],database!A:G,5,)</f>
        <v>93.382800000000003</v>
      </c>
      <c r="C307" s="67">
        <f t="shared" si="4"/>
        <v>-2.4025801296260196E-3</v>
      </c>
      <c r="D307" s="67">
        <f>(Table18[[#This Row],[Index]]-B295)/B295</f>
        <v>3.4882174583754422E-2</v>
      </c>
    </row>
    <row r="308" spans="1:4" x14ac:dyDescent="0.2">
      <c r="A308" s="17">
        <v>35462</v>
      </c>
      <c r="B308" s="59">
        <f>VLOOKUP(Table18[[#This Row],[Date]],database!A:G,5,)</f>
        <v>93.898799999999994</v>
      </c>
      <c r="C308" s="67">
        <f t="shared" si="4"/>
        <v>5.5256428378671618E-3</v>
      </c>
      <c r="D308" s="67">
        <f>(Table18[[#This Row],[Index]]-B296)/B296</f>
        <v>2.5116214074075566E-2</v>
      </c>
    </row>
    <row r="309" spans="1:4" x14ac:dyDescent="0.2">
      <c r="A309" s="17">
        <v>35490</v>
      </c>
      <c r="B309" s="59">
        <f>VLOOKUP(Table18[[#This Row],[Date]],database!A:G,5,)</f>
        <v>94.5642</v>
      </c>
      <c r="C309" s="67">
        <f t="shared" si="4"/>
        <v>7.0863525412465656E-3</v>
      </c>
      <c r="D309" s="67">
        <f>(Table18[[#This Row],[Index]]-B297)/B297</f>
        <v>3.8757237529370298E-2</v>
      </c>
    </row>
    <row r="310" spans="1:4" x14ac:dyDescent="0.2">
      <c r="A310" s="17">
        <v>35521</v>
      </c>
      <c r="B310" s="59">
        <f>VLOOKUP(Table18[[#This Row],[Date]],database!A:G,5,)</f>
        <v>93.620800000000003</v>
      </c>
      <c r="C310" s="67">
        <f t="shared" si="4"/>
        <v>-9.9762912391793135E-3</v>
      </c>
      <c r="D310" s="67">
        <f>(Table18[[#This Row],[Index]]-B298)/B298</f>
        <v>1.8965305191759173E-2</v>
      </c>
    </row>
    <row r="311" spans="1:4" x14ac:dyDescent="0.2">
      <c r="A311" s="17">
        <v>35551</v>
      </c>
      <c r="B311" s="59">
        <f>VLOOKUP(Table18[[#This Row],[Date]],database!A:G,5,)</f>
        <v>94.327100000000002</v>
      </c>
      <c r="C311" s="67">
        <f t="shared" si="4"/>
        <v>7.5442636679028396E-3</v>
      </c>
      <c r="D311" s="67">
        <f>(Table18[[#This Row],[Index]]-B299)/B299</f>
        <v>2.5033850085956467E-2</v>
      </c>
    </row>
    <row r="312" spans="1:4" x14ac:dyDescent="0.2">
      <c r="A312" s="17">
        <v>35582</v>
      </c>
      <c r="B312" s="59">
        <f>VLOOKUP(Table18[[#This Row],[Date]],database!A:G,5,)</f>
        <v>94.256</v>
      </c>
      <c r="C312" s="67">
        <f t="shared" si="4"/>
        <v>-7.5376005410954239E-4</v>
      </c>
      <c r="D312" s="67">
        <f>(Table18[[#This Row],[Index]]-B300)/B300</f>
        <v>1.705522716923805E-2</v>
      </c>
    </row>
    <row r="313" spans="1:4" x14ac:dyDescent="0.2">
      <c r="A313" s="17">
        <v>35612</v>
      </c>
      <c r="B313" s="59">
        <f>VLOOKUP(Table18[[#This Row],[Date]],database!A:G,5,)</f>
        <v>95.162599999999998</v>
      </c>
      <c r="C313" s="67">
        <f t="shared" si="4"/>
        <v>9.6184858258359096E-3</v>
      </c>
      <c r="D313" s="67">
        <f>(Table18[[#This Row],[Index]]-B301)/B301</f>
        <v>3.2348420005489174E-2</v>
      </c>
    </row>
    <row r="314" spans="1:4" x14ac:dyDescent="0.2">
      <c r="A314" s="17">
        <v>35643</v>
      </c>
      <c r="B314" s="59">
        <f>VLOOKUP(Table18[[#This Row],[Date]],database!A:G,5,)</f>
        <v>95.975099999999998</v>
      </c>
      <c r="C314" s="67">
        <f t="shared" si="4"/>
        <v>8.5380180869374378E-3</v>
      </c>
      <c r="D314" s="67">
        <f>(Table18[[#This Row],[Index]]-B302)/B302</f>
        <v>4.4691752304632799E-2</v>
      </c>
    </row>
    <row r="315" spans="1:4" x14ac:dyDescent="0.2">
      <c r="A315" s="17">
        <v>35674</v>
      </c>
      <c r="B315" s="59">
        <f>VLOOKUP(Table18[[#This Row],[Date]],database!A:G,5,)</f>
        <v>96.706999999999994</v>
      </c>
      <c r="C315" s="67">
        <f t="shared" si="4"/>
        <v>7.6259363105637412E-3</v>
      </c>
      <c r="D315" s="67">
        <f>(Table18[[#This Row],[Index]]-B303)/B303</f>
        <v>4.1902568152410495E-2</v>
      </c>
    </row>
    <row r="316" spans="1:4" x14ac:dyDescent="0.2">
      <c r="A316" s="17">
        <v>35704</v>
      </c>
      <c r="B316" s="59">
        <f>VLOOKUP(Table18[[#This Row],[Date]],database!A:G,5,)</f>
        <v>98.200599999999994</v>
      </c>
      <c r="C316" s="67">
        <f t="shared" si="4"/>
        <v>1.5444590360573773E-2</v>
      </c>
      <c r="D316" s="67">
        <f>(Table18[[#This Row],[Index]]-B304)/B304</f>
        <v>6.3868557784393459E-2</v>
      </c>
    </row>
    <row r="317" spans="1:4" x14ac:dyDescent="0.2">
      <c r="A317" s="17">
        <v>35735</v>
      </c>
      <c r="B317" s="59">
        <f>VLOOKUP(Table18[[#This Row],[Date]],database!A:G,5,)</f>
        <v>98.416700000000006</v>
      </c>
      <c r="C317" s="67">
        <f t="shared" si="4"/>
        <v>2.2005975523571308E-3</v>
      </c>
      <c r="D317" s="67">
        <f>(Table18[[#This Row],[Index]]-B305)/B305</f>
        <v>5.3867702080178909E-2</v>
      </c>
    </row>
    <row r="318" spans="1:4" x14ac:dyDescent="0.2">
      <c r="A318" s="17">
        <v>35765</v>
      </c>
      <c r="B318" s="59">
        <f>VLOOKUP(Table18[[#This Row],[Date]],database!A:G,5,)</f>
        <v>98.115399999999994</v>
      </c>
      <c r="C318" s="67">
        <f t="shared" si="4"/>
        <v>-3.0614722907800207E-3</v>
      </c>
      <c r="D318" s="67">
        <f>(Table18[[#This Row],[Index]]-B306)/B306</f>
        <v>4.8155226546534098E-2</v>
      </c>
    </row>
    <row r="319" spans="1:4" x14ac:dyDescent="0.2">
      <c r="A319" s="17">
        <v>35796</v>
      </c>
      <c r="B319" s="59">
        <f>VLOOKUP(Table18[[#This Row],[Date]],database!A:G,5,)</f>
        <v>98.555800000000005</v>
      </c>
      <c r="C319" s="67">
        <f t="shared" si="4"/>
        <v>4.4885920049249073E-3</v>
      </c>
      <c r="D319" s="67">
        <f>(Table18[[#This Row],[Index]]-B307)/B307</f>
        <v>5.5395640310635381E-2</v>
      </c>
    </row>
    <row r="320" spans="1:4" x14ac:dyDescent="0.2">
      <c r="A320" s="17">
        <v>35827</v>
      </c>
      <c r="B320" s="59">
        <f>VLOOKUP(Table18[[#This Row],[Date]],database!A:G,5,)</f>
        <v>98.426599999999993</v>
      </c>
      <c r="C320" s="67">
        <f t="shared" si="4"/>
        <v>-1.3109324869770012E-3</v>
      </c>
      <c r="D320" s="67">
        <f>(Table18[[#This Row],[Index]]-B308)/B308</f>
        <v>4.8219998551632177E-2</v>
      </c>
    </row>
    <row r="321" spans="1:4" x14ac:dyDescent="0.2">
      <c r="A321" s="17">
        <v>35855</v>
      </c>
      <c r="B321" s="59">
        <f>VLOOKUP(Table18[[#This Row],[Date]],database!A:G,5,)</f>
        <v>98.507900000000006</v>
      </c>
      <c r="C321" s="67">
        <f t="shared" si="4"/>
        <v>8.2599622459800237E-4</v>
      </c>
      <c r="D321" s="67">
        <f>(Table18[[#This Row],[Index]]-B309)/B309</f>
        <v>4.1703942929776881E-2</v>
      </c>
    </row>
    <row r="322" spans="1:4" x14ac:dyDescent="0.2">
      <c r="A322" s="17">
        <v>35886</v>
      </c>
      <c r="B322" s="59">
        <f>VLOOKUP(Table18[[#This Row],[Date]],database!A:G,5,)</f>
        <v>99.132400000000004</v>
      </c>
      <c r="C322" s="67">
        <f t="shared" si="4"/>
        <v>6.3395930681702239E-3</v>
      </c>
      <c r="D322" s="67">
        <f>(Table18[[#This Row],[Index]]-B310)/B310</f>
        <v>5.8871532821766118E-2</v>
      </c>
    </row>
    <row r="323" spans="1:4" x14ac:dyDescent="0.2">
      <c r="A323" s="17">
        <v>35916</v>
      </c>
      <c r="B323" s="59">
        <f>VLOOKUP(Table18[[#This Row],[Date]],database!A:G,5,)</f>
        <v>99.504999999999995</v>
      </c>
      <c r="C323" s="67">
        <f t="shared" si="4"/>
        <v>3.7586096977375583E-3</v>
      </c>
      <c r="D323" s="67">
        <f>(Table18[[#This Row],[Index]]-B311)/B311</f>
        <v>5.4893026500337588E-2</v>
      </c>
    </row>
    <row r="324" spans="1:4" x14ac:dyDescent="0.2">
      <c r="A324" s="17">
        <v>35947</v>
      </c>
      <c r="B324" s="59">
        <f>VLOOKUP(Table18[[#This Row],[Date]],database!A:G,5,)</f>
        <v>98.472399999999993</v>
      </c>
      <c r="C324" s="67">
        <f t="shared" si="4"/>
        <v>-1.0377367971458717E-2</v>
      </c>
      <c r="D324" s="67">
        <f>(Table18[[#This Row],[Index]]-B312)/B312</f>
        <v>4.4733491767102285E-2</v>
      </c>
    </row>
    <row r="325" spans="1:4" x14ac:dyDescent="0.2">
      <c r="A325" s="17">
        <v>35977</v>
      </c>
      <c r="B325" s="59">
        <f>VLOOKUP(Table18[[#This Row],[Date]],database!A:G,5,)</f>
        <v>97.5946</v>
      </c>
      <c r="C325" s="67">
        <f t="shared" si="4"/>
        <v>-8.9141729053012764E-3</v>
      </c>
      <c r="D325" s="67">
        <f>(Table18[[#This Row],[Index]]-B313)/B313</f>
        <v>2.5556258446070224E-2</v>
      </c>
    </row>
    <row r="326" spans="1:4" x14ac:dyDescent="0.2">
      <c r="A326" s="17">
        <v>36008</v>
      </c>
      <c r="B326" s="59">
        <f>VLOOKUP(Table18[[#This Row],[Date]],database!A:G,5,)</f>
        <v>100.3429</v>
      </c>
      <c r="C326" s="67">
        <f t="shared" si="4"/>
        <v>2.8160369528641871E-2</v>
      </c>
      <c r="D326" s="67">
        <f>(Table18[[#This Row],[Index]]-B314)/B314</f>
        <v>4.550972075048635E-2</v>
      </c>
    </row>
    <row r="327" spans="1:4" x14ac:dyDescent="0.2">
      <c r="A327" s="17">
        <v>36039</v>
      </c>
      <c r="B327" s="59">
        <f>VLOOKUP(Table18[[#This Row],[Date]],database!A:G,5,)</f>
        <v>99.647499999999994</v>
      </c>
      <c r="C327" s="67">
        <f t="shared" si="4"/>
        <v>-6.9302362200016621E-3</v>
      </c>
      <c r="D327" s="67">
        <f>(Table18[[#This Row],[Index]]-B315)/B315</f>
        <v>3.0406278759552052E-2</v>
      </c>
    </row>
    <row r="328" spans="1:4" x14ac:dyDescent="0.2">
      <c r="A328" s="17">
        <v>36069</v>
      </c>
      <c r="B328" s="59">
        <f>VLOOKUP(Table18[[#This Row],[Date]],database!A:G,5,)</f>
        <v>100.01139999999999</v>
      </c>
      <c r="C328" s="67">
        <f t="shared" ref="C328:C391" si="5">B328/B327-1</f>
        <v>3.6518728518026844E-3</v>
      </c>
      <c r="D328" s="67">
        <f>(Table18[[#This Row],[Index]]-B316)/B316</f>
        <v>1.8439805866766603E-2</v>
      </c>
    </row>
    <row r="329" spans="1:4" x14ac:dyDescent="0.2">
      <c r="A329" s="17">
        <v>36100</v>
      </c>
      <c r="B329" s="59">
        <f>VLOOKUP(Table18[[#This Row],[Date]],database!A:G,5,)</f>
        <v>99.335400000000007</v>
      </c>
      <c r="C329" s="67">
        <f t="shared" si="5"/>
        <v>-6.7592294478427961E-3</v>
      </c>
      <c r="D329" s="67">
        <f>(Table18[[#This Row],[Index]]-B317)/B317</f>
        <v>9.3347978544291894E-3</v>
      </c>
    </row>
    <row r="330" spans="1:4" x14ac:dyDescent="0.2">
      <c r="A330" s="17">
        <v>36130</v>
      </c>
      <c r="B330" s="59">
        <f>VLOOKUP(Table18[[#This Row],[Date]],database!A:G,5,)</f>
        <v>99.3904</v>
      </c>
      <c r="C330" s="67">
        <f t="shared" si="5"/>
        <v>5.5367975565601135E-4</v>
      </c>
      <c r="D330" s="67">
        <f>(Table18[[#This Row],[Index]]-B318)/B318</f>
        <v>1.299490192161481E-2</v>
      </c>
    </row>
    <row r="331" spans="1:4" x14ac:dyDescent="0.2">
      <c r="A331" s="17">
        <v>36161</v>
      </c>
      <c r="B331" s="59">
        <f>VLOOKUP(Table18[[#This Row],[Date]],database!A:G,5,)</f>
        <v>100.401</v>
      </c>
      <c r="C331" s="67">
        <f t="shared" si="5"/>
        <v>1.0167984030650778E-2</v>
      </c>
      <c r="D331" s="67">
        <f>(Table18[[#This Row],[Index]]-B319)/B319</f>
        <v>1.8722388738156365E-2</v>
      </c>
    </row>
    <row r="332" spans="1:4" x14ac:dyDescent="0.2">
      <c r="A332" s="17">
        <v>36192</v>
      </c>
      <c r="B332" s="59">
        <f>VLOOKUP(Table18[[#This Row],[Date]],database!A:G,5,)</f>
        <v>100.8216</v>
      </c>
      <c r="C332" s="67">
        <f t="shared" si="5"/>
        <v>4.1892013027760022E-3</v>
      </c>
      <c r="D332" s="67">
        <f>(Table18[[#This Row],[Index]]-B320)/B320</f>
        <v>2.4332853110846157E-2</v>
      </c>
    </row>
    <row r="333" spans="1:4" x14ac:dyDescent="0.2">
      <c r="A333" s="17">
        <v>36220</v>
      </c>
      <c r="B333" s="59">
        <f>VLOOKUP(Table18[[#This Row],[Date]],database!A:G,5,)</f>
        <v>100.6028</v>
      </c>
      <c r="C333" s="67">
        <f t="shared" si="5"/>
        <v>-2.1701698842311323E-3</v>
      </c>
      <c r="D333" s="67">
        <f>(Table18[[#This Row],[Index]]-B321)/B321</f>
        <v>2.1266314681360535E-2</v>
      </c>
    </row>
    <row r="334" spans="1:4" x14ac:dyDescent="0.2">
      <c r="A334" s="17">
        <v>36251</v>
      </c>
      <c r="B334" s="59">
        <f>VLOOKUP(Table18[[#This Row],[Date]],database!A:G,5,)</f>
        <v>100.4738</v>
      </c>
      <c r="C334" s="67">
        <f t="shared" si="5"/>
        <v>-1.2822704735853119E-3</v>
      </c>
      <c r="D334" s="67">
        <f>(Table18[[#This Row],[Index]]-B322)/B322</f>
        <v>1.353139841262789E-2</v>
      </c>
    </row>
    <row r="335" spans="1:4" x14ac:dyDescent="0.2">
      <c r="A335" s="17">
        <v>36281</v>
      </c>
      <c r="B335" s="59">
        <f>VLOOKUP(Table18[[#This Row],[Date]],database!A:G,5,)</f>
        <v>101.3797</v>
      </c>
      <c r="C335" s="67">
        <f t="shared" si="5"/>
        <v>9.0162808612792578E-3</v>
      </c>
      <c r="D335" s="67">
        <f>(Table18[[#This Row],[Index]]-B323)/B323</f>
        <v>1.8840259283453138E-2</v>
      </c>
    </row>
    <row r="336" spans="1:4" x14ac:dyDescent="0.2">
      <c r="A336" s="17">
        <v>36312</v>
      </c>
      <c r="B336" s="59">
        <f>VLOOKUP(Table18[[#This Row],[Date]],database!A:G,5,)</f>
        <v>100.4316</v>
      </c>
      <c r="C336" s="67">
        <f t="shared" si="5"/>
        <v>-9.3519708580711569E-3</v>
      </c>
      <c r="D336" s="67">
        <f>(Table18[[#This Row],[Index]]-B324)/B324</f>
        <v>1.9895930230196583E-2</v>
      </c>
    </row>
    <row r="337" spans="1:4" x14ac:dyDescent="0.2">
      <c r="A337" s="17">
        <v>36342</v>
      </c>
      <c r="B337" s="59">
        <f>VLOOKUP(Table18[[#This Row],[Date]],database!A:G,5,)</f>
        <v>100.06959999999999</v>
      </c>
      <c r="C337" s="67">
        <f t="shared" si="5"/>
        <v>-3.604443223049425E-3</v>
      </c>
      <c r="D337" s="67">
        <f>(Table18[[#This Row],[Index]]-B325)/B325</f>
        <v>2.5360009672666259E-2</v>
      </c>
    </row>
    <row r="338" spans="1:4" x14ac:dyDescent="0.2">
      <c r="A338" s="17">
        <v>36373</v>
      </c>
      <c r="B338" s="59">
        <f>VLOOKUP(Table18[[#This Row],[Date]],database!A:G,5,)</f>
        <v>101.3493</v>
      </c>
      <c r="C338" s="67">
        <f t="shared" si="5"/>
        <v>1.2788099482760051E-2</v>
      </c>
      <c r="D338" s="67">
        <f>(Table18[[#This Row],[Index]]-B326)/B326</f>
        <v>1.0029608472547627E-2</v>
      </c>
    </row>
    <row r="339" spans="1:4" x14ac:dyDescent="0.2">
      <c r="A339" s="17">
        <v>36404</v>
      </c>
      <c r="B339" s="59">
        <f>VLOOKUP(Table18[[#This Row],[Date]],database!A:G,5,)</f>
        <v>100.55759999999999</v>
      </c>
      <c r="C339" s="67">
        <f t="shared" si="5"/>
        <v>-7.8115981067456985E-3</v>
      </c>
      <c r="D339" s="67">
        <f>(Table18[[#This Row],[Index]]-B327)/B327</f>
        <v>9.1331945106500403E-3</v>
      </c>
    </row>
    <row r="340" spans="1:4" x14ac:dyDescent="0.2">
      <c r="A340" s="17">
        <v>36434</v>
      </c>
      <c r="B340" s="59">
        <f>VLOOKUP(Table18[[#This Row],[Date]],database!A:G,5,)</f>
        <v>102.5164</v>
      </c>
      <c r="C340" s="67">
        <f t="shared" si="5"/>
        <v>1.9479382960611691E-2</v>
      </c>
      <c r="D340" s="67">
        <f>(Table18[[#This Row],[Index]]-B328)/B328</f>
        <v>2.5047144625512791E-2</v>
      </c>
    </row>
    <row r="341" spans="1:4" x14ac:dyDescent="0.2">
      <c r="A341" s="17">
        <v>36465</v>
      </c>
      <c r="B341" s="59">
        <f>VLOOKUP(Table18[[#This Row],[Date]],database!A:G,5,)</f>
        <v>102.4432</v>
      </c>
      <c r="C341" s="67">
        <f t="shared" si="5"/>
        <v>-7.1403209632803222E-4</v>
      </c>
      <c r="D341" s="67">
        <f>(Table18[[#This Row],[Index]]-B329)/B329</f>
        <v>3.1285926265963569E-2</v>
      </c>
    </row>
    <row r="342" spans="1:4" x14ac:dyDescent="0.2">
      <c r="A342" s="17">
        <v>36495</v>
      </c>
      <c r="B342" s="59">
        <f>VLOOKUP(Table18[[#This Row],[Date]],database!A:G,5,)</f>
        <v>103.5578</v>
      </c>
      <c r="C342" s="67">
        <f t="shared" si="5"/>
        <v>1.0880175550939342E-2</v>
      </c>
      <c r="D342" s="67">
        <f>(Table18[[#This Row],[Index]]-B330)/B330</f>
        <v>4.1929602859028643E-2</v>
      </c>
    </row>
    <row r="343" spans="1:4" x14ac:dyDescent="0.2">
      <c r="A343" s="17">
        <v>36526</v>
      </c>
      <c r="B343" s="59">
        <f>VLOOKUP(Table18[[#This Row],[Date]],database!A:G,5,)</f>
        <v>102.2092</v>
      </c>
      <c r="C343" s="67">
        <f t="shared" si="5"/>
        <v>-1.3022679122190794E-2</v>
      </c>
      <c r="D343" s="67">
        <f>(Table18[[#This Row],[Index]]-B331)/B331</f>
        <v>1.8009780779075901E-2</v>
      </c>
    </row>
    <row r="344" spans="1:4" x14ac:dyDescent="0.2">
      <c r="A344" s="17">
        <v>36557</v>
      </c>
      <c r="B344" s="59">
        <f>VLOOKUP(Table18[[#This Row],[Date]],database!A:G,5,)</f>
        <v>102.97499999999999</v>
      </c>
      <c r="C344" s="67">
        <f t="shared" si="5"/>
        <v>7.4924762154482405E-3</v>
      </c>
      <c r="D344" s="67">
        <f>(Table18[[#This Row],[Index]]-B332)/B332</f>
        <v>2.1358518412720989E-2</v>
      </c>
    </row>
    <row r="345" spans="1:4" x14ac:dyDescent="0.2">
      <c r="A345" s="17">
        <v>36586</v>
      </c>
      <c r="B345" s="59">
        <f>VLOOKUP(Table18[[#This Row],[Date]],database!A:G,5,)</f>
        <v>102.5934</v>
      </c>
      <c r="C345" s="67">
        <f t="shared" si="5"/>
        <v>-3.7057538237434962E-3</v>
      </c>
      <c r="D345" s="67">
        <f>(Table18[[#This Row],[Index]]-B333)/B333</f>
        <v>1.9786725617974853E-2</v>
      </c>
    </row>
    <row r="346" spans="1:4" x14ac:dyDescent="0.2">
      <c r="A346" s="17">
        <v>36617</v>
      </c>
      <c r="B346" s="59">
        <f>VLOOKUP(Table18[[#This Row],[Date]],database!A:G,5,)</f>
        <v>103.45489999999999</v>
      </c>
      <c r="C346" s="67">
        <f t="shared" si="5"/>
        <v>8.3972263322980023E-3</v>
      </c>
      <c r="D346" s="67">
        <f>(Table18[[#This Row],[Index]]-B334)/B334</f>
        <v>2.9670421542730523E-2</v>
      </c>
    </row>
    <row r="347" spans="1:4" x14ac:dyDescent="0.2">
      <c r="A347" s="17">
        <v>36647</v>
      </c>
      <c r="B347" s="59">
        <f>VLOOKUP(Table18[[#This Row],[Date]],database!A:G,5,)</f>
        <v>103.6429</v>
      </c>
      <c r="C347" s="67">
        <f t="shared" si="5"/>
        <v>1.8172169708732255E-3</v>
      </c>
      <c r="D347" s="67">
        <f>(Table18[[#This Row],[Index]]-B335)/B335</f>
        <v>2.2323995829539815E-2</v>
      </c>
    </row>
    <row r="348" spans="1:4" x14ac:dyDescent="0.2">
      <c r="A348" s="17">
        <v>36678</v>
      </c>
      <c r="B348" s="59">
        <f>VLOOKUP(Table18[[#This Row],[Date]],database!A:G,5,)</f>
        <v>103.727</v>
      </c>
      <c r="C348" s="67">
        <f t="shared" si="5"/>
        <v>8.114400504040109E-4</v>
      </c>
      <c r="D348" s="67">
        <f>(Table18[[#This Row],[Index]]-B336)/B336</f>
        <v>3.2812381760322452E-2</v>
      </c>
    </row>
    <row r="349" spans="1:4" x14ac:dyDescent="0.2">
      <c r="A349" s="17">
        <v>36708</v>
      </c>
      <c r="B349" s="59">
        <f>VLOOKUP(Table18[[#This Row],[Date]],database!A:G,5,)</f>
        <v>103.2899</v>
      </c>
      <c r="C349" s="67">
        <f t="shared" si="5"/>
        <v>-4.2139462242232195E-3</v>
      </c>
      <c r="D349" s="67">
        <f>(Table18[[#This Row],[Index]]-B337)/B337</f>
        <v>3.2180602300798736E-2</v>
      </c>
    </row>
    <row r="350" spans="1:4" x14ac:dyDescent="0.2">
      <c r="A350" s="17">
        <v>36739</v>
      </c>
      <c r="B350" s="59">
        <f>VLOOKUP(Table18[[#This Row],[Date]],database!A:G,5,)</f>
        <v>102.7901</v>
      </c>
      <c r="C350" s="67">
        <f t="shared" si="5"/>
        <v>-4.8388080538368516E-3</v>
      </c>
      <c r="D350" s="67">
        <f>(Table18[[#This Row],[Index]]-B338)/B338</f>
        <v>1.4216181068838126E-2</v>
      </c>
    </row>
    <row r="351" spans="1:4" x14ac:dyDescent="0.2">
      <c r="A351" s="17">
        <v>36770</v>
      </c>
      <c r="B351" s="59">
        <f>VLOOKUP(Table18[[#This Row],[Date]],database!A:G,5,)</f>
        <v>103.7769</v>
      </c>
      <c r="C351" s="67">
        <f t="shared" si="5"/>
        <v>9.6001463175927615E-3</v>
      </c>
      <c r="D351" s="67">
        <f>(Table18[[#This Row],[Index]]-B339)/B339</f>
        <v>3.201448721926542E-2</v>
      </c>
    </row>
    <row r="352" spans="1:4" x14ac:dyDescent="0.2">
      <c r="A352" s="17">
        <v>36800</v>
      </c>
      <c r="B352" s="59">
        <f>VLOOKUP(Table18[[#This Row],[Date]],database!A:G,5,)</f>
        <v>102.6825</v>
      </c>
      <c r="C352" s="67">
        <f t="shared" si="5"/>
        <v>-1.0545699476472992E-2</v>
      </c>
      <c r="D352" s="67">
        <f>(Table18[[#This Row],[Index]]-B340)/B340</f>
        <v>1.6202285683071208E-3</v>
      </c>
    </row>
    <row r="353" spans="1:4" x14ac:dyDescent="0.2">
      <c r="A353" s="17">
        <v>36831</v>
      </c>
      <c r="B353" s="59">
        <f>VLOOKUP(Table18[[#This Row],[Date]],database!A:G,5,)</f>
        <v>102.9923</v>
      </c>
      <c r="C353" s="67">
        <f t="shared" si="5"/>
        <v>3.0170671730820331E-3</v>
      </c>
      <c r="D353" s="67">
        <f>(Table18[[#This Row],[Index]]-B341)/B341</f>
        <v>5.36004341918249E-3</v>
      </c>
    </row>
    <row r="354" spans="1:4" x14ac:dyDescent="0.2">
      <c r="A354" s="17">
        <v>36861</v>
      </c>
      <c r="B354" s="59">
        <f>VLOOKUP(Table18[[#This Row],[Date]],database!A:G,5,)</f>
        <v>103.5509</v>
      </c>
      <c r="C354" s="67">
        <f t="shared" si="5"/>
        <v>5.4237064324225148E-3</v>
      </c>
      <c r="D354" s="67">
        <f>(Table18[[#This Row],[Index]]-B342)/B342</f>
        <v>-6.6629457172725595E-5</v>
      </c>
    </row>
    <row r="355" spans="1:4" x14ac:dyDescent="0.2">
      <c r="A355" s="17">
        <v>36892</v>
      </c>
      <c r="B355" s="59">
        <f>VLOOKUP(Table18[[#This Row],[Date]],database!A:G,5,)</f>
        <v>102.68300000000001</v>
      </c>
      <c r="C355" s="67">
        <f t="shared" si="5"/>
        <v>-8.3813853863171639E-3</v>
      </c>
      <c r="D355" s="67">
        <f>(Table18[[#This Row],[Index]]-B343)/B343</f>
        <v>4.6355905339246503E-3</v>
      </c>
    </row>
    <row r="356" spans="1:4" x14ac:dyDescent="0.2">
      <c r="A356" s="17">
        <v>36923</v>
      </c>
      <c r="B356" s="59">
        <f>VLOOKUP(Table18[[#This Row],[Date]],database!A:G,5,)</f>
        <v>102.03270000000001</v>
      </c>
      <c r="C356" s="67">
        <f t="shared" si="5"/>
        <v>-6.3330833730997904E-3</v>
      </c>
      <c r="D356" s="67">
        <f>(Table18[[#This Row],[Index]]-B344)/B344</f>
        <v>-9.1507647487253114E-3</v>
      </c>
    </row>
    <row r="357" spans="1:4" x14ac:dyDescent="0.2">
      <c r="A357" s="17">
        <v>36951</v>
      </c>
      <c r="B357" s="59">
        <f>VLOOKUP(Table18[[#This Row],[Date]],database!A:G,5,)</f>
        <v>101.9992</v>
      </c>
      <c r="C357" s="67">
        <f t="shared" si="5"/>
        <v>-3.2832611505917431E-4</v>
      </c>
      <c r="D357" s="67">
        <f>(Table18[[#This Row],[Index]]-B345)/B345</f>
        <v>-5.7917955735944096E-3</v>
      </c>
    </row>
    <row r="358" spans="1:4" x14ac:dyDescent="0.2">
      <c r="A358" s="17">
        <v>36982</v>
      </c>
      <c r="B358" s="59">
        <f>VLOOKUP(Table18[[#This Row],[Date]],database!A:G,5,)</f>
        <v>102.3592</v>
      </c>
      <c r="C358" s="67">
        <f t="shared" si="5"/>
        <v>3.5294394465839041E-3</v>
      </c>
      <c r="D358" s="67">
        <f>(Table18[[#This Row],[Index]]-B346)/B346</f>
        <v>-1.0591088483967349E-2</v>
      </c>
    </row>
    <row r="359" spans="1:4" x14ac:dyDescent="0.2">
      <c r="A359" s="17">
        <v>37012</v>
      </c>
      <c r="B359" s="59">
        <f>VLOOKUP(Table18[[#This Row],[Date]],database!A:G,5,)</f>
        <v>102.35939999999999</v>
      </c>
      <c r="C359" s="67">
        <f t="shared" si="5"/>
        <v>1.9539035083226963E-6</v>
      </c>
      <c r="D359" s="67">
        <f>(Table18[[#This Row],[Index]]-B347)/B347</f>
        <v>-1.2383868070075264E-2</v>
      </c>
    </row>
    <row r="360" spans="1:4" x14ac:dyDescent="0.2">
      <c r="A360" s="17">
        <v>37043</v>
      </c>
      <c r="B360" s="59">
        <f>VLOOKUP(Table18[[#This Row],[Date]],database!A:G,5,)</f>
        <v>102.3794</v>
      </c>
      <c r="C360" s="67">
        <f t="shared" si="5"/>
        <v>1.9538996906987016E-4</v>
      </c>
      <c r="D360" s="67">
        <f>(Table18[[#This Row],[Index]]-B348)/B348</f>
        <v>-1.2991795771592738E-2</v>
      </c>
    </row>
    <row r="361" spans="1:4" x14ac:dyDescent="0.2">
      <c r="A361" s="17">
        <v>37073</v>
      </c>
      <c r="B361" s="59">
        <f>VLOOKUP(Table18[[#This Row],[Date]],database!A:G,5,)</f>
        <v>101.869</v>
      </c>
      <c r="C361" s="67">
        <f t="shared" si="5"/>
        <v>-4.9853779178233859E-3</v>
      </c>
      <c r="D361" s="67">
        <f>(Table18[[#This Row],[Index]]-B349)/B349</f>
        <v>-1.3756427298312838E-2</v>
      </c>
    </row>
    <row r="362" spans="1:4" x14ac:dyDescent="0.2">
      <c r="A362" s="17">
        <v>37104</v>
      </c>
      <c r="B362" s="59">
        <f>VLOOKUP(Table18[[#This Row],[Date]],database!A:G,5,)</f>
        <v>102.078</v>
      </c>
      <c r="C362" s="67">
        <f t="shared" si="5"/>
        <v>2.0516545759750038E-3</v>
      </c>
      <c r="D362" s="67">
        <f>(Table18[[#This Row],[Index]]-B350)/B350</f>
        <v>-6.9277099642863701E-3</v>
      </c>
    </row>
    <row r="363" spans="1:4" x14ac:dyDescent="0.2">
      <c r="A363" s="17">
        <v>37135</v>
      </c>
      <c r="B363" s="59">
        <f>VLOOKUP(Table18[[#This Row],[Date]],database!A:G,5,)</f>
        <v>101.5252</v>
      </c>
      <c r="C363" s="67">
        <f t="shared" si="5"/>
        <v>-5.415466603969521E-3</v>
      </c>
      <c r="D363" s="67">
        <f>(Table18[[#This Row],[Index]]-B351)/B351</f>
        <v>-2.1697506863280747E-2</v>
      </c>
    </row>
    <row r="364" spans="1:4" x14ac:dyDescent="0.2">
      <c r="A364" s="17">
        <v>37165</v>
      </c>
      <c r="B364" s="59">
        <f>VLOOKUP(Table18[[#This Row],[Date]],database!A:G,5,)</f>
        <v>102.05159999999999</v>
      </c>
      <c r="C364" s="67">
        <f t="shared" si="5"/>
        <v>5.1849196061666269E-3</v>
      </c>
      <c r="D364" s="67">
        <f>(Table18[[#This Row],[Index]]-B352)/B352</f>
        <v>-6.1441823095465253E-3</v>
      </c>
    </row>
    <row r="365" spans="1:4" x14ac:dyDescent="0.2">
      <c r="A365" s="17">
        <v>37196</v>
      </c>
      <c r="B365" s="59">
        <f>VLOOKUP(Table18[[#This Row],[Date]],database!A:G,5,)</f>
        <v>101.9045</v>
      </c>
      <c r="C365" s="67">
        <f t="shared" si="5"/>
        <v>-1.4414276699238338E-3</v>
      </c>
      <c r="D365" s="67">
        <f>(Table18[[#This Row],[Index]]-B353)/B353</f>
        <v>-1.056195463155985E-2</v>
      </c>
    </row>
    <row r="366" spans="1:4" x14ac:dyDescent="0.2">
      <c r="A366" s="17">
        <v>37226</v>
      </c>
      <c r="B366" s="59">
        <f>VLOOKUP(Table18[[#This Row],[Date]],database!A:G,5,)</f>
        <v>102.4789</v>
      </c>
      <c r="C366" s="67">
        <f t="shared" si="5"/>
        <v>5.6366500007358766E-3</v>
      </c>
      <c r="D366" s="67">
        <f>(Table18[[#This Row],[Index]]-B354)/B354</f>
        <v>-1.0352396744016737E-2</v>
      </c>
    </row>
    <row r="367" spans="1:4" x14ac:dyDescent="0.2">
      <c r="A367" s="17">
        <v>37257</v>
      </c>
      <c r="B367" s="59">
        <f>VLOOKUP(Table18[[#This Row],[Date]],database!A:G,5,)</f>
        <v>103.5265</v>
      </c>
      <c r="C367" s="67">
        <f t="shared" si="5"/>
        <v>1.0222592162874466E-2</v>
      </c>
      <c r="D367" s="67">
        <f>(Table18[[#This Row],[Index]]-B355)/B355</f>
        <v>8.2146022223736313E-3</v>
      </c>
    </row>
    <row r="368" spans="1:4" x14ac:dyDescent="0.2">
      <c r="A368" s="17">
        <v>37288</v>
      </c>
      <c r="B368" s="59">
        <f>VLOOKUP(Table18[[#This Row],[Date]],database!A:G,5,)</f>
        <v>102.8599</v>
      </c>
      <c r="C368" s="67">
        <f t="shared" si="5"/>
        <v>-6.4389310949370948E-3</v>
      </c>
      <c r="D368" s="67">
        <f>(Table18[[#This Row],[Index]]-B356)/B356</f>
        <v>8.1072048470734442E-3</v>
      </c>
    </row>
    <row r="369" spans="1:4" x14ac:dyDescent="0.2">
      <c r="A369" s="17">
        <v>37316</v>
      </c>
      <c r="B369" s="59">
        <f>VLOOKUP(Table18[[#This Row],[Date]],database!A:G,5,)</f>
        <v>103.70610000000001</v>
      </c>
      <c r="C369" s="67">
        <f t="shared" si="5"/>
        <v>8.2267239225393141E-3</v>
      </c>
      <c r="D369" s="67">
        <f>(Table18[[#This Row],[Index]]-B357)/B357</f>
        <v>1.673444497603907E-2</v>
      </c>
    </row>
    <row r="370" spans="1:4" x14ac:dyDescent="0.2">
      <c r="A370" s="17">
        <v>37347</v>
      </c>
      <c r="B370" s="59">
        <f>VLOOKUP(Table18[[#This Row],[Date]],database!A:G,5,)</f>
        <v>103.5998</v>
      </c>
      <c r="C370" s="67">
        <f t="shared" si="5"/>
        <v>-1.0250120291863674E-3</v>
      </c>
      <c r="D370" s="67">
        <f>(Table18[[#This Row],[Index]]-B358)/B358</f>
        <v>1.2120063462785959E-2</v>
      </c>
    </row>
    <row r="371" spans="1:4" x14ac:dyDescent="0.2">
      <c r="A371" s="17">
        <v>37377</v>
      </c>
      <c r="B371" s="59">
        <f>VLOOKUP(Table18[[#This Row],[Date]],database!A:G,5,)</f>
        <v>103.9622</v>
      </c>
      <c r="C371" s="67">
        <f t="shared" si="5"/>
        <v>3.4980762511123142E-3</v>
      </c>
      <c r="D371" s="67">
        <f>(Table18[[#This Row],[Index]]-B359)/B359</f>
        <v>1.565855212125122E-2</v>
      </c>
    </row>
    <row r="372" spans="1:4" x14ac:dyDescent="0.2">
      <c r="A372" s="17">
        <v>37408</v>
      </c>
      <c r="B372" s="59">
        <f>VLOOKUP(Table18[[#This Row],[Date]],database!A:G,5,)</f>
        <v>105.039</v>
      </c>
      <c r="C372" s="67">
        <f t="shared" si="5"/>
        <v>1.0357610746983159E-2</v>
      </c>
      <c r="D372" s="67">
        <f>(Table18[[#This Row],[Index]]-B360)/B360</f>
        <v>2.5977882269284616E-2</v>
      </c>
    </row>
    <row r="373" spans="1:4" x14ac:dyDescent="0.2">
      <c r="A373" s="17">
        <v>37438</v>
      </c>
      <c r="B373" s="59">
        <f>VLOOKUP(Table18[[#This Row],[Date]],database!A:G,5,)</f>
        <v>105.11190000000001</v>
      </c>
      <c r="C373" s="67">
        <f t="shared" si="5"/>
        <v>6.9402793248229955E-4</v>
      </c>
      <c r="D373" s="67">
        <f>(Table18[[#This Row],[Index]]-B361)/B361</f>
        <v>3.1834022126456585E-2</v>
      </c>
    </row>
    <row r="374" spans="1:4" x14ac:dyDescent="0.2">
      <c r="A374" s="17">
        <v>37469</v>
      </c>
      <c r="B374" s="59">
        <f>VLOOKUP(Table18[[#This Row],[Date]],database!A:G,5,)</f>
        <v>104.3943</v>
      </c>
      <c r="C374" s="67">
        <f t="shared" si="5"/>
        <v>-6.827010072123163E-3</v>
      </c>
      <c r="D374" s="67">
        <f>(Table18[[#This Row],[Index]]-B362)/B362</f>
        <v>2.2691471227884542E-2</v>
      </c>
    </row>
    <row r="375" spans="1:4" x14ac:dyDescent="0.2">
      <c r="A375" s="17">
        <v>37500</v>
      </c>
      <c r="B375" s="59">
        <f>VLOOKUP(Table18[[#This Row],[Date]],database!A:G,5,)</f>
        <v>104.5303</v>
      </c>
      <c r="C375" s="67">
        <f t="shared" si="5"/>
        <v>1.3027531196625475E-3</v>
      </c>
      <c r="D375" s="67">
        <f>(Table18[[#This Row],[Index]]-B363)/B363</f>
        <v>2.959954769850243E-2</v>
      </c>
    </row>
    <row r="376" spans="1:4" x14ac:dyDescent="0.2">
      <c r="A376" s="17">
        <v>37530</v>
      </c>
      <c r="B376" s="59">
        <f>VLOOKUP(Table18[[#This Row],[Date]],database!A:G,5,)</f>
        <v>104.374</v>
      </c>
      <c r="C376" s="67">
        <f t="shared" si="5"/>
        <v>-1.4952602259823422E-3</v>
      </c>
      <c r="D376" s="67">
        <f>(Table18[[#This Row],[Index]]-B364)/B364</f>
        <v>2.2757115028083853E-2</v>
      </c>
    </row>
    <row r="377" spans="1:4" x14ac:dyDescent="0.2">
      <c r="A377" s="17">
        <v>37561</v>
      </c>
      <c r="B377" s="59">
        <f>VLOOKUP(Table18[[#This Row],[Date]],database!A:G,5,)</f>
        <v>105.1564</v>
      </c>
      <c r="C377" s="67">
        <f t="shared" si="5"/>
        <v>7.4961197233027743E-3</v>
      </c>
      <c r="D377" s="67">
        <f>(Table18[[#This Row],[Index]]-B365)/B365</f>
        <v>3.1911250239194604E-2</v>
      </c>
    </row>
    <row r="378" spans="1:4" x14ac:dyDescent="0.2">
      <c r="A378" s="17">
        <v>37591</v>
      </c>
      <c r="B378" s="59">
        <f>VLOOKUP(Table18[[#This Row],[Date]],database!A:G,5,)</f>
        <v>104.2045</v>
      </c>
      <c r="C378" s="67">
        <f t="shared" si="5"/>
        <v>-9.0522307724495432E-3</v>
      </c>
      <c r="D378" s="67">
        <f>(Table18[[#This Row],[Index]]-B366)/B366</f>
        <v>1.683858823621253E-2</v>
      </c>
    </row>
    <row r="379" spans="1:4" x14ac:dyDescent="0.2">
      <c r="A379" s="17">
        <v>37622</v>
      </c>
      <c r="B379" s="59">
        <f>VLOOKUP(Table18[[#This Row],[Date]],database!A:G,5,)</f>
        <v>105.50230000000001</v>
      </c>
      <c r="C379" s="67">
        <f t="shared" si="5"/>
        <v>1.2454356577691117E-2</v>
      </c>
      <c r="D379" s="67">
        <f>(Table18[[#This Row],[Index]]-B367)/B367</f>
        <v>1.9084968582923276E-2</v>
      </c>
    </row>
    <row r="380" spans="1:4" x14ac:dyDescent="0.2">
      <c r="A380" s="17">
        <v>37653</v>
      </c>
      <c r="B380" s="59">
        <f>VLOOKUP(Table18[[#This Row],[Date]],database!A:G,5,)</f>
        <v>105.9067</v>
      </c>
      <c r="C380" s="67">
        <f t="shared" si="5"/>
        <v>3.8330917904159101E-3</v>
      </c>
      <c r="D380" s="67">
        <f>(Table18[[#This Row],[Index]]-B368)/B368</f>
        <v>2.9620872662718949E-2</v>
      </c>
    </row>
    <row r="381" spans="1:4" x14ac:dyDescent="0.2">
      <c r="A381" s="17">
        <v>37681</v>
      </c>
      <c r="B381" s="59">
        <f>VLOOKUP(Table18[[#This Row],[Date]],database!A:G,5,)</f>
        <v>105.8917</v>
      </c>
      <c r="C381" s="67">
        <f t="shared" si="5"/>
        <v>-1.4163409869250021E-4</v>
      </c>
      <c r="D381" s="67">
        <f>(Table18[[#This Row],[Index]]-B369)/B369</f>
        <v>2.1074941589742491E-2</v>
      </c>
    </row>
    <row r="382" spans="1:4" x14ac:dyDescent="0.2">
      <c r="A382" s="17">
        <v>37712</v>
      </c>
      <c r="B382" s="59">
        <f>VLOOKUP(Table18[[#This Row],[Date]],database!A:G,5,)</f>
        <v>105.06010000000001</v>
      </c>
      <c r="C382" s="67">
        <f t="shared" si="5"/>
        <v>-7.8533067275338153E-3</v>
      </c>
      <c r="D382" s="67">
        <f>(Table18[[#This Row],[Index]]-B370)/B370</f>
        <v>1.4095587057117906E-2</v>
      </c>
    </row>
    <row r="383" spans="1:4" x14ac:dyDescent="0.2">
      <c r="A383" s="17">
        <v>37742</v>
      </c>
      <c r="B383" s="59">
        <f>VLOOKUP(Table18[[#This Row],[Date]],database!A:G,5,)</f>
        <v>104.768</v>
      </c>
      <c r="C383" s="67">
        <f t="shared" si="5"/>
        <v>-2.7803133634939359E-3</v>
      </c>
      <c r="D383" s="67">
        <f>(Table18[[#This Row],[Index]]-B371)/B371</f>
        <v>7.7508940749619094E-3</v>
      </c>
    </row>
    <row r="384" spans="1:4" x14ac:dyDescent="0.2">
      <c r="A384" s="17">
        <v>37773</v>
      </c>
      <c r="B384" s="59">
        <f>VLOOKUP(Table18[[#This Row],[Date]],database!A:G,5,)</f>
        <v>104.9701</v>
      </c>
      <c r="C384" s="67">
        <f t="shared" si="5"/>
        <v>1.9290241295051302E-3</v>
      </c>
      <c r="D384" s="67">
        <f>(Table18[[#This Row],[Index]]-B372)/B372</f>
        <v>-6.5594683879320343E-4</v>
      </c>
    </row>
    <row r="385" spans="1:4" x14ac:dyDescent="0.2">
      <c r="A385" s="17">
        <v>37803</v>
      </c>
      <c r="B385" s="59">
        <f>VLOOKUP(Table18[[#This Row],[Date]],database!A:G,5,)</f>
        <v>106.021</v>
      </c>
      <c r="C385" s="67">
        <f t="shared" si="5"/>
        <v>1.001142230025498E-2</v>
      </c>
      <c r="D385" s="67">
        <f>(Table18[[#This Row],[Index]]-B373)/B373</f>
        <v>8.6488780052495964E-3</v>
      </c>
    </row>
    <row r="386" spans="1:4" x14ac:dyDescent="0.2">
      <c r="A386" s="17">
        <v>37834</v>
      </c>
      <c r="B386" s="59">
        <f>VLOOKUP(Table18[[#This Row],[Date]],database!A:G,5,)</f>
        <v>105.12690000000001</v>
      </c>
      <c r="C386" s="67">
        <f t="shared" si="5"/>
        <v>-8.4332349251562411E-3</v>
      </c>
      <c r="D386" s="67">
        <f>(Table18[[#This Row],[Index]]-B374)/B374</f>
        <v>7.0176245254770135E-3</v>
      </c>
    </row>
    <row r="387" spans="1:4" x14ac:dyDescent="0.2">
      <c r="A387" s="17">
        <v>37865</v>
      </c>
      <c r="B387" s="59">
        <f>VLOOKUP(Table18[[#This Row],[Date]],database!A:G,5,)</f>
        <v>106.0009</v>
      </c>
      <c r="C387" s="67">
        <f t="shared" si="5"/>
        <v>8.3137617488957538E-3</v>
      </c>
      <c r="D387" s="67">
        <f>(Table18[[#This Row],[Index]]-B375)/B375</f>
        <v>1.406864803793737E-2</v>
      </c>
    </row>
    <row r="388" spans="1:4" x14ac:dyDescent="0.2">
      <c r="A388" s="17">
        <v>37895</v>
      </c>
      <c r="B388" s="59">
        <f>VLOOKUP(Table18[[#This Row],[Date]],database!A:G,5,)</f>
        <v>105.3013</v>
      </c>
      <c r="C388" s="67">
        <f t="shared" si="5"/>
        <v>-6.5999439627399958E-3</v>
      </c>
      <c r="D388" s="67">
        <f>(Table18[[#This Row],[Index]]-B376)/B376</f>
        <v>8.884396497211974E-3</v>
      </c>
    </row>
    <row r="389" spans="1:4" x14ac:dyDescent="0.2">
      <c r="A389" s="17">
        <v>37926</v>
      </c>
      <c r="B389" s="59">
        <f>VLOOKUP(Table18[[#This Row],[Date]],database!A:G,5,)</f>
        <v>105.99550000000001</v>
      </c>
      <c r="C389" s="67">
        <f t="shared" si="5"/>
        <v>6.5925112035654099E-3</v>
      </c>
      <c r="D389" s="67">
        <f>(Table18[[#This Row],[Index]]-B377)/B377</f>
        <v>7.9795428523608825E-3</v>
      </c>
    </row>
    <row r="390" spans="1:4" x14ac:dyDescent="0.2">
      <c r="A390" s="17">
        <v>37956</v>
      </c>
      <c r="B390" s="59">
        <f>VLOOKUP(Table18[[#This Row],[Date]],database!A:G,5,)</f>
        <v>106.17910000000001</v>
      </c>
      <c r="C390" s="67">
        <f t="shared" si="5"/>
        <v>1.7321490063257894E-3</v>
      </c>
      <c r="D390" s="67">
        <f>(Table18[[#This Row],[Index]]-B378)/B378</f>
        <v>1.8949277622367647E-2</v>
      </c>
    </row>
    <row r="391" spans="1:4" x14ac:dyDescent="0.2">
      <c r="A391" s="17">
        <v>37987</v>
      </c>
      <c r="B391" s="59">
        <f>VLOOKUP(Table18[[#This Row],[Date]],database!A:G,5,)</f>
        <v>106.5091</v>
      </c>
      <c r="C391" s="67">
        <f t="shared" si="5"/>
        <v>3.1079562738807187E-3</v>
      </c>
      <c r="D391" s="67">
        <f>(Table18[[#This Row],[Index]]-B379)/B379</f>
        <v>9.5429199173856713E-3</v>
      </c>
    </row>
    <row r="392" spans="1:4" x14ac:dyDescent="0.2">
      <c r="A392" s="17">
        <v>38018</v>
      </c>
      <c r="B392" s="59">
        <f>VLOOKUP(Table18[[#This Row],[Date]],database!A:G,5,)</f>
        <v>107.0544</v>
      </c>
      <c r="C392" s="67">
        <f t="shared" ref="C392:C455" si="6">B392/B391-1</f>
        <v>5.1197503311923853E-3</v>
      </c>
      <c r="D392" s="67">
        <f>(Table18[[#This Row],[Index]]-B380)/B380</f>
        <v>1.0836897004627661E-2</v>
      </c>
    </row>
    <row r="393" spans="1:4" x14ac:dyDescent="0.2">
      <c r="A393" s="17">
        <v>38047</v>
      </c>
      <c r="B393" s="59">
        <f>VLOOKUP(Table18[[#This Row],[Date]],database!A:G,5,)</f>
        <v>106.03919999999999</v>
      </c>
      <c r="C393" s="67">
        <f t="shared" si="6"/>
        <v>-9.4830291888984286E-3</v>
      </c>
      <c r="D393" s="67">
        <f>(Table18[[#This Row],[Index]]-B381)/B381</f>
        <v>1.3929325905618075E-3</v>
      </c>
    </row>
    <row r="394" spans="1:4" x14ac:dyDescent="0.2">
      <c r="A394" s="17">
        <v>38078</v>
      </c>
      <c r="B394" s="59">
        <f>VLOOKUP(Table18[[#This Row],[Date]],database!A:G,5,)</f>
        <v>106.6913</v>
      </c>
      <c r="C394" s="67">
        <f t="shared" si="6"/>
        <v>6.1496125960964765E-3</v>
      </c>
      <c r="D394" s="67">
        <f>(Table18[[#This Row],[Index]]-B382)/B382</f>
        <v>1.5526351107604053E-2</v>
      </c>
    </row>
    <row r="395" spans="1:4" x14ac:dyDescent="0.2">
      <c r="A395" s="17">
        <v>38108</v>
      </c>
      <c r="B395" s="59">
        <f>VLOOKUP(Table18[[#This Row],[Date]],database!A:G,5,)</f>
        <v>107.1279</v>
      </c>
      <c r="C395" s="67">
        <f t="shared" si="6"/>
        <v>4.0921799621900234E-3</v>
      </c>
      <c r="D395" s="67">
        <f>(Table18[[#This Row],[Index]]-B383)/B383</f>
        <v>2.2525007635919327E-2</v>
      </c>
    </row>
    <row r="396" spans="1:4" x14ac:dyDescent="0.2">
      <c r="A396" s="17">
        <v>38139</v>
      </c>
      <c r="B396" s="59">
        <f>VLOOKUP(Table18[[#This Row],[Date]],database!A:G,5,)</f>
        <v>105.65940000000001</v>
      </c>
      <c r="C396" s="67">
        <f t="shared" si="6"/>
        <v>-1.3707913624741885E-2</v>
      </c>
      <c r="D396" s="67">
        <f>(Table18[[#This Row],[Index]]-B384)/B384</f>
        <v>6.566631831350098E-3</v>
      </c>
    </row>
    <row r="397" spans="1:4" x14ac:dyDescent="0.2">
      <c r="A397" s="17">
        <v>38169</v>
      </c>
      <c r="B397" s="59">
        <f>VLOOKUP(Table18[[#This Row],[Date]],database!A:G,5,)</f>
        <v>106.00190000000001</v>
      </c>
      <c r="C397" s="67">
        <f t="shared" si="6"/>
        <v>3.2415478414604681E-3</v>
      </c>
      <c r="D397" s="67">
        <f>(Table18[[#This Row],[Index]]-B385)/B385</f>
        <v>-1.8015298855881916E-4</v>
      </c>
    </row>
    <row r="398" spans="1:4" x14ac:dyDescent="0.2">
      <c r="A398" s="17">
        <v>38200</v>
      </c>
      <c r="B398" s="59">
        <f>VLOOKUP(Table18[[#This Row],[Date]],database!A:G,5,)</f>
        <v>106.4401</v>
      </c>
      <c r="C398" s="67">
        <f t="shared" si="6"/>
        <v>4.1338881661554527E-3</v>
      </c>
      <c r="D398" s="67">
        <f>(Table18[[#This Row],[Index]]-B386)/B386</f>
        <v>1.2491569712414184E-2</v>
      </c>
    </row>
    <row r="399" spans="1:4" x14ac:dyDescent="0.2">
      <c r="A399" s="17">
        <v>38231</v>
      </c>
      <c r="B399" s="59">
        <f>VLOOKUP(Table18[[#This Row],[Date]],database!A:G,5,)</f>
        <v>106.3818</v>
      </c>
      <c r="C399" s="67">
        <f t="shared" si="6"/>
        <v>-5.4772590405305355E-4</v>
      </c>
      <c r="D399" s="67">
        <f>(Table18[[#This Row],[Index]]-B387)/B387</f>
        <v>3.5933657167061496E-3</v>
      </c>
    </row>
    <row r="400" spans="1:4" x14ac:dyDescent="0.2">
      <c r="A400" s="17">
        <v>38261</v>
      </c>
      <c r="B400" s="59">
        <f>VLOOKUP(Table18[[#This Row],[Date]],database!A:G,5,)</f>
        <v>107.4329</v>
      </c>
      <c r="C400" s="67">
        <f t="shared" si="6"/>
        <v>9.8804494753801375E-3</v>
      </c>
      <c r="D400" s="67">
        <f>(Table18[[#This Row],[Index]]-B388)/B388</f>
        <v>2.0242864997868079E-2</v>
      </c>
    </row>
    <row r="401" spans="1:4" x14ac:dyDescent="0.2">
      <c r="A401" s="17">
        <v>38292</v>
      </c>
      <c r="B401" s="59">
        <f>VLOOKUP(Table18[[#This Row],[Date]],database!A:G,5,)</f>
        <v>107.2585</v>
      </c>
      <c r="C401" s="67">
        <f t="shared" si="6"/>
        <v>-1.6233388468523957E-3</v>
      </c>
      <c r="D401" s="67">
        <f>(Table18[[#This Row],[Index]]-B389)/B389</f>
        <v>1.1915600190574043E-2</v>
      </c>
    </row>
    <row r="402" spans="1:4" x14ac:dyDescent="0.2">
      <c r="A402" s="17">
        <v>38322</v>
      </c>
      <c r="B402" s="59">
        <f>VLOOKUP(Table18[[#This Row],[Date]],database!A:G,5,)</f>
        <v>108.0454</v>
      </c>
      <c r="C402" s="67">
        <f t="shared" si="6"/>
        <v>7.3364814909775422E-3</v>
      </c>
      <c r="D402" s="67">
        <f>(Table18[[#This Row],[Index]]-B390)/B390</f>
        <v>1.7576905436192201E-2</v>
      </c>
    </row>
    <row r="403" spans="1:4" x14ac:dyDescent="0.2">
      <c r="A403" s="17">
        <v>38353</v>
      </c>
      <c r="B403" s="59">
        <f>VLOOKUP(Table18[[#This Row],[Date]],database!A:G,5,)</f>
        <v>108.313</v>
      </c>
      <c r="C403" s="67">
        <f t="shared" si="6"/>
        <v>2.4767366310829431E-3</v>
      </c>
      <c r="D403" s="67">
        <f>(Table18[[#This Row],[Index]]-B391)/B391</f>
        <v>1.6936581005754424E-2</v>
      </c>
    </row>
    <row r="404" spans="1:4" x14ac:dyDescent="0.2">
      <c r="A404" s="17">
        <v>38384</v>
      </c>
      <c r="B404" s="59">
        <f>VLOOKUP(Table18[[#This Row],[Date]],database!A:G,5,)</f>
        <v>108.99930000000001</v>
      </c>
      <c r="C404" s="67">
        <f t="shared" si="6"/>
        <v>6.336266191500517E-3</v>
      </c>
      <c r="D404" s="67">
        <f>(Table18[[#This Row],[Index]]-B392)/B392</f>
        <v>1.8167399004618251E-2</v>
      </c>
    </row>
    <row r="405" spans="1:4" x14ac:dyDescent="0.2">
      <c r="A405" s="17">
        <v>38412</v>
      </c>
      <c r="B405" s="59">
        <f>VLOOKUP(Table18[[#This Row],[Date]],database!A:G,5,)</f>
        <v>108.4769</v>
      </c>
      <c r="C405" s="67">
        <f t="shared" si="6"/>
        <v>-4.7926913292104523E-3</v>
      </c>
      <c r="D405" s="67">
        <f>(Table18[[#This Row],[Index]]-B393)/B393</f>
        <v>2.2988668341519049E-2</v>
      </c>
    </row>
    <row r="406" spans="1:4" x14ac:dyDescent="0.2">
      <c r="A406" s="17">
        <v>38443</v>
      </c>
      <c r="B406" s="59">
        <f>VLOOKUP(Table18[[#This Row],[Date]],database!A:G,5,)</f>
        <v>108.4438</v>
      </c>
      <c r="C406" s="67">
        <f t="shared" si="6"/>
        <v>-3.0513408845578294E-4</v>
      </c>
      <c r="D406" s="67">
        <f>(Table18[[#This Row],[Index]]-B394)/B394</f>
        <v>1.6425894145070851E-2</v>
      </c>
    </row>
    <row r="407" spans="1:4" x14ac:dyDescent="0.2">
      <c r="A407" s="17">
        <v>38473</v>
      </c>
      <c r="B407" s="59">
        <f>VLOOKUP(Table18[[#This Row],[Date]],database!A:G,5,)</f>
        <v>109.01649999999999</v>
      </c>
      <c r="C407" s="67">
        <f t="shared" si="6"/>
        <v>5.2810764654134257E-3</v>
      </c>
      <c r="D407" s="67">
        <f>(Table18[[#This Row],[Index]]-B395)/B395</f>
        <v>1.7629394396791096E-2</v>
      </c>
    </row>
    <row r="408" spans="1:4" x14ac:dyDescent="0.2">
      <c r="A408" s="17">
        <v>38504</v>
      </c>
      <c r="B408" s="59">
        <f>VLOOKUP(Table18[[#This Row],[Date]],database!A:G,5,)</f>
        <v>109.98520000000001</v>
      </c>
      <c r="C408" s="67">
        <f t="shared" si="6"/>
        <v>8.8858108634932709E-3</v>
      </c>
      <c r="D408" s="67">
        <f>(Table18[[#This Row],[Index]]-B396)/B396</f>
        <v>4.0940985846976231E-2</v>
      </c>
    </row>
    <row r="409" spans="1:4" x14ac:dyDescent="0.2">
      <c r="A409" s="17">
        <v>38534</v>
      </c>
      <c r="B409" s="59">
        <f>VLOOKUP(Table18[[#This Row],[Date]],database!A:G,5,)</f>
        <v>109.5509</v>
      </c>
      <c r="C409" s="67">
        <f t="shared" si="6"/>
        <v>-3.9487130995807806E-3</v>
      </c>
      <c r="D409" s="67">
        <f>(Table18[[#This Row],[Index]]-B397)/B397</f>
        <v>3.3480531952729077E-2</v>
      </c>
    </row>
    <row r="410" spans="1:4" x14ac:dyDescent="0.2">
      <c r="A410" s="17">
        <v>38565</v>
      </c>
      <c r="B410" s="59">
        <f>VLOOKUP(Table18[[#This Row],[Date]],database!A:G,5,)</f>
        <v>110.0682</v>
      </c>
      <c r="C410" s="67">
        <f t="shared" si="6"/>
        <v>4.7220059351407162E-3</v>
      </c>
      <c r="D410" s="67">
        <f>(Table18[[#This Row],[Index]]-B398)/B398</f>
        <v>3.4085837950171068E-2</v>
      </c>
    </row>
    <row r="411" spans="1:4" x14ac:dyDescent="0.2">
      <c r="A411" s="17">
        <v>38596</v>
      </c>
      <c r="B411" s="59">
        <f>VLOOKUP(Table18[[#This Row],[Date]],database!A:G,5,)</f>
        <v>110.193</v>
      </c>
      <c r="C411" s="67">
        <f t="shared" si="6"/>
        <v>1.1338424722127094E-3</v>
      </c>
      <c r="D411" s="67">
        <f>(Table18[[#This Row],[Index]]-B399)/B399</f>
        <v>3.5825676948500584E-2</v>
      </c>
    </row>
    <row r="412" spans="1:4" x14ac:dyDescent="0.2">
      <c r="A412" s="17">
        <v>38626</v>
      </c>
      <c r="B412" s="59">
        <f>VLOOKUP(Table18[[#This Row],[Date]],database!A:G,5,)</f>
        <v>110.14409999999999</v>
      </c>
      <c r="C412" s="67">
        <f t="shared" si="6"/>
        <v>-4.4376684544389366E-4</v>
      </c>
      <c r="D412" s="67">
        <f>(Table18[[#This Row],[Index]]-B400)/B400</f>
        <v>2.5236217210928783E-2</v>
      </c>
    </row>
    <row r="413" spans="1:4" x14ac:dyDescent="0.2">
      <c r="A413" s="17">
        <v>38657</v>
      </c>
      <c r="B413" s="59">
        <f>VLOOKUP(Table18[[#This Row],[Date]],database!A:G,5,)</f>
        <v>110.039</v>
      </c>
      <c r="C413" s="67">
        <f t="shared" si="6"/>
        <v>-9.5420453751038359E-4</v>
      </c>
      <c r="D413" s="67">
        <f>(Table18[[#This Row],[Index]]-B401)/B401</f>
        <v>2.5923353393903548E-2</v>
      </c>
    </row>
    <row r="414" spans="1:4" x14ac:dyDescent="0.2">
      <c r="A414" s="17">
        <v>38687</v>
      </c>
      <c r="B414" s="59">
        <f>VLOOKUP(Table18[[#This Row],[Date]],database!A:G,5,)</f>
        <v>110.8018</v>
      </c>
      <c r="C414" s="67">
        <f t="shared" si="6"/>
        <v>6.9320877143557169E-3</v>
      </c>
      <c r="D414" s="67">
        <f>(Table18[[#This Row],[Index]]-B402)/B402</f>
        <v>2.5511497944382632E-2</v>
      </c>
    </row>
    <row r="415" spans="1:4" x14ac:dyDescent="0.2">
      <c r="A415" s="17">
        <v>38718</v>
      </c>
      <c r="B415" s="59">
        <f>VLOOKUP(Table18[[#This Row],[Date]],database!A:G,5,)</f>
        <v>109.9032</v>
      </c>
      <c r="C415" s="67">
        <f t="shared" si="6"/>
        <v>-8.1099765527274936E-3</v>
      </c>
      <c r="D415" s="67">
        <f>(Table18[[#This Row],[Index]]-B403)/B403</f>
        <v>1.4681524840046862E-2</v>
      </c>
    </row>
    <row r="416" spans="1:4" x14ac:dyDescent="0.2">
      <c r="A416" s="17">
        <v>38749</v>
      </c>
      <c r="B416" s="59">
        <f>VLOOKUP(Table18[[#This Row],[Date]],database!A:G,5,)</f>
        <v>109.37739999999999</v>
      </c>
      <c r="C416" s="67">
        <f t="shared" si="6"/>
        <v>-4.7842101048923835E-3</v>
      </c>
      <c r="D416" s="67">
        <f>(Table18[[#This Row],[Index]]-B404)/B404</f>
        <v>3.4688296163368866E-3</v>
      </c>
    </row>
    <row r="417" spans="1:4" x14ac:dyDescent="0.2">
      <c r="A417" s="17">
        <v>38777</v>
      </c>
      <c r="B417" s="59">
        <f>VLOOKUP(Table18[[#This Row],[Date]],database!A:G,5,)</f>
        <v>109.9837</v>
      </c>
      <c r="C417" s="67">
        <f t="shared" si="6"/>
        <v>5.5431926522298003E-3</v>
      </c>
      <c r="D417" s="67">
        <f>(Table18[[#This Row],[Index]]-B405)/B405</f>
        <v>1.3890514939125274E-2</v>
      </c>
    </row>
    <row r="418" spans="1:4" x14ac:dyDescent="0.2">
      <c r="A418" s="17">
        <v>38808</v>
      </c>
      <c r="B418" s="59">
        <f>VLOOKUP(Table18[[#This Row],[Date]],database!A:G,5,)</f>
        <v>110.29689999999999</v>
      </c>
      <c r="C418" s="67">
        <f t="shared" si="6"/>
        <v>2.8476947038515998E-3</v>
      </c>
      <c r="D418" s="67">
        <f>(Table18[[#This Row],[Index]]-B406)/B406</f>
        <v>1.708811384329946E-2</v>
      </c>
    </row>
    <row r="419" spans="1:4" x14ac:dyDescent="0.2">
      <c r="A419" s="17">
        <v>38838</v>
      </c>
      <c r="B419" s="59">
        <f>VLOOKUP(Table18[[#This Row],[Date]],database!A:G,5,)</f>
        <v>110.1178</v>
      </c>
      <c r="C419" s="67">
        <f t="shared" si="6"/>
        <v>-1.6237990369628585E-3</v>
      </c>
      <c r="D419" s="67">
        <f>(Table18[[#This Row],[Index]]-B407)/B407</f>
        <v>1.0102140501667262E-2</v>
      </c>
    </row>
    <row r="420" spans="1:4" x14ac:dyDescent="0.2">
      <c r="A420" s="17">
        <v>38869</v>
      </c>
      <c r="B420" s="59">
        <f>VLOOKUP(Table18[[#This Row],[Date]],database!A:G,5,)</f>
        <v>110.63509999999999</v>
      </c>
      <c r="C420" s="67">
        <f t="shared" si="6"/>
        <v>4.697696466874568E-3</v>
      </c>
      <c r="D420" s="67">
        <f>(Table18[[#This Row],[Index]]-B408)/B408</f>
        <v>5.908976844157106E-3</v>
      </c>
    </row>
    <row r="421" spans="1:4" x14ac:dyDescent="0.2">
      <c r="A421" s="17">
        <v>38899</v>
      </c>
      <c r="B421" s="59">
        <f>VLOOKUP(Table18[[#This Row],[Date]],database!A:G,5,)</f>
        <v>109.6644</v>
      </c>
      <c r="C421" s="67">
        <f t="shared" si="6"/>
        <v>-8.7738882144996477E-3</v>
      </c>
      <c r="D421" s="67">
        <f>(Table18[[#This Row],[Index]]-B409)/B409</f>
        <v>1.0360480835849082E-3</v>
      </c>
    </row>
    <row r="422" spans="1:4" x14ac:dyDescent="0.2">
      <c r="A422" s="17">
        <v>38930</v>
      </c>
      <c r="B422" s="59">
        <f>VLOOKUP(Table18[[#This Row],[Date]],database!A:G,5,)</f>
        <v>110.6915</v>
      </c>
      <c r="C422" s="67">
        <f t="shared" si="6"/>
        <v>9.3658470752586709E-3</v>
      </c>
      <c r="D422" s="67">
        <f>(Table18[[#This Row],[Index]]-B410)/B410</f>
        <v>5.6628526677096596E-3</v>
      </c>
    </row>
    <row r="423" spans="1:4" x14ac:dyDescent="0.2">
      <c r="A423" s="17">
        <v>38961</v>
      </c>
      <c r="B423" s="59">
        <f>VLOOKUP(Table18[[#This Row],[Date]],database!A:G,5,)</f>
        <v>110.1818</v>
      </c>
      <c r="C423" s="67">
        <f t="shared" si="6"/>
        <v>-4.6046896103134616E-3</v>
      </c>
      <c r="D423" s="67">
        <f>(Table18[[#This Row],[Index]]-B411)/B411</f>
        <v>-1.0163985008124218E-4</v>
      </c>
    </row>
    <row r="424" spans="1:4" x14ac:dyDescent="0.2">
      <c r="A424" s="17">
        <v>38991</v>
      </c>
      <c r="B424" s="59">
        <f>VLOOKUP(Table18[[#This Row],[Date]],database!A:G,5,)</f>
        <v>110.04949999999999</v>
      </c>
      <c r="C424" s="67">
        <f t="shared" si="6"/>
        <v>-1.2007427723997877E-3</v>
      </c>
      <c r="D424" s="67">
        <f>(Table18[[#This Row],[Index]]-B412)/B412</f>
        <v>-8.5887487391516932E-4</v>
      </c>
    </row>
    <row r="425" spans="1:4" x14ac:dyDescent="0.2">
      <c r="A425" s="17">
        <v>39022</v>
      </c>
      <c r="B425" s="59">
        <f>VLOOKUP(Table18[[#This Row],[Date]],database!A:G,5,)</f>
        <v>110.20399999999999</v>
      </c>
      <c r="C425" s="67">
        <f t="shared" si="6"/>
        <v>1.4039136933834406E-3</v>
      </c>
      <c r="D425" s="67">
        <f>(Table18[[#This Row],[Index]]-B413)/B413</f>
        <v>1.4994683703050014E-3</v>
      </c>
    </row>
    <row r="426" spans="1:4" x14ac:dyDescent="0.2">
      <c r="A426" s="17">
        <v>39052</v>
      </c>
      <c r="B426" s="59">
        <f>VLOOKUP(Table18[[#This Row],[Date]],database!A:G,5,)</f>
        <v>110.76</v>
      </c>
      <c r="C426" s="67">
        <f t="shared" si="6"/>
        <v>5.0451889223621649E-3</v>
      </c>
      <c r="D426" s="67">
        <f>(Table18[[#This Row],[Index]]-B414)/B414</f>
        <v>-3.7725018907630521E-4</v>
      </c>
    </row>
    <row r="427" spans="1:4" x14ac:dyDescent="0.2">
      <c r="A427" s="17">
        <v>39083</v>
      </c>
      <c r="B427" s="59">
        <f>VLOOKUP(Table18[[#This Row],[Date]],database!A:G,5,)</f>
        <v>110.0997</v>
      </c>
      <c r="C427" s="67">
        <f t="shared" si="6"/>
        <v>-5.9615384615385736E-3</v>
      </c>
      <c r="D427" s="67">
        <f>(Table18[[#This Row],[Index]]-B415)/B415</f>
        <v>1.7879370209420685E-3</v>
      </c>
    </row>
    <row r="428" spans="1:4" x14ac:dyDescent="0.2">
      <c r="A428" s="17">
        <v>39114</v>
      </c>
      <c r="B428" s="59">
        <f>VLOOKUP(Table18[[#This Row],[Date]],database!A:G,5,)</f>
        <v>111.3505</v>
      </c>
      <c r="C428" s="67">
        <f t="shared" si="6"/>
        <v>1.1360612245083335E-2</v>
      </c>
      <c r="D428" s="67">
        <f>(Table18[[#This Row],[Index]]-B416)/B416</f>
        <v>1.8039375593129865E-2</v>
      </c>
    </row>
    <row r="429" spans="1:4" x14ac:dyDescent="0.2">
      <c r="A429" s="17">
        <v>39142</v>
      </c>
      <c r="B429" s="59">
        <f>VLOOKUP(Table18[[#This Row],[Date]],database!A:G,5,)</f>
        <v>110.47450000000001</v>
      </c>
      <c r="C429" s="67">
        <f t="shared" si="6"/>
        <v>-7.8670504398272723E-3</v>
      </c>
      <c r="D429" s="67">
        <f>(Table18[[#This Row],[Index]]-B417)/B417</f>
        <v>4.462479440135286E-3</v>
      </c>
    </row>
    <row r="430" spans="1:4" x14ac:dyDescent="0.2">
      <c r="A430" s="17">
        <v>39173</v>
      </c>
      <c r="B430" s="59">
        <f>VLOOKUP(Table18[[#This Row],[Date]],database!A:G,5,)</f>
        <v>111.0609</v>
      </c>
      <c r="C430" s="67">
        <f t="shared" si="6"/>
        <v>5.3080122562219056E-3</v>
      </c>
      <c r="D430" s="67">
        <f>(Table18[[#This Row],[Index]]-B418)/B418</f>
        <v>6.9267585943032853E-3</v>
      </c>
    </row>
    <row r="431" spans="1:4" x14ac:dyDescent="0.2">
      <c r="A431" s="17">
        <v>39203</v>
      </c>
      <c r="B431" s="59">
        <f>VLOOKUP(Table18[[#This Row],[Date]],database!A:G,5,)</f>
        <v>110.6503</v>
      </c>
      <c r="C431" s="67">
        <f t="shared" si="6"/>
        <v>-3.6970707062521369E-3</v>
      </c>
      <c r="D431" s="67">
        <f>(Table18[[#This Row],[Index]]-B419)/B419</f>
        <v>4.8357304631948591E-3</v>
      </c>
    </row>
    <row r="432" spans="1:4" x14ac:dyDescent="0.2">
      <c r="A432" s="17">
        <v>39234</v>
      </c>
      <c r="B432" s="59">
        <f>VLOOKUP(Table18[[#This Row],[Date]],database!A:G,5,)</f>
        <v>110.7778</v>
      </c>
      <c r="C432" s="67">
        <f t="shared" si="6"/>
        <v>1.1522788460582856E-3</v>
      </c>
      <c r="D432" s="67">
        <f>(Table18[[#This Row],[Index]]-B420)/B420</f>
        <v>1.2898257424633316E-3</v>
      </c>
    </row>
    <row r="433" spans="1:4" x14ac:dyDescent="0.2">
      <c r="A433" s="17">
        <v>39264</v>
      </c>
      <c r="B433" s="59">
        <f>VLOOKUP(Table18[[#This Row],[Date]],database!A:G,5,)</f>
        <v>110.4575</v>
      </c>
      <c r="C433" s="67">
        <f t="shared" si="6"/>
        <v>-2.8913735423523601E-3</v>
      </c>
      <c r="D433" s="67">
        <f>(Table18[[#This Row],[Index]]-B421)/B421</f>
        <v>7.2320643709352849E-3</v>
      </c>
    </row>
    <row r="434" spans="1:4" x14ac:dyDescent="0.2">
      <c r="A434" s="17">
        <v>39295</v>
      </c>
      <c r="B434" s="59">
        <f>VLOOKUP(Table18[[#This Row],[Date]],database!A:G,5,)</f>
        <v>110.2414</v>
      </c>
      <c r="C434" s="67">
        <f t="shared" si="6"/>
        <v>-1.9564085734331549E-3</v>
      </c>
      <c r="D434" s="67">
        <f>(Table18[[#This Row],[Index]]-B422)/B422</f>
        <v>-4.066256216602053E-3</v>
      </c>
    </row>
    <row r="435" spans="1:4" x14ac:dyDescent="0.2">
      <c r="A435" s="17">
        <v>39326</v>
      </c>
      <c r="B435" s="59">
        <f>VLOOKUP(Table18[[#This Row],[Date]],database!A:G,5,)</f>
        <v>110.1271</v>
      </c>
      <c r="C435" s="67">
        <f t="shared" si="6"/>
        <v>-1.0368155701940829E-3</v>
      </c>
      <c r="D435" s="67">
        <f>(Table18[[#This Row],[Index]]-B423)/B423</f>
        <v>-4.9645222713730276E-4</v>
      </c>
    </row>
    <row r="436" spans="1:4" x14ac:dyDescent="0.2">
      <c r="A436" s="17">
        <v>39356</v>
      </c>
      <c r="B436" s="59">
        <f>VLOOKUP(Table18[[#This Row],[Date]],database!A:G,5,)</f>
        <v>109.1465</v>
      </c>
      <c r="C436" s="67">
        <f t="shared" si="6"/>
        <v>-8.9042569903320379E-3</v>
      </c>
      <c r="D436" s="67">
        <f>(Table18[[#This Row],[Index]]-B424)/B424</f>
        <v>-8.2053984797749342E-3</v>
      </c>
    </row>
    <row r="437" spans="1:4" x14ac:dyDescent="0.2">
      <c r="A437" s="17">
        <v>39387</v>
      </c>
      <c r="B437" s="59">
        <f>VLOOKUP(Table18[[#This Row],[Date]],database!A:G,5,)</f>
        <v>109.11060000000001</v>
      </c>
      <c r="C437" s="67">
        <f t="shared" si="6"/>
        <v>-3.2891572336257724E-4</v>
      </c>
      <c r="D437" s="67">
        <f>(Table18[[#This Row],[Index]]-B425)/B425</f>
        <v>-9.9215999419257784E-3</v>
      </c>
    </row>
    <row r="438" spans="1:4" x14ac:dyDescent="0.2">
      <c r="A438" s="17">
        <v>39417</v>
      </c>
      <c r="B438" s="59">
        <f>VLOOKUP(Table18[[#This Row],[Date]],database!A:G,5,)</f>
        <v>108.79389999999999</v>
      </c>
      <c r="C438" s="67">
        <f t="shared" si="6"/>
        <v>-2.9025594213578643E-3</v>
      </c>
      <c r="D438" s="67">
        <f>(Table18[[#This Row],[Index]]-B426)/B426</f>
        <v>-1.7750993138317184E-2</v>
      </c>
    </row>
    <row r="439" spans="1:4" x14ac:dyDescent="0.2">
      <c r="A439" s="17">
        <v>39448</v>
      </c>
      <c r="B439" s="59">
        <f>VLOOKUP(Table18[[#This Row],[Date]],database!A:G,5,)</f>
        <v>108.53270000000001</v>
      </c>
      <c r="C439" s="67">
        <f t="shared" si="6"/>
        <v>-2.4008699017131763E-3</v>
      </c>
      <c r="D439" s="67">
        <f>(Table18[[#This Row],[Index]]-B427)/B427</f>
        <v>-1.4232554675444103E-2</v>
      </c>
    </row>
    <row r="440" spans="1:4" x14ac:dyDescent="0.2">
      <c r="A440" s="17">
        <v>39479</v>
      </c>
      <c r="B440" s="59">
        <f>VLOOKUP(Table18[[#This Row],[Date]],database!A:G,5,)</f>
        <v>108.3496</v>
      </c>
      <c r="C440" s="67">
        <f t="shared" si="6"/>
        <v>-1.6870491566137735E-3</v>
      </c>
      <c r="D440" s="67">
        <f>(Table18[[#This Row],[Index]]-B428)/B428</f>
        <v>-2.6950036147121041E-2</v>
      </c>
    </row>
    <row r="441" spans="1:4" x14ac:dyDescent="0.2">
      <c r="A441" s="17">
        <v>39508</v>
      </c>
      <c r="B441" s="59">
        <f>VLOOKUP(Table18[[#This Row],[Date]],database!A:G,5,)</f>
        <v>106.7843</v>
      </c>
      <c r="C441" s="67">
        <f t="shared" si="6"/>
        <v>-1.4446753841269366E-2</v>
      </c>
      <c r="D441" s="67">
        <f>(Table18[[#This Row],[Index]]-B429)/B429</f>
        <v>-3.3403183540093001E-2</v>
      </c>
    </row>
    <row r="442" spans="1:4" x14ac:dyDescent="0.2">
      <c r="A442" s="17">
        <v>39539</v>
      </c>
      <c r="B442" s="59">
        <f>VLOOKUP(Table18[[#This Row],[Date]],database!A:G,5,)</f>
        <v>106.10809999999999</v>
      </c>
      <c r="C442" s="67">
        <f t="shared" si="6"/>
        <v>-6.3323915594334368E-3</v>
      </c>
      <c r="D442" s="67">
        <f>(Table18[[#This Row],[Index]]-B430)/B430</f>
        <v>-4.4595352639858046E-2</v>
      </c>
    </row>
    <row r="443" spans="1:4" x14ac:dyDescent="0.2">
      <c r="A443" s="17">
        <v>39569</v>
      </c>
      <c r="B443" s="59">
        <f>VLOOKUP(Table18[[#This Row],[Date]],database!A:G,5,)</f>
        <v>105.4884</v>
      </c>
      <c r="C443" s="67">
        <f t="shared" si="6"/>
        <v>-5.8402704411820716E-3</v>
      </c>
      <c r="D443" s="67">
        <f>(Table18[[#This Row],[Index]]-B431)/B431</f>
        <v>-4.665057392524017E-2</v>
      </c>
    </row>
    <row r="444" spans="1:4" x14ac:dyDescent="0.2">
      <c r="A444" s="17">
        <v>39600</v>
      </c>
      <c r="B444" s="59">
        <f>VLOOKUP(Table18[[#This Row],[Date]],database!A:G,5,)</f>
        <v>105.2533</v>
      </c>
      <c r="C444" s="67">
        <f t="shared" si="6"/>
        <v>-2.2286810682501379E-3</v>
      </c>
      <c r="D444" s="67">
        <f>(Table18[[#This Row],[Index]]-B432)/B432</f>
        <v>-4.9870100326960848E-2</v>
      </c>
    </row>
    <row r="445" spans="1:4" x14ac:dyDescent="0.2">
      <c r="A445" s="17">
        <v>39630</v>
      </c>
      <c r="B445" s="59">
        <f>VLOOKUP(Table18[[#This Row],[Date]],database!A:G,5,)</f>
        <v>104.6172</v>
      </c>
      <c r="C445" s="67">
        <f t="shared" si="6"/>
        <v>-6.0435159752710854E-3</v>
      </c>
      <c r="D445" s="67">
        <f>(Table18[[#This Row],[Index]]-B433)/B433</f>
        <v>-5.2873729715048771E-2</v>
      </c>
    </row>
    <row r="446" spans="1:4" x14ac:dyDescent="0.2">
      <c r="A446" s="17">
        <v>39661</v>
      </c>
      <c r="B446" s="59">
        <f>VLOOKUP(Table18[[#This Row],[Date]],database!A:G,5,)</f>
        <v>102.73350000000001</v>
      </c>
      <c r="C446" s="67">
        <f t="shared" si="6"/>
        <v>-1.8005643431481588E-2</v>
      </c>
      <c r="D446" s="67">
        <f>(Table18[[#This Row],[Index]]-B434)/B434</f>
        <v>-6.810417864794889E-2</v>
      </c>
    </row>
    <row r="447" spans="1:4" x14ac:dyDescent="0.2">
      <c r="A447" s="17">
        <v>39692</v>
      </c>
      <c r="B447" s="59">
        <f>VLOOKUP(Table18[[#This Row],[Date]],database!A:G,5,)</f>
        <v>102.01179999999999</v>
      </c>
      <c r="C447" s="67">
        <f t="shared" si="6"/>
        <v>-7.0249723799929997E-3</v>
      </c>
      <c r="D447" s="67">
        <f>(Table18[[#This Row],[Index]]-B435)/B435</f>
        <v>-7.369030874326124E-2</v>
      </c>
    </row>
    <row r="448" spans="1:4" x14ac:dyDescent="0.2">
      <c r="A448" s="17">
        <v>39722</v>
      </c>
      <c r="B448" s="59">
        <f>VLOOKUP(Table18[[#This Row],[Date]],database!A:G,5,)</f>
        <v>102.2941</v>
      </c>
      <c r="C448" s="67">
        <f t="shared" si="6"/>
        <v>2.7673269170822579E-3</v>
      </c>
      <c r="D448" s="67">
        <f>(Table18[[#This Row],[Index]]-B436)/B436</f>
        <v>-6.2781674171869944E-2</v>
      </c>
    </row>
    <row r="449" spans="1:4" x14ac:dyDescent="0.2">
      <c r="A449" s="17">
        <v>39753</v>
      </c>
      <c r="B449" s="59">
        <f>VLOOKUP(Table18[[#This Row],[Date]],database!A:G,5,)</f>
        <v>101.425</v>
      </c>
      <c r="C449" s="67">
        <f t="shared" si="6"/>
        <v>-8.4960911724136778E-3</v>
      </c>
      <c r="D449" s="67">
        <f>(Table18[[#This Row],[Index]]-B437)/B437</f>
        <v>-7.0438619162574559E-2</v>
      </c>
    </row>
    <row r="450" spans="1:4" x14ac:dyDescent="0.2">
      <c r="A450" s="17">
        <v>39783</v>
      </c>
      <c r="B450" s="59">
        <f>VLOOKUP(Table18[[#This Row],[Date]],database!A:G,5,)</f>
        <v>99.391199999999998</v>
      </c>
      <c r="C450" s="67">
        <f t="shared" si="6"/>
        <v>-2.0052255361104221E-2</v>
      </c>
      <c r="D450" s="67">
        <f>(Table18[[#This Row],[Index]]-B438)/B438</f>
        <v>-8.6426720615769781E-2</v>
      </c>
    </row>
    <row r="451" spans="1:4" x14ac:dyDescent="0.2">
      <c r="A451" s="17">
        <v>39814</v>
      </c>
      <c r="B451" s="59">
        <f>VLOOKUP(Table18[[#This Row],[Date]],database!A:G,5,)</f>
        <v>97.0261</v>
      </c>
      <c r="C451" s="67">
        <f t="shared" si="6"/>
        <v>-2.3795869252006163E-2</v>
      </c>
      <c r="D451" s="67">
        <f>(Table18[[#This Row],[Index]]-B439)/B439</f>
        <v>-0.10601966043413649</v>
      </c>
    </row>
    <row r="452" spans="1:4" x14ac:dyDescent="0.2">
      <c r="A452" s="17">
        <v>39845</v>
      </c>
      <c r="B452" s="59">
        <f>VLOOKUP(Table18[[#This Row],[Date]],database!A:G,5,)</f>
        <v>97.113100000000003</v>
      </c>
      <c r="C452" s="67">
        <f t="shared" si="6"/>
        <v>8.9666594864690197E-4</v>
      </c>
      <c r="D452" s="67">
        <f>(Table18[[#This Row],[Index]]-B440)/B440</f>
        <v>-0.10370596661178254</v>
      </c>
    </row>
    <row r="453" spans="1:4" x14ac:dyDescent="0.2">
      <c r="A453" s="17">
        <v>39873</v>
      </c>
      <c r="B453" s="59">
        <f>VLOOKUP(Table18[[#This Row],[Date]],database!A:G,5,)</f>
        <v>96.575599999999994</v>
      </c>
      <c r="C453" s="67">
        <f t="shared" si="6"/>
        <v>-5.5347836697624553E-3</v>
      </c>
      <c r="D453" s="67">
        <f>(Table18[[#This Row],[Index]]-B441)/B441</f>
        <v>-9.5601132376201436E-2</v>
      </c>
    </row>
    <row r="454" spans="1:4" x14ac:dyDescent="0.2">
      <c r="A454" s="17">
        <v>39904</v>
      </c>
      <c r="B454" s="59">
        <f>VLOOKUP(Table18[[#This Row],[Date]],database!A:G,5,)</f>
        <v>96.281899999999993</v>
      </c>
      <c r="C454" s="67">
        <f t="shared" si="6"/>
        <v>-3.0411408264613415E-3</v>
      </c>
      <c r="D454" s="67">
        <f>(Table18[[#This Row],[Index]]-B442)/B442</f>
        <v>-9.2605559801749351E-2</v>
      </c>
    </row>
    <row r="455" spans="1:4" x14ac:dyDescent="0.2">
      <c r="A455" s="17">
        <v>39934</v>
      </c>
      <c r="B455" s="59">
        <f>VLOOKUP(Table18[[#This Row],[Date]],database!A:G,5,)</f>
        <v>95.035600000000002</v>
      </c>
      <c r="C455" s="67">
        <f t="shared" si="6"/>
        <v>-1.2944281323904017E-2</v>
      </c>
      <c r="D455" s="67">
        <f>(Table18[[#This Row],[Index]]-B443)/B443</f>
        <v>-9.9089568142089524E-2</v>
      </c>
    </row>
    <row r="456" spans="1:4" x14ac:dyDescent="0.2">
      <c r="A456" s="17">
        <v>39965</v>
      </c>
      <c r="B456" s="59">
        <f>VLOOKUP(Table18[[#This Row],[Date]],database!A:G,5,)</f>
        <v>94.602699999999999</v>
      </c>
      <c r="C456" s="67">
        <f t="shared" ref="C456:C519" si="7">B456/B455-1</f>
        <v>-4.5551351283098507E-3</v>
      </c>
      <c r="D456" s="67">
        <f>(Table18[[#This Row],[Index]]-B444)/B444</f>
        <v>-0.10119017646002545</v>
      </c>
    </row>
    <row r="457" spans="1:4" x14ac:dyDescent="0.2">
      <c r="A457" s="17">
        <v>39995</v>
      </c>
      <c r="B457" s="59">
        <f>VLOOKUP(Table18[[#This Row],[Date]],database!A:G,5,)</f>
        <v>95.873599999999996</v>
      </c>
      <c r="C457" s="67">
        <f t="shared" si="7"/>
        <v>1.3434077462905369E-2</v>
      </c>
      <c r="D457" s="67">
        <f>(Table18[[#This Row],[Index]]-B445)/B445</f>
        <v>-8.3577079103627328E-2</v>
      </c>
    </row>
    <row r="458" spans="1:4" x14ac:dyDescent="0.2">
      <c r="A458" s="17">
        <v>40026</v>
      </c>
      <c r="B458" s="59">
        <f>VLOOKUP(Table18[[#This Row],[Date]],database!A:G,5,)</f>
        <v>96.717699999999994</v>
      </c>
      <c r="C458" s="67">
        <f t="shared" si="7"/>
        <v>8.8043006625388998E-3</v>
      </c>
      <c r="D458" s="67">
        <f>(Table18[[#This Row],[Index]]-B446)/B446</f>
        <v>-5.8557335241182402E-2</v>
      </c>
    </row>
    <row r="459" spans="1:4" x14ac:dyDescent="0.2">
      <c r="A459" s="17">
        <v>40057</v>
      </c>
      <c r="B459" s="59">
        <f>VLOOKUP(Table18[[#This Row],[Date]],database!A:G,5,)</f>
        <v>97.520899999999997</v>
      </c>
      <c r="C459" s="67">
        <f t="shared" si="7"/>
        <v>8.3045812710600408E-3</v>
      </c>
      <c r="D459" s="67">
        <f>(Table18[[#This Row],[Index]]-B447)/B447</f>
        <v>-4.4023338476529152E-2</v>
      </c>
    </row>
    <row r="460" spans="1:4" x14ac:dyDescent="0.2">
      <c r="A460" s="17">
        <v>40087</v>
      </c>
      <c r="B460" s="59">
        <f>VLOOKUP(Table18[[#This Row],[Date]],database!A:G,5,)</f>
        <v>97.750500000000002</v>
      </c>
      <c r="C460" s="67">
        <f t="shared" si="7"/>
        <v>2.3543671151518009E-3</v>
      </c>
      <c r="D460" s="67">
        <f>(Table18[[#This Row],[Index]]-B448)/B448</f>
        <v>-4.4417028939107907E-2</v>
      </c>
    </row>
    <row r="461" spans="1:4" x14ac:dyDescent="0.2">
      <c r="A461" s="17">
        <v>40118</v>
      </c>
      <c r="B461" s="59">
        <f>VLOOKUP(Table18[[#This Row],[Date]],database!A:G,5,)</f>
        <v>97.1524</v>
      </c>
      <c r="C461" s="67">
        <f t="shared" si="7"/>
        <v>-6.1186387793412678E-3</v>
      </c>
      <c r="D461" s="67">
        <f>(Table18[[#This Row],[Index]]-B449)/B449</f>
        <v>-4.2125708651713063E-2</v>
      </c>
    </row>
    <row r="462" spans="1:4" x14ac:dyDescent="0.2">
      <c r="A462" s="17">
        <v>40148</v>
      </c>
      <c r="B462" s="59">
        <f>VLOOKUP(Table18[[#This Row],[Date]],database!A:G,5,)</f>
        <v>97.071399999999997</v>
      </c>
      <c r="C462" s="67">
        <f t="shared" si="7"/>
        <v>-8.3374162655791562E-4</v>
      </c>
      <c r="D462" s="67">
        <f>(Table18[[#This Row],[Index]]-B450)/B450</f>
        <v>-2.3340094495287317E-2</v>
      </c>
    </row>
    <row r="463" spans="1:4" x14ac:dyDescent="0.2">
      <c r="A463" s="17">
        <v>40179</v>
      </c>
      <c r="B463" s="59">
        <f>VLOOKUP(Table18[[#This Row],[Date]],database!A:G,5,)</f>
        <v>97.699299999999994</v>
      </c>
      <c r="C463" s="67">
        <f t="shared" si="7"/>
        <v>6.4684345749623784E-3</v>
      </c>
      <c r="D463" s="67">
        <f>(Table18[[#This Row],[Index]]-B451)/B451</f>
        <v>6.9383392715979949E-3</v>
      </c>
    </row>
    <row r="464" spans="1:4" x14ac:dyDescent="0.2">
      <c r="A464" s="17">
        <v>40210</v>
      </c>
      <c r="B464" s="59">
        <f>VLOOKUP(Table18[[#This Row],[Date]],database!A:G,5,)</f>
        <v>96.889799999999994</v>
      </c>
      <c r="C464" s="67">
        <f t="shared" si="7"/>
        <v>-8.2856274302886002E-3</v>
      </c>
      <c r="D464" s="67">
        <f>(Table18[[#This Row],[Index]]-B452)/B452</f>
        <v>-2.2993808250381148E-3</v>
      </c>
    </row>
    <row r="465" spans="1:4" x14ac:dyDescent="0.2">
      <c r="A465" s="17">
        <v>40238</v>
      </c>
      <c r="B465" s="59">
        <f>VLOOKUP(Table18[[#This Row],[Date]],database!A:G,5,)</f>
        <v>97.232900000000001</v>
      </c>
      <c r="C465" s="67">
        <f t="shared" si="7"/>
        <v>3.5411364250932387E-3</v>
      </c>
      <c r="D465" s="67">
        <f>(Table18[[#This Row],[Index]]-B453)/B453</f>
        <v>6.8060669568711608E-3</v>
      </c>
    </row>
    <row r="466" spans="1:4" x14ac:dyDescent="0.2">
      <c r="A466" s="17">
        <v>40269</v>
      </c>
      <c r="B466" s="59">
        <f>VLOOKUP(Table18[[#This Row],[Date]],database!A:G,5,)</f>
        <v>96.426400000000001</v>
      </c>
      <c r="C466" s="67">
        <f t="shared" si="7"/>
        <v>-8.2945175964103113E-3</v>
      </c>
      <c r="D466" s="67">
        <f>(Table18[[#This Row],[Index]]-B454)/B454</f>
        <v>1.5008012928702887E-3</v>
      </c>
    </row>
    <row r="467" spans="1:4" x14ac:dyDescent="0.2">
      <c r="A467" s="17">
        <v>40299</v>
      </c>
      <c r="B467" s="59">
        <f>VLOOKUP(Table18[[#This Row],[Date]],database!A:G,5,)</f>
        <v>98.236000000000004</v>
      </c>
      <c r="C467" s="67">
        <f t="shared" si="7"/>
        <v>1.8766644819261158E-2</v>
      </c>
      <c r="D467" s="67">
        <f>(Table18[[#This Row],[Index]]-B455)/B455</f>
        <v>3.3675801489126196E-2</v>
      </c>
    </row>
    <row r="468" spans="1:4" x14ac:dyDescent="0.2">
      <c r="A468" s="17">
        <v>40330</v>
      </c>
      <c r="B468" s="59">
        <f>VLOOKUP(Table18[[#This Row],[Date]],database!A:G,5,)</f>
        <v>97.988699999999994</v>
      </c>
      <c r="C468" s="67">
        <f t="shared" si="7"/>
        <v>-2.5174070605481491E-3</v>
      </c>
      <c r="D468" s="67">
        <f>(Table18[[#This Row],[Index]]-B456)/B456</f>
        <v>3.5791790297739871E-2</v>
      </c>
    </row>
    <row r="469" spans="1:4" x14ac:dyDescent="0.2">
      <c r="A469" s="17">
        <v>40360</v>
      </c>
      <c r="B469" s="59">
        <f>VLOOKUP(Table18[[#This Row],[Date]],database!A:G,5,)</f>
        <v>98.636899999999997</v>
      </c>
      <c r="C469" s="67">
        <f t="shared" si="7"/>
        <v>6.6150484698745959E-3</v>
      </c>
      <c r="D469" s="67">
        <f>(Table18[[#This Row],[Index]]-B457)/B457</f>
        <v>2.8822324393785161E-2</v>
      </c>
    </row>
    <row r="470" spans="1:4" x14ac:dyDescent="0.2">
      <c r="A470" s="17">
        <v>40391</v>
      </c>
      <c r="B470" s="59">
        <f>VLOOKUP(Table18[[#This Row],[Date]],database!A:G,5,)</f>
        <v>98.388400000000004</v>
      </c>
      <c r="C470" s="67">
        <f t="shared" si="7"/>
        <v>-2.5193411390665998E-3</v>
      </c>
      <c r="D470" s="67">
        <f>(Table18[[#This Row],[Index]]-B458)/B458</f>
        <v>1.7273983976045862E-2</v>
      </c>
    </row>
    <row r="471" spans="1:4" x14ac:dyDescent="0.2">
      <c r="A471" s="17">
        <v>40422</v>
      </c>
      <c r="B471" s="59">
        <f>VLOOKUP(Table18[[#This Row],[Date]],database!A:G,5,)</f>
        <v>98.0077</v>
      </c>
      <c r="C471" s="67">
        <f t="shared" si="7"/>
        <v>-3.8693585829224775E-3</v>
      </c>
      <c r="D471" s="67">
        <f>(Table18[[#This Row],[Index]]-B459)/B459</f>
        <v>4.9917504863060368E-3</v>
      </c>
    </row>
    <row r="472" spans="1:4" x14ac:dyDescent="0.2">
      <c r="A472" s="17">
        <v>40452</v>
      </c>
      <c r="B472" s="59">
        <f>VLOOKUP(Table18[[#This Row],[Date]],database!A:G,5,)</f>
        <v>98.002600000000001</v>
      </c>
      <c r="C472" s="67">
        <f t="shared" si="7"/>
        <v>-5.2036727726467724E-5</v>
      </c>
      <c r="D472" s="67">
        <f>(Table18[[#This Row],[Index]]-B460)/B460</f>
        <v>2.5790149411000318E-3</v>
      </c>
    </row>
    <row r="473" spans="1:4" x14ac:dyDescent="0.2">
      <c r="A473" s="17">
        <v>40483</v>
      </c>
      <c r="B473" s="59">
        <f>VLOOKUP(Table18[[#This Row],[Date]],database!A:G,5,)</f>
        <v>97.461100000000002</v>
      </c>
      <c r="C473" s="67">
        <f t="shared" si="7"/>
        <v>-5.5253636128020922E-3</v>
      </c>
      <c r="D473" s="67">
        <f>(Table18[[#This Row],[Index]]-B461)/B461</f>
        <v>3.1774819767705353E-3</v>
      </c>
    </row>
    <row r="474" spans="1:4" x14ac:dyDescent="0.2">
      <c r="A474" s="17">
        <v>40513</v>
      </c>
      <c r="B474" s="59">
        <f>VLOOKUP(Table18[[#This Row],[Date]],database!A:G,5,)</f>
        <v>98.555999999999997</v>
      </c>
      <c r="C474" s="67">
        <f t="shared" si="7"/>
        <v>1.1234225757763783E-2</v>
      </c>
      <c r="D474" s="67">
        <f>(Table18[[#This Row],[Index]]-B462)/B462</f>
        <v>1.5293897069579716E-2</v>
      </c>
    </row>
    <row r="475" spans="1:4" x14ac:dyDescent="0.2">
      <c r="A475" s="17">
        <v>40544</v>
      </c>
      <c r="B475" s="59">
        <f>VLOOKUP(Table18[[#This Row],[Date]],database!A:G,5,)</f>
        <v>98.594099999999997</v>
      </c>
      <c r="C475" s="67">
        <f t="shared" si="7"/>
        <v>3.8658224765608651E-4</v>
      </c>
      <c r="D475" s="67">
        <f>(Table18[[#This Row],[Index]]-B463)/B463</f>
        <v>9.1587145455494946E-3</v>
      </c>
    </row>
    <row r="476" spans="1:4" x14ac:dyDescent="0.2">
      <c r="A476" s="17">
        <v>40575</v>
      </c>
      <c r="B476" s="59">
        <f>VLOOKUP(Table18[[#This Row],[Date]],database!A:G,5,)</f>
        <v>98.408600000000007</v>
      </c>
      <c r="C476" s="67">
        <f t="shared" si="7"/>
        <v>-1.8814513241663944E-3</v>
      </c>
      <c r="D476" s="67">
        <f>(Table18[[#This Row],[Index]]-B464)/B464</f>
        <v>1.5675540665787451E-2</v>
      </c>
    </row>
    <row r="477" spans="1:4" x14ac:dyDescent="0.2">
      <c r="A477" s="17">
        <v>40603</v>
      </c>
      <c r="B477" s="59">
        <f>VLOOKUP(Table18[[#This Row],[Date]],database!A:G,5,)</f>
        <v>98.668300000000002</v>
      </c>
      <c r="C477" s="67">
        <f t="shared" si="7"/>
        <v>2.6389969982296702E-3</v>
      </c>
      <c r="D477" s="67">
        <f>(Table18[[#This Row],[Index]]-B465)/B465</f>
        <v>1.4762492942203732E-2</v>
      </c>
    </row>
    <row r="478" spans="1:4" x14ac:dyDescent="0.2">
      <c r="A478" s="17">
        <v>40634</v>
      </c>
      <c r="B478" s="59">
        <f>VLOOKUP(Table18[[#This Row],[Date]],database!A:G,5,)</f>
        <v>98.486500000000007</v>
      </c>
      <c r="C478" s="68">
        <f t="shared" si="7"/>
        <v>-1.8425370661093732E-3</v>
      </c>
      <c r="D478" s="67">
        <f>(Table18[[#This Row],[Index]]-B466)/B466</f>
        <v>2.1364481096463266E-2</v>
      </c>
    </row>
    <row r="479" spans="1:4" x14ac:dyDescent="0.2">
      <c r="A479" s="17">
        <v>40664</v>
      </c>
      <c r="B479" s="59">
        <f>VLOOKUP(Table18[[#This Row],[Date]],database!A:G,5,)</f>
        <v>98.679100000000005</v>
      </c>
      <c r="C479" s="67">
        <f t="shared" si="7"/>
        <v>1.9555979753569375E-3</v>
      </c>
      <c r="D479" s="67">
        <f>(Table18[[#This Row],[Index]]-B467)/B467</f>
        <v>4.5105663911397158E-3</v>
      </c>
    </row>
    <row r="480" spans="1:4" x14ac:dyDescent="0.2">
      <c r="A480" s="17">
        <v>40695</v>
      </c>
      <c r="B480" s="59">
        <f>VLOOKUP(Table18[[#This Row],[Date]],database!A:G,5,)</f>
        <v>98.593500000000006</v>
      </c>
      <c r="C480" s="67">
        <f t="shared" si="7"/>
        <v>-8.6745825610490268E-4</v>
      </c>
      <c r="D480" s="67">
        <f>(Table18[[#This Row],[Index]]-B468)/B468</f>
        <v>6.172140256988934E-3</v>
      </c>
    </row>
    <row r="481" spans="1:4" x14ac:dyDescent="0.2">
      <c r="A481" s="17">
        <v>40725</v>
      </c>
      <c r="B481" s="59">
        <f>VLOOKUP(Table18[[#This Row],[Date]],database!A:G,5,)</f>
        <v>99.284199999999998</v>
      </c>
      <c r="C481" s="67">
        <f t="shared" si="7"/>
        <v>7.0055328191005461E-3</v>
      </c>
      <c r="D481" s="67">
        <f>(Table18[[#This Row],[Index]]-B469)/B469</f>
        <v>6.5624527940355117E-3</v>
      </c>
    </row>
    <row r="482" spans="1:4" x14ac:dyDescent="0.2">
      <c r="A482" s="17">
        <v>40756</v>
      </c>
      <c r="B482" s="59">
        <f>VLOOKUP(Table18[[#This Row],[Date]],database!A:G,5,)</f>
        <v>99.855599999999995</v>
      </c>
      <c r="C482" s="67">
        <f t="shared" si="7"/>
        <v>5.7551956907544444E-3</v>
      </c>
      <c r="D482" s="67">
        <f>(Table18[[#This Row],[Index]]-B470)/B470</f>
        <v>1.4912327062946354E-2</v>
      </c>
    </row>
    <row r="483" spans="1:4" x14ac:dyDescent="0.2">
      <c r="A483" s="17">
        <v>40787</v>
      </c>
      <c r="B483" s="59">
        <f>VLOOKUP(Table18[[#This Row],[Date]],database!A:G,5,)</f>
        <v>99.267499999999998</v>
      </c>
      <c r="C483" s="67">
        <f t="shared" si="7"/>
        <v>-5.8895044444177147E-3</v>
      </c>
      <c r="D483" s="67">
        <f>(Table18[[#This Row],[Index]]-B471)/B471</f>
        <v>1.2854092076438877E-2</v>
      </c>
    </row>
    <row r="484" spans="1:4" x14ac:dyDescent="0.2">
      <c r="A484" s="17">
        <v>40817</v>
      </c>
      <c r="B484" s="59">
        <f>VLOOKUP(Table18[[#This Row],[Date]],database!A:G,5,)</f>
        <v>99.522499999999994</v>
      </c>
      <c r="C484" s="67">
        <f t="shared" si="7"/>
        <v>2.5688165814592434E-3</v>
      </c>
      <c r="D484" s="67">
        <f>(Table18[[#This Row],[Index]]-B472)/B472</f>
        <v>1.550877221624725E-2</v>
      </c>
    </row>
    <row r="485" spans="1:4" x14ac:dyDescent="0.2">
      <c r="A485" s="17">
        <v>40848</v>
      </c>
      <c r="B485" s="59">
        <f>VLOOKUP(Table18[[#This Row],[Date]],database!A:G,5,)</f>
        <v>98.568200000000004</v>
      </c>
      <c r="C485" s="67">
        <f t="shared" si="7"/>
        <v>-9.5887864553240165E-3</v>
      </c>
      <c r="D485" s="67">
        <f>(Table18[[#This Row],[Index]]-B473)/B473</f>
        <v>1.1359403905763454E-2</v>
      </c>
    </row>
    <row r="486" spans="1:4" x14ac:dyDescent="0.2">
      <c r="A486" s="17">
        <v>40878</v>
      </c>
      <c r="B486" s="59">
        <f>VLOOKUP(Table18[[#This Row],[Date]],database!A:G,5,)</f>
        <v>98.463800000000006</v>
      </c>
      <c r="C486" s="67">
        <f t="shared" si="7"/>
        <v>-1.0591651262780166E-3</v>
      </c>
      <c r="D486" s="67">
        <f>(Table18[[#This Row],[Index]]-B474)/B474</f>
        <v>-9.3550874629643225E-4</v>
      </c>
    </row>
    <row r="487" spans="1:4" x14ac:dyDescent="0.2">
      <c r="A487" s="17">
        <v>40909</v>
      </c>
      <c r="B487" s="59">
        <f>VLOOKUP(Table18[[#This Row],[Date]],database!A:G,5,)</f>
        <v>98.382400000000004</v>
      </c>
      <c r="C487" s="67">
        <f t="shared" si="7"/>
        <v>-8.2669976173987969E-4</v>
      </c>
      <c r="D487" s="67">
        <f>(Table18[[#This Row],[Index]]-B475)/B475</f>
        <v>-2.1471873063397644E-3</v>
      </c>
    </row>
    <row r="488" spans="1:4" x14ac:dyDescent="0.2">
      <c r="A488" s="17">
        <v>40940</v>
      </c>
      <c r="B488" s="59">
        <f>VLOOKUP(Table18[[#This Row],[Date]],database!A:G,5,)</f>
        <v>98.277699999999996</v>
      </c>
      <c r="C488" s="67">
        <f t="shared" si="7"/>
        <v>-1.0642147375954369E-3</v>
      </c>
      <c r="D488" s="67">
        <f>(Table18[[#This Row],[Index]]-B476)/B476</f>
        <v>-1.3301682982992452E-3</v>
      </c>
    </row>
    <row r="489" spans="1:4" x14ac:dyDescent="0.2">
      <c r="A489" s="17">
        <v>40969</v>
      </c>
      <c r="B489" s="59">
        <f>VLOOKUP(Table18[[#This Row],[Date]],database!A:G,5,)</f>
        <v>96.700599999999994</v>
      </c>
      <c r="C489" s="67">
        <f t="shared" si="7"/>
        <v>-1.6047384096290473E-2</v>
      </c>
      <c r="D489" s="67">
        <f>(Table18[[#This Row],[Index]]-B477)/B477</f>
        <v>-1.9942575274936404E-2</v>
      </c>
    </row>
    <row r="490" spans="1:4" x14ac:dyDescent="0.2">
      <c r="A490" s="17">
        <v>41000</v>
      </c>
      <c r="B490" s="59">
        <f>VLOOKUP(Table18[[#This Row],[Date]],database!A:G,5,)</f>
        <v>97.465699999999998</v>
      </c>
      <c r="C490" s="67">
        <f t="shared" si="7"/>
        <v>7.9120501837630641E-3</v>
      </c>
      <c r="D490" s="67">
        <f>(Table18[[#This Row],[Index]]-B478)/B478</f>
        <v>-1.0364872342910026E-2</v>
      </c>
    </row>
    <row r="491" spans="1:4" x14ac:dyDescent="0.2">
      <c r="A491" s="17">
        <v>41030</v>
      </c>
      <c r="B491" s="59">
        <f>VLOOKUP(Table18[[#This Row],[Date]],database!A:G,5,)</f>
        <v>98.003799999999998</v>
      </c>
      <c r="C491" s="67">
        <f t="shared" si="7"/>
        <v>5.5209165891179079E-3</v>
      </c>
      <c r="D491" s="67">
        <f>(Table18[[#This Row],[Index]]-B479)/B479</f>
        <v>-6.843394396584556E-3</v>
      </c>
    </row>
    <row r="492" spans="1:4" x14ac:dyDescent="0.2">
      <c r="A492" s="17">
        <v>41061</v>
      </c>
      <c r="B492" s="59">
        <f>VLOOKUP(Table18[[#This Row],[Date]],database!A:G,5,)</f>
        <v>97.729900000000001</v>
      </c>
      <c r="C492" s="67">
        <f t="shared" si="7"/>
        <v>-2.7947895897914021E-3</v>
      </c>
      <c r="D492" s="67">
        <f>(Table18[[#This Row],[Index]]-B480)/B480</f>
        <v>-8.7591981215800752E-3</v>
      </c>
    </row>
    <row r="493" spans="1:4" x14ac:dyDescent="0.2">
      <c r="A493" s="17">
        <v>41091</v>
      </c>
      <c r="B493" s="59">
        <f>VLOOKUP(Table18[[#This Row],[Date]],database!A:G,5,)</f>
        <v>97.812299999999993</v>
      </c>
      <c r="C493" s="67">
        <f t="shared" si="7"/>
        <v>8.4314012395370064E-4</v>
      </c>
      <c r="D493" s="67">
        <f>(Table18[[#This Row],[Index]]-B481)/B481</f>
        <v>-1.4825118196047359E-2</v>
      </c>
    </row>
    <row r="494" spans="1:4" x14ac:dyDescent="0.2">
      <c r="A494" s="17">
        <v>41122</v>
      </c>
      <c r="B494" s="59">
        <f>VLOOKUP(Table18[[#This Row],[Date]],database!A:G,5,)</f>
        <v>97.310900000000004</v>
      </c>
      <c r="C494" s="67">
        <f t="shared" si="7"/>
        <v>-5.1261446668772193E-3</v>
      </c>
      <c r="D494" s="67">
        <f>(Table18[[#This Row],[Index]]-B482)/B482</f>
        <v>-2.5483798605185806E-2</v>
      </c>
    </row>
    <row r="495" spans="1:4" x14ac:dyDescent="0.2">
      <c r="A495" s="17">
        <v>41153</v>
      </c>
      <c r="B495" s="59">
        <f>VLOOKUP(Table18[[#This Row],[Date]],database!A:G,5,)</f>
        <v>97.002200000000002</v>
      </c>
      <c r="C495" s="67">
        <f t="shared" si="7"/>
        <v>-3.1723064939281898E-3</v>
      </c>
      <c r="D495" s="67">
        <f>(Table18[[#This Row],[Index]]-B483)/B483</f>
        <v>-2.2820157654821531E-2</v>
      </c>
    </row>
    <row r="496" spans="1:4" x14ac:dyDescent="0.2">
      <c r="A496" s="17">
        <v>41183</v>
      </c>
      <c r="B496" s="59">
        <f>VLOOKUP(Table18[[#This Row],[Date]],database!A:G,5,)</f>
        <v>97.0364</v>
      </c>
      <c r="C496" s="67">
        <f t="shared" si="7"/>
        <v>3.5256932317007106E-4</v>
      </c>
      <c r="D496" s="67">
        <f>(Table18[[#This Row],[Index]]-B484)/B484</f>
        <v>-2.4980280841015785E-2</v>
      </c>
    </row>
    <row r="497" spans="1:4" x14ac:dyDescent="0.2">
      <c r="A497" s="17">
        <v>41214</v>
      </c>
      <c r="B497" s="59">
        <f>VLOOKUP(Table18[[#This Row],[Date]],database!A:G,5,)</f>
        <v>97.465599999999995</v>
      </c>
      <c r="C497" s="67">
        <f t="shared" si="7"/>
        <v>4.4230824721445128E-3</v>
      </c>
      <c r="D497" s="67">
        <f>(Table18[[#This Row],[Index]]-B485)/B485</f>
        <v>-1.1186163488833209E-2</v>
      </c>
    </row>
    <row r="498" spans="1:4" x14ac:dyDescent="0.2">
      <c r="A498" s="17">
        <v>41244</v>
      </c>
      <c r="B498" s="59">
        <f>VLOOKUP(Table18[[#This Row],[Date]],database!A:G,5,)</f>
        <v>97.431799999999996</v>
      </c>
      <c r="C498" s="67">
        <f t="shared" si="7"/>
        <v>-3.4678902094686936E-4</v>
      </c>
      <c r="D498" s="67">
        <f>(Table18[[#This Row],[Index]]-B486)/B486</f>
        <v>-1.0481009264318568E-2</v>
      </c>
    </row>
    <row r="499" spans="1:4" x14ac:dyDescent="0.2">
      <c r="A499" s="17">
        <v>41275</v>
      </c>
      <c r="B499" s="59">
        <f>VLOOKUP(Table18[[#This Row],[Date]],database!A:G,5,)</f>
        <v>97.407300000000006</v>
      </c>
      <c r="C499" s="67">
        <f t="shared" si="7"/>
        <v>-2.5145794288916612E-4</v>
      </c>
      <c r="D499" s="67">
        <f>(Table18[[#This Row],[Index]]-B487)/B487</f>
        <v>-9.9113256029533491E-3</v>
      </c>
    </row>
    <row r="500" spans="1:4" x14ac:dyDescent="0.2">
      <c r="A500" s="17">
        <v>41306</v>
      </c>
      <c r="B500" s="59">
        <f>VLOOKUP(Table18[[#This Row],[Date]],database!A:G,5,)</f>
        <v>97.881900000000002</v>
      </c>
      <c r="C500" s="67">
        <f t="shared" si="7"/>
        <v>4.8723247641604406E-3</v>
      </c>
      <c r="D500" s="67">
        <f>(Table18[[#This Row],[Index]]-B488)/B488</f>
        <v>-4.0273632777323258E-3</v>
      </c>
    </row>
    <row r="501" spans="1:4" x14ac:dyDescent="0.2">
      <c r="A501" s="17">
        <v>41334</v>
      </c>
      <c r="B501" s="59">
        <f>VLOOKUP(Table18[[#This Row],[Date]],database!A:G,5,)</f>
        <v>98.456400000000002</v>
      </c>
      <c r="C501" s="67">
        <f t="shared" si="7"/>
        <v>5.8693180250894983E-3</v>
      </c>
      <c r="D501" s="67">
        <f>(Table18[[#This Row],[Index]]-B489)/B489</f>
        <v>1.8157074516600806E-2</v>
      </c>
    </row>
    <row r="502" spans="1:4" x14ac:dyDescent="0.2">
      <c r="A502" s="17">
        <v>41365</v>
      </c>
      <c r="B502" s="59">
        <f>VLOOKUP(Table18[[#This Row],[Date]],database!A:G,5,)</f>
        <v>98.154799999999994</v>
      </c>
      <c r="C502" s="67">
        <f t="shared" si="7"/>
        <v>-3.063284865178928E-3</v>
      </c>
      <c r="D502" s="67">
        <f>(Table18[[#This Row],[Index]]-B490)/B490</f>
        <v>7.0701795606043592E-3</v>
      </c>
    </row>
    <row r="503" spans="1:4" x14ac:dyDescent="0.2">
      <c r="A503" s="17">
        <v>41395</v>
      </c>
      <c r="B503" s="59">
        <f>VLOOKUP(Table18[[#This Row],[Date]],database!A:G,5,)</f>
        <v>98.054699999999997</v>
      </c>
      <c r="C503" s="67">
        <f t="shared" si="7"/>
        <v>-1.0198176757529875E-3</v>
      </c>
      <c r="D503" s="67">
        <f>(Table18[[#This Row],[Index]]-B491)/B491</f>
        <v>5.1936761635771895E-4</v>
      </c>
    </row>
    <row r="504" spans="1:4" x14ac:dyDescent="0.2">
      <c r="A504" s="17">
        <v>41426</v>
      </c>
      <c r="B504" s="59">
        <f>VLOOKUP(Table18[[#This Row],[Date]],database!A:G,5,)</f>
        <v>98.362700000000004</v>
      </c>
      <c r="C504" s="67">
        <f t="shared" si="7"/>
        <v>3.1411038940509783E-3</v>
      </c>
      <c r="D504" s="67">
        <f>(Table18[[#This Row],[Index]]-B492)/B492</f>
        <v>6.474988718907961E-3</v>
      </c>
    </row>
    <row r="505" spans="1:4" x14ac:dyDescent="0.2">
      <c r="A505" s="17">
        <v>41456</v>
      </c>
      <c r="B505" s="59">
        <f>VLOOKUP(Table18[[#This Row],[Date]],database!A:G,5,)</f>
        <v>97.388400000000004</v>
      </c>
      <c r="C505" s="67">
        <f t="shared" si="7"/>
        <v>-9.9051774707282769E-3</v>
      </c>
      <c r="D505" s="67">
        <f>(Table18[[#This Row],[Index]]-B493)/B493</f>
        <v>-4.3338107783989239E-3</v>
      </c>
    </row>
    <row r="506" spans="1:4" x14ac:dyDescent="0.2">
      <c r="A506" s="17">
        <v>41487</v>
      </c>
      <c r="B506" s="59">
        <f>VLOOKUP(Table18[[#This Row],[Date]],database!A:G,5,)</f>
        <v>97.885900000000007</v>
      </c>
      <c r="C506" s="67">
        <f t="shared" si="7"/>
        <v>5.1084112686932137E-3</v>
      </c>
      <c r="D506" s="67">
        <f>(Table18[[#This Row],[Index]]-B494)/B494</f>
        <v>5.9088961257166752E-3</v>
      </c>
    </row>
    <row r="507" spans="1:4" x14ac:dyDescent="0.2">
      <c r="A507" s="17">
        <v>41518</v>
      </c>
      <c r="B507" s="59">
        <f>VLOOKUP(Table18[[#This Row],[Date]],database!A:G,5,)</f>
        <v>98.180099999999996</v>
      </c>
      <c r="C507" s="67">
        <f t="shared" si="7"/>
        <v>3.0055401237563117E-3</v>
      </c>
      <c r="D507" s="67">
        <f>(Table18[[#This Row],[Index]]-B495)/B495</f>
        <v>1.2143023560290322E-2</v>
      </c>
    </row>
    <row r="508" spans="1:4" x14ac:dyDescent="0.2">
      <c r="A508" s="17">
        <v>41548</v>
      </c>
      <c r="B508" s="59">
        <f>VLOOKUP(Table18[[#This Row],[Date]],database!A:G,5,)</f>
        <v>98.532700000000006</v>
      </c>
      <c r="C508" s="67">
        <f t="shared" si="7"/>
        <v>3.591359145081352E-3</v>
      </c>
      <c r="D508" s="67">
        <f>(Table18[[#This Row],[Index]]-B496)/B496</f>
        <v>1.5419986726630471E-2</v>
      </c>
    </row>
    <row r="509" spans="1:4" x14ac:dyDescent="0.2">
      <c r="A509" s="17">
        <v>41579</v>
      </c>
      <c r="B509" s="59">
        <f>VLOOKUP(Table18[[#This Row],[Date]],database!A:G,5,)</f>
        <v>98.509699999999995</v>
      </c>
      <c r="C509" s="67">
        <f t="shared" si="7"/>
        <v>-2.3342504569556777E-4</v>
      </c>
      <c r="D509" s="67">
        <f>(Table18[[#This Row],[Index]]-B497)/B497</f>
        <v>1.0712497537592753E-2</v>
      </c>
    </row>
    <row r="510" spans="1:4" x14ac:dyDescent="0.2">
      <c r="A510" s="17">
        <v>41609</v>
      </c>
      <c r="B510" s="59">
        <f>VLOOKUP(Table18[[#This Row],[Date]],database!A:G,5,)</f>
        <v>99.243700000000004</v>
      </c>
      <c r="C510" s="67">
        <f t="shared" si="7"/>
        <v>7.451042892222981E-3</v>
      </c>
      <c r="D510" s="67">
        <f>(Table18[[#This Row],[Index]]-B498)/B498</f>
        <v>1.8596597825350742E-2</v>
      </c>
    </row>
    <row r="511" spans="1:4" x14ac:dyDescent="0.2">
      <c r="A511" s="17">
        <v>41640</v>
      </c>
      <c r="B511" s="59">
        <f>VLOOKUP(Table18[[#This Row],[Date]],database!A:G,5,)</f>
        <v>97.641199999999998</v>
      </c>
      <c r="C511" s="67">
        <f t="shared" si="7"/>
        <v>-1.6147120673654869E-2</v>
      </c>
      <c r="D511" s="67">
        <f>(Table18[[#This Row],[Index]]-B499)/B499</f>
        <v>2.4012574006259421E-3</v>
      </c>
    </row>
    <row r="512" spans="1:4" x14ac:dyDescent="0.2">
      <c r="A512" s="17">
        <v>41671</v>
      </c>
      <c r="B512" s="59">
        <f>VLOOKUP(Table18[[#This Row],[Date]],database!A:G,5,)</f>
        <v>98.769400000000005</v>
      </c>
      <c r="C512" s="67">
        <f t="shared" si="7"/>
        <v>1.155454869460848E-2</v>
      </c>
      <c r="D512" s="67">
        <f>(Table18[[#This Row],[Index]]-B500)/B500</f>
        <v>9.0670491684366854E-3</v>
      </c>
    </row>
    <row r="513" spans="1:4" x14ac:dyDescent="0.2">
      <c r="A513" s="17">
        <v>41699</v>
      </c>
      <c r="B513" s="59">
        <f>VLOOKUP(Table18[[#This Row],[Date]],database!A:G,5,)</f>
        <v>99.423199999999994</v>
      </c>
      <c r="C513" s="67">
        <f t="shared" si="7"/>
        <v>6.6194590632320249E-3</v>
      </c>
      <c r="D513" s="67">
        <f>(Table18[[#This Row],[Index]]-B501)/B501</f>
        <v>9.8195749590680968E-3</v>
      </c>
    </row>
    <row r="514" spans="1:4" x14ac:dyDescent="0.2">
      <c r="A514" s="17">
        <v>41730</v>
      </c>
      <c r="B514" s="59">
        <f>VLOOKUP(Table18[[#This Row],[Date]],database!A:G,5,)</f>
        <v>99.010900000000007</v>
      </c>
      <c r="C514" s="67">
        <f t="shared" si="7"/>
        <v>-4.1469194312795388E-3</v>
      </c>
      <c r="D514" s="67">
        <f>(Table18[[#This Row],[Index]]-B502)/B502</f>
        <v>8.7219371849365703E-3</v>
      </c>
    </row>
    <row r="515" spans="1:4" x14ac:dyDescent="0.2">
      <c r="A515" s="17">
        <v>41760</v>
      </c>
      <c r="B515" s="59">
        <f>VLOOKUP(Table18[[#This Row],[Date]],database!A:G,5,)</f>
        <v>98.875500000000002</v>
      </c>
      <c r="C515" s="67">
        <f t="shared" si="7"/>
        <v>-1.3675262016606959E-3</v>
      </c>
      <c r="D515" s="67">
        <f>(Table18[[#This Row],[Index]]-B503)/B503</f>
        <v>8.3708379098605731E-3</v>
      </c>
    </row>
    <row r="516" spans="1:4" x14ac:dyDescent="0.2">
      <c r="A516" s="17">
        <v>41791</v>
      </c>
      <c r="B516" s="59">
        <f>VLOOKUP(Table18[[#This Row],[Date]],database!A:G,5,)</f>
        <v>98.903800000000004</v>
      </c>
      <c r="C516" s="67">
        <f t="shared" si="7"/>
        <v>2.8621852734000974E-4</v>
      </c>
      <c r="D516" s="67">
        <f>(Table18[[#This Row],[Index]]-B504)/B504</f>
        <v>5.5010690027825597E-3</v>
      </c>
    </row>
    <row r="517" spans="1:4" x14ac:dyDescent="0.2">
      <c r="A517" s="17">
        <v>41821</v>
      </c>
      <c r="B517" s="59">
        <f>VLOOKUP(Table18[[#This Row],[Date]],database!A:G,5,)</f>
        <v>99.025499999999994</v>
      </c>
      <c r="C517" s="67">
        <f t="shared" si="7"/>
        <v>1.2304886162108897E-3</v>
      </c>
      <c r="D517" s="67">
        <f>(Table18[[#This Row],[Index]]-B505)/B505</f>
        <v>1.6810010227090593E-2</v>
      </c>
    </row>
    <row r="518" spans="1:4" x14ac:dyDescent="0.2">
      <c r="A518" s="17">
        <v>41852</v>
      </c>
      <c r="B518" s="59">
        <f>VLOOKUP(Table18[[#This Row],[Date]],database!A:G,5,)</f>
        <v>98.466800000000006</v>
      </c>
      <c r="C518" s="67">
        <f t="shared" si="7"/>
        <v>-5.6419811058766589E-3</v>
      </c>
      <c r="D518" s="67">
        <f>(Table18[[#This Row],[Index]]-B506)/B506</f>
        <v>5.9344604279063656E-3</v>
      </c>
    </row>
    <row r="519" spans="1:4" x14ac:dyDescent="0.2">
      <c r="A519" s="17">
        <v>41883</v>
      </c>
      <c r="B519" s="59">
        <f>VLOOKUP(Table18[[#This Row],[Date]],database!A:G,5,)</f>
        <v>98.882599999999996</v>
      </c>
      <c r="C519" s="67">
        <f t="shared" si="7"/>
        <v>4.2227430971657487E-3</v>
      </c>
      <c r="D519" s="67">
        <f>(Table18[[#This Row],[Index]]-B507)/B507</f>
        <v>7.1552178089042545E-3</v>
      </c>
    </row>
    <row r="520" spans="1:4" x14ac:dyDescent="0.2">
      <c r="A520" s="17">
        <v>41913</v>
      </c>
      <c r="B520" s="59">
        <f>VLOOKUP(Table18[[#This Row],[Date]],database!A:G,5,)</f>
        <v>98.555199999999999</v>
      </c>
      <c r="C520" s="67">
        <f t="shared" ref="C520:C583" si="8">B520/B519-1</f>
        <v>-3.310997081387379E-3</v>
      </c>
      <c r="D520" s="67">
        <f>(Table18[[#This Row],[Index]]-B508)/B508</f>
        <v>2.2835058818030711E-4</v>
      </c>
    </row>
    <row r="521" spans="1:4" x14ac:dyDescent="0.2">
      <c r="A521" s="17">
        <v>41944</v>
      </c>
      <c r="B521" s="59">
        <f>VLOOKUP(Table18[[#This Row],[Date]],database!A:G,5,)</f>
        <v>100.4474</v>
      </c>
      <c r="C521" s="68">
        <f t="shared" si="8"/>
        <v>1.9199392827572881E-2</v>
      </c>
      <c r="D521" s="67">
        <f>(Table18[[#This Row],[Index]]-B509)/B509</f>
        <v>1.9670144158392591E-2</v>
      </c>
    </row>
    <row r="522" spans="1:4" x14ac:dyDescent="0.2">
      <c r="A522" s="17">
        <v>41974</v>
      </c>
      <c r="B522" s="59">
        <f>VLOOKUP(Table18[[#This Row],[Date]],database!A:G,5,)</f>
        <v>100.12309999999999</v>
      </c>
      <c r="C522" s="67">
        <f t="shared" si="8"/>
        <v>-3.228555442948311E-3</v>
      </c>
      <c r="D522" s="67">
        <f>(Table18[[#This Row],[Index]]-B510)/B510</f>
        <v>8.8610158629715517E-3</v>
      </c>
    </row>
    <row r="523" spans="1:4" x14ac:dyDescent="0.2">
      <c r="A523" s="17">
        <v>42005</v>
      </c>
      <c r="B523" s="59">
        <f>VLOOKUP(Table18[[#This Row],[Date]],database!A:G,5,)</f>
        <v>100.2445</v>
      </c>
      <c r="C523" s="68">
        <f t="shared" si="8"/>
        <v>1.2125074033864092E-3</v>
      </c>
      <c r="D523" s="67">
        <f>(Table18[[#This Row],[Index]]-B511)/B511</f>
        <v>2.6661900918874454E-2</v>
      </c>
    </row>
    <row r="524" spans="1:4" x14ac:dyDescent="0.2">
      <c r="A524" s="17">
        <v>42036</v>
      </c>
      <c r="B524" s="59">
        <f>VLOOKUP(Table18[[#This Row],[Date]],database!A:G,5,)</f>
        <v>99.865600000000001</v>
      </c>
      <c r="C524" s="67">
        <f t="shared" si="8"/>
        <v>-3.7797584904907255E-3</v>
      </c>
      <c r="D524" s="67">
        <f>(Table18[[#This Row],[Index]]-B512)/B512</f>
        <v>1.1098579114584031E-2</v>
      </c>
    </row>
    <row r="525" spans="1:4" x14ac:dyDescent="0.2">
      <c r="A525" s="17">
        <v>42064</v>
      </c>
      <c r="B525" s="59">
        <f>VLOOKUP(Table18[[#This Row],[Date]],database!A:G,5,)</f>
        <v>101.0236</v>
      </c>
      <c r="C525" s="68">
        <f t="shared" si="8"/>
        <v>1.159558446552178E-2</v>
      </c>
      <c r="D525" s="67">
        <f>(Table18[[#This Row],[Index]]-B513)/B513</f>
        <v>1.6096846611253789E-2</v>
      </c>
    </row>
    <row r="526" spans="1:4" x14ac:dyDescent="0.2">
      <c r="A526" s="17">
        <v>42095</v>
      </c>
      <c r="B526" s="59">
        <f>VLOOKUP(Table18[[#This Row],[Date]],database!A:G,5,)</f>
        <v>100.1135</v>
      </c>
      <c r="C526" s="67">
        <f t="shared" si="8"/>
        <v>-9.00878606583011E-3</v>
      </c>
      <c r="D526" s="67">
        <f>(Table18[[#This Row],[Index]]-B514)/B514</f>
        <v>1.1136147636270303E-2</v>
      </c>
    </row>
    <row r="527" spans="1:4" x14ac:dyDescent="0.2">
      <c r="A527" s="17">
        <v>42125</v>
      </c>
      <c r="B527" s="59">
        <f>VLOOKUP(Table18[[#This Row],[Date]],database!A:G,5,)</f>
        <v>99.981700000000004</v>
      </c>
      <c r="C527" s="67">
        <f t="shared" si="8"/>
        <v>-1.3165057659556556E-3</v>
      </c>
      <c r="D527" s="67">
        <f>(Table18[[#This Row],[Index]]-B515)/B515</f>
        <v>1.1187806888460753E-2</v>
      </c>
    </row>
    <row r="528" spans="1:4" x14ac:dyDescent="0.2">
      <c r="A528" s="17">
        <v>42156</v>
      </c>
      <c r="B528" s="59">
        <f>VLOOKUP(Table18[[#This Row],[Date]],database!A:G,5,)</f>
        <v>99.877799999999993</v>
      </c>
      <c r="C528" s="67">
        <f t="shared" si="8"/>
        <v>-1.0391901718015406E-3</v>
      </c>
      <c r="D528" s="67">
        <f>(Table18[[#This Row],[Index]]-B516)/B516</f>
        <v>9.8479532636763147E-3</v>
      </c>
    </row>
    <row r="529" spans="1:4" x14ac:dyDescent="0.2">
      <c r="A529" s="17">
        <v>42186</v>
      </c>
      <c r="B529" s="59">
        <f>VLOOKUP(Table18[[#This Row],[Date]],database!A:G,5,)</f>
        <v>101.4229</v>
      </c>
      <c r="C529" s="67">
        <f t="shared" si="8"/>
        <v>1.5469904222960462E-2</v>
      </c>
      <c r="D529" s="67">
        <f>(Table18[[#This Row],[Index]]-B517)/B517</f>
        <v>2.4209925726201884E-2</v>
      </c>
    </row>
    <row r="530" spans="1:4" x14ac:dyDescent="0.2">
      <c r="A530" s="17">
        <v>42217</v>
      </c>
      <c r="B530" s="59">
        <f>VLOOKUP(Table18[[#This Row],[Date]],database!A:G,5,)</f>
        <v>101.35420000000001</v>
      </c>
      <c r="C530" s="67">
        <f t="shared" si="8"/>
        <v>-6.7736181868194301E-4</v>
      </c>
      <c r="D530" s="67">
        <f>(Table18[[#This Row],[Index]]-B518)/B518</f>
        <v>2.9323589270698339E-2</v>
      </c>
    </row>
    <row r="531" spans="1:4" x14ac:dyDescent="0.2">
      <c r="A531" s="17">
        <v>42248</v>
      </c>
      <c r="B531" s="59">
        <f>VLOOKUP(Table18[[#This Row],[Date]],database!A:G,5,)</f>
        <v>101.06310000000001</v>
      </c>
      <c r="C531" s="67">
        <f t="shared" si="8"/>
        <v>-2.8721059413423511E-3</v>
      </c>
      <c r="D531" s="67">
        <f>(Table18[[#This Row],[Index]]-B519)/B519</f>
        <v>2.2051402370083406E-2</v>
      </c>
    </row>
    <row r="532" spans="1:4" x14ac:dyDescent="0.2">
      <c r="A532" s="17">
        <v>42278</v>
      </c>
      <c r="B532" s="59">
        <f>VLOOKUP(Table18[[#This Row],[Date]],database!A:G,5,)</f>
        <v>100.6614</v>
      </c>
      <c r="C532" s="67">
        <f t="shared" si="8"/>
        <v>-3.9747444913128538E-3</v>
      </c>
      <c r="D532" s="67">
        <f>(Table18[[#This Row],[Index]]-B520)/B520</f>
        <v>2.1370764809974525E-2</v>
      </c>
    </row>
    <row r="533" spans="1:4" x14ac:dyDescent="0.2">
      <c r="A533" s="17">
        <v>42309</v>
      </c>
      <c r="B533" s="59">
        <f>VLOOKUP(Table18[[#This Row],[Date]],database!A:G,5,)</f>
        <v>100.26430000000001</v>
      </c>
      <c r="C533" s="67">
        <f t="shared" si="8"/>
        <v>-3.9449083760010328E-3</v>
      </c>
      <c r="D533" s="67">
        <f>(Table18[[#This Row],[Index]]-B521)/B521</f>
        <v>-1.8228445932895827E-3</v>
      </c>
    </row>
    <row r="534" spans="1:4" x14ac:dyDescent="0.2">
      <c r="A534" s="17">
        <v>42339</v>
      </c>
      <c r="B534" s="59">
        <f>VLOOKUP(Table18[[#This Row],[Date]],database!A:G,5,)</f>
        <v>99.626199999999997</v>
      </c>
      <c r="C534" s="67">
        <f t="shared" si="8"/>
        <v>-6.3641794736511992E-3</v>
      </c>
      <c r="D534" s="67">
        <f>(Table18[[#This Row],[Index]]-B522)/B522</f>
        <v>-4.9628906815709518E-3</v>
      </c>
    </row>
    <row r="535" spans="1:4" x14ac:dyDescent="0.2">
      <c r="A535" s="17">
        <v>42370</v>
      </c>
      <c r="B535" s="59">
        <f>VLOOKUP(Table18[[#This Row],[Date]],database!A:G,5,)</f>
        <v>101.07299999999999</v>
      </c>
      <c r="C535" s="67">
        <f t="shared" si="8"/>
        <v>1.4522284298708499E-2</v>
      </c>
      <c r="D535" s="67">
        <f>(Table18[[#This Row],[Index]]-B523)/B523</f>
        <v>8.2647925821365872E-3</v>
      </c>
    </row>
    <row r="536" spans="1:4" x14ac:dyDescent="0.2">
      <c r="A536" s="17">
        <v>42401</v>
      </c>
      <c r="B536" s="59">
        <f>VLOOKUP(Table18[[#This Row],[Date]],database!A:G,5,)</f>
        <v>100.9036</v>
      </c>
      <c r="C536" s="67">
        <f t="shared" si="8"/>
        <v>-1.676016344622111E-3</v>
      </c>
      <c r="D536" s="67">
        <f>(Table18[[#This Row],[Index]]-B524)/B524</f>
        <v>1.0393969495001249E-2</v>
      </c>
    </row>
    <row r="537" spans="1:4" x14ac:dyDescent="0.2">
      <c r="A537" s="17">
        <v>42430</v>
      </c>
      <c r="B537" s="59">
        <f>VLOOKUP(Table18[[#This Row],[Date]],database!A:G,5,)</f>
        <v>100.1096</v>
      </c>
      <c r="C537" s="67">
        <f t="shared" si="8"/>
        <v>-7.8688966498717816E-3</v>
      </c>
      <c r="D537" s="67">
        <f>(Table18[[#This Row],[Index]]-B525)/B525</f>
        <v>-9.0473909066792462E-3</v>
      </c>
    </row>
    <row r="538" spans="1:4" x14ac:dyDescent="0.2">
      <c r="A538" s="17">
        <v>42461</v>
      </c>
      <c r="B538" s="59">
        <f>VLOOKUP(Table18[[#This Row],[Date]],database!A:G,5,)</f>
        <v>101.1156</v>
      </c>
      <c r="C538" s="67">
        <f t="shared" si="8"/>
        <v>1.004898631100315E-2</v>
      </c>
      <c r="D538" s="67">
        <f>(Table18[[#This Row],[Index]]-B526)/B526</f>
        <v>1.0009639059667263E-2</v>
      </c>
    </row>
    <row r="539" spans="1:4" x14ac:dyDescent="0.2">
      <c r="A539" s="17">
        <v>42491</v>
      </c>
      <c r="B539" s="59">
        <f>VLOOKUP(Table18[[#This Row],[Date]],database!A:G,5,)</f>
        <v>100.7698</v>
      </c>
      <c r="C539" s="67">
        <f t="shared" si="8"/>
        <v>-3.4198481737733877E-3</v>
      </c>
      <c r="D539" s="67">
        <f>(Table18[[#This Row],[Index]]-B527)/B527</f>
        <v>7.8824424869751164E-3</v>
      </c>
    </row>
    <row r="540" spans="1:4" x14ac:dyDescent="0.2">
      <c r="A540" s="17">
        <v>42522</v>
      </c>
      <c r="B540" s="59">
        <f>VLOOKUP(Table18[[#This Row],[Date]],database!A:G,5,)</f>
        <v>101.6818</v>
      </c>
      <c r="C540" s="67">
        <f t="shared" si="8"/>
        <v>9.0503305553846225E-3</v>
      </c>
      <c r="D540" s="67">
        <f>(Table18[[#This Row],[Index]]-B528)/B528</f>
        <v>1.8062071851802926E-2</v>
      </c>
    </row>
    <row r="541" spans="1:4" x14ac:dyDescent="0.2">
      <c r="A541" s="17">
        <v>42552</v>
      </c>
      <c r="B541" s="59">
        <f>VLOOKUP(Table18[[#This Row],[Date]],database!A:G,5,)</f>
        <v>101.53740000000001</v>
      </c>
      <c r="C541" s="67">
        <f t="shared" si="8"/>
        <v>-1.4201164810220268E-3</v>
      </c>
      <c r="D541" s="67">
        <f>(Table18[[#This Row],[Index]]-B529)/B529</f>
        <v>1.128936364470023E-3</v>
      </c>
    </row>
    <row r="542" spans="1:4" x14ac:dyDescent="0.2">
      <c r="A542" s="17">
        <v>42583</v>
      </c>
      <c r="B542" s="59">
        <f>VLOOKUP(Table18[[#This Row],[Date]],database!A:G,5,)</f>
        <v>101.7145</v>
      </c>
      <c r="C542" s="67">
        <f t="shared" si="8"/>
        <v>1.744184901326884E-3</v>
      </c>
      <c r="D542" s="67">
        <f>(Table18[[#This Row],[Index]]-B530)/B530</f>
        <v>3.554860084732504E-3</v>
      </c>
    </row>
    <row r="543" spans="1:4" x14ac:dyDescent="0.2">
      <c r="A543" s="17">
        <v>42614</v>
      </c>
      <c r="B543" s="59">
        <f>VLOOKUP(Table18[[#This Row],[Date]],database!A:G,5,)</f>
        <v>101.497</v>
      </c>
      <c r="C543" s="67">
        <f t="shared" si="8"/>
        <v>-2.1383381917032818E-3</v>
      </c>
      <c r="D543" s="67">
        <f>(Table18[[#This Row],[Index]]-B531)/B531</f>
        <v>4.2933573183485778E-3</v>
      </c>
    </row>
    <row r="544" spans="1:4" x14ac:dyDescent="0.2">
      <c r="A544" s="17">
        <v>42644</v>
      </c>
      <c r="B544" s="59">
        <f>VLOOKUP(Table18[[#This Row],[Date]],database!A:G,5,)</f>
        <v>101.0271</v>
      </c>
      <c r="C544" s="67">
        <f t="shared" si="8"/>
        <v>-4.6296934884774155E-3</v>
      </c>
      <c r="D544" s="67">
        <f>(Table18[[#This Row],[Index]]-B532)/B532</f>
        <v>3.6329715263249259E-3</v>
      </c>
    </row>
    <row r="545" spans="1:4" x14ac:dyDescent="0.2">
      <c r="A545" s="17">
        <v>42675</v>
      </c>
      <c r="B545" s="59">
        <f>VLOOKUP(Table18[[#This Row],[Date]],database!A:G,5,)</f>
        <v>99.943600000000004</v>
      </c>
      <c r="C545" s="67">
        <f t="shared" si="8"/>
        <v>-1.0724845115815507E-2</v>
      </c>
      <c r="D545" s="67">
        <f>(Table18[[#This Row],[Index]]-B533)/B533</f>
        <v>-3.1985462422816713E-3</v>
      </c>
    </row>
    <row r="546" spans="1:4" x14ac:dyDescent="0.2">
      <c r="A546" s="17">
        <v>42705</v>
      </c>
      <c r="B546" s="59">
        <f>VLOOKUP(Table18[[#This Row],[Date]],database!A:G,5,)</f>
        <v>101.4053</v>
      </c>
      <c r="C546" s="67">
        <f t="shared" si="8"/>
        <v>1.4625248640232957E-2</v>
      </c>
      <c r="D546" s="67">
        <f>(Table18[[#This Row],[Index]]-B534)/B534</f>
        <v>1.785775227801522E-2</v>
      </c>
    </row>
    <row r="547" spans="1:4" x14ac:dyDescent="0.2">
      <c r="A547" s="17">
        <v>42736</v>
      </c>
      <c r="B547" s="59">
        <f>VLOOKUP(Table18[[#This Row],[Date]],database!A:G,5,)</f>
        <v>100.14060000000001</v>
      </c>
      <c r="C547" s="67">
        <f t="shared" si="8"/>
        <v>-1.2471734712090843E-2</v>
      </c>
      <c r="D547" s="67">
        <f>(Table18[[#This Row],[Index]]-B535)/B535</f>
        <v>-9.2250155827964652E-3</v>
      </c>
    </row>
    <row r="548" spans="1:4" x14ac:dyDescent="0.2">
      <c r="A548" s="17">
        <v>42767</v>
      </c>
      <c r="B548" s="59">
        <f>VLOOKUP(Table18[[#This Row],[Date]],database!A:G,5,)</f>
        <v>98.7988</v>
      </c>
      <c r="C548" s="67">
        <f t="shared" si="8"/>
        <v>-1.3399160779943409E-2</v>
      </c>
      <c r="D548" s="67">
        <f>(Table18[[#This Row],[Index]]-B536)/B536</f>
        <v>-2.0859513436586975E-2</v>
      </c>
    </row>
    <row r="549" spans="1:4" x14ac:dyDescent="0.2">
      <c r="A549" s="17">
        <v>42795</v>
      </c>
      <c r="B549" s="59">
        <f>VLOOKUP(Table18[[#This Row],[Date]],database!A:G,5,)</f>
        <v>99.514600000000002</v>
      </c>
      <c r="C549" s="67">
        <f t="shared" si="8"/>
        <v>7.2450272675377292E-3</v>
      </c>
      <c r="D549" s="67">
        <f>(Table18[[#This Row],[Index]]-B537)/B537</f>
        <v>-5.943485939410395E-3</v>
      </c>
    </row>
    <row r="550" spans="1:4" x14ac:dyDescent="0.2">
      <c r="A550" s="17">
        <v>42826</v>
      </c>
      <c r="B550" s="59">
        <f>VLOOKUP(Table18[[#This Row],[Date]],database!A:G,5,)</f>
        <v>100.3398</v>
      </c>
      <c r="C550" s="67">
        <f t="shared" si="8"/>
        <v>8.2922505843363581E-3</v>
      </c>
      <c r="D550" s="67">
        <f>(Table18[[#This Row],[Index]]-B538)/B538</f>
        <v>-7.6724066316177109E-3</v>
      </c>
    </row>
    <row r="551" spans="1:4" x14ac:dyDescent="0.2">
      <c r="A551" s="17">
        <v>42856</v>
      </c>
      <c r="B551" s="59">
        <f>VLOOKUP(Table18[[#This Row],[Date]],database!A:G,5,)</f>
        <v>100.7988</v>
      </c>
      <c r="C551" s="67">
        <f t="shared" si="8"/>
        <v>4.5744559985170241E-3</v>
      </c>
      <c r="D551" s="67">
        <f>(Table18[[#This Row],[Index]]-B539)/B539</f>
        <v>2.8778463388829154E-4</v>
      </c>
    </row>
    <row r="552" spans="1:4" x14ac:dyDescent="0.2">
      <c r="A552" s="17">
        <v>42887</v>
      </c>
      <c r="B552" s="59">
        <f>VLOOKUP(Table18[[#This Row],[Date]],database!A:G,5,)</f>
        <v>100.31010000000001</v>
      </c>
      <c r="C552" s="67">
        <f t="shared" si="8"/>
        <v>-4.8482720032381188E-3</v>
      </c>
      <c r="D552" s="67">
        <f>(Table18[[#This Row],[Index]]-B540)/B540</f>
        <v>-1.3490123109543596E-2</v>
      </c>
    </row>
    <row r="553" spans="1:4" x14ac:dyDescent="0.2">
      <c r="A553" s="17">
        <v>42917</v>
      </c>
      <c r="B553" s="59">
        <f>VLOOKUP(Table18[[#This Row],[Date]],database!A:G,5,)</f>
        <v>99.972800000000007</v>
      </c>
      <c r="C553" s="67">
        <f t="shared" si="8"/>
        <v>-3.3625726621745455E-3</v>
      </c>
      <c r="D553" s="67">
        <f>(Table18[[#This Row],[Index]]-B541)/B541</f>
        <v>-1.5409100489080856E-2</v>
      </c>
    </row>
    <row r="554" spans="1:4" x14ac:dyDescent="0.2">
      <c r="A554" s="17">
        <v>42948</v>
      </c>
      <c r="B554" s="59">
        <f>VLOOKUP(Table18[[#This Row],[Date]],database!A:G,5,)</f>
        <v>99.767799999999994</v>
      </c>
      <c r="C554" s="67">
        <f t="shared" si="8"/>
        <v>-2.0505577517085927E-3</v>
      </c>
      <c r="D554" s="67">
        <f>(Table18[[#This Row],[Index]]-B542)/B542</f>
        <v>-1.9138864173741277E-2</v>
      </c>
    </row>
    <row r="555" spans="1:4" x14ac:dyDescent="0.2">
      <c r="A555" s="17">
        <v>42979</v>
      </c>
      <c r="B555" s="59">
        <f>VLOOKUP(Table18[[#This Row],[Date]],database!A:G,5,)</f>
        <v>99.666499999999999</v>
      </c>
      <c r="C555" s="67">
        <f t="shared" si="8"/>
        <v>-1.0153576604875481E-3</v>
      </c>
      <c r="D555" s="67">
        <f>(Table18[[#This Row],[Index]]-B543)/B543</f>
        <v>-1.8035015813275275E-2</v>
      </c>
    </row>
    <row r="556" spans="1:4" x14ac:dyDescent="0.2">
      <c r="A556" s="17">
        <v>43009</v>
      </c>
      <c r="B556" s="59">
        <f>VLOOKUP(Table18[[#This Row],[Date]],database!A:G,5,)</f>
        <v>100.47110000000001</v>
      </c>
      <c r="C556" s="67">
        <f t="shared" si="8"/>
        <v>8.0729231988683203E-3</v>
      </c>
      <c r="D556" s="67">
        <f>(Table18[[#This Row],[Index]]-B544)/B544</f>
        <v>-5.5034738203907406E-3</v>
      </c>
    </row>
    <row r="557" spans="1:4" x14ac:dyDescent="0.2">
      <c r="A557" s="17">
        <v>43040</v>
      </c>
      <c r="B557" s="59">
        <f>VLOOKUP(Table18[[#This Row],[Date]],database!A:G,5,)</f>
        <v>99.944500000000005</v>
      </c>
      <c r="C557" s="67">
        <f t="shared" si="8"/>
        <v>-5.2413081970835718E-3</v>
      </c>
      <c r="D557" s="67">
        <f>(Table18[[#This Row],[Index]]-B545)/B545</f>
        <v>9.0050788644941259E-6</v>
      </c>
    </row>
    <row r="558" spans="1:4" x14ac:dyDescent="0.2">
      <c r="A558" s="17">
        <v>43070</v>
      </c>
      <c r="B558" s="59">
        <f>VLOOKUP(Table18[[#This Row],[Date]],database!A:G,5,)</f>
        <v>100.2747</v>
      </c>
      <c r="C558" s="67">
        <f t="shared" si="8"/>
        <v>3.3038336276631775E-3</v>
      </c>
      <c r="D558" s="67">
        <f>(Table18[[#This Row],[Index]]-B546)/B546</f>
        <v>-1.1149318625357858E-2</v>
      </c>
    </row>
    <row r="559" spans="1:4" x14ac:dyDescent="0.2">
      <c r="A559" s="17">
        <v>43101</v>
      </c>
      <c r="B559" s="59">
        <f>VLOOKUP(Table18[[#This Row],[Date]],database!A:G,5,)</f>
        <v>100.72669999999999</v>
      </c>
      <c r="C559" s="67">
        <f t="shared" si="8"/>
        <v>4.507617574522671E-3</v>
      </c>
      <c r="D559" s="67">
        <f>(Table18[[#This Row],[Index]]-B547)/B547</f>
        <v>5.8527710039682967E-3</v>
      </c>
    </row>
    <row r="560" spans="1:4" x14ac:dyDescent="0.2">
      <c r="A560" s="17">
        <v>43132</v>
      </c>
      <c r="B560" s="59">
        <f>VLOOKUP(Table18[[#This Row],[Date]],database!A:G,5,)</f>
        <v>100.1498</v>
      </c>
      <c r="C560" s="67">
        <f t="shared" si="8"/>
        <v>-5.7273791358199988E-3</v>
      </c>
      <c r="D560" s="67">
        <f>(Table18[[#This Row],[Index]]-B548)/B548</f>
        <v>1.3674255152896584E-2</v>
      </c>
    </row>
    <row r="561" spans="1:4" x14ac:dyDescent="0.2">
      <c r="A561" s="17">
        <v>43160</v>
      </c>
      <c r="B561" s="59">
        <f>VLOOKUP(Table18[[#This Row],[Date]],database!A:G,5,)</f>
        <v>100.5068</v>
      </c>
      <c r="C561" s="67">
        <f t="shared" si="8"/>
        <v>3.5646601391114974E-3</v>
      </c>
      <c r="D561" s="67">
        <f>(Table18[[#This Row],[Index]]-B549)/B549</f>
        <v>9.9703963036579246E-3</v>
      </c>
    </row>
    <row r="562" spans="1:4" x14ac:dyDescent="0.2">
      <c r="A562" s="17">
        <v>43191</v>
      </c>
      <c r="B562" s="59">
        <f>VLOOKUP(Table18[[#This Row],[Date]],database!A:G,5,)</f>
        <v>102.2392</v>
      </c>
      <c r="C562" s="67">
        <f t="shared" si="8"/>
        <v>1.7236644684737623E-2</v>
      </c>
      <c r="D562" s="67">
        <f>(Table18[[#This Row],[Index]]-B550)/B550</f>
        <v>1.8929676957697743E-2</v>
      </c>
    </row>
    <row r="563" spans="1:4" x14ac:dyDescent="0.2">
      <c r="A563" s="17">
        <v>43221</v>
      </c>
      <c r="B563" s="59">
        <f>VLOOKUP(Table18[[#This Row],[Date]],database!A:G,5,)</f>
        <v>99.483999999999995</v>
      </c>
      <c r="C563" s="67">
        <f t="shared" si="8"/>
        <v>-2.6948567672673507E-2</v>
      </c>
      <c r="D563" s="67">
        <f>(Table18[[#This Row],[Index]]-B551)/B551</f>
        <v>-1.3043806077056526E-2</v>
      </c>
    </row>
    <row r="564" spans="1:4" x14ac:dyDescent="0.2">
      <c r="A564" s="17">
        <v>43252</v>
      </c>
      <c r="B564" s="59">
        <f>VLOOKUP(Table18[[#This Row],[Date]],database!A:G,5,)</f>
        <v>100.4302</v>
      </c>
      <c r="C564" s="67">
        <f t="shared" si="8"/>
        <v>9.5110771581359277E-3</v>
      </c>
      <c r="D564" s="67">
        <f>(Table18[[#This Row],[Index]]-B552)/B552</f>
        <v>1.1972872123544255E-3</v>
      </c>
    </row>
    <row r="565" spans="1:4" x14ac:dyDescent="0.2">
      <c r="A565" s="17">
        <v>43282</v>
      </c>
      <c r="B565" s="59">
        <f>VLOOKUP(Table18[[#This Row],[Date]],database!A:G,5,)</f>
        <v>100.3079</v>
      </c>
      <c r="C565" s="67">
        <f t="shared" si="8"/>
        <v>-1.2177611913547493E-3</v>
      </c>
      <c r="D565" s="67">
        <f>(Table18[[#This Row],[Index]]-B553)/B553</f>
        <v>3.3519117199878072E-3</v>
      </c>
    </row>
    <row r="566" spans="1:4" x14ac:dyDescent="0.2">
      <c r="A566" s="17">
        <v>43313</v>
      </c>
      <c r="B566" s="59">
        <f>VLOOKUP(Table18[[#This Row],[Date]],database!A:G,5,)</f>
        <v>101.1618</v>
      </c>
      <c r="C566" s="67">
        <f t="shared" si="8"/>
        <v>8.5127891222924745E-3</v>
      </c>
      <c r="D566" s="67">
        <f>(Table18[[#This Row],[Index]]-B554)/B554</f>
        <v>1.3972444015002892E-2</v>
      </c>
    </row>
    <row r="567" spans="1:4" x14ac:dyDescent="0.2">
      <c r="A567" s="17">
        <v>43344</v>
      </c>
      <c r="B567" s="59">
        <f>VLOOKUP(Table18[[#This Row],[Date]],database!A:G,5,)</f>
        <v>101.1465</v>
      </c>
      <c r="C567" s="67">
        <f t="shared" si="8"/>
        <v>-1.5124286044732038E-4</v>
      </c>
      <c r="D567" s="67">
        <f>(Table18[[#This Row],[Index]]-B555)/B555</f>
        <v>1.4849523159737765E-2</v>
      </c>
    </row>
    <row r="568" spans="1:4" x14ac:dyDescent="0.2">
      <c r="A568" s="17">
        <v>43374</v>
      </c>
      <c r="B568" s="59">
        <f>VLOOKUP(Table18[[#This Row],[Date]],database!A:G,5,)</f>
        <v>101.1639</v>
      </c>
      <c r="C568" s="67">
        <f t="shared" si="8"/>
        <v>1.7202770239199694E-4</v>
      </c>
      <c r="D568" s="67">
        <f>(Table18[[#This Row],[Index]]-B556)/B556</f>
        <v>6.8955152277619253E-3</v>
      </c>
    </row>
    <row r="569" spans="1:4" x14ac:dyDescent="0.2">
      <c r="A569" s="17">
        <v>43405</v>
      </c>
      <c r="B569" s="59">
        <f>VLOOKUP(Table18[[#This Row],[Date]],database!A:G,5,)</f>
        <v>101.2022</v>
      </c>
      <c r="C569" s="67">
        <f t="shared" si="8"/>
        <v>3.7859354967539893E-4</v>
      </c>
      <c r="D569" s="67">
        <f>(Table18[[#This Row],[Index]]-B557)/B557</f>
        <v>1.2583984111181704E-2</v>
      </c>
    </row>
    <row r="570" spans="1:4" x14ac:dyDescent="0.2">
      <c r="A570" s="17">
        <v>43435</v>
      </c>
      <c r="B570" s="59">
        <f>VLOOKUP(Table18[[#This Row],[Date]],database!A:G,5,)</f>
        <v>100.9555</v>
      </c>
      <c r="C570" s="67">
        <f t="shared" si="8"/>
        <v>-2.4376940422243809E-3</v>
      </c>
      <c r="D570" s="67">
        <f>(Table18[[#This Row],[Index]]-B558)/B558</f>
        <v>6.7893496564936616E-3</v>
      </c>
    </row>
    <row r="571" spans="1:4" x14ac:dyDescent="0.2">
      <c r="A571" s="17">
        <v>43466</v>
      </c>
      <c r="B571" s="59">
        <f>VLOOKUP(Table18[[#This Row],[Date]],database!A:G,5,)</f>
        <v>100.23739999999999</v>
      </c>
      <c r="C571" s="67">
        <f t="shared" si="8"/>
        <v>-7.1130349510428736E-3</v>
      </c>
      <c r="D571" s="67">
        <f>(Table18[[#This Row],[Index]]-B559)/B559</f>
        <v>-4.8576991006356813E-3</v>
      </c>
    </row>
    <row r="572" spans="1:4" x14ac:dyDescent="0.2">
      <c r="A572" s="17">
        <v>43497</v>
      </c>
      <c r="B572" s="59">
        <f>VLOOKUP(Table18[[#This Row],[Date]],database!A:G,5,)</f>
        <v>100.55329999999999</v>
      </c>
      <c r="C572" s="67">
        <f t="shared" si="8"/>
        <v>3.151518295566369E-3</v>
      </c>
      <c r="D572" s="67">
        <f>(Table18[[#This Row],[Index]]-B560)/B560</f>
        <v>4.0289646110126427E-3</v>
      </c>
    </row>
    <row r="573" spans="1:4" x14ac:dyDescent="0.2">
      <c r="A573" s="17">
        <v>43525</v>
      </c>
      <c r="B573" s="59">
        <f>VLOOKUP(Table18[[#This Row],[Date]],database!A:G,5,)</f>
        <v>101.0626</v>
      </c>
      <c r="C573" s="67">
        <f t="shared" si="8"/>
        <v>5.0649754906104683E-3</v>
      </c>
      <c r="D573" s="67">
        <f>(Table18[[#This Row],[Index]]-B561)/B561</f>
        <v>5.529974091305314E-3</v>
      </c>
    </row>
    <row r="574" spans="1:4" x14ac:dyDescent="0.2">
      <c r="A574" s="17">
        <v>43556</v>
      </c>
      <c r="B574" s="59">
        <f>VLOOKUP(Table18[[#This Row],[Date]],database!A:G,5,)</f>
        <v>99.741299999999995</v>
      </c>
      <c r="C574" s="67">
        <f t="shared" si="8"/>
        <v>-1.3074074880321751E-2</v>
      </c>
      <c r="D574" s="67">
        <f>(Table18[[#This Row],[Index]]-B562)/B562</f>
        <v>-2.4431920437562125E-2</v>
      </c>
    </row>
    <row r="575" spans="1:4" x14ac:dyDescent="0.2">
      <c r="A575" s="17">
        <v>43586</v>
      </c>
      <c r="B575" s="59">
        <f>VLOOKUP(Table18[[#This Row],[Date]],database!A:G,5,)</f>
        <v>100.2936</v>
      </c>
      <c r="C575" s="67">
        <f t="shared" si="8"/>
        <v>5.5373250599299872E-3</v>
      </c>
      <c r="D575" s="67">
        <f>(Table18[[#This Row],[Index]]-B563)/B563</f>
        <v>8.1379920389208649E-3</v>
      </c>
    </row>
    <row r="576" spans="1:4" x14ac:dyDescent="0.2">
      <c r="A576" s="17">
        <v>43617</v>
      </c>
      <c r="B576" s="59">
        <f>VLOOKUP(Table18[[#This Row],[Date]],database!A:G,5,)</f>
        <v>100.89919999999999</v>
      </c>
      <c r="C576" s="67">
        <f t="shared" si="8"/>
        <v>6.0382716344811183E-3</v>
      </c>
      <c r="D576" s="67">
        <f>(Table18[[#This Row],[Index]]-B564)/B564</f>
        <v>4.669910046977842E-3</v>
      </c>
    </row>
    <row r="577" spans="1:4" x14ac:dyDescent="0.2">
      <c r="A577" s="17">
        <v>43647</v>
      </c>
      <c r="B577" s="59">
        <f>VLOOKUP(Table18[[#This Row],[Date]],database!A:G,5,)</f>
        <v>100.6116</v>
      </c>
      <c r="C577" s="67">
        <f t="shared" si="8"/>
        <v>-2.8503694776569333E-3</v>
      </c>
      <c r="D577" s="67">
        <f>(Table18[[#This Row],[Index]]-B565)/B565</f>
        <v>3.0276777801149469E-3</v>
      </c>
    </row>
    <row r="578" spans="1:4" x14ac:dyDescent="0.2">
      <c r="A578" s="17">
        <v>43678</v>
      </c>
      <c r="B578" s="59">
        <f>VLOOKUP(Table18[[#This Row],[Date]],database!A:G,5,)</f>
        <v>100.9573</v>
      </c>
      <c r="C578" s="67">
        <f t="shared" si="8"/>
        <v>3.4359855126049332E-3</v>
      </c>
      <c r="D578" s="67">
        <f>(Table18[[#This Row],[Index]]-B566)/B566</f>
        <v>-2.0215140497697342E-3</v>
      </c>
    </row>
    <row r="579" spans="1:4" x14ac:dyDescent="0.2">
      <c r="A579" s="17">
        <v>43709</v>
      </c>
      <c r="B579" s="59">
        <f>VLOOKUP(Table18[[#This Row],[Date]],database!A:G,5,)</f>
        <v>100.2008</v>
      </c>
      <c r="C579" s="67">
        <f t="shared" si="8"/>
        <v>-7.4932669554356179E-3</v>
      </c>
      <c r="D579" s="67">
        <f>(Table18[[#This Row],[Index]]-B567)/B567</f>
        <v>-9.3498044915049181E-3</v>
      </c>
    </row>
    <row r="580" spans="1:4" x14ac:dyDescent="0.2">
      <c r="A580" s="17">
        <v>43739</v>
      </c>
      <c r="B580" s="59">
        <f>VLOOKUP(Table18[[#This Row],[Date]],database!A:G,5,)</f>
        <v>99.954400000000007</v>
      </c>
      <c r="C580" s="67">
        <f t="shared" si="8"/>
        <v>-2.4590622030961073E-3</v>
      </c>
      <c r="D580" s="67">
        <f>(Table18[[#This Row],[Index]]-B568)/B568</f>
        <v>-1.1955845909459712E-2</v>
      </c>
    </row>
    <row r="581" spans="1:4" x14ac:dyDescent="0.2">
      <c r="A581" s="17">
        <v>43770</v>
      </c>
      <c r="B581" s="59">
        <f>VLOOKUP(Table18[[#This Row],[Date]],database!A:G,5,)</f>
        <v>101.2811</v>
      </c>
      <c r="C581" s="67">
        <f t="shared" si="8"/>
        <v>1.3273052511945327E-2</v>
      </c>
      <c r="D581" s="67">
        <f>(Table18[[#This Row],[Index]]-B569)/B569</f>
        <v>7.7962732035459894E-4</v>
      </c>
    </row>
    <row r="582" spans="1:4" x14ac:dyDescent="0.2">
      <c r="A582" s="17">
        <v>43800</v>
      </c>
      <c r="B582" s="59">
        <f>VLOOKUP(Table18[[#This Row],[Date]],database!A:G,5,)</f>
        <v>100.44540000000001</v>
      </c>
      <c r="C582" s="67">
        <f t="shared" si="8"/>
        <v>-8.2512926893565375E-3</v>
      </c>
      <c r="D582" s="67">
        <f>(Table18[[#This Row],[Index]]-B570)/B570</f>
        <v>-5.0527212484708034E-3</v>
      </c>
    </row>
    <row r="583" spans="1:4" x14ac:dyDescent="0.2">
      <c r="A583" s="17">
        <v>43831</v>
      </c>
      <c r="B583" s="59">
        <f>VLOOKUP(Table18[[#This Row],[Date]],database!A:G,5,)</f>
        <v>100.0985</v>
      </c>
      <c r="C583" s="67">
        <f t="shared" si="8"/>
        <v>-3.4536175872663666E-3</v>
      </c>
      <c r="D583" s="67">
        <f>(Table18[[#This Row],[Index]]-B571)/B571</f>
        <v>-1.3857103236914812E-3</v>
      </c>
    </row>
    <row r="584" spans="1:4" x14ac:dyDescent="0.2">
      <c r="A584" s="17">
        <v>43862</v>
      </c>
      <c r="B584" s="59">
        <f>VLOOKUP(Table18[[#This Row],[Date]],database!A:G,5,)</f>
        <v>101.1524</v>
      </c>
      <c r="C584" s="67">
        <f t="shared" ref="C584:C647" si="9">B584/B583-1</f>
        <v>1.0528629300139425E-2</v>
      </c>
      <c r="D584" s="67">
        <f>(Table18[[#This Row],[Index]]-B572)/B572</f>
        <v>5.958034196789236E-3</v>
      </c>
    </row>
    <row r="585" spans="1:4" x14ac:dyDescent="0.2">
      <c r="A585" s="17">
        <v>43891</v>
      </c>
      <c r="B585" s="59">
        <f>VLOOKUP(Table18[[#This Row],[Date]],database!A:G,5,)</f>
        <v>96.3369</v>
      </c>
      <c r="C585" s="67">
        <f t="shared" si="9"/>
        <v>-4.7606384030433269E-2</v>
      </c>
      <c r="D585" s="67">
        <f>(Table18[[#This Row],[Index]]-B573)/B573</f>
        <v>-4.6760126891649365E-2</v>
      </c>
    </row>
    <row r="586" spans="1:4" x14ac:dyDescent="0.2">
      <c r="A586" s="17">
        <v>43922</v>
      </c>
      <c r="B586" s="59">
        <f>VLOOKUP(Table18[[#This Row],[Date]],database!A:G,5,)</f>
        <v>85.209199999999996</v>
      </c>
      <c r="C586" s="67">
        <f t="shared" si="9"/>
        <v>-0.11550818014696351</v>
      </c>
      <c r="D586" s="67">
        <f>(Table18[[#This Row],[Index]]-B574)/B574</f>
        <v>-0.14569792052038624</v>
      </c>
    </row>
    <row r="587" spans="1:4" x14ac:dyDescent="0.2">
      <c r="A587" s="17">
        <v>43952</v>
      </c>
      <c r="B587" s="59">
        <f>VLOOKUP(Table18[[#This Row],[Date]],database!A:G,5,)</f>
        <v>88.910899999999998</v>
      </c>
      <c r="C587" s="67">
        <f t="shared" si="9"/>
        <v>4.344249212526341E-2</v>
      </c>
      <c r="D587" s="67">
        <f>(Table18[[#This Row],[Index]]-B575)/B575</f>
        <v>-0.11349378225529845</v>
      </c>
    </row>
    <row r="588" spans="1:4" x14ac:dyDescent="0.2">
      <c r="A588" s="17">
        <v>43983</v>
      </c>
      <c r="B588" s="59">
        <f>VLOOKUP(Table18[[#This Row],[Date]],database!A:G,5,)</f>
        <v>96.627099999999999</v>
      </c>
      <c r="C588" s="67">
        <f t="shared" si="9"/>
        <v>8.6785759676260232E-2</v>
      </c>
      <c r="D588" s="67">
        <f>(Table18[[#This Row],[Index]]-B576)/B576</f>
        <v>-4.2340276236085071E-2</v>
      </c>
    </row>
    <row r="589" spans="1:4" x14ac:dyDescent="0.2">
      <c r="A589" s="17">
        <v>44013</v>
      </c>
      <c r="B589" s="59">
        <f>VLOOKUP(Table18[[#This Row],[Date]],database!A:G,5,)</f>
        <v>101.0609</v>
      </c>
      <c r="C589" s="67">
        <f t="shared" si="9"/>
        <v>4.5885678034423005E-2</v>
      </c>
      <c r="D589" s="67">
        <f>(Table18[[#This Row],[Index]]-B577)/B577</f>
        <v>4.4656878530905785E-3</v>
      </c>
    </row>
    <row r="590" spans="1:4" x14ac:dyDescent="0.2">
      <c r="A590" s="17">
        <v>44044</v>
      </c>
      <c r="B590" s="59">
        <f>VLOOKUP(Table18[[#This Row],[Date]],database!A:G,5,)</f>
        <v>101.8092</v>
      </c>
      <c r="C590" s="67">
        <f t="shared" si="9"/>
        <v>7.4044462299465152E-3</v>
      </c>
      <c r="D590" s="67">
        <f>(Table18[[#This Row],[Index]]-B578)/B578</f>
        <v>8.4382209112169263E-3</v>
      </c>
    </row>
    <row r="591" spans="1:4" x14ac:dyDescent="0.2">
      <c r="A591" s="17">
        <v>44075</v>
      </c>
      <c r="B591" s="59">
        <f>VLOOKUP(Table18[[#This Row],[Date]],database!A:G,5,)</f>
        <v>100.34650000000001</v>
      </c>
      <c r="C591" s="67">
        <f t="shared" si="9"/>
        <v>-1.4367070952330474E-2</v>
      </c>
      <c r="D591" s="67">
        <f>(Table18[[#This Row],[Index]]-B579)/B579</f>
        <v>1.454080206944506E-3</v>
      </c>
    </row>
    <row r="592" spans="1:4" x14ac:dyDescent="0.2">
      <c r="A592" s="17">
        <v>44105</v>
      </c>
      <c r="B592" s="59">
        <f>VLOOKUP(Table18[[#This Row],[Date]],database!A:G,5,)</f>
        <v>100.69</v>
      </c>
      <c r="C592" s="67">
        <f t="shared" si="9"/>
        <v>3.4231388239749361E-3</v>
      </c>
      <c r="D592" s="67">
        <f>(Table18[[#This Row],[Index]]-B580)/B580</f>
        <v>7.35935586627493E-3</v>
      </c>
    </row>
    <row r="593" spans="1:4" x14ac:dyDescent="0.2">
      <c r="A593" s="17">
        <v>44136</v>
      </c>
      <c r="B593" s="59">
        <f>VLOOKUP(Table18[[#This Row],[Date]],database!A:G,5,)</f>
        <v>100.6807</v>
      </c>
      <c r="C593" s="67">
        <f t="shared" si="9"/>
        <v>-9.2362697387993187E-5</v>
      </c>
      <c r="D593" s="67">
        <f>(Table18[[#This Row],[Index]]-B581)/B581</f>
        <v>-5.9280556787001072E-3</v>
      </c>
    </row>
    <row r="594" spans="1:4" x14ac:dyDescent="0.2">
      <c r="A594" s="17">
        <v>44166</v>
      </c>
      <c r="B594" s="59">
        <f>VLOOKUP(Table18[[#This Row],[Date]],database!A:G,5,)</f>
        <v>102.2358</v>
      </c>
      <c r="C594" s="67">
        <f t="shared" si="9"/>
        <v>1.5445860030770531E-2</v>
      </c>
      <c r="D594" s="67">
        <f>(Table18[[#This Row],[Index]]-B582)/B582</f>
        <v>1.7824609190664691E-2</v>
      </c>
    </row>
    <row r="595" spans="1:4" x14ac:dyDescent="0.2">
      <c r="A595" s="17">
        <v>44197</v>
      </c>
      <c r="B595" s="59">
        <f>VLOOKUP(Table18[[#This Row],[Date]],database!A:G,5,)</f>
        <v>103.2543</v>
      </c>
      <c r="C595" s="67">
        <f t="shared" si="9"/>
        <v>9.9622637080161169E-3</v>
      </c>
      <c r="D595" s="67">
        <f>(Table18[[#This Row],[Index]]-B583)/B583</f>
        <v>3.1526945958231134E-2</v>
      </c>
    </row>
    <row r="596" spans="1:4" x14ac:dyDescent="0.2">
      <c r="A596" s="17">
        <v>44228</v>
      </c>
      <c r="B596" s="59">
        <f>VLOOKUP(Table18[[#This Row],[Date]],database!A:G,5,)</f>
        <v>100.9525</v>
      </c>
      <c r="C596" s="67">
        <f t="shared" si="9"/>
        <v>-2.2292534063956704E-2</v>
      </c>
      <c r="D596" s="67">
        <f>(Table18[[#This Row],[Index]]-B584)/B584</f>
        <v>-1.9762259718998218E-3</v>
      </c>
    </row>
    <row r="597" spans="1:4" x14ac:dyDescent="0.2">
      <c r="A597" s="17">
        <v>44256</v>
      </c>
      <c r="B597" s="59">
        <f>VLOOKUP(Table18[[#This Row],[Date]],database!A:G,5,)</f>
        <v>102.185</v>
      </c>
      <c r="C597" s="67">
        <f t="shared" si="9"/>
        <v>1.2208712018028312E-2</v>
      </c>
      <c r="D597" s="67">
        <f>(Table18[[#This Row],[Index]]-B585)/B585</f>
        <v>6.0704672871973279E-2</v>
      </c>
    </row>
    <row r="598" spans="1:4" x14ac:dyDescent="0.2">
      <c r="A598" s="17">
        <v>44287</v>
      </c>
      <c r="B598" s="59">
        <f>VLOOKUP(Table18[[#This Row],[Date]],database!A:G,5,)</f>
        <v>101.67359999999999</v>
      </c>
      <c r="C598" s="67">
        <f t="shared" si="9"/>
        <v>-5.0046484317659568E-3</v>
      </c>
      <c r="D598" s="67">
        <f>(Table18[[#This Row],[Index]]-B586)/B586</f>
        <v>0.19322326697117212</v>
      </c>
    </row>
    <row r="599" spans="1:4" x14ac:dyDescent="0.2">
      <c r="A599" s="17">
        <v>44317</v>
      </c>
      <c r="B599" s="59">
        <f>VLOOKUP(Table18[[#This Row],[Date]],database!A:G,5,)</f>
        <v>102.22369999999999</v>
      </c>
      <c r="C599" s="67">
        <f t="shared" si="9"/>
        <v>5.4104506971328625E-3</v>
      </c>
      <c r="D599" s="67">
        <f>(Table18[[#This Row],[Index]]-B587)/B587</f>
        <v>0.14973192263265805</v>
      </c>
    </row>
    <row r="600" spans="1:4" x14ac:dyDescent="0.2">
      <c r="A600" s="17">
        <v>44348</v>
      </c>
      <c r="B600" s="59">
        <f>VLOOKUP(Table18[[#This Row],[Date]],database!A:G,5,)</f>
        <v>102.1322</v>
      </c>
      <c r="C600" s="67">
        <f t="shared" si="9"/>
        <v>-8.9509575568091915E-4</v>
      </c>
      <c r="D600" s="67">
        <f>(Table18[[#This Row],[Index]]-B588)/B588</f>
        <v>5.6972629831589676E-2</v>
      </c>
    </row>
    <row r="601" spans="1:4" x14ac:dyDescent="0.2">
      <c r="A601" s="17">
        <v>44378</v>
      </c>
      <c r="B601" s="59">
        <f>VLOOKUP(Table18[[#This Row],[Date]],database!A:G,5,)</f>
        <v>102.682</v>
      </c>
      <c r="C601" s="67">
        <f t="shared" si="9"/>
        <v>5.3832190043885397E-3</v>
      </c>
      <c r="D601" s="67">
        <f>(Table18[[#This Row],[Index]]-B589)/B589</f>
        <v>1.6040822909750441E-2</v>
      </c>
    </row>
    <row r="602" spans="1:4" x14ac:dyDescent="0.2">
      <c r="A602" s="17">
        <v>44409</v>
      </c>
      <c r="B602" s="59">
        <f>VLOOKUP(Table18[[#This Row],[Date]],database!A:G,5,)</f>
        <v>102.52379999999999</v>
      </c>
      <c r="C602" s="67">
        <f t="shared" si="9"/>
        <v>-1.5406789895016093E-3</v>
      </c>
      <c r="D602" s="67">
        <f>(Table18[[#This Row],[Index]]-B590)/B590</f>
        <v>7.0190120342757834E-3</v>
      </c>
    </row>
    <row r="603" spans="1:4" x14ac:dyDescent="0.2">
      <c r="A603" s="17">
        <v>44440</v>
      </c>
      <c r="B603" s="59">
        <f>VLOOKUP(Table18[[#This Row],[Date]],database!A:G,5,)</f>
        <v>101.6084</v>
      </c>
      <c r="C603" s="67">
        <f t="shared" si="9"/>
        <v>-8.9286585163639298E-3</v>
      </c>
      <c r="D603" s="67">
        <f>(Table18[[#This Row],[Index]]-B591)/B591</f>
        <v>1.2575426148395779E-2</v>
      </c>
    </row>
    <row r="604" spans="1:4" x14ac:dyDescent="0.2">
      <c r="A604" s="17">
        <v>44470</v>
      </c>
      <c r="B604" s="59">
        <f>VLOOKUP(Table18[[#This Row],[Date]],database!A:G,5,)</f>
        <v>102.3657</v>
      </c>
      <c r="C604" s="67">
        <f t="shared" si="9"/>
        <v>7.4531239543187411E-3</v>
      </c>
      <c r="D604" s="67">
        <f>(Table18[[#This Row],[Index]]-B592)/B592</f>
        <v>1.6642169033667754E-2</v>
      </c>
    </row>
    <row r="605" spans="1:4" x14ac:dyDescent="0.2">
      <c r="A605" s="17">
        <v>44501</v>
      </c>
      <c r="B605" s="59">
        <f>VLOOKUP(Table18[[#This Row],[Date]],database!A:G,5,)</f>
        <v>102.97709999999999</v>
      </c>
      <c r="C605" s="67">
        <f t="shared" si="9"/>
        <v>5.9727037474466282E-3</v>
      </c>
      <c r="D605" s="67">
        <f>(Table18[[#This Row],[Index]]-B593)/B593</f>
        <v>2.2808740900688924E-2</v>
      </c>
    </row>
    <row r="606" spans="1:4" x14ac:dyDescent="0.2">
      <c r="A606" s="17">
        <v>44531</v>
      </c>
      <c r="B606" s="59">
        <f>VLOOKUP(Table18[[#This Row],[Date]],database!A:G,5,)</f>
        <v>102.6412</v>
      </c>
      <c r="C606" s="67">
        <f t="shared" si="9"/>
        <v>-3.261890264922962E-3</v>
      </c>
      <c r="D606" s="67">
        <f>(Table18[[#This Row],[Index]]-B594)/B594</f>
        <v>3.965342864241295E-3</v>
      </c>
    </row>
    <row r="607" spans="1:4" x14ac:dyDescent="0.2">
      <c r="A607" s="17">
        <v>44562</v>
      </c>
      <c r="B607" s="59">
        <f>VLOOKUP(Table18[[#This Row],[Date]],database!A:G,5,)</f>
        <v>104.2414</v>
      </c>
      <c r="C607" s="67">
        <f t="shared" si="9"/>
        <v>1.5590230823490092E-2</v>
      </c>
      <c r="D607" s="67">
        <f>(Table18[[#This Row],[Index]]-B595)/B595</f>
        <v>9.5598924209451628E-3</v>
      </c>
    </row>
    <row r="608" spans="1:4" x14ac:dyDescent="0.2">
      <c r="A608" s="17">
        <v>44593</v>
      </c>
      <c r="B608" s="59">
        <f>VLOOKUP(Table18[[#This Row],[Date]],database!A:G,5,)</f>
        <v>104.4799</v>
      </c>
      <c r="C608" s="67">
        <f t="shared" si="9"/>
        <v>2.2879585270343394E-3</v>
      </c>
      <c r="D608" s="67">
        <f>(Table18[[#This Row],[Index]]-B596)/B596</f>
        <v>3.4941185210866497E-2</v>
      </c>
    </row>
    <row r="609" spans="1:4" x14ac:dyDescent="0.2">
      <c r="A609" s="17">
        <v>44621</v>
      </c>
      <c r="B609" s="59">
        <f>VLOOKUP(Table18[[#This Row],[Date]],database!A:G,5,)</f>
        <v>104.6884</v>
      </c>
      <c r="C609" s="67">
        <f t="shared" si="9"/>
        <v>1.9955991535214324E-3</v>
      </c>
      <c r="D609" s="67">
        <f>(Table18[[#This Row],[Index]]-B597)/B597</f>
        <v>2.4498703332191604E-2</v>
      </c>
    </row>
    <row r="610" spans="1:4" x14ac:dyDescent="0.2">
      <c r="A610" s="17">
        <v>44652</v>
      </c>
      <c r="B610" s="59">
        <f>VLOOKUP(Table18[[#This Row],[Date]],database!A:G,5,)</f>
        <v>106.0938</v>
      </c>
      <c r="C610" s="67">
        <f t="shared" si="9"/>
        <v>1.3424601006415182E-2</v>
      </c>
      <c r="D610" s="67">
        <f>(Table18[[#This Row],[Index]]-B598)/B598</f>
        <v>4.347441223680492E-2</v>
      </c>
    </row>
    <row r="611" spans="1:4" x14ac:dyDescent="0.2">
      <c r="A611" s="17">
        <v>44682</v>
      </c>
      <c r="B611" s="59">
        <f>VLOOKUP(Table18[[#This Row],[Date]],database!A:G,5,)</f>
        <v>105.2516</v>
      </c>
      <c r="C611" s="67">
        <f t="shared" si="9"/>
        <v>-7.9382584090682551E-3</v>
      </c>
      <c r="D611" s="67">
        <f>(Table18[[#This Row],[Index]]-B599)/B599</f>
        <v>2.9620332662582186E-2</v>
      </c>
    </row>
    <row r="612" spans="1:4" x14ac:dyDescent="0.2">
      <c r="A612" s="17">
        <v>44713</v>
      </c>
      <c r="B612" s="59">
        <f>VLOOKUP(Table18[[#This Row],[Date]],database!A:G,5,)</f>
        <v>104.5492</v>
      </c>
      <c r="C612" s="67">
        <f t="shared" si="9"/>
        <v>-6.6735327538963718E-3</v>
      </c>
      <c r="D612" s="67">
        <f>(Table18[[#This Row],[Index]]-B600)/B600</f>
        <v>2.3665406208815649E-2</v>
      </c>
    </row>
    <row r="613" spans="1:4" x14ac:dyDescent="0.2">
      <c r="A613" s="17">
        <v>44743</v>
      </c>
      <c r="B613" s="59">
        <f>VLOOKUP(Table18[[#This Row],[Date]],database!A:G,5,)</f>
        <v>104.8974</v>
      </c>
      <c r="C613" s="67">
        <f t="shared" si="9"/>
        <v>3.3304893772501121E-3</v>
      </c>
      <c r="D613" s="67">
        <f>(Table18[[#This Row],[Index]]-B601)/B601</f>
        <v>2.1575349136167998E-2</v>
      </c>
    </row>
    <row r="614" spans="1:4" x14ac:dyDescent="0.2">
      <c r="A614" s="17">
        <v>44774</v>
      </c>
      <c r="B614" s="59">
        <f>VLOOKUP(Table18[[#This Row],[Date]],database!A:G,5,)</f>
        <v>104.7295</v>
      </c>
      <c r="C614" s="67">
        <f t="shared" si="9"/>
        <v>-1.6006116452839114E-3</v>
      </c>
      <c r="D614" s="67">
        <f>(Table18[[#This Row],[Index]]-B602)/B602</f>
        <v>2.1514028937671129E-2</v>
      </c>
    </row>
  </sheetData>
  <conditionalFormatting sqref="D463:D614">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4"/>
  <sheetViews>
    <sheetView zoomScale="190" zoomScaleNormal="190" workbookViewId="0">
      <pane ySplit="6" topLeftCell="A595" activePane="bottomLeft" state="frozen"/>
      <selection activeCell="J582" sqref="J582"/>
      <selection pane="bottomLeft" activeCell="AB568" sqref="AB568"/>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5" x14ac:dyDescent="0.2">
      <c r="A1" s="15" t="s">
        <v>33</v>
      </c>
      <c r="B1" s="75"/>
      <c r="C1" s="75"/>
      <c r="S1" s="75" t="s">
        <v>68</v>
      </c>
      <c r="T1" s="75" t="s">
        <v>64</v>
      </c>
      <c r="U1" s="75" t="str">
        <f>S1&amp;T1</f>
        <v>Industrial Production: Business Equipment since 2010</v>
      </c>
      <c r="Y1" s="75" t="str">
        <f>U2&amp; T1</f>
        <v>Industrial Production: Business Equipment yoy since 2010</v>
      </c>
    </row>
    <row r="2" spans="1:25" x14ac:dyDescent="0.2">
      <c r="A2" s="16"/>
      <c r="B2" s="75"/>
      <c r="C2" s="75"/>
      <c r="U2" s="75"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VLOOKUP(Table16[[#This Row],[Date]],database!A:H,4,)</f>
        <v>16.392299999999999</v>
      </c>
      <c r="C7" s="67"/>
      <c r="D7" s="67"/>
    </row>
    <row r="8" spans="1:25" x14ac:dyDescent="0.2">
      <c r="A8" s="17">
        <v>26330</v>
      </c>
      <c r="B8" s="59">
        <f>VLOOKUP(Table16[[#This Row],[Date]],database!A:H,4,)</f>
        <v>16.663599999999999</v>
      </c>
      <c r="C8" s="67">
        <f t="shared" ref="C8:C71" si="0">B8/B7-1</f>
        <v>1.6550453566613665E-2</v>
      </c>
      <c r="D8" s="67"/>
    </row>
    <row r="9" spans="1:25" x14ac:dyDescent="0.2">
      <c r="A9" s="17">
        <v>26359</v>
      </c>
      <c r="B9" s="59">
        <f>VLOOKUP(Table16[[#This Row],[Date]],database!A:H,4,)</f>
        <v>16.866199999999999</v>
      </c>
      <c r="C9" s="67">
        <f t="shared" si="0"/>
        <v>1.2158237115629245E-2</v>
      </c>
      <c r="D9" s="67"/>
    </row>
    <row r="10" spans="1:25" x14ac:dyDescent="0.2">
      <c r="A10" s="17">
        <v>26390</v>
      </c>
      <c r="B10" s="59">
        <f>VLOOKUP(Table16[[#This Row],[Date]],database!A:H,4,)</f>
        <v>17.145900000000001</v>
      </c>
      <c r="C10" s="67">
        <f t="shared" si="0"/>
        <v>1.6583462783555492E-2</v>
      </c>
      <c r="D10" s="67"/>
    </row>
    <row r="11" spans="1:25" x14ac:dyDescent="0.2">
      <c r="A11" s="17">
        <v>26420</v>
      </c>
      <c r="B11" s="59">
        <f>VLOOKUP(Table16[[#This Row],[Date]],database!A:H,4,)</f>
        <v>17.1372</v>
      </c>
      <c r="C11" s="67">
        <f t="shared" si="0"/>
        <v>-5.0740993473663565E-4</v>
      </c>
      <c r="D11" s="67"/>
    </row>
    <row r="12" spans="1:25" x14ac:dyDescent="0.2">
      <c r="A12" s="17">
        <v>26451</v>
      </c>
      <c r="B12" s="59">
        <f>VLOOKUP(Table16[[#This Row],[Date]],database!A:H,4,)</f>
        <v>17.1982</v>
      </c>
      <c r="C12" s="67">
        <f t="shared" si="0"/>
        <v>3.5595079709638267E-3</v>
      </c>
      <c r="D12" s="67"/>
    </row>
    <row r="13" spans="1:25" x14ac:dyDescent="0.2">
      <c r="A13" s="17">
        <v>26481</v>
      </c>
      <c r="B13" s="59">
        <f>VLOOKUP(Table16[[#This Row],[Date]],database!A:H,4,)</f>
        <v>17.194299999999998</v>
      </c>
      <c r="C13" s="67">
        <f t="shared" si="0"/>
        <v>-2.2676791757281212E-4</v>
      </c>
      <c r="D13" s="67"/>
    </row>
    <row r="14" spans="1:25" x14ac:dyDescent="0.2">
      <c r="A14" s="17">
        <v>26512</v>
      </c>
      <c r="B14" s="59">
        <f>VLOOKUP(Table16[[#This Row],[Date]],database!A:H,4,)</f>
        <v>17.5533</v>
      </c>
      <c r="C14" s="67">
        <f t="shared" si="0"/>
        <v>2.0879012230797578E-2</v>
      </c>
      <c r="D14" s="67"/>
    </row>
    <row r="15" spans="1:25" x14ac:dyDescent="0.2">
      <c r="A15" s="17">
        <v>26543</v>
      </c>
      <c r="B15" s="59">
        <f>VLOOKUP(Table16[[#This Row],[Date]],database!A:H,4,)</f>
        <v>17.699000000000002</v>
      </c>
      <c r="C15" s="67">
        <f t="shared" si="0"/>
        <v>8.300433536714058E-3</v>
      </c>
      <c r="D15" s="67"/>
    </row>
    <row r="16" spans="1:25" x14ac:dyDescent="0.2">
      <c r="A16" s="17">
        <v>26573</v>
      </c>
      <c r="B16" s="59">
        <f>VLOOKUP(Table16[[#This Row],[Date]],database!A:H,4,)</f>
        <v>18.0627</v>
      </c>
      <c r="C16" s="67">
        <f t="shared" si="0"/>
        <v>2.0549183569693152E-2</v>
      </c>
      <c r="D16" s="67"/>
    </row>
    <row r="17" spans="1:4" x14ac:dyDescent="0.2">
      <c r="A17" s="17">
        <v>26604</v>
      </c>
      <c r="B17" s="59">
        <f>VLOOKUP(Table16[[#This Row],[Date]],database!A:H,4,)</f>
        <v>18.3796</v>
      </c>
      <c r="C17" s="67">
        <f t="shared" si="0"/>
        <v>1.7544442414478389E-2</v>
      </c>
      <c r="D17" s="67"/>
    </row>
    <row r="18" spans="1:4" x14ac:dyDescent="0.2">
      <c r="A18" s="17">
        <v>26634</v>
      </c>
      <c r="B18" s="59">
        <f>VLOOKUP(Table16[[#This Row],[Date]],database!A:H,4,)</f>
        <v>18.613199999999999</v>
      </c>
      <c r="C18" s="67">
        <f t="shared" si="0"/>
        <v>1.2709743411173147E-2</v>
      </c>
      <c r="D18" s="67"/>
    </row>
    <row r="19" spans="1:4" x14ac:dyDescent="0.2">
      <c r="A19" s="17">
        <v>26665</v>
      </c>
      <c r="B19" s="59">
        <f>VLOOKUP(Table16[[#This Row],[Date]],database!A:H,4,)</f>
        <v>18.922000000000001</v>
      </c>
      <c r="C19" s="67">
        <f t="shared" si="0"/>
        <v>1.6590376721896449E-2</v>
      </c>
      <c r="D19" s="67"/>
    </row>
    <row r="20" spans="1:4" x14ac:dyDescent="0.2">
      <c r="A20" s="17">
        <v>26696</v>
      </c>
      <c r="B20" s="59">
        <f>VLOOKUP(Table16[[#This Row],[Date]],database!A:H,4,)</f>
        <v>19.313600000000001</v>
      </c>
      <c r="C20" s="67">
        <f t="shared" si="0"/>
        <v>2.0695486735017532E-2</v>
      </c>
      <c r="D20" s="67">
        <f>(Table16[[#This Row],[Index]]-B8)/B8</f>
        <v>0.15902926138409482</v>
      </c>
    </row>
    <row r="21" spans="1:4" x14ac:dyDescent="0.2">
      <c r="A21" s="17">
        <v>26724</v>
      </c>
      <c r="B21" s="59">
        <f>VLOOKUP(Table16[[#This Row],[Date]],database!A:H,4,)</f>
        <v>19.4682</v>
      </c>
      <c r="C21" s="67">
        <f t="shared" si="0"/>
        <v>8.0047220611381142E-3</v>
      </c>
      <c r="D21" s="67">
        <f>(Table16[[#This Row],[Index]]-B9)/B9</f>
        <v>0.15427304312767551</v>
      </c>
    </row>
    <row r="22" spans="1:4" x14ac:dyDescent="0.2">
      <c r="A22" s="17">
        <v>26755</v>
      </c>
      <c r="B22" s="59">
        <f>VLOOKUP(Table16[[#This Row],[Date]],database!A:H,4,)</f>
        <v>19.621600000000001</v>
      </c>
      <c r="C22" s="67">
        <f t="shared" si="0"/>
        <v>7.8795163394664858E-3</v>
      </c>
      <c r="D22" s="67">
        <f>(Table16[[#This Row],[Index]]-B10)/B10</f>
        <v>0.14439020407211051</v>
      </c>
    </row>
    <row r="23" spans="1:4" x14ac:dyDescent="0.2">
      <c r="A23" s="17">
        <v>26785</v>
      </c>
      <c r="B23" s="59">
        <f>VLOOKUP(Table16[[#This Row],[Date]],database!A:H,4,)</f>
        <v>19.828299999999999</v>
      </c>
      <c r="C23" s="67">
        <f t="shared" si="0"/>
        <v>1.0534309128715114E-2</v>
      </c>
      <c r="D23" s="67">
        <f>(Table16[[#This Row],[Index]]-B11)/B11</f>
        <v>0.15703265410918929</v>
      </c>
    </row>
    <row r="24" spans="1:4" x14ac:dyDescent="0.2">
      <c r="A24" s="17">
        <v>26816</v>
      </c>
      <c r="B24" s="59">
        <f>VLOOKUP(Table16[[#This Row],[Date]],database!A:H,4,)</f>
        <v>20.0275</v>
      </c>
      <c r="C24" s="67">
        <f t="shared" si="0"/>
        <v>1.0046247030759181E-2</v>
      </c>
      <c r="D24" s="67">
        <f>(Table16[[#This Row],[Index]]-B12)/B12</f>
        <v>0.16451140235606052</v>
      </c>
    </row>
    <row r="25" spans="1:4" x14ac:dyDescent="0.2">
      <c r="A25" s="17">
        <v>26846</v>
      </c>
      <c r="B25" s="59">
        <f>VLOOKUP(Table16[[#This Row],[Date]],database!A:H,4,)</f>
        <v>20.270700000000001</v>
      </c>
      <c r="C25" s="67">
        <f t="shared" si="0"/>
        <v>1.2143302958432134E-2</v>
      </c>
      <c r="D25" s="67">
        <f>(Table16[[#This Row],[Index]]-B13)/B13</f>
        <v>0.1789197582919923</v>
      </c>
    </row>
    <row r="26" spans="1:4" x14ac:dyDescent="0.2">
      <c r="A26" s="17">
        <v>26877</v>
      </c>
      <c r="B26" s="59">
        <f>VLOOKUP(Table16[[#This Row],[Date]],database!A:H,4,)</f>
        <v>20.323599999999999</v>
      </c>
      <c r="C26" s="67">
        <f t="shared" si="0"/>
        <v>2.6096780081594773E-3</v>
      </c>
      <c r="D26" s="67">
        <f>(Table16[[#This Row],[Index]]-B14)/B14</f>
        <v>0.15782217588715505</v>
      </c>
    </row>
    <row r="27" spans="1:4" x14ac:dyDescent="0.2">
      <c r="A27" s="17">
        <v>26908</v>
      </c>
      <c r="B27" s="59">
        <f>VLOOKUP(Table16[[#This Row],[Date]],database!A:H,4,)</f>
        <v>20.6678</v>
      </c>
      <c r="C27" s="67">
        <f t="shared" si="0"/>
        <v>1.6935975909779799E-2</v>
      </c>
      <c r="D27" s="67">
        <f>(Table16[[#This Row],[Index]]-B15)/B15</f>
        <v>0.16773829029888682</v>
      </c>
    </row>
    <row r="28" spans="1:4" x14ac:dyDescent="0.2">
      <c r="A28" s="17">
        <v>26938</v>
      </c>
      <c r="B28" s="59">
        <f>VLOOKUP(Table16[[#This Row],[Date]],database!A:H,4,)</f>
        <v>20.965499999999999</v>
      </c>
      <c r="C28" s="67">
        <f t="shared" si="0"/>
        <v>1.4404048810226389E-2</v>
      </c>
      <c r="D28" s="67">
        <f>(Table16[[#This Row],[Index]]-B16)/B16</f>
        <v>0.16070687106578746</v>
      </c>
    </row>
    <row r="29" spans="1:4" x14ac:dyDescent="0.2">
      <c r="A29" s="17">
        <v>26969</v>
      </c>
      <c r="B29" s="59">
        <f>VLOOKUP(Table16[[#This Row],[Date]],database!A:H,4,)</f>
        <v>21.1127</v>
      </c>
      <c r="C29" s="67">
        <f t="shared" si="0"/>
        <v>7.021058405475733E-3</v>
      </c>
      <c r="D29" s="67">
        <f>(Table16[[#This Row],[Index]]-B17)/B17</f>
        <v>0.14870290974776385</v>
      </c>
    </row>
    <row r="30" spans="1:4" x14ac:dyDescent="0.2">
      <c r="A30" s="17">
        <v>26999</v>
      </c>
      <c r="B30" s="59">
        <f>VLOOKUP(Table16[[#This Row],[Date]],database!A:H,4,)</f>
        <v>21.191199999999998</v>
      </c>
      <c r="C30" s="67">
        <f t="shared" si="0"/>
        <v>3.7181412135822711E-3</v>
      </c>
      <c r="D30" s="67">
        <f>(Table16[[#This Row],[Index]]-B18)/B18</f>
        <v>0.13850385747748906</v>
      </c>
    </row>
    <row r="31" spans="1:4" x14ac:dyDescent="0.2">
      <c r="A31" s="17">
        <v>27030</v>
      </c>
      <c r="B31" s="59">
        <f>VLOOKUP(Table16[[#This Row],[Date]],database!A:H,4,)</f>
        <v>21.1739</v>
      </c>
      <c r="C31" s="67">
        <f t="shared" si="0"/>
        <v>-8.1637660915845345E-4</v>
      </c>
      <c r="D31" s="67">
        <f>(Table16[[#This Row],[Index]]-B19)/B19</f>
        <v>0.11900961843356934</v>
      </c>
    </row>
    <row r="32" spans="1:4" x14ac:dyDescent="0.2">
      <c r="A32" s="17">
        <v>27061</v>
      </c>
      <c r="B32" s="59">
        <f>VLOOKUP(Table16[[#This Row],[Date]],database!A:H,4,)</f>
        <v>21.093900000000001</v>
      </c>
      <c r="C32" s="67">
        <f t="shared" si="0"/>
        <v>-3.7782364136978996E-3</v>
      </c>
      <c r="D32" s="67">
        <f>(Table16[[#This Row],[Index]]-B20)/B20</f>
        <v>9.2178568469886521E-2</v>
      </c>
    </row>
    <row r="33" spans="1:4" x14ac:dyDescent="0.2">
      <c r="A33" s="17">
        <v>27089</v>
      </c>
      <c r="B33" s="59">
        <f>VLOOKUP(Table16[[#This Row],[Date]],database!A:H,4,)</f>
        <v>21.281700000000001</v>
      </c>
      <c r="C33" s="67">
        <f t="shared" si="0"/>
        <v>8.9030478005489577E-3</v>
      </c>
      <c r="D33" s="67">
        <f>(Table16[[#This Row],[Index]]-B21)/B21</f>
        <v>9.3151909267420785E-2</v>
      </c>
    </row>
    <row r="34" spans="1:4" x14ac:dyDescent="0.2">
      <c r="A34" s="17">
        <v>27120</v>
      </c>
      <c r="B34" s="59">
        <f>VLOOKUP(Table16[[#This Row],[Date]],database!A:H,4,)</f>
        <v>21.0441</v>
      </c>
      <c r="C34" s="67">
        <f t="shared" si="0"/>
        <v>-1.1164521631260693E-2</v>
      </c>
      <c r="D34" s="67">
        <f>(Table16[[#This Row],[Index]]-B22)/B22</f>
        <v>7.2496636359929839E-2</v>
      </c>
    </row>
    <row r="35" spans="1:4" x14ac:dyDescent="0.2">
      <c r="A35" s="17">
        <v>27150</v>
      </c>
      <c r="B35" s="59">
        <f>VLOOKUP(Table16[[#This Row],[Date]],database!A:H,4,)</f>
        <v>21.379899999999999</v>
      </c>
      <c r="C35" s="67">
        <f t="shared" si="0"/>
        <v>1.5956966560698671E-2</v>
      </c>
      <c r="D35" s="67">
        <f>(Table16[[#This Row],[Index]]-B23)/B23</f>
        <v>7.8251791631153478E-2</v>
      </c>
    </row>
    <row r="36" spans="1:4" x14ac:dyDescent="0.2">
      <c r="A36" s="17">
        <v>27181</v>
      </c>
      <c r="B36" s="59">
        <f>VLOOKUP(Table16[[#This Row],[Date]],database!A:H,4,)</f>
        <v>21.405200000000001</v>
      </c>
      <c r="C36" s="67">
        <f t="shared" si="0"/>
        <v>1.1833544590948986E-3</v>
      </c>
      <c r="D36" s="67">
        <f>(Table16[[#This Row],[Index]]-B24)/B24</f>
        <v>6.8790413181874968E-2</v>
      </c>
    </row>
    <row r="37" spans="1:4" x14ac:dyDescent="0.2">
      <c r="A37" s="17">
        <v>27211</v>
      </c>
      <c r="B37" s="59">
        <f>VLOOKUP(Table16[[#This Row],[Date]],database!A:H,4,)</f>
        <v>21.4634</v>
      </c>
      <c r="C37" s="67">
        <f t="shared" si="0"/>
        <v>2.7189654850223732E-3</v>
      </c>
      <c r="D37" s="67">
        <f>(Table16[[#This Row],[Index]]-B25)/B25</f>
        <v>5.8838619287937689E-2</v>
      </c>
    </row>
    <row r="38" spans="1:4" x14ac:dyDescent="0.2">
      <c r="A38" s="17">
        <v>27242</v>
      </c>
      <c r="B38" s="59">
        <f>VLOOKUP(Table16[[#This Row],[Date]],database!A:H,4,)</f>
        <v>21.3796</v>
      </c>
      <c r="C38" s="67">
        <f t="shared" si="0"/>
        <v>-3.9043208438551691E-3</v>
      </c>
      <c r="D38" s="67">
        <f>(Table16[[#This Row],[Index]]-B26)/B26</f>
        <v>5.1959298549469631E-2</v>
      </c>
    </row>
    <row r="39" spans="1:4" x14ac:dyDescent="0.2">
      <c r="A39" s="17">
        <v>27273</v>
      </c>
      <c r="B39" s="59">
        <f>VLOOKUP(Table16[[#This Row],[Date]],database!A:H,4,)</f>
        <v>21.7684</v>
      </c>
      <c r="C39" s="67">
        <f t="shared" si="0"/>
        <v>1.8185560066605433E-2</v>
      </c>
      <c r="D39" s="67">
        <f>(Table16[[#This Row],[Index]]-B27)/B27</f>
        <v>5.3251918443182153E-2</v>
      </c>
    </row>
    <row r="40" spans="1:4" x14ac:dyDescent="0.2">
      <c r="A40" s="17">
        <v>27303</v>
      </c>
      <c r="B40" s="59">
        <f>VLOOKUP(Table16[[#This Row],[Date]],database!A:H,4,)</f>
        <v>21.7879</v>
      </c>
      <c r="C40" s="67">
        <f t="shared" si="0"/>
        <v>8.9579390308891504E-4</v>
      </c>
      <c r="D40" s="67">
        <f>(Table16[[#This Row],[Index]]-B28)/B28</f>
        <v>3.9226348047983681E-2</v>
      </c>
    </row>
    <row r="41" spans="1:4" x14ac:dyDescent="0.2">
      <c r="A41" s="17">
        <v>27334</v>
      </c>
      <c r="B41" s="59">
        <f>VLOOKUP(Table16[[#This Row],[Date]],database!A:H,4,)</f>
        <v>21.469200000000001</v>
      </c>
      <c r="C41" s="67">
        <f t="shared" si="0"/>
        <v>-1.4627384924659981E-2</v>
      </c>
      <c r="D41" s="67">
        <f>(Table16[[#This Row],[Index]]-B29)/B29</f>
        <v>1.6885571243848513E-2</v>
      </c>
    </row>
    <row r="42" spans="1:4" x14ac:dyDescent="0.2">
      <c r="A42" s="17">
        <v>27364</v>
      </c>
      <c r="B42" s="59">
        <f>VLOOKUP(Table16[[#This Row],[Date]],database!A:H,4,)</f>
        <v>20.6</v>
      </c>
      <c r="C42" s="67">
        <f t="shared" si="0"/>
        <v>-4.048590539004715E-2</v>
      </c>
      <c r="D42" s="67">
        <f>(Table16[[#This Row],[Index]]-B30)/B30</f>
        <v>-2.7898372909509472E-2</v>
      </c>
    </row>
    <row r="43" spans="1:4" x14ac:dyDescent="0.2">
      <c r="A43" s="17">
        <v>27395</v>
      </c>
      <c r="B43" s="59">
        <f>VLOOKUP(Table16[[#This Row],[Date]],database!A:H,4,)</f>
        <v>20.116700000000002</v>
      </c>
      <c r="C43" s="67">
        <f t="shared" si="0"/>
        <v>-2.3461165048543675E-2</v>
      </c>
      <c r="D43" s="67">
        <f>(Table16[[#This Row],[Index]]-B31)/B31</f>
        <v>-4.9929394207018932E-2</v>
      </c>
    </row>
    <row r="44" spans="1:4" x14ac:dyDescent="0.2">
      <c r="A44" s="17">
        <v>27426</v>
      </c>
      <c r="B44" s="59">
        <f>VLOOKUP(Table16[[#This Row],[Date]],database!A:H,4,)</f>
        <v>19.445599999999999</v>
      </c>
      <c r="C44" s="67">
        <f t="shared" si="0"/>
        <v>-3.3360342402083965E-2</v>
      </c>
      <c r="D44" s="67">
        <f>(Table16[[#This Row],[Index]]-B32)/B32</f>
        <v>-7.8141073959770477E-2</v>
      </c>
    </row>
    <row r="45" spans="1:4" x14ac:dyDescent="0.2">
      <c r="A45" s="17">
        <v>27454</v>
      </c>
      <c r="B45" s="59">
        <f>VLOOKUP(Table16[[#This Row],[Date]],database!A:H,4,)</f>
        <v>19.117100000000001</v>
      </c>
      <c r="C45" s="67">
        <f t="shared" si="0"/>
        <v>-1.6893281770683277E-2</v>
      </c>
      <c r="D45" s="67">
        <f>(Table16[[#This Row],[Index]]-B33)/B33</f>
        <v>-0.10171179933933849</v>
      </c>
    </row>
    <row r="46" spans="1:4" x14ac:dyDescent="0.2">
      <c r="A46" s="17">
        <v>27485</v>
      </c>
      <c r="B46" s="59">
        <f>VLOOKUP(Table16[[#This Row],[Date]],database!A:H,4,)</f>
        <v>19.013100000000001</v>
      </c>
      <c r="C46" s="67">
        <f t="shared" si="0"/>
        <v>-5.4401556721468403E-3</v>
      </c>
      <c r="D46" s="67">
        <f>(Table16[[#This Row],[Index]]-B34)/B34</f>
        <v>-9.6511611330491617E-2</v>
      </c>
    </row>
    <row r="47" spans="1:4" x14ac:dyDescent="0.2">
      <c r="A47" s="17">
        <v>27515</v>
      </c>
      <c r="B47" s="59">
        <f>VLOOKUP(Table16[[#This Row],[Date]],database!A:H,4,)</f>
        <v>18.757300000000001</v>
      </c>
      <c r="C47" s="67">
        <f t="shared" si="0"/>
        <v>-1.3453881797287126E-2</v>
      </c>
      <c r="D47" s="67">
        <f>(Table16[[#This Row],[Index]]-B35)/B35</f>
        <v>-0.12266661677556952</v>
      </c>
    </row>
    <row r="48" spans="1:4" x14ac:dyDescent="0.2">
      <c r="A48" s="17">
        <v>27546</v>
      </c>
      <c r="B48" s="59">
        <f>VLOOKUP(Table16[[#This Row],[Date]],database!A:H,4,)</f>
        <v>18.613600000000002</v>
      </c>
      <c r="C48" s="67">
        <f t="shared" si="0"/>
        <v>-7.6610173105936541E-3</v>
      </c>
      <c r="D48" s="67">
        <f>(Table16[[#This Row],[Index]]-B36)/B36</f>
        <v>-0.1304169080410367</v>
      </c>
    </row>
    <row r="49" spans="1:4" x14ac:dyDescent="0.2">
      <c r="A49" s="17">
        <v>27576</v>
      </c>
      <c r="B49" s="59">
        <f>VLOOKUP(Table16[[#This Row],[Date]],database!A:H,4,)</f>
        <v>18.733000000000001</v>
      </c>
      <c r="C49" s="67">
        <f t="shared" si="0"/>
        <v>6.4146645463531993E-3</v>
      </c>
      <c r="D49" s="67">
        <f>(Table16[[#This Row],[Index]]-B37)/B37</f>
        <v>-0.12721190491720788</v>
      </c>
    </row>
    <row r="50" spans="1:4" x14ac:dyDescent="0.2">
      <c r="A50" s="17">
        <v>27607</v>
      </c>
      <c r="B50" s="59">
        <f>VLOOKUP(Table16[[#This Row],[Date]],database!A:H,4,)</f>
        <v>18.616299999999999</v>
      </c>
      <c r="C50" s="67">
        <f t="shared" si="0"/>
        <v>-6.2296482143811005E-3</v>
      </c>
      <c r="D50" s="67">
        <f>(Table16[[#This Row],[Index]]-B38)/B38</f>
        <v>-0.12924937791165414</v>
      </c>
    </row>
    <row r="51" spans="1:4" x14ac:dyDescent="0.2">
      <c r="A51" s="17">
        <v>27638</v>
      </c>
      <c r="B51" s="59">
        <f>VLOOKUP(Table16[[#This Row],[Date]],database!A:H,4,)</f>
        <v>18.889399999999998</v>
      </c>
      <c r="C51" s="67">
        <f t="shared" si="0"/>
        <v>1.4669939783952701E-2</v>
      </c>
      <c r="D51" s="67">
        <f>(Table16[[#This Row],[Index]]-B39)/B39</f>
        <v>-0.13225593061502</v>
      </c>
    </row>
    <row r="52" spans="1:4" x14ac:dyDescent="0.2">
      <c r="A52" s="17">
        <v>27668</v>
      </c>
      <c r="B52" s="59">
        <f>VLOOKUP(Table16[[#This Row],[Date]],database!A:H,4,)</f>
        <v>18.947800000000001</v>
      </c>
      <c r="C52" s="67">
        <f t="shared" si="0"/>
        <v>3.0916810486305568E-3</v>
      </c>
      <c r="D52" s="67">
        <f>(Table16[[#This Row],[Index]]-B40)/B40</f>
        <v>-0.13035216794642895</v>
      </c>
    </row>
    <row r="53" spans="1:4" x14ac:dyDescent="0.2">
      <c r="A53" s="17">
        <v>27699</v>
      </c>
      <c r="B53" s="59">
        <f>VLOOKUP(Table16[[#This Row],[Date]],database!A:H,4,)</f>
        <v>18.910399999999999</v>
      </c>
      <c r="C53" s="67">
        <f t="shared" si="0"/>
        <v>-1.9738439291105969E-3</v>
      </c>
      <c r="D53" s="67">
        <f>(Table16[[#This Row],[Index]]-B41)/B41</f>
        <v>-0.11918469248970626</v>
      </c>
    </row>
    <row r="54" spans="1:4" x14ac:dyDescent="0.2">
      <c r="A54" s="17">
        <v>27729</v>
      </c>
      <c r="B54" s="59">
        <f>VLOOKUP(Table16[[#This Row],[Date]],database!A:H,4,)</f>
        <v>19.2517</v>
      </c>
      <c r="C54" s="67">
        <f t="shared" si="0"/>
        <v>1.8048269735172262E-2</v>
      </c>
      <c r="D54" s="67">
        <f>(Table16[[#This Row],[Index]]-B42)/B42</f>
        <v>-6.5451456310679695E-2</v>
      </c>
    </row>
    <row r="55" spans="1:4" x14ac:dyDescent="0.2">
      <c r="A55" s="17">
        <v>27760</v>
      </c>
      <c r="B55" s="59">
        <f>VLOOKUP(Table16[[#This Row],[Date]],database!A:H,4,)</f>
        <v>19.435400000000001</v>
      </c>
      <c r="C55" s="67">
        <f t="shared" si="0"/>
        <v>9.5420144714493116E-3</v>
      </c>
      <c r="D55" s="67">
        <f>(Table16[[#This Row],[Index]]-B43)/B43</f>
        <v>-3.3867383815436934E-2</v>
      </c>
    </row>
    <row r="56" spans="1:4" x14ac:dyDescent="0.2">
      <c r="A56" s="17">
        <v>27791</v>
      </c>
      <c r="B56" s="59">
        <f>VLOOKUP(Table16[[#This Row],[Date]],database!A:H,4,)</f>
        <v>19.571100000000001</v>
      </c>
      <c r="C56" s="67">
        <f t="shared" si="0"/>
        <v>6.9821048190414903E-3</v>
      </c>
      <c r="D56" s="67">
        <f>(Table16[[#This Row],[Index]]-B44)/B44</f>
        <v>6.4539021680998475E-3</v>
      </c>
    </row>
    <row r="57" spans="1:4" x14ac:dyDescent="0.2">
      <c r="A57" s="17">
        <v>27820</v>
      </c>
      <c r="B57" s="59">
        <f>VLOOKUP(Table16[[#This Row],[Date]],database!A:H,4,)</f>
        <v>19.696100000000001</v>
      </c>
      <c r="C57" s="67">
        <f t="shared" si="0"/>
        <v>6.3869685403477039E-3</v>
      </c>
      <c r="D57" s="67">
        <f>(Table16[[#This Row],[Index]]-B45)/B45</f>
        <v>3.0287020520894936E-2</v>
      </c>
    </row>
    <row r="58" spans="1:4" x14ac:dyDescent="0.2">
      <c r="A58" s="17">
        <v>27851</v>
      </c>
      <c r="B58" s="59">
        <f>VLOOKUP(Table16[[#This Row],[Date]],database!A:H,4,)</f>
        <v>19.865600000000001</v>
      </c>
      <c r="C58" s="67">
        <f t="shared" si="0"/>
        <v>8.6057645929904503E-3</v>
      </c>
      <c r="D58" s="67">
        <f>(Table16[[#This Row],[Index]]-B46)/B46</f>
        <v>4.4837506771646871E-2</v>
      </c>
    </row>
    <row r="59" spans="1:4" x14ac:dyDescent="0.2">
      <c r="A59" s="17">
        <v>27881</v>
      </c>
      <c r="B59" s="59">
        <f>VLOOKUP(Table16[[#This Row],[Date]],database!A:H,4,)</f>
        <v>20.000800000000002</v>
      </c>
      <c r="C59" s="67">
        <f t="shared" si="0"/>
        <v>6.8057345360825749E-3</v>
      </c>
      <c r="D59" s="67">
        <f>(Table16[[#This Row],[Index]]-B47)/B47</f>
        <v>6.6294189462236086E-2</v>
      </c>
    </row>
    <row r="60" spans="1:4" x14ac:dyDescent="0.2">
      <c r="A60" s="17">
        <v>27912</v>
      </c>
      <c r="B60" s="59">
        <f>VLOOKUP(Table16[[#This Row],[Date]],database!A:H,4,)</f>
        <v>20.095400000000001</v>
      </c>
      <c r="C60" s="67">
        <f t="shared" si="0"/>
        <v>4.7298108075677359E-3</v>
      </c>
      <c r="D60" s="67">
        <f>(Table16[[#This Row],[Index]]-B48)/B48</f>
        <v>7.9608458331542509E-2</v>
      </c>
    </row>
    <row r="61" spans="1:4" x14ac:dyDescent="0.2">
      <c r="A61" s="17">
        <v>27942</v>
      </c>
      <c r="B61" s="59">
        <f>VLOOKUP(Table16[[#This Row],[Date]],database!A:H,4,)</f>
        <v>20.236599999999999</v>
      </c>
      <c r="C61" s="67">
        <f t="shared" si="0"/>
        <v>7.0264836728801683E-3</v>
      </c>
      <c r="D61" s="67">
        <f>(Table16[[#This Row],[Index]]-B49)/B49</f>
        <v>8.0264773394544311E-2</v>
      </c>
    </row>
    <row r="62" spans="1:4" x14ac:dyDescent="0.2">
      <c r="A62" s="17">
        <v>27973</v>
      </c>
      <c r="B62" s="59">
        <f>VLOOKUP(Table16[[#This Row],[Date]],database!A:H,4,)</f>
        <v>20.580200000000001</v>
      </c>
      <c r="C62" s="67">
        <f t="shared" si="0"/>
        <v>1.6979136811519746E-2</v>
      </c>
      <c r="D62" s="67">
        <f>(Table16[[#This Row],[Index]]-B50)/B50</f>
        <v>0.10549357283670775</v>
      </c>
    </row>
    <row r="63" spans="1:4" x14ac:dyDescent="0.2">
      <c r="A63" s="17">
        <v>28004</v>
      </c>
      <c r="B63" s="59">
        <f>VLOOKUP(Table16[[#This Row],[Date]],database!A:H,4,)</f>
        <v>20.524899999999999</v>
      </c>
      <c r="C63" s="67">
        <f t="shared" si="0"/>
        <v>-2.6870487167278689E-3</v>
      </c>
      <c r="D63" s="67">
        <f>(Table16[[#This Row],[Index]]-B51)/B51</f>
        <v>8.6582951284847609E-2</v>
      </c>
    </row>
    <row r="64" spans="1:4" x14ac:dyDescent="0.2">
      <c r="A64" s="17">
        <v>28034</v>
      </c>
      <c r="B64" s="59">
        <f>VLOOKUP(Table16[[#This Row],[Date]],database!A:H,4,)</f>
        <v>20.553999999999998</v>
      </c>
      <c r="C64" s="67">
        <f t="shared" si="0"/>
        <v>1.4177900988554537E-3</v>
      </c>
      <c r="D64" s="67">
        <f>(Table16[[#This Row],[Index]]-B52)/B52</f>
        <v>8.4769735800462195E-2</v>
      </c>
    </row>
    <row r="65" spans="1:4" x14ac:dyDescent="0.2">
      <c r="A65" s="17">
        <v>28065</v>
      </c>
      <c r="B65" s="59">
        <f>VLOOKUP(Table16[[#This Row],[Date]],database!A:H,4,)</f>
        <v>21.232199999999999</v>
      </c>
      <c r="C65" s="67">
        <f t="shared" si="0"/>
        <v>3.2996010508903328E-2</v>
      </c>
      <c r="D65" s="67">
        <f>(Table16[[#This Row],[Index]]-B53)/B53</f>
        <v>0.12277899991539046</v>
      </c>
    </row>
    <row r="66" spans="1:4" x14ac:dyDescent="0.2">
      <c r="A66" s="17">
        <v>28095</v>
      </c>
      <c r="B66" s="59">
        <f>VLOOKUP(Table16[[#This Row],[Date]],database!A:H,4,)</f>
        <v>21.560300000000002</v>
      </c>
      <c r="C66" s="67">
        <f t="shared" si="0"/>
        <v>1.5452944113186762E-2</v>
      </c>
      <c r="D66" s="67">
        <f>(Table16[[#This Row],[Index]]-B54)/B54</f>
        <v>0.1199166826825684</v>
      </c>
    </row>
    <row r="67" spans="1:4" x14ac:dyDescent="0.2">
      <c r="A67" s="17">
        <v>28126</v>
      </c>
      <c r="B67" s="59">
        <f>VLOOKUP(Table16[[#This Row],[Date]],database!A:H,4,)</f>
        <v>21.622</v>
      </c>
      <c r="C67" s="67">
        <f t="shared" si="0"/>
        <v>2.8617412559193145E-3</v>
      </c>
      <c r="D67" s="67">
        <f>(Table16[[#This Row],[Index]]-B55)/B55</f>
        <v>0.11250604566924263</v>
      </c>
    </row>
    <row r="68" spans="1:4" x14ac:dyDescent="0.2">
      <c r="A68" s="17">
        <v>28157</v>
      </c>
      <c r="B68" s="59">
        <f>VLOOKUP(Table16[[#This Row],[Date]],database!A:H,4,)</f>
        <v>22.1738</v>
      </c>
      <c r="C68" s="67">
        <f t="shared" si="0"/>
        <v>2.5520303394690691E-2</v>
      </c>
      <c r="D68" s="67">
        <f>(Table16[[#This Row],[Index]]-B56)/B56</f>
        <v>0.13298690415970479</v>
      </c>
    </row>
    <row r="69" spans="1:4" x14ac:dyDescent="0.2">
      <c r="A69" s="17">
        <v>28185</v>
      </c>
      <c r="B69" s="59">
        <f>VLOOKUP(Table16[[#This Row],[Date]],database!A:H,4,)</f>
        <v>22.526</v>
      </c>
      <c r="C69" s="67">
        <f t="shared" si="0"/>
        <v>1.5883610387033231E-2</v>
      </c>
      <c r="D69" s="67">
        <f>(Table16[[#This Row],[Index]]-B57)/B57</f>
        <v>0.14367819009854735</v>
      </c>
    </row>
    <row r="70" spans="1:4" x14ac:dyDescent="0.2">
      <c r="A70" s="17">
        <v>28216</v>
      </c>
      <c r="B70" s="59">
        <f>VLOOKUP(Table16[[#This Row],[Date]],database!A:H,4,)</f>
        <v>22.842400000000001</v>
      </c>
      <c r="C70" s="67">
        <f t="shared" si="0"/>
        <v>1.4045991298943461E-2</v>
      </c>
      <c r="D70" s="67">
        <f>(Table16[[#This Row],[Index]]-B58)/B58</f>
        <v>0.14984697164948457</v>
      </c>
    </row>
    <row r="71" spans="1:4" x14ac:dyDescent="0.2">
      <c r="A71" s="17">
        <v>28246</v>
      </c>
      <c r="B71" s="59">
        <f>VLOOKUP(Table16[[#This Row],[Date]],database!A:H,4,)</f>
        <v>23.304500000000001</v>
      </c>
      <c r="C71" s="67">
        <f t="shared" si="0"/>
        <v>2.0229923300528752E-2</v>
      </c>
      <c r="D71" s="67">
        <f>(Table16[[#This Row],[Index]]-B59)/B59</f>
        <v>0.16517839286428537</v>
      </c>
    </row>
    <row r="72" spans="1:4" x14ac:dyDescent="0.2">
      <c r="A72" s="17">
        <v>28277</v>
      </c>
      <c r="B72" s="59">
        <f>VLOOKUP(Table16[[#This Row],[Date]],database!A:H,4,)</f>
        <v>23.825900000000001</v>
      </c>
      <c r="C72" s="67">
        <f t="shared" ref="C72:C135" si="1">B72/B71-1</f>
        <v>2.2373361367976186E-2</v>
      </c>
      <c r="D72" s="67">
        <f>(Table16[[#This Row],[Index]]-B60)/B60</f>
        <v>0.1856394995869701</v>
      </c>
    </row>
    <row r="73" spans="1:4" x14ac:dyDescent="0.2">
      <c r="A73" s="17">
        <v>28307</v>
      </c>
      <c r="B73" s="59">
        <f>VLOOKUP(Table16[[#This Row],[Date]],database!A:H,4,)</f>
        <v>23.9664</v>
      </c>
      <c r="C73" s="67">
        <f t="shared" si="1"/>
        <v>5.8969440818603669E-3</v>
      </c>
      <c r="D73" s="67">
        <f>(Table16[[#This Row],[Index]]-B61)/B61</f>
        <v>0.18430961722819056</v>
      </c>
    </row>
    <row r="74" spans="1:4" x14ac:dyDescent="0.2">
      <c r="A74" s="17">
        <v>28338</v>
      </c>
      <c r="B74" s="59">
        <f>VLOOKUP(Table16[[#This Row],[Date]],database!A:H,4,)</f>
        <v>24.0428</v>
      </c>
      <c r="C74" s="67">
        <f t="shared" si="1"/>
        <v>3.1877962480806321E-3</v>
      </c>
      <c r="D74" s="67">
        <f>(Table16[[#This Row],[Index]]-B62)/B62</f>
        <v>0.16824909378917591</v>
      </c>
    </row>
    <row r="75" spans="1:4" x14ac:dyDescent="0.2">
      <c r="A75" s="17">
        <v>28369</v>
      </c>
      <c r="B75" s="59">
        <f>VLOOKUP(Table16[[#This Row],[Date]],database!A:H,4,)</f>
        <v>24.134899999999998</v>
      </c>
      <c r="C75" s="67">
        <f t="shared" si="1"/>
        <v>3.830668640923518E-3</v>
      </c>
      <c r="D75" s="67">
        <f>(Table16[[#This Row],[Index]]-B63)/B63</f>
        <v>0.17588392635286892</v>
      </c>
    </row>
    <row r="76" spans="1:4" x14ac:dyDescent="0.2">
      <c r="A76" s="17">
        <v>28399</v>
      </c>
      <c r="B76" s="59">
        <f>VLOOKUP(Table16[[#This Row],[Date]],database!A:H,4,)</f>
        <v>24.033300000000001</v>
      </c>
      <c r="C76" s="67">
        <f t="shared" si="1"/>
        <v>-4.2096714716032269E-3</v>
      </c>
      <c r="D76" s="67">
        <f>(Table16[[#This Row],[Index]]-B64)/B64</f>
        <v>0.16927605332295428</v>
      </c>
    </row>
    <row r="77" spans="1:4" x14ac:dyDescent="0.2">
      <c r="A77" s="17">
        <v>28430</v>
      </c>
      <c r="B77" s="59">
        <f>VLOOKUP(Table16[[#This Row],[Date]],database!A:H,4,)</f>
        <v>24.0366</v>
      </c>
      <c r="C77" s="67">
        <f t="shared" si="1"/>
        <v>1.3730948309209623E-4</v>
      </c>
      <c r="D77" s="67">
        <f>(Table16[[#This Row],[Index]]-B65)/B65</f>
        <v>0.132082403142397</v>
      </c>
    </row>
    <row r="78" spans="1:4" x14ac:dyDescent="0.2">
      <c r="A78" s="17">
        <v>28460</v>
      </c>
      <c r="B78" s="59">
        <f>VLOOKUP(Table16[[#This Row],[Date]],database!A:H,4,)</f>
        <v>24.354099999999999</v>
      </c>
      <c r="C78" s="67">
        <f t="shared" si="1"/>
        <v>1.3209022906733869E-2</v>
      </c>
      <c r="D78" s="67">
        <f>(Table16[[#This Row],[Index]]-B66)/B66</f>
        <v>0.12958075722508486</v>
      </c>
    </row>
    <row r="79" spans="1:4" x14ac:dyDescent="0.2">
      <c r="A79" s="17">
        <v>28491</v>
      </c>
      <c r="B79" s="59">
        <f>VLOOKUP(Table16[[#This Row],[Date]],database!A:H,4,)</f>
        <v>23.866399999999999</v>
      </c>
      <c r="C79" s="67">
        <f t="shared" si="1"/>
        <v>-2.0025375604107776E-2</v>
      </c>
      <c r="D79" s="67">
        <f>(Table16[[#This Row],[Index]]-B67)/B67</f>
        <v>0.10380168347053921</v>
      </c>
    </row>
    <row r="80" spans="1:4" x14ac:dyDescent="0.2">
      <c r="A80" s="17">
        <v>28522</v>
      </c>
      <c r="B80" s="59">
        <f>VLOOKUP(Table16[[#This Row],[Date]],database!A:H,4,)</f>
        <v>24.464600000000001</v>
      </c>
      <c r="C80" s="67">
        <f t="shared" si="1"/>
        <v>2.5064525860624132E-2</v>
      </c>
      <c r="D80" s="67">
        <f>(Table16[[#This Row],[Index]]-B68)/B68</f>
        <v>0.10331111491940943</v>
      </c>
    </row>
    <row r="81" spans="1:4" x14ac:dyDescent="0.2">
      <c r="A81" s="17">
        <v>28550</v>
      </c>
      <c r="B81" s="59">
        <f>VLOOKUP(Table16[[#This Row],[Date]],database!A:H,4,)</f>
        <v>25.189499999999999</v>
      </c>
      <c r="C81" s="67">
        <f t="shared" si="1"/>
        <v>2.9630568249634059E-2</v>
      </c>
      <c r="D81" s="67">
        <f>(Table16[[#This Row],[Index]]-B69)/B69</f>
        <v>0.11824114356743315</v>
      </c>
    </row>
    <row r="82" spans="1:4" x14ac:dyDescent="0.2">
      <c r="A82" s="17">
        <v>28581</v>
      </c>
      <c r="B82" s="59">
        <f>VLOOKUP(Table16[[#This Row],[Date]],database!A:H,4,)</f>
        <v>25.722799999999999</v>
      </c>
      <c r="C82" s="67">
        <f t="shared" si="1"/>
        <v>2.117151987931476E-2</v>
      </c>
      <c r="D82" s="67">
        <f>(Table16[[#This Row],[Index]]-B70)/B70</f>
        <v>0.12609883374776723</v>
      </c>
    </row>
    <row r="83" spans="1:4" x14ac:dyDescent="0.2">
      <c r="A83" s="17">
        <v>28611</v>
      </c>
      <c r="B83" s="59">
        <f>VLOOKUP(Table16[[#This Row],[Date]],database!A:H,4,)</f>
        <v>25.888999999999999</v>
      </c>
      <c r="C83" s="67">
        <f t="shared" si="1"/>
        <v>6.4611939602221558E-3</v>
      </c>
      <c r="D83" s="67">
        <f>(Table16[[#This Row],[Index]]-B71)/B71</f>
        <v>0.11090132806968604</v>
      </c>
    </row>
    <row r="84" spans="1:4" x14ac:dyDescent="0.2">
      <c r="A84" s="17">
        <v>28642</v>
      </c>
      <c r="B84" s="59">
        <f>VLOOKUP(Table16[[#This Row],[Date]],database!A:H,4,)</f>
        <v>26.296900000000001</v>
      </c>
      <c r="C84" s="67">
        <f t="shared" si="1"/>
        <v>1.5755726370273226E-2</v>
      </c>
      <c r="D84" s="67">
        <f>(Table16[[#This Row],[Index]]-B72)/B72</f>
        <v>0.10371066780268531</v>
      </c>
    </row>
    <row r="85" spans="1:4" x14ac:dyDescent="0.2">
      <c r="A85" s="17">
        <v>28672</v>
      </c>
      <c r="B85" s="59">
        <f>VLOOKUP(Table16[[#This Row],[Date]],database!A:H,4,)</f>
        <v>26.491199999999999</v>
      </c>
      <c r="C85" s="67">
        <f t="shared" si="1"/>
        <v>7.3887036114521631E-3</v>
      </c>
      <c r="D85" s="67">
        <f>(Table16[[#This Row],[Index]]-B73)/B73</f>
        <v>0.10534748648107346</v>
      </c>
    </row>
    <row r="86" spans="1:4" x14ac:dyDescent="0.2">
      <c r="A86" s="17">
        <v>28703</v>
      </c>
      <c r="B86" s="59">
        <f>VLOOKUP(Table16[[#This Row],[Date]],database!A:H,4,)</f>
        <v>26.988099999999999</v>
      </c>
      <c r="C86" s="67">
        <f t="shared" si="1"/>
        <v>1.8757172193030192E-2</v>
      </c>
      <c r="D86" s="67">
        <f>(Table16[[#This Row],[Index]]-B74)/B74</f>
        <v>0.12250237077212303</v>
      </c>
    </row>
    <row r="87" spans="1:4" x14ac:dyDescent="0.2">
      <c r="A87" s="17">
        <v>28734</v>
      </c>
      <c r="B87" s="59">
        <f>VLOOKUP(Table16[[#This Row],[Date]],database!A:H,4,)</f>
        <v>27.265999999999998</v>
      </c>
      <c r="C87" s="67">
        <f t="shared" si="1"/>
        <v>1.0297130957718448E-2</v>
      </c>
      <c r="D87" s="67">
        <f>(Table16[[#This Row],[Index]]-B75)/B75</f>
        <v>0.12973329079465837</v>
      </c>
    </row>
    <row r="88" spans="1:4" x14ac:dyDescent="0.2">
      <c r="A88" s="17">
        <v>28764</v>
      </c>
      <c r="B88" s="59">
        <f>VLOOKUP(Table16[[#This Row],[Date]],database!A:H,4,)</f>
        <v>27.821100000000001</v>
      </c>
      <c r="C88" s="67">
        <f t="shared" si="1"/>
        <v>2.0358688476491027E-2</v>
      </c>
      <c r="D88" s="67">
        <f>(Table16[[#This Row],[Index]]-B76)/B76</f>
        <v>0.15760632122929438</v>
      </c>
    </row>
    <row r="89" spans="1:4" x14ac:dyDescent="0.2">
      <c r="A89" s="17">
        <v>28795</v>
      </c>
      <c r="B89" s="59">
        <f>VLOOKUP(Table16[[#This Row],[Date]],database!A:H,4,)</f>
        <v>28.285699999999999</v>
      </c>
      <c r="C89" s="67">
        <f t="shared" si="1"/>
        <v>1.6699555373439479E-2</v>
      </c>
      <c r="D89" s="67">
        <f>(Table16[[#This Row],[Index]]-B77)/B77</f>
        <v>0.1767762495527653</v>
      </c>
    </row>
    <row r="90" spans="1:4" x14ac:dyDescent="0.2">
      <c r="A90" s="17">
        <v>28825</v>
      </c>
      <c r="B90" s="59">
        <f>VLOOKUP(Table16[[#This Row],[Date]],database!A:H,4,)</f>
        <v>28.588699999999999</v>
      </c>
      <c r="C90" s="67">
        <f t="shared" si="1"/>
        <v>1.0712126622286267E-2</v>
      </c>
      <c r="D90" s="67">
        <f>(Table16[[#This Row],[Index]]-B78)/B78</f>
        <v>0.1738762672404236</v>
      </c>
    </row>
    <row r="91" spans="1:4" x14ac:dyDescent="0.2">
      <c r="A91" s="17">
        <v>28856</v>
      </c>
      <c r="B91" s="59">
        <f>VLOOKUP(Table16[[#This Row],[Date]],database!A:H,4,)</f>
        <v>28.915700000000001</v>
      </c>
      <c r="C91" s="67">
        <f t="shared" si="1"/>
        <v>1.1438085677208276E-2</v>
      </c>
      <c r="D91" s="67">
        <f>(Table16[[#This Row],[Index]]-B79)/B79</f>
        <v>0.21156521301914</v>
      </c>
    </row>
    <row r="92" spans="1:4" x14ac:dyDescent="0.2">
      <c r="A92" s="17">
        <v>28887</v>
      </c>
      <c r="B92" s="59">
        <f>VLOOKUP(Table16[[#This Row],[Date]],database!A:H,4,)</f>
        <v>29.235299999999999</v>
      </c>
      <c r="C92" s="67">
        <f t="shared" si="1"/>
        <v>1.1052819056775354E-2</v>
      </c>
      <c r="D92" s="67">
        <f>(Table16[[#This Row],[Index]]-B80)/B80</f>
        <v>0.19500421016489122</v>
      </c>
    </row>
    <row r="93" spans="1:4" x14ac:dyDescent="0.2">
      <c r="A93" s="17">
        <v>28915</v>
      </c>
      <c r="B93" s="59">
        <f>VLOOKUP(Table16[[#This Row],[Date]],database!A:H,4,)</f>
        <v>29.456700000000001</v>
      </c>
      <c r="C93" s="67">
        <f t="shared" si="1"/>
        <v>7.5730367056265901E-3</v>
      </c>
      <c r="D93" s="67">
        <f>(Table16[[#This Row],[Index]]-B81)/B81</f>
        <v>0.16940391829929147</v>
      </c>
    </row>
    <row r="94" spans="1:4" x14ac:dyDescent="0.2">
      <c r="A94" s="17">
        <v>28946</v>
      </c>
      <c r="B94" s="59">
        <f>VLOOKUP(Table16[[#This Row],[Date]],database!A:H,4,)</f>
        <v>28.855899999999998</v>
      </c>
      <c r="C94" s="67">
        <f t="shared" si="1"/>
        <v>-2.0396038931720262E-2</v>
      </c>
      <c r="D94" s="67">
        <f>(Table16[[#This Row],[Index]]-B82)/B82</f>
        <v>0.12180244763400559</v>
      </c>
    </row>
    <row r="95" spans="1:4" x14ac:dyDescent="0.2">
      <c r="A95" s="17">
        <v>28976</v>
      </c>
      <c r="B95" s="59">
        <f>VLOOKUP(Table16[[#This Row],[Date]],database!A:H,4,)</f>
        <v>29.689800000000002</v>
      </c>
      <c r="C95" s="67">
        <f t="shared" si="1"/>
        <v>2.8898769402444735E-2</v>
      </c>
      <c r="D95" s="67">
        <f>(Table16[[#This Row],[Index]]-B83)/B83</f>
        <v>0.14681138707559205</v>
      </c>
    </row>
    <row r="96" spans="1:4" x14ac:dyDescent="0.2">
      <c r="A96" s="17">
        <v>29007</v>
      </c>
      <c r="B96" s="59">
        <f>VLOOKUP(Table16[[#This Row],[Date]],database!A:H,4,)</f>
        <v>29.811399999999999</v>
      </c>
      <c r="C96" s="67">
        <f t="shared" si="1"/>
        <v>4.095682692372371E-3</v>
      </c>
      <c r="D96" s="67">
        <f>(Table16[[#This Row],[Index]]-B84)/B84</f>
        <v>0.13364693176762274</v>
      </c>
    </row>
    <row r="97" spans="1:4" x14ac:dyDescent="0.2">
      <c r="A97" s="17">
        <v>29037</v>
      </c>
      <c r="B97" s="59">
        <f>VLOOKUP(Table16[[#This Row],[Date]],database!A:H,4,)</f>
        <v>30.101299999999998</v>
      </c>
      <c r="C97" s="67">
        <f t="shared" si="1"/>
        <v>9.7244678210348656E-3</v>
      </c>
      <c r="D97" s="67">
        <f>(Table16[[#This Row],[Index]]-B85)/B85</f>
        <v>0.13627544241106479</v>
      </c>
    </row>
    <row r="98" spans="1:4" x14ac:dyDescent="0.2">
      <c r="A98" s="17">
        <v>29068</v>
      </c>
      <c r="B98" s="59">
        <f>VLOOKUP(Table16[[#This Row],[Date]],database!A:H,4,)</f>
        <v>29.738299999999999</v>
      </c>
      <c r="C98" s="67">
        <f t="shared" si="1"/>
        <v>-1.2059279831768022E-2</v>
      </c>
      <c r="D98" s="67">
        <f>(Table16[[#This Row],[Index]]-B86)/B86</f>
        <v>0.10190417257976662</v>
      </c>
    </row>
    <row r="99" spans="1:4" x14ac:dyDescent="0.2">
      <c r="A99" s="17">
        <v>29099</v>
      </c>
      <c r="B99" s="59">
        <f>VLOOKUP(Table16[[#This Row],[Date]],database!A:H,4,)</f>
        <v>30.4635</v>
      </c>
      <c r="C99" s="67">
        <f t="shared" si="1"/>
        <v>2.4386061072757981E-2</v>
      </c>
      <c r="D99" s="67">
        <f>(Table16[[#This Row],[Index]]-B87)/B87</f>
        <v>0.11727059341304195</v>
      </c>
    </row>
    <row r="100" spans="1:4" x14ac:dyDescent="0.2">
      <c r="A100" s="17">
        <v>29129</v>
      </c>
      <c r="B100" s="59">
        <f>VLOOKUP(Table16[[#This Row],[Date]],database!A:H,4,)</f>
        <v>30.1814</v>
      </c>
      <c r="C100" s="67">
        <f t="shared" si="1"/>
        <v>-9.2602622810904478E-3</v>
      </c>
      <c r="D100" s="67">
        <f>(Table16[[#This Row],[Index]]-B88)/B88</f>
        <v>8.4838485897394372E-2</v>
      </c>
    </row>
    <row r="101" spans="1:4" x14ac:dyDescent="0.2">
      <c r="A101" s="17">
        <v>29160</v>
      </c>
      <c r="B101" s="59">
        <f>VLOOKUP(Table16[[#This Row],[Date]],database!A:H,4,)</f>
        <v>30.126899999999999</v>
      </c>
      <c r="C101" s="67">
        <f t="shared" si="1"/>
        <v>-1.8057479109651053E-3</v>
      </c>
      <c r="D101" s="67">
        <f>(Table16[[#This Row],[Index]]-B89)/B89</f>
        <v>6.5092962168162738E-2</v>
      </c>
    </row>
    <row r="102" spans="1:4" x14ac:dyDescent="0.2">
      <c r="A102" s="17">
        <v>29190</v>
      </c>
      <c r="B102" s="59">
        <f>VLOOKUP(Table16[[#This Row],[Date]],database!A:H,4,)</f>
        <v>30.340399999999999</v>
      </c>
      <c r="C102" s="67">
        <f t="shared" si="1"/>
        <v>7.0866899681016893E-3</v>
      </c>
      <c r="D102" s="67">
        <f>(Table16[[#This Row],[Index]]-B90)/B90</f>
        <v>6.1272460797447928E-2</v>
      </c>
    </row>
    <row r="103" spans="1:4" x14ac:dyDescent="0.2">
      <c r="A103" s="17">
        <v>29221</v>
      </c>
      <c r="B103" s="59">
        <f>VLOOKUP(Table16[[#This Row],[Date]],database!A:H,4,)</f>
        <v>30.869399999999999</v>
      </c>
      <c r="C103" s="67">
        <f t="shared" si="1"/>
        <v>1.7435498543196593E-2</v>
      </c>
      <c r="D103" s="67">
        <f>(Table16[[#This Row],[Index]]-B91)/B91</f>
        <v>6.7565371061395638E-2</v>
      </c>
    </row>
    <row r="104" spans="1:4" x14ac:dyDescent="0.2">
      <c r="A104" s="17">
        <v>29252</v>
      </c>
      <c r="B104" s="59">
        <f>VLOOKUP(Table16[[#This Row],[Date]],database!A:H,4,)</f>
        <v>31.0318</v>
      </c>
      <c r="C104" s="67">
        <f t="shared" si="1"/>
        <v>5.2608732272088066E-3</v>
      </c>
      <c r="D104" s="67">
        <f>(Table16[[#This Row],[Index]]-B92)/B92</f>
        <v>6.1449685825012978E-2</v>
      </c>
    </row>
    <row r="105" spans="1:4" x14ac:dyDescent="0.2">
      <c r="A105" s="17">
        <v>29281</v>
      </c>
      <c r="B105" s="59">
        <f>VLOOKUP(Table16[[#This Row],[Date]],database!A:H,4,)</f>
        <v>30.762699999999999</v>
      </c>
      <c r="C105" s="67">
        <f t="shared" si="1"/>
        <v>-8.6717496245787284E-3</v>
      </c>
      <c r="D105" s="67">
        <f>(Table16[[#This Row],[Index]]-B93)/B93</f>
        <v>4.4336263057300963E-2</v>
      </c>
    </row>
    <row r="106" spans="1:4" x14ac:dyDescent="0.2">
      <c r="A106" s="17">
        <v>29312</v>
      </c>
      <c r="B106" s="59">
        <f>VLOOKUP(Table16[[#This Row],[Date]],database!A:H,4,)</f>
        <v>30.4558</v>
      </c>
      <c r="C106" s="67">
        <f t="shared" si="1"/>
        <v>-9.9763674839984384E-3</v>
      </c>
      <c r="D106" s="67">
        <f>(Table16[[#This Row],[Index]]-B94)/B94</f>
        <v>5.5444467162694688E-2</v>
      </c>
    </row>
    <row r="107" spans="1:4" x14ac:dyDescent="0.2">
      <c r="A107" s="17">
        <v>29342</v>
      </c>
      <c r="B107" s="59">
        <f>VLOOKUP(Table16[[#This Row],[Date]],database!A:H,4,)</f>
        <v>29.9803</v>
      </c>
      <c r="C107" s="67">
        <f t="shared" si="1"/>
        <v>-1.5612789682096673E-2</v>
      </c>
      <c r="D107" s="67">
        <f>(Table16[[#This Row],[Index]]-B95)/B95</f>
        <v>9.7845051162351367E-3</v>
      </c>
    </row>
    <row r="108" spans="1:4" x14ac:dyDescent="0.2">
      <c r="A108" s="17">
        <v>29373</v>
      </c>
      <c r="B108" s="59">
        <f>VLOOKUP(Table16[[#This Row],[Date]],database!A:H,4,)</f>
        <v>29.626799999999999</v>
      </c>
      <c r="C108" s="67">
        <f t="shared" si="1"/>
        <v>-1.1791076139998635E-2</v>
      </c>
      <c r="D108" s="67">
        <f>(Table16[[#This Row],[Index]]-B96)/B96</f>
        <v>-6.1922620205693011E-3</v>
      </c>
    </row>
    <row r="109" spans="1:4" x14ac:dyDescent="0.2">
      <c r="A109" s="17">
        <v>29403</v>
      </c>
      <c r="B109" s="59">
        <f>VLOOKUP(Table16[[#This Row],[Date]],database!A:H,4,)</f>
        <v>29.6311</v>
      </c>
      <c r="C109" s="67">
        <f t="shared" si="1"/>
        <v>1.4513886076117366E-4</v>
      </c>
      <c r="D109" s="67">
        <f>(Table16[[#This Row],[Index]]-B97)/B97</f>
        <v>-1.5620587815144143E-2</v>
      </c>
    </row>
    <row r="110" spans="1:4" x14ac:dyDescent="0.2">
      <c r="A110" s="17">
        <v>29434</v>
      </c>
      <c r="B110" s="59">
        <f>VLOOKUP(Table16[[#This Row],[Date]],database!A:H,4,)</f>
        <v>29.558700000000002</v>
      </c>
      <c r="C110" s="67">
        <f t="shared" si="1"/>
        <v>-2.4433787473295832E-3</v>
      </c>
      <c r="D110" s="67">
        <f>(Table16[[#This Row],[Index]]-B98)/B98</f>
        <v>-6.0393499292157619E-3</v>
      </c>
    </row>
    <row r="111" spans="1:4" x14ac:dyDescent="0.2">
      <c r="A111" s="17">
        <v>29465</v>
      </c>
      <c r="B111" s="59">
        <f>VLOOKUP(Table16[[#This Row],[Date]],database!A:H,4,)</f>
        <v>30.160399999999999</v>
      </c>
      <c r="C111" s="67">
        <f t="shared" si="1"/>
        <v>2.035610497078677E-2</v>
      </c>
      <c r="D111" s="67">
        <f>(Table16[[#This Row],[Index]]-B99)/B99</f>
        <v>-9.9496118305513349E-3</v>
      </c>
    </row>
    <row r="112" spans="1:4" x14ac:dyDescent="0.2">
      <c r="A112" s="17">
        <v>29495</v>
      </c>
      <c r="B112" s="59">
        <f>VLOOKUP(Table16[[#This Row],[Date]],database!A:H,4,)</f>
        <v>30.722100000000001</v>
      </c>
      <c r="C112" s="67">
        <f t="shared" si="1"/>
        <v>1.8623758305592819E-2</v>
      </c>
      <c r="D112" s="67">
        <f>(Table16[[#This Row],[Index]]-B100)/B100</f>
        <v>1.7915007256124667E-2</v>
      </c>
    </row>
    <row r="113" spans="1:4" x14ac:dyDescent="0.2">
      <c r="A113" s="17">
        <v>29526</v>
      </c>
      <c r="B113" s="59">
        <f>VLOOKUP(Table16[[#This Row],[Date]],database!A:H,4,)</f>
        <v>31.194700000000001</v>
      </c>
      <c r="C113" s="67">
        <f t="shared" si="1"/>
        <v>1.5383063006760622E-2</v>
      </c>
      <c r="D113" s="67">
        <f>(Table16[[#This Row],[Index]]-B101)/B101</f>
        <v>3.5443407718683366E-2</v>
      </c>
    </row>
    <row r="114" spans="1:4" x14ac:dyDescent="0.2">
      <c r="A114" s="17">
        <v>29556</v>
      </c>
      <c r="B114" s="59">
        <f>VLOOKUP(Table16[[#This Row],[Date]],database!A:H,4,)</f>
        <v>31.3399</v>
      </c>
      <c r="C114" s="67">
        <f t="shared" si="1"/>
        <v>4.6546368453614928E-3</v>
      </c>
      <c r="D114" s="67">
        <f>(Table16[[#This Row],[Index]]-B102)/B102</f>
        <v>3.2942874846739044E-2</v>
      </c>
    </row>
    <row r="115" spans="1:4" x14ac:dyDescent="0.2">
      <c r="A115" s="17">
        <v>29587</v>
      </c>
      <c r="B115" s="59">
        <f>VLOOKUP(Table16[[#This Row],[Date]],database!A:H,4,)</f>
        <v>31.3673</v>
      </c>
      <c r="C115" s="67">
        <f t="shared" si="1"/>
        <v>8.7428485732243821E-4</v>
      </c>
      <c r="D115" s="67">
        <f>(Table16[[#This Row],[Index]]-B103)/B103</f>
        <v>1.6129241255094084E-2</v>
      </c>
    </row>
    <row r="116" spans="1:4" x14ac:dyDescent="0.2">
      <c r="A116" s="17">
        <v>29618</v>
      </c>
      <c r="B116" s="59">
        <f>VLOOKUP(Table16[[#This Row],[Date]],database!A:H,4,)</f>
        <v>31.000800000000002</v>
      </c>
      <c r="C116" s="67">
        <f t="shared" si="1"/>
        <v>-1.1684142403075803E-2</v>
      </c>
      <c r="D116" s="67">
        <f>(Table16[[#This Row],[Index]]-B104)/B104</f>
        <v>-9.9897524474889653E-4</v>
      </c>
    </row>
    <row r="117" spans="1:4" x14ac:dyDescent="0.2">
      <c r="A117" s="17">
        <v>29646</v>
      </c>
      <c r="B117" s="59">
        <f>VLOOKUP(Table16[[#This Row],[Date]],database!A:H,4,)</f>
        <v>31.311299999999999</v>
      </c>
      <c r="C117" s="67">
        <f t="shared" si="1"/>
        <v>1.0015870558178985E-2</v>
      </c>
      <c r="D117" s="67">
        <f>(Table16[[#This Row],[Index]]-B105)/B105</f>
        <v>1.7833285114765625E-2</v>
      </c>
    </row>
    <row r="118" spans="1:4" x14ac:dyDescent="0.2">
      <c r="A118" s="17">
        <v>29677</v>
      </c>
      <c r="B118" s="59">
        <f>VLOOKUP(Table16[[#This Row],[Date]],database!A:H,4,)</f>
        <v>31.6616</v>
      </c>
      <c r="C118" s="67">
        <f t="shared" si="1"/>
        <v>1.1187654297330374E-2</v>
      </c>
      <c r="D118" s="67">
        <f>(Table16[[#This Row],[Index]]-B106)/B106</f>
        <v>3.9591801889951997E-2</v>
      </c>
    </row>
    <row r="119" spans="1:4" x14ac:dyDescent="0.2">
      <c r="A119" s="17">
        <v>29707</v>
      </c>
      <c r="B119" s="59">
        <f>VLOOKUP(Table16[[#This Row],[Date]],database!A:H,4,)</f>
        <v>31.662299999999998</v>
      </c>
      <c r="C119" s="67">
        <f t="shared" si="1"/>
        <v>2.2108800565856512E-5</v>
      </c>
      <c r="D119" s="67">
        <f>(Table16[[#This Row],[Index]]-B107)/B107</f>
        <v>5.6103507970233737E-2</v>
      </c>
    </row>
    <row r="120" spans="1:4" x14ac:dyDescent="0.2">
      <c r="A120" s="17">
        <v>29738</v>
      </c>
      <c r="B120" s="59">
        <f>VLOOKUP(Table16[[#This Row],[Date]],database!A:H,4,)</f>
        <v>31.539200000000001</v>
      </c>
      <c r="C120" s="67">
        <f t="shared" si="1"/>
        <v>-3.8879045426263303E-3</v>
      </c>
      <c r="D120" s="67">
        <f>(Table16[[#This Row],[Index]]-B108)/B108</f>
        <v>6.4549664492959138E-2</v>
      </c>
    </row>
    <row r="121" spans="1:4" x14ac:dyDescent="0.2">
      <c r="A121" s="17">
        <v>29768</v>
      </c>
      <c r="B121" s="59">
        <f>VLOOKUP(Table16[[#This Row],[Date]],database!A:H,4,)</f>
        <v>31.586099999999998</v>
      </c>
      <c r="C121" s="67">
        <f t="shared" si="1"/>
        <v>1.4870383522727071E-3</v>
      </c>
      <c r="D121" s="67">
        <f>(Table16[[#This Row],[Index]]-B109)/B109</f>
        <v>6.5977975842948733E-2</v>
      </c>
    </row>
    <row r="122" spans="1:4" x14ac:dyDescent="0.2">
      <c r="A122" s="17">
        <v>29799</v>
      </c>
      <c r="B122" s="59">
        <f>VLOOKUP(Table16[[#This Row],[Date]],database!A:H,4,)</f>
        <v>31.525400000000001</v>
      </c>
      <c r="C122" s="67">
        <f t="shared" si="1"/>
        <v>-1.921731394505688E-3</v>
      </c>
      <c r="D122" s="67">
        <f>(Table16[[#This Row],[Index]]-B110)/B110</f>
        <v>6.6535402436507671E-2</v>
      </c>
    </row>
    <row r="123" spans="1:4" x14ac:dyDescent="0.2">
      <c r="A123" s="17">
        <v>29830</v>
      </c>
      <c r="B123" s="59">
        <f>VLOOKUP(Table16[[#This Row],[Date]],database!A:H,4,)</f>
        <v>31.555199999999999</v>
      </c>
      <c r="C123" s="67">
        <f t="shared" si="1"/>
        <v>9.4526952869733449E-4</v>
      </c>
      <c r="D123" s="67">
        <f>(Table16[[#This Row],[Index]]-B111)/B111</f>
        <v>4.6246071007015825E-2</v>
      </c>
    </row>
    <row r="124" spans="1:4" x14ac:dyDescent="0.2">
      <c r="A124" s="17">
        <v>29860</v>
      </c>
      <c r="B124" s="59">
        <f>VLOOKUP(Table16[[#This Row],[Date]],database!A:H,4,)</f>
        <v>31.454000000000001</v>
      </c>
      <c r="C124" s="67">
        <f t="shared" si="1"/>
        <v>-3.2070783896156474E-3</v>
      </c>
      <c r="D124" s="67">
        <f>(Table16[[#This Row],[Index]]-B112)/B112</f>
        <v>2.3823241249784341E-2</v>
      </c>
    </row>
    <row r="125" spans="1:4" x14ac:dyDescent="0.2">
      <c r="A125" s="17">
        <v>29891</v>
      </c>
      <c r="B125" s="59">
        <f>VLOOKUP(Table16[[#This Row],[Date]],database!A:H,4,)</f>
        <v>30.937100000000001</v>
      </c>
      <c r="C125" s="67">
        <f t="shared" si="1"/>
        <v>-1.6433521968589049E-2</v>
      </c>
      <c r="D125" s="67">
        <f>(Table16[[#This Row],[Index]]-B113)/B113</f>
        <v>-8.2578130259306892E-3</v>
      </c>
    </row>
    <row r="126" spans="1:4" x14ac:dyDescent="0.2">
      <c r="A126" s="17">
        <v>29921</v>
      </c>
      <c r="B126" s="59">
        <f>VLOOKUP(Table16[[#This Row],[Date]],database!A:H,4,)</f>
        <v>30.511800000000001</v>
      </c>
      <c r="C126" s="67">
        <f t="shared" si="1"/>
        <v>-1.3747248449272886E-2</v>
      </c>
      <c r="D126" s="67">
        <f>(Table16[[#This Row],[Index]]-B114)/B114</f>
        <v>-2.6423185779150513E-2</v>
      </c>
    </row>
    <row r="127" spans="1:4" x14ac:dyDescent="0.2">
      <c r="A127" s="17">
        <v>29952</v>
      </c>
      <c r="B127" s="59">
        <f>VLOOKUP(Table16[[#This Row],[Date]],database!A:H,4,)</f>
        <v>29.293399999999998</v>
      </c>
      <c r="C127" s="67">
        <f t="shared" si="1"/>
        <v>-3.9932091846433315E-2</v>
      </c>
      <c r="D127" s="67">
        <f>(Table16[[#This Row],[Index]]-B115)/B115</f>
        <v>-6.6116624637759761E-2</v>
      </c>
    </row>
    <row r="128" spans="1:4" x14ac:dyDescent="0.2">
      <c r="A128" s="17">
        <v>29983</v>
      </c>
      <c r="B128" s="59">
        <f>VLOOKUP(Table16[[#This Row],[Date]],database!A:H,4,)</f>
        <v>30.351099999999999</v>
      </c>
      <c r="C128" s="67">
        <f t="shared" si="1"/>
        <v>3.610710945127571E-2</v>
      </c>
      <c r="D128" s="67">
        <f>(Table16[[#This Row],[Index]]-B116)/B116</f>
        <v>-2.0957523676808431E-2</v>
      </c>
    </row>
    <row r="129" spans="1:4" x14ac:dyDescent="0.2">
      <c r="A129" s="17">
        <v>30011</v>
      </c>
      <c r="B129" s="59">
        <f>VLOOKUP(Table16[[#This Row],[Date]],database!A:H,4,)</f>
        <v>29.996700000000001</v>
      </c>
      <c r="C129" s="67">
        <f t="shared" si="1"/>
        <v>-1.167667728681987E-2</v>
      </c>
      <c r="D129" s="67">
        <f>(Table16[[#This Row],[Index]]-B117)/B117</f>
        <v>-4.1984842532887444E-2</v>
      </c>
    </row>
    <row r="130" spans="1:4" x14ac:dyDescent="0.2">
      <c r="A130" s="17">
        <v>30042</v>
      </c>
      <c r="B130" s="59">
        <f>VLOOKUP(Table16[[#This Row],[Date]],database!A:H,4,)</f>
        <v>29.543700000000001</v>
      </c>
      <c r="C130" s="67">
        <f t="shared" si="1"/>
        <v>-1.5101661182730042E-2</v>
      </c>
      <c r="D130" s="67">
        <f>(Table16[[#This Row],[Index]]-B118)/B118</f>
        <v>-6.6891755312428899E-2</v>
      </c>
    </row>
    <row r="131" spans="1:4" x14ac:dyDescent="0.2">
      <c r="A131" s="17">
        <v>30072</v>
      </c>
      <c r="B131" s="59">
        <f>VLOOKUP(Table16[[#This Row],[Date]],database!A:H,4,)</f>
        <v>29.34</v>
      </c>
      <c r="C131" s="67">
        <f t="shared" si="1"/>
        <v>-6.8948709877233449E-3</v>
      </c>
      <c r="D131" s="67">
        <f>(Table16[[#This Row],[Index]]-B119)/B119</f>
        <v>-7.3345903487744057E-2</v>
      </c>
    </row>
    <row r="132" spans="1:4" x14ac:dyDescent="0.2">
      <c r="A132" s="17">
        <v>30103</v>
      </c>
      <c r="B132" s="59">
        <f>VLOOKUP(Table16[[#This Row],[Date]],database!A:H,4,)</f>
        <v>28.817599999999999</v>
      </c>
      <c r="C132" s="67">
        <f t="shared" si="1"/>
        <v>-1.7805044308111806E-2</v>
      </c>
      <c r="D132" s="67">
        <f>(Table16[[#This Row],[Index]]-B120)/B120</f>
        <v>-8.6292613636363702E-2</v>
      </c>
    </row>
    <row r="133" spans="1:4" x14ac:dyDescent="0.2">
      <c r="A133" s="17">
        <v>30133</v>
      </c>
      <c r="B133" s="59">
        <f>VLOOKUP(Table16[[#This Row],[Date]],database!A:H,4,)</f>
        <v>28.7302</v>
      </c>
      <c r="C133" s="67">
        <f t="shared" si="1"/>
        <v>-3.0328688023985029E-3</v>
      </c>
      <c r="D133" s="67">
        <f>(Table16[[#This Row],[Index]]-B121)/B121</f>
        <v>-9.041635402914569E-2</v>
      </c>
    </row>
    <row r="134" spans="1:4" x14ac:dyDescent="0.2">
      <c r="A134" s="17">
        <v>30164</v>
      </c>
      <c r="B134" s="59">
        <f>VLOOKUP(Table16[[#This Row],[Date]],database!A:H,4,)</f>
        <v>28.011800000000001</v>
      </c>
      <c r="C134" s="67">
        <f t="shared" si="1"/>
        <v>-2.5005046954076127E-2</v>
      </c>
      <c r="D134" s="67">
        <f>(Table16[[#This Row],[Index]]-B122)/B122</f>
        <v>-0.1114529871151516</v>
      </c>
    </row>
    <row r="135" spans="1:4" x14ac:dyDescent="0.2">
      <c r="A135" s="17">
        <v>30195</v>
      </c>
      <c r="B135" s="59">
        <f>VLOOKUP(Table16[[#This Row],[Date]],database!A:H,4,)</f>
        <v>27.892900000000001</v>
      </c>
      <c r="C135" s="67">
        <f t="shared" si="1"/>
        <v>-4.2446397589587237E-3</v>
      </c>
      <c r="D135" s="67">
        <f>(Table16[[#This Row],[Index]]-B123)/B123</f>
        <v>-0.11606011053645669</v>
      </c>
    </row>
    <row r="136" spans="1:4" x14ac:dyDescent="0.2">
      <c r="A136" s="17">
        <v>30225</v>
      </c>
      <c r="B136" s="59">
        <f>VLOOKUP(Table16[[#This Row],[Date]],database!A:H,4,)</f>
        <v>27.2559</v>
      </c>
      <c r="C136" s="67">
        <f t="shared" ref="C136:C199" si="2">B136/B135-1</f>
        <v>-2.2837352874745864E-2</v>
      </c>
      <c r="D136" s="67">
        <f>(Table16[[#This Row],[Index]]-B124)/B124</f>
        <v>-0.13346792140904179</v>
      </c>
    </row>
    <row r="137" spans="1:4" x14ac:dyDescent="0.2">
      <c r="A137" s="17">
        <v>30256</v>
      </c>
      <c r="B137" s="59">
        <f>VLOOKUP(Table16[[#This Row],[Date]],database!A:H,4,)</f>
        <v>27.151499999999999</v>
      </c>
      <c r="C137" s="67">
        <f t="shared" si="2"/>
        <v>-3.8303633341773002E-3</v>
      </c>
      <c r="D137" s="67">
        <f>(Table16[[#This Row],[Index]]-B125)/B125</f>
        <v>-0.12236441036813413</v>
      </c>
    </row>
    <row r="138" spans="1:4" x14ac:dyDescent="0.2">
      <c r="A138" s="17">
        <v>30286</v>
      </c>
      <c r="B138" s="59">
        <f>VLOOKUP(Table16[[#This Row],[Date]],database!A:H,4,)</f>
        <v>27.434000000000001</v>
      </c>
      <c r="C138" s="67">
        <f t="shared" si="2"/>
        <v>1.0404581698985504E-2</v>
      </c>
      <c r="D138" s="67">
        <f>(Table16[[#This Row],[Index]]-B126)/B126</f>
        <v>-0.10087244934746556</v>
      </c>
    </row>
    <row r="139" spans="1:4" x14ac:dyDescent="0.2">
      <c r="A139" s="17">
        <v>30317</v>
      </c>
      <c r="B139" s="59">
        <f>VLOOKUP(Table16[[#This Row],[Date]],database!A:H,4,)</f>
        <v>27.474499999999999</v>
      </c>
      <c r="C139" s="67">
        <f t="shared" si="2"/>
        <v>1.4762703214987738E-3</v>
      </c>
      <c r="D139" s="67">
        <f>(Table16[[#This Row],[Index]]-B127)/B127</f>
        <v>-6.209248499662038E-2</v>
      </c>
    </row>
    <row r="140" spans="1:4" x14ac:dyDescent="0.2">
      <c r="A140" s="17">
        <v>30348</v>
      </c>
      <c r="B140" s="59">
        <f>VLOOKUP(Table16[[#This Row],[Date]],database!A:H,4,)</f>
        <v>27.390699999999999</v>
      </c>
      <c r="C140" s="67">
        <f t="shared" si="2"/>
        <v>-3.0501010027480513E-3</v>
      </c>
      <c r="D140" s="67">
        <f>(Table16[[#This Row],[Index]]-B128)/B128</f>
        <v>-9.7538474717555543E-2</v>
      </c>
    </row>
    <row r="141" spans="1:4" x14ac:dyDescent="0.2">
      <c r="A141" s="17">
        <v>30376</v>
      </c>
      <c r="B141" s="59">
        <f>VLOOKUP(Table16[[#This Row],[Date]],database!A:H,4,)</f>
        <v>27.686199999999999</v>
      </c>
      <c r="C141" s="67">
        <f t="shared" si="2"/>
        <v>1.0788333266400718E-2</v>
      </c>
      <c r="D141" s="67">
        <f>(Table16[[#This Row],[Index]]-B129)/B129</f>
        <v>-7.7025139432004217E-2</v>
      </c>
    </row>
    <row r="142" spans="1:4" x14ac:dyDescent="0.2">
      <c r="A142" s="17">
        <v>30407</v>
      </c>
      <c r="B142" s="59">
        <f>VLOOKUP(Table16[[#This Row],[Date]],database!A:H,4,)</f>
        <v>27.740600000000001</v>
      </c>
      <c r="C142" s="67">
        <f t="shared" si="2"/>
        <v>1.964877809161214E-3</v>
      </c>
      <c r="D142" s="67">
        <f>(Table16[[#This Row],[Index]]-B130)/B130</f>
        <v>-6.1031624339537717E-2</v>
      </c>
    </row>
    <row r="143" spans="1:4" x14ac:dyDescent="0.2">
      <c r="A143" s="17">
        <v>30437</v>
      </c>
      <c r="B143" s="59">
        <f>VLOOKUP(Table16[[#This Row],[Date]],database!A:H,4,)</f>
        <v>28.090399999999999</v>
      </c>
      <c r="C143" s="67">
        <f t="shared" si="2"/>
        <v>1.2609676791417668E-2</v>
      </c>
      <c r="D143" s="67">
        <f>(Table16[[#This Row],[Index]]-B131)/B131</f>
        <v>-4.259032038173146E-2</v>
      </c>
    </row>
    <row r="144" spans="1:4" x14ac:dyDescent="0.2">
      <c r="A144" s="17">
        <v>30468</v>
      </c>
      <c r="B144" s="59">
        <f>VLOOKUP(Table16[[#This Row],[Date]],database!A:H,4,)</f>
        <v>28.293700000000001</v>
      </c>
      <c r="C144" s="67">
        <f t="shared" si="2"/>
        <v>7.2373479907728022E-3</v>
      </c>
      <c r="D144" s="67">
        <f>(Table16[[#This Row],[Index]]-B132)/B132</f>
        <v>-1.8179862306368248E-2</v>
      </c>
    </row>
    <row r="145" spans="1:4" x14ac:dyDescent="0.2">
      <c r="A145" s="17">
        <v>30498</v>
      </c>
      <c r="B145" s="59">
        <f>VLOOKUP(Table16[[#This Row],[Date]],database!A:H,4,)</f>
        <v>28.863099999999999</v>
      </c>
      <c r="C145" s="67">
        <f t="shared" si="2"/>
        <v>2.0124621382145103E-2</v>
      </c>
      <c r="D145" s="67">
        <f>(Table16[[#This Row],[Index]]-B133)/B133</f>
        <v>4.6257944601847305E-3</v>
      </c>
    </row>
    <row r="146" spans="1:4" x14ac:dyDescent="0.2">
      <c r="A146" s="17">
        <v>30529</v>
      </c>
      <c r="B146" s="59">
        <f>VLOOKUP(Table16[[#This Row],[Date]],database!A:H,4,)</f>
        <v>29.157800000000002</v>
      </c>
      <c r="C146" s="67">
        <f t="shared" si="2"/>
        <v>1.0210268474280415E-2</v>
      </c>
      <c r="D146" s="67">
        <f>(Table16[[#This Row],[Index]]-B134)/B134</f>
        <v>4.091133022511944E-2</v>
      </c>
    </row>
    <row r="147" spans="1:4" x14ac:dyDescent="0.2">
      <c r="A147" s="17">
        <v>30560</v>
      </c>
      <c r="B147" s="59">
        <f>VLOOKUP(Table16[[#This Row],[Date]],database!A:H,4,)</f>
        <v>29.940899999999999</v>
      </c>
      <c r="C147" s="67">
        <f t="shared" si="2"/>
        <v>2.6857307478616255E-2</v>
      </c>
      <c r="D147" s="67">
        <f>(Table16[[#This Row],[Index]]-B135)/B135</f>
        <v>7.3423702806090368E-2</v>
      </c>
    </row>
    <row r="148" spans="1:4" x14ac:dyDescent="0.2">
      <c r="A148" s="17">
        <v>30590</v>
      </c>
      <c r="B148" s="59">
        <f>VLOOKUP(Table16[[#This Row],[Date]],database!A:H,4,)</f>
        <v>30.2867</v>
      </c>
      <c r="C148" s="67">
        <f t="shared" si="2"/>
        <v>1.154941902214035E-2</v>
      </c>
      <c r="D148" s="67">
        <f>(Table16[[#This Row],[Index]]-B136)/B136</f>
        <v>0.11119794246383349</v>
      </c>
    </row>
    <row r="149" spans="1:4" x14ac:dyDescent="0.2">
      <c r="A149" s="17">
        <v>30621</v>
      </c>
      <c r="B149" s="59">
        <f>VLOOKUP(Table16[[#This Row],[Date]],database!A:H,4,)</f>
        <v>30.6112</v>
      </c>
      <c r="C149" s="67">
        <f t="shared" si="2"/>
        <v>1.0714273922216799E-2</v>
      </c>
      <c r="D149" s="67">
        <f>(Table16[[#This Row],[Index]]-B137)/B137</f>
        <v>0.12742205771320192</v>
      </c>
    </row>
    <row r="150" spans="1:4" x14ac:dyDescent="0.2">
      <c r="A150" s="17">
        <v>30651</v>
      </c>
      <c r="B150" s="59">
        <f>VLOOKUP(Table16[[#This Row],[Date]],database!A:H,4,)</f>
        <v>30.888300000000001</v>
      </c>
      <c r="C150" s="67">
        <f t="shared" si="2"/>
        <v>9.0522423165377841E-3</v>
      </c>
      <c r="D150" s="67">
        <f>(Table16[[#This Row],[Index]]-B138)/B138</f>
        <v>0.12591310053218632</v>
      </c>
    </row>
    <row r="151" spans="1:4" x14ac:dyDescent="0.2">
      <c r="A151" s="17">
        <v>30682</v>
      </c>
      <c r="B151" s="59">
        <f>VLOOKUP(Table16[[#This Row],[Date]],database!A:H,4,)</f>
        <v>31.583600000000001</v>
      </c>
      <c r="C151" s="67">
        <f t="shared" si="2"/>
        <v>2.25101413803932E-2</v>
      </c>
      <c r="D151" s="67">
        <f>(Table16[[#This Row],[Index]]-B139)/B139</f>
        <v>0.14956050155598835</v>
      </c>
    </row>
    <row r="152" spans="1:4" x14ac:dyDescent="0.2">
      <c r="A152" s="17">
        <v>30713</v>
      </c>
      <c r="B152" s="59">
        <f>VLOOKUP(Table16[[#This Row],[Date]],database!A:H,4,)</f>
        <v>31.848400000000002</v>
      </c>
      <c r="C152" s="67">
        <f t="shared" si="2"/>
        <v>8.3840980762168726E-3</v>
      </c>
      <c r="D152" s="67">
        <f>(Table16[[#This Row],[Index]]-B140)/B140</f>
        <v>0.16274501929487026</v>
      </c>
    </row>
    <row r="153" spans="1:4" x14ac:dyDescent="0.2">
      <c r="A153" s="17">
        <v>30742</v>
      </c>
      <c r="B153" s="59">
        <f>VLOOKUP(Table16[[#This Row],[Date]],database!A:H,4,)</f>
        <v>32.1616</v>
      </c>
      <c r="C153" s="67">
        <f t="shared" si="2"/>
        <v>9.8340889966215261E-3</v>
      </c>
      <c r="D153" s="67">
        <f>(Table16[[#This Row],[Index]]-B141)/B141</f>
        <v>0.16164731888088651</v>
      </c>
    </row>
    <row r="154" spans="1:4" x14ac:dyDescent="0.2">
      <c r="A154" s="17">
        <v>30773</v>
      </c>
      <c r="B154" s="59">
        <f>VLOOKUP(Table16[[#This Row],[Date]],database!A:H,4,)</f>
        <v>32.437399999999997</v>
      </c>
      <c r="C154" s="67">
        <f t="shared" si="2"/>
        <v>8.5754440077607796E-3</v>
      </c>
      <c r="D154" s="67">
        <f>(Table16[[#This Row],[Index]]-B142)/B142</f>
        <v>0.16931140638630729</v>
      </c>
    </row>
    <row r="155" spans="1:4" x14ac:dyDescent="0.2">
      <c r="A155" s="17">
        <v>30803</v>
      </c>
      <c r="B155" s="59">
        <f>VLOOKUP(Table16[[#This Row],[Date]],database!A:H,4,)</f>
        <v>32.598700000000001</v>
      </c>
      <c r="C155" s="67">
        <f t="shared" si="2"/>
        <v>4.9726550216726562E-3</v>
      </c>
      <c r="D155" s="67">
        <f>(Table16[[#This Row],[Index]]-B143)/B143</f>
        <v>0.16049255261584036</v>
      </c>
    </row>
    <row r="156" spans="1:4" x14ac:dyDescent="0.2">
      <c r="A156" s="17">
        <v>30834</v>
      </c>
      <c r="B156" s="59">
        <f>VLOOKUP(Table16[[#This Row],[Date]],database!A:H,4,)</f>
        <v>32.933700000000002</v>
      </c>
      <c r="C156" s="67">
        <f t="shared" si="2"/>
        <v>1.0276483418050431E-2</v>
      </c>
      <c r="D156" s="67">
        <f>(Table16[[#This Row],[Index]]-B144)/B144</f>
        <v>0.1639941046946847</v>
      </c>
    </row>
    <row r="157" spans="1:4" x14ac:dyDescent="0.2">
      <c r="A157" s="17">
        <v>30864</v>
      </c>
      <c r="B157" s="59">
        <f>VLOOKUP(Table16[[#This Row],[Date]],database!A:H,4,)</f>
        <v>33.393000000000001</v>
      </c>
      <c r="C157" s="67">
        <f t="shared" si="2"/>
        <v>1.3946201003834924E-2</v>
      </c>
      <c r="D157" s="67">
        <f>(Table16[[#This Row],[Index]]-B145)/B145</f>
        <v>0.15694433376872205</v>
      </c>
    </row>
    <row r="158" spans="1:4" x14ac:dyDescent="0.2">
      <c r="A158" s="17">
        <v>30895</v>
      </c>
      <c r="B158" s="59">
        <f>VLOOKUP(Table16[[#This Row],[Date]],database!A:H,4,)</f>
        <v>33.7181</v>
      </c>
      <c r="C158" s="67">
        <f t="shared" si="2"/>
        <v>9.7355733237505238E-3</v>
      </c>
      <c r="D158" s="67">
        <f>(Table16[[#This Row],[Index]]-B146)/B146</f>
        <v>0.15640068866649739</v>
      </c>
    </row>
    <row r="159" spans="1:4" x14ac:dyDescent="0.2">
      <c r="A159" s="17">
        <v>30926</v>
      </c>
      <c r="B159" s="59">
        <f>VLOOKUP(Table16[[#This Row],[Date]],database!A:H,4,)</f>
        <v>33.766399999999997</v>
      </c>
      <c r="C159" s="67">
        <f t="shared" si="2"/>
        <v>1.4324650558601437E-3</v>
      </c>
      <c r="D159" s="67">
        <f>(Table16[[#This Row],[Index]]-B147)/B147</f>
        <v>0.12776837035626845</v>
      </c>
    </row>
    <row r="160" spans="1:4" x14ac:dyDescent="0.2">
      <c r="A160" s="17">
        <v>30956</v>
      </c>
      <c r="B160" s="59">
        <f>VLOOKUP(Table16[[#This Row],[Date]],database!A:H,4,)</f>
        <v>34.044400000000003</v>
      </c>
      <c r="C160" s="67">
        <f t="shared" si="2"/>
        <v>8.2330363912055393E-3</v>
      </c>
      <c r="D160" s="67">
        <f>(Table16[[#This Row],[Index]]-B148)/B148</f>
        <v>0.12407096184133641</v>
      </c>
    </row>
    <row r="161" spans="1:4" x14ac:dyDescent="0.2">
      <c r="A161" s="17">
        <v>30987</v>
      </c>
      <c r="B161" s="59">
        <f>VLOOKUP(Table16[[#This Row],[Date]],database!A:H,4,)</f>
        <v>34.336100000000002</v>
      </c>
      <c r="C161" s="67">
        <f t="shared" si="2"/>
        <v>8.5682226739198786E-3</v>
      </c>
      <c r="D161" s="67">
        <f>(Table16[[#This Row],[Index]]-B149)/B149</f>
        <v>0.12168422015471467</v>
      </c>
    </row>
    <row r="162" spans="1:4" x14ac:dyDescent="0.2">
      <c r="A162" s="17">
        <v>31017</v>
      </c>
      <c r="B162" s="59">
        <f>VLOOKUP(Table16[[#This Row],[Date]],database!A:H,4,)</f>
        <v>34.540999999999997</v>
      </c>
      <c r="C162" s="67">
        <f t="shared" si="2"/>
        <v>5.967480290423044E-3</v>
      </c>
      <c r="D162" s="67">
        <f>(Table16[[#This Row],[Index]]-B150)/B150</f>
        <v>0.11825513220216055</v>
      </c>
    </row>
    <row r="163" spans="1:4" x14ac:dyDescent="0.2">
      <c r="A163" s="17">
        <v>31048</v>
      </c>
      <c r="B163" s="59">
        <f>VLOOKUP(Table16[[#This Row],[Date]],database!A:H,4,)</f>
        <v>34.470100000000002</v>
      </c>
      <c r="C163" s="67">
        <f t="shared" si="2"/>
        <v>-2.0526331026894384E-3</v>
      </c>
      <c r="D163" s="67">
        <f>(Table16[[#This Row],[Index]]-B151)/B151</f>
        <v>9.1392368191086565E-2</v>
      </c>
    </row>
    <row r="164" spans="1:4" x14ac:dyDescent="0.2">
      <c r="A164" s="17">
        <v>31079</v>
      </c>
      <c r="B164" s="59">
        <f>VLOOKUP(Table16[[#This Row],[Date]],database!A:H,4,)</f>
        <v>34.231099999999998</v>
      </c>
      <c r="C164" s="67">
        <f t="shared" si="2"/>
        <v>-6.9335453044814255E-3</v>
      </c>
      <c r="D164" s="67">
        <f>(Table16[[#This Row],[Index]]-B152)/B152</f>
        <v>7.4813805403097053E-2</v>
      </c>
    </row>
    <row r="165" spans="1:4" x14ac:dyDescent="0.2">
      <c r="A165" s="17">
        <v>31107</v>
      </c>
      <c r="B165" s="59">
        <f>VLOOKUP(Table16[[#This Row],[Date]],database!A:H,4,)</f>
        <v>34.6098</v>
      </c>
      <c r="C165" s="67">
        <f t="shared" si="2"/>
        <v>1.1063039166138378E-2</v>
      </c>
      <c r="D165" s="67">
        <f>(Table16[[#This Row],[Index]]-B153)/B153</f>
        <v>7.6121834734590318E-2</v>
      </c>
    </row>
    <row r="166" spans="1:4" x14ac:dyDescent="0.2">
      <c r="A166" s="17">
        <v>31138</v>
      </c>
      <c r="B166" s="59">
        <f>VLOOKUP(Table16[[#This Row],[Date]],database!A:H,4,)</f>
        <v>34.312399999999997</v>
      </c>
      <c r="C166" s="67">
        <f t="shared" si="2"/>
        <v>-8.5929418835128946E-3</v>
      </c>
      <c r="D166" s="67">
        <f>(Table16[[#This Row],[Index]]-B154)/B154</f>
        <v>5.7803646408158486E-2</v>
      </c>
    </row>
    <row r="167" spans="1:4" x14ac:dyDescent="0.2">
      <c r="A167" s="17">
        <v>31168</v>
      </c>
      <c r="B167" s="59">
        <f>VLOOKUP(Table16[[#This Row],[Date]],database!A:H,4,)</f>
        <v>34.395600000000002</v>
      </c>
      <c r="C167" s="67">
        <f t="shared" si="2"/>
        <v>2.4247793800493689E-3</v>
      </c>
      <c r="D167" s="67">
        <f>(Table16[[#This Row],[Index]]-B155)/B155</f>
        <v>5.5121830011626252E-2</v>
      </c>
    </row>
    <row r="168" spans="1:4" x14ac:dyDescent="0.2">
      <c r="A168" s="17">
        <v>31199</v>
      </c>
      <c r="B168" s="59">
        <f>VLOOKUP(Table16[[#This Row],[Date]],database!A:H,4,)</f>
        <v>34.432699999999997</v>
      </c>
      <c r="C168" s="67">
        <f t="shared" si="2"/>
        <v>1.0786263359265913E-3</v>
      </c>
      <c r="D168" s="67">
        <f>(Table16[[#This Row],[Index]]-B156)/B156</f>
        <v>4.5515687578377019E-2</v>
      </c>
    </row>
    <row r="169" spans="1:4" x14ac:dyDescent="0.2">
      <c r="A169" s="17">
        <v>31229</v>
      </c>
      <c r="B169" s="59">
        <f>VLOOKUP(Table16[[#This Row],[Date]],database!A:H,4,)</f>
        <v>34.2761</v>
      </c>
      <c r="C169" s="67">
        <f t="shared" si="2"/>
        <v>-4.5480023349896426E-3</v>
      </c>
      <c r="D169" s="67">
        <f>(Table16[[#This Row],[Index]]-B157)/B157</f>
        <v>2.6445662264546428E-2</v>
      </c>
    </row>
    <row r="170" spans="1:4" x14ac:dyDescent="0.2">
      <c r="A170" s="17">
        <v>31260</v>
      </c>
      <c r="B170" s="59">
        <f>VLOOKUP(Table16[[#This Row],[Date]],database!A:H,4,)</f>
        <v>34.315100000000001</v>
      </c>
      <c r="C170" s="67">
        <f t="shared" si="2"/>
        <v>1.1378190634290242E-3</v>
      </c>
      <c r="D170" s="67">
        <f>(Table16[[#This Row],[Index]]-B158)/B158</f>
        <v>1.7705623982371525E-2</v>
      </c>
    </row>
    <row r="171" spans="1:4" x14ac:dyDescent="0.2">
      <c r="A171" s="17">
        <v>31291</v>
      </c>
      <c r="B171" s="59">
        <f>VLOOKUP(Table16[[#This Row],[Date]],database!A:H,4,)</f>
        <v>34.225099999999998</v>
      </c>
      <c r="C171" s="67">
        <f t="shared" si="2"/>
        <v>-2.6227520829024131E-3</v>
      </c>
      <c r="D171" s="67">
        <f>(Table16[[#This Row],[Index]]-B159)/B159</f>
        <v>1.3584510045489018E-2</v>
      </c>
    </row>
    <row r="172" spans="1:4" x14ac:dyDescent="0.2">
      <c r="A172" s="17">
        <v>31321</v>
      </c>
      <c r="B172" s="59">
        <f>VLOOKUP(Table16[[#This Row],[Date]],database!A:H,4,)</f>
        <v>34.1798</v>
      </c>
      <c r="C172" s="67">
        <f t="shared" si="2"/>
        <v>-1.3235899968151443E-3</v>
      </c>
      <c r="D172" s="67">
        <f>(Table16[[#This Row],[Index]]-B160)/B160</f>
        <v>3.9771592391111919E-3</v>
      </c>
    </row>
    <row r="173" spans="1:4" x14ac:dyDescent="0.2">
      <c r="A173" s="17">
        <v>31352</v>
      </c>
      <c r="B173" s="59">
        <f>VLOOKUP(Table16[[#This Row],[Date]],database!A:H,4,)</f>
        <v>34.4861</v>
      </c>
      <c r="C173" s="67">
        <f t="shared" si="2"/>
        <v>8.961433361225124E-3</v>
      </c>
      <c r="D173" s="67">
        <f>(Table16[[#This Row],[Index]]-B161)/B161</f>
        <v>4.3685800076304114E-3</v>
      </c>
    </row>
    <row r="174" spans="1:4" x14ac:dyDescent="0.2">
      <c r="A174" s="17">
        <v>31382</v>
      </c>
      <c r="B174" s="59">
        <f>VLOOKUP(Table16[[#This Row],[Date]],database!A:H,4,)</f>
        <v>34.4236</v>
      </c>
      <c r="C174" s="67">
        <f t="shared" si="2"/>
        <v>-1.8123243857670612E-3</v>
      </c>
      <c r="D174" s="67">
        <f>(Table16[[#This Row],[Index]]-B162)/B162</f>
        <v>-3.3988593265972728E-3</v>
      </c>
    </row>
    <row r="175" spans="1:4" x14ac:dyDescent="0.2">
      <c r="A175" s="17">
        <v>31413</v>
      </c>
      <c r="B175" s="59">
        <f>VLOOKUP(Table16[[#This Row],[Date]],database!A:H,4,)</f>
        <v>34.5047</v>
      </c>
      <c r="C175" s="67">
        <f t="shared" si="2"/>
        <v>2.3559418538443566E-3</v>
      </c>
      <c r="D175" s="67">
        <f>(Table16[[#This Row],[Index]]-B163)/B163</f>
        <v>1.0037684834101879E-3</v>
      </c>
    </row>
    <row r="176" spans="1:4" x14ac:dyDescent="0.2">
      <c r="A176" s="17">
        <v>31444</v>
      </c>
      <c r="B176" s="59">
        <f>VLOOKUP(Table16[[#This Row],[Date]],database!A:H,4,)</f>
        <v>34.136899999999997</v>
      </c>
      <c r="C176" s="67">
        <f t="shared" si="2"/>
        <v>-1.0659417412700378E-2</v>
      </c>
      <c r="D176" s="67">
        <f>(Table16[[#This Row],[Index]]-B164)/B164</f>
        <v>-2.7518835211255478E-3</v>
      </c>
    </row>
    <row r="177" spans="1:4" x14ac:dyDescent="0.2">
      <c r="A177" s="17">
        <v>31472</v>
      </c>
      <c r="B177" s="59">
        <f>VLOOKUP(Table16[[#This Row],[Date]],database!A:H,4,)</f>
        <v>34.104100000000003</v>
      </c>
      <c r="C177" s="67">
        <f t="shared" si="2"/>
        <v>-9.6083710002947686E-4</v>
      </c>
      <c r="D177" s="67">
        <f>(Table16[[#This Row],[Index]]-B165)/B165</f>
        <v>-1.4611468428017423E-2</v>
      </c>
    </row>
    <row r="178" spans="1:4" x14ac:dyDescent="0.2">
      <c r="A178" s="17">
        <v>31503</v>
      </c>
      <c r="B178" s="59">
        <f>VLOOKUP(Table16[[#This Row],[Date]],database!A:H,4,)</f>
        <v>33.886400000000002</v>
      </c>
      <c r="C178" s="67">
        <f t="shared" si="2"/>
        <v>-6.383396717696721E-3</v>
      </c>
      <c r="D178" s="67">
        <f>(Table16[[#This Row],[Index]]-B166)/B166</f>
        <v>-1.2415336729578662E-2</v>
      </c>
    </row>
    <row r="179" spans="1:4" x14ac:dyDescent="0.2">
      <c r="A179" s="17">
        <v>31533</v>
      </c>
      <c r="B179" s="59">
        <f>VLOOKUP(Table16[[#This Row],[Date]],database!A:H,4,)</f>
        <v>33.829500000000003</v>
      </c>
      <c r="C179" s="67">
        <f t="shared" si="2"/>
        <v>-1.6791397138674613E-3</v>
      </c>
      <c r="D179" s="67">
        <f>(Table16[[#This Row],[Index]]-B167)/B167</f>
        <v>-1.6458500505878621E-2</v>
      </c>
    </row>
    <row r="180" spans="1:4" x14ac:dyDescent="0.2">
      <c r="A180" s="17">
        <v>31564</v>
      </c>
      <c r="B180" s="59">
        <f>VLOOKUP(Table16[[#This Row],[Date]],database!A:H,4,)</f>
        <v>33.483699999999999</v>
      </c>
      <c r="C180" s="67">
        <f t="shared" si="2"/>
        <v>-1.0221847795563122E-2</v>
      </c>
      <c r="D180" s="67">
        <f>(Table16[[#This Row],[Index]]-B168)/B168</f>
        <v>-2.7561010318679573E-2</v>
      </c>
    </row>
    <row r="181" spans="1:4" x14ac:dyDescent="0.2">
      <c r="A181" s="17">
        <v>31594</v>
      </c>
      <c r="B181" s="59">
        <f>VLOOKUP(Table16[[#This Row],[Date]],database!A:H,4,)</f>
        <v>33.732100000000003</v>
      </c>
      <c r="C181" s="67">
        <f t="shared" si="2"/>
        <v>7.4185349886661811E-3</v>
      </c>
      <c r="D181" s="67">
        <f>(Table16[[#This Row],[Index]]-B169)/B169</f>
        <v>-1.5871117192445959E-2</v>
      </c>
    </row>
    <row r="182" spans="1:4" x14ac:dyDescent="0.2">
      <c r="A182" s="17">
        <v>31625</v>
      </c>
      <c r="B182" s="59">
        <f>VLOOKUP(Table16[[#This Row],[Date]],database!A:H,4,)</f>
        <v>33.7042</v>
      </c>
      <c r="C182" s="67">
        <f t="shared" si="2"/>
        <v>-8.2710533883167958E-4</v>
      </c>
      <c r="D182" s="67">
        <f>(Table16[[#This Row],[Index]]-B170)/B170</f>
        <v>-1.7802658304944496E-2</v>
      </c>
    </row>
    <row r="183" spans="1:4" x14ac:dyDescent="0.2">
      <c r="A183" s="17">
        <v>31656</v>
      </c>
      <c r="B183" s="59">
        <f>VLOOKUP(Table16[[#This Row],[Date]],database!A:H,4,)</f>
        <v>33.790199999999999</v>
      </c>
      <c r="C183" s="67">
        <f t="shared" si="2"/>
        <v>2.5516107784786524E-3</v>
      </c>
      <c r="D183" s="67">
        <f>(Table16[[#This Row],[Index]]-B171)/B171</f>
        <v>-1.2707048335870427E-2</v>
      </c>
    </row>
    <row r="184" spans="1:4" x14ac:dyDescent="0.2">
      <c r="A184" s="17">
        <v>31686</v>
      </c>
      <c r="B184" s="59">
        <f>VLOOKUP(Table16[[#This Row],[Date]],database!A:H,4,)</f>
        <v>33.698900000000002</v>
      </c>
      <c r="C184" s="67">
        <f t="shared" si="2"/>
        <v>-2.7019668424571597E-3</v>
      </c>
      <c r="D184" s="67">
        <f>(Table16[[#This Row],[Index]]-B172)/B172</f>
        <v>-1.4069713690542319E-2</v>
      </c>
    </row>
    <row r="185" spans="1:4" x14ac:dyDescent="0.2">
      <c r="A185" s="17">
        <v>31717</v>
      </c>
      <c r="B185" s="59">
        <f>VLOOKUP(Table16[[#This Row],[Date]],database!A:H,4,)</f>
        <v>33.693199999999997</v>
      </c>
      <c r="C185" s="67">
        <f t="shared" si="2"/>
        <v>-1.6914498692843782E-4</v>
      </c>
      <c r="D185" s="67">
        <f>(Table16[[#This Row],[Index]]-B173)/B173</f>
        <v>-2.2991872087594799E-2</v>
      </c>
    </row>
    <row r="186" spans="1:4" x14ac:dyDescent="0.2">
      <c r="A186" s="17">
        <v>31747</v>
      </c>
      <c r="B186" s="59">
        <f>VLOOKUP(Table16[[#This Row],[Date]],database!A:H,4,)</f>
        <v>34.080100000000002</v>
      </c>
      <c r="C186" s="67">
        <f t="shared" si="2"/>
        <v>1.1483029216577956E-2</v>
      </c>
      <c r="D186" s="67">
        <f>(Table16[[#This Row],[Index]]-B174)/B174</f>
        <v>-9.978619319304164E-3</v>
      </c>
    </row>
    <row r="187" spans="1:4" x14ac:dyDescent="0.2">
      <c r="A187" s="17">
        <v>31778</v>
      </c>
      <c r="B187" s="59">
        <f>VLOOKUP(Table16[[#This Row],[Date]],database!A:H,4,)</f>
        <v>34.113999999999997</v>
      </c>
      <c r="C187" s="67">
        <f t="shared" si="2"/>
        <v>9.9471539109319274E-4</v>
      </c>
      <c r="D187" s="67">
        <f>(Table16[[#This Row],[Index]]-B175)/B175</f>
        <v>-1.1323095114578666E-2</v>
      </c>
    </row>
    <row r="188" spans="1:4" x14ac:dyDescent="0.2">
      <c r="A188" s="17">
        <v>31809</v>
      </c>
      <c r="B188" s="59">
        <f>VLOOKUP(Table16[[#This Row],[Date]],database!A:H,4,)</f>
        <v>34.891100000000002</v>
      </c>
      <c r="C188" s="67">
        <f t="shared" si="2"/>
        <v>2.2779504015946639E-2</v>
      </c>
      <c r="D188" s="67">
        <f>(Table16[[#This Row],[Index]]-B176)/B176</f>
        <v>2.2093394537875569E-2</v>
      </c>
    </row>
    <row r="189" spans="1:4" x14ac:dyDescent="0.2">
      <c r="A189" s="17">
        <v>31837</v>
      </c>
      <c r="B189" s="59">
        <f>VLOOKUP(Table16[[#This Row],[Date]],database!A:H,4,)</f>
        <v>34.853700000000003</v>
      </c>
      <c r="C189" s="67">
        <f t="shared" si="2"/>
        <v>-1.071906589359406E-3</v>
      </c>
      <c r="D189" s="67">
        <f>(Table16[[#This Row],[Index]]-B177)/B177</f>
        <v>2.1979761964104047E-2</v>
      </c>
    </row>
    <row r="190" spans="1:4" x14ac:dyDescent="0.2">
      <c r="A190" s="17">
        <v>31868</v>
      </c>
      <c r="B190" s="59">
        <f>VLOOKUP(Table16[[#This Row],[Date]],database!A:H,4,)</f>
        <v>35.1569</v>
      </c>
      <c r="C190" s="67">
        <f t="shared" si="2"/>
        <v>8.6992198819637601E-3</v>
      </c>
      <c r="D190" s="67">
        <f>(Table16[[#This Row],[Index]]-B178)/B178</f>
        <v>3.749291751263039E-2</v>
      </c>
    </row>
    <row r="191" spans="1:4" x14ac:dyDescent="0.2">
      <c r="A191" s="17">
        <v>31898</v>
      </c>
      <c r="B191" s="59">
        <f>VLOOKUP(Table16[[#This Row],[Date]],database!A:H,4,)</f>
        <v>35.450600000000001</v>
      </c>
      <c r="C191" s="67">
        <f t="shared" si="2"/>
        <v>8.3539788775461865E-3</v>
      </c>
      <c r="D191" s="67">
        <f>(Table16[[#This Row],[Index]]-B179)/B179</f>
        <v>4.7919715041605651E-2</v>
      </c>
    </row>
    <row r="192" spans="1:4" x14ac:dyDescent="0.2">
      <c r="A192" s="17">
        <v>31929</v>
      </c>
      <c r="B192" s="59">
        <f>VLOOKUP(Table16[[#This Row],[Date]],database!A:H,4,)</f>
        <v>35.6783</v>
      </c>
      <c r="C192" s="67">
        <f t="shared" si="2"/>
        <v>6.4230224594223895E-3</v>
      </c>
      <c r="D192" s="67">
        <f>(Table16[[#This Row],[Index]]-B180)/B180</f>
        <v>6.5542338510977016E-2</v>
      </c>
    </row>
    <row r="193" spans="1:4" x14ac:dyDescent="0.2">
      <c r="A193" s="17">
        <v>31959</v>
      </c>
      <c r="B193" s="59">
        <f>VLOOKUP(Table16[[#This Row],[Date]],database!A:H,4,)</f>
        <v>35.991599999999998</v>
      </c>
      <c r="C193" s="67">
        <f t="shared" si="2"/>
        <v>8.7812479854700864E-3</v>
      </c>
      <c r="D193" s="67">
        <f>(Table16[[#This Row],[Index]]-B181)/B181</f>
        <v>6.6983674304297552E-2</v>
      </c>
    </row>
    <row r="194" spans="1:4" x14ac:dyDescent="0.2">
      <c r="A194" s="17">
        <v>31990</v>
      </c>
      <c r="B194" s="59">
        <f>VLOOKUP(Table16[[#This Row],[Date]],database!A:H,4,)</f>
        <v>36.5</v>
      </c>
      <c r="C194" s="67">
        <f t="shared" si="2"/>
        <v>1.4125518176463459E-2</v>
      </c>
      <c r="D194" s="67">
        <f>(Table16[[#This Row],[Index]]-B182)/B182</f>
        <v>8.2951086214774414E-2</v>
      </c>
    </row>
    <row r="195" spans="1:4" x14ac:dyDescent="0.2">
      <c r="A195" s="17">
        <v>32021</v>
      </c>
      <c r="B195" s="59">
        <f>VLOOKUP(Table16[[#This Row],[Date]],database!A:H,4,)</f>
        <v>37.079500000000003</v>
      </c>
      <c r="C195" s="67">
        <f t="shared" si="2"/>
        <v>1.5876712328767306E-2</v>
      </c>
      <c r="D195" s="67">
        <f>(Table16[[#This Row],[Index]]-B183)/B183</f>
        <v>9.7344792277050868E-2</v>
      </c>
    </row>
    <row r="196" spans="1:4" x14ac:dyDescent="0.2">
      <c r="A196" s="17">
        <v>32051</v>
      </c>
      <c r="B196" s="59">
        <f>VLOOKUP(Table16[[#This Row],[Date]],database!A:H,4,)</f>
        <v>37.817500000000003</v>
      </c>
      <c r="C196" s="67">
        <f t="shared" si="2"/>
        <v>1.9903181002980164E-2</v>
      </c>
      <c r="D196" s="67">
        <f>(Table16[[#This Row],[Index]]-B184)/B184</f>
        <v>0.12221763915142632</v>
      </c>
    </row>
    <row r="197" spans="1:4" x14ac:dyDescent="0.2">
      <c r="A197" s="17">
        <v>32082</v>
      </c>
      <c r="B197" s="59">
        <f>VLOOKUP(Table16[[#This Row],[Date]],database!A:H,4,)</f>
        <v>38.065300000000001</v>
      </c>
      <c r="C197" s="67">
        <f t="shared" si="2"/>
        <v>6.5525219805644408E-3</v>
      </c>
      <c r="D197" s="67">
        <f>(Table16[[#This Row],[Index]]-B185)/B185</f>
        <v>0.12976208849263363</v>
      </c>
    </row>
    <row r="198" spans="1:4" x14ac:dyDescent="0.2">
      <c r="A198" s="17">
        <v>32112</v>
      </c>
      <c r="B198" s="59">
        <f>VLOOKUP(Table16[[#This Row],[Date]],database!A:H,4,)</f>
        <v>38.515799999999999</v>
      </c>
      <c r="C198" s="67">
        <f t="shared" si="2"/>
        <v>1.1834925772291172E-2</v>
      </c>
      <c r="D198" s="67">
        <f>(Table16[[#This Row],[Index]]-B186)/B186</f>
        <v>0.1301551345213188</v>
      </c>
    </row>
    <row r="199" spans="1:4" x14ac:dyDescent="0.2">
      <c r="A199" s="17">
        <v>32143</v>
      </c>
      <c r="B199" s="59">
        <f>VLOOKUP(Table16[[#This Row],[Date]],database!A:H,4,)</f>
        <v>38.560400000000001</v>
      </c>
      <c r="C199" s="67">
        <f t="shared" si="2"/>
        <v>1.1579663410861141E-3</v>
      </c>
      <c r="D199" s="67">
        <f>(Table16[[#This Row],[Index]]-B187)/B187</f>
        <v>0.13033945007914652</v>
      </c>
    </row>
    <row r="200" spans="1:4" x14ac:dyDescent="0.2">
      <c r="A200" s="17">
        <v>32174</v>
      </c>
      <c r="B200" s="59">
        <f>VLOOKUP(Table16[[#This Row],[Date]],database!A:H,4,)</f>
        <v>38.861800000000002</v>
      </c>
      <c r="C200" s="67">
        <f t="shared" ref="C200:C263" si="3">B200/B199-1</f>
        <v>7.8163089594507351E-3</v>
      </c>
      <c r="D200" s="67">
        <f>(Table16[[#This Row],[Index]]-B188)/B188</f>
        <v>0.1138026602772627</v>
      </c>
    </row>
    <row r="201" spans="1:4" x14ac:dyDescent="0.2">
      <c r="A201" s="17">
        <v>32203</v>
      </c>
      <c r="B201" s="59">
        <f>VLOOKUP(Table16[[#This Row],[Date]],database!A:H,4,)</f>
        <v>39.286900000000003</v>
      </c>
      <c r="C201" s="67">
        <f t="shared" si="3"/>
        <v>1.0938762486554898E-2</v>
      </c>
      <c r="D201" s="67">
        <f>(Table16[[#This Row],[Index]]-B189)/B189</f>
        <v>0.12719453027942512</v>
      </c>
    </row>
    <row r="202" spans="1:4" x14ac:dyDescent="0.2">
      <c r="A202" s="17">
        <v>32234</v>
      </c>
      <c r="B202" s="59">
        <f>VLOOKUP(Table16[[#This Row],[Date]],database!A:H,4,)</f>
        <v>39.725000000000001</v>
      </c>
      <c r="C202" s="67">
        <f t="shared" si="3"/>
        <v>1.1151299797133252E-2</v>
      </c>
      <c r="D202" s="67">
        <f>(Table16[[#This Row],[Index]]-B190)/B190</f>
        <v>0.12993466431909528</v>
      </c>
    </row>
    <row r="203" spans="1:4" x14ac:dyDescent="0.2">
      <c r="A203" s="17">
        <v>32264</v>
      </c>
      <c r="B203" s="59">
        <f>VLOOKUP(Table16[[#This Row],[Date]],database!A:H,4,)</f>
        <v>39.900799999999997</v>
      </c>
      <c r="C203" s="67">
        <f t="shared" si="3"/>
        <v>4.425424795468702E-3</v>
      </c>
      <c r="D203" s="67">
        <f>(Table16[[#This Row],[Index]]-B191)/B191</f>
        <v>0.12553243104489051</v>
      </c>
    </row>
    <row r="204" spans="1:4" x14ac:dyDescent="0.2">
      <c r="A204" s="17">
        <v>32295</v>
      </c>
      <c r="B204" s="59">
        <f>VLOOKUP(Table16[[#This Row],[Date]],database!A:H,4,)</f>
        <v>40.229399999999998</v>
      </c>
      <c r="C204" s="67">
        <f t="shared" si="3"/>
        <v>8.235423851150836E-3</v>
      </c>
      <c r="D204" s="67">
        <f>(Table16[[#This Row],[Index]]-B192)/B192</f>
        <v>0.12755932877967835</v>
      </c>
    </row>
    <row r="205" spans="1:4" x14ac:dyDescent="0.2">
      <c r="A205" s="17">
        <v>32325</v>
      </c>
      <c r="B205" s="59">
        <f>VLOOKUP(Table16[[#This Row],[Date]],database!A:H,4,)</f>
        <v>39.875999999999998</v>
      </c>
      <c r="C205" s="67">
        <f t="shared" si="3"/>
        <v>-8.7846202031350851E-3</v>
      </c>
      <c r="D205" s="67">
        <f>(Table16[[#This Row],[Index]]-B193)/B193</f>
        <v>0.10792518254259326</v>
      </c>
    </row>
    <row r="206" spans="1:4" x14ac:dyDescent="0.2">
      <c r="A206" s="17">
        <v>32356</v>
      </c>
      <c r="B206" s="59">
        <f>VLOOKUP(Table16[[#This Row],[Date]],database!A:H,4,)</f>
        <v>40.048400000000001</v>
      </c>
      <c r="C206" s="67">
        <f t="shared" si="3"/>
        <v>4.3234025478986471E-3</v>
      </c>
      <c r="D206" s="67">
        <f>(Table16[[#This Row],[Index]]-B194)/B194</f>
        <v>9.7216438356164406E-2</v>
      </c>
    </row>
    <row r="207" spans="1:4" x14ac:dyDescent="0.2">
      <c r="A207" s="17">
        <v>32387</v>
      </c>
      <c r="B207" s="59">
        <f>VLOOKUP(Table16[[#This Row],[Date]],database!A:H,4,)</f>
        <v>40.438600000000001</v>
      </c>
      <c r="C207" s="67">
        <f t="shared" si="3"/>
        <v>9.7432107150348113E-3</v>
      </c>
      <c r="D207" s="67">
        <f>(Table16[[#This Row],[Index]]-B195)/B195</f>
        <v>9.0591836459499128E-2</v>
      </c>
    </row>
    <row r="208" spans="1:4" x14ac:dyDescent="0.2">
      <c r="A208" s="17">
        <v>32417</v>
      </c>
      <c r="B208" s="59">
        <f>VLOOKUP(Table16[[#This Row],[Date]],database!A:H,4,)</f>
        <v>40.698399999999999</v>
      </c>
      <c r="C208" s="67">
        <f t="shared" si="3"/>
        <v>6.4245547570884742E-3</v>
      </c>
      <c r="D208" s="67">
        <f>(Table16[[#This Row],[Index]]-B196)/B196</f>
        <v>7.6179017650558511E-2</v>
      </c>
    </row>
    <row r="209" spans="1:4" x14ac:dyDescent="0.2">
      <c r="A209" s="17">
        <v>32448</v>
      </c>
      <c r="B209" s="59">
        <f>VLOOKUP(Table16[[#This Row],[Date]],database!A:H,4,)</f>
        <v>40.795000000000002</v>
      </c>
      <c r="C209" s="67">
        <f t="shared" si="3"/>
        <v>2.3735576828574079E-3</v>
      </c>
      <c r="D209" s="67">
        <f>(Table16[[#This Row],[Index]]-B197)/B197</f>
        <v>7.171098086708895E-2</v>
      </c>
    </row>
    <row r="210" spans="1:4" x14ac:dyDescent="0.2">
      <c r="A210" s="17">
        <v>32478</v>
      </c>
      <c r="B210" s="59">
        <f>VLOOKUP(Table16[[#This Row],[Date]],database!A:H,4,)</f>
        <v>40.917499999999997</v>
      </c>
      <c r="C210" s="67">
        <f t="shared" si="3"/>
        <v>3.0028189729132126E-3</v>
      </c>
      <c r="D210" s="67">
        <f>(Table16[[#This Row],[Index]]-B198)/B198</f>
        <v>6.2356227833772065E-2</v>
      </c>
    </row>
    <row r="211" spans="1:4" x14ac:dyDescent="0.2">
      <c r="A211" s="17">
        <v>32509</v>
      </c>
      <c r="B211" s="59">
        <f>VLOOKUP(Table16[[#This Row],[Date]],database!A:H,4,)</f>
        <v>41.344700000000003</v>
      </c>
      <c r="C211" s="67">
        <f t="shared" si="3"/>
        <v>1.0440520559662936E-2</v>
      </c>
      <c r="D211" s="67">
        <f>(Table16[[#This Row],[Index]]-B199)/B199</f>
        <v>7.2206201180485721E-2</v>
      </c>
    </row>
    <row r="212" spans="1:4" x14ac:dyDescent="0.2">
      <c r="A212" s="17">
        <v>32540</v>
      </c>
      <c r="B212" s="59">
        <f>VLOOKUP(Table16[[#This Row],[Date]],database!A:H,4,)</f>
        <v>41.176000000000002</v>
      </c>
      <c r="C212" s="67">
        <f t="shared" si="3"/>
        <v>-4.0803295222846536E-3</v>
      </c>
      <c r="D212" s="67">
        <f>(Table16[[#This Row],[Index]]-B200)/B200</f>
        <v>5.954948046667935E-2</v>
      </c>
    </row>
    <row r="213" spans="1:4" x14ac:dyDescent="0.2">
      <c r="A213" s="17">
        <v>32568</v>
      </c>
      <c r="B213" s="59">
        <f>VLOOKUP(Table16[[#This Row],[Date]],database!A:H,4,)</f>
        <v>40.979900000000001</v>
      </c>
      <c r="C213" s="67">
        <f t="shared" si="3"/>
        <v>-4.7624829998057505E-3</v>
      </c>
      <c r="D213" s="67">
        <f>(Table16[[#This Row],[Index]]-B201)/B201</f>
        <v>4.3093244822065314E-2</v>
      </c>
    </row>
    <row r="214" spans="1:4" x14ac:dyDescent="0.2">
      <c r="A214" s="17">
        <v>32599</v>
      </c>
      <c r="B214" s="59">
        <f>VLOOKUP(Table16[[#This Row],[Date]],database!A:H,4,)</f>
        <v>41.582500000000003</v>
      </c>
      <c r="C214" s="67">
        <f t="shared" si="3"/>
        <v>1.4704769899389847E-2</v>
      </c>
      <c r="D214" s="67">
        <f>(Table16[[#This Row],[Index]]-B202)/B202</f>
        <v>4.6758967904342398E-2</v>
      </c>
    </row>
    <row r="215" spans="1:4" x14ac:dyDescent="0.2">
      <c r="A215" s="17">
        <v>32629</v>
      </c>
      <c r="B215" s="59">
        <f>VLOOKUP(Table16[[#This Row],[Date]],database!A:H,4,)</f>
        <v>41.04</v>
      </c>
      <c r="C215" s="67">
        <f t="shared" si="3"/>
        <v>-1.3046353634341479E-2</v>
      </c>
      <c r="D215" s="67">
        <f>(Table16[[#This Row],[Index]]-B203)/B203</f>
        <v>2.8550805998877278E-2</v>
      </c>
    </row>
    <row r="216" spans="1:4" x14ac:dyDescent="0.2">
      <c r="A216" s="17">
        <v>32660</v>
      </c>
      <c r="B216" s="59">
        <f>VLOOKUP(Table16[[#This Row],[Date]],database!A:H,4,)</f>
        <v>41.588900000000002</v>
      </c>
      <c r="C216" s="67">
        <f t="shared" si="3"/>
        <v>1.3374756335282623E-2</v>
      </c>
      <c r="D216" s="67">
        <f>(Table16[[#This Row],[Index]]-B204)/B204</f>
        <v>3.3793693169672033E-2</v>
      </c>
    </row>
    <row r="217" spans="1:4" x14ac:dyDescent="0.2">
      <c r="A217" s="17">
        <v>32690</v>
      </c>
      <c r="B217" s="59">
        <f>VLOOKUP(Table16[[#This Row],[Date]],database!A:H,4,)</f>
        <v>41.032299999999999</v>
      </c>
      <c r="C217" s="67">
        <f t="shared" si="3"/>
        <v>-1.3383378738076823E-2</v>
      </c>
      <c r="D217" s="67">
        <f>(Table16[[#This Row],[Index]]-B205)/B205</f>
        <v>2.8997391914936346E-2</v>
      </c>
    </row>
    <row r="218" spans="1:4" x14ac:dyDescent="0.2">
      <c r="A218" s="17">
        <v>32721</v>
      </c>
      <c r="B218" s="59">
        <f>VLOOKUP(Table16[[#This Row],[Date]],database!A:H,4,)</f>
        <v>41.626100000000001</v>
      </c>
      <c r="C218" s="67">
        <f t="shared" si="3"/>
        <v>1.4471526090421571E-2</v>
      </c>
      <c r="D218" s="67">
        <f>(Table16[[#This Row],[Index]]-B206)/B206</f>
        <v>3.9394832252973903E-2</v>
      </c>
    </row>
    <row r="219" spans="1:4" x14ac:dyDescent="0.2">
      <c r="A219" s="17">
        <v>32752</v>
      </c>
      <c r="B219" s="59">
        <f>VLOOKUP(Table16[[#This Row],[Date]],database!A:H,4,)</f>
        <v>41.445900000000002</v>
      </c>
      <c r="C219" s="67">
        <f t="shared" si="3"/>
        <v>-4.3290147287399217E-3</v>
      </c>
      <c r="D219" s="67">
        <f>(Table16[[#This Row],[Index]]-B207)/B207</f>
        <v>2.4909368771421383E-2</v>
      </c>
    </row>
    <row r="220" spans="1:4" x14ac:dyDescent="0.2">
      <c r="A220" s="17">
        <v>32782</v>
      </c>
      <c r="B220" s="59">
        <f>VLOOKUP(Table16[[#This Row],[Date]],database!A:H,4,)</f>
        <v>40.886699999999998</v>
      </c>
      <c r="C220" s="67">
        <f t="shared" si="3"/>
        <v>-1.3492287536282288E-2</v>
      </c>
      <c r="D220" s="67">
        <f>(Table16[[#This Row],[Index]]-B208)/B208</f>
        <v>4.6267175122363079E-3</v>
      </c>
    </row>
    <row r="221" spans="1:4" x14ac:dyDescent="0.2">
      <c r="A221" s="17">
        <v>32813</v>
      </c>
      <c r="B221" s="59">
        <f>VLOOKUP(Table16[[#This Row],[Date]],database!A:H,4,)</f>
        <v>41.164900000000003</v>
      </c>
      <c r="C221" s="67">
        <f t="shared" si="3"/>
        <v>6.8041685927209272E-3</v>
      </c>
      <c r="D221" s="67">
        <f>(Table16[[#This Row],[Index]]-B209)/B209</f>
        <v>9.0672876578012304E-3</v>
      </c>
    </row>
    <row r="222" spans="1:4" x14ac:dyDescent="0.2">
      <c r="A222" s="17">
        <v>32843</v>
      </c>
      <c r="B222" s="59">
        <f>VLOOKUP(Table16[[#This Row],[Date]],database!A:H,4,)</f>
        <v>41.746899999999997</v>
      </c>
      <c r="C222" s="67">
        <f t="shared" si="3"/>
        <v>1.413825856494233E-2</v>
      </c>
      <c r="D222" s="67">
        <f>(Table16[[#This Row],[Index]]-B210)/B210</f>
        <v>2.0270055599682282E-2</v>
      </c>
    </row>
    <row r="223" spans="1:4" x14ac:dyDescent="0.2">
      <c r="A223" s="17">
        <v>32874</v>
      </c>
      <c r="B223" s="59">
        <f>VLOOKUP(Table16[[#This Row],[Date]],database!A:H,4,)</f>
        <v>41.353000000000002</v>
      </c>
      <c r="C223" s="67">
        <f t="shared" si="3"/>
        <v>-9.435431133808625E-3</v>
      </c>
      <c r="D223" s="67">
        <f>(Table16[[#This Row],[Index]]-B211)/B211</f>
        <v>2.0075124502048433E-4</v>
      </c>
    </row>
    <row r="224" spans="1:4" x14ac:dyDescent="0.2">
      <c r="A224" s="17">
        <v>32905</v>
      </c>
      <c r="B224" s="59">
        <f>VLOOKUP(Table16[[#This Row],[Date]],database!A:H,4,)</f>
        <v>42.076900000000002</v>
      </c>
      <c r="C224" s="67">
        <f t="shared" si="3"/>
        <v>1.7505380504437396E-2</v>
      </c>
      <c r="D224" s="67">
        <f>(Table16[[#This Row],[Index]]-B212)/B212</f>
        <v>2.1879250048571983E-2</v>
      </c>
    </row>
    <row r="225" spans="1:4" x14ac:dyDescent="0.2">
      <c r="A225" s="17">
        <v>32933</v>
      </c>
      <c r="B225" s="59">
        <f>VLOOKUP(Table16[[#This Row],[Date]],database!A:H,4,)</f>
        <v>42.793900000000001</v>
      </c>
      <c r="C225" s="67">
        <f t="shared" si="3"/>
        <v>1.7040228724074291E-2</v>
      </c>
      <c r="D225" s="67">
        <f>(Table16[[#This Row],[Index]]-B213)/B213</f>
        <v>4.4265603381169791E-2</v>
      </c>
    </row>
    <row r="226" spans="1:4" x14ac:dyDescent="0.2">
      <c r="A226" s="17">
        <v>32964</v>
      </c>
      <c r="B226" s="59">
        <f>VLOOKUP(Table16[[#This Row],[Date]],database!A:H,4,)</f>
        <v>42.573500000000003</v>
      </c>
      <c r="C226" s="67">
        <f t="shared" si="3"/>
        <v>-5.1502667436246208E-3</v>
      </c>
      <c r="D226" s="67">
        <f>(Table16[[#This Row],[Index]]-B214)/B214</f>
        <v>2.383214092466782E-2</v>
      </c>
    </row>
    <row r="227" spans="1:4" x14ac:dyDescent="0.2">
      <c r="A227" s="17">
        <v>32994</v>
      </c>
      <c r="B227" s="59">
        <f>VLOOKUP(Table16[[#This Row],[Date]],database!A:H,4,)</f>
        <v>43.1524</v>
      </c>
      <c r="C227" s="67">
        <f t="shared" si="3"/>
        <v>1.3597660516518451E-2</v>
      </c>
      <c r="D227" s="67">
        <f>(Table16[[#This Row],[Index]]-B215)/B215</f>
        <v>5.147173489278755E-2</v>
      </c>
    </row>
    <row r="228" spans="1:4" x14ac:dyDescent="0.2">
      <c r="A228" s="17">
        <v>33025</v>
      </c>
      <c r="B228" s="59">
        <f>VLOOKUP(Table16[[#This Row],[Date]],database!A:H,4,)</f>
        <v>43.203000000000003</v>
      </c>
      <c r="C228" s="67">
        <f t="shared" si="3"/>
        <v>1.1725883149025229E-3</v>
      </c>
      <c r="D228" s="67">
        <f>(Table16[[#This Row],[Index]]-B216)/B216</f>
        <v>3.8810836545328214E-2</v>
      </c>
    </row>
    <row r="229" spans="1:4" x14ac:dyDescent="0.2">
      <c r="A229" s="17">
        <v>33055</v>
      </c>
      <c r="B229" s="59">
        <f>VLOOKUP(Table16[[#This Row],[Date]],database!A:H,4,)</f>
        <v>43.391199999999998</v>
      </c>
      <c r="C229" s="67">
        <f t="shared" si="3"/>
        <v>4.3561789690529373E-3</v>
      </c>
      <c r="D229" s="67">
        <f>(Table16[[#This Row],[Index]]-B217)/B217</f>
        <v>5.7488856340005279E-2</v>
      </c>
    </row>
    <row r="230" spans="1:4" x14ac:dyDescent="0.2">
      <c r="A230" s="17">
        <v>33086</v>
      </c>
      <c r="B230" s="59">
        <f>VLOOKUP(Table16[[#This Row],[Date]],database!A:H,4,)</f>
        <v>43.641100000000002</v>
      </c>
      <c r="C230" s="67">
        <f t="shared" si="3"/>
        <v>5.7592322867310308E-3</v>
      </c>
      <c r="D230" s="67">
        <f>(Table16[[#This Row],[Index]]-B218)/B218</f>
        <v>4.8407129180970607E-2</v>
      </c>
    </row>
    <row r="231" spans="1:4" x14ac:dyDescent="0.2">
      <c r="A231" s="17">
        <v>33117</v>
      </c>
      <c r="B231" s="59">
        <f>VLOOKUP(Table16[[#This Row],[Date]],database!A:H,4,)</f>
        <v>43.630200000000002</v>
      </c>
      <c r="C231" s="67">
        <f t="shared" si="3"/>
        <v>-2.4976455680536525E-4</v>
      </c>
      <c r="D231" s="67">
        <f>(Table16[[#This Row],[Index]]-B219)/B219</f>
        <v>5.2702438600681856E-2</v>
      </c>
    </row>
    <row r="232" spans="1:4" x14ac:dyDescent="0.2">
      <c r="A232" s="17">
        <v>33147</v>
      </c>
      <c r="B232" s="59">
        <f>VLOOKUP(Table16[[#This Row],[Date]],database!A:H,4,)</f>
        <v>43.541699999999999</v>
      </c>
      <c r="C232" s="67">
        <f t="shared" si="3"/>
        <v>-2.0284115131262714E-3</v>
      </c>
      <c r="D232" s="67">
        <f>(Table16[[#This Row],[Index]]-B220)/B220</f>
        <v>6.493554138631881E-2</v>
      </c>
    </row>
    <row r="233" spans="1:4" x14ac:dyDescent="0.2">
      <c r="A233" s="17">
        <v>33178</v>
      </c>
      <c r="B233" s="59">
        <f>VLOOKUP(Table16[[#This Row],[Date]],database!A:H,4,)</f>
        <v>42.501600000000003</v>
      </c>
      <c r="C233" s="67">
        <f t="shared" si="3"/>
        <v>-2.3887445827792564E-2</v>
      </c>
      <c r="D233" s="67">
        <f>(Table16[[#This Row],[Index]]-B221)/B221</f>
        <v>3.2471838872437452E-2</v>
      </c>
    </row>
    <row r="234" spans="1:4" x14ac:dyDescent="0.2">
      <c r="A234" s="17">
        <v>33208</v>
      </c>
      <c r="B234" s="59">
        <f>VLOOKUP(Table16[[#This Row],[Date]],database!A:H,4,)</f>
        <v>42.129100000000001</v>
      </c>
      <c r="C234" s="67">
        <f t="shared" si="3"/>
        <v>-8.7643759293768442E-3</v>
      </c>
      <c r="D234" s="67">
        <f>(Table16[[#This Row],[Index]]-B222)/B222</f>
        <v>9.155170803101657E-3</v>
      </c>
    </row>
    <row r="235" spans="1:4" x14ac:dyDescent="0.2">
      <c r="A235" s="17">
        <v>33239</v>
      </c>
      <c r="B235" s="59">
        <f>VLOOKUP(Table16[[#This Row],[Date]],database!A:H,4,)</f>
        <v>42.008099999999999</v>
      </c>
      <c r="C235" s="67">
        <f t="shared" si="3"/>
        <v>-2.87212401878989E-3</v>
      </c>
      <c r="D235" s="67">
        <f>(Table16[[#This Row],[Index]]-B223)/B223</f>
        <v>1.5841655986264535E-2</v>
      </c>
    </row>
    <row r="236" spans="1:4" x14ac:dyDescent="0.2">
      <c r="A236" s="17">
        <v>33270</v>
      </c>
      <c r="B236" s="59">
        <f>VLOOKUP(Table16[[#This Row],[Date]],database!A:H,4,)</f>
        <v>41.704799999999999</v>
      </c>
      <c r="C236" s="67">
        <f t="shared" si="3"/>
        <v>-7.2200361358880638E-3</v>
      </c>
      <c r="D236" s="67">
        <f>(Table16[[#This Row],[Index]]-B224)/B224</f>
        <v>-8.8433320895789178E-3</v>
      </c>
    </row>
    <row r="237" spans="1:4" x14ac:dyDescent="0.2">
      <c r="A237" s="17">
        <v>33298</v>
      </c>
      <c r="B237" s="59">
        <f>VLOOKUP(Table16[[#This Row],[Date]],database!A:H,4,)</f>
        <v>41.649299999999997</v>
      </c>
      <c r="C237" s="67">
        <f t="shared" si="3"/>
        <v>-1.3307820682512128E-3</v>
      </c>
      <c r="D237" s="67">
        <f>(Table16[[#This Row],[Index]]-B225)/B225</f>
        <v>-2.6746802698515537E-2</v>
      </c>
    </row>
    <row r="238" spans="1:4" x14ac:dyDescent="0.2">
      <c r="A238" s="17">
        <v>33329</v>
      </c>
      <c r="B238" s="59">
        <f>VLOOKUP(Table16[[#This Row],[Date]],database!A:H,4,)</f>
        <v>41.642699999999998</v>
      </c>
      <c r="C238" s="67">
        <f t="shared" si="3"/>
        <v>-1.5846604864899749E-4</v>
      </c>
      <c r="D238" s="67">
        <f>(Table16[[#This Row],[Index]]-B226)/B226</f>
        <v>-2.1863365708715631E-2</v>
      </c>
    </row>
    <row r="239" spans="1:4" x14ac:dyDescent="0.2">
      <c r="A239" s="17">
        <v>33359</v>
      </c>
      <c r="B239" s="59">
        <f>VLOOKUP(Table16[[#This Row],[Date]],database!A:H,4,)</f>
        <v>41.936300000000003</v>
      </c>
      <c r="C239" s="67">
        <f t="shared" si="3"/>
        <v>7.0504554219588123E-3</v>
      </c>
      <c r="D239" s="67">
        <f>(Table16[[#This Row],[Index]]-B227)/B227</f>
        <v>-2.8181514817252281E-2</v>
      </c>
    </row>
    <row r="240" spans="1:4" x14ac:dyDescent="0.2">
      <c r="A240" s="17">
        <v>33390</v>
      </c>
      <c r="B240" s="59">
        <f>VLOOKUP(Table16[[#This Row],[Date]],database!A:H,4,)</f>
        <v>42.366</v>
      </c>
      <c r="C240" s="67">
        <f t="shared" si="3"/>
        <v>1.0246492895176651E-2</v>
      </c>
      <c r="D240" s="67">
        <f>(Table16[[#This Row],[Index]]-B228)/B228</f>
        <v>-1.9373654607319012E-2</v>
      </c>
    </row>
    <row r="241" spans="1:4" x14ac:dyDescent="0.2">
      <c r="A241" s="17">
        <v>33420</v>
      </c>
      <c r="B241" s="59">
        <f>VLOOKUP(Table16[[#This Row],[Date]],database!A:H,4,)</f>
        <v>42.619300000000003</v>
      </c>
      <c r="C241" s="67">
        <f t="shared" si="3"/>
        <v>5.9788509653968536E-3</v>
      </c>
      <c r="D241" s="67">
        <f>(Table16[[#This Row],[Index]]-B229)/B229</f>
        <v>-1.7789321337045187E-2</v>
      </c>
    </row>
    <row r="242" spans="1:4" x14ac:dyDescent="0.2">
      <c r="A242" s="17">
        <v>33451</v>
      </c>
      <c r="B242" s="59">
        <f>VLOOKUP(Table16[[#This Row],[Date]],database!A:H,4,)</f>
        <v>42.422199999999997</v>
      </c>
      <c r="C242" s="67">
        <f t="shared" si="3"/>
        <v>-4.6246653511439195E-3</v>
      </c>
      <c r="D242" s="67">
        <f>(Table16[[#This Row],[Index]]-B230)/B230</f>
        <v>-2.7930093421110032E-2</v>
      </c>
    </row>
    <row r="243" spans="1:4" x14ac:dyDescent="0.2">
      <c r="A243" s="17">
        <v>33482</v>
      </c>
      <c r="B243" s="59">
        <f>VLOOKUP(Table16[[#This Row],[Date]],database!A:H,4,)</f>
        <v>43.043900000000001</v>
      </c>
      <c r="C243" s="67">
        <f t="shared" si="3"/>
        <v>1.4655062679446162E-2</v>
      </c>
      <c r="D243" s="67">
        <f>(Table16[[#This Row],[Index]]-B231)/B231</f>
        <v>-1.343793977566001E-2</v>
      </c>
    </row>
    <row r="244" spans="1:4" x14ac:dyDescent="0.2">
      <c r="A244" s="17">
        <v>33512</v>
      </c>
      <c r="B244" s="59">
        <f>VLOOKUP(Table16[[#This Row],[Date]],database!A:H,4,)</f>
        <v>42.755499999999998</v>
      </c>
      <c r="C244" s="67">
        <f t="shared" si="3"/>
        <v>-6.7001363724012997E-3</v>
      </c>
      <c r="D244" s="67">
        <f>(Table16[[#This Row],[Index]]-B232)/B232</f>
        <v>-1.8056254119614094E-2</v>
      </c>
    </row>
    <row r="245" spans="1:4" x14ac:dyDescent="0.2">
      <c r="A245" s="17">
        <v>33543</v>
      </c>
      <c r="B245" s="59">
        <f>VLOOKUP(Table16[[#This Row],[Date]],database!A:H,4,)</f>
        <v>42.739800000000002</v>
      </c>
      <c r="C245" s="67">
        <f t="shared" si="3"/>
        <v>-3.6720421934011149E-4</v>
      </c>
      <c r="D245" s="67">
        <f>(Table16[[#This Row],[Index]]-B233)/B233</f>
        <v>5.6044948896041341E-3</v>
      </c>
    </row>
    <row r="246" spans="1:4" x14ac:dyDescent="0.2">
      <c r="A246" s="17">
        <v>33573</v>
      </c>
      <c r="B246" s="59">
        <f>VLOOKUP(Table16[[#This Row],[Date]],database!A:H,4,)</f>
        <v>42.682499999999997</v>
      </c>
      <c r="C246" s="67">
        <f t="shared" si="3"/>
        <v>-1.3406707565315479E-3</v>
      </c>
      <c r="D246" s="67">
        <f>(Table16[[#This Row],[Index]]-B234)/B234</f>
        <v>1.3135813487589252E-2</v>
      </c>
    </row>
    <row r="247" spans="1:4" x14ac:dyDescent="0.2">
      <c r="A247" s="17">
        <v>33604</v>
      </c>
      <c r="B247" s="59">
        <f>VLOOKUP(Table16[[#This Row],[Date]],database!A:H,4,)</f>
        <v>41.960099999999997</v>
      </c>
      <c r="C247" s="67">
        <f t="shared" si="3"/>
        <v>-1.6924969249692556E-2</v>
      </c>
      <c r="D247" s="67">
        <f>(Table16[[#This Row],[Index]]-B235)/B235</f>
        <v>-1.1426367771930133E-3</v>
      </c>
    </row>
    <row r="248" spans="1:4" x14ac:dyDescent="0.2">
      <c r="A248" s="17">
        <v>33635</v>
      </c>
      <c r="B248" s="59">
        <f>VLOOKUP(Table16[[#This Row],[Date]],database!A:H,4,)</f>
        <v>42.804299999999998</v>
      </c>
      <c r="C248" s="67">
        <f t="shared" si="3"/>
        <v>2.0119113157499591E-2</v>
      </c>
      <c r="D248" s="67">
        <f>(Table16[[#This Row],[Index]]-B236)/B236</f>
        <v>2.6363871784542765E-2</v>
      </c>
    </row>
    <row r="249" spans="1:4" x14ac:dyDescent="0.2">
      <c r="A249" s="17">
        <v>33664</v>
      </c>
      <c r="B249" s="59">
        <f>VLOOKUP(Table16[[#This Row],[Date]],database!A:H,4,)</f>
        <v>43.31</v>
      </c>
      <c r="C249" s="67">
        <f t="shared" si="3"/>
        <v>1.1814233616716185E-2</v>
      </c>
      <c r="D249" s="67">
        <f>(Table16[[#This Row],[Index]]-B237)/B237</f>
        <v>3.9873419241139844E-2</v>
      </c>
    </row>
    <row r="250" spans="1:4" x14ac:dyDescent="0.2">
      <c r="A250" s="17">
        <v>33695</v>
      </c>
      <c r="B250" s="59">
        <f>VLOOKUP(Table16[[#This Row],[Date]],database!A:H,4,)</f>
        <v>43.7271</v>
      </c>
      <c r="C250" s="67">
        <f t="shared" si="3"/>
        <v>9.6305703070884707E-3</v>
      </c>
      <c r="D250" s="67">
        <f>(Table16[[#This Row],[Index]]-B238)/B238</f>
        <v>5.0054391285867687E-2</v>
      </c>
    </row>
    <row r="251" spans="1:4" x14ac:dyDescent="0.2">
      <c r="A251" s="17">
        <v>33725</v>
      </c>
      <c r="B251" s="59">
        <f>VLOOKUP(Table16[[#This Row],[Date]],database!A:H,4,)</f>
        <v>44.075000000000003</v>
      </c>
      <c r="C251" s="67">
        <f t="shared" si="3"/>
        <v>7.9561644838099799E-3</v>
      </c>
      <c r="D251" s="67">
        <f>(Table16[[#This Row],[Index]]-B239)/B239</f>
        <v>5.0998776716114677E-2</v>
      </c>
    </row>
    <row r="252" spans="1:4" x14ac:dyDescent="0.2">
      <c r="A252" s="17">
        <v>33756</v>
      </c>
      <c r="B252" s="59">
        <f>VLOOKUP(Table16[[#This Row],[Date]],database!A:H,4,)</f>
        <v>44.184100000000001</v>
      </c>
      <c r="C252" s="67">
        <f t="shared" si="3"/>
        <v>2.4753261486103462E-3</v>
      </c>
      <c r="D252" s="67">
        <f>(Table16[[#This Row],[Index]]-B240)/B240</f>
        <v>4.2914129254590976E-2</v>
      </c>
    </row>
    <row r="253" spans="1:4" x14ac:dyDescent="0.2">
      <c r="A253" s="17">
        <v>33786</v>
      </c>
      <c r="B253" s="59">
        <f>VLOOKUP(Table16[[#This Row],[Date]],database!A:H,4,)</f>
        <v>44.635199999999998</v>
      </c>
      <c r="C253" s="67">
        <f t="shared" si="3"/>
        <v>1.02095550209238E-2</v>
      </c>
      <c r="D253" s="67">
        <f>(Table16[[#This Row],[Index]]-B241)/B241</f>
        <v>4.7300166825827612E-2</v>
      </c>
    </row>
    <row r="254" spans="1:4" x14ac:dyDescent="0.2">
      <c r="A254" s="17">
        <v>33817</v>
      </c>
      <c r="B254" s="59">
        <f>VLOOKUP(Table16[[#This Row],[Date]],database!A:H,4,)</f>
        <v>44.409100000000002</v>
      </c>
      <c r="C254" s="67">
        <f t="shared" si="3"/>
        <v>-5.065508836075483E-3</v>
      </c>
      <c r="D254" s="67">
        <f>(Table16[[#This Row],[Index]]-B242)/B242</f>
        <v>4.6836326263135948E-2</v>
      </c>
    </row>
    <row r="255" spans="1:4" x14ac:dyDescent="0.2">
      <c r="A255" s="17">
        <v>33848</v>
      </c>
      <c r="B255" s="59">
        <f>VLOOKUP(Table16[[#This Row],[Date]],database!A:H,4,)</f>
        <v>44.592700000000001</v>
      </c>
      <c r="C255" s="67">
        <f t="shared" si="3"/>
        <v>4.1342877923669086E-3</v>
      </c>
      <c r="D255" s="67">
        <f>(Table16[[#This Row],[Index]]-B243)/B243</f>
        <v>3.5981869672590074E-2</v>
      </c>
    </row>
    <row r="256" spans="1:4" x14ac:dyDescent="0.2">
      <c r="A256" s="17">
        <v>33878</v>
      </c>
      <c r="B256" s="59">
        <f>VLOOKUP(Table16[[#This Row],[Date]],database!A:H,4,)</f>
        <v>44.745800000000003</v>
      </c>
      <c r="C256" s="67">
        <f t="shared" si="3"/>
        <v>3.4332973782704723E-3</v>
      </c>
      <c r="D256" s="67">
        <f>(Table16[[#This Row],[Index]]-B244)/B244</f>
        <v>4.6550736162599082E-2</v>
      </c>
    </row>
    <row r="257" spans="1:4" x14ac:dyDescent="0.2">
      <c r="A257" s="17">
        <v>33909</v>
      </c>
      <c r="B257" s="59">
        <f>VLOOKUP(Table16[[#This Row],[Date]],database!A:H,4,)</f>
        <v>45.075800000000001</v>
      </c>
      <c r="C257" s="67">
        <f t="shared" si="3"/>
        <v>7.3749938541718407E-3</v>
      </c>
      <c r="D257" s="67">
        <f>(Table16[[#This Row],[Index]]-B245)/B245</f>
        <v>5.4656315658940809E-2</v>
      </c>
    </row>
    <row r="258" spans="1:4" x14ac:dyDescent="0.2">
      <c r="A258" s="17">
        <v>33939</v>
      </c>
      <c r="B258" s="59">
        <f>VLOOKUP(Table16[[#This Row],[Date]],database!A:H,4,)</f>
        <v>45.491500000000002</v>
      </c>
      <c r="C258" s="67">
        <f t="shared" si="3"/>
        <v>9.2222434210817994E-3</v>
      </c>
      <c r="D258" s="67">
        <f>(Table16[[#This Row],[Index]]-B246)/B246</f>
        <v>6.5811515258009837E-2</v>
      </c>
    </row>
    <row r="259" spans="1:4" x14ac:dyDescent="0.2">
      <c r="A259" s="17">
        <v>33970</v>
      </c>
      <c r="B259" s="59">
        <f>VLOOKUP(Table16[[#This Row],[Date]],database!A:H,4,)</f>
        <v>45.654000000000003</v>
      </c>
      <c r="C259" s="67">
        <f t="shared" si="3"/>
        <v>3.5720958860445684E-3</v>
      </c>
      <c r="D259" s="67">
        <f>(Table16[[#This Row],[Index]]-B247)/B247</f>
        <v>8.8033631950352992E-2</v>
      </c>
    </row>
    <row r="260" spans="1:4" x14ac:dyDescent="0.2">
      <c r="A260" s="17">
        <v>34001</v>
      </c>
      <c r="B260" s="59">
        <f>VLOOKUP(Table16[[#This Row],[Date]],database!A:H,4,)</f>
        <v>45.705399999999997</v>
      </c>
      <c r="C260" s="67">
        <f t="shared" si="3"/>
        <v>1.1258597275154436E-3</v>
      </c>
      <c r="D260" s="67">
        <f>(Table16[[#This Row],[Index]]-B248)/B248</f>
        <v>6.7775901019290111E-2</v>
      </c>
    </row>
    <row r="261" spans="1:4" x14ac:dyDescent="0.2">
      <c r="A261" s="17">
        <v>34029</v>
      </c>
      <c r="B261" s="59">
        <f>VLOOKUP(Table16[[#This Row],[Date]],database!A:H,4,)</f>
        <v>45.810499999999998</v>
      </c>
      <c r="C261" s="67">
        <f t="shared" si="3"/>
        <v>2.2995094671527383E-3</v>
      </c>
      <c r="D261" s="67">
        <f>(Table16[[#This Row],[Index]]-B249)/B249</f>
        <v>5.7734934195335839E-2</v>
      </c>
    </row>
    <row r="262" spans="1:4" x14ac:dyDescent="0.2">
      <c r="A262" s="17">
        <v>34060</v>
      </c>
      <c r="B262" s="59">
        <f>VLOOKUP(Table16[[#This Row],[Date]],database!A:H,4,)</f>
        <v>46.112400000000001</v>
      </c>
      <c r="C262" s="67">
        <f t="shared" si="3"/>
        <v>6.5901922048439143E-3</v>
      </c>
      <c r="D262" s="67">
        <f>(Table16[[#This Row],[Index]]-B250)/B250</f>
        <v>5.4549695726448834E-2</v>
      </c>
    </row>
    <row r="263" spans="1:4" x14ac:dyDescent="0.2">
      <c r="A263" s="17">
        <v>34090</v>
      </c>
      <c r="B263" s="59">
        <f>VLOOKUP(Table16[[#This Row],[Date]],database!A:H,4,)</f>
        <v>46.158999999999999</v>
      </c>
      <c r="C263" s="67">
        <f t="shared" si="3"/>
        <v>1.0105741622643549E-3</v>
      </c>
      <c r="D263" s="67">
        <f>(Table16[[#This Row],[Index]]-B251)/B251</f>
        <v>4.7283040272263092E-2</v>
      </c>
    </row>
    <row r="264" spans="1:4" x14ac:dyDescent="0.2">
      <c r="A264" s="17">
        <v>34121</v>
      </c>
      <c r="B264" s="59">
        <f>VLOOKUP(Table16[[#This Row],[Date]],database!A:H,4,)</f>
        <v>45.8491</v>
      </c>
      <c r="C264" s="67">
        <f t="shared" ref="C264:C327" si="4">B264/B263-1</f>
        <v>-6.7137502978833474E-3</v>
      </c>
      <c r="D264" s="67">
        <f>(Table16[[#This Row],[Index]]-B252)/B252</f>
        <v>3.7683238993212471E-2</v>
      </c>
    </row>
    <row r="265" spans="1:4" x14ac:dyDescent="0.2">
      <c r="A265" s="17">
        <v>34151</v>
      </c>
      <c r="B265" s="59">
        <f>VLOOKUP(Table16[[#This Row],[Date]],database!A:H,4,)</f>
        <v>45.846200000000003</v>
      </c>
      <c r="C265" s="67">
        <f t="shared" si="4"/>
        <v>-6.3250968939332353E-5</v>
      </c>
      <c r="D265" s="67">
        <f>(Table16[[#This Row],[Index]]-B253)/B253</f>
        <v>2.7131053518299586E-2</v>
      </c>
    </row>
    <row r="266" spans="1:4" x14ac:dyDescent="0.2">
      <c r="A266" s="17">
        <v>34182</v>
      </c>
      <c r="B266" s="59">
        <f>VLOOKUP(Table16[[#This Row],[Date]],database!A:H,4,)</f>
        <v>45.4345</v>
      </c>
      <c r="C266" s="67">
        <f t="shared" si="4"/>
        <v>-8.9800245167539483E-3</v>
      </c>
      <c r="D266" s="67">
        <f>(Table16[[#This Row],[Index]]-B254)/B254</f>
        <v>2.3089862212924774E-2</v>
      </c>
    </row>
    <row r="267" spans="1:4" x14ac:dyDescent="0.2">
      <c r="A267" s="17">
        <v>34213</v>
      </c>
      <c r="B267" s="59">
        <f>VLOOKUP(Table16[[#This Row],[Date]],database!A:H,4,)</f>
        <v>46.215699999999998</v>
      </c>
      <c r="C267" s="67">
        <f t="shared" si="4"/>
        <v>1.7193982546302777E-2</v>
      </c>
      <c r="D267" s="67">
        <f>(Table16[[#This Row],[Index]]-B255)/B255</f>
        <v>3.6396091736988288E-2</v>
      </c>
    </row>
    <row r="268" spans="1:4" x14ac:dyDescent="0.2">
      <c r="A268" s="17">
        <v>34243</v>
      </c>
      <c r="B268" s="59">
        <f>VLOOKUP(Table16[[#This Row],[Date]],database!A:H,4,)</f>
        <v>47.205399999999997</v>
      </c>
      <c r="C268" s="67">
        <f t="shared" si="4"/>
        <v>2.141480059806522E-2</v>
      </c>
      <c r="D268" s="67">
        <f>(Table16[[#This Row],[Index]]-B256)/B256</f>
        <v>5.4968287526426941E-2</v>
      </c>
    </row>
    <row r="269" spans="1:4" x14ac:dyDescent="0.2">
      <c r="A269" s="17">
        <v>34274</v>
      </c>
      <c r="B269" s="59">
        <f>VLOOKUP(Table16[[#This Row],[Date]],database!A:H,4,)</f>
        <v>47.484699999999997</v>
      </c>
      <c r="C269" s="67">
        <f t="shared" si="4"/>
        <v>5.9166959712235734E-3</v>
      </c>
      <c r="D269" s="67">
        <f>(Table16[[#This Row],[Index]]-B257)/B257</f>
        <v>5.3441092559643875E-2</v>
      </c>
    </row>
    <row r="270" spans="1:4" x14ac:dyDescent="0.2">
      <c r="A270" s="17">
        <v>34304</v>
      </c>
      <c r="B270" s="59">
        <f>VLOOKUP(Table16[[#This Row],[Date]],database!A:H,4,)</f>
        <v>47.768099999999997</v>
      </c>
      <c r="C270" s="67">
        <f t="shared" si="4"/>
        <v>5.968238190406705E-3</v>
      </c>
      <c r="D270" s="67">
        <f>(Table16[[#This Row],[Index]]-B258)/B258</f>
        <v>5.0044513810272133E-2</v>
      </c>
    </row>
    <row r="271" spans="1:4" x14ac:dyDescent="0.2">
      <c r="A271" s="17">
        <v>34335</v>
      </c>
      <c r="B271" s="59">
        <f>VLOOKUP(Table16[[#This Row],[Date]],database!A:H,4,)</f>
        <v>48.027200000000001</v>
      </c>
      <c r="C271" s="67">
        <f t="shared" si="4"/>
        <v>5.4241219558659459E-3</v>
      </c>
      <c r="D271" s="67">
        <f>(Table16[[#This Row],[Index]]-B259)/B259</f>
        <v>5.1982301660314471E-2</v>
      </c>
    </row>
    <row r="272" spans="1:4" x14ac:dyDescent="0.2">
      <c r="A272" s="17">
        <v>34366</v>
      </c>
      <c r="B272" s="59">
        <f>VLOOKUP(Table16[[#This Row],[Date]],database!A:H,4,)</f>
        <v>47.595700000000001</v>
      </c>
      <c r="C272" s="67">
        <f t="shared" si="4"/>
        <v>-8.9844921211313933E-3</v>
      </c>
      <c r="D272" s="67">
        <f>(Table16[[#This Row],[Index]]-B260)/B260</f>
        <v>4.1358351529578639E-2</v>
      </c>
    </row>
    <row r="273" spans="1:4" x14ac:dyDescent="0.2">
      <c r="A273" s="17">
        <v>34394</v>
      </c>
      <c r="B273" s="59">
        <f>VLOOKUP(Table16[[#This Row],[Date]],database!A:H,4,)</f>
        <v>48.118299999999998</v>
      </c>
      <c r="C273" s="67">
        <f t="shared" si="4"/>
        <v>1.0979983485903011E-2</v>
      </c>
      <c r="D273" s="67">
        <f>(Table16[[#This Row],[Index]]-B261)/B261</f>
        <v>5.0377096953755154E-2</v>
      </c>
    </row>
    <row r="274" spans="1:4" x14ac:dyDescent="0.2">
      <c r="A274" s="17">
        <v>34425</v>
      </c>
      <c r="B274" s="59">
        <f>VLOOKUP(Table16[[#This Row],[Date]],database!A:H,4,)</f>
        <v>48.460900000000002</v>
      </c>
      <c r="C274" s="67">
        <f t="shared" si="4"/>
        <v>7.1199522842662066E-3</v>
      </c>
      <c r="D274" s="67">
        <f>(Table16[[#This Row],[Index]]-B262)/B262</f>
        <v>5.0929901718409824E-2</v>
      </c>
    </row>
    <row r="275" spans="1:4" x14ac:dyDescent="0.2">
      <c r="A275" s="17">
        <v>34455</v>
      </c>
      <c r="B275" s="59">
        <f>VLOOKUP(Table16[[#This Row],[Date]],database!A:H,4,)</f>
        <v>48.610399999999998</v>
      </c>
      <c r="C275" s="67">
        <f t="shared" si="4"/>
        <v>3.0849612780612379E-3</v>
      </c>
      <c r="D275" s="67">
        <f>(Table16[[#This Row],[Index]]-B263)/B263</f>
        <v>5.3107736302779512E-2</v>
      </c>
    </row>
    <row r="276" spans="1:4" x14ac:dyDescent="0.2">
      <c r="A276" s="17">
        <v>34486</v>
      </c>
      <c r="B276" s="59">
        <f>VLOOKUP(Table16[[#This Row],[Date]],database!A:H,4,)</f>
        <v>48.902099999999997</v>
      </c>
      <c r="C276" s="67">
        <f t="shared" si="4"/>
        <v>6.0007734970293214E-3</v>
      </c>
      <c r="D276" s="67">
        <f>(Table16[[#This Row],[Index]]-B264)/B264</f>
        <v>6.6588002817939654E-2</v>
      </c>
    </row>
    <row r="277" spans="1:4" x14ac:dyDescent="0.2">
      <c r="A277" s="17">
        <v>34516</v>
      </c>
      <c r="B277" s="59">
        <f>VLOOKUP(Table16[[#This Row],[Date]],database!A:H,4,)</f>
        <v>49.464799999999997</v>
      </c>
      <c r="C277" s="67">
        <f t="shared" si="4"/>
        <v>1.150666331302741E-2</v>
      </c>
      <c r="D277" s="67">
        <f>(Table16[[#This Row],[Index]]-B265)/B265</f>
        <v>7.8929115172031564E-2</v>
      </c>
    </row>
    <row r="278" spans="1:4" x14ac:dyDescent="0.2">
      <c r="A278" s="17">
        <v>34547</v>
      </c>
      <c r="B278" s="59">
        <f>VLOOKUP(Table16[[#This Row],[Date]],database!A:H,4,)</f>
        <v>49.639299999999999</v>
      </c>
      <c r="C278" s="67">
        <f t="shared" si="4"/>
        <v>3.5277611554074273E-3</v>
      </c>
      <c r="D278" s="67">
        <f>(Table16[[#This Row],[Index]]-B266)/B266</f>
        <v>9.2546412968118913E-2</v>
      </c>
    </row>
    <row r="279" spans="1:4" x14ac:dyDescent="0.2">
      <c r="A279" s="17">
        <v>34578</v>
      </c>
      <c r="B279" s="59">
        <f>VLOOKUP(Table16[[#This Row],[Date]],database!A:H,4,)</f>
        <v>50.112900000000003</v>
      </c>
      <c r="C279" s="67">
        <f t="shared" si="4"/>
        <v>9.5408275298001222E-3</v>
      </c>
      <c r="D279" s="67">
        <f>(Table16[[#This Row],[Index]]-B267)/B267</f>
        <v>8.4326322007456447E-2</v>
      </c>
    </row>
    <row r="280" spans="1:4" x14ac:dyDescent="0.2">
      <c r="A280" s="17">
        <v>34608</v>
      </c>
      <c r="B280" s="59">
        <f>VLOOKUP(Table16[[#This Row],[Date]],database!A:H,4,)</f>
        <v>50.99</v>
      </c>
      <c r="C280" s="67">
        <f t="shared" si="4"/>
        <v>1.7502479401511284E-2</v>
      </c>
      <c r="D280" s="67">
        <f>(Table16[[#This Row],[Index]]-B268)/B268</f>
        <v>8.017303105153234E-2</v>
      </c>
    </row>
    <row r="281" spans="1:4" x14ac:dyDescent="0.2">
      <c r="A281" s="17">
        <v>34639</v>
      </c>
      <c r="B281" s="59">
        <f>VLOOKUP(Table16[[#This Row],[Date]],database!A:H,4,)</f>
        <v>51.633000000000003</v>
      </c>
      <c r="C281" s="67">
        <f t="shared" si="4"/>
        <v>1.261031574818583E-2</v>
      </c>
      <c r="D281" s="67">
        <f>(Table16[[#This Row],[Index]]-B269)/B269</f>
        <v>8.73607709430618E-2</v>
      </c>
    </row>
    <row r="282" spans="1:4" x14ac:dyDescent="0.2">
      <c r="A282" s="17">
        <v>34669</v>
      </c>
      <c r="B282" s="59">
        <f>VLOOKUP(Table16[[#This Row],[Date]],database!A:H,4,)</f>
        <v>52.099899999999998</v>
      </c>
      <c r="C282" s="67">
        <f t="shared" si="4"/>
        <v>9.0426665117269156E-3</v>
      </c>
      <c r="D282" s="67">
        <f>(Table16[[#This Row],[Index]]-B270)/B270</f>
        <v>9.068395016758049E-2</v>
      </c>
    </row>
    <row r="283" spans="1:4" x14ac:dyDescent="0.2">
      <c r="A283" s="17">
        <v>34700</v>
      </c>
      <c r="B283" s="59">
        <f>VLOOKUP(Table16[[#This Row],[Date]],database!A:H,4,)</f>
        <v>52.441499999999998</v>
      </c>
      <c r="C283" s="67">
        <f t="shared" si="4"/>
        <v>6.556634465709088E-3</v>
      </c>
      <c r="D283" s="67">
        <f>(Table16[[#This Row],[Index]]-B271)/B271</f>
        <v>9.1912499583569257E-2</v>
      </c>
    </row>
    <row r="284" spans="1:4" x14ac:dyDescent="0.2">
      <c r="A284" s="17">
        <v>34731</v>
      </c>
      <c r="B284" s="59">
        <f>VLOOKUP(Table16[[#This Row],[Date]],database!A:H,4,)</f>
        <v>52.456899999999997</v>
      </c>
      <c r="C284" s="67">
        <f t="shared" si="4"/>
        <v>2.9366055509472133E-4</v>
      </c>
      <c r="D284" s="67">
        <f>(Table16[[#This Row],[Index]]-B272)/B272</f>
        <v>0.10213527692627689</v>
      </c>
    </row>
    <row r="285" spans="1:4" x14ac:dyDescent="0.2">
      <c r="A285" s="17">
        <v>34759</v>
      </c>
      <c r="B285" s="59">
        <f>VLOOKUP(Table16[[#This Row],[Date]],database!A:H,4,)</f>
        <v>52.941499999999998</v>
      </c>
      <c r="C285" s="67">
        <f t="shared" si="4"/>
        <v>9.2380601979911159E-3</v>
      </c>
      <c r="D285" s="67">
        <f>(Table16[[#This Row],[Index]]-B273)/B273</f>
        <v>0.1002362926371048</v>
      </c>
    </row>
    <row r="286" spans="1:4" x14ac:dyDescent="0.2">
      <c r="A286" s="17">
        <v>34790</v>
      </c>
      <c r="B286" s="59">
        <f>VLOOKUP(Table16[[#This Row],[Date]],database!A:H,4,)</f>
        <v>52.869399999999999</v>
      </c>
      <c r="C286" s="67">
        <f t="shared" si="4"/>
        <v>-1.3618805662853894E-3</v>
      </c>
      <c r="D286" s="67">
        <f>(Table16[[#This Row],[Index]]-B274)/B274</f>
        <v>9.0970246115940817E-2</v>
      </c>
    </row>
    <row r="287" spans="1:4" x14ac:dyDescent="0.2">
      <c r="A287" s="17">
        <v>34820</v>
      </c>
      <c r="B287" s="59">
        <f>VLOOKUP(Table16[[#This Row],[Date]],database!A:H,4,)</f>
        <v>53.519300000000001</v>
      </c>
      <c r="C287" s="67">
        <f t="shared" si="4"/>
        <v>1.2292554861602412E-2</v>
      </c>
      <c r="D287" s="67">
        <f>(Table16[[#This Row],[Index]]-B275)/B275</f>
        <v>0.10098456297417842</v>
      </c>
    </row>
    <row r="288" spans="1:4" x14ac:dyDescent="0.2">
      <c r="A288" s="17">
        <v>34851</v>
      </c>
      <c r="B288" s="59">
        <f>VLOOKUP(Table16[[#This Row],[Date]],database!A:H,4,)</f>
        <v>54.198399999999999</v>
      </c>
      <c r="C288" s="67">
        <f t="shared" si="4"/>
        <v>1.2688880459946095E-2</v>
      </c>
      <c r="D288" s="67">
        <f>(Table16[[#This Row],[Index]]-B276)/B276</f>
        <v>0.10830414235789471</v>
      </c>
    </row>
    <row r="289" spans="1:4" x14ac:dyDescent="0.2">
      <c r="A289" s="17">
        <v>34881</v>
      </c>
      <c r="B289" s="59">
        <f>VLOOKUP(Table16[[#This Row],[Date]],database!A:H,4,)</f>
        <v>53.902200000000001</v>
      </c>
      <c r="C289" s="67">
        <f t="shared" si="4"/>
        <v>-5.4651059809883717E-3</v>
      </c>
      <c r="D289" s="67">
        <f>(Table16[[#This Row],[Index]]-B277)/B277</f>
        <v>8.9708236968511018E-2</v>
      </c>
    </row>
    <row r="290" spans="1:4" x14ac:dyDescent="0.2">
      <c r="A290" s="17">
        <v>34912</v>
      </c>
      <c r="B290" s="59">
        <f>VLOOKUP(Table16[[#This Row],[Date]],database!A:H,4,)</f>
        <v>54.940800000000003</v>
      </c>
      <c r="C290" s="67">
        <f t="shared" si="4"/>
        <v>1.9268230239211093E-2</v>
      </c>
      <c r="D290" s="67">
        <f>(Table16[[#This Row],[Index]]-B278)/B278</f>
        <v>0.10680045850767446</v>
      </c>
    </row>
    <row r="291" spans="1:4" x14ac:dyDescent="0.2">
      <c r="A291" s="17">
        <v>34943</v>
      </c>
      <c r="B291" s="59">
        <f>VLOOKUP(Table16[[#This Row],[Date]],database!A:H,4,)</f>
        <v>55.4377</v>
      </c>
      <c r="C291" s="67">
        <f t="shared" si="4"/>
        <v>9.0442803890733448E-3</v>
      </c>
      <c r="D291" s="67">
        <f>(Table16[[#This Row],[Index]]-B279)/B279</f>
        <v>0.10625607378539251</v>
      </c>
    </row>
    <row r="292" spans="1:4" x14ac:dyDescent="0.2">
      <c r="A292" s="17">
        <v>34973</v>
      </c>
      <c r="B292" s="59">
        <f>VLOOKUP(Table16[[#This Row],[Date]],database!A:H,4,)</f>
        <v>55.4116</v>
      </c>
      <c r="C292" s="67">
        <f t="shared" si="4"/>
        <v>-4.7079875247346692E-4</v>
      </c>
      <c r="D292" s="67">
        <f>(Table16[[#This Row],[Index]]-B280)/B280</f>
        <v>8.6715042165130374E-2</v>
      </c>
    </row>
    <row r="293" spans="1:4" x14ac:dyDescent="0.2">
      <c r="A293" s="17">
        <v>35004</v>
      </c>
      <c r="B293" s="59">
        <f>VLOOKUP(Table16[[#This Row],[Date]],database!A:H,4,)</f>
        <v>55.6038</v>
      </c>
      <c r="C293" s="67">
        <f t="shared" si="4"/>
        <v>3.4685878047195917E-3</v>
      </c>
      <c r="D293" s="67">
        <f>(Table16[[#This Row],[Index]]-B281)/B281</f>
        <v>7.6904305386090235E-2</v>
      </c>
    </row>
    <row r="294" spans="1:4" x14ac:dyDescent="0.2">
      <c r="A294" s="17">
        <v>35034</v>
      </c>
      <c r="B294" s="59">
        <f>VLOOKUP(Table16[[#This Row],[Date]],database!A:H,4,)</f>
        <v>56.008899999999997</v>
      </c>
      <c r="C294" s="67">
        <f t="shared" si="4"/>
        <v>7.2854732949905188E-3</v>
      </c>
      <c r="D294" s="67">
        <f>(Table16[[#This Row],[Index]]-B282)/B282</f>
        <v>7.5028934796419935E-2</v>
      </c>
    </row>
    <row r="295" spans="1:4" x14ac:dyDescent="0.2">
      <c r="A295" s="17">
        <v>35065</v>
      </c>
      <c r="B295" s="59">
        <f>VLOOKUP(Table16[[#This Row],[Date]],database!A:H,4,)</f>
        <v>55.412999999999997</v>
      </c>
      <c r="C295" s="67">
        <f t="shared" si="4"/>
        <v>-1.0639380527023401E-2</v>
      </c>
      <c r="D295" s="67">
        <f>(Table16[[#This Row],[Index]]-B283)/B283</f>
        <v>5.6663138926232072E-2</v>
      </c>
    </row>
    <row r="296" spans="1:4" x14ac:dyDescent="0.2">
      <c r="A296" s="17">
        <v>35096</v>
      </c>
      <c r="B296" s="59">
        <f>VLOOKUP(Table16[[#This Row],[Date]],database!A:H,4,)</f>
        <v>56.789900000000003</v>
      </c>
      <c r="C296" s="67">
        <f t="shared" si="4"/>
        <v>2.4847959865013758E-2</v>
      </c>
      <c r="D296" s="67">
        <f>(Table16[[#This Row],[Index]]-B284)/B284</f>
        <v>8.2601144939941279E-2</v>
      </c>
    </row>
    <row r="297" spans="1:4" x14ac:dyDescent="0.2">
      <c r="A297" s="17">
        <v>35125</v>
      </c>
      <c r="B297" s="59">
        <f>VLOOKUP(Table16[[#This Row],[Date]],database!A:H,4,)</f>
        <v>56.642000000000003</v>
      </c>
      <c r="C297" s="67">
        <f t="shared" si="4"/>
        <v>-2.6043363344537829E-3</v>
      </c>
      <c r="D297" s="67">
        <f>(Table16[[#This Row],[Index]]-B285)/B285</f>
        <v>6.9897906179462344E-2</v>
      </c>
    </row>
    <row r="298" spans="1:4" x14ac:dyDescent="0.2">
      <c r="A298" s="17">
        <v>35156</v>
      </c>
      <c r="B298" s="59">
        <f>VLOOKUP(Table16[[#This Row],[Date]],database!A:H,4,)</f>
        <v>58.036499999999997</v>
      </c>
      <c r="C298" s="67">
        <f t="shared" si="4"/>
        <v>2.461954027047053E-2</v>
      </c>
      <c r="D298" s="67">
        <f>(Table16[[#This Row],[Index]]-B286)/B286</f>
        <v>9.7733282390191634E-2</v>
      </c>
    </row>
    <row r="299" spans="1:4" x14ac:dyDescent="0.2">
      <c r="A299" s="17">
        <v>35186</v>
      </c>
      <c r="B299" s="59">
        <f>VLOOKUP(Table16[[#This Row],[Date]],database!A:H,4,)</f>
        <v>58.833199999999998</v>
      </c>
      <c r="C299" s="67">
        <f t="shared" si="4"/>
        <v>1.3727567996002499E-2</v>
      </c>
      <c r="D299" s="67">
        <f>(Table16[[#This Row],[Index]]-B287)/B287</f>
        <v>9.9289415220303642E-2</v>
      </c>
    </row>
    <row r="300" spans="1:4" x14ac:dyDescent="0.2">
      <c r="A300" s="17">
        <v>35217</v>
      </c>
      <c r="B300" s="59">
        <f>VLOOKUP(Table16[[#This Row],[Date]],database!A:H,4,)</f>
        <v>59.692900000000002</v>
      </c>
      <c r="C300" s="67">
        <f t="shared" si="4"/>
        <v>1.4612497705377203E-2</v>
      </c>
      <c r="D300" s="67">
        <f>(Table16[[#This Row],[Index]]-B288)/B288</f>
        <v>0.10137753144004255</v>
      </c>
    </row>
    <row r="301" spans="1:4" x14ac:dyDescent="0.2">
      <c r="A301" s="17">
        <v>35247</v>
      </c>
      <c r="B301" s="59">
        <f>VLOOKUP(Table16[[#This Row],[Date]],database!A:H,4,)</f>
        <v>60.462600000000002</v>
      </c>
      <c r="C301" s="67">
        <f t="shared" si="4"/>
        <v>1.2894330816562771E-2</v>
      </c>
      <c r="D301" s="67">
        <f>(Table16[[#This Row],[Index]]-B289)/B289</f>
        <v>0.12170931798702096</v>
      </c>
    </row>
    <row r="302" spans="1:4" x14ac:dyDescent="0.2">
      <c r="A302" s="17">
        <v>35278</v>
      </c>
      <c r="B302" s="59">
        <f>VLOOKUP(Table16[[#This Row],[Date]],database!A:H,4,)</f>
        <v>60.738300000000002</v>
      </c>
      <c r="C302" s="67">
        <f t="shared" si="4"/>
        <v>4.5598436057991965E-3</v>
      </c>
      <c r="D302" s="67">
        <f>(Table16[[#This Row],[Index]]-B290)/B290</f>
        <v>0.10552267167569455</v>
      </c>
    </row>
    <row r="303" spans="1:4" x14ac:dyDescent="0.2">
      <c r="A303" s="17">
        <v>35309</v>
      </c>
      <c r="B303" s="59">
        <f>VLOOKUP(Table16[[#This Row],[Date]],database!A:H,4,)</f>
        <v>61.4313</v>
      </c>
      <c r="C303" s="67">
        <f t="shared" si="4"/>
        <v>1.1409604812778751E-2</v>
      </c>
      <c r="D303" s="67">
        <f>(Table16[[#This Row],[Index]]-B291)/B291</f>
        <v>0.10811415336494841</v>
      </c>
    </row>
    <row r="304" spans="1:4" x14ac:dyDescent="0.2">
      <c r="A304" s="17">
        <v>35339</v>
      </c>
      <c r="B304" s="59">
        <f>VLOOKUP(Table16[[#This Row],[Date]],database!A:H,4,)</f>
        <v>61.301000000000002</v>
      </c>
      <c r="C304" s="67">
        <f t="shared" si="4"/>
        <v>-2.1210685757911962E-3</v>
      </c>
      <c r="D304" s="67">
        <f>(Table16[[#This Row],[Index]]-B292)/B292</f>
        <v>0.10628460466761476</v>
      </c>
    </row>
    <row r="305" spans="1:4" x14ac:dyDescent="0.2">
      <c r="A305" s="17">
        <v>35370</v>
      </c>
      <c r="B305" s="59">
        <f>VLOOKUP(Table16[[#This Row],[Date]],database!A:H,4,)</f>
        <v>62.211500000000001</v>
      </c>
      <c r="C305" s="67">
        <f t="shared" si="4"/>
        <v>1.4852938777507596E-2</v>
      </c>
      <c r="D305" s="67">
        <f>(Table16[[#This Row],[Index]]-B293)/B293</f>
        <v>0.11883540333574326</v>
      </c>
    </row>
    <row r="306" spans="1:4" x14ac:dyDescent="0.2">
      <c r="A306" s="17">
        <v>35400</v>
      </c>
      <c r="B306" s="59">
        <f>VLOOKUP(Table16[[#This Row],[Date]],database!A:H,4,)</f>
        <v>63.326500000000003</v>
      </c>
      <c r="C306" s="67">
        <f t="shared" si="4"/>
        <v>1.7922731327809194E-2</v>
      </c>
      <c r="D306" s="67">
        <f>(Table16[[#This Row],[Index]]-B294)/B294</f>
        <v>0.13065066444797177</v>
      </c>
    </row>
    <row r="307" spans="1:4" x14ac:dyDescent="0.2">
      <c r="A307" s="17">
        <v>35431</v>
      </c>
      <c r="B307" s="59">
        <f>VLOOKUP(Table16[[#This Row],[Date]],database!A:H,4,)</f>
        <v>63.670400000000001</v>
      </c>
      <c r="C307" s="67">
        <f t="shared" si="4"/>
        <v>5.4305859316399197E-3</v>
      </c>
      <c r="D307" s="67">
        <f>(Table16[[#This Row],[Index]]-B295)/B295</f>
        <v>0.14901557396278861</v>
      </c>
    </row>
    <row r="308" spans="1:4" x14ac:dyDescent="0.2">
      <c r="A308" s="17">
        <v>35462</v>
      </c>
      <c r="B308" s="59">
        <f>VLOOKUP(Table16[[#This Row],[Date]],database!A:H,4,)</f>
        <v>64.726399999999998</v>
      </c>
      <c r="C308" s="67">
        <f t="shared" si="4"/>
        <v>1.6585414886666205E-2</v>
      </c>
      <c r="D308" s="67">
        <f>(Table16[[#This Row],[Index]]-B296)/B296</f>
        <v>0.13975196293707146</v>
      </c>
    </row>
    <row r="309" spans="1:4" x14ac:dyDescent="0.2">
      <c r="A309" s="17">
        <v>35490</v>
      </c>
      <c r="B309" s="59">
        <f>VLOOKUP(Table16[[#This Row],[Date]],database!A:H,4,)</f>
        <v>65.677899999999994</v>
      </c>
      <c r="C309" s="67">
        <f t="shared" si="4"/>
        <v>1.4700338656251422E-2</v>
      </c>
      <c r="D309" s="67">
        <f>(Table16[[#This Row],[Index]]-B297)/B297</f>
        <v>0.15952649977048816</v>
      </c>
    </row>
    <row r="310" spans="1:4" x14ac:dyDescent="0.2">
      <c r="A310" s="17">
        <v>35521</v>
      </c>
      <c r="B310" s="59">
        <f>VLOOKUP(Table16[[#This Row],[Date]],database!A:H,4,)</f>
        <v>66.219300000000004</v>
      </c>
      <c r="C310" s="67">
        <f t="shared" si="4"/>
        <v>8.2432599093456016E-3</v>
      </c>
      <c r="D310" s="67">
        <f>(Table16[[#This Row],[Index]]-B298)/B298</f>
        <v>0.14099402961929144</v>
      </c>
    </row>
    <row r="311" spans="1:4" x14ac:dyDescent="0.2">
      <c r="A311" s="17">
        <v>35551</v>
      </c>
      <c r="B311" s="59">
        <f>VLOOKUP(Table16[[#This Row],[Date]],database!A:H,4,)</f>
        <v>66.992900000000006</v>
      </c>
      <c r="C311" s="67">
        <f t="shared" si="4"/>
        <v>1.1682394709699562E-2</v>
      </c>
      <c r="D311" s="67">
        <f>(Table16[[#This Row],[Index]]-B299)/B299</f>
        <v>0.13869209901892143</v>
      </c>
    </row>
    <row r="312" spans="1:4" x14ac:dyDescent="0.2">
      <c r="A312" s="17">
        <v>35582</v>
      </c>
      <c r="B312" s="59">
        <f>VLOOKUP(Table16[[#This Row],[Date]],database!A:H,4,)</f>
        <v>68.104799999999997</v>
      </c>
      <c r="C312" s="67">
        <f t="shared" si="4"/>
        <v>1.659728120442594E-2</v>
      </c>
      <c r="D312" s="67">
        <f>(Table16[[#This Row],[Index]]-B300)/B300</f>
        <v>0.14091960685441646</v>
      </c>
    </row>
    <row r="313" spans="1:4" x14ac:dyDescent="0.2">
      <c r="A313" s="17">
        <v>35612</v>
      </c>
      <c r="B313" s="59">
        <f>VLOOKUP(Table16[[#This Row],[Date]],database!A:H,4,)</f>
        <v>68.527500000000003</v>
      </c>
      <c r="C313" s="67">
        <f t="shared" si="4"/>
        <v>6.2066109877718656E-3</v>
      </c>
      <c r="D313" s="67">
        <f>(Table16[[#This Row],[Index]]-B301)/B301</f>
        <v>0.13338658939575873</v>
      </c>
    </row>
    <row r="314" spans="1:4" x14ac:dyDescent="0.2">
      <c r="A314" s="17">
        <v>35643</v>
      </c>
      <c r="B314" s="59">
        <f>VLOOKUP(Table16[[#This Row],[Date]],database!A:H,4,)</f>
        <v>70.021900000000002</v>
      </c>
      <c r="C314" s="67">
        <f t="shared" si="4"/>
        <v>2.1807303637225939E-2</v>
      </c>
      <c r="D314" s="67">
        <f>(Table16[[#This Row],[Index]]-B302)/B302</f>
        <v>0.15284589789309216</v>
      </c>
    </row>
    <row r="315" spans="1:4" x14ac:dyDescent="0.2">
      <c r="A315" s="17">
        <v>35674</v>
      </c>
      <c r="B315" s="59">
        <f>VLOOKUP(Table16[[#This Row],[Date]],database!A:H,4,)</f>
        <v>70.613900000000001</v>
      </c>
      <c r="C315" s="67">
        <f t="shared" si="4"/>
        <v>8.4544978071146026E-3</v>
      </c>
      <c r="D315" s="67">
        <f>(Table16[[#This Row],[Index]]-B303)/B303</f>
        <v>0.14947754646247111</v>
      </c>
    </row>
    <row r="316" spans="1:4" x14ac:dyDescent="0.2">
      <c r="A316" s="17">
        <v>35704</v>
      </c>
      <c r="B316" s="59">
        <f>VLOOKUP(Table16[[#This Row],[Date]],database!A:H,4,)</f>
        <v>71.600899999999996</v>
      </c>
      <c r="C316" s="67">
        <f t="shared" si="4"/>
        <v>1.3977418043756185E-2</v>
      </c>
      <c r="D316" s="67">
        <f>(Table16[[#This Row],[Index]]-B304)/B304</f>
        <v>0.1680217288461851</v>
      </c>
    </row>
    <row r="317" spans="1:4" x14ac:dyDescent="0.2">
      <c r="A317" s="17">
        <v>35735</v>
      </c>
      <c r="B317" s="59">
        <f>VLOOKUP(Table16[[#This Row],[Date]],database!A:H,4,)</f>
        <v>72.877600000000001</v>
      </c>
      <c r="C317" s="67">
        <f t="shared" si="4"/>
        <v>1.783078145665784E-2</v>
      </c>
      <c r="D317" s="67">
        <f>(Table16[[#This Row],[Index]]-B305)/B305</f>
        <v>0.17144900862380749</v>
      </c>
    </row>
    <row r="318" spans="1:4" x14ac:dyDescent="0.2">
      <c r="A318" s="17">
        <v>35765</v>
      </c>
      <c r="B318" s="59">
        <f>VLOOKUP(Table16[[#This Row],[Date]],database!A:H,4,)</f>
        <v>73.400999999999996</v>
      </c>
      <c r="C318" s="67">
        <f t="shared" si="4"/>
        <v>7.181905002360045E-3</v>
      </c>
      <c r="D318" s="67">
        <f>(Table16[[#This Row],[Index]]-B306)/B306</f>
        <v>0.15908821741293128</v>
      </c>
    </row>
    <row r="319" spans="1:4" x14ac:dyDescent="0.2">
      <c r="A319" s="17">
        <v>35796</v>
      </c>
      <c r="B319" s="59">
        <f>VLOOKUP(Table16[[#This Row],[Date]],database!A:H,4,)</f>
        <v>74.3673</v>
      </c>
      <c r="C319" s="67">
        <f t="shared" si="4"/>
        <v>1.316467078105199E-2</v>
      </c>
      <c r="D319" s="67">
        <f>(Table16[[#This Row],[Index]]-B307)/B307</f>
        <v>0.16800428456551239</v>
      </c>
    </row>
    <row r="320" spans="1:4" x14ac:dyDescent="0.2">
      <c r="A320" s="17">
        <v>35827</v>
      </c>
      <c r="B320" s="59">
        <f>VLOOKUP(Table16[[#This Row],[Date]],database!A:H,4,)</f>
        <v>74.691299999999998</v>
      </c>
      <c r="C320" s="67">
        <f t="shared" si="4"/>
        <v>4.356753573143024E-3</v>
      </c>
      <c r="D320" s="67">
        <f>(Table16[[#This Row],[Index]]-B308)/B308</f>
        <v>0.15395418252830376</v>
      </c>
    </row>
    <row r="321" spans="1:4" x14ac:dyDescent="0.2">
      <c r="A321" s="17">
        <v>35855</v>
      </c>
      <c r="B321" s="59">
        <f>VLOOKUP(Table16[[#This Row],[Date]],database!A:H,4,)</f>
        <v>75.062299999999993</v>
      </c>
      <c r="C321" s="67">
        <f t="shared" si="4"/>
        <v>4.9671112967641928E-3</v>
      </c>
      <c r="D321" s="67">
        <f>(Table16[[#This Row],[Index]]-B309)/B309</f>
        <v>0.14288520187155801</v>
      </c>
    </row>
    <row r="322" spans="1:4" x14ac:dyDescent="0.2">
      <c r="A322" s="17">
        <v>35886</v>
      </c>
      <c r="B322" s="59">
        <f>VLOOKUP(Table16[[#This Row],[Date]],database!A:H,4,)</f>
        <v>75.271199999999993</v>
      </c>
      <c r="C322" s="67">
        <f t="shared" si="4"/>
        <v>2.7830215700823668E-3</v>
      </c>
      <c r="D322" s="67">
        <f>(Table16[[#This Row],[Index]]-B310)/B310</f>
        <v>0.13669579714675312</v>
      </c>
    </row>
    <row r="323" spans="1:4" x14ac:dyDescent="0.2">
      <c r="A323" s="17">
        <v>35916</v>
      </c>
      <c r="B323" s="59">
        <f>VLOOKUP(Table16[[#This Row],[Date]],database!A:H,4,)</f>
        <v>75.7042</v>
      </c>
      <c r="C323" s="67">
        <f t="shared" si="4"/>
        <v>5.7525321769813509E-3</v>
      </c>
      <c r="D323" s="67">
        <f>(Table16[[#This Row],[Index]]-B311)/B311</f>
        <v>0.13003318262084479</v>
      </c>
    </row>
    <row r="324" spans="1:4" x14ac:dyDescent="0.2">
      <c r="A324" s="17">
        <v>35947</v>
      </c>
      <c r="B324" s="59">
        <f>VLOOKUP(Table16[[#This Row],[Date]],database!A:H,4,)</f>
        <v>75.781700000000001</v>
      </c>
      <c r="C324" s="67">
        <f t="shared" si="4"/>
        <v>1.023721273060163E-3</v>
      </c>
      <c r="D324" s="67">
        <f>(Table16[[#This Row],[Index]]-B312)/B312</f>
        <v>0.11272186395085226</v>
      </c>
    </row>
    <row r="325" spans="1:4" x14ac:dyDescent="0.2">
      <c r="A325" s="17">
        <v>35977</v>
      </c>
      <c r="B325" s="59">
        <f>VLOOKUP(Table16[[#This Row],[Date]],database!A:H,4,)</f>
        <v>75.317300000000003</v>
      </c>
      <c r="C325" s="67">
        <f t="shared" si="4"/>
        <v>-6.1281285587416745E-3</v>
      </c>
      <c r="D325" s="67">
        <f>(Table16[[#This Row],[Index]]-B313)/B313</f>
        <v>9.9081390682572684E-2</v>
      </c>
    </row>
    <row r="326" spans="1:4" x14ac:dyDescent="0.2">
      <c r="A326" s="17">
        <v>36008</v>
      </c>
      <c r="B326" s="59">
        <f>VLOOKUP(Table16[[#This Row],[Date]],database!A:H,4,)</f>
        <v>77.593900000000005</v>
      </c>
      <c r="C326" s="67">
        <f t="shared" si="4"/>
        <v>3.0226787205595462E-2</v>
      </c>
      <c r="D326" s="67">
        <f>(Table16[[#This Row],[Index]]-B314)/B314</f>
        <v>0.10813759695181083</v>
      </c>
    </row>
    <row r="327" spans="1:4" x14ac:dyDescent="0.2">
      <c r="A327" s="17">
        <v>36039</v>
      </c>
      <c r="B327" s="59">
        <f>VLOOKUP(Table16[[#This Row],[Date]],database!A:H,4,)</f>
        <v>77.634900000000002</v>
      </c>
      <c r="C327" s="67">
        <f t="shared" si="4"/>
        <v>5.2839205143695445E-4</v>
      </c>
      <c r="D327" s="67">
        <f>(Table16[[#This Row],[Index]]-B315)/B315</f>
        <v>9.9428016297074664E-2</v>
      </c>
    </row>
    <row r="328" spans="1:4" x14ac:dyDescent="0.2">
      <c r="A328" s="17">
        <v>36069</v>
      </c>
      <c r="B328" s="59">
        <f>VLOOKUP(Table16[[#This Row],[Date]],database!A:H,4,)</f>
        <v>78.498199999999997</v>
      </c>
      <c r="C328" s="67">
        <f t="shared" ref="C328:C391" si="5">B328/B327-1</f>
        <v>1.1119998866489178E-2</v>
      </c>
      <c r="D328" s="67">
        <f>(Table16[[#This Row],[Index]]-B316)/B316</f>
        <v>9.632979473721702E-2</v>
      </c>
    </row>
    <row r="329" spans="1:4" x14ac:dyDescent="0.2">
      <c r="A329" s="17">
        <v>36100</v>
      </c>
      <c r="B329" s="59">
        <f>VLOOKUP(Table16[[#This Row],[Date]],database!A:H,4,)</f>
        <v>78.501099999999994</v>
      </c>
      <c r="C329" s="67">
        <f t="shared" si="5"/>
        <v>3.6943522271792872E-5</v>
      </c>
      <c r="D329" s="67">
        <f>(Table16[[#This Row],[Index]]-B317)/B317</f>
        <v>7.7163627781375796E-2</v>
      </c>
    </row>
    <row r="330" spans="1:4" x14ac:dyDescent="0.2">
      <c r="A330" s="17">
        <v>36130</v>
      </c>
      <c r="B330" s="59">
        <f>VLOOKUP(Table16[[#This Row],[Date]],database!A:H,4,)</f>
        <v>78.677300000000002</v>
      </c>
      <c r="C330" s="67">
        <f t="shared" si="5"/>
        <v>2.2445545349047968E-3</v>
      </c>
      <c r="D330" s="67">
        <f>(Table16[[#This Row],[Index]]-B318)/B318</f>
        <v>7.188321684990677E-2</v>
      </c>
    </row>
    <row r="331" spans="1:4" x14ac:dyDescent="0.2">
      <c r="A331" s="17">
        <v>36161</v>
      </c>
      <c r="B331" s="59">
        <f>VLOOKUP(Table16[[#This Row],[Date]],database!A:H,4,)</f>
        <v>78.625900000000001</v>
      </c>
      <c r="C331" s="67">
        <f t="shared" si="5"/>
        <v>-6.5330152407361286E-4</v>
      </c>
      <c r="D331" s="67">
        <f>(Table16[[#This Row],[Index]]-B319)/B319</f>
        <v>5.7264415946255968E-2</v>
      </c>
    </row>
    <row r="332" spans="1:4" x14ac:dyDescent="0.2">
      <c r="A332" s="17">
        <v>36192</v>
      </c>
      <c r="B332" s="59">
        <f>VLOOKUP(Table16[[#This Row],[Date]],database!A:H,4,)</f>
        <v>79.2667</v>
      </c>
      <c r="C332" s="67">
        <f t="shared" si="5"/>
        <v>8.1499862004759116E-3</v>
      </c>
      <c r="D332" s="67">
        <f>(Table16[[#This Row],[Index]]-B320)/B320</f>
        <v>6.1257469076050383E-2</v>
      </c>
    </row>
    <row r="333" spans="1:4" x14ac:dyDescent="0.2">
      <c r="A333" s="17">
        <v>36220</v>
      </c>
      <c r="B333" s="59">
        <f>VLOOKUP(Table16[[#This Row],[Date]],database!A:H,4,)</f>
        <v>79.240399999999994</v>
      </c>
      <c r="C333" s="67">
        <f t="shared" si="5"/>
        <v>-3.3179128183724593E-4</v>
      </c>
      <c r="D333" s="67">
        <f>(Table16[[#This Row],[Index]]-B321)/B321</f>
        <v>5.5661763628346066E-2</v>
      </c>
    </row>
    <row r="334" spans="1:4" x14ac:dyDescent="0.2">
      <c r="A334" s="17">
        <v>36251</v>
      </c>
      <c r="B334" s="59">
        <f>VLOOKUP(Table16[[#This Row],[Date]],database!A:H,4,)</f>
        <v>79.656300000000002</v>
      </c>
      <c r="C334" s="67">
        <f t="shared" si="5"/>
        <v>5.2485853175905373E-3</v>
      </c>
      <c r="D334" s="67">
        <f>(Table16[[#This Row],[Index]]-B322)/B322</f>
        <v>5.8257341453304967E-2</v>
      </c>
    </row>
    <row r="335" spans="1:4" x14ac:dyDescent="0.2">
      <c r="A335" s="17">
        <v>36281</v>
      </c>
      <c r="B335" s="59">
        <f>VLOOKUP(Table16[[#This Row],[Date]],database!A:H,4,)</f>
        <v>80.491500000000002</v>
      </c>
      <c r="C335" s="67">
        <f t="shared" si="5"/>
        <v>1.0485046380512175E-2</v>
      </c>
      <c r="D335" s="67">
        <f>(Table16[[#This Row],[Index]]-B323)/B323</f>
        <v>6.3236914200268959E-2</v>
      </c>
    </row>
    <row r="336" spans="1:4" x14ac:dyDescent="0.2">
      <c r="A336" s="17">
        <v>36312</v>
      </c>
      <c r="B336" s="59">
        <f>VLOOKUP(Table16[[#This Row],[Date]],database!A:H,4,)</f>
        <v>80.268000000000001</v>
      </c>
      <c r="C336" s="67">
        <f t="shared" si="5"/>
        <v>-2.7766907064721291E-3</v>
      </c>
      <c r="D336" s="67">
        <f>(Table16[[#This Row],[Index]]-B324)/B324</f>
        <v>5.9200308253839644E-2</v>
      </c>
    </row>
    <row r="337" spans="1:4" x14ac:dyDescent="0.2">
      <c r="A337" s="17">
        <v>36342</v>
      </c>
      <c r="B337" s="59">
        <f>VLOOKUP(Table16[[#This Row],[Date]],database!A:H,4,)</f>
        <v>80.832499999999996</v>
      </c>
      <c r="C337" s="67">
        <f t="shared" si="5"/>
        <v>7.0326904868689422E-3</v>
      </c>
      <c r="D337" s="67">
        <f>(Table16[[#This Row],[Index]]-B325)/B325</f>
        <v>7.3226204338179848E-2</v>
      </c>
    </row>
    <row r="338" spans="1:4" x14ac:dyDescent="0.2">
      <c r="A338" s="17">
        <v>36373</v>
      </c>
      <c r="B338" s="59">
        <f>VLOOKUP(Table16[[#This Row],[Date]],database!A:H,4,)</f>
        <v>81.3904</v>
      </c>
      <c r="C338" s="67">
        <f t="shared" si="5"/>
        <v>6.9019268239878251E-3</v>
      </c>
      <c r="D338" s="67">
        <f>(Table16[[#This Row],[Index]]-B326)/B326</f>
        <v>4.8927815201968122E-2</v>
      </c>
    </row>
    <row r="339" spans="1:4" x14ac:dyDescent="0.2">
      <c r="A339" s="17">
        <v>36404</v>
      </c>
      <c r="B339" s="59">
        <f>VLOOKUP(Table16[[#This Row],[Date]],database!A:H,4,)</f>
        <v>81.022300000000001</v>
      </c>
      <c r="C339" s="67">
        <f t="shared" si="5"/>
        <v>-4.522646405472841E-3</v>
      </c>
      <c r="D339" s="67">
        <f>(Table16[[#This Row],[Index]]-B327)/B327</f>
        <v>4.363243850381722E-2</v>
      </c>
    </row>
    <row r="340" spans="1:4" x14ac:dyDescent="0.2">
      <c r="A340" s="17">
        <v>36434</v>
      </c>
      <c r="B340" s="59">
        <f>VLOOKUP(Table16[[#This Row],[Date]],database!A:H,4,)</f>
        <v>81.685199999999995</v>
      </c>
      <c r="C340" s="67">
        <f t="shared" si="5"/>
        <v>8.1816981250839582E-3</v>
      </c>
      <c r="D340" s="67">
        <f>(Table16[[#This Row],[Index]]-B328)/B328</f>
        <v>4.0599657062200124E-2</v>
      </c>
    </row>
    <row r="341" spans="1:4" x14ac:dyDescent="0.2">
      <c r="A341" s="17">
        <v>36465</v>
      </c>
      <c r="B341" s="59">
        <f>VLOOKUP(Table16[[#This Row],[Date]],database!A:H,4,)</f>
        <v>81.791399999999996</v>
      </c>
      <c r="C341" s="67">
        <f t="shared" si="5"/>
        <v>1.3001131171865854E-3</v>
      </c>
      <c r="D341" s="67">
        <f>(Table16[[#This Row],[Index]]-B329)/B329</f>
        <v>4.1914062350718678E-2</v>
      </c>
    </row>
    <row r="342" spans="1:4" x14ac:dyDescent="0.2">
      <c r="A342" s="17">
        <v>36495</v>
      </c>
      <c r="B342" s="59">
        <f>VLOOKUP(Table16[[#This Row],[Date]],database!A:H,4,)</f>
        <v>82.462299999999999</v>
      </c>
      <c r="C342" s="67">
        <f t="shared" si="5"/>
        <v>8.2025738647339974E-3</v>
      </c>
      <c r="D342" s="67">
        <f>(Table16[[#This Row],[Index]]-B330)/B330</f>
        <v>4.8107904058730999E-2</v>
      </c>
    </row>
    <row r="343" spans="1:4" x14ac:dyDescent="0.2">
      <c r="A343" s="17">
        <v>36526</v>
      </c>
      <c r="B343" s="59">
        <f>VLOOKUP(Table16[[#This Row],[Date]],database!A:H,4,)</f>
        <v>83.721900000000005</v>
      </c>
      <c r="C343" s="67">
        <f t="shared" si="5"/>
        <v>1.5274858935537816E-2</v>
      </c>
      <c r="D343" s="67">
        <f>(Table16[[#This Row],[Index]]-B331)/B331</f>
        <v>6.4813248560588857E-2</v>
      </c>
    </row>
    <row r="344" spans="1:4" x14ac:dyDescent="0.2">
      <c r="A344" s="17">
        <v>36557</v>
      </c>
      <c r="B344" s="59">
        <f>VLOOKUP(Table16[[#This Row],[Date]],database!A:H,4,)</f>
        <v>84.365099999999998</v>
      </c>
      <c r="C344" s="67">
        <f t="shared" si="5"/>
        <v>7.6825776768085774E-3</v>
      </c>
      <c r="D344" s="67">
        <f>(Table16[[#This Row],[Index]]-B332)/B332</f>
        <v>6.4319569251652942E-2</v>
      </c>
    </row>
    <row r="345" spans="1:4" x14ac:dyDescent="0.2">
      <c r="A345" s="17">
        <v>36586</v>
      </c>
      <c r="B345" s="59">
        <f>VLOOKUP(Table16[[#This Row],[Date]],database!A:H,4,)</f>
        <v>85.528499999999994</v>
      </c>
      <c r="C345" s="67">
        <f t="shared" si="5"/>
        <v>1.3790062478441945E-2</v>
      </c>
      <c r="D345" s="67">
        <f>(Table16[[#This Row],[Index]]-B333)/B333</f>
        <v>7.9354723095794583E-2</v>
      </c>
    </row>
    <row r="346" spans="1:4" x14ac:dyDescent="0.2">
      <c r="A346" s="17">
        <v>36617</v>
      </c>
      <c r="B346" s="59">
        <f>VLOOKUP(Table16[[#This Row],[Date]],database!A:H,4,)</f>
        <v>86.474999999999994</v>
      </c>
      <c r="C346" s="67">
        <f t="shared" si="5"/>
        <v>1.1066486609726534E-2</v>
      </c>
      <c r="D346" s="67">
        <f>(Table16[[#This Row],[Index]]-B334)/B334</f>
        <v>8.5601515511014095E-2</v>
      </c>
    </row>
    <row r="347" spans="1:4" x14ac:dyDescent="0.2">
      <c r="A347" s="17">
        <v>36647</v>
      </c>
      <c r="B347" s="59">
        <f>VLOOKUP(Table16[[#This Row],[Date]],database!A:H,4,)</f>
        <v>87.251800000000003</v>
      </c>
      <c r="C347" s="67">
        <f t="shared" si="5"/>
        <v>8.9829430471235483E-3</v>
      </c>
      <c r="D347" s="67">
        <f>(Table16[[#This Row],[Index]]-B335)/B335</f>
        <v>8.3987750259344157E-2</v>
      </c>
    </row>
    <row r="348" spans="1:4" x14ac:dyDescent="0.2">
      <c r="A348" s="17">
        <v>36678</v>
      </c>
      <c r="B348" s="59">
        <f>VLOOKUP(Table16[[#This Row],[Date]],database!A:H,4,)</f>
        <v>87.361400000000003</v>
      </c>
      <c r="C348" s="67">
        <f t="shared" si="5"/>
        <v>1.2561345439292548E-3</v>
      </c>
      <c r="D348" s="67">
        <f>(Table16[[#This Row],[Index]]-B336)/B336</f>
        <v>8.8371455623660763E-2</v>
      </c>
    </row>
    <row r="349" spans="1:4" x14ac:dyDescent="0.2">
      <c r="A349" s="17">
        <v>36708</v>
      </c>
      <c r="B349" s="59">
        <f>VLOOKUP(Table16[[#This Row],[Date]],database!A:H,4,)</f>
        <v>87.881299999999996</v>
      </c>
      <c r="C349" s="67">
        <f t="shared" si="5"/>
        <v>5.9511408928885068E-3</v>
      </c>
      <c r="D349" s="67">
        <f>(Table16[[#This Row],[Index]]-B337)/B337</f>
        <v>8.7202548479881237E-2</v>
      </c>
    </row>
    <row r="350" spans="1:4" x14ac:dyDescent="0.2">
      <c r="A350" s="17">
        <v>36739</v>
      </c>
      <c r="B350" s="59">
        <f>VLOOKUP(Table16[[#This Row],[Date]],database!A:H,4,)</f>
        <v>87.456100000000006</v>
      </c>
      <c r="C350" s="67">
        <f t="shared" si="5"/>
        <v>-4.838344448705123E-3</v>
      </c>
      <c r="D350" s="67">
        <f>(Table16[[#This Row],[Index]]-B338)/B338</f>
        <v>7.4525988322947267E-2</v>
      </c>
    </row>
    <row r="351" spans="1:4" x14ac:dyDescent="0.2">
      <c r="A351" s="17">
        <v>36770</v>
      </c>
      <c r="B351" s="59">
        <f>VLOOKUP(Table16[[#This Row],[Date]],database!A:H,4,)</f>
        <v>88.231499999999997</v>
      </c>
      <c r="C351" s="67">
        <f t="shared" si="5"/>
        <v>8.8661625661330401E-3</v>
      </c>
      <c r="D351" s="67">
        <f>(Table16[[#This Row],[Index]]-B339)/B339</f>
        <v>8.8977972730964139E-2</v>
      </c>
    </row>
    <row r="352" spans="1:4" x14ac:dyDescent="0.2">
      <c r="A352" s="17">
        <v>36800</v>
      </c>
      <c r="B352" s="59">
        <f>VLOOKUP(Table16[[#This Row],[Date]],database!A:H,4,)</f>
        <v>88.269300000000001</v>
      </c>
      <c r="C352" s="67">
        <f t="shared" si="5"/>
        <v>4.2841842199226043E-4</v>
      </c>
      <c r="D352" s="67">
        <f>(Table16[[#This Row],[Index]]-B340)/B340</f>
        <v>8.0603340629636783E-2</v>
      </c>
    </row>
    <row r="353" spans="1:4" x14ac:dyDescent="0.2">
      <c r="A353" s="17">
        <v>36831</v>
      </c>
      <c r="B353" s="59">
        <f>VLOOKUP(Table16[[#This Row],[Date]],database!A:H,4,)</f>
        <v>88.028599999999997</v>
      </c>
      <c r="C353" s="67">
        <f t="shared" si="5"/>
        <v>-2.7268823928591202E-3</v>
      </c>
      <c r="D353" s="67">
        <f>(Table16[[#This Row],[Index]]-B341)/B341</f>
        <v>7.6257406035353373E-2</v>
      </c>
    </row>
    <row r="354" spans="1:4" x14ac:dyDescent="0.2">
      <c r="A354" s="17">
        <v>36861</v>
      </c>
      <c r="B354" s="59">
        <f>VLOOKUP(Table16[[#This Row],[Date]],database!A:H,4,)</f>
        <v>87.350999999999999</v>
      </c>
      <c r="C354" s="67">
        <f t="shared" si="5"/>
        <v>-7.6974983130482233E-3</v>
      </c>
      <c r="D354" s="67">
        <f>(Table16[[#This Row],[Index]]-B342)/B342</f>
        <v>5.9284060716230325E-2</v>
      </c>
    </row>
    <row r="355" spans="1:4" x14ac:dyDescent="0.2">
      <c r="A355" s="17">
        <v>36892</v>
      </c>
      <c r="B355" s="59">
        <f>VLOOKUP(Table16[[#This Row],[Date]],database!A:H,4,)</f>
        <v>87.345100000000002</v>
      </c>
      <c r="C355" s="67">
        <f t="shared" si="5"/>
        <v>-6.7543588510687869E-5</v>
      </c>
      <c r="D355" s="67">
        <f>(Table16[[#This Row],[Index]]-B343)/B343</f>
        <v>4.3276609823713952E-2</v>
      </c>
    </row>
    <row r="356" spans="1:4" x14ac:dyDescent="0.2">
      <c r="A356" s="17">
        <v>36923</v>
      </c>
      <c r="B356" s="59">
        <f>VLOOKUP(Table16[[#This Row],[Date]],database!A:H,4,)</f>
        <v>86.743200000000002</v>
      </c>
      <c r="C356" s="67">
        <f t="shared" si="5"/>
        <v>-6.89105628134834E-3</v>
      </c>
      <c r="D356" s="67">
        <f>(Table16[[#This Row],[Index]]-B344)/B344</f>
        <v>2.8188196303921925E-2</v>
      </c>
    </row>
    <row r="357" spans="1:4" x14ac:dyDescent="0.2">
      <c r="A357" s="17">
        <v>36951</v>
      </c>
      <c r="B357" s="59">
        <f>VLOOKUP(Table16[[#This Row],[Date]],database!A:H,4,)</f>
        <v>86.126300000000001</v>
      </c>
      <c r="C357" s="67">
        <f t="shared" si="5"/>
        <v>-7.1117966595652948E-3</v>
      </c>
      <c r="D357" s="67">
        <f>(Table16[[#This Row],[Index]]-B345)/B345</f>
        <v>6.9894830378178802E-3</v>
      </c>
    </row>
    <row r="358" spans="1:4" x14ac:dyDescent="0.2">
      <c r="A358" s="17">
        <v>36982</v>
      </c>
      <c r="B358" s="59">
        <f>VLOOKUP(Table16[[#This Row],[Date]],database!A:H,4,)</f>
        <v>84.181399999999996</v>
      </c>
      <c r="C358" s="67">
        <f t="shared" si="5"/>
        <v>-2.2581952318861953E-2</v>
      </c>
      <c r="D358" s="67">
        <f>(Table16[[#This Row],[Index]]-B346)/B346</f>
        <v>-2.6523272622145107E-2</v>
      </c>
    </row>
    <row r="359" spans="1:4" x14ac:dyDescent="0.2">
      <c r="A359" s="17">
        <v>37012</v>
      </c>
      <c r="B359" s="59">
        <f>VLOOKUP(Table16[[#This Row],[Date]],database!A:H,4,)</f>
        <v>82.766800000000003</v>
      </c>
      <c r="C359" s="67">
        <f t="shared" si="5"/>
        <v>-1.6804187148229843E-2</v>
      </c>
      <c r="D359" s="67">
        <f>(Table16[[#This Row],[Index]]-B347)/B347</f>
        <v>-5.1402950999291694E-2</v>
      </c>
    </row>
    <row r="360" spans="1:4" x14ac:dyDescent="0.2">
      <c r="A360" s="17">
        <v>37043</v>
      </c>
      <c r="B360" s="59">
        <f>VLOOKUP(Table16[[#This Row],[Date]],database!A:H,4,)</f>
        <v>81.718599999999995</v>
      </c>
      <c r="C360" s="67">
        <f t="shared" si="5"/>
        <v>-1.2664498325415607E-2</v>
      </c>
      <c r="D360" s="67">
        <f>(Table16[[#This Row],[Index]]-B348)/B348</f>
        <v>-6.4591455723008201E-2</v>
      </c>
    </row>
    <row r="361" spans="1:4" x14ac:dyDescent="0.2">
      <c r="A361" s="17">
        <v>37073</v>
      </c>
      <c r="B361" s="59">
        <f>VLOOKUP(Table16[[#This Row],[Date]],database!A:H,4,)</f>
        <v>80.889300000000006</v>
      </c>
      <c r="C361" s="67">
        <f t="shared" si="5"/>
        <v>-1.0148240425068344E-2</v>
      </c>
      <c r="D361" s="67">
        <f>(Table16[[#This Row],[Index]]-B349)/B349</f>
        <v>-7.9561863559141605E-2</v>
      </c>
    </row>
    <row r="362" spans="1:4" x14ac:dyDescent="0.2">
      <c r="A362" s="17">
        <v>37104</v>
      </c>
      <c r="B362" s="59">
        <f>VLOOKUP(Table16[[#This Row],[Date]],database!A:H,4,)</f>
        <v>79.374700000000004</v>
      </c>
      <c r="C362" s="67">
        <f t="shared" si="5"/>
        <v>-1.8724355384457492E-2</v>
      </c>
      <c r="D362" s="67">
        <f>(Table16[[#This Row],[Index]]-B350)/B350</f>
        <v>-9.2405218160883026E-2</v>
      </c>
    </row>
    <row r="363" spans="1:4" x14ac:dyDescent="0.2">
      <c r="A363" s="17">
        <v>37135</v>
      </c>
      <c r="B363" s="59">
        <f>VLOOKUP(Table16[[#This Row],[Date]],database!A:H,4,)</f>
        <v>78.086100000000002</v>
      </c>
      <c r="C363" s="67">
        <f t="shared" si="5"/>
        <v>-1.6234392066993619E-2</v>
      </c>
      <c r="D363" s="67">
        <f>(Table16[[#This Row],[Index]]-B351)/B351</f>
        <v>-0.11498614440420933</v>
      </c>
    </row>
    <row r="364" spans="1:4" x14ac:dyDescent="0.2">
      <c r="A364" s="17">
        <v>37165</v>
      </c>
      <c r="B364" s="59">
        <f>VLOOKUP(Table16[[#This Row],[Date]],database!A:H,4,)</f>
        <v>77.004900000000006</v>
      </c>
      <c r="C364" s="67">
        <f t="shared" si="5"/>
        <v>-1.384625432695441E-2</v>
      </c>
      <c r="D364" s="67">
        <f>(Table16[[#This Row],[Index]]-B352)/B352</f>
        <v>-0.12761401755763324</v>
      </c>
    </row>
    <row r="365" spans="1:4" x14ac:dyDescent="0.2">
      <c r="A365" s="17">
        <v>37196</v>
      </c>
      <c r="B365" s="59">
        <f>VLOOKUP(Table16[[#This Row],[Date]],database!A:H,4,)</f>
        <v>76.343299999999999</v>
      </c>
      <c r="C365" s="67">
        <f t="shared" si="5"/>
        <v>-8.5916610501410862E-3</v>
      </c>
      <c r="D365" s="67">
        <f>(Table16[[#This Row],[Index]]-B353)/B353</f>
        <v>-0.13274435808362281</v>
      </c>
    </row>
    <row r="366" spans="1:4" x14ac:dyDescent="0.2">
      <c r="A366" s="17">
        <v>37226</v>
      </c>
      <c r="B366" s="59">
        <f>VLOOKUP(Table16[[#This Row],[Date]],database!A:H,4,)</f>
        <v>75.575299999999999</v>
      </c>
      <c r="C366" s="67">
        <f t="shared" si="5"/>
        <v>-1.0059821883518283E-2</v>
      </c>
      <c r="D366" s="67">
        <f>(Table16[[#This Row],[Index]]-B354)/B354</f>
        <v>-0.13480898902130486</v>
      </c>
    </row>
    <row r="367" spans="1:4" x14ac:dyDescent="0.2">
      <c r="A367" s="17">
        <v>37257</v>
      </c>
      <c r="B367" s="59">
        <f>VLOOKUP(Table16[[#This Row],[Date]],database!A:H,4,)</f>
        <v>75.394400000000005</v>
      </c>
      <c r="C367" s="67">
        <f t="shared" si="5"/>
        <v>-2.3936391916405952E-3</v>
      </c>
      <c r="D367" s="67">
        <f>(Table16[[#This Row],[Index]]-B355)/B355</f>
        <v>-0.13682164196961247</v>
      </c>
    </row>
    <row r="368" spans="1:4" x14ac:dyDescent="0.2">
      <c r="A368" s="17">
        <v>37288</v>
      </c>
      <c r="B368" s="59">
        <f>VLOOKUP(Table16[[#This Row],[Date]],database!A:H,4,)</f>
        <v>75.209599999999995</v>
      </c>
      <c r="C368" s="67">
        <f t="shared" si="5"/>
        <v>-2.4511104272997297E-3</v>
      </c>
      <c r="D368" s="67">
        <f>(Table16[[#This Row],[Index]]-B356)/B356</f>
        <v>-0.13296258381060425</v>
      </c>
    </row>
    <row r="369" spans="1:4" x14ac:dyDescent="0.2">
      <c r="A369" s="17">
        <v>37316</v>
      </c>
      <c r="B369" s="59">
        <f>VLOOKUP(Table16[[#This Row],[Date]],database!A:H,4,)</f>
        <v>75.509699999999995</v>
      </c>
      <c r="C369" s="67">
        <f t="shared" si="5"/>
        <v>3.9901821044121544E-3</v>
      </c>
      <c r="D369" s="67">
        <f>(Table16[[#This Row],[Index]]-B357)/B357</f>
        <v>-0.12326780553675248</v>
      </c>
    </row>
    <row r="370" spans="1:4" x14ac:dyDescent="0.2">
      <c r="A370" s="17">
        <v>37347</v>
      </c>
      <c r="B370" s="59">
        <f>VLOOKUP(Table16[[#This Row],[Date]],database!A:H,4,)</f>
        <v>75.190299999999993</v>
      </c>
      <c r="C370" s="67">
        <f t="shared" si="5"/>
        <v>-4.2299201294668798E-3</v>
      </c>
      <c r="D370" s="67">
        <f>(Table16[[#This Row],[Index]]-B358)/B358</f>
        <v>-0.10680625411314142</v>
      </c>
    </row>
    <row r="371" spans="1:4" x14ac:dyDescent="0.2">
      <c r="A371" s="17">
        <v>37377</v>
      </c>
      <c r="B371" s="59">
        <f>VLOOKUP(Table16[[#This Row],[Date]],database!A:H,4,)</f>
        <v>75.532399999999996</v>
      </c>
      <c r="C371" s="67">
        <f t="shared" si="5"/>
        <v>4.5497890020389509E-3</v>
      </c>
      <c r="D371" s="67">
        <f>(Table16[[#This Row],[Index]]-B359)/B359</f>
        <v>-8.7407027938738807E-2</v>
      </c>
    </row>
    <row r="372" spans="1:4" x14ac:dyDescent="0.2">
      <c r="A372" s="17">
        <v>37408</v>
      </c>
      <c r="B372" s="59">
        <f>VLOOKUP(Table16[[#This Row],[Date]],database!A:H,4,)</f>
        <v>76.034400000000005</v>
      </c>
      <c r="C372" s="67">
        <f t="shared" si="5"/>
        <v>6.6461544979374843E-3</v>
      </c>
      <c r="D372" s="67">
        <f>(Table16[[#This Row],[Index]]-B360)/B360</f>
        <v>-6.9558215632671019E-2</v>
      </c>
    </row>
    <row r="373" spans="1:4" x14ac:dyDescent="0.2">
      <c r="A373" s="17">
        <v>37438</v>
      </c>
      <c r="B373" s="59">
        <f>VLOOKUP(Table16[[#This Row],[Date]],database!A:H,4,)</f>
        <v>75.849800000000002</v>
      </c>
      <c r="C373" s="67">
        <f t="shared" si="5"/>
        <v>-2.4278484475448447E-3</v>
      </c>
      <c r="D373" s="67">
        <f>(Table16[[#This Row],[Index]]-B361)/B361</f>
        <v>-6.230119434832547E-2</v>
      </c>
    </row>
    <row r="374" spans="1:4" x14ac:dyDescent="0.2">
      <c r="A374" s="17">
        <v>37469</v>
      </c>
      <c r="B374" s="59">
        <f>VLOOKUP(Table16[[#This Row],[Date]],database!A:H,4,)</f>
        <v>76.166600000000003</v>
      </c>
      <c r="C374" s="67">
        <f t="shared" si="5"/>
        <v>4.1766754823349128E-3</v>
      </c>
      <c r="D374" s="67">
        <f>(Table16[[#This Row],[Index]]-B362)/B362</f>
        <v>-4.0417160631788233E-2</v>
      </c>
    </row>
    <row r="375" spans="1:4" x14ac:dyDescent="0.2">
      <c r="A375" s="17">
        <v>37500</v>
      </c>
      <c r="B375" s="59">
        <f>VLOOKUP(Table16[[#This Row],[Date]],database!A:H,4,)</f>
        <v>76.222399999999993</v>
      </c>
      <c r="C375" s="67">
        <f t="shared" si="5"/>
        <v>7.3260457996005002E-4</v>
      </c>
      <c r="D375" s="67">
        <f>(Table16[[#This Row],[Index]]-B363)/B363</f>
        <v>-2.3867243978121695E-2</v>
      </c>
    </row>
    <row r="376" spans="1:4" x14ac:dyDescent="0.2">
      <c r="A376" s="17">
        <v>37530</v>
      </c>
      <c r="B376" s="59">
        <f>VLOOKUP(Table16[[#This Row],[Date]],database!A:H,4,)</f>
        <v>75.906700000000001</v>
      </c>
      <c r="C376" s="67">
        <f t="shared" si="5"/>
        <v>-4.1418270744556507E-3</v>
      </c>
      <c r="D376" s="67">
        <f>(Table16[[#This Row],[Index]]-B364)/B364</f>
        <v>-1.4261430116784848E-2</v>
      </c>
    </row>
    <row r="377" spans="1:4" x14ac:dyDescent="0.2">
      <c r="A377" s="17">
        <v>37561</v>
      </c>
      <c r="B377" s="59">
        <f>VLOOKUP(Table16[[#This Row],[Date]],database!A:H,4,)</f>
        <v>76.201999999999998</v>
      </c>
      <c r="C377" s="67">
        <f t="shared" si="5"/>
        <v>3.8903021735894328E-3</v>
      </c>
      <c r="D377" s="67">
        <f>(Table16[[#This Row],[Index]]-B365)/B365</f>
        <v>-1.8508500418504452E-3</v>
      </c>
    </row>
    <row r="378" spans="1:4" x14ac:dyDescent="0.2">
      <c r="A378" s="17">
        <v>37591</v>
      </c>
      <c r="B378" s="59">
        <f>VLOOKUP(Table16[[#This Row],[Date]],database!A:H,4,)</f>
        <v>75.353200000000001</v>
      </c>
      <c r="C378" s="67">
        <f t="shared" si="5"/>
        <v>-1.1138815254192802E-2</v>
      </c>
      <c r="D378" s="67">
        <f>(Table16[[#This Row],[Index]]-B366)/B366</f>
        <v>-2.9387908483326898E-3</v>
      </c>
    </row>
    <row r="379" spans="1:4" x14ac:dyDescent="0.2">
      <c r="A379" s="17">
        <v>37622</v>
      </c>
      <c r="B379" s="59">
        <f>VLOOKUP(Table16[[#This Row],[Date]],database!A:H,4,)</f>
        <v>75.582999999999998</v>
      </c>
      <c r="C379" s="67">
        <f t="shared" si="5"/>
        <v>3.0496382369957775E-3</v>
      </c>
      <c r="D379" s="67">
        <f>(Table16[[#This Row],[Index]]-B367)/B367</f>
        <v>2.5015120486401362E-3</v>
      </c>
    </row>
    <row r="380" spans="1:4" x14ac:dyDescent="0.2">
      <c r="A380" s="17">
        <v>37653</v>
      </c>
      <c r="B380" s="59">
        <f>VLOOKUP(Table16[[#This Row],[Date]],database!A:H,4,)</f>
        <v>75.572400000000002</v>
      </c>
      <c r="C380" s="67">
        <f t="shared" si="5"/>
        <v>-1.4024317637562067E-4</v>
      </c>
      <c r="D380" s="67">
        <f>(Table16[[#This Row],[Index]]-B368)/B368</f>
        <v>4.8238522741778592E-3</v>
      </c>
    </row>
    <row r="381" spans="1:4" x14ac:dyDescent="0.2">
      <c r="A381" s="17">
        <v>37681</v>
      </c>
      <c r="B381" s="59">
        <f>VLOOKUP(Table16[[#This Row],[Date]],database!A:H,4,)</f>
        <v>75.6875</v>
      </c>
      <c r="C381" s="67">
        <f t="shared" si="5"/>
        <v>1.5230428039865185E-3</v>
      </c>
      <c r="D381" s="67">
        <f>(Table16[[#This Row],[Index]]-B369)/B369</f>
        <v>2.3546643676243561E-3</v>
      </c>
    </row>
    <row r="382" spans="1:4" x14ac:dyDescent="0.2">
      <c r="A382" s="17">
        <v>37712</v>
      </c>
      <c r="B382" s="59">
        <f>VLOOKUP(Table16[[#This Row],[Date]],database!A:H,4,)</f>
        <v>74.978499999999997</v>
      </c>
      <c r="C382" s="67">
        <f t="shared" si="5"/>
        <v>-9.3674649050371483E-3</v>
      </c>
      <c r="D382" s="67">
        <f>(Table16[[#This Row],[Index]]-B370)/B370</f>
        <v>-2.8168527057346052E-3</v>
      </c>
    </row>
    <row r="383" spans="1:4" x14ac:dyDescent="0.2">
      <c r="A383" s="17">
        <v>37742</v>
      </c>
      <c r="B383" s="59">
        <f>VLOOKUP(Table16[[#This Row],[Date]],database!A:H,4,)</f>
        <v>74.928100000000001</v>
      </c>
      <c r="C383" s="67">
        <f t="shared" si="5"/>
        <v>-6.7219269523921543E-4</v>
      </c>
      <c r="D383" s="67">
        <f>(Table16[[#This Row],[Index]]-B371)/B371</f>
        <v>-8.0005401655447866E-3</v>
      </c>
    </row>
    <row r="384" spans="1:4" x14ac:dyDescent="0.2">
      <c r="A384" s="17">
        <v>37773</v>
      </c>
      <c r="B384" s="59">
        <f>VLOOKUP(Table16[[#This Row],[Date]],database!A:H,4,)</f>
        <v>75.217699999999994</v>
      </c>
      <c r="C384" s="67">
        <f t="shared" si="5"/>
        <v>3.8650386170206996E-3</v>
      </c>
      <c r="D384" s="67">
        <f>(Table16[[#This Row],[Index]]-B372)/B372</f>
        <v>-1.0741190829414205E-2</v>
      </c>
    </row>
    <row r="385" spans="1:4" x14ac:dyDescent="0.2">
      <c r="A385" s="17">
        <v>37803</v>
      </c>
      <c r="B385" s="59">
        <f>VLOOKUP(Table16[[#This Row],[Date]],database!A:H,4,)</f>
        <v>75.5899</v>
      </c>
      <c r="C385" s="67">
        <f t="shared" si="5"/>
        <v>4.9483033913562124E-3</v>
      </c>
      <c r="D385" s="67">
        <f>(Table16[[#This Row],[Index]]-B373)/B373</f>
        <v>-3.4265087053624637E-3</v>
      </c>
    </row>
    <row r="386" spans="1:4" x14ac:dyDescent="0.2">
      <c r="A386" s="17">
        <v>37834</v>
      </c>
      <c r="B386" s="59">
        <f>VLOOKUP(Table16[[#This Row],[Date]],database!A:H,4,)</f>
        <v>75.667199999999994</v>
      </c>
      <c r="C386" s="67">
        <f t="shared" si="5"/>
        <v>1.0226233928076756E-3</v>
      </c>
      <c r="D386" s="67">
        <f>(Table16[[#This Row],[Index]]-B374)/B374</f>
        <v>-6.5566796995009426E-3</v>
      </c>
    </row>
    <row r="387" spans="1:4" x14ac:dyDescent="0.2">
      <c r="A387" s="17">
        <v>37865</v>
      </c>
      <c r="B387" s="59">
        <f>VLOOKUP(Table16[[#This Row],[Date]],database!A:H,4,)</f>
        <v>76.548100000000005</v>
      </c>
      <c r="C387" s="67">
        <f t="shared" si="5"/>
        <v>1.1641768163748845E-2</v>
      </c>
      <c r="D387" s="67">
        <f>(Table16[[#This Row],[Index]]-B375)/B375</f>
        <v>4.27302210373869E-3</v>
      </c>
    </row>
    <row r="388" spans="1:4" x14ac:dyDescent="0.2">
      <c r="A388" s="17">
        <v>37895</v>
      </c>
      <c r="B388" s="59">
        <f>VLOOKUP(Table16[[#This Row],[Date]],database!A:H,4,)</f>
        <v>76.364400000000003</v>
      </c>
      <c r="C388" s="67">
        <f t="shared" si="5"/>
        <v>-2.3997982967571829E-3</v>
      </c>
      <c r="D388" s="67">
        <f>(Table16[[#This Row],[Index]]-B376)/B376</f>
        <v>6.0297707580490613E-3</v>
      </c>
    </row>
    <row r="389" spans="1:4" x14ac:dyDescent="0.2">
      <c r="A389" s="17">
        <v>37926</v>
      </c>
      <c r="B389" s="59">
        <f>VLOOKUP(Table16[[#This Row],[Date]],database!A:H,4,)</f>
        <v>77.644599999999997</v>
      </c>
      <c r="C389" s="67">
        <f t="shared" si="5"/>
        <v>1.6764356165962058E-2</v>
      </c>
      <c r="D389" s="67">
        <f>(Table16[[#This Row],[Index]]-B377)/B377</f>
        <v>1.8931261646675926E-2</v>
      </c>
    </row>
    <row r="390" spans="1:4" x14ac:dyDescent="0.2">
      <c r="A390" s="17">
        <v>37956</v>
      </c>
      <c r="B390" s="59">
        <f>VLOOKUP(Table16[[#This Row],[Date]],database!A:H,4,)</f>
        <v>77.554100000000005</v>
      </c>
      <c r="C390" s="67">
        <f t="shared" si="5"/>
        <v>-1.1655672126585914E-3</v>
      </c>
      <c r="D390" s="67">
        <f>(Table16[[#This Row],[Index]]-B378)/B378</f>
        <v>2.9207784141881223E-2</v>
      </c>
    </row>
    <row r="391" spans="1:4" x14ac:dyDescent="0.2">
      <c r="A391" s="17">
        <v>37987</v>
      </c>
      <c r="B391" s="59">
        <f>VLOOKUP(Table16[[#This Row],[Date]],database!A:H,4,)</f>
        <v>77.711799999999997</v>
      </c>
      <c r="C391" s="67">
        <f t="shared" si="5"/>
        <v>2.0334192518511873E-3</v>
      </c>
      <c r="D391" s="67">
        <f>(Table16[[#This Row],[Index]]-B379)/B379</f>
        <v>2.816506357249644E-2</v>
      </c>
    </row>
    <row r="392" spans="1:4" x14ac:dyDescent="0.2">
      <c r="A392" s="17">
        <v>38018</v>
      </c>
      <c r="B392" s="59">
        <f>VLOOKUP(Table16[[#This Row],[Date]],database!A:H,4,)</f>
        <v>78.707999999999998</v>
      </c>
      <c r="C392" s="67">
        <f t="shared" ref="C392:C455" si="6">B392/B391-1</f>
        <v>1.2819160024603704E-2</v>
      </c>
      <c r="D392" s="67">
        <f>(Table16[[#This Row],[Index]]-B380)/B380</f>
        <v>4.1491338107563031E-2</v>
      </c>
    </row>
    <row r="393" spans="1:4" x14ac:dyDescent="0.2">
      <c r="A393" s="17">
        <v>38047</v>
      </c>
      <c r="B393" s="59">
        <f>VLOOKUP(Table16[[#This Row],[Date]],database!A:H,4,)</f>
        <v>78.634799999999998</v>
      </c>
      <c r="C393" s="67">
        <f t="shared" si="6"/>
        <v>-9.3001982009455197E-4</v>
      </c>
      <c r="D393" s="67">
        <f>(Table16[[#This Row],[Index]]-B381)/B381</f>
        <v>3.8940379851362492E-2</v>
      </c>
    </row>
    <row r="394" spans="1:4" x14ac:dyDescent="0.2">
      <c r="A394" s="17">
        <v>38078</v>
      </c>
      <c r="B394" s="59">
        <f>VLOOKUP(Table16[[#This Row],[Date]],database!A:H,4,)</f>
        <v>78.767799999999994</v>
      </c>
      <c r="C394" s="67">
        <f t="shared" si="6"/>
        <v>1.6913631114976457E-3</v>
      </c>
      <c r="D394" s="67">
        <f>(Table16[[#This Row],[Index]]-B382)/B382</f>
        <v>5.053848769980724E-2</v>
      </c>
    </row>
    <row r="395" spans="1:4" x14ac:dyDescent="0.2">
      <c r="A395" s="17">
        <v>38108</v>
      </c>
      <c r="B395" s="59">
        <f>VLOOKUP(Table16[[#This Row],[Date]],database!A:H,4,)</f>
        <v>79.483400000000003</v>
      </c>
      <c r="C395" s="67">
        <f t="shared" si="6"/>
        <v>9.0849306442482014E-3</v>
      </c>
      <c r="D395" s="67">
        <f>(Table16[[#This Row],[Index]]-B383)/B383</f>
        <v>6.0795616063933328E-2</v>
      </c>
    </row>
    <row r="396" spans="1:4" x14ac:dyDescent="0.2">
      <c r="A396" s="17">
        <v>38139</v>
      </c>
      <c r="B396" s="59">
        <f>VLOOKUP(Table16[[#This Row],[Date]],database!A:H,4,)</f>
        <v>79.423000000000002</v>
      </c>
      <c r="C396" s="67">
        <f t="shared" si="6"/>
        <v>-7.5990710009887774E-4</v>
      </c>
      <c r="D396" s="67">
        <f>(Table16[[#This Row],[Index]]-B384)/B384</f>
        <v>5.590838326617284E-2</v>
      </c>
    </row>
    <row r="397" spans="1:4" x14ac:dyDescent="0.2">
      <c r="A397" s="17">
        <v>38169</v>
      </c>
      <c r="B397" s="59">
        <f>VLOOKUP(Table16[[#This Row],[Date]],database!A:H,4,)</f>
        <v>81.005899999999997</v>
      </c>
      <c r="C397" s="67">
        <f t="shared" si="6"/>
        <v>1.9929995089583485E-2</v>
      </c>
      <c r="D397" s="67">
        <f>(Table16[[#This Row],[Index]]-B385)/B385</f>
        <v>7.164978389970085E-2</v>
      </c>
    </row>
    <row r="398" spans="1:4" x14ac:dyDescent="0.2">
      <c r="A398" s="17">
        <v>38200</v>
      </c>
      <c r="B398" s="59">
        <f>VLOOKUP(Table16[[#This Row],[Date]],database!A:H,4,)</f>
        <v>80.715599999999995</v>
      </c>
      <c r="C398" s="67">
        <f t="shared" si="6"/>
        <v>-3.5836895831045101E-3</v>
      </c>
      <c r="D398" s="67">
        <f>(Table16[[#This Row],[Index]]-B386)/B386</f>
        <v>6.6718472468916531E-2</v>
      </c>
    </row>
    <row r="399" spans="1:4" x14ac:dyDescent="0.2">
      <c r="A399" s="17">
        <v>38231</v>
      </c>
      <c r="B399" s="59">
        <f>VLOOKUP(Table16[[#This Row],[Date]],database!A:H,4,)</f>
        <v>80.959800000000001</v>
      </c>
      <c r="C399" s="67">
        <f t="shared" si="6"/>
        <v>3.0254374619034241E-3</v>
      </c>
      <c r="D399" s="67">
        <f>(Table16[[#This Row],[Index]]-B387)/B387</f>
        <v>5.7633043798605003E-2</v>
      </c>
    </row>
    <row r="400" spans="1:4" x14ac:dyDescent="0.2">
      <c r="A400" s="17">
        <v>38261</v>
      </c>
      <c r="B400" s="59">
        <f>VLOOKUP(Table16[[#This Row],[Date]],database!A:H,4,)</f>
        <v>81.556899999999999</v>
      </c>
      <c r="C400" s="67">
        <f t="shared" si="6"/>
        <v>7.3752652551017928E-3</v>
      </c>
      <c r="D400" s="67">
        <f>(Table16[[#This Row],[Index]]-B388)/B388</f>
        <v>6.7996343846085286E-2</v>
      </c>
    </row>
    <row r="401" spans="1:4" x14ac:dyDescent="0.2">
      <c r="A401" s="17">
        <v>38292</v>
      </c>
      <c r="B401" s="59">
        <f>VLOOKUP(Table16[[#This Row],[Date]],database!A:H,4,)</f>
        <v>81.262600000000006</v>
      </c>
      <c r="C401" s="67">
        <f t="shared" si="6"/>
        <v>-3.6085236197058723E-3</v>
      </c>
      <c r="D401" s="67">
        <f>(Table16[[#This Row],[Index]]-B389)/B389</f>
        <v>4.6596930114908307E-2</v>
      </c>
    </row>
    <row r="402" spans="1:4" x14ac:dyDescent="0.2">
      <c r="A402" s="17">
        <v>38322</v>
      </c>
      <c r="B402" s="59">
        <f>VLOOKUP(Table16[[#This Row],[Date]],database!A:H,4,)</f>
        <v>82.098299999999995</v>
      </c>
      <c r="C402" s="67">
        <f t="shared" si="6"/>
        <v>1.0283943659198602E-2</v>
      </c>
      <c r="D402" s="67">
        <f>(Table16[[#This Row],[Index]]-B390)/B390</f>
        <v>5.8593936361842756E-2</v>
      </c>
    </row>
    <row r="403" spans="1:4" x14ac:dyDescent="0.2">
      <c r="A403" s="17">
        <v>38353</v>
      </c>
      <c r="B403" s="59">
        <f>VLOOKUP(Table16[[#This Row],[Date]],database!A:H,4,)</f>
        <v>83.449399999999997</v>
      </c>
      <c r="C403" s="67">
        <f t="shared" si="6"/>
        <v>1.6457100816947623E-2</v>
      </c>
      <c r="D403" s="67">
        <f>(Table16[[#This Row],[Index]]-B391)/B391</f>
        <v>7.3831773295689976E-2</v>
      </c>
    </row>
    <row r="404" spans="1:4" x14ac:dyDescent="0.2">
      <c r="A404" s="17">
        <v>38384</v>
      </c>
      <c r="B404" s="59">
        <f>VLOOKUP(Table16[[#This Row],[Date]],database!A:H,4,)</f>
        <v>84.333699999999993</v>
      </c>
      <c r="C404" s="67">
        <f t="shared" si="6"/>
        <v>1.0596840720244805E-2</v>
      </c>
      <c r="D404" s="67">
        <f>(Table16[[#This Row],[Index]]-B392)/B392</f>
        <v>7.1475580627128055E-2</v>
      </c>
    </row>
    <row r="405" spans="1:4" x14ac:dyDescent="0.2">
      <c r="A405" s="17">
        <v>38412</v>
      </c>
      <c r="B405" s="59">
        <f>VLOOKUP(Table16[[#This Row],[Date]],database!A:H,4,)</f>
        <v>84.339399999999998</v>
      </c>
      <c r="C405" s="67">
        <f t="shared" si="6"/>
        <v>6.7588638942739365E-5</v>
      </c>
      <c r="D405" s="67">
        <f>(Table16[[#This Row],[Index]]-B393)/B393</f>
        <v>7.254548876578816E-2</v>
      </c>
    </row>
    <row r="406" spans="1:4" x14ac:dyDescent="0.2">
      <c r="A406" s="17">
        <v>38443</v>
      </c>
      <c r="B406" s="59">
        <f>VLOOKUP(Table16[[#This Row],[Date]],database!A:H,4,)</f>
        <v>85.342699999999994</v>
      </c>
      <c r="C406" s="67">
        <f t="shared" si="6"/>
        <v>1.1895982186261644E-2</v>
      </c>
      <c r="D406" s="67">
        <f>(Table16[[#This Row],[Index]]-B394)/B394</f>
        <v>8.3471926345537142E-2</v>
      </c>
    </row>
    <row r="407" spans="1:4" x14ac:dyDescent="0.2">
      <c r="A407" s="17">
        <v>38473</v>
      </c>
      <c r="B407" s="59">
        <f>VLOOKUP(Table16[[#This Row],[Date]],database!A:H,4,)</f>
        <v>86.06</v>
      </c>
      <c r="C407" s="67">
        <f t="shared" si="6"/>
        <v>8.4049368018590531E-3</v>
      </c>
      <c r="D407" s="67">
        <f>(Table16[[#This Row],[Index]]-B395)/B395</f>
        <v>8.2741805207124999E-2</v>
      </c>
    </row>
    <row r="408" spans="1:4" x14ac:dyDescent="0.2">
      <c r="A408" s="17">
        <v>38504</v>
      </c>
      <c r="B408" s="59">
        <f>VLOOKUP(Table16[[#This Row],[Date]],database!A:H,4,)</f>
        <v>85.8553</v>
      </c>
      <c r="C408" s="67">
        <f t="shared" si="6"/>
        <v>-2.3785730885429457E-3</v>
      </c>
      <c r="D408" s="67">
        <f>(Table16[[#This Row],[Index]]-B396)/B396</f>
        <v>8.0987875048789362E-2</v>
      </c>
    </row>
    <row r="409" spans="1:4" x14ac:dyDescent="0.2">
      <c r="A409" s="17">
        <v>38534</v>
      </c>
      <c r="B409" s="59">
        <f>VLOOKUP(Table16[[#This Row],[Date]],database!A:H,4,)</f>
        <v>85.418499999999995</v>
      </c>
      <c r="C409" s="67">
        <f t="shared" si="6"/>
        <v>-5.0876300007105524E-3</v>
      </c>
      <c r="D409" s="67">
        <f>(Table16[[#This Row],[Index]]-B397)/B397</f>
        <v>5.4472575454380459E-2</v>
      </c>
    </row>
    <row r="410" spans="1:4" x14ac:dyDescent="0.2">
      <c r="A410" s="17">
        <v>38565</v>
      </c>
      <c r="B410" s="59">
        <f>VLOOKUP(Table16[[#This Row],[Date]],database!A:H,4,)</f>
        <v>86.521500000000003</v>
      </c>
      <c r="C410" s="67">
        <f t="shared" si="6"/>
        <v>1.2912893576918494E-2</v>
      </c>
      <c r="D410" s="67">
        <f>(Table16[[#This Row],[Index]]-B398)/B398</f>
        <v>7.1930333169796287E-2</v>
      </c>
    </row>
    <row r="411" spans="1:4" x14ac:dyDescent="0.2">
      <c r="A411" s="17">
        <v>38596</v>
      </c>
      <c r="B411" s="59">
        <f>VLOOKUP(Table16[[#This Row],[Date]],database!A:H,4,)</f>
        <v>83.894099999999995</v>
      </c>
      <c r="C411" s="67">
        <f t="shared" si="6"/>
        <v>-3.0367018602312834E-2</v>
      </c>
      <c r="D411" s="67">
        <f>(Table16[[#This Row],[Index]]-B399)/B399</f>
        <v>3.6243913646031647E-2</v>
      </c>
    </row>
    <row r="412" spans="1:4" x14ac:dyDescent="0.2">
      <c r="A412" s="17">
        <v>38626</v>
      </c>
      <c r="B412" s="59">
        <f>VLOOKUP(Table16[[#This Row],[Date]],database!A:H,4,)</f>
        <v>88.3566</v>
      </c>
      <c r="C412" s="67">
        <f t="shared" si="6"/>
        <v>5.319205998991583E-2</v>
      </c>
      <c r="D412" s="67">
        <f>(Table16[[#This Row],[Index]]-B400)/B400</f>
        <v>8.337369370341445E-2</v>
      </c>
    </row>
    <row r="413" spans="1:4" x14ac:dyDescent="0.2">
      <c r="A413" s="17">
        <v>38657</v>
      </c>
      <c r="B413" s="59">
        <f>VLOOKUP(Table16[[#This Row],[Date]],database!A:H,4,)</f>
        <v>89.606300000000005</v>
      </c>
      <c r="C413" s="67">
        <f t="shared" si="6"/>
        <v>1.4143821740537854E-2</v>
      </c>
      <c r="D413" s="67">
        <f>(Table16[[#This Row],[Index]]-B401)/B401</f>
        <v>0.10267576966525804</v>
      </c>
    </row>
    <row r="414" spans="1:4" x14ac:dyDescent="0.2">
      <c r="A414" s="17">
        <v>38687</v>
      </c>
      <c r="B414" s="59">
        <f>VLOOKUP(Table16[[#This Row],[Date]],database!A:H,4,)</f>
        <v>88.916200000000003</v>
      </c>
      <c r="C414" s="67">
        <f t="shared" si="6"/>
        <v>-7.7014674191435706E-3</v>
      </c>
      <c r="D414" s="67">
        <f>(Table16[[#This Row],[Index]]-B402)/B402</f>
        <v>8.304556854405036E-2</v>
      </c>
    </row>
    <row r="415" spans="1:4" x14ac:dyDescent="0.2">
      <c r="A415" s="17">
        <v>38718</v>
      </c>
      <c r="B415" s="59">
        <f>VLOOKUP(Table16[[#This Row],[Date]],database!A:H,4,)</f>
        <v>90.540099999999995</v>
      </c>
      <c r="C415" s="67">
        <f t="shared" si="6"/>
        <v>1.8263263612255054E-2</v>
      </c>
      <c r="D415" s="67">
        <f>(Table16[[#This Row],[Index]]-B403)/B403</f>
        <v>8.4970053709193819E-2</v>
      </c>
    </row>
    <row r="416" spans="1:4" x14ac:dyDescent="0.2">
      <c r="A416" s="17">
        <v>38749</v>
      </c>
      <c r="B416" s="59">
        <f>VLOOKUP(Table16[[#This Row],[Date]],database!A:H,4,)</f>
        <v>90.876499999999993</v>
      </c>
      <c r="C416" s="67">
        <f t="shared" si="6"/>
        <v>3.7154807648764887E-3</v>
      </c>
      <c r="D416" s="67">
        <f>(Table16[[#This Row],[Index]]-B404)/B404</f>
        <v>7.7582271381428786E-2</v>
      </c>
    </row>
    <row r="417" spans="1:4" x14ac:dyDescent="0.2">
      <c r="A417" s="17">
        <v>38777</v>
      </c>
      <c r="B417" s="59">
        <f>VLOOKUP(Table16[[#This Row],[Date]],database!A:H,4,)</f>
        <v>91.690299999999993</v>
      </c>
      <c r="C417" s="67">
        <f t="shared" si="6"/>
        <v>8.9550103712181528E-3</v>
      </c>
      <c r="D417" s="67">
        <f>(Table16[[#This Row],[Index]]-B405)/B405</f>
        <v>8.7158552230630001E-2</v>
      </c>
    </row>
    <row r="418" spans="1:4" x14ac:dyDescent="0.2">
      <c r="A418" s="17">
        <v>38808</v>
      </c>
      <c r="B418" s="59">
        <f>VLOOKUP(Table16[[#This Row],[Date]],database!A:H,4,)</f>
        <v>93.152199999999993</v>
      </c>
      <c r="C418" s="67">
        <f t="shared" si="6"/>
        <v>1.5943889375430009E-2</v>
      </c>
      <c r="D418" s="67">
        <f>(Table16[[#This Row],[Index]]-B406)/B406</f>
        <v>9.1507533743366454E-2</v>
      </c>
    </row>
    <row r="419" spans="1:4" x14ac:dyDescent="0.2">
      <c r="A419" s="17">
        <v>38838</v>
      </c>
      <c r="B419" s="59">
        <f>VLOOKUP(Table16[[#This Row],[Date]],database!A:H,4,)</f>
        <v>93.225899999999996</v>
      </c>
      <c r="C419" s="67">
        <f t="shared" si="6"/>
        <v>7.9117830818820067E-4</v>
      </c>
      <c r="D419" s="67">
        <f>(Table16[[#This Row],[Index]]-B407)/B407</f>
        <v>8.3266325819195838E-2</v>
      </c>
    </row>
    <row r="420" spans="1:4" x14ac:dyDescent="0.2">
      <c r="A420" s="17">
        <v>38869</v>
      </c>
      <c r="B420" s="59">
        <f>VLOOKUP(Table16[[#This Row],[Date]],database!A:H,4,)</f>
        <v>93.961600000000004</v>
      </c>
      <c r="C420" s="67">
        <f t="shared" si="6"/>
        <v>7.8915837766115882E-3</v>
      </c>
      <c r="D420" s="67">
        <f>(Table16[[#This Row],[Index]]-B408)/B408</f>
        <v>9.4418166379943977E-2</v>
      </c>
    </row>
    <row r="421" spans="1:4" x14ac:dyDescent="0.2">
      <c r="A421" s="17">
        <v>38899</v>
      </c>
      <c r="B421" s="59">
        <f>VLOOKUP(Table16[[#This Row],[Date]],database!A:H,4,)</f>
        <v>94.717299999999994</v>
      </c>
      <c r="C421" s="67">
        <f t="shared" si="6"/>
        <v>8.0426472090724399E-3</v>
      </c>
      <c r="D421" s="67">
        <f>(Table16[[#This Row],[Index]]-B409)/B409</f>
        <v>0.10886166345697947</v>
      </c>
    </row>
    <row r="422" spans="1:4" x14ac:dyDescent="0.2">
      <c r="A422" s="17">
        <v>38930</v>
      </c>
      <c r="B422" s="59">
        <f>VLOOKUP(Table16[[#This Row],[Date]],database!A:H,4,)</f>
        <v>95.498400000000004</v>
      </c>
      <c r="C422" s="67">
        <f t="shared" si="6"/>
        <v>8.246645544161435E-3</v>
      </c>
      <c r="D422" s="67">
        <f>(Table16[[#This Row],[Index]]-B410)/B410</f>
        <v>0.10375340233352404</v>
      </c>
    </row>
    <row r="423" spans="1:4" x14ac:dyDescent="0.2">
      <c r="A423" s="17">
        <v>38961</v>
      </c>
      <c r="B423" s="59">
        <f>VLOOKUP(Table16[[#This Row],[Date]],database!A:H,4,)</f>
        <v>95.570599999999999</v>
      </c>
      <c r="C423" s="67">
        <f t="shared" si="6"/>
        <v>7.5603360894005434E-4</v>
      </c>
      <c r="D423" s="67">
        <f>(Table16[[#This Row],[Index]]-B411)/B411</f>
        <v>0.139181420385939</v>
      </c>
    </row>
    <row r="424" spans="1:4" x14ac:dyDescent="0.2">
      <c r="A424" s="17">
        <v>38991</v>
      </c>
      <c r="B424" s="59">
        <f>VLOOKUP(Table16[[#This Row],[Date]],database!A:H,4,)</f>
        <v>95.825900000000004</v>
      </c>
      <c r="C424" s="67">
        <f t="shared" si="6"/>
        <v>2.6713236078879099E-3</v>
      </c>
      <c r="D424" s="67">
        <f>(Table16[[#This Row],[Index]]-B412)/B412</f>
        <v>8.4535846784507374E-2</v>
      </c>
    </row>
    <row r="425" spans="1:4" x14ac:dyDescent="0.2">
      <c r="A425" s="17">
        <v>39022</v>
      </c>
      <c r="B425" s="59">
        <f>VLOOKUP(Table16[[#This Row],[Date]],database!A:H,4,)</f>
        <v>96.222999999999999</v>
      </c>
      <c r="C425" s="67">
        <f t="shared" si="6"/>
        <v>4.1439736021262608E-3</v>
      </c>
      <c r="D425" s="67">
        <f>(Table16[[#This Row],[Index]]-B413)/B413</f>
        <v>7.3841906205255589E-2</v>
      </c>
    </row>
    <row r="426" spans="1:4" x14ac:dyDescent="0.2">
      <c r="A426" s="17">
        <v>39052</v>
      </c>
      <c r="B426" s="59">
        <f>VLOOKUP(Table16[[#This Row],[Date]],database!A:H,4,)</f>
        <v>97.725300000000004</v>
      </c>
      <c r="C426" s="67">
        <f t="shared" si="6"/>
        <v>1.5612691352379526E-2</v>
      </c>
      <c r="D426" s="67">
        <f>(Table16[[#This Row],[Index]]-B414)/B414</f>
        <v>9.907193514792581E-2</v>
      </c>
    </row>
    <row r="427" spans="1:4" x14ac:dyDescent="0.2">
      <c r="A427" s="17">
        <v>39083</v>
      </c>
      <c r="B427" s="59">
        <f>VLOOKUP(Table16[[#This Row],[Date]],database!A:H,4,)</f>
        <v>96.005399999999995</v>
      </c>
      <c r="C427" s="67">
        <f t="shared" si="6"/>
        <v>-1.7599332005120538E-2</v>
      </c>
      <c r="D427" s="67">
        <f>(Table16[[#This Row],[Index]]-B415)/B415</f>
        <v>6.0363308633412154E-2</v>
      </c>
    </row>
    <row r="428" spans="1:4" x14ac:dyDescent="0.2">
      <c r="A428" s="17">
        <v>39114</v>
      </c>
      <c r="B428" s="59">
        <f>VLOOKUP(Table16[[#This Row],[Date]],database!A:H,4,)</f>
        <v>96.770799999999994</v>
      </c>
      <c r="C428" s="67">
        <f t="shared" si="6"/>
        <v>7.9724682153294868E-3</v>
      </c>
      <c r="D428" s="67">
        <f>(Table16[[#This Row],[Index]]-B416)/B416</f>
        <v>6.4860552508074168E-2</v>
      </c>
    </row>
    <row r="429" spans="1:4" x14ac:dyDescent="0.2">
      <c r="A429" s="17">
        <v>39142</v>
      </c>
      <c r="B429" s="59">
        <f>VLOOKUP(Table16[[#This Row],[Date]],database!A:H,4,)</f>
        <v>98.581199999999995</v>
      </c>
      <c r="C429" s="67">
        <f t="shared" si="6"/>
        <v>1.8708122698169349E-2</v>
      </c>
      <c r="D429" s="67">
        <f>(Table16[[#This Row],[Index]]-B417)/B417</f>
        <v>7.5154078457590409E-2</v>
      </c>
    </row>
    <row r="430" spans="1:4" x14ac:dyDescent="0.2">
      <c r="A430" s="17">
        <v>39173</v>
      </c>
      <c r="B430" s="59">
        <f>VLOOKUP(Table16[[#This Row],[Date]],database!A:H,4,)</f>
        <v>99.577600000000004</v>
      </c>
      <c r="C430" s="67">
        <f t="shared" si="6"/>
        <v>1.0107403845763807E-2</v>
      </c>
      <c r="D430" s="67">
        <f>(Table16[[#This Row],[Index]]-B418)/B418</f>
        <v>6.8977436925805408E-2</v>
      </c>
    </row>
    <row r="431" spans="1:4" x14ac:dyDescent="0.2">
      <c r="A431" s="17">
        <v>39203</v>
      </c>
      <c r="B431" s="59">
        <f>VLOOKUP(Table16[[#This Row],[Date]],database!A:H,4,)</f>
        <v>99.6995</v>
      </c>
      <c r="C431" s="67">
        <f t="shared" si="6"/>
        <v>1.224170897872634E-3</v>
      </c>
      <c r="D431" s="67">
        <f>(Table16[[#This Row],[Index]]-B419)/B419</f>
        <v>6.9439930319793161E-2</v>
      </c>
    </row>
    <row r="432" spans="1:4" x14ac:dyDescent="0.2">
      <c r="A432" s="17">
        <v>39234</v>
      </c>
      <c r="B432" s="59">
        <f>VLOOKUP(Table16[[#This Row],[Date]],database!A:H,4,)</f>
        <v>99.687799999999996</v>
      </c>
      <c r="C432" s="67">
        <f t="shared" si="6"/>
        <v>-1.1735264469736606E-4</v>
      </c>
      <c r="D432" s="67">
        <f>(Table16[[#This Row],[Index]]-B420)/B420</f>
        <v>6.0941916697884999E-2</v>
      </c>
    </row>
    <row r="433" spans="1:4" x14ac:dyDescent="0.2">
      <c r="A433" s="17">
        <v>39264</v>
      </c>
      <c r="B433" s="59">
        <f>VLOOKUP(Table16[[#This Row],[Date]],database!A:H,4,)</f>
        <v>99.761700000000005</v>
      </c>
      <c r="C433" s="67">
        <f t="shared" si="6"/>
        <v>7.4131438350533152E-4</v>
      </c>
      <c r="D433" s="67">
        <f>(Table16[[#This Row],[Index]]-B421)/B421</f>
        <v>5.3257430268810559E-2</v>
      </c>
    </row>
    <row r="434" spans="1:4" x14ac:dyDescent="0.2">
      <c r="A434" s="17">
        <v>39295</v>
      </c>
      <c r="B434" s="59">
        <f>VLOOKUP(Table16[[#This Row],[Date]],database!A:H,4,)</f>
        <v>99.950100000000006</v>
      </c>
      <c r="C434" s="67">
        <f t="shared" si="6"/>
        <v>1.8885002962059083E-3</v>
      </c>
      <c r="D434" s="67">
        <f>(Table16[[#This Row],[Index]]-B422)/B422</f>
        <v>4.6615440677540171E-2</v>
      </c>
    </row>
    <row r="435" spans="1:4" x14ac:dyDescent="0.2">
      <c r="A435" s="17">
        <v>39326</v>
      </c>
      <c r="B435" s="59">
        <f>VLOOKUP(Table16[[#This Row],[Date]],database!A:H,4,)</f>
        <v>101.4502</v>
      </c>
      <c r="C435" s="67">
        <f t="shared" si="6"/>
        <v>1.500848923612863E-2</v>
      </c>
      <c r="D435" s="67">
        <f>(Table16[[#This Row],[Index]]-B423)/B423</f>
        <v>6.1521011691880102E-2</v>
      </c>
    </row>
    <row r="436" spans="1:4" x14ac:dyDescent="0.2">
      <c r="A436" s="17">
        <v>39356</v>
      </c>
      <c r="B436" s="59">
        <f>VLOOKUP(Table16[[#This Row],[Date]],database!A:H,4,)</f>
        <v>101.1163</v>
      </c>
      <c r="C436" s="67">
        <f t="shared" si="6"/>
        <v>-3.2912700024247954E-3</v>
      </c>
      <c r="D436" s="67">
        <f>(Table16[[#This Row],[Index]]-B424)/B424</f>
        <v>5.5208456168947963E-2</v>
      </c>
    </row>
    <row r="437" spans="1:4" x14ac:dyDescent="0.2">
      <c r="A437" s="17">
        <v>39387</v>
      </c>
      <c r="B437" s="59">
        <f>VLOOKUP(Table16[[#This Row],[Date]],database!A:H,4,)</f>
        <v>101.8745</v>
      </c>
      <c r="C437" s="67">
        <f t="shared" si="6"/>
        <v>7.4982965159919868E-3</v>
      </c>
      <c r="D437" s="67">
        <f>(Table16[[#This Row],[Index]]-B425)/B425</f>
        <v>5.8733358968230037E-2</v>
      </c>
    </row>
    <row r="438" spans="1:4" x14ac:dyDescent="0.2">
      <c r="A438" s="17">
        <v>39417</v>
      </c>
      <c r="B438" s="59">
        <f>VLOOKUP(Table16[[#This Row],[Date]],database!A:H,4,)</f>
        <v>102.8506</v>
      </c>
      <c r="C438" s="67">
        <f t="shared" si="6"/>
        <v>9.5813967185114368E-3</v>
      </c>
      <c r="D438" s="67">
        <f>(Table16[[#This Row],[Index]]-B426)/B426</f>
        <v>5.2445988909729575E-2</v>
      </c>
    </row>
    <row r="439" spans="1:4" x14ac:dyDescent="0.2">
      <c r="A439" s="17">
        <v>39448</v>
      </c>
      <c r="B439" s="59">
        <f>VLOOKUP(Table16[[#This Row],[Date]],database!A:H,4,)</f>
        <v>103.3248</v>
      </c>
      <c r="C439" s="67">
        <f t="shared" si="6"/>
        <v>4.6105710613257855E-3</v>
      </c>
      <c r="D439" s="67">
        <f>(Table16[[#This Row],[Index]]-B427)/B427</f>
        <v>7.6239461530288946E-2</v>
      </c>
    </row>
    <row r="440" spans="1:4" x14ac:dyDescent="0.2">
      <c r="A440" s="17">
        <v>39479</v>
      </c>
      <c r="B440" s="59">
        <f>VLOOKUP(Table16[[#This Row],[Date]],database!A:H,4,)</f>
        <v>103.3305</v>
      </c>
      <c r="C440" s="67">
        <f t="shared" si="6"/>
        <v>5.5165845953775161E-5</v>
      </c>
      <c r="D440" s="67">
        <f>(Table16[[#This Row],[Index]]-B428)/B428</f>
        <v>6.7785943693758927E-2</v>
      </c>
    </row>
    <row r="441" spans="1:4" x14ac:dyDescent="0.2">
      <c r="A441" s="17">
        <v>39508</v>
      </c>
      <c r="B441" s="59">
        <f>VLOOKUP(Table16[[#This Row],[Date]],database!A:H,4,)</f>
        <v>104.0532</v>
      </c>
      <c r="C441" s="67">
        <f t="shared" si="6"/>
        <v>6.9940627404299072E-3</v>
      </c>
      <c r="D441" s="67">
        <f>(Table16[[#This Row],[Index]]-B429)/B429</f>
        <v>5.550754099158875E-2</v>
      </c>
    </row>
    <row r="442" spans="1:4" x14ac:dyDescent="0.2">
      <c r="A442" s="17">
        <v>39539</v>
      </c>
      <c r="B442" s="59">
        <f>VLOOKUP(Table16[[#This Row],[Date]],database!A:H,4,)</f>
        <v>102.1516</v>
      </c>
      <c r="C442" s="67">
        <f t="shared" si="6"/>
        <v>-1.8275266882709973E-2</v>
      </c>
      <c r="D442" s="67">
        <f>(Table16[[#This Row],[Index]]-B430)/B430</f>
        <v>2.584918696574328E-2</v>
      </c>
    </row>
    <row r="443" spans="1:4" x14ac:dyDescent="0.2">
      <c r="A443" s="17">
        <v>39569</v>
      </c>
      <c r="B443" s="59">
        <f>VLOOKUP(Table16[[#This Row],[Date]],database!A:H,4,)</f>
        <v>102.49</v>
      </c>
      <c r="C443" s="67">
        <f t="shared" si="6"/>
        <v>3.312723442413068E-3</v>
      </c>
      <c r="D443" s="67">
        <f>(Table16[[#This Row],[Index]]-B431)/B431</f>
        <v>2.7989107267338297E-2</v>
      </c>
    </row>
    <row r="444" spans="1:4" x14ac:dyDescent="0.2">
      <c r="A444" s="17">
        <v>39600</v>
      </c>
      <c r="B444" s="59">
        <f>VLOOKUP(Table16[[#This Row],[Date]],database!A:H,4,)</f>
        <v>101.8044</v>
      </c>
      <c r="C444" s="67">
        <f t="shared" si="6"/>
        <v>-6.6894331154258024E-3</v>
      </c>
      <c r="D444" s="67">
        <f>(Table16[[#This Row],[Index]]-B432)/B432</f>
        <v>2.1232287200640455E-2</v>
      </c>
    </row>
    <row r="445" spans="1:4" x14ac:dyDescent="0.2">
      <c r="A445" s="17">
        <v>39630</v>
      </c>
      <c r="B445" s="59">
        <f>VLOOKUP(Table16[[#This Row],[Date]],database!A:H,4,)</f>
        <v>99.914100000000005</v>
      </c>
      <c r="C445" s="67">
        <f t="shared" si="6"/>
        <v>-1.8567959734549722E-2</v>
      </c>
      <c r="D445" s="67">
        <f>(Table16[[#This Row],[Index]]-B433)/B433</f>
        <v>1.5276403669945489E-3</v>
      </c>
    </row>
    <row r="446" spans="1:4" x14ac:dyDescent="0.2">
      <c r="A446" s="17">
        <v>39661</v>
      </c>
      <c r="B446" s="59">
        <f>VLOOKUP(Table16[[#This Row],[Date]],database!A:H,4,)</f>
        <v>98.005799999999994</v>
      </c>
      <c r="C446" s="67">
        <f t="shared" si="6"/>
        <v>-1.9099406390089224E-2</v>
      </c>
      <c r="D446" s="67">
        <f>(Table16[[#This Row],[Index]]-B434)/B434</f>
        <v>-1.9452706900743594E-2</v>
      </c>
    </row>
    <row r="447" spans="1:4" x14ac:dyDescent="0.2">
      <c r="A447" s="17">
        <v>39692</v>
      </c>
      <c r="B447" s="59">
        <f>VLOOKUP(Table16[[#This Row],[Date]],database!A:H,4,)</f>
        <v>90.203100000000006</v>
      </c>
      <c r="C447" s="67">
        <f t="shared" si="6"/>
        <v>-7.9614675866122031E-2</v>
      </c>
      <c r="D447" s="67">
        <f>(Table16[[#This Row],[Index]]-B435)/B435</f>
        <v>-0.11086326098913546</v>
      </c>
    </row>
    <row r="448" spans="1:4" x14ac:dyDescent="0.2">
      <c r="A448" s="17">
        <v>39722</v>
      </c>
      <c r="B448" s="59">
        <f>VLOOKUP(Table16[[#This Row],[Date]],database!A:H,4,)</f>
        <v>87.6828</v>
      </c>
      <c r="C448" s="67">
        <f t="shared" si="6"/>
        <v>-2.7940281431569458E-2</v>
      </c>
      <c r="D448" s="67">
        <f>(Table16[[#This Row],[Index]]-B436)/B436</f>
        <v>-0.13285197342070462</v>
      </c>
    </row>
    <row r="449" spans="1:4" x14ac:dyDescent="0.2">
      <c r="A449" s="17">
        <v>39753</v>
      </c>
      <c r="B449" s="59">
        <f>VLOOKUP(Table16[[#This Row],[Date]],database!A:H,4,)</f>
        <v>88.882099999999994</v>
      </c>
      <c r="C449" s="67">
        <f t="shared" si="6"/>
        <v>1.3677711022001882E-2</v>
      </c>
      <c r="D449" s="67">
        <f>(Table16[[#This Row],[Index]]-B437)/B437</f>
        <v>-0.12753338666692846</v>
      </c>
    </row>
    <row r="450" spans="1:4" x14ac:dyDescent="0.2">
      <c r="A450" s="17">
        <v>39783</v>
      </c>
      <c r="B450" s="59">
        <f>VLOOKUP(Table16[[#This Row],[Date]],database!A:H,4,)</f>
        <v>89.748800000000003</v>
      </c>
      <c r="C450" s="67">
        <f t="shared" si="6"/>
        <v>9.7511197417703421E-3</v>
      </c>
      <c r="D450" s="67">
        <f>(Table16[[#This Row],[Index]]-B438)/B438</f>
        <v>-0.12738671432154988</v>
      </c>
    </row>
    <row r="451" spans="1:4" x14ac:dyDescent="0.2">
      <c r="A451" s="17">
        <v>39814</v>
      </c>
      <c r="B451" s="59">
        <f>VLOOKUP(Table16[[#This Row],[Date]],database!A:H,4,)</f>
        <v>84.732399999999998</v>
      </c>
      <c r="C451" s="67">
        <f t="shared" si="6"/>
        <v>-5.5893783538052966E-2</v>
      </c>
      <c r="D451" s="67">
        <f>(Table16[[#This Row],[Index]]-B439)/B439</f>
        <v>-0.17994131128248009</v>
      </c>
    </row>
    <row r="452" spans="1:4" x14ac:dyDescent="0.2">
      <c r="A452" s="17">
        <v>39845</v>
      </c>
      <c r="B452" s="59">
        <f>VLOOKUP(Table16[[#This Row],[Date]],database!A:H,4,)</f>
        <v>84.274799999999999</v>
      </c>
      <c r="C452" s="67">
        <f t="shared" si="6"/>
        <v>-5.4005315558157685E-3</v>
      </c>
      <c r="D452" s="67">
        <f>(Table16[[#This Row],[Index]]-B440)/B440</f>
        <v>-0.18441505654187293</v>
      </c>
    </row>
    <row r="453" spans="1:4" x14ac:dyDescent="0.2">
      <c r="A453" s="17">
        <v>39873</v>
      </c>
      <c r="B453" s="59">
        <f>VLOOKUP(Table16[[#This Row],[Date]],database!A:H,4,)</f>
        <v>82.531999999999996</v>
      </c>
      <c r="C453" s="67">
        <f t="shared" si="6"/>
        <v>-2.0679966015938356E-2</v>
      </c>
      <c r="D453" s="67">
        <f>(Table16[[#This Row],[Index]]-B441)/B441</f>
        <v>-0.20682881449104887</v>
      </c>
    </row>
    <row r="454" spans="1:4" x14ac:dyDescent="0.2">
      <c r="A454" s="17">
        <v>39904</v>
      </c>
      <c r="B454" s="59">
        <f>VLOOKUP(Table16[[#This Row],[Date]],database!A:H,4,)</f>
        <v>80.879199999999997</v>
      </c>
      <c r="C454" s="67">
        <f t="shared" si="6"/>
        <v>-2.0026171666747472E-2</v>
      </c>
      <c r="D454" s="67">
        <f>(Table16[[#This Row],[Index]]-B442)/B442</f>
        <v>-0.20824343426828365</v>
      </c>
    </row>
    <row r="455" spans="1:4" x14ac:dyDescent="0.2">
      <c r="A455" s="17">
        <v>39934</v>
      </c>
      <c r="B455" s="59">
        <f>VLOOKUP(Table16[[#This Row],[Date]],database!A:H,4,)</f>
        <v>78.614699999999999</v>
      </c>
      <c r="C455" s="67">
        <f t="shared" si="6"/>
        <v>-2.7998545979683209E-2</v>
      </c>
      <c r="D455" s="67">
        <f>(Table16[[#This Row],[Index]]-B443)/B443</f>
        <v>-0.23295248316908965</v>
      </c>
    </row>
    <row r="456" spans="1:4" x14ac:dyDescent="0.2">
      <c r="A456" s="17">
        <v>39965</v>
      </c>
      <c r="B456" s="59">
        <f>VLOOKUP(Table16[[#This Row],[Date]],database!A:H,4,)</f>
        <v>77.972499999999997</v>
      </c>
      <c r="C456" s="67">
        <f t="shared" ref="C456:C519" si="7">B456/B455-1</f>
        <v>-8.168955678772627E-3</v>
      </c>
      <c r="D456" s="67">
        <f>(Table16[[#This Row],[Index]]-B444)/B444</f>
        <v>-0.23409499000043224</v>
      </c>
    </row>
    <row r="457" spans="1:4" x14ac:dyDescent="0.2">
      <c r="A457" s="17">
        <v>39995</v>
      </c>
      <c r="B457" s="59">
        <f>VLOOKUP(Table16[[#This Row],[Date]],database!A:H,4,)</f>
        <v>78.925799999999995</v>
      </c>
      <c r="C457" s="67">
        <f t="shared" si="7"/>
        <v>1.2226105357658223E-2</v>
      </c>
      <c r="D457" s="67">
        <f>(Table16[[#This Row],[Index]]-B445)/B445</f>
        <v>-0.21006344449882458</v>
      </c>
    </row>
    <row r="458" spans="1:4" x14ac:dyDescent="0.2">
      <c r="A458" s="17">
        <v>40026</v>
      </c>
      <c r="B458" s="59">
        <f>VLOOKUP(Table16[[#This Row],[Date]],database!A:H,4,)</f>
        <v>79.759200000000007</v>
      </c>
      <c r="C458" s="67">
        <f t="shared" si="7"/>
        <v>1.0559284796606505E-2</v>
      </c>
      <c r="D458" s="67">
        <f>(Table16[[#This Row],[Index]]-B446)/B446</f>
        <v>-0.186178777174412</v>
      </c>
    </row>
    <row r="459" spans="1:4" x14ac:dyDescent="0.2">
      <c r="A459" s="17">
        <v>40057</v>
      </c>
      <c r="B459" s="59">
        <f>VLOOKUP(Table16[[#This Row],[Date]],database!A:H,4,)</f>
        <v>80.260000000000005</v>
      </c>
      <c r="C459" s="67">
        <f t="shared" si="7"/>
        <v>6.2788994874571902E-3</v>
      </c>
      <c r="D459" s="67">
        <f>(Table16[[#This Row],[Index]]-B447)/B447</f>
        <v>-0.11023013621483076</v>
      </c>
    </row>
    <row r="460" spans="1:4" x14ac:dyDescent="0.2">
      <c r="A460" s="17">
        <v>40087</v>
      </c>
      <c r="B460" s="59">
        <f>VLOOKUP(Table16[[#This Row],[Date]],database!A:H,4,)</f>
        <v>80.600399999999993</v>
      </c>
      <c r="C460" s="67">
        <f t="shared" si="7"/>
        <v>4.2412160478444427E-3</v>
      </c>
      <c r="D460" s="67">
        <f>(Table16[[#This Row],[Index]]-B448)/B448</f>
        <v>-8.0772968016532401E-2</v>
      </c>
    </row>
    <row r="461" spans="1:4" x14ac:dyDescent="0.2">
      <c r="A461" s="17">
        <v>40118</v>
      </c>
      <c r="B461" s="59">
        <f>VLOOKUP(Table16[[#This Row],[Date]],database!A:H,4,)</f>
        <v>80.487099999999998</v>
      </c>
      <c r="C461" s="67">
        <f t="shared" si="7"/>
        <v>-1.4057002198499813E-3</v>
      </c>
      <c r="D461" s="67">
        <f>(Table16[[#This Row],[Index]]-B449)/B449</f>
        <v>-9.4450963692351966E-2</v>
      </c>
    </row>
    <row r="462" spans="1:4" x14ac:dyDescent="0.2">
      <c r="A462" s="17">
        <v>40148</v>
      </c>
      <c r="B462" s="59">
        <f>VLOOKUP(Table16[[#This Row],[Date]],database!A:H,4,)</f>
        <v>81.911000000000001</v>
      </c>
      <c r="C462" s="67">
        <f t="shared" si="7"/>
        <v>1.7691033718446825E-2</v>
      </c>
      <c r="D462" s="67">
        <f>(Table16[[#This Row],[Index]]-B450)/B450</f>
        <v>-8.7330415559873795E-2</v>
      </c>
    </row>
    <row r="463" spans="1:4" x14ac:dyDescent="0.2">
      <c r="A463" s="17">
        <v>40179</v>
      </c>
      <c r="B463" s="59">
        <f>VLOOKUP(Table16[[#This Row],[Date]],database!A:H,4,)</f>
        <v>83.106999999999999</v>
      </c>
      <c r="C463" s="67">
        <f t="shared" si="7"/>
        <v>1.4601213512226652E-2</v>
      </c>
      <c r="D463" s="67">
        <f>(Table16[[#This Row],[Index]]-B451)/B451</f>
        <v>-1.9182744735189834E-2</v>
      </c>
    </row>
    <row r="464" spans="1:4" x14ac:dyDescent="0.2">
      <c r="A464" s="17">
        <v>40210</v>
      </c>
      <c r="B464" s="59">
        <f>VLOOKUP(Table16[[#This Row],[Date]],database!A:H,4,)</f>
        <v>82.713300000000004</v>
      </c>
      <c r="C464" s="67">
        <f t="shared" si="7"/>
        <v>-4.7372664155846955E-3</v>
      </c>
      <c r="D464" s="67">
        <f>(Table16[[#This Row],[Index]]-B452)/B452</f>
        <v>-1.8528670492246737E-2</v>
      </c>
    </row>
    <row r="465" spans="1:4" x14ac:dyDescent="0.2">
      <c r="A465" s="17">
        <v>40238</v>
      </c>
      <c r="B465" s="59">
        <f>VLOOKUP(Table16[[#This Row],[Date]],database!A:H,4,)</f>
        <v>84.289000000000001</v>
      </c>
      <c r="C465" s="67">
        <f t="shared" si="7"/>
        <v>1.9050140666615922E-2</v>
      </c>
      <c r="D465" s="67">
        <f>(Table16[[#This Row],[Index]]-B453)/B453</f>
        <v>2.1288712257063989E-2</v>
      </c>
    </row>
    <row r="466" spans="1:4" x14ac:dyDescent="0.2">
      <c r="A466" s="17">
        <v>40269</v>
      </c>
      <c r="B466" s="59">
        <f>VLOOKUP(Table16[[#This Row],[Date]],database!A:H,4,)</f>
        <v>85.296400000000006</v>
      </c>
      <c r="C466" s="67">
        <f t="shared" si="7"/>
        <v>1.1951737474640955E-2</v>
      </c>
      <c r="D466" s="67">
        <f>(Table16[[#This Row],[Index]]-B454)/B454</f>
        <v>5.461478352901622E-2</v>
      </c>
    </row>
    <row r="467" spans="1:4" x14ac:dyDescent="0.2">
      <c r="A467" s="17">
        <v>40299</v>
      </c>
      <c r="B467" s="59">
        <f>VLOOKUP(Table16[[#This Row],[Date]],database!A:H,4,)</f>
        <v>86.831100000000006</v>
      </c>
      <c r="C467" s="67">
        <f t="shared" si="7"/>
        <v>1.7992553026856983E-2</v>
      </c>
      <c r="D467" s="67">
        <f>(Table16[[#This Row],[Index]]-B455)/B455</f>
        <v>0.10451480448313111</v>
      </c>
    </row>
    <row r="468" spans="1:4" x14ac:dyDescent="0.2">
      <c r="A468" s="17">
        <v>40330</v>
      </c>
      <c r="B468" s="59">
        <f>VLOOKUP(Table16[[#This Row],[Date]],database!A:H,4,)</f>
        <v>87.328599999999994</v>
      </c>
      <c r="C468" s="67">
        <f t="shared" si="7"/>
        <v>5.729513964466415E-3</v>
      </c>
      <c r="D468" s="67">
        <f>(Table16[[#This Row],[Index]]-B456)/B456</f>
        <v>0.11999230497931961</v>
      </c>
    </row>
    <row r="469" spans="1:4" x14ac:dyDescent="0.2">
      <c r="A469" s="17">
        <v>40360</v>
      </c>
      <c r="B469" s="59">
        <f>VLOOKUP(Table16[[#This Row],[Date]],database!A:H,4,)</f>
        <v>88.130499999999998</v>
      </c>
      <c r="C469" s="67">
        <f t="shared" si="7"/>
        <v>9.1825587493674643E-3</v>
      </c>
      <c r="D469" s="67">
        <f>(Table16[[#This Row],[Index]]-B457)/B457</f>
        <v>0.11662472854250452</v>
      </c>
    </row>
    <row r="470" spans="1:4" x14ac:dyDescent="0.2">
      <c r="A470" s="17">
        <v>40391</v>
      </c>
      <c r="B470" s="59">
        <f>VLOOKUP(Table16[[#This Row],[Date]],database!A:H,4,)</f>
        <v>88.183199999999999</v>
      </c>
      <c r="C470" s="67">
        <f t="shared" si="7"/>
        <v>5.9797686385532067E-4</v>
      </c>
      <c r="D470" s="67">
        <f>(Table16[[#This Row],[Index]]-B458)/B458</f>
        <v>0.10561790990882546</v>
      </c>
    </row>
    <row r="471" spans="1:4" x14ac:dyDescent="0.2">
      <c r="A471" s="17">
        <v>40422</v>
      </c>
      <c r="B471" s="59">
        <f>VLOOKUP(Table16[[#This Row],[Date]],database!A:H,4,)</f>
        <v>88.552599999999998</v>
      </c>
      <c r="C471" s="67">
        <f t="shared" si="7"/>
        <v>4.189006522784311E-3</v>
      </c>
      <c r="D471" s="67">
        <f>(Table16[[#This Row],[Index]]-B459)/B459</f>
        <v>0.10332170446050327</v>
      </c>
    </row>
    <row r="472" spans="1:4" x14ac:dyDescent="0.2">
      <c r="A472" s="17">
        <v>40452</v>
      </c>
      <c r="B472" s="59">
        <f>VLOOKUP(Table16[[#This Row],[Date]],database!A:H,4,)</f>
        <v>88.837599999999995</v>
      </c>
      <c r="C472" s="67">
        <f t="shared" si="7"/>
        <v>3.2184261105827616E-3</v>
      </c>
      <c r="D472" s="67">
        <f>(Table16[[#This Row],[Index]]-B460)/B460</f>
        <v>0.10219800398012915</v>
      </c>
    </row>
    <row r="473" spans="1:4" x14ac:dyDescent="0.2">
      <c r="A473" s="17">
        <v>40483</v>
      </c>
      <c r="B473" s="59">
        <f>VLOOKUP(Table16[[#This Row],[Date]],database!A:H,4,)</f>
        <v>88.806600000000003</v>
      </c>
      <c r="C473" s="67">
        <f t="shared" si="7"/>
        <v>-3.4895134492596291E-4</v>
      </c>
      <c r="D473" s="67">
        <f>(Table16[[#This Row],[Index]]-B461)/B461</f>
        <v>0.10336439006996159</v>
      </c>
    </row>
    <row r="474" spans="1:4" x14ac:dyDescent="0.2">
      <c r="A474" s="17">
        <v>40513</v>
      </c>
      <c r="B474" s="59">
        <f>VLOOKUP(Table16[[#This Row],[Date]],database!A:H,4,)</f>
        <v>89.521900000000002</v>
      </c>
      <c r="C474" s="67">
        <f t="shared" si="7"/>
        <v>8.054581528850413E-3</v>
      </c>
      <c r="D474" s="67">
        <f>(Table16[[#This Row],[Index]]-B462)/B462</f>
        <v>9.291670227441981E-2</v>
      </c>
    </row>
    <row r="475" spans="1:4" x14ac:dyDescent="0.2">
      <c r="A475" s="17">
        <v>40544</v>
      </c>
      <c r="B475" s="59">
        <f>VLOOKUP(Table16[[#This Row],[Date]],database!A:H,4,)</f>
        <v>90.212900000000005</v>
      </c>
      <c r="C475" s="67">
        <f t="shared" si="7"/>
        <v>7.718781661247176E-3</v>
      </c>
      <c r="D475" s="67">
        <f>(Table16[[#This Row],[Index]]-B463)/B463</f>
        <v>8.550302621921145E-2</v>
      </c>
    </row>
    <row r="476" spans="1:4" x14ac:dyDescent="0.2">
      <c r="A476" s="17">
        <v>40575</v>
      </c>
      <c r="B476" s="59">
        <f>VLOOKUP(Table16[[#This Row],[Date]],database!A:H,4,)</f>
        <v>90.376199999999997</v>
      </c>
      <c r="C476" s="67">
        <f t="shared" si="7"/>
        <v>1.8101624047115461E-3</v>
      </c>
      <c r="D476" s="67">
        <f>(Table16[[#This Row],[Index]]-B464)/B464</f>
        <v>9.264410923031717E-2</v>
      </c>
    </row>
    <row r="477" spans="1:4" x14ac:dyDescent="0.2">
      <c r="A477" s="17">
        <v>40603</v>
      </c>
      <c r="B477" s="59">
        <f>VLOOKUP(Table16[[#This Row],[Date]],database!A:H,4,)</f>
        <v>90.097200000000001</v>
      </c>
      <c r="C477" s="67">
        <f t="shared" si="7"/>
        <v>-3.0870959389750485E-3</v>
      </c>
      <c r="D477" s="67">
        <f>(Table16[[#This Row],[Index]]-B465)/B465</f>
        <v>6.8908161207274957E-2</v>
      </c>
    </row>
    <row r="478" spans="1:4" x14ac:dyDescent="0.2">
      <c r="A478" s="17">
        <v>40634</v>
      </c>
      <c r="B478" s="59">
        <f>VLOOKUP(Table16[[#This Row],[Date]],database!A:H,4,)</f>
        <v>89.505499999999998</v>
      </c>
      <c r="C478" s="68">
        <f t="shared" si="7"/>
        <v>-6.5673517046035412E-3</v>
      </c>
      <c r="D478" s="67">
        <f>(Table16[[#This Row],[Index]]-B466)/B466</f>
        <v>4.9346748514591379E-2</v>
      </c>
    </row>
    <row r="479" spans="1:4" x14ac:dyDescent="0.2">
      <c r="A479" s="17">
        <v>40664</v>
      </c>
      <c r="B479" s="59">
        <f>VLOOKUP(Table16[[#This Row],[Date]],database!A:H,4,)</f>
        <v>90.233900000000006</v>
      </c>
      <c r="C479" s="67">
        <f t="shared" si="7"/>
        <v>8.1380473825631849E-3</v>
      </c>
      <c r="D479" s="67">
        <f>(Table16[[#This Row],[Index]]-B467)/B467</f>
        <v>3.918872385585348E-2</v>
      </c>
    </row>
    <row r="480" spans="1:4" x14ac:dyDescent="0.2">
      <c r="A480" s="17">
        <v>40695</v>
      </c>
      <c r="B480" s="59">
        <f>VLOOKUP(Table16[[#This Row],[Date]],database!A:H,4,)</f>
        <v>90.284999999999997</v>
      </c>
      <c r="C480" s="67">
        <f t="shared" si="7"/>
        <v>5.6630601137697134E-4</v>
      </c>
      <c r="D480" s="67">
        <f>(Table16[[#This Row],[Index]]-B468)/B468</f>
        <v>3.3853743218143911E-2</v>
      </c>
    </row>
    <row r="481" spans="1:4" x14ac:dyDescent="0.2">
      <c r="A481" s="17">
        <v>40725</v>
      </c>
      <c r="B481" s="59">
        <f>VLOOKUP(Table16[[#This Row],[Date]],database!A:H,4,)</f>
        <v>91.530199999999994</v>
      </c>
      <c r="C481" s="67">
        <f t="shared" si="7"/>
        <v>1.3791881264883399E-2</v>
      </c>
      <c r="D481" s="67">
        <f>(Table16[[#This Row],[Index]]-B469)/B469</f>
        <v>3.8575748463925606E-2</v>
      </c>
    </row>
    <row r="482" spans="1:4" x14ac:dyDescent="0.2">
      <c r="A482" s="17">
        <v>40756</v>
      </c>
      <c r="B482" s="59">
        <f>VLOOKUP(Table16[[#This Row],[Date]],database!A:H,4,)</f>
        <v>92.632000000000005</v>
      </c>
      <c r="C482" s="67">
        <f t="shared" si="7"/>
        <v>1.2037557003043986E-2</v>
      </c>
      <c r="D482" s="67">
        <f>(Table16[[#This Row],[Index]]-B470)/B470</f>
        <v>5.0449518729191109E-2</v>
      </c>
    </row>
    <row r="483" spans="1:4" x14ac:dyDescent="0.2">
      <c r="A483" s="17">
        <v>40787</v>
      </c>
      <c r="B483" s="59">
        <f>VLOOKUP(Table16[[#This Row],[Date]],database!A:H,4,)</f>
        <v>93.129400000000004</v>
      </c>
      <c r="C483" s="67">
        <f t="shared" si="7"/>
        <v>5.3696346834786191E-3</v>
      </c>
      <c r="D483" s="67">
        <f>(Table16[[#This Row],[Index]]-B471)/B471</f>
        <v>5.1684535519002331E-2</v>
      </c>
    </row>
    <row r="484" spans="1:4" x14ac:dyDescent="0.2">
      <c r="A484" s="17">
        <v>40817</v>
      </c>
      <c r="B484" s="59">
        <f>VLOOKUP(Table16[[#This Row],[Date]],database!A:H,4,)</f>
        <v>94.350800000000007</v>
      </c>
      <c r="C484" s="67">
        <f t="shared" si="7"/>
        <v>1.3115085032223917E-2</v>
      </c>
      <c r="D484" s="67">
        <f>(Table16[[#This Row],[Index]]-B472)/B472</f>
        <v>6.2059308220843566E-2</v>
      </c>
    </row>
    <row r="485" spans="1:4" x14ac:dyDescent="0.2">
      <c r="A485" s="17">
        <v>40848</v>
      </c>
      <c r="B485" s="59">
        <f>VLOOKUP(Table16[[#This Row],[Date]],database!A:H,4,)</f>
        <v>95.235799999999998</v>
      </c>
      <c r="C485" s="67">
        <f t="shared" si="7"/>
        <v>9.379888670790093E-3</v>
      </c>
      <c r="D485" s="67">
        <f>(Table16[[#This Row],[Index]]-B473)/B473</f>
        <v>7.2395520152781376E-2</v>
      </c>
    </row>
    <row r="486" spans="1:4" x14ac:dyDescent="0.2">
      <c r="A486" s="17">
        <v>40878</v>
      </c>
      <c r="B486" s="59">
        <f>VLOOKUP(Table16[[#This Row],[Date]],database!A:H,4,)</f>
        <v>96.719399999999993</v>
      </c>
      <c r="C486" s="67">
        <f t="shared" si="7"/>
        <v>1.5578175434027841E-2</v>
      </c>
      <c r="D486" s="67">
        <f>(Table16[[#This Row],[Index]]-B474)/B474</f>
        <v>8.0399321283395359E-2</v>
      </c>
    </row>
    <row r="487" spans="1:4" x14ac:dyDescent="0.2">
      <c r="A487" s="17">
        <v>40909</v>
      </c>
      <c r="B487" s="59">
        <f>VLOOKUP(Table16[[#This Row],[Date]],database!A:H,4,)</f>
        <v>98.266000000000005</v>
      </c>
      <c r="C487" s="67">
        <f t="shared" si="7"/>
        <v>1.5990587203808193E-2</v>
      </c>
      <c r="D487" s="67">
        <f>(Table16[[#This Row],[Index]]-B475)/B475</f>
        <v>8.9267721135225672E-2</v>
      </c>
    </row>
    <row r="488" spans="1:4" x14ac:dyDescent="0.2">
      <c r="A488" s="17">
        <v>40940</v>
      </c>
      <c r="B488" s="59">
        <f>VLOOKUP(Table16[[#This Row],[Date]],database!A:H,4,)</f>
        <v>98.981999999999999</v>
      </c>
      <c r="C488" s="67">
        <f t="shared" si="7"/>
        <v>7.2863452262226236E-3</v>
      </c>
      <c r="D488" s="67">
        <f>(Table16[[#This Row],[Index]]-B476)/B476</f>
        <v>9.5221972156386336E-2</v>
      </c>
    </row>
    <row r="489" spans="1:4" x14ac:dyDescent="0.2">
      <c r="A489" s="17">
        <v>40969</v>
      </c>
      <c r="B489" s="59">
        <f>VLOOKUP(Table16[[#This Row],[Date]],database!A:H,4,)</f>
        <v>99.855099999999993</v>
      </c>
      <c r="C489" s="67">
        <f t="shared" si="7"/>
        <v>8.8207957002282011E-3</v>
      </c>
      <c r="D489" s="67">
        <f>(Table16[[#This Row],[Index]]-B477)/B477</f>
        <v>0.10830414263706299</v>
      </c>
    </row>
    <row r="490" spans="1:4" x14ac:dyDescent="0.2">
      <c r="A490" s="17">
        <v>41000</v>
      </c>
      <c r="B490" s="59">
        <f>VLOOKUP(Table16[[#This Row],[Date]],database!A:H,4,)</f>
        <v>100.78959999999999</v>
      </c>
      <c r="C490" s="67">
        <f t="shared" si="7"/>
        <v>9.3585605542430006E-3</v>
      </c>
      <c r="D490" s="67">
        <f>(Table16[[#This Row],[Index]]-B478)/B478</f>
        <v>0.126071582193273</v>
      </c>
    </row>
    <row r="491" spans="1:4" x14ac:dyDescent="0.2">
      <c r="A491" s="17">
        <v>41030</v>
      </c>
      <c r="B491" s="59">
        <f>VLOOKUP(Table16[[#This Row],[Date]],database!A:H,4,)</f>
        <v>101.5129</v>
      </c>
      <c r="C491" s="67">
        <f t="shared" si="7"/>
        <v>7.1763356536787004E-3</v>
      </c>
      <c r="D491" s="67">
        <f>(Table16[[#This Row],[Index]]-B479)/B479</f>
        <v>0.12499736795151263</v>
      </c>
    </row>
    <row r="492" spans="1:4" x14ac:dyDescent="0.2">
      <c r="A492" s="17">
        <v>41061</v>
      </c>
      <c r="B492" s="59">
        <f>VLOOKUP(Table16[[#This Row],[Date]],database!A:H,4,)</f>
        <v>102.8094</v>
      </c>
      <c r="C492" s="67">
        <f t="shared" si="7"/>
        <v>1.2771775803863239E-2</v>
      </c>
      <c r="D492" s="67">
        <f>(Table16[[#This Row],[Index]]-B480)/B480</f>
        <v>0.13872071772719721</v>
      </c>
    </row>
    <row r="493" spans="1:4" x14ac:dyDescent="0.2">
      <c r="A493" s="17">
        <v>41091</v>
      </c>
      <c r="B493" s="59">
        <f>VLOOKUP(Table16[[#This Row],[Date]],database!A:H,4,)</f>
        <v>101.6597</v>
      </c>
      <c r="C493" s="67">
        <f t="shared" si="7"/>
        <v>-1.1182829585621556E-2</v>
      </c>
      <c r="D493" s="67">
        <f>(Table16[[#This Row],[Index]]-B481)/B481</f>
        <v>0.11066839141616655</v>
      </c>
    </row>
    <row r="494" spans="1:4" x14ac:dyDescent="0.2">
      <c r="A494" s="17">
        <v>41122</v>
      </c>
      <c r="B494" s="59">
        <f>VLOOKUP(Table16[[#This Row],[Date]],database!A:H,4,)</f>
        <v>102.39660000000001</v>
      </c>
      <c r="C494" s="67">
        <f t="shared" si="7"/>
        <v>7.2486934350584065E-3</v>
      </c>
      <c r="D494" s="67">
        <f>(Table16[[#This Row],[Index]]-B482)/B482</f>
        <v>0.10541281630538044</v>
      </c>
    </row>
    <row r="495" spans="1:4" x14ac:dyDescent="0.2">
      <c r="A495" s="17">
        <v>41153</v>
      </c>
      <c r="B495" s="59">
        <f>VLOOKUP(Table16[[#This Row],[Date]],database!A:H,4,)</f>
        <v>102.0977</v>
      </c>
      <c r="C495" s="67">
        <f t="shared" si="7"/>
        <v>-2.9190422338242206E-3</v>
      </c>
      <c r="D495" s="67">
        <f>(Table16[[#This Row],[Index]]-B483)/B483</f>
        <v>9.629934263508623E-2</v>
      </c>
    </row>
    <row r="496" spans="1:4" x14ac:dyDescent="0.2">
      <c r="A496" s="17">
        <v>41183</v>
      </c>
      <c r="B496" s="59">
        <f>VLOOKUP(Table16[[#This Row],[Date]],database!A:H,4,)</f>
        <v>101.1114</v>
      </c>
      <c r="C496" s="67">
        <f t="shared" si="7"/>
        <v>-9.6603547386473476E-3</v>
      </c>
      <c r="D496" s="67">
        <f>(Table16[[#This Row],[Index]]-B484)/B484</f>
        <v>7.1653870449429113E-2</v>
      </c>
    </row>
    <row r="497" spans="1:4" x14ac:dyDescent="0.2">
      <c r="A497" s="17">
        <v>41214</v>
      </c>
      <c r="B497" s="59">
        <f>VLOOKUP(Table16[[#This Row],[Date]],database!A:H,4,)</f>
        <v>102.2604</v>
      </c>
      <c r="C497" s="67">
        <f t="shared" si="7"/>
        <v>1.1363703796011038E-2</v>
      </c>
      <c r="D497" s="67">
        <f>(Table16[[#This Row],[Index]]-B485)/B485</f>
        <v>7.3760077617870665E-2</v>
      </c>
    </row>
    <row r="498" spans="1:4" x14ac:dyDescent="0.2">
      <c r="A498" s="17">
        <v>41244</v>
      </c>
      <c r="B498" s="59">
        <f>VLOOKUP(Table16[[#This Row],[Date]],database!A:H,4,)</f>
        <v>103.0612</v>
      </c>
      <c r="C498" s="67">
        <f t="shared" si="7"/>
        <v>7.8309883395721869E-3</v>
      </c>
      <c r="D498" s="67">
        <f>(Table16[[#This Row],[Index]]-B486)/B486</f>
        <v>6.5569058534275512E-2</v>
      </c>
    </row>
    <row r="499" spans="1:4" x14ac:dyDescent="0.2">
      <c r="A499" s="17">
        <v>41275</v>
      </c>
      <c r="B499" s="59">
        <f>VLOOKUP(Table16[[#This Row],[Date]],database!A:H,4,)</f>
        <v>101.1361</v>
      </c>
      <c r="C499" s="67">
        <f t="shared" si="7"/>
        <v>-1.867919255743189E-2</v>
      </c>
      <c r="D499" s="67">
        <f>(Table16[[#This Row],[Index]]-B487)/B487</f>
        <v>2.9207457309751019E-2</v>
      </c>
    </row>
    <row r="500" spans="1:4" x14ac:dyDescent="0.2">
      <c r="A500" s="17">
        <v>41306</v>
      </c>
      <c r="B500" s="59">
        <f>VLOOKUP(Table16[[#This Row],[Date]],database!A:H,4,)</f>
        <v>102.0342</v>
      </c>
      <c r="C500" s="67">
        <f t="shared" si="7"/>
        <v>8.8801130358002744E-3</v>
      </c>
      <c r="D500" s="67">
        <f>(Table16[[#This Row],[Index]]-B488)/B488</f>
        <v>3.0835909559313805E-2</v>
      </c>
    </row>
    <row r="501" spans="1:4" x14ac:dyDescent="0.2">
      <c r="A501" s="17">
        <v>41334</v>
      </c>
      <c r="B501" s="59">
        <f>VLOOKUP(Table16[[#This Row],[Date]],database!A:H,4,)</f>
        <v>102.4492</v>
      </c>
      <c r="C501" s="67">
        <f t="shared" si="7"/>
        <v>4.0672637213796659E-3</v>
      </c>
      <c r="D501" s="67">
        <f>(Table16[[#This Row],[Index]]-B489)/B489</f>
        <v>2.5978643053785052E-2</v>
      </c>
    </row>
    <row r="502" spans="1:4" x14ac:dyDescent="0.2">
      <c r="A502" s="17">
        <v>41365</v>
      </c>
      <c r="B502" s="59">
        <f>VLOOKUP(Table16[[#This Row],[Date]],database!A:H,4,)</f>
        <v>101.78149999999999</v>
      </c>
      <c r="C502" s="67">
        <f t="shared" si="7"/>
        <v>-6.517376416799836E-3</v>
      </c>
      <c r="D502" s="67">
        <f>(Table16[[#This Row],[Index]]-B490)/B490</f>
        <v>9.8412931492931933E-3</v>
      </c>
    </row>
    <row r="503" spans="1:4" x14ac:dyDescent="0.2">
      <c r="A503" s="17">
        <v>41395</v>
      </c>
      <c r="B503" s="59">
        <f>VLOOKUP(Table16[[#This Row],[Date]],database!A:H,4,)</f>
        <v>101.2597</v>
      </c>
      <c r="C503" s="67">
        <f t="shared" si="7"/>
        <v>-5.1266684024110498E-3</v>
      </c>
      <c r="D503" s="67">
        <f>(Table16[[#This Row],[Index]]-B491)/B491</f>
        <v>-2.4942642757719144E-3</v>
      </c>
    </row>
    <row r="504" spans="1:4" x14ac:dyDescent="0.2">
      <c r="A504" s="17">
        <v>41426</v>
      </c>
      <c r="B504" s="59">
        <f>VLOOKUP(Table16[[#This Row],[Date]],database!A:H,4,)</f>
        <v>101.1508</v>
      </c>
      <c r="C504" s="67">
        <f t="shared" si="7"/>
        <v>-1.0754525245482149E-3</v>
      </c>
      <c r="D504" s="67">
        <f>(Table16[[#This Row],[Index]]-B492)/B492</f>
        <v>-1.6132766070028545E-2</v>
      </c>
    </row>
    <row r="505" spans="1:4" x14ac:dyDescent="0.2">
      <c r="A505" s="17">
        <v>41456</v>
      </c>
      <c r="B505" s="59">
        <f>VLOOKUP(Table16[[#This Row],[Date]],database!A:H,4,)</f>
        <v>99.379499999999993</v>
      </c>
      <c r="C505" s="67">
        <f t="shared" si="7"/>
        <v>-1.7511477912186657E-2</v>
      </c>
      <c r="D505" s="67">
        <f>(Table16[[#This Row],[Index]]-B493)/B493</f>
        <v>-2.242973370962149E-2</v>
      </c>
    </row>
    <row r="506" spans="1:4" x14ac:dyDescent="0.2">
      <c r="A506" s="17">
        <v>41487</v>
      </c>
      <c r="B506" s="59">
        <f>VLOOKUP(Table16[[#This Row],[Date]],database!A:H,4,)</f>
        <v>100.8737</v>
      </c>
      <c r="C506" s="67">
        <f t="shared" si="7"/>
        <v>1.5035293999265509E-2</v>
      </c>
      <c r="D506" s="67">
        <f>(Table16[[#This Row],[Index]]-B494)/B494</f>
        <v>-1.4872564128105883E-2</v>
      </c>
    </row>
    <row r="507" spans="1:4" x14ac:dyDescent="0.2">
      <c r="A507" s="17">
        <v>41518</v>
      </c>
      <c r="B507" s="59">
        <f>VLOOKUP(Table16[[#This Row],[Date]],database!A:H,4,)</f>
        <v>101.68040000000001</v>
      </c>
      <c r="C507" s="67">
        <f t="shared" si="7"/>
        <v>7.9971290832001607E-3</v>
      </c>
      <c r="D507" s="67">
        <f>(Table16[[#This Row],[Index]]-B495)/B495</f>
        <v>-4.0872615151957125E-3</v>
      </c>
    </row>
    <row r="508" spans="1:4" x14ac:dyDescent="0.2">
      <c r="A508" s="17">
        <v>41548</v>
      </c>
      <c r="B508" s="59">
        <f>VLOOKUP(Table16[[#This Row],[Date]],database!A:H,4,)</f>
        <v>101.28</v>
      </c>
      <c r="C508" s="67">
        <f t="shared" si="7"/>
        <v>-3.9378287260868339E-3</v>
      </c>
      <c r="D508" s="67">
        <f>(Table16[[#This Row],[Index]]-B496)/B496</f>
        <v>1.6674677632788969E-3</v>
      </c>
    </row>
    <row r="509" spans="1:4" x14ac:dyDescent="0.2">
      <c r="A509" s="17">
        <v>41579</v>
      </c>
      <c r="B509" s="59">
        <f>VLOOKUP(Table16[[#This Row],[Date]],database!A:H,4,)</f>
        <v>101.0061</v>
      </c>
      <c r="C509" s="67">
        <f t="shared" si="7"/>
        <v>-2.7043838862559344E-3</v>
      </c>
      <c r="D509" s="67">
        <f>(Table16[[#This Row],[Index]]-B497)/B497</f>
        <v>-1.2265745097809129E-2</v>
      </c>
    </row>
    <row r="510" spans="1:4" x14ac:dyDescent="0.2">
      <c r="A510" s="17">
        <v>41609</v>
      </c>
      <c r="B510" s="59">
        <f>VLOOKUP(Table16[[#This Row],[Date]],database!A:H,4,)</f>
        <v>100.2</v>
      </c>
      <c r="C510" s="67">
        <f t="shared" si="7"/>
        <v>-7.9807061157692871E-3</v>
      </c>
      <c r="D510" s="67">
        <f>(Table16[[#This Row],[Index]]-B498)/B498</f>
        <v>-2.7762145210806749E-2</v>
      </c>
    </row>
    <row r="511" spans="1:4" x14ac:dyDescent="0.2">
      <c r="A511" s="17">
        <v>41640</v>
      </c>
      <c r="B511" s="59">
        <f>VLOOKUP(Table16[[#This Row],[Date]],database!A:H,4,)</f>
        <v>100.3523</v>
      </c>
      <c r="C511" s="67">
        <f t="shared" si="7"/>
        <v>1.5199600798403434E-3</v>
      </c>
      <c r="D511" s="67">
        <f>(Table16[[#This Row],[Index]]-B499)/B499</f>
        <v>-7.7499527863937739E-3</v>
      </c>
    </row>
    <row r="512" spans="1:4" x14ac:dyDescent="0.2">
      <c r="A512" s="17">
        <v>41671</v>
      </c>
      <c r="B512" s="59">
        <f>VLOOKUP(Table16[[#This Row],[Date]],database!A:H,4,)</f>
        <v>101.7779</v>
      </c>
      <c r="C512" s="67">
        <f t="shared" si="7"/>
        <v>1.4205952429590551E-2</v>
      </c>
      <c r="D512" s="67">
        <f>(Table16[[#This Row],[Index]]-B500)/B500</f>
        <v>-2.5119028717821667E-3</v>
      </c>
    </row>
    <row r="513" spans="1:4" x14ac:dyDescent="0.2">
      <c r="A513" s="17">
        <v>41699</v>
      </c>
      <c r="B513" s="59">
        <f>VLOOKUP(Table16[[#This Row],[Date]],database!A:H,4,)</f>
        <v>102.8844</v>
      </c>
      <c r="C513" s="67">
        <f t="shared" si="7"/>
        <v>1.0871711835280573E-2</v>
      </c>
      <c r="D513" s="67">
        <f>(Table16[[#This Row],[Index]]-B501)/B501</f>
        <v>4.2479589884547144E-3</v>
      </c>
    </row>
    <row r="514" spans="1:4" x14ac:dyDescent="0.2">
      <c r="A514" s="17">
        <v>41730</v>
      </c>
      <c r="B514" s="59">
        <f>VLOOKUP(Table16[[#This Row],[Date]],database!A:H,4,)</f>
        <v>102.7176</v>
      </c>
      <c r="C514" s="67">
        <f t="shared" si="7"/>
        <v>-1.6212370388513087E-3</v>
      </c>
      <c r="D514" s="67">
        <f>(Table16[[#This Row],[Index]]-B502)/B502</f>
        <v>9.1971527242181578E-3</v>
      </c>
    </row>
    <row r="515" spans="1:4" x14ac:dyDescent="0.2">
      <c r="A515" s="17">
        <v>41760</v>
      </c>
      <c r="B515" s="59">
        <f>VLOOKUP(Table16[[#This Row],[Date]],database!A:H,4,)</f>
        <v>103.3156</v>
      </c>
      <c r="C515" s="67">
        <f t="shared" si="7"/>
        <v>5.821787113406085E-3</v>
      </c>
      <c r="D515" s="67">
        <f>(Table16[[#This Row],[Index]]-B503)/B503</f>
        <v>2.0303240084653701E-2</v>
      </c>
    </row>
    <row r="516" spans="1:4" x14ac:dyDescent="0.2">
      <c r="A516" s="17">
        <v>41791</v>
      </c>
      <c r="B516" s="59">
        <f>VLOOKUP(Table16[[#This Row],[Date]],database!A:H,4,)</f>
        <v>102.8759</v>
      </c>
      <c r="C516" s="67">
        <f t="shared" si="7"/>
        <v>-4.255891656245514E-3</v>
      </c>
      <c r="D516" s="67">
        <f>(Table16[[#This Row],[Index]]-B504)/B504</f>
        <v>1.7054734119749893E-2</v>
      </c>
    </row>
    <row r="517" spans="1:4" x14ac:dyDescent="0.2">
      <c r="A517" s="17">
        <v>41821</v>
      </c>
      <c r="B517" s="59">
        <f>VLOOKUP(Table16[[#This Row],[Date]],database!A:H,4,)</f>
        <v>104.196</v>
      </c>
      <c r="C517" s="67">
        <f t="shared" si="7"/>
        <v>1.283196550406851E-2</v>
      </c>
      <c r="D517" s="67">
        <f>(Table16[[#This Row],[Index]]-B505)/B505</f>
        <v>4.8465729853742527E-2</v>
      </c>
    </row>
    <row r="518" spans="1:4" x14ac:dyDescent="0.2">
      <c r="A518" s="17">
        <v>41852</v>
      </c>
      <c r="B518" s="59">
        <f>VLOOKUP(Table16[[#This Row],[Date]],database!A:H,4,)</f>
        <v>103.2897</v>
      </c>
      <c r="C518" s="67">
        <f t="shared" si="7"/>
        <v>-8.6980306345733061E-3</v>
      </c>
      <c r="D518" s="67">
        <f>(Table16[[#This Row],[Index]]-B506)/B506</f>
        <v>2.3950742363965997E-2</v>
      </c>
    </row>
    <row r="519" spans="1:4" x14ac:dyDescent="0.2">
      <c r="A519" s="17">
        <v>41883</v>
      </c>
      <c r="B519" s="59">
        <f>VLOOKUP(Table16[[#This Row],[Date]],database!A:H,4,)</f>
        <v>102.83629999999999</v>
      </c>
      <c r="C519" s="67">
        <f t="shared" si="7"/>
        <v>-4.3895954775742263E-3</v>
      </c>
      <c r="D519" s="67">
        <f>(Table16[[#This Row],[Index]]-B507)/B507</f>
        <v>1.1367972588620701E-2</v>
      </c>
    </row>
    <row r="520" spans="1:4" x14ac:dyDescent="0.2">
      <c r="A520" s="17">
        <v>41913</v>
      </c>
      <c r="B520" s="59">
        <f>VLOOKUP(Table16[[#This Row],[Date]],database!A:H,4,)</f>
        <v>103.9594</v>
      </c>
      <c r="C520" s="67">
        <f t="shared" ref="C520:C583" si="8">B520/B519-1</f>
        <v>1.0921240845888081E-2</v>
      </c>
      <c r="D520" s="67">
        <f>(Table16[[#This Row],[Index]]-B508)/B508</f>
        <v>2.6455371248025286E-2</v>
      </c>
    </row>
    <row r="521" spans="1:4" x14ac:dyDescent="0.2">
      <c r="A521" s="17">
        <v>41944</v>
      </c>
      <c r="B521" s="59">
        <f>VLOOKUP(Table16[[#This Row],[Date]],database!A:H,4,)</f>
        <v>105.1203</v>
      </c>
      <c r="C521" s="68">
        <f t="shared" si="8"/>
        <v>1.1166859370100202E-2</v>
      </c>
      <c r="D521" s="67">
        <f>(Table16[[#This Row],[Index]]-B509)/B509</f>
        <v>4.0732193402180629E-2</v>
      </c>
    </row>
    <row r="522" spans="1:4" x14ac:dyDescent="0.2">
      <c r="A522" s="17">
        <v>41974</v>
      </c>
      <c r="B522" s="59">
        <f>VLOOKUP(Table16[[#This Row],[Date]],database!A:H,4,)</f>
        <v>104.0367</v>
      </c>
      <c r="C522" s="67">
        <f t="shared" si="8"/>
        <v>-1.0308189759732467E-2</v>
      </c>
      <c r="D522" s="67">
        <f>(Table16[[#This Row],[Index]]-B510)/B510</f>
        <v>3.8290419161676581E-2</v>
      </c>
    </row>
    <row r="523" spans="1:4" x14ac:dyDescent="0.2">
      <c r="A523" s="17">
        <v>42005</v>
      </c>
      <c r="B523" s="59">
        <f>VLOOKUP(Table16[[#This Row],[Date]],database!A:H,4,)</f>
        <v>103.36069999999999</v>
      </c>
      <c r="C523" s="68">
        <f t="shared" si="8"/>
        <v>-6.4977070591435426E-3</v>
      </c>
      <c r="D523" s="67">
        <f>(Table16[[#This Row],[Index]]-B511)/B511</f>
        <v>2.9978386145608965E-2</v>
      </c>
    </row>
    <row r="524" spans="1:4" x14ac:dyDescent="0.2">
      <c r="A524" s="17">
        <v>42036</v>
      </c>
      <c r="B524" s="59">
        <f>VLOOKUP(Table16[[#This Row],[Date]],database!A:H,4,)</f>
        <v>102.6604</v>
      </c>
      <c r="C524" s="67">
        <f t="shared" si="8"/>
        <v>-6.7753024118450966E-3</v>
      </c>
      <c r="D524" s="67">
        <f>(Table16[[#This Row],[Index]]-B512)/B512</f>
        <v>8.670841115802087E-3</v>
      </c>
    </row>
    <row r="525" spans="1:4" x14ac:dyDescent="0.2">
      <c r="A525" s="17">
        <v>42064</v>
      </c>
      <c r="B525" s="59">
        <f>VLOOKUP(Table16[[#This Row],[Date]],database!A:H,4,)</f>
        <v>102.6665</v>
      </c>
      <c r="C525" s="68">
        <f t="shared" si="8"/>
        <v>5.9419211302591535E-5</v>
      </c>
      <c r="D525" s="67">
        <f>(Table16[[#This Row],[Index]]-B513)/B513</f>
        <v>-2.1179109758136336E-3</v>
      </c>
    </row>
    <row r="526" spans="1:4" x14ac:dyDescent="0.2">
      <c r="A526" s="17">
        <v>42095</v>
      </c>
      <c r="B526" s="59">
        <f>VLOOKUP(Table16[[#This Row],[Date]],database!A:H,4,)</f>
        <v>101.92100000000001</v>
      </c>
      <c r="C526" s="67">
        <f t="shared" si="8"/>
        <v>-7.261375424310712E-3</v>
      </c>
      <c r="D526" s="67">
        <f>(Table16[[#This Row],[Index]]-B514)/B514</f>
        <v>-7.7552435025740277E-3</v>
      </c>
    </row>
    <row r="527" spans="1:4" x14ac:dyDescent="0.2">
      <c r="A527" s="17">
        <v>42125</v>
      </c>
      <c r="B527" s="59">
        <f>VLOOKUP(Table16[[#This Row],[Date]],database!A:H,4,)</f>
        <v>102.12779999999999</v>
      </c>
      <c r="C527" s="67">
        <f t="shared" si="8"/>
        <v>2.0290224781938093E-3</v>
      </c>
      <c r="D527" s="67">
        <f>(Table16[[#This Row],[Index]]-B515)/B515</f>
        <v>-1.1496811710913065E-2</v>
      </c>
    </row>
    <row r="528" spans="1:4" x14ac:dyDescent="0.2">
      <c r="A528" s="17">
        <v>42156</v>
      </c>
      <c r="B528" s="59">
        <f>VLOOKUP(Table16[[#This Row],[Date]],database!A:H,4,)</f>
        <v>101.5732</v>
      </c>
      <c r="C528" s="67">
        <f t="shared" si="8"/>
        <v>-5.4304508664633211E-3</v>
      </c>
      <c r="D528" s="67">
        <f>(Table16[[#This Row],[Index]]-B516)/B516</f>
        <v>-1.266282968119843E-2</v>
      </c>
    </row>
    <row r="529" spans="1:4" x14ac:dyDescent="0.2">
      <c r="A529" s="17">
        <v>42186</v>
      </c>
      <c r="B529" s="59">
        <f>VLOOKUP(Table16[[#This Row],[Date]],database!A:H,4,)</f>
        <v>101.3236</v>
      </c>
      <c r="C529" s="67">
        <f t="shared" si="8"/>
        <v>-2.4573411096627806E-3</v>
      </c>
      <c r="D529" s="67">
        <f>(Table16[[#This Row],[Index]]-B517)/B517</f>
        <v>-2.7567277054781365E-2</v>
      </c>
    </row>
    <row r="530" spans="1:4" x14ac:dyDescent="0.2">
      <c r="A530" s="17">
        <v>42217</v>
      </c>
      <c r="B530" s="59">
        <f>VLOOKUP(Table16[[#This Row],[Date]],database!A:H,4,)</f>
        <v>100.98609999999999</v>
      </c>
      <c r="C530" s="67">
        <f t="shared" si="8"/>
        <v>-3.3309120481309629E-3</v>
      </c>
      <c r="D530" s="67">
        <f>(Table16[[#This Row],[Index]]-B518)/B518</f>
        <v>-2.2302320560520585E-2</v>
      </c>
    </row>
    <row r="531" spans="1:4" x14ac:dyDescent="0.2">
      <c r="A531" s="17">
        <v>42248</v>
      </c>
      <c r="B531" s="59">
        <f>VLOOKUP(Table16[[#This Row],[Date]],database!A:H,4,)</f>
        <v>99.960599999999999</v>
      </c>
      <c r="C531" s="67">
        <f t="shared" si="8"/>
        <v>-1.0154862896972872E-2</v>
      </c>
      <c r="D531" s="67">
        <f>(Table16[[#This Row],[Index]]-B519)/B519</f>
        <v>-2.7963861010168539E-2</v>
      </c>
    </row>
    <row r="532" spans="1:4" x14ac:dyDescent="0.2">
      <c r="A532" s="17">
        <v>42278</v>
      </c>
      <c r="B532" s="59">
        <f>VLOOKUP(Table16[[#This Row],[Date]],database!A:H,4,)</f>
        <v>99.144599999999997</v>
      </c>
      <c r="C532" s="67">
        <f t="shared" si="8"/>
        <v>-8.1632163072250519E-3</v>
      </c>
      <c r="D532" s="67">
        <f>(Table16[[#This Row],[Index]]-B520)/B520</f>
        <v>-4.6314234210663059E-2</v>
      </c>
    </row>
    <row r="533" spans="1:4" x14ac:dyDescent="0.2">
      <c r="A533" s="17">
        <v>42309</v>
      </c>
      <c r="B533" s="59">
        <f>VLOOKUP(Table16[[#This Row],[Date]],database!A:H,4,)</f>
        <v>97.668099999999995</v>
      </c>
      <c r="C533" s="67">
        <f t="shared" si="8"/>
        <v>-1.4892389499781111E-2</v>
      </c>
      <c r="D533" s="67">
        <f>(Table16[[#This Row],[Index]]-B521)/B521</f>
        <v>-7.0892111228754148E-2</v>
      </c>
    </row>
    <row r="534" spans="1:4" x14ac:dyDescent="0.2">
      <c r="A534" s="17">
        <v>42339</v>
      </c>
      <c r="B534" s="59">
        <f>VLOOKUP(Table16[[#This Row],[Date]],database!A:H,4,)</f>
        <v>96.662599999999998</v>
      </c>
      <c r="C534" s="67">
        <f t="shared" si="8"/>
        <v>-1.0295070754934299E-2</v>
      </c>
      <c r="D534" s="67">
        <f>(Table16[[#This Row],[Index]]-B522)/B522</f>
        <v>-7.0879795303003645E-2</v>
      </c>
    </row>
    <row r="535" spans="1:4" x14ac:dyDescent="0.2">
      <c r="A535" s="17">
        <v>42370</v>
      </c>
      <c r="B535" s="59">
        <f>VLOOKUP(Table16[[#This Row],[Date]],database!A:H,4,)</f>
        <v>96.655799999999999</v>
      </c>
      <c r="C535" s="67">
        <f t="shared" si="8"/>
        <v>-7.0347787044844345E-5</v>
      </c>
      <c r="D535" s="67">
        <f>(Table16[[#This Row],[Index]]-B523)/B523</f>
        <v>-6.4868949223447547E-2</v>
      </c>
    </row>
    <row r="536" spans="1:4" x14ac:dyDescent="0.2">
      <c r="A536" s="17">
        <v>42401</v>
      </c>
      <c r="B536" s="59">
        <f>VLOOKUP(Table16[[#This Row],[Date]],database!A:H,4,)</f>
        <v>96.192400000000006</v>
      </c>
      <c r="C536" s="67">
        <f t="shared" si="8"/>
        <v>-4.7943320524995725E-3</v>
      </c>
      <c r="D536" s="67">
        <f>(Table16[[#This Row],[Index]]-B524)/B524</f>
        <v>-6.3003845689282231E-2</v>
      </c>
    </row>
    <row r="537" spans="1:4" x14ac:dyDescent="0.2">
      <c r="A537" s="17">
        <v>42430</v>
      </c>
      <c r="B537" s="59">
        <f>VLOOKUP(Table16[[#This Row],[Date]],database!A:H,4,)</f>
        <v>95.569599999999994</v>
      </c>
      <c r="C537" s="67">
        <f t="shared" si="8"/>
        <v>-6.4745239748671413E-3</v>
      </c>
      <c r="D537" s="67">
        <f>(Table16[[#This Row],[Index]]-B525)/B525</f>
        <v>-6.9125761567794805E-2</v>
      </c>
    </row>
    <row r="538" spans="1:4" x14ac:dyDescent="0.2">
      <c r="A538" s="17">
        <v>42461</v>
      </c>
      <c r="B538" s="59">
        <f>VLOOKUP(Table16[[#This Row],[Date]],database!A:H,4,)</f>
        <v>95.416300000000007</v>
      </c>
      <c r="C538" s="67">
        <f t="shared" si="8"/>
        <v>-1.6040665651000374E-3</v>
      </c>
      <c r="D538" s="67">
        <f>(Table16[[#This Row],[Index]]-B526)/B526</f>
        <v>-6.3820998616575572E-2</v>
      </c>
    </row>
    <row r="539" spans="1:4" x14ac:dyDescent="0.2">
      <c r="A539" s="17">
        <v>42491</v>
      </c>
      <c r="B539" s="59">
        <f>VLOOKUP(Table16[[#This Row],[Date]],database!A:H,4,)</f>
        <v>95.200699999999998</v>
      </c>
      <c r="C539" s="67">
        <f t="shared" si="8"/>
        <v>-2.2595720018487864E-3</v>
      </c>
      <c r="D539" s="67">
        <f>(Table16[[#This Row],[Index]]-B527)/B527</f>
        <v>-6.782776090349539E-2</v>
      </c>
    </row>
    <row r="540" spans="1:4" x14ac:dyDescent="0.2">
      <c r="A540" s="17">
        <v>42522</v>
      </c>
      <c r="B540" s="59">
        <f>VLOOKUP(Table16[[#This Row],[Date]],database!A:H,4,)</f>
        <v>95.261600000000001</v>
      </c>
      <c r="C540" s="67">
        <f t="shared" si="8"/>
        <v>6.3970117866785081E-4</v>
      </c>
      <c r="D540" s="67">
        <f>(Table16[[#This Row],[Index]]-B528)/B528</f>
        <v>-6.2138438091937621E-2</v>
      </c>
    </row>
    <row r="541" spans="1:4" x14ac:dyDescent="0.2">
      <c r="A541" s="17">
        <v>42552</v>
      </c>
      <c r="B541" s="59">
        <f>VLOOKUP(Table16[[#This Row],[Date]],database!A:H,4,)</f>
        <v>95.320099999999996</v>
      </c>
      <c r="C541" s="67">
        <f t="shared" si="8"/>
        <v>6.1409844050475115E-4</v>
      </c>
      <c r="D541" s="67">
        <f>(Table16[[#This Row],[Index]]-B529)/B529</f>
        <v>-5.9250756980604738E-2</v>
      </c>
    </row>
    <row r="542" spans="1:4" x14ac:dyDescent="0.2">
      <c r="A542" s="17">
        <v>42583</v>
      </c>
      <c r="B542" s="59">
        <f>VLOOKUP(Table16[[#This Row],[Date]],database!A:H,4,)</f>
        <v>95.073800000000006</v>
      </c>
      <c r="C542" s="67">
        <f t="shared" si="8"/>
        <v>-2.5839251112828032E-3</v>
      </c>
      <c r="D542" s="67">
        <f>(Table16[[#This Row],[Index]]-B530)/B530</f>
        <v>-5.8545681039271623E-2</v>
      </c>
    </row>
    <row r="543" spans="1:4" x14ac:dyDescent="0.2">
      <c r="A543" s="17">
        <v>42614</v>
      </c>
      <c r="B543" s="59">
        <f>VLOOKUP(Table16[[#This Row],[Date]],database!A:H,4,)</f>
        <v>94.640600000000006</v>
      </c>
      <c r="C543" s="67">
        <f t="shared" si="8"/>
        <v>-4.556460349749325E-3</v>
      </c>
      <c r="D543" s="67">
        <f>(Table16[[#This Row],[Index]]-B531)/B531</f>
        <v>-5.3220969061810286E-2</v>
      </c>
    </row>
    <row r="544" spans="1:4" x14ac:dyDescent="0.2">
      <c r="A544" s="17">
        <v>42644</v>
      </c>
      <c r="B544" s="59">
        <f>VLOOKUP(Table16[[#This Row],[Date]],database!A:H,4,)</f>
        <v>95.117099999999994</v>
      </c>
      <c r="C544" s="67">
        <f t="shared" si="8"/>
        <v>5.0348370572459444E-3</v>
      </c>
      <c r="D544" s="67">
        <f>(Table16[[#This Row],[Index]]-B532)/B532</f>
        <v>-4.0622484734418249E-2</v>
      </c>
    </row>
    <row r="545" spans="1:4" x14ac:dyDescent="0.2">
      <c r="A545" s="17">
        <v>42675</v>
      </c>
      <c r="B545" s="59">
        <f>VLOOKUP(Table16[[#This Row],[Date]],database!A:H,4,)</f>
        <v>95.037099999999995</v>
      </c>
      <c r="C545" s="67">
        <f t="shared" si="8"/>
        <v>-8.4106853552090577E-4</v>
      </c>
      <c r="D545" s="67">
        <f>(Table16[[#This Row],[Index]]-B533)/B533</f>
        <v>-2.6938171214552144E-2</v>
      </c>
    </row>
    <row r="546" spans="1:4" x14ac:dyDescent="0.2">
      <c r="A546" s="17">
        <v>42705</v>
      </c>
      <c r="B546" s="59">
        <f>VLOOKUP(Table16[[#This Row],[Date]],database!A:H,4,)</f>
        <v>96.107900000000001</v>
      </c>
      <c r="C546" s="67">
        <f t="shared" si="8"/>
        <v>1.1267178817535584E-2</v>
      </c>
      <c r="D546" s="67">
        <f>(Table16[[#This Row],[Index]]-B534)/B534</f>
        <v>-5.7385172755543183E-3</v>
      </c>
    </row>
    <row r="547" spans="1:4" x14ac:dyDescent="0.2">
      <c r="A547" s="17">
        <v>42736</v>
      </c>
      <c r="B547" s="59">
        <f>VLOOKUP(Table16[[#This Row],[Date]],database!A:H,4,)</f>
        <v>96.186599999999999</v>
      </c>
      <c r="C547" s="67">
        <f t="shared" si="8"/>
        <v>8.1887128945701271E-4</v>
      </c>
      <c r="D547" s="67">
        <f>(Table16[[#This Row],[Index]]-B535)/B535</f>
        <v>-4.8543387980855852E-3</v>
      </c>
    </row>
    <row r="548" spans="1:4" x14ac:dyDescent="0.2">
      <c r="A548" s="17">
        <v>42767</v>
      </c>
      <c r="B548" s="59">
        <f>VLOOKUP(Table16[[#This Row],[Date]],database!A:H,4,)</f>
        <v>96.248900000000006</v>
      </c>
      <c r="C548" s="67">
        <f t="shared" si="8"/>
        <v>6.4769936768738212E-4</v>
      </c>
      <c r="D548" s="67">
        <f>(Table16[[#This Row],[Index]]-B536)/B536</f>
        <v>5.8736449033395329E-4</v>
      </c>
    </row>
    <row r="549" spans="1:4" x14ac:dyDescent="0.2">
      <c r="A549" s="17">
        <v>42795</v>
      </c>
      <c r="B549" s="59">
        <f>VLOOKUP(Table16[[#This Row],[Date]],database!A:H,4,)</f>
        <v>97.005600000000001</v>
      </c>
      <c r="C549" s="67">
        <f t="shared" si="8"/>
        <v>7.8619080321955526E-3</v>
      </c>
      <c r="D549" s="67">
        <f>(Table16[[#This Row],[Index]]-B537)/B537</f>
        <v>1.5025698548492483E-2</v>
      </c>
    </row>
    <row r="550" spans="1:4" x14ac:dyDescent="0.2">
      <c r="A550" s="17">
        <v>42826</v>
      </c>
      <c r="B550" s="59">
        <f>VLOOKUP(Table16[[#This Row],[Date]],database!A:H,4,)</f>
        <v>99.969700000000003</v>
      </c>
      <c r="C550" s="67">
        <f t="shared" si="8"/>
        <v>3.0555967902883951E-2</v>
      </c>
      <c r="D550" s="67">
        <f>(Table16[[#This Row],[Index]]-B538)/B538</f>
        <v>4.7721406090992798E-2</v>
      </c>
    </row>
    <row r="551" spans="1:4" x14ac:dyDescent="0.2">
      <c r="A551" s="17">
        <v>42856</v>
      </c>
      <c r="B551" s="59">
        <f>VLOOKUP(Table16[[#This Row],[Date]],database!A:H,4,)</f>
        <v>99.862300000000005</v>
      </c>
      <c r="C551" s="67">
        <f t="shared" si="8"/>
        <v>-1.0743255206326907E-3</v>
      </c>
      <c r="D551" s="67">
        <f>(Table16[[#This Row],[Index]]-B539)/B539</f>
        <v>4.8966026510309346E-2</v>
      </c>
    </row>
    <row r="552" spans="1:4" x14ac:dyDescent="0.2">
      <c r="A552" s="17">
        <v>42887</v>
      </c>
      <c r="B552" s="59">
        <f>VLOOKUP(Table16[[#This Row],[Date]],database!A:H,4,)</f>
        <v>99.853099999999998</v>
      </c>
      <c r="C552" s="67">
        <f t="shared" si="8"/>
        <v>-9.2126858684427049E-5</v>
      </c>
      <c r="D552" s="67">
        <f>(Table16[[#This Row],[Index]]-B540)/B540</f>
        <v>4.8198854522703755E-2</v>
      </c>
    </row>
    <row r="553" spans="1:4" x14ac:dyDescent="0.2">
      <c r="A553" s="17">
        <v>42917</v>
      </c>
      <c r="B553" s="59">
        <f>VLOOKUP(Table16[[#This Row],[Date]],database!A:H,4,)</f>
        <v>99.758399999999995</v>
      </c>
      <c r="C553" s="67">
        <f t="shared" si="8"/>
        <v>-9.4839318959549779E-4</v>
      </c>
      <c r="D553" s="67">
        <f>(Table16[[#This Row],[Index]]-B541)/B541</f>
        <v>4.6562057740182801E-2</v>
      </c>
    </row>
    <row r="554" spans="1:4" x14ac:dyDescent="0.2">
      <c r="A554" s="17">
        <v>42948</v>
      </c>
      <c r="B554" s="59">
        <f>VLOOKUP(Table16[[#This Row],[Date]],database!A:H,4,)</f>
        <v>100.1024</v>
      </c>
      <c r="C554" s="67">
        <f t="shared" si="8"/>
        <v>3.44833116810217E-3</v>
      </c>
      <c r="D554" s="67">
        <f>(Table16[[#This Row],[Index]]-B542)/B542</f>
        <v>5.2891543201176318E-2</v>
      </c>
    </row>
    <row r="555" spans="1:4" x14ac:dyDescent="0.2">
      <c r="A555" s="17">
        <v>42979</v>
      </c>
      <c r="B555" s="59">
        <f>VLOOKUP(Table16[[#This Row],[Date]],database!A:H,4,)</f>
        <v>101.6281</v>
      </c>
      <c r="C555" s="67">
        <f t="shared" si="8"/>
        <v>1.5241392813758692E-2</v>
      </c>
      <c r="D555" s="67">
        <f>(Table16[[#This Row],[Index]]-B543)/B543</f>
        <v>7.3831949501588084E-2</v>
      </c>
    </row>
    <row r="556" spans="1:4" x14ac:dyDescent="0.2">
      <c r="A556" s="17">
        <v>43009</v>
      </c>
      <c r="B556" s="59">
        <f>VLOOKUP(Table16[[#This Row],[Date]],database!A:H,4,)</f>
        <v>102.87220000000001</v>
      </c>
      <c r="C556" s="67">
        <f t="shared" si="8"/>
        <v>1.2241692996326936E-2</v>
      </c>
      <c r="D556" s="67">
        <f>(Table16[[#This Row],[Index]]-B544)/B544</f>
        <v>8.1532132497731891E-2</v>
      </c>
    </row>
    <row r="557" spans="1:4" x14ac:dyDescent="0.2">
      <c r="A557" s="17">
        <v>43040</v>
      </c>
      <c r="B557" s="59">
        <f>VLOOKUP(Table16[[#This Row],[Date]],database!A:H,4,)</f>
        <v>103.2946</v>
      </c>
      <c r="C557" s="67">
        <f t="shared" si="8"/>
        <v>4.1060655842879434E-3</v>
      </c>
      <c r="D557" s="67">
        <f>(Table16[[#This Row],[Index]]-B545)/B545</f>
        <v>8.6887120924354883E-2</v>
      </c>
    </row>
    <row r="558" spans="1:4" x14ac:dyDescent="0.2">
      <c r="A558" s="17">
        <v>43070</v>
      </c>
      <c r="B558" s="59">
        <f>VLOOKUP(Table16[[#This Row],[Date]],database!A:H,4,)</f>
        <v>103.2182</v>
      </c>
      <c r="C558" s="67">
        <f t="shared" si="8"/>
        <v>-7.3963208144478543E-4</v>
      </c>
      <c r="D558" s="67">
        <f>(Table16[[#This Row],[Index]]-B546)/B546</f>
        <v>7.3982471784317369E-2</v>
      </c>
    </row>
    <row r="559" spans="1:4" x14ac:dyDescent="0.2">
      <c r="A559" s="17">
        <v>43101</v>
      </c>
      <c r="B559" s="59">
        <f>VLOOKUP(Table16[[#This Row],[Date]],database!A:H,4,)</f>
        <v>103.7684</v>
      </c>
      <c r="C559" s="67">
        <f t="shared" si="8"/>
        <v>5.3304552879240852E-3</v>
      </c>
      <c r="D559" s="67">
        <f>(Table16[[#This Row],[Index]]-B547)/B547</f>
        <v>7.882386943711496E-2</v>
      </c>
    </row>
    <row r="560" spans="1:4" x14ac:dyDescent="0.2">
      <c r="A560" s="17">
        <v>43132</v>
      </c>
      <c r="B560" s="59">
        <f>VLOOKUP(Table16[[#This Row],[Date]],database!A:H,4,)</f>
        <v>104.41589999999999</v>
      </c>
      <c r="C560" s="67">
        <f t="shared" si="8"/>
        <v>6.2398572205024649E-3</v>
      </c>
      <c r="D560" s="67">
        <f>(Table16[[#This Row],[Index]]-B548)/B548</f>
        <v>8.4852917799579916E-2</v>
      </c>
    </row>
    <row r="561" spans="1:4" x14ac:dyDescent="0.2">
      <c r="A561" s="17">
        <v>43160</v>
      </c>
      <c r="B561" s="59">
        <f>VLOOKUP(Table16[[#This Row],[Date]],database!A:H,4,)</f>
        <v>104.5989</v>
      </c>
      <c r="C561" s="67">
        <f t="shared" si="8"/>
        <v>1.7526066432411724E-3</v>
      </c>
      <c r="D561" s="67">
        <f>(Table16[[#This Row],[Index]]-B549)/B549</f>
        <v>7.8276924218807983E-2</v>
      </c>
    </row>
    <row r="562" spans="1:4" x14ac:dyDescent="0.2">
      <c r="A562" s="17">
        <v>43191</v>
      </c>
      <c r="B562" s="59">
        <f>VLOOKUP(Table16[[#This Row],[Date]],database!A:H,4,)</f>
        <v>105.72709999999999</v>
      </c>
      <c r="C562" s="67">
        <f t="shared" si="8"/>
        <v>1.0785964288343219E-2</v>
      </c>
      <c r="D562" s="67">
        <f>(Table16[[#This Row],[Index]]-B550)/B550</f>
        <v>5.759145020941335E-2</v>
      </c>
    </row>
    <row r="563" spans="1:4" x14ac:dyDescent="0.2">
      <c r="A563" s="17">
        <v>43221</v>
      </c>
      <c r="B563" s="59">
        <f>VLOOKUP(Table16[[#This Row],[Date]],database!A:H,4,)</f>
        <v>103.6131</v>
      </c>
      <c r="C563" s="67">
        <f t="shared" si="8"/>
        <v>-1.999487359437635E-2</v>
      </c>
      <c r="D563" s="67">
        <f>(Table16[[#This Row],[Index]]-B551)/B551</f>
        <v>3.75597197340738E-2</v>
      </c>
    </row>
    <row r="564" spans="1:4" x14ac:dyDescent="0.2">
      <c r="A564" s="17">
        <v>43252</v>
      </c>
      <c r="B564" s="59">
        <f>VLOOKUP(Table16[[#This Row],[Date]],database!A:H,4,)</f>
        <v>104.9924</v>
      </c>
      <c r="C564" s="67">
        <f t="shared" si="8"/>
        <v>1.3312023286630836E-2</v>
      </c>
      <c r="D564" s="67">
        <f>(Table16[[#This Row],[Index]]-B552)/B552</f>
        <v>5.1468607384247515E-2</v>
      </c>
    </row>
    <row r="565" spans="1:4" x14ac:dyDescent="0.2">
      <c r="A565" s="17">
        <v>43282</v>
      </c>
      <c r="B565" s="59">
        <f>VLOOKUP(Table16[[#This Row],[Date]],database!A:H,4,)</f>
        <v>104.4686</v>
      </c>
      <c r="C565" s="67">
        <f t="shared" si="8"/>
        <v>-4.9889325322595157E-3</v>
      </c>
      <c r="D565" s="67">
        <f>(Table16[[#This Row],[Index]]-B553)/B553</f>
        <v>4.7216074034868251E-2</v>
      </c>
    </row>
    <row r="566" spans="1:4" x14ac:dyDescent="0.2">
      <c r="A566" s="17">
        <v>43313</v>
      </c>
      <c r="B566" s="59">
        <f>VLOOKUP(Table16[[#This Row],[Date]],database!A:H,4,)</f>
        <v>104.7217</v>
      </c>
      <c r="C566" s="67">
        <f t="shared" si="8"/>
        <v>2.4227375498475645E-3</v>
      </c>
      <c r="D566" s="67">
        <f>(Table16[[#This Row],[Index]]-B554)/B554</f>
        <v>4.61457467553225E-2</v>
      </c>
    </row>
    <row r="567" spans="1:4" x14ac:dyDescent="0.2">
      <c r="A567" s="17">
        <v>43344</v>
      </c>
      <c r="B567" s="59">
        <f>VLOOKUP(Table16[[#This Row],[Date]],database!A:H,4,)</f>
        <v>104.1682</v>
      </c>
      <c r="C567" s="67">
        <f t="shared" si="8"/>
        <v>-5.2854374976724072E-3</v>
      </c>
      <c r="D567" s="67">
        <f>(Table16[[#This Row],[Index]]-B555)/B555</f>
        <v>2.4994071521557474E-2</v>
      </c>
    </row>
    <row r="568" spans="1:4" x14ac:dyDescent="0.2">
      <c r="A568" s="17">
        <v>43374</v>
      </c>
      <c r="B568" s="59">
        <f>VLOOKUP(Table16[[#This Row],[Date]],database!A:H,4,)</f>
        <v>103.2689</v>
      </c>
      <c r="C568" s="67">
        <f t="shared" si="8"/>
        <v>-8.6331529199890067E-3</v>
      </c>
      <c r="D568" s="67">
        <f>(Table16[[#This Row],[Index]]-B556)/B556</f>
        <v>3.8562410447136892E-3</v>
      </c>
    </row>
    <row r="569" spans="1:4" x14ac:dyDescent="0.2">
      <c r="A569" s="17">
        <v>43405</v>
      </c>
      <c r="B569" s="59">
        <f>VLOOKUP(Table16[[#This Row],[Date]],database!A:H,4,)</f>
        <v>101.8002</v>
      </c>
      <c r="C569" s="67">
        <f t="shared" si="8"/>
        <v>-1.4222093970207905E-2</v>
      </c>
      <c r="D569" s="67">
        <f>(Table16[[#This Row],[Index]]-B557)/B557</f>
        <v>-1.4467358409829737E-2</v>
      </c>
    </row>
    <row r="570" spans="1:4" x14ac:dyDescent="0.2">
      <c r="A570" s="17">
        <v>43435</v>
      </c>
      <c r="B570" s="59">
        <f>VLOOKUP(Table16[[#This Row],[Date]],database!A:H,4,)</f>
        <v>100.938</v>
      </c>
      <c r="C570" s="67">
        <f t="shared" si="8"/>
        <v>-8.4695314940442801E-3</v>
      </c>
      <c r="D570" s="67">
        <f>(Table16[[#This Row],[Index]]-B558)/B558</f>
        <v>-2.2091065335376837E-2</v>
      </c>
    </row>
    <row r="571" spans="1:4" x14ac:dyDescent="0.2">
      <c r="A571" s="17">
        <v>43466</v>
      </c>
      <c r="B571" s="59">
        <f>VLOOKUP(Table16[[#This Row],[Date]],database!A:H,4,)</f>
        <v>99.531999999999996</v>
      </c>
      <c r="C571" s="67">
        <f t="shared" si="8"/>
        <v>-1.3929342764865571E-2</v>
      </c>
      <c r="D571" s="67">
        <f>(Table16[[#This Row],[Index]]-B559)/B559</f>
        <v>-4.0825530701061243E-2</v>
      </c>
    </row>
    <row r="572" spans="1:4" x14ac:dyDescent="0.2">
      <c r="A572" s="17">
        <v>43497</v>
      </c>
      <c r="B572" s="59">
        <f>VLOOKUP(Table16[[#This Row],[Date]],database!A:H,4,)</f>
        <v>98.608599999999996</v>
      </c>
      <c r="C572" s="67">
        <f t="shared" si="8"/>
        <v>-9.2774183177269931E-3</v>
      </c>
      <c r="D572" s="67">
        <f>(Table16[[#This Row],[Index]]-B560)/B560</f>
        <v>-5.5617008520732938E-2</v>
      </c>
    </row>
    <row r="573" spans="1:4" x14ac:dyDescent="0.2">
      <c r="A573" s="17">
        <v>43525</v>
      </c>
      <c r="B573" s="59">
        <f>VLOOKUP(Table16[[#This Row],[Date]],database!A:H,4,)</f>
        <v>98.302499999999995</v>
      </c>
      <c r="C573" s="67">
        <f t="shared" si="8"/>
        <v>-3.1041917236427352E-3</v>
      </c>
      <c r="D573" s="67">
        <f>(Table16[[#This Row],[Index]]-B561)/B561</f>
        <v>-6.0195661713459754E-2</v>
      </c>
    </row>
    <row r="574" spans="1:4" x14ac:dyDescent="0.2">
      <c r="A574" s="17">
        <v>43556</v>
      </c>
      <c r="B574" s="59">
        <f>VLOOKUP(Table16[[#This Row],[Date]],database!A:H,4,)</f>
        <v>96.176699999999997</v>
      </c>
      <c r="C574" s="67">
        <f t="shared" si="8"/>
        <v>-2.1625085831998181E-2</v>
      </c>
      <c r="D574" s="67">
        <f>(Table16[[#This Row],[Index]]-B562)/B562</f>
        <v>-9.0330672079343866E-2</v>
      </c>
    </row>
    <row r="575" spans="1:4" x14ac:dyDescent="0.2">
      <c r="A575" s="17">
        <v>43586</v>
      </c>
      <c r="B575" s="59">
        <f>VLOOKUP(Table16[[#This Row],[Date]],database!A:H,4,)</f>
        <v>95.727699999999999</v>
      </c>
      <c r="C575" s="67">
        <f t="shared" si="8"/>
        <v>-4.6684903932032729E-3</v>
      </c>
      <c r="D575" s="67">
        <f>(Table16[[#This Row],[Index]]-B563)/B563</f>
        <v>-7.6104276389761569E-2</v>
      </c>
    </row>
    <row r="576" spans="1:4" x14ac:dyDescent="0.2">
      <c r="A576" s="17">
        <v>43617</v>
      </c>
      <c r="B576" s="59">
        <f>VLOOKUP(Table16[[#This Row],[Date]],database!A:H,4,)</f>
        <v>95.794899999999998</v>
      </c>
      <c r="C576" s="67">
        <f t="shared" si="8"/>
        <v>7.0199116870028888E-4</v>
      </c>
      <c r="D576" s="67">
        <f>(Table16[[#This Row],[Index]]-B564)/B564</f>
        <v>-8.7601578780940381E-2</v>
      </c>
    </row>
    <row r="577" spans="1:4" x14ac:dyDescent="0.2">
      <c r="A577" s="17">
        <v>43647</v>
      </c>
      <c r="B577" s="59">
        <f>VLOOKUP(Table16[[#This Row],[Date]],database!A:H,4,)</f>
        <v>94.399900000000002</v>
      </c>
      <c r="C577" s="67">
        <f t="shared" si="8"/>
        <v>-1.4562361879390195E-2</v>
      </c>
      <c r="D577" s="67">
        <f>(Table16[[#This Row],[Index]]-B565)/B565</f>
        <v>-9.6380156334056291E-2</v>
      </c>
    </row>
    <row r="578" spans="1:4" x14ac:dyDescent="0.2">
      <c r="A578" s="17">
        <v>43678</v>
      </c>
      <c r="B578" s="59">
        <f>VLOOKUP(Table16[[#This Row],[Date]],database!A:H,4,)</f>
        <v>95.301199999999994</v>
      </c>
      <c r="C578" s="67">
        <f t="shared" si="8"/>
        <v>9.5476796055926627E-3</v>
      </c>
      <c r="D578" s="67">
        <f>(Table16[[#This Row],[Index]]-B566)/B566</f>
        <v>-8.9957477772037733E-2</v>
      </c>
    </row>
    <row r="579" spans="1:4" x14ac:dyDescent="0.2">
      <c r="A579" s="17">
        <v>43709</v>
      </c>
      <c r="B579" s="59">
        <f>VLOOKUP(Table16[[#This Row],[Date]],database!A:H,4,)</f>
        <v>93.722499999999997</v>
      </c>
      <c r="C579" s="67">
        <f t="shared" si="8"/>
        <v>-1.6565373783331117E-2</v>
      </c>
      <c r="D579" s="67">
        <f>(Table16[[#This Row],[Index]]-B567)/B567</f>
        <v>-0.10027724391896954</v>
      </c>
    </row>
    <row r="580" spans="1:4" x14ac:dyDescent="0.2">
      <c r="A580" s="17">
        <v>43739</v>
      </c>
      <c r="B580" s="59">
        <f>VLOOKUP(Table16[[#This Row],[Date]],database!A:H,4,)</f>
        <v>93.109800000000007</v>
      </c>
      <c r="C580" s="67">
        <f t="shared" si="8"/>
        <v>-6.5373842993944331E-3</v>
      </c>
      <c r="D580" s="67">
        <f>(Table16[[#This Row],[Index]]-B568)/B568</f>
        <v>-9.8375212672934392E-2</v>
      </c>
    </row>
    <row r="581" spans="1:4" x14ac:dyDescent="0.2">
      <c r="A581" s="17">
        <v>43770</v>
      </c>
      <c r="B581" s="59">
        <f>VLOOKUP(Table16[[#This Row],[Date]],database!A:H,4,)</f>
        <v>94.523700000000005</v>
      </c>
      <c r="C581" s="67">
        <f t="shared" si="8"/>
        <v>1.5185297358602412E-2</v>
      </c>
      <c r="D581" s="67">
        <f>(Table16[[#This Row],[Index]]-B569)/B569</f>
        <v>-7.1478248569256234E-2</v>
      </c>
    </row>
    <row r="582" spans="1:4" x14ac:dyDescent="0.2">
      <c r="A582" s="17">
        <v>43800</v>
      </c>
      <c r="B582" s="59">
        <f>VLOOKUP(Table16[[#This Row],[Date]],database!A:H,4,)</f>
        <v>94.229600000000005</v>
      </c>
      <c r="C582" s="67">
        <f t="shared" si="8"/>
        <v>-3.1113889955640683E-3</v>
      </c>
      <c r="D582" s="67">
        <f>(Table16[[#This Row],[Index]]-B570)/B570</f>
        <v>-6.6460599575977303E-2</v>
      </c>
    </row>
    <row r="583" spans="1:4" x14ac:dyDescent="0.2">
      <c r="A583" s="17">
        <v>43831</v>
      </c>
      <c r="B583" s="59">
        <f>VLOOKUP(Table16[[#This Row],[Date]],database!A:H,4,)</f>
        <v>91.699399999999997</v>
      </c>
      <c r="C583" s="67">
        <f t="shared" si="8"/>
        <v>-2.6851435217808528E-2</v>
      </c>
      <c r="D583" s="67">
        <f>(Table16[[#This Row],[Index]]-B571)/B571</f>
        <v>-7.8694289273801385E-2</v>
      </c>
    </row>
    <row r="584" spans="1:4" x14ac:dyDescent="0.2">
      <c r="A584" s="17">
        <v>43862</v>
      </c>
      <c r="B584" s="59">
        <f>VLOOKUP(Table16[[#This Row],[Date]],database!A:H,4,)</f>
        <v>91.452100000000002</v>
      </c>
      <c r="C584" s="67">
        <f t="shared" ref="C584:C647" si="9">B584/B583-1</f>
        <v>-2.6968551593575807E-3</v>
      </c>
      <c r="D584" s="67">
        <f>(Table16[[#This Row],[Index]]-B572)/B572</f>
        <v>-7.2574805848577048E-2</v>
      </c>
    </row>
    <row r="585" spans="1:4" x14ac:dyDescent="0.2">
      <c r="A585" s="17">
        <v>43891</v>
      </c>
      <c r="B585" s="59">
        <f>VLOOKUP(Table16[[#This Row],[Date]],database!A:H,4,)</f>
        <v>85.345600000000005</v>
      </c>
      <c r="C585" s="67">
        <f t="shared" si="9"/>
        <v>-6.6772660223220592E-2</v>
      </c>
      <c r="D585" s="67">
        <f>(Table16[[#This Row],[Index]]-B573)/B573</f>
        <v>-0.13180641387553715</v>
      </c>
    </row>
    <row r="586" spans="1:4" x14ac:dyDescent="0.2">
      <c r="A586" s="17">
        <v>43922</v>
      </c>
      <c r="B586" s="59">
        <f>VLOOKUP(Table16[[#This Row],[Date]],database!A:H,4,)</f>
        <v>65.439599999999999</v>
      </c>
      <c r="C586" s="67">
        <f t="shared" si="9"/>
        <v>-0.2332399092630435</v>
      </c>
      <c r="D586" s="67">
        <f>(Table16[[#This Row],[Index]]-B574)/B574</f>
        <v>-0.31958987987735077</v>
      </c>
    </row>
    <row r="587" spans="1:4" x14ac:dyDescent="0.2">
      <c r="A587" s="17">
        <v>43952</v>
      </c>
      <c r="B587" s="59">
        <f>VLOOKUP(Table16[[#This Row],[Date]],database!A:H,4,)</f>
        <v>71.249799999999993</v>
      </c>
      <c r="C587" s="67">
        <f t="shared" si="9"/>
        <v>8.8787217525779338E-2</v>
      </c>
      <c r="D587" s="67">
        <f>(Table16[[#This Row],[Index]]-B575)/B575</f>
        <v>-0.25570341708826189</v>
      </c>
    </row>
    <row r="588" spans="1:4" x14ac:dyDescent="0.2">
      <c r="A588" s="17">
        <v>43983</v>
      </c>
      <c r="B588" s="59">
        <f>VLOOKUP(Table16[[#This Row],[Date]],database!A:H,4,)</f>
        <v>79.391400000000004</v>
      </c>
      <c r="C588" s="67">
        <f t="shared" si="9"/>
        <v>0.11426839092881691</v>
      </c>
      <c r="D588" s="67">
        <f>(Table16[[#This Row],[Index]]-B576)/B576</f>
        <v>-0.17123562945417756</v>
      </c>
    </row>
    <row r="589" spans="1:4" x14ac:dyDescent="0.2">
      <c r="A589" s="17">
        <v>44013</v>
      </c>
      <c r="B589" s="59">
        <f>VLOOKUP(Table16[[#This Row],[Date]],database!A:H,4,)</f>
        <v>83.608599999999996</v>
      </c>
      <c r="C589" s="67">
        <f t="shared" si="9"/>
        <v>5.3119103580488547E-2</v>
      </c>
      <c r="D589" s="67">
        <f>(Table16[[#This Row],[Index]]-B577)/B577</f>
        <v>-0.11431473974019048</v>
      </c>
    </row>
    <row r="590" spans="1:4" x14ac:dyDescent="0.2">
      <c r="A590" s="17">
        <v>44044</v>
      </c>
      <c r="B590" s="59">
        <f>VLOOKUP(Table16[[#This Row],[Date]],database!A:H,4,)</f>
        <v>85.692099999999996</v>
      </c>
      <c r="C590" s="67">
        <f t="shared" si="9"/>
        <v>2.491968529553179E-2</v>
      </c>
      <c r="D590" s="67">
        <f>(Table16[[#This Row],[Index]]-B578)/B578</f>
        <v>-0.10082874087629536</v>
      </c>
    </row>
    <row r="591" spans="1:4" x14ac:dyDescent="0.2">
      <c r="A591" s="17">
        <v>44075</v>
      </c>
      <c r="B591" s="59">
        <f>VLOOKUP(Table16[[#This Row],[Date]],database!A:H,4,)</f>
        <v>85.483000000000004</v>
      </c>
      <c r="C591" s="67">
        <f t="shared" si="9"/>
        <v>-2.4401315873924245E-3</v>
      </c>
      <c r="D591" s="67">
        <f>(Table16[[#This Row],[Index]]-B579)/B579</f>
        <v>-8.7913788044492971E-2</v>
      </c>
    </row>
    <row r="592" spans="1:4" x14ac:dyDescent="0.2">
      <c r="A592" s="17">
        <v>44105</v>
      </c>
      <c r="B592" s="59">
        <f>VLOOKUP(Table16[[#This Row],[Date]],database!A:H,4,)</f>
        <v>86.008700000000005</v>
      </c>
      <c r="C592" s="67">
        <f t="shared" si="9"/>
        <v>6.1497607711475943E-3</v>
      </c>
      <c r="D592" s="67">
        <f>(Table16[[#This Row],[Index]]-B580)/B580</f>
        <v>-7.6265871046871561E-2</v>
      </c>
    </row>
    <row r="593" spans="1:4" x14ac:dyDescent="0.2">
      <c r="A593" s="17">
        <v>44136</v>
      </c>
      <c r="B593" s="59">
        <f>VLOOKUP(Table16[[#This Row],[Date]],database!A:H,4,)</f>
        <v>86.807900000000004</v>
      </c>
      <c r="C593" s="67">
        <f t="shared" si="9"/>
        <v>9.2920832427416666E-3</v>
      </c>
      <c r="D593" s="67">
        <f>(Table16[[#This Row],[Index]]-B581)/B581</f>
        <v>-8.1628205413033991E-2</v>
      </c>
    </row>
    <row r="594" spans="1:4" x14ac:dyDescent="0.2">
      <c r="A594" s="17">
        <v>44166</v>
      </c>
      <c r="B594" s="59">
        <f>VLOOKUP(Table16[[#This Row],[Date]],database!A:H,4,)</f>
        <v>87.642399999999995</v>
      </c>
      <c r="C594" s="67">
        <f t="shared" si="9"/>
        <v>9.613180367224583E-3</v>
      </c>
      <c r="D594" s="67">
        <f>(Table16[[#This Row],[Index]]-B582)/B582</f>
        <v>-6.9905846994999549E-2</v>
      </c>
    </row>
    <row r="595" spans="1:4" x14ac:dyDescent="0.2">
      <c r="A595" s="17">
        <v>44197</v>
      </c>
      <c r="B595" s="59">
        <f>VLOOKUP(Table16[[#This Row],[Date]],database!A:H,4,)</f>
        <v>90.296099999999996</v>
      </c>
      <c r="C595" s="67">
        <f t="shared" si="9"/>
        <v>3.0278723540204222E-2</v>
      </c>
      <c r="D595" s="67">
        <f>(Table16[[#This Row],[Index]]-B583)/B583</f>
        <v>-1.5303262616767411E-2</v>
      </c>
    </row>
    <row r="596" spans="1:4" x14ac:dyDescent="0.2">
      <c r="A596" s="17">
        <v>44228</v>
      </c>
      <c r="B596" s="59">
        <f>VLOOKUP(Table16[[#This Row],[Date]],database!A:H,4,)</f>
        <v>88.100099999999998</v>
      </c>
      <c r="C596" s="67">
        <f t="shared" si="9"/>
        <v>-2.4319987241973928E-2</v>
      </c>
      <c r="D596" s="67">
        <f>(Table16[[#This Row],[Index]]-B584)/B584</f>
        <v>-3.6653067562144599E-2</v>
      </c>
    </row>
    <row r="597" spans="1:4" x14ac:dyDescent="0.2">
      <c r="A597" s="17">
        <v>44256</v>
      </c>
      <c r="B597" s="59">
        <f>VLOOKUP(Table16[[#This Row],[Date]],database!A:H,4,)</f>
        <v>90.433700000000002</v>
      </c>
      <c r="C597" s="67">
        <f t="shared" si="9"/>
        <v>2.6488051659419254E-2</v>
      </c>
      <c r="D597" s="67">
        <f>(Table16[[#This Row],[Index]]-B585)/B585</f>
        <v>5.9617601844734781E-2</v>
      </c>
    </row>
    <row r="598" spans="1:4" x14ac:dyDescent="0.2">
      <c r="A598" s="17">
        <v>44287</v>
      </c>
      <c r="B598" s="59">
        <f>VLOOKUP(Table16[[#This Row],[Date]],database!A:H,4,)</f>
        <v>89.203599999999994</v>
      </c>
      <c r="C598" s="67">
        <f t="shared" si="9"/>
        <v>-1.3602230142082061E-2</v>
      </c>
      <c r="D598" s="67">
        <f>(Table16[[#This Row],[Index]]-B586)/B586</f>
        <v>0.36314402899773218</v>
      </c>
    </row>
    <row r="599" spans="1:4" x14ac:dyDescent="0.2">
      <c r="A599" s="17">
        <v>44317</v>
      </c>
      <c r="B599" s="59">
        <f>VLOOKUP(Table16[[#This Row],[Date]],database!A:H,4,)</f>
        <v>90.915400000000005</v>
      </c>
      <c r="C599" s="67">
        <f t="shared" si="9"/>
        <v>1.9189808483065729E-2</v>
      </c>
      <c r="D599" s="67">
        <f>(Table16[[#This Row],[Index]]-B587)/B587</f>
        <v>0.27600919581528671</v>
      </c>
    </row>
    <row r="600" spans="1:4" x14ac:dyDescent="0.2">
      <c r="A600" s="17">
        <v>44348</v>
      </c>
      <c r="B600" s="59">
        <f>VLOOKUP(Table16[[#This Row],[Date]],database!A:H,4,)</f>
        <v>90.157300000000006</v>
      </c>
      <c r="C600" s="67">
        <f t="shared" si="9"/>
        <v>-8.3385213066212716E-3</v>
      </c>
      <c r="D600" s="67">
        <f>(Table16[[#This Row],[Index]]-B588)/B588</f>
        <v>0.13560536783581095</v>
      </c>
    </row>
    <row r="601" spans="1:4" x14ac:dyDescent="0.2">
      <c r="A601" s="17">
        <v>44378</v>
      </c>
      <c r="B601" s="59">
        <f>VLOOKUP(Table16[[#This Row],[Date]],database!A:H,4,)</f>
        <v>92.664199999999994</v>
      </c>
      <c r="C601" s="67">
        <f t="shared" si="9"/>
        <v>2.7805846004705037E-2</v>
      </c>
      <c r="D601" s="67">
        <f>(Table16[[#This Row],[Index]]-B589)/B589</f>
        <v>0.10830943228328185</v>
      </c>
    </row>
    <row r="602" spans="1:4" x14ac:dyDescent="0.2">
      <c r="A602" s="17">
        <v>44409</v>
      </c>
      <c r="B602" s="59">
        <f>VLOOKUP(Table16[[#This Row],[Date]],database!A:H,4,)</f>
        <v>92.696600000000004</v>
      </c>
      <c r="C602" s="67">
        <f t="shared" si="9"/>
        <v>3.4964959498928749E-4</v>
      </c>
      <c r="D602" s="67">
        <f>(Table16[[#This Row],[Index]]-B590)/B590</f>
        <v>8.1740323787140329E-2</v>
      </c>
    </row>
    <row r="603" spans="1:4" x14ac:dyDescent="0.2">
      <c r="A603" s="17">
        <v>44440</v>
      </c>
      <c r="B603" s="59">
        <f>VLOOKUP(Table16[[#This Row],[Date]],database!A:H,4,)</f>
        <v>92.233500000000006</v>
      </c>
      <c r="C603" s="67">
        <f t="shared" si="9"/>
        <v>-4.9958682411220812E-3</v>
      </c>
      <c r="D603" s="67">
        <f>(Table16[[#This Row],[Index]]-B591)/B591</f>
        <v>7.8968917796520974E-2</v>
      </c>
    </row>
    <row r="604" spans="1:4" x14ac:dyDescent="0.2">
      <c r="A604" s="17">
        <v>44470</v>
      </c>
      <c r="B604" s="59">
        <f>VLOOKUP(Table16[[#This Row],[Date]],database!A:H,4,)</f>
        <v>92.906000000000006</v>
      </c>
      <c r="C604" s="67">
        <f t="shared" si="9"/>
        <v>7.2912770305799679E-3</v>
      </c>
      <c r="D604" s="67">
        <f>(Table16[[#This Row],[Index]]-B592)/B592</f>
        <v>8.0193050237941058E-2</v>
      </c>
    </row>
    <row r="605" spans="1:4" x14ac:dyDescent="0.2">
      <c r="A605" s="17">
        <v>44501</v>
      </c>
      <c r="B605" s="59">
        <f>VLOOKUP(Table16[[#This Row],[Date]],database!A:H,4,)</f>
        <v>93.415599999999998</v>
      </c>
      <c r="C605" s="67">
        <f t="shared" si="9"/>
        <v>5.4851139861795684E-3</v>
      </c>
      <c r="D605" s="67">
        <f>(Table16[[#This Row],[Index]]-B593)/B593</f>
        <v>7.6118648187549681E-2</v>
      </c>
    </row>
    <row r="606" spans="1:4" x14ac:dyDescent="0.2">
      <c r="A606" s="17">
        <v>44531</v>
      </c>
      <c r="B606" s="59">
        <f>VLOOKUP(Table16[[#This Row],[Date]],database!A:H,4,)</f>
        <v>94.230599999999995</v>
      </c>
      <c r="C606" s="67">
        <f t="shared" si="9"/>
        <v>8.7244528751087014E-3</v>
      </c>
      <c r="D606" s="67">
        <f>(Table16[[#This Row],[Index]]-B594)/B594</f>
        <v>7.5171378237017708E-2</v>
      </c>
    </row>
    <row r="607" spans="1:4" x14ac:dyDescent="0.2">
      <c r="A607" s="17">
        <v>44562</v>
      </c>
      <c r="B607" s="59">
        <f>VLOOKUP(Table16[[#This Row],[Date]],database!A:H,4,)</f>
        <v>93.428200000000004</v>
      </c>
      <c r="C607" s="67">
        <f t="shared" si="9"/>
        <v>-8.5152805988711888E-3</v>
      </c>
      <c r="D607" s="67">
        <f>(Table16[[#This Row],[Index]]-B595)/B595</f>
        <v>3.4686990911013967E-2</v>
      </c>
    </row>
    <row r="608" spans="1:4" x14ac:dyDescent="0.2">
      <c r="A608" s="17">
        <v>44593</v>
      </c>
      <c r="B608" s="59">
        <f>VLOOKUP(Table16[[#This Row],[Date]],database!A:H,4,)</f>
        <v>95.267799999999994</v>
      </c>
      <c r="C608" s="67">
        <f t="shared" si="9"/>
        <v>1.9689986535114556E-2</v>
      </c>
      <c r="D608" s="67">
        <f>(Table16[[#This Row],[Index]]-B596)/B596</f>
        <v>8.1358590966412028E-2</v>
      </c>
    </row>
    <row r="609" spans="1:4" x14ac:dyDescent="0.2">
      <c r="A609" s="17">
        <v>44621</v>
      </c>
      <c r="B609" s="59">
        <f>VLOOKUP(Table16[[#This Row],[Date]],database!A:H,4,)</f>
        <v>96.392099999999999</v>
      </c>
      <c r="C609" s="67">
        <f t="shared" si="9"/>
        <v>1.1801469121780928E-2</v>
      </c>
      <c r="D609" s="67">
        <f>(Table16[[#This Row],[Index]]-B597)/B597</f>
        <v>6.5886942588880004E-2</v>
      </c>
    </row>
    <row r="610" spans="1:4" x14ac:dyDescent="0.2">
      <c r="A610" s="17">
        <v>44652</v>
      </c>
      <c r="B610" s="59">
        <f>VLOOKUP(Table16[[#This Row],[Date]],database!A:H,4,)</f>
        <v>97.299599999999998</v>
      </c>
      <c r="C610" s="67">
        <f t="shared" si="9"/>
        <v>9.4146719492571584E-3</v>
      </c>
      <c r="D610" s="67">
        <f>(Table16[[#This Row],[Index]]-B598)/B598</f>
        <v>9.0758668932644018E-2</v>
      </c>
    </row>
    <row r="611" spans="1:4" x14ac:dyDescent="0.2">
      <c r="A611" s="17">
        <v>44682</v>
      </c>
      <c r="B611" s="59">
        <f>VLOOKUP(Table16[[#This Row],[Date]],database!A:H,4,)</f>
        <v>97.0137</v>
      </c>
      <c r="C611" s="67">
        <f t="shared" si="9"/>
        <v>-2.9383471257846683E-3</v>
      </c>
      <c r="D611" s="67">
        <f>(Table16[[#This Row],[Index]]-B599)/B599</f>
        <v>6.7076644880845207E-2</v>
      </c>
    </row>
    <row r="612" spans="1:4" x14ac:dyDescent="0.2">
      <c r="A612" s="17">
        <v>44713</v>
      </c>
      <c r="B612" s="59">
        <f>VLOOKUP(Table16[[#This Row],[Date]],database!A:H,4,)</f>
        <v>96.848500000000001</v>
      </c>
      <c r="C612" s="67">
        <f t="shared" si="9"/>
        <v>-1.7028522775649479E-3</v>
      </c>
      <c r="D612" s="67">
        <f>(Table16[[#This Row],[Index]]-B600)/B600</f>
        <v>7.4216951927353572E-2</v>
      </c>
    </row>
    <row r="613" spans="1:4" x14ac:dyDescent="0.2">
      <c r="A613" s="17">
        <v>44743</v>
      </c>
      <c r="B613" s="59">
        <f>VLOOKUP(Table16[[#This Row],[Date]],database!A:H,4,)</f>
        <v>97.377200000000002</v>
      </c>
      <c r="C613" s="67">
        <f t="shared" si="9"/>
        <v>5.4590416991486812E-3</v>
      </c>
      <c r="D613" s="67">
        <f>(Table16[[#This Row],[Index]]-B601)/B601</f>
        <v>5.0861066085931876E-2</v>
      </c>
    </row>
    <row r="614" spans="1:4" x14ac:dyDescent="0.2">
      <c r="A614" s="17">
        <v>44774</v>
      </c>
      <c r="B614" s="59">
        <f>VLOOKUP(Table16[[#This Row],[Date]],database!A:H,4,)</f>
        <v>98.069800000000001</v>
      </c>
      <c r="C614" s="67">
        <f t="shared" si="9"/>
        <v>7.1125479064915176E-3</v>
      </c>
      <c r="D614" s="67">
        <f>(Table16[[#This Row],[Index]]-B602)/B602</f>
        <v>5.7965448570929216E-2</v>
      </c>
    </row>
  </sheetData>
  <conditionalFormatting sqref="D463:D61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4"/>
  <sheetViews>
    <sheetView zoomScale="150" zoomScaleNormal="150" workbookViewId="0">
      <pane ySplit="6" topLeftCell="A595" activePane="bottomLeft" state="frozen"/>
      <selection pane="bottomLeft" activeCell="AD588" sqref="AD588"/>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7" x14ac:dyDescent="0.2">
      <c r="A1" s="15" t="s">
        <v>16</v>
      </c>
      <c r="B1" s="75"/>
      <c r="C1" s="75"/>
      <c r="U1" s="75" t="s">
        <v>69</v>
      </c>
      <c r="V1" s="75" t="s">
        <v>67</v>
      </c>
      <c r="W1" s="75" t="str">
        <f>U1&amp;V1</f>
        <v xml:space="preserve">Industrial Production: Construction supplies since 2010 </v>
      </c>
      <c r="AA1" s="75" t="str">
        <f>W2&amp; V1</f>
        <v xml:space="preserve">Industrial Production: Construction supplies yoy since 2010 </v>
      </c>
    </row>
    <row r="2" spans="1:27" x14ac:dyDescent="0.2">
      <c r="A2" s="16"/>
      <c r="B2" s="75"/>
      <c r="C2" s="75"/>
      <c r="W2" s="75" t="str">
        <f>U1&amp;Table110[[#Headers],[ yoy]]</f>
        <v>Industrial Production: Construction supplies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65</v>
      </c>
    </row>
    <row r="7" spans="1:27" x14ac:dyDescent="0.2">
      <c r="A7" s="17">
        <v>26299</v>
      </c>
      <c r="B7" s="59">
        <f>VLOOKUP(Table110[[#This Row],[Date]],database!A:H,3,)</f>
        <v>64.271600000000007</v>
      </c>
      <c r="C7" s="67"/>
      <c r="D7" s="67"/>
    </row>
    <row r="8" spans="1:27" x14ac:dyDescent="0.2">
      <c r="A8" s="17">
        <v>26330</v>
      </c>
      <c r="B8" s="59">
        <f>VLOOKUP(Table110[[#This Row],[Date]],database!A:H,3,)</f>
        <v>64.565899999999999</v>
      </c>
      <c r="C8" s="67">
        <f t="shared" ref="C8:C71" si="0">B8/B7-1</f>
        <v>4.5790053460625924E-3</v>
      </c>
      <c r="D8" s="67"/>
    </row>
    <row r="9" spans="1:27" x14ac:dyDescent="0.2">
      <c r="A9" s="17">
        <v>26359</v>
      </c>
      <c r="B9" s="59">
        <f>VLOOKUP(Table110[[#This Row],[Date]],database!A:H,3,)</f>
        <v>65.025199999999998</v>
      </c>
      <c r="C9" s="67">
        <f t="shared" si="0"/>
        <v>7.1136621653224985E-3</v>
      </c>
      <c r="D9" s="67"/>
    </row>
    <row r="10" spans="1:27" x14ac:dyDescent="0.2">
      <c r="A10" s="17">
        <v>26390</v>
      </c>
      <c r="B10" s="59">
        <f>VLOOKUP(Table110[[#This Row],[Date]],database!A:H,3,)</f>
        <v>65.741200000000006</v>
      </c>
      <c r="C10" s="67">
        <f t="shared" si="0"/>
        <v>1.1011115690532369E-2</v>
      </c>
      <c r="D10" s="67"/>
    </row>
    <row r="11" spans="1:27" x14ac:dyDescent="0.2">
      <c r="A11" s="17">
        <v>26420</v>
      </c>
      <c r="B11" s="59">
        <f>VLOOKUP(Table110[[#This Row],[Date]],database!A:H,3,)</f>
        <v>66.084199999999996</v>
      </c>
      <c r="C11" s="67">
        <f t="shared" si="0"/>
        <v>5.217428340218655E-3</v>
      </c>
      <c r="D11" s="67"/>
    </row>
    <row r="12" spans="1:27" x14ac:dyDescent="0.2">
      <c r="A12" s="17">
        <v>26451</v>
      </c>
      <c r="B12" s="59">
        <f>VLOOKUP(Table110[[#This Row],[Date]],database!A:H,3,)</f>
        <v>66.650700000000001</v>
      </c>
      <c r="C12" s="67">
        <f t="shared" si="0"/>
        <v>8.5723970328763777E-3</v>
      </c>
      <c r="D12" s="67"/>
    </row>
    <row r="13" spans="1:27" x14ac:dyDescent="0.2">
      <c r="A13" s="17">
        <v>26481</v>
      </c>
      <c r="B13" s="59">
        <f>VLOOKUP(Table110[[#This Row],[Date]],database!A:H,3,)</f>
        <v>67.556299999999993</v>
      </c>
      <c r="C13" s="67">
        <f t="shared" si="0"/>
        <v>1.3587254147368277E-2</v>
      </c>
      <c r="D13" s="67"/>
    </row>
    <row r="14" spans="1:27" x14ac:dyDescent="0.2">
      <c r="A14" s="17">
        <v>26512</v>
      </c>
      <c r="B14" s="59">
        <f>VLOOKUP(Table110[[#This Row],[Date]],database!A:H,3,)</f>
        <v>68.041799999999995</v>
      </c>
      <c r="C14" s="67">
        <f t="shared" si="0"/>
        <v>7.1865984371553004E-3</v>
      </c>
      <c r="D14" s="67"/>
    </row>
    <row r="15" spans="1:27" x14ac:dyDescent="0.2">
      <c r="A15" s="17">
        <v>26543</v>
      </c>
      <c r="B15" s="59">
        <f>VLOOKUP(Table110[[#This Row],[Date]],database!A:H,3,)</f>
        <v>68.652799999999999</v>
      </c>
      <c r="C15" s="67">
        <f t="shared" si="0"/>
        <v>8.979774197625634E-3</v>
      </c>
      <c r="D15" s="67"/>
    </row>
    <row r="16" spans="1:27" x14ac:dyDescent="0.2">
      <c r="A16" s="17">
        <v>26573</v>
      </c>
      <c r="B16" s="59">
        <f>VLOOKUP(Table110[[#This Row],[Date]],database!A:H,3,)</f>
        <v>69.696299999999994</v>
      </c>
      <c r="C16" s="67">
        <f t="shared" si="0"/>
        <v>1.5199671389950486E-2</v>
      </c>
      <c r="D16" s="67"/>
    </row>
    <row r="17" spans="1:4" x14ac:dyDescent="0.2">
      <c r="A17" s="17">
        <v>26604</v>
      </c>
      <c r="B17" s="59">
        <f>VLOOKUP(Table110[[#This Row],[Date]],database!A:H,3,)</f>
        <v>70.174000000000007</v>
      </c>
      <c r="C17" s="67">
        <f t="shared" si="0"/>
        <v>6.8540223799542499E-3</v>
      </c>
      <c r="D17" s="67"/>
    </row>
    <row r="18" spans="1:4" x14ac:dyDescent="0.2">
      <c r="A18" s="17">
        <v>26634</v>
      </c>
      <c r="B18" s="59">
        <f>VLOOKUP(Table110[[#This Row],[Date]],database!A:H,3,)</f>
        <v>69.948099999999997</v>
      </c>
      <c r="C18" s="67">
        <f t="shared" si="0"/>
        <v>-3.2191409923905123E-3</v>
      </c>
      <c r="D18" s="67"/>
    </row>
    <row r="19" spans="1:4" x14ac:dyDescent="0.2">
      <c r="A19" s="17">
        <v>26665</v>
      </c>
      <c r="B19" s="59">
        <f>VLOOKUP(Table110[[#This Row],[Date]],database!A:H,3,)</f>
        <v>70.778499999999994</v>
      </c>
      <c r="C19" s="67">
        <f t="shared" si="0"/>
        <v>1.1871659130126444E-2</v>
      </c>
      <c r="D19" s="67"/>
    </row>
    <row r="20" spans="1:4" x14ac:dyDescent="0.2">
      <c r="A20" s="17">
        <v>26696</v>
      </c>
      <c r="B20" s="59">
        <f>VLOOKUP(Table110[[#This Row],[Date]],database!A:H,3,)</f>
        <v>72.088300000000004</v>
      </c>
      <c r="C20" s="67">
        <f t="shared" si="0"/>
        <v>1.8505619644383575E-2</v>
      </c>
      <c r="D20" s="67">
        <f>(Table110[[#This Row],[Index]]-B8)/B8</f>
        <v>0.11650732042765616</v>
      </c>
    </row>
    <row r="21" spans="1:4" x14ac:dyDescent="0.2">
      <c r="A21" s="17">
        <v>26724</v>
      </c>
      <c r="B21" s="59">
        <f>VLOOKUP(Table110[[#This Row],[Date]],database!A:H,3,)</f>
        <v>72.508700000000005</v>
      </c>
      <c r="C21" s="67">
        <f t="shared" si="0"/>
        <v>5.8317369115377105E-3</v>
      </c>
      <c r="D21" s="67">
        <f>(Table110[[#This Row],[Index]]-B9)/B9</f>
        <v>0.11508615121522128</v>
      </c>
    </row>
    <row r="22" spans="1:4" x14ac:dyDescent="0.2">
      <c r="A22" s="17">
        <v>26755</v>
      </c>
      <c r="B22" s="59">
        <f>VLOOKUP(Table110[[#This Row],[Date]],database!A:H,3,)</f>
        <v>72.387200000000007</v>
      </c>
      <c r="C22" s="67">
        <f t="shared" si="0"/>
        <v>-1.6756609896467767E-3</v>
      </c>
      <c r="D22" s="67">
        <f>(Table110[[#This Row],[Index]]-B10)/B10</f>
        <v>0.10109337827724471</v>
      </c>
    </row>
    <row r="23" spans="1:4" x14ac:dyDescent="0.2">
      <c r="A23" s="17">
        <v>26785</v>
      </c>
      <c r="B23" s="59">
        <f>VLOOKUP(Table110[[#This Row],[Date]],database!A:H,3,)</f>
        <v>72.709199999999996</v>
      </c>
      <c r="C23" s="67">
        <f t="shared" si="0"/>
        <v>4.4483002519781767E-3</v>
      </c>
      <c r="D23" s="67">
        <f>(Table110[[#This Row],[Index]]-B11)/B11</f>
        <v>0.10025089204378657</v>
      </c>
    </row>
    <row r="24" spans="1:4" x14ac:dyDescent="0.2">
      <c r="A24" s="17">
        <v>26816</v>
      </c>
      <c r="B24" s="59">
        <f>VLOOKUP(Table110[[#This Row],[Date]],database!A:H,3,)</f>
        <v>72.888000000000005</v>
      </c>
      <c r="C24" s="67">
        <f t="shared" si="0"/>
        <v>2.4591110891056811E-3</v>
      </c>
      <c r="D24" s="67">
        <f>(Table110[[#This Row],[Index]]-B12)/B12</f>
        <v>9.3581912868131986E-2</v>
      </c>
    </row>
    <row r="25" spans="1:4" x14ac:dyDescent="0.2">
      <c r="A25" s="17">
        <v>26846</v>
      </c>
      <c r="B25" s="59">
        <f>VLOOKUP(Table110[[#This Row],[Date]],database!A:H,3,)</f>
        <v>73.473600000000005</v>
      </c>
      <c r="C25" s="67">
        <f t="shared" si="0"/>
        <v>8.0342443200527303E-3</v>
      </c>
      <c r="D25" s="67">
        <f>(Table110[[#This Row],[Index]]-B13)/B13</f>
        <v>8.7590646616229909E-2</v>
      </c>
    </row>
    <row r="26" spans="1:4" x14ac:dyDescent="0.2">
      <c r="A26" s="17">
        <v>26877</v>
      </c>
      <c r="B26" s="59">
        <f>VLOOKUP(Table110[[#This Row],[Date]],database!A:H,3,)</f>
        <v>73.5398</v>
      </c>
      <c r="C26" s="67">
        <f t="shared" si="0"/>
        <v>9.0100389799863123E-4</v>
      </c>
      <c r="D26" s="67">
        <f>(Table110[[#This Row],[Index]]-B14)/B14</f>
        <v>8.0803270930516313E-2</v>
      </c>
    </row>
    <row r="27" spans="1:4" x14ac:dyDescent="0.2">
      <c r="A27" s="17">
        <v>26908</v>
      </c>
      <c r="B27" s="59">
        <f>VLOOKUP(Table110[[#This Row],[Date]],database!A:H,3,)</f>
        <v>73.428700000000006</v>
      </c>
      <c r="C27" s="67">
        <f t="shared" si="0"/>
        <v>-1.5107465617256732E-3</v>
      </c>
      <c r="D27" s="67">
        <f>(Table110[[#This Row],[Index]]-B15)/B15</f>
        <v>6.9565990025170235E-2</v>
      </c>
    </row>
    <row r="28" spans="1:4" x14ac:dyDescent="0.2">
      <c r="A28" s="17">
        <v>26938</v>
      </c>
      <c r="B28" s="59">
        <f>VLOOKUP(Table110[[#This Row],[Date]],database!A:H,3,)</f>
        <v>73.403999999999996</v>
      </c>
      <c r="C28" s="67">
        <f t="shared" si="0"/>
        <v>-3.3638073396380364E-4</v>
      </c>
      <c r="D28" s="67">
        <f>(Table110[[#This Row],[Index]]-B16)/B16</f>
        <v>5.3197945945480649E-2</v>
      </c>
    </row>
    <row r="29" spans="1:4" x14ac:dyDescent="0.2">
      <c r="A29" s="17">
        <v>26969</v>
      </c>
      <c r="B29" s="59">
        <f>VLOOKUP(Table110[[#This Row],[Date]],database!A:H,3,)</f>
        <v>73.910300000000007</v>
      </c>
      <c r="C29" s="67">
        <f t="shared" si="0"/>
        <v>6.8974442809657255E-3</v>
      </c>
      <c r="D29" s="67">
        <f>(Table110[[#This Row],[Index]]-B17)/B17</f>
        <v>5.3243366489013018E-2</v>
      </c>
    </row>
    <row r="30" spans="1:4" x14ac:dyDescent="0.2">
      <c r="A30" s="17">
        <v>26999</v>
      </c>
      <c r="B30" s="59">
        <f>VLOOKUP(Table110[[#This Row],[Date]],database!A:H,3,)</f>
        <v>74.466999999999999</v>
      </c>
      <c r="C30" s="67">
        <f t="shared" si="0"/>
        <v>7.5321031033561692E-3</v>
      </c>
      <c r="D30" s="67">
        <f>(Table110[[#This Row],[Index]]-B18)/B18</f>
        <v>6.4603613250395681E-2</v>
      </c>
    </row>
    <row r="31" spans="1:4" x14ac:dyDescent="0.2">
      <c r="A31" s="17">
        <v>27030</v>
      </c>
      <c r="B31" s="59">
        <f>VLOOKUP(Table110[[#This Row],[Date]],database!A:H,3,)</f>
        <v>74.625</v>
      </c>
      <c r="C31" s="67">
        <f t="shared" si="0"/>
        <v>2.1217452025730221E-3</v>
      </c>
      <c r="D31" s="67">
        <f>(Table110[[#This Row],[Index]]-B19)/B19</f>
        <v>5.4345599299222308E-2</v>
      </c>
    </row>
    <row r="32" spans="1:4" x14ac:dyDescent="0.2">
      <c r="A32" s="17">
        <v>27061</v>
      </c>
      <c r="B32" s="59">
        <f>VLOOKUP(Table110[[#This Row],[Date]],database!A:H,3,)</f>
        <v>73.718199999999996</v>
      </c>
      <c r="C32" s="67">
        <f t="shared" si="0"/>
        <v>-1.2151423785594639E-2</v>
      </c>
      <c r="D32" s="67">
        <f>(Table110[[#This Row],[Index]]-B20)/B20</f>
        <v>2.2609771627295858E-2</v>
      </c>
    </row>
    <row r="33" spans="1:4" x14ac:dyDescent="0.2">
      <c r="A33" s="17">
        <v>27089</v>
      </c>
      <c r="B33" s="59">
        <f>VLOOKUP(Table110[[#This Row],[Date]],database!A:H,3,)</f>
        <v>73.888199999999998</v>
      </c>
      <c r="C33" s="67">
        <f t="shared" si="0"/>
        <v>2.306079095800051E-3</v>
      </c>
      <c r="D33" s="67">
        <f>(Table110[[#This Row],[Index]]-B21)/B21</f>
        <v>1.9025303170515994E-2</v>
      </c>
    </row>
    <row r="34" spans="1:4" x14ac:dyDescent="0.2">
      <c r="A34" s="17">
        <v>27120</v>
      </c>
      <c r="B34" s="59">
        <f>VLOOKUP(Table110[[#This Row],[Date]],database!A:H,3,)</f>
        <v>73.2333</v>
      </c>
      <c r="C34" s="67">
        <f t="shared" si="0"/>
        <v>-8.8633909068024375E-3</v>
      </c>
      <c r="D34" s="67">
        <f>(Table110[[#This Row],[Index]]-B22)/B22</f>
        <v>1.1688530568940264E-2</v>
      </c>
    </row>
    <row r="35" spans="1:4" x14ac:dyDescent="0.2">
      <c r="A35" s="17">
        <v>27150</v>
      </c>
      <c r="B35" s="59">
        <f>VLOOKUP(Table110[[#This Row],[Date]],database!A:H,3,)</f>
        <v>73.554299999999998</v>
      </c>
      <c r="C35" s="67">
        <f t="shared" si="0"/>
        <v>4.3832518813162746E-3</v>
      </c>
      <c r="D35" s="67">
        <f>(Table110[[#This Row],[Index]]-B23)/B23</f>
        <v>1.1623013318809754E-2</v>
      </c>
    </row>
    <row r="36" spans="1:4" x14ac:dyDescent="0.2">
      <c r="A36" s="17">
        <v>27181</v>
      </c>
      <c r="B36" s="59">
        <f>VLOOKUP(Table110[[#This Row],[Date]],database!A:H,3,)</f>
        <v>73.125100000000003</v>
      </c>
      <c r="C36" s="67">
        <f t="shared" si="0"/>
        <v>-5.8351449201473615E-3</v>
      </c>
      <c r="D36" s="67">
        <f>(Table110[[#This Row],[Index]]-B24)/B24</f>
        <v>3.2529360114147469E-3</v>
      </c>
    </row>
    <row r="37" spans="1:4" x14ac:dyDescent="0.2">
      <c r="A37" s="17">
        <v>27211</v>
      </c>
      <c r="B37" s="59">
        <f>VLOOKUP(Table110[[#This Row],[Date]],database!A:H,3,)</f>
        <v>71.787300000000002</v>
      </c>
      <c r="C37" s="67">
        <f t="shared" si="0"/>
        <v>-1.8294675836340701E-2</v>
      </c>
      <c r="D37" s="67">
        <f>(Table110[[#This Row],[Index]]-B25)/B25</f>
        <v>-2.2951100803553965E-2</v>
      </c>
    </row>
    <row r="38" spans="1:4" x14ac:dyDescent="0.2">
      <c r="A38" s="17">
        <v>27242</v>
      </c>
      <c r="B38" s="59">
        <f>VLOOKUP(Table110[[#This Row],[Date]],database!A:H,3,)</f>
        <v>70.847399999999993</v>
      </c>
      <c r="C38" s="67">
        <f t="shared" si="0"/>
        <v>-1.3092845113272245E-2</v>
      </c>
      <c r="D38" s="67">
        <f>(Table110[[#This Row],[Index]]-B26)/B26</f>
        <v>-3.6611467531867184E-2</v>
      </c>
    </row>
    <row r="39" spans="1:4" x14ac:dyDescent="0.2">
      <c r="A39" s="17">
        <v>27273</v>
      </c>
      <c r="B39" s="59">
        <f>VLOOKUP(Table110[[#This Row],[Date]],database!A:H,3,)</f>
        <v>70.371300000000005</v>
      </c>
      <c r="C39" s="67">
        <f t="shared" si="0"/>
        <v>-6.7200772364263139E-3</v>
      </c>
      <c r="D39" s="67">
        <f>(Table110[[#This Row],[Index]]-B27)/B27</f>
        <v>-4.1637670284234922E-2</v>
      </c>
    </row>
    <row r="40" spans="1:4" x14ac:dyDescent="0.2">
      <c r="A40" s="17">
        <v>27303</v>
      </c>
      <c r="B40" s="59">
        <f>VLOOKUP(Table110[[#This Row],[Date]],database!A:H,3,)</f>
        <v>69.118799999999993</v>
      </c>
      <c r="C40" s="67">
        <f t="shared" si="0"/>
        <v>-1.7798449083646473E-2</v>
      </c>
      <c r="D40" s="67">
        <f>(Table110[[#This Row],[Index]]-B28)/B28</f>
        <v>-5.8378290011443568E-2</v>
      </c>
    </row>
    <row r="41" spans="1:4" x14ac:dyDescent="0.2">
      <c r="A41" s="17">
        <v>27334</v>
      </c>
      <c r="B41" s="59">
        <f>VLOOKUP(Table110[[#This Row],[Date]],database!A:H,3,)</f>
        <v>66.942099999999996</v>
      </c>
      <c r="C41" s="67">
        <f t="shared" si="0"/>
        <v>-3.1492155535107647E-2</v>
      </c>
      <c r="D41" s="67">
        <f>(Table110[[#This Row],[Index]]-B29)/B29</f>
        <v>-9.4279146478907672E-2</v>
      </c>
    </row>
    <row r="42" spans="1:4" x14ac:dyDescent="0.2">
      <c r="A42" s="17">
        <v>27364</v>
      </c>
      <c r="B42" s="59">
        <f>VLOOKUP(Table110[[#This Row],[Date]],database!A:H,3,)</f>
        <v>63.830500000000001</v>
      </c>
      <c r="C42" s="67">
        <f t="shared" si="0"/>
        <v>-4.6481959783155835E-2</v>
      </c>
      <c r="D42" s="67">
        <f>(Table110[[#This Row],[Index]]-B30)/B30</f>
        <v>-0.1428350813111848</v>
      </c>
    </row>
    <row r="43" spans="1:4" x14ac:dyDescent="0.2">
      <c r="A43" s="17">
        <v>27395</v>
      </c>
      <c r="B43" s="59">
        <f>VLOOKUP(Table110[[#This Row],[Date]],database!A:H,3,)</f>
        <v>63.444000000000003</v>
      </c>
      <c r="C43" s="67">
        <f t="shared" si="0"/>
        <v>-6.0550990513938974E-3</v>
      </c>
      <c r="D43" s="67">
        <f>(Table110[[#This Row],[Index]]-B31)/B31</f>
        <v>-0.14982914572864317</v>
      </c>
    </row>
    <row r="44" spans="1:4" x14ac:dyDescent="0.2">
      <c r="A44" s="17">
        <v>27426</v>
      </c>
      <c r="B44" s="59">
        <f>VLOOKUP(Table110[[#This Row],[Date]],database!A:H,3,)</f>
        <v>61.563899999999997</v>
      </c>
      <c r="C44" s="67">
        <f t="shared" si="0"/>
        <v>-2.9634007944013718E-2</v>
      </c>
      <c r="D44" s="67">
        <f>(Table110[[#This Row],[Index]]-B32)/B32</f>
        <v>-0.16487515972989031</v>
      </c>
    </row>
    <row r="45" spans="1:4" x14ac:dyDescent="0.2">
      <c r="A45" s="17">
        <v>27454</v>
      </c>
      <c r="B45" s="59">
        <f>VLOOKUP(Table110[[#This Row],[Date]],database!A:H,3,)</f>
        <v>59.207799999999999</v>
      </c>
      <c r="C45" s="67">
        <f t="shared" si="0"/>
        <v>-3.8270804806063263E-2</v>
      </c>
      <c r="D45" s="67">
        <f>(Table110[[#This Row],[Index]]-B33)/B33</f>
        <v>-0.19868395765494354</v>
      </c>
    </row>
    <row r="46" spans="1:4" x14ac:dyDescent="0.2">
      <c r="A46" s="17">
        <v>27485</v>
      </c>
      <c r="B46" s="59">
        <f>VLOOKUP(Table110[[#This Row],[Date]],database!A:H,3,)</f>
        <v>58.7667</v>
      </c>
      <c r="C46" s="67">
        <f t="shared" si="0"/>
        <v>-7.4500319214697575E-3</v>
      </c>
      <c r="D46" s="67">
        <f>(Table110[[#This Row],[Index]]-B34)/B34</f>
        <v>-0.19754128244937752</v>
      </c>
    </row>
    <row r="47" spans="1:4" x14ac:dyDescent="0.2">
      <c r="A47" s="17">
        <v>27515</v>
      </c>
      <c r="B47" s="59">
        <f>VLOOKUP(Table110[[#This Row],[Date]],database!A:H,3,)</f>
        <v>58.735599999999998</v>
      </c>
      <c r="C47" s="67">
        <f t="shared" si="0"/>
        <v>-5.2921127100891141E-4</v>
      </c>
      <c r="D47" s="67">
        <f>(Table110[[#This Row],[Index]]-B35)/B35</f>
        <v>-0.20146612774508085</v>
      </c>
    </row>
    <row r="48" spans="1:4" x14ac:dyDescent="0.2">
      <c r="A48" s="17">
        <v>27546</v>
      </c>
      <c r="B48" s="59">
        <f>VLOOKUP(Table110[[#This Row],[Date]],database!A:H,3,)</f>
        <v>58.452100000000002</v>
      </c>
      <c r="C48" s="67">
        <f t="shared" si="0"/>
        <v>-4.8267149735423676E-3</v>
      </c>
      <c r="D48" s="67">
        <f>(Table110[[#This Row],[Index]]-B36)/B36</f>
        <v>-0.20065613585485698</v>
      </c>
    </row>
    <row r="49" spans="1:4" x14ac:dyDescent="0.2">
      <c r="A49" s="17">
        <v>27576</v>
      </c>
      <c r="B49" s="59">
        <f>VLOOKUP(Table110[[#This Row],[Date]],database!A:H,3,)</f>
        <v>59.186599999999999</v>
      </c>
      <c r="C49" s="67">
        <f t="shared" si="0"/>
        <v>1.2565844512002045E-2</v>
      </c>
      <c r="D49" s="67">
        <f>(Table110[[#This Row],[Index]]-B37)/B37</f>
        <v>-0.1755282619627706</v>
      </c>
    </row>
    <row r="50" spans="1:4" x14ac:dyDescent="0.2">
      <c r="A50" s="17">
        <v>27607</v>
      </c>
      <c r="B50" s="59">
        <f>VLOOKUP(Table110[[#This Row],[Date]],database!A:H,3,)</f>
        <v>59.916499999999999</v>
      </c>
      <c r="C50" s="67">
        <f t="shared" si="0"/>
        <v>1.2332183298246591E-2</v>
      </c>
      <c r="D50" s="67">
        <f>(Table110[[#This Row],[Index]]-B38)/B38</f>
        <v>-0.15428794846388147</v>
      </c>
    </row>
    <row r="51" spans="1:4" x14ac:dyDescent="0.2">
      <c r="A51" s="17">
        <v>27638</v>
      </c>
      <c r="B51" s="59">
        <f>VLOOKUP(Table110[[#This Row],[Date]],database!A:H,3,)</f>
        <v>60.567399999999999</v>
      </c>
      <c r="C51" s="67">
        <f t="shared" si="0"/>
        <v>1.086345163686131E-2</v>
      </c>
      <c r="D51" s="67">
        <f>(Table110[[#This Row],[Index]]-B39)/B39</f>
        <v>-0.13931673849992832</v>
      </c>
    </row>
    <row r="52" spans="1:4" x14ac:dyDescent="0.2">
      <c r="A52" s="17">
        <v>27668</v>
      </c>
      <c r="B52" s="59">
        <f>VLOOKUP(Table110[[#This Row],[Date]],database!A:H,3,)</f>
        <v>60.906500000000001</v>
      </c>
      <c r="C52" s="67">
        <f t="shared" si="0"/>
        <v>5.5987214243966577E-3</v>
      </c>
      <c r="D52" s="67">
        <f>(Table110[[#This Row],[Index]]-B40)/B40</f>
        <v>-0.11881427339595006</v>
      </c>
    </row>
    <row r="53" spans="1:4" x14ac:dyDescent="0.2">
      <c r="A53" s="17">
        <v>27699</v>
      </c>
      <c r="B53" s="59">
        <f>VLOOKUP(Table110[[#This Row],[Date]],database!A:H,3,)</f>
        <v>61.1569</v>
      </c>
      <c r="C53" s="67">
        <f t="shared" si="0"/>
        <v>4.1112196563584114E-3</v>
      </c>
      <c r="D53" s="67">
        <f>(Table110[[#This Row],[Index]]-B41)/B41</f>
        <v>-8.6420951837483384E-2</v>
      </c>
    </row>
    <row r="54" spans="1:4" x14ac:dyDescent="0.2">
      <c r="A54" s="17">
        <v>27729</v>
      </c>
      <c r="B54" s="59">
        <f>VLOOKUP(Table110[[#This Row],[Date]],database!A:H,3,)</f>
        <v>61.234499999999997</v>
      </c>
      <c r="C54" s="67">
        <f t="shared" si="0"/>
        <v>1.2688674540402012E-3</v>
      </c>
      <c r="D54" s="67">
        <f>(Table110[[#This Row],[Index]]-B42)/B42</f>
        <v>-4.0670212515960293E-2</v>
      </c>
    </row>
    <row r="55" spans="1:4" x14ac:dyDescent="0.2">
      <c r="A55" s="17">
        <v>27760</v>
      </c>
      <c r="B55" s="59">
        <f>VLOOKUP(Table110[[#This Row],[Date]],database!A:H,3,)</f>
        <v>62.6477</v>
      </c>
      <c r="C55" s="67">
        <f t="shared" si="0"/>
        <v>2.3078493333006822E-2</v>
      </c>
      <c r="D55" s="67">
        <f>(Table110[[#This Row],[Index]]-B43)/B43</f>
        <v>-1.2551226278292702E-2</v>
      </c>
    </row>
    <row r="56" spans="1:4" x14ac:dyDescent="0.2">
      <c r="A56" s="17">
        <v>27791</v>
      </c>
      <c r="B56" s="59">
        <f>VLOOKUP(Table110[[#This Row],[Date]],database!A:H,3,)</f>
        <v>63.766100000000002</v>
      </c>
      <c r="C56" s="67">
        <f t="shared" si="0"/>
        <v>1.7852211653420547E-2</v>
      </c>
      <c r="D56" s="67">
        <f>(Table110[[#This Row],[Index]]-B44)/B44</f>
        <v>3.5770963178096332E-2</v>
      </c>
    </row>
    <row r="57" spans="1:4" x14ac:dyDescent="0.2">
      <c r="A57" s="17">
        <v>27820</v>
      </c>
      <c r="B57" s="59">
        <f>VLOOKUP(Table110[[#This Row],[Date]],database!A:H,3,)</f>
        <v>62.821399999999997</v>
      </c>
      <c r="C57" s="67">
        <f t="shared" si="0"/>
        <v>-1.4815081994978607E-2</v>
      </c>
      <c r="D57" s="67">
        <f>(Table110[[#This Row],[Index]]-B45)/B45</f>
        <v>6.1032499096402806E-2</v>
      </c>
    </row>
    <row r="58" spans="1:4" x14ac:dyDescent="0.2">
      <c r="A58" s="17">
        <v>27851</v>
      </c>
      <c r="B58" s="59">
        <f>VLOOKUP(Table110[[#This Row],[Date]],database!A:H,3,)</f>
        <v>63.640900000000002</v>
      </c>
      <c r="C58" s="67">
        <f t="shared" si="0"/>
        <v>1.304491781463013E-2</v>
      </c>
      <c r="D58" s="67">
        <f>(Table110[[#This Row],[Index]]-B46)/B46</f>
        <v>8.2941529811951353E-2</v>
      </c>
    </row>
    <row r="59" spans="1:4" x14ac:dyDescent="0.2">
      <c r="A59" s="17">
        <v>27881</v>
      </c>
      <c r="B59" s="59">
        <f>VLOOKUP(Table110[[#This Row],[Date]],database!A:H,3,)</f>
        <v>64.331900000000005</v>
      </c>
      <c r="C59" s="67">
        <f t="shared" si="0"/>
        <v>1.0857797422726634E-2</v>
      </c>
      <c r="D59" s="67">
        <f>(Table110[[#This Row],[Index]]-B47)/B47</f>
        <v>9.5279523832224516E-2</v>
      </c>
    </row>
    <row r="60" spans="1:4" x14ac:dyDescent="0.2">
      <c r="A60" s="17">
        <v>27912</v>
      </c>
      <c r="B60" s="59">
        <f>VLOOKUP(Table110[[#This Row],[Date]],database!A:H,3,)</f>
        <v>64.845699999999994</v>
      </c>
      <c r="C60" s="67">
        <f t="shared" si="0"/>
        <v>7.9867064395733323E-3</v>
      </c>
      <c r="D60" s="67">
        <f>(Table110[[#This Row],[Index]]-B48)/B48</f>
        <v>0.10938186994137065</v>
      </c>
    </row>
    <row r="61" spans="1:4" x14ac:dyDescent="0.2">
      <c r="A61" s="17">
        <v>27942</v>
      </c>
      <c r="B61" s="59">
        <f>VLOOKUP(Table110[[#This Row],[Date]],database!A:H,3,)</f>
        <v>66.203999999999994</v>
      </c>
      <c r="C61" s="67">
        <f t="shared" si="0"/>
        <v>2.0946647194802326E-2</v>
      </c>
      <c r="D61" s="67">
        <f>(Table110[[#This Row],[Index]]-B49)/B49</f>
        <v>0.11856399928362155</v>
      </c>
    </row>
    <row r="62" spans="1:4" x14ac:dyDescent="0.2">
      <c r="A62" s="17">
        <v>27973</v>
      </c>
      <c r="B62" s="59">
        <f>VLOOKUP(Table110[[#This Row],[Date]],database!A:H,3,)</f>
        <v>65.555099999999996</v>
      </c>
      <c r="C62" s="67">
        <f t="shared" si="0"/>
        <v>-9.8015225666122641E-3</v>
      </c>
      <c r="D62" s="67">
        <f>(Table110[[#This Row],[Index]]-B50)/B50</f>
        <v>9.4107633122762463E-2</v>
      </c>
    </row>
    <row r="63" spans="1:4" x14ac:dyDescent="0.2">
      <c r="A63" s="17">
        <v>28004</v>
      </c>
      <c r="B63" s="59">
        <f>VLOOKUP(Table110[[#This Row],[Date]],database!A:H,3,)</f>
        <v>65.971900000000005</v>
      </c>
      <c r="C63" s="67">
        <f t="shared" si="0"/>
        <v>6.3580102844784658E-3</v>
      </c>
      <c r="D63" s="67">
        <f>(Table110[[#This Row],[Index]]-B51)/B51</f>
        <v>8.923117056370268E-2</v>
      </c>
    </row>
    <row r="64" spans="1:4" x14ac:dyDescent="0.2">
      <c r="A64" s="17">
        <v>28034</v>
      </c>
      <c r="B64" s="59">
        <f>VLOOKUP(Table110[[#This Row],[Date]],database!A:H,3,)</f>
        <v>65.941400000000002</v>
      </c>
      <c r="C64" s="67">
        <f t="shared" si="0"/>
        <v>-4.6231804753238404E-4</v>
      </c>
      <c r="D64" s="67">
        <f>(Table110[[#This Row],[Index]]-B52)/B52</f>
        <v>8.2666053705269554E-2</v>
      </c>
    </row>
    <row r="65" spans="1:4" x14ac:dyDescent="0.2">
      <c r="A65" s="17">
        <v>28065</v>
      </c>
      <c r="B65" s="59">
        <f>VLOOKUP(Table110[[#This Row],[Date]],database!A:H,3,)</f>
        <v>66.218500000000006</v>
      </c>
      <c r="C65" s="67">
        <f t="shared" si="0"/>
        <v>4.2022159068506593E-3</v>
      </c>
      <c r="D65" s="67">
        <f>(Table110[[#This Row],[Index]]-B53)/B53</f>
        <v>8.2764168883642006E-2</v>
      </c>
    </row>
    <row r="66" spans="1:4" x14ac:dyDescent="0.2">
      <c r="A66" s="17">
        <v>28095</v>
      </c>
      <c r="B66" s="59">
        <f>VLOOKUP(Table110[[#This Row],[Date]],database!A:H,3,)</f>
        <v>66.6845</v>
      </c>
      <c r="C66" s="67">
        <f t="shared" si="0"/>
        <v>7.0373083050807583E-3</v>
      </c>
      <c r="D66" s="67">
        <f>(Table110[[#This Row],[Index]]-B54)/B54</f>
        <v>8.9002114820893499E-2</v>
      </c>
    </row>
    <row r="67" spans="1:4" x14ac:dyDescent="0.2">
      <c r="A67" s="17">
        <v>28126</v>
      </c>
      <c r="B67" s="59">
        <f>VLOOKUP(Table110[[#This Row],[Date]],database!A:H,3,)</f>
        <v>65.534099999999995</v>
      </c>
      <c r="C67" s="67">
        <f t="shared" si="0"/>
        <v>-1.7251385254444473E-2</v>
      </c>
      <c r="D67" s="67">
        <f>(Table110[[#This Row],[Index]]-B55)/B55</f>
        <v>4.6073519059757893E-2</v>
      </c>
    </row>
    <row r="68" spans="1:4" x14ac:dyDescent="0.2">
      <c r="A68" s="17">
        <v>28157</v>
      </c>
      <c r="B68" s="59">
        <f>VLOOKUP(Table110[[#This Row],[Date]],database!A:H,3,)</f>
        <v>67.066500000000005</v>
      </c>
      <c r="C68" s="67">
        <f t="shared" si="0"/>
        <v>2.3383246279418124E-2</v>
      </c>
      <c r="D68" s="67">
        <f>(Table110[[#This Row],[Index]]-B56)/B56</f>
        <v>5.1757908982986309E-2</v>
      </c>
    </row>
    <row r="69" spans="1:4" x14ac:dyDescent="0.2">
      <c r="A69" s="17">
        <v>28185</v>
      </c>
      <c r="B69" s="59">
        <f>VLOOKUP(Table110[[#This Row],[Date]],database!A:H,3,)</f>
        <v>68.452299999999994</v>
      </c>
      <c r="C69" s="67">
        <f t="shared" si="0"/>
        <v>2.0663073218372574E-2</v>
      </c>
      <c r="D69" s="67">
        <f>(Table110[[#This Row],[Index]]-B57)/B57</f>
        <v>8.9633468849786804E-2</v>
      </c>
    </row>
    <row r="70" spans="1:4" x14ac:dyDescent="0.2">
      <c r="A70" s="17">
        <v>28216</v>
      </c>
      <c r="B70" s="59">
        <f>VLOOKUP(Table110[[#This Row],[Date]],database!A:H,3,)</f>
        <v>70.068600000000004</v>
      </c>
      <c r="C70" s="67">
        <f t="shared" si="0"/>
        <v>2.3612062706439563E-2</v>
      </c>
      <c r="D70" s="67">
        <f>(Table110[[#This Row],[Index]]-B58)/B58</f>
        <v>0.10099951446318328</v>
      </c>
    </row>
    <row r="71" spans="1:4" x14ac:dyDescent="0.2">
      <c r="A71" s="17">
        <v>28246</v>
      </c>
      <c r="B71" s="59">
        <f>VLOOKUP(Table110[[#This Row],[Date]],database!A:H,3,)</f>
        <v>71.106200000000001</v>
      </c>
      <c r="C71" s="67">
        <f t="shared" si="0"/>
        <v>1.4808344964791553E-2</v>
      </c>
      <c r="D71" s="67">
        <f>(Table110[[#This Row],[Index]]-B59)/B59</f>
        <v>0.10530234611444705</v>
      </c>
    </row>
    <row r="72" spans="1:4" x14ac:dyDescent="0.2">
      <c r="A72" s="17">
        <v>28277</v>
      </c>
      <c r="B72" s="59">
        <f>VLOOKUP(Table110[[#This Row],[Date]],database!A:H,3,)</f>
        <v>71.641599999999997</v>
      </c>
      <c r="C72" s="67">
        <f t="shared" ref="C72:C135" si="1">B72/B71-1</f>
        <v>7.5295825117922544E-3</v>
      </c>
      <c r="D72" s="67">
        <f>(Table110[[#This Row],[Index]]-B60)/B60</f>
        <v>0.10480108935519246</v>
      </c>
    </row>
    <row r="73" spans="1:4" x14ac:dyDescent="0.2">
      <c r="A73" s="17">
        <v>28307</v>
      </c>
      <c r="B73" s="59">
        <f>VLOOKUP(Table110[[#This Row],[Date]],database!A:H,3,)</f>
        <v>71.6815</v>
      </c>
      <c r="C73" s="67">
        <f t="shared" si="1"/>
        <v>5.5693898517072959E-4</v>
      </c>
      <c r="D73" s="67">
        <f>(Table110[[#This Row],[Index]]-B61)/B61</f>
        <v>8.2736692646970075E-2</v>
      </c>
    </row>
    <row r="74" spans="1:4" x14ac:dyDescent="0.2">
      <c r="A74" s="17">
        <v>28338</v>
      </c>
      <c r="B74" s="59">
        <f>VLOOKUP(Table110[[#This Row],[Date]],database!A:H,3,)</f>
        <v>72.269900000000007</v>
      </c>
      <c r="C74" s="67">
        <f t="shared" si="1"/>
        <v>8.2085335825841099E-3</v>
      </c>
      <c r="D74" s="67">
        <f>(Table110[[#This Row],[Index]]-B62)/B62</f>
        <v>0.10242986434312527</v>
      </c>
    </row>
    <row r="75" spans="1:4" x14ac:dyDescent="0.2">
      <c r="A75" s="17">
        <v>28369</v>
      </c>
      <c r="B75" s="59">
        <f>VLOOKUP(Table110[[#This Row],[Date]],database!A:H,3,)</f>
        <v>71.954700000000003</v>
      </c>
      <c r="C75" s="67">
        <f t="shared" si="1"/>
        <v>-4.361428478522944E-3</v>
      </c>
      <c r="D75" s="67">
        <f>(Table110[[#This Row],[Index]]-B63)/B63</f>
        <v>9.0687095566445663E-2</v>
      </c>
    </row>
    <row r="76" spans="1:4" x14ac:dyDescent="0.2">
      <c r="A76" s="17">
        <v>28399</v>
      </c>
      <c r="B76" s="59">
        <f>VLOOKUP(Table110[[#This Row],[Date]],database!A:H,3,)</f>
        <v>71.928600000000003</v>
      </c>
      <c r="C76" s="67">
        <f t="shared" si="1"/>
        <v>-3.6272821650285003E-4</v>
      </c>
      <c r="D76" s="67">
        <f>(Table110[[#This Row],[Index]]-B64)/B64</f>
        <v>9.0795767150833942E-2</v>
      </c>
    </row>
    <row r="77" spans="1:4" x14ac:dyDescent="0.2">
      <c r="A77" s="17">
        <v>28430</v>
      </c>
      <c r="B77" s="59">
        <f>VLOOKUP(Table110[[#This Row],[Date]],database!A:H,3,)</f>
        <v>72.263300000000001</v>
      </c>
      <c r="C77" s="67">
        <f t="shared" si="1"/>
        <v>4.6532255597913075E-3</v>
      </c>
      <c r="D77" s="67">
        <f>(Table110[[#This Row],[Index]]-B65)/B65</f>
        <v>9.1285667902474305E-2</v>
      </c>
    </row>
    <row r="78" spans="1:4" x14ac:dyDescent="0.2">
      <c r="A78" s="17">
        <v>28460</v>
      </c>
      <c r="B78" s="59">
        <f>VLOOKUP(Table110[[#This Row],[Date]],database!A:H,3,)</f>
        <v>72.997299999999996</v>
      </c>
      <c r="C78" s="67">
        <f t="shared" si="1"/>
        <v>1.0157299763503769E-2</v>
      </c>
      <c r="D78" s="67">
        <f>(Table110[[#This Row],[Index]]-B66)/B66</f>
        <v>9.4666676663992325E-2</v>
      </c>
    </row>
    <row r="79" spans="1:4" x14ac:dyDescent="0.2">
      <c r="A79" s="17">
        <v>28491</v>
      </c>
      <c r="B79" s="59">
        <f>VLOOKUP(Table110[[#This Row],[Date]],database!A:H,3,)</f>
        <v>71.593699999999998</v>
      </c>
      <c r="C79" s="67">
        <f t="shared" si="1"/>
        <v>-1.9228108436887381E-2</v>
      </c>
      <c r="D79" s="67">
        <f>(Table110[[#This Row],[Index]]-B67)/B67</f>
        <v>9.246483891592322E-2</v>
      </c>
    </row>
    <row r="80" spans="1:4" x14ac:dyDescent="0.2">
      <c r="A80" s="17">
        <v>28522</v>
      </c>
      <c r="B80" s="59">
        <f>VLOOKUP(Table110[[#This Row],[Date]],database!A:H,3,)</f>
        <v>71.366</v>
      </c>
      <c r="C80" s="67">
        <f t="shared" si="1"/>
        <v>-3.1804474416045059E-3</v>
      </c>
      <c r="D80" s="67">
        <f>(Table110[[#This Row],[Index]]-B68)/B68</f>
        <v>6.4108012196849307E-2</v>
      </c>
    </row>
    <row r="81" spans="1:4" x14ac:dyDescent="0.2">
      <c r="A81" s="17">
        <v>28550</v>
      </c>
      <c r="B81" s="59">
        <f>VLOOKUP(Table110[[#This Row],[Date]],database!A:H,3,)</f>
        <v>72.692400000000006</v>
      </c>
      <c r="C81" s="67">
        <f t="shared" si="1"/>
        <v>1.8585881231959256E-2</v>
      </c>
      <c r="D81" s="67">
        <f>(Table110[[#This Row],[Index]]-B69)/B69</f>
        <v>6.1942403688408025E-2</v>
      </c>
    </row>
    <row r="82" spans="1:4" x14ac:dyDescent="0.2">
      <c r="A82" s="17">
        <v>28581</v>
      </c>
      <c r="B82" s="59">
        <f>VLOOKUP(Table110[[#This Row],[Date]],database!A:H,3,)</f>
        <v>74.316999999999993</v>
      </c>
      <c r="C82" s="67">
        <f t="shared" si="1"/>
        <v>2.2348966329354791E-2</v>
      </c>
      <c r="D82" s="67">
        <f>(Table110[[#This Row],[Index]]-B70)/B70</f>
        <v>6.0632009202410055E-2</v>
      </c>
    </row>
    <row r="83" spans="1:4" x14ac:dyDescent="0.2">
      <c r="A83" s="17">
        <v>28611</v>
      </c>
      <c r="B83" s="59">
        <f>VLOOKUP(Table110[[#This Row],[Date]],database!A:H,3,)</f>
        <v>74.287199999999999</v>
      </c>
      <c r="C83" s="67">
        <f t="shared" si="1"/>
        <v>-4.0098496979146248E-4</v>
      </c>
      <c r="D83" s="67">
        <f>(Table110[[#This Row],[Index]]-B71)/B71</f>
        <v>4.4735902073236897E-2</v>
      </c>
    </row>
    <row r="84" spans="1:4" x14ac:dyDescent="0.2">
      <c r="A84" s="17">
        <v>28642</v>
      </c>
      <c r="B84" s="59">
        <f>VLOOKUP(Table110[[#This Row],[Date]],database!A:H,3,)</f>
        <v>74.912999999999997</v>
      </c>
      <c r="C84" s="67">
        <f t="shared" si="1"/>
        <v>8.4240622879849791E-3</v>
      </c>
      <c r="D84" s="67">
        <f>(Table110[[#This Row],[Index]]-B72)/B72</f>
        <v>4.5663413435769164E-2</v>
      </c>
    </row>
    <row r="85" spans="1:4" x14ac:dyDescent="0.2">
      <c r="A85" s="17">
        <v>28672</v>
      </c>
      <c r="B85" s="59">
        <f>VLOOKUP(Table110[[#This Row],[Date]],database!A:H,3,)</f>
        <v>74.765500000000003</v>
      </c>
      <c r="C85" s="67">
        <f t="shared" si="1"/>
        <v>-1.9689506494199316E-3</v>
      </c>
      <c r="D85" s="67">
        <f>(Table110[[#This Row],[Index]]-B73)/B73</f>
        <v>4.3023653243863522E-2</v>
      </c>
    </row>
    <row r="86" spans="1:4" x14ac:dyDescent="0.2">
      <c r="A86" s="17">
        <v>28703</v>
      </c>
      <c r="B86" s="59">
        <f>VLOOKUP(Table110[[#This Row],[Date]],database!A:H,3,)</f>
        <v>74.903400000000005</v>
      </c>
      <c r="C86" s="67">
        <f t="shared" si="1"/>
        <v>1.8444335957092939E-3</v>
      </c>
      <c r="D86" s="67">
        <f>(Table110[[#This Row],[Index]]-B74)/B74</f>
        <v>3.6439790286135691E-2</v>
      </c>
    </row>
    <row r="87" spans="1:4" x14ac:dyDescent="0.2">
      <c r="A87" s="17">
        <v>28734</v>
      </c>
      <c r="B87" s="59">
        <f>VLOOKUP(Table110[[#This Row],[Date]],database!A:H,3,)</f>
        <v>75.191100000000006</v>
      </c>
      <c r="C87" s="67">
        <f t="shared" si="1"/>
        <v>3.8409471399161177E-3</v>
      </c>
      <c r="D87" s="67">
        <f>(Table110[[#This Row],[Index]]-B75)/B75</f>
        <v>4.4978298846357546E-2</v>
      </c>
    </row>
    <row r="88" spans="1:4" x14ac:dyDescent="0.2">
      <c r="A88" s="17">
        <v>28764</v>
      </c>
      <c r="B88" s="59">
        <f>VLOOKUP(Table110[[#This Row],[Date]],database!A:H,3,)</f>
        <v>75.919899999999998</v>
      </c>
      <c r="C88" s="67">
        <f t="shared" si="1"/>
        <v>9.6926364955425282E-3</v>
      </c>
      <c r="D88" s="67">
        <f>(Table110[[#This Row],[Index]]-B76)/B76</f>
        <v>5.5489749557199715E-2</v>
      </c>
    </row>
    <row r="89" spans="1:4" x14ac:dyDescent="0.2">
      <c r="A89" s="17">
        <v>28795</v>
      </c>
      <c r="B89" s="59">
        <f>VLOOKUP(Table110[[#This Row],[Date]],database!A:H,3,)</f>
        <v>76.426599999999993</v>
      </c>
      <c r="C89" s="67">
        <f t="shared" si="1"/>
        <v>6.6741394548728294E-3</v>
      </c>
      <c r="D89" s="67">
        <f>(Table110[[#This Row],[Index]]-B77)/B77</f>
        <v>5.7612923849312062E-2</v>
      </c>
    </row>
    <row r="90" spans="1:4" x14ac:dyDescent="0.2">
      <c r="A90" s="17">
        <v>28825</v>
      </c>
      <c r="B90" s="59">
        <f>VLOOKUP(Table110[[#This Row],[Date]],database!A:H,3,)</f>
        <v>77.658600000000007</v>
      </c>
      <c r="C90" s="67">
        <f t="shared" si="1"/>
        <v>1.6120041974914567E-2</v>
      </c>
      <c r="D90" s="67">
        <f>(Table110[[#This Row],[Index]]-B78)/B78</f>
        <v>6.3855786446896143E-2</v>
      </c>
    </row>
    <row r="91" spans="1:4" x14ac:dyDescent="0.2">
      <c r="A91" s="17">
        <v>28856</v>
      </c>
      <c r="B91" s="59">
        <f>VLOOKUP(Table110[[#This Row],[Date]],database!A:H,3,)</f>
        <v>75.808599999999998</v>
      </c>
      <c r="C91" s="67">
        <f t="shared" si="1"/>
        <v>-2.3822216728089485E-2</v>
      </c>
      <c r="D91" s="67">
        <f>(Table110[[#This Row],[Index]]-B79)/B79</f>
        <v>5.8872498557834003E-2</v>
      </c>
    </row>
    <row r="92" spans="1:4" x14ac:dyDescent="0.2">
      <c r="A92" s="17">
        <v>28887</v>
      </c>
      <c r="B92" s="59">
        <f>VLOOKUP(Table110[[#This Row],[Date]],database!A:H,3,)</f>
        <v>76.250600000000006</v>
      </c>
      <c r="C92" s="67">
        <f t="shared" si="1"/>
        <v>5.8304730597849019E-3</v>
      </c>
      <c r="D92" s="67">
        <f>(Table110[[#This Row],[Index]]-B80)/B80</f>
        <v>6.8444357256957175E-2</v>
      </c>
    </row>
    <row r="93" spans="1:4" x14ac:dyDescent="0.2">
      <c r="A93" s="17">
        <v>28915</v>
      </c>
      <c r="B93" s="59">
        <f>VLOOKUP(Table110[[#This Row],[Date]],database!A:H,3,)</f>
        <v>77.22</v>
      </c>
      <c r="C93" s="67">
        <f t="shared" si="1"/>
        <v>1.2713342583533738E-2</v>
      </c>
      <c r="D93" s="67">
        <f>(Table110[[#This Row],[Index]]-B81)/B81</f>
        <v>6.2284365353186745E-2</v>
      </c>
    </row>
    <row r="94" spans="1:4" x14ac:dyDescent="0.2">
      <c r="A94" s="17">
        <v>28946</v>
      </c>
      <c r="B94" s="59">
        <f>VLOOKUP(Table110[[#This Row],[Date]],database!A:H,3,)</f>
        <v>75.941199999999995</v>
      </c>
      <c r="C94" s="67">
        <f t="shared" si="1"/>
        <v>-1.6560476560476656E-2</v>
      </c>
      <c r="D94" s="67">
        <f>(Table110[[#This Row],[Index]]-B82)/B82</f>
        <v>2.1855026440787465E-2</v>
      </c>
    </row>
    <row r="95" spans="1:4" x14ac:dyDescent="0.2">
      <c r="A95" s="17">
        <v>28976</v>
      </c>
      <c r="B95" s="59">
        <f>VLOOKUP(Table110[[#This Row],[Date]],database!A:H,3,)</f>
        <v>76.488699999999994</v>
      </c>
      <c r="C95" s="67">
        <f t="shared" si="1"/>
        <v>7.2095252642834229E-3</v>
      </c>
      <c r="D95" s="67">
        <f>(Table110[[#This Row],[Index]]-B83)/B83</f>
        <v>2.9634984223392398E-2</v>
      </c>
    </row>
    <row r="96" spans="1:4" x14ac:dyDescent="0.2">
      <c r="A96" s="17">
        <v>29007</v>
      </c>
      <c r="B96" s="59">
        <f>VLOOKUP(Table110[[#This Row],[Date]],database!A:H,3,)</f>
        <v>76.791300000000007</v>
      </c>
      <c r="C96" s="67">
        <f t="shared" si="1"/>
        <v>3.9561399265513053E-3</v>
      </c>
      <c r="D96" s="67">
        <f>(Table110[[#This Row],[Index]]-B84)/B84</f>
        <v>2.5073084778343014E-2</v>
      </c>
    </row>
    <row r="97" spans="1:4" x14ac:dyDescent="0.2">
      <c r="A97" s="17">
        <v>29037</v>
      </c>
      <c r="B97" s="59">
        <f>VLOOKUP(Table110[[#This Row],[Date]],database!A:H,3,)</f>
        <v>76.8429</v>
      </c>
      <c r="C97" s="67">
        <f t="shared" si="1"/>
        <v>6.7195111946261044E-4</v>
      </c>
      <c r="D97" s="67">
        <f>(Table110[[#This Row],[Index]]-B85)/B85</f>
        <v>2.7785542797145703E-2</v>
      </c>
    </row>
    <row r="98" spans="1:4" x14ac:dyDescent="0.2">
      <c r="A98" s="17">
        <v>29068</v>
      </c>
      <c r="B98" s="59">
        <f>VLOOKUP(Table110[[#This Row],[Date]],database!A:H,3,)</f>
        <v>76.093100000000007</v>
      </c>
      <c r="C98" s="67">
        <f t="shared" si="1"/>
        <v>-9.7575703155398097E-3</v>
      </c>
      <c r="D98" s="67">
        <f>(Table110[[#This Row],[Index]]-B86)/B86</f>
        <v>1.5883124130546836E-2</v>
      </c>
    </row>
    <row r="99" spans="1:4" x14ac:dyDescent="0.2">
      <c r="A99" s="17">
        <v>29099</v>
      </c>
      <c r="B99" s="59">
        <f>VLOOKUP(Table110[[#This Row],[Date]],database!A:H,3,)</f>
        <v>76.1554</v>
      </c>
      <c r="C99" s="67">
        <f t="shared" si="1"/>
        <v>8.1873389308606548E-4</v>
      </c>
      <c r="D99" s="67">
        <f>(Table110[[#This Row],[Index]]-B87)/B87</f>
        <v>1.2824656109566084E-2</v>
      </c>
    </row>
    <row r="100" spans="1:4" x14ac:dyDescent="0.2">
      <c r="A100" s="17">
        <v>29129</v>
      </c>
      <c r="B100" s="59">
        <f>VLOOKUP(Table110[[#This Row],[Date]],database!A:H,3,)</f>
        <v>76.816400000000002</v>
      </c>
      <c r="C100" s="67">
        <f t="shared" si="1"/>
        <v>8.6796208804629238E-3</v>
      </c>
      <c r="D100" s="67">
        <f>(Table110[[#This Row],[Index]]-B88)/B88</f>
        <v>1.1808498167147258E-2</v>
      </c>
    </row>
    <row r="101" spans="1:4" x14ac:dyDescent="0.2">
      <c r="A101" s="17">
        <v>29160</v>
      </c>
      <c r="B101" s="59">
        <f>VLOOKUP(Table110[[#This Row],[Date]],database!A:H,3,)</f>
        <v>76.658199999999994</v>
      </c>
      <c r="C101" s="67">
        <f t="shared" si="1"/>
        <v>-2.0594560536553175E-3</v>
      </c>
      <c r="D101" s="67">
        <f>(Table110[[#This Row],[Index]]-B89)/B89</f>
        <v>3.0303585400894488E-3</v>
      </c>
    </row>
    <row r="102" spans="1:4" x14ac:dyDescent="0.2">
      <c r="A102" s="17">
        <v>29190</v>
      </c>
      <c r="B102" s="59">
        <f>VLOOKUP(Table110[[#This Row],[Date]],database!A:H,3,)</f>
        <v>76.903099999999995</v>
      </c>
      <c r="C102" s="67">
        <f t="shared" si="1"/>
        <v>3.1947006321568772E-3</v>
      </c>
      <c r="D102" s="67">
        <f>(Table110[[#This Row],[Index]]-B90)/B90</f>
        <v>-9.7284782367955645E-3</v>
      </c>
    </row>
    <row r="103" spans="1:4" x14ac:dyDescent="0.2">
      <c r="A103" s="17">
        <v>29221</v>
      </c>
      <c r="B103" s="59">
        <f>VLOOKUP(Table110[[#This Row],[Date]],database!A:H,3,)</f>
        <v>76.713999999999999</v>
      </c>
      <c r="C103" s="67">
        <f t="shared" si="1"/>
        <v>-2.4589385863508229E-3</v>
      </c>
      <c r="D103" s="67">
        <f>(Table110[[#This Row],[Index]]-B91)/B91</f>
        <v>1.1943235991694877E-2</v>
      </c>
    </row>
    <row r="104" spans="1:4" x14ac:dyDescent="0.2">
      <c r="A104" s="17">
        <v>29252</v>
      </c>
      <c r="B104" s="59">
        <f>VLOOKUP(Table110[[#This Row],[Date]],database!A:H,3,)</f>
        <v>75.557299999999998</v>
      </c>
      <c r="C104" s="67">
        <f t="shared" si="1"/>
        <v>-1.5078082227494294E-2</v>
      </c>
      <c r="D104" s="67">
        <f>(Table110[[#This Row],[Index]]-B92)/B92</f>
        <v>-9.092387469738044E-3</v>
      </c>
    </row>
    <row r="105" spans="1:4" x14ac:dyDescent="0.2">
      <c r="A105" s="17">
        <v>29281</v>
      </c>
      <c r="B105" s="59">
        <f>VLOOKUP(Table110[[#This Row],[Date]],database!A:H,3,)</f>
        <v>74.575999999999993</v>
      </c>
      <c r="C105" s="67">
        <f t="shared" si="1"/>
        <v>-1.2987494259323773E-2</v>
      </c>
      <c r="D105" s="67">
        <f>(Table110[[#This Row],[Index]]-B93)/B93</f>
        <v>-3.4239834239834309E-2</v>
      </c>
    </row>
    <row r="106" spans="1:4" x14ac:dyDescent="0.2">
      <c r="A106" s="17">
        <v>29312</v>
      </c>
      <c r="B106" s="59">
        <f>VLOOKUP(Table110[[#This Row],[Date]],database!A:H,3,)</f>
        <v>71.169399999999996</v>
      </c>
      <c r="C106" s="67">
        <f t="shared" si="1"/>
        <v>-4.5679575198455225E-2</v>
      </c>
      <c r="D106" s="67">
        <f>(Table110[[#This Row],[Index]]-B94)/B94</f>
        <v>-6.2835456906132625E-2</v>
      </c>
    </row>
    <row r="107" spans="1:4" x14ac:dyDescent="0.2">
      <c r="A107" s="17">
        <v>29342</v>
      </c>
      <c r="B107" s="59">
        <f>VLOOKUP(Table110[[#This Row],[Date]],database!A:H,3,)</f>
        <v>68.251800000000003</v>
      </c>
      <c r="C107" s="67">
        <f t="shared" si="1"/>
        <v>-4.0995146790615E-2</v>
      </c>
      <c r="D107" s="67">
        <f>(Table110[[#This Row],[Index]]-B95)/B95</f>
        <v>-0.1076878022505284</v>
      </c>
    </row>
    <row r="108" spans="1:4" x14ac:dyDescent="0.2">
      <c r="A108" s="17">
        <v>29373</v>
      </c>
      <c r="B108" s="59">
        <f>VLOOKUP(Table110[[#This Row],[Date]],database!A:H,3,)</f>
        <v>66.935000000000002</v>
      </c>
      <c r="C108" s="67">
        <f t="shared" si="1"/>
        <v>-1.9293264060435078E-2</v>
      </c>
      <c r="D108" s="67">
        <f>(Table110[[#This Row],[Index]]-B96)/B96</f>
        <v>-0.1283517794333473</v>
      </c>
    </row>
    <row r="109" spans="1:4" x14ac:dyDescent="0.2">
      <c r="A109" s="17">
        <v>29403</v>
      </c>
      <c r="B109" s="59">
        <f>VLOOKUP(Table110[[#This Row],[Date]],database!A:H,3,)</f>
        <v>66.327799999999996</v>
      </c>
      <c r="C109" s="67">
        <f t="shared" si="1"/>
        <v>-9.0714872637633892E-3</v>
      </c>
      <c r="D109" s="67">
        <f>(Table110[[#This Row],[Index]]-B97)/B97</f>
        <v>-0.13683892721383503</v>
      </c>
    </row>
    <row r="110" spans="1:4" x14ac:dyDescent="0.2">
      <c r="A110" s="17">
        <v>29434</v>
      </c>
      <c r="B110" s="59">
        <f>VLOOKUP(Table110[[#This Row],[Date]],database!A:H,3,)</f>
        <v>67.293199999999999</v>
      </c>
      <c r="C110" s="67">
        <f t="shared" si="1"/>
        <v>1.455498297847968E-2</v>
      </c>
      <c r="D110" s="67">
        <f>(Table110[[#This Row],[Index]]-B98)/B98</f>
        <v>-0.11564649094333136</v>
      </c>
    </row>
    <row r="111" spans="1:4" x14ac:dyDescent="0.2">
      <c r="A111" s="17">
        <v>29465</v>
      </c>
      <c r="B111" s="59">
        <f>VLOOKUP(Table110[[#This Row],[Date]],database!A:H,3,)</f>
        <v>68.9876</v>
      </c>
      <c r="C111" s="67">
        <f t="shared" si="1"/>
        <v>2.5179364333989263E-2</v>
      </c>
      <c r="D111" s="67">
        <f>(Table110[[#This Row],[Index]]-B99)/B99</f>
        <v>-9.4120705819941849E-2</v>
      </c>
    </row>
    <row r="112" spans="1:4" x14ac:dyDescent="0.2">
      <c r="A112" s="17">
        <v>29495</v>
      </c>
      <c r="B112" s="59">
        <f>VLOOKUP(Table110[[#This Row],[Date]],database!A:H,3,)</f>
        <v>70.4298</v>
      </c>
      <c r="C112" s="67">
        <f t="shared" si="1"/>
        <v>2.0905206152989741E-2</v>
      </c>
      <c r="D112" s="67">
        <f>(Table110[[#This Row],[Index]]-B100)/B100</f>
        <v>-8.3141100077587612E-2</v>
      </c>
    </row>
    <row r="113" spans="1:4" x14ac:dyDescent="0.2">
      <c r="A113" s="17">
        <v>29526</v>
      </c>
      <c r="B113" s="59">
        <f>VLOOKUP(Table110[[#This Row],[Date]],database!A:H,3,)</f>
        <v>71.842500000000001</v>
      </c>
      <c r="C113" s="67">
        <f t="shared" si="1"/>
        <v>2.0058270788785526E-2</v>
      </c>
      <c r="D113" s="67">
        <f>(Table110[[#This Row],[Index]]-B101)/B101</f>
        <v>-6.2820415819833927E-2</v>
      </c>
    </row>
    <row r="114" spans="1:4" x14ac:dyDescent="0.2">
      <c r="A114" s="17">
        <v>29556</v>
      </c>
      <c r="B114" s="59">
        <f>VLOOKUP(Table110[[#This Row],[Date]],database!A:H,3,)</f>
        <v>71.8733</v>
      </c>
      <c r="C114" s="67">
        <f t="shared" si="1"/>
        <v>4.2871559313772956E-4</v>
      </c>
      <c r="D114" s="67">
        <f>(Table110[[#This Row],[Index]]-B102)/B102</f>
        <v>-6.5404385518919195E-2</v>
      </c>
    </row>
    <row r="115" spans="1:4" x14ac:dyDescent="0.2">
      <c r="A115" s="17">
        <v>29587</v>
      </c>
      <c r="B115" s="59">
        <f>VLOOKUP(Table110[[#This Row],[Date]],database!A:H,3,)</f>
        <v>71.6096</v>
      </c>
      <c r="C115" s="67">
        <f t="shared" si="1"/>
        <v>-3.6689563440108763E-3</v>
      </c>
      <c r="D115" s="67">
        <f>(Table110[[#This Row],[Index]]-B103)/B103</f>
        <v>-6.6538050421044381E-2</v>
      </c>
    </row>
    <row r="116" spans="1:4" x14ac:dyDescent="0.2">
      <c r="A116" s="17">
        <v>29618</v>
      </c>
      <c r="B116" s="59">
        <f>VLOOKUP(Table110[[#This Row],[Date]],database!A:H,3,)</f>
        <v>71.013999999999996</v>
      </c>
      <c r="C116" s="67">
        <f t="shared" si="1"/>
        <v>-8.3173205827152819E-3</v>
      </c>
      <c r="D116" s="67">
        <f>(Table110[[#This Row],[Index]]-B104)/B104</f>
        <v>-6.013052345703198E-2</v>
      </c>
    </row>
    <row r="117" spans="1:4" x14ac:dyDescent="0.2">
      <c r="A117" s="17">
        <v>29646</v>
      </c>
      <c r="B117" s="59">
        <f>VLOOKUP(Table110[[#This Row],[Date]],database!A:H,3,)</f>
        <v>71.263999999999996</v>
      </c>
      <c r="C117" s="67">
        <f t="shared" si="1"/>
        <v>3.5204325907567391E-3</v>
      </c>
      <c r="D117" s="67">
        <f>(Table110[[#This Row],[Index]]-B105)/B105</f>
        <v>-4.4411070585711192E-2</v>
      </c>
    </row>
    <row r="118" spans="1:4" x14ac:dyDescent="0.2">
      <c r="A118" s="17">
        <v>29677</v>
      </c>
      <c r="B118" s="59">
        <f>VLOOKUP(Table110[[#This Row],[Date]],database!A:H,3,)</f>
        <v>71.272900000000007</v>
      </c>
      <c r="C118" s="67">
        <f t="shared" si="1"/>
        <v>1.2488774135621661E-4</v>
      </c>
      <c r="D118" s="67">
        <f>(Table110[[#This Row],[Index]]-B106)/B106</f>
        <v>1.454276697569616E-3</v>
      </c>
    </row>
    <row r="119" spans="1:4" x14ac:dyDescent="0.2">
      <c r="A119" s="17">
        <v>29707</v>
      </c>
      <c r="B119" s="59">
        <f>VLOOKUP(Table110[[#This Row],[Date]],database!A:H,3,)</f>
        <v>71.253600000000006</v>
      </c>
      <c r="C119" s="67">
        <f t="shared" si="1"/>
        <v>-2.7079016007491852E-4</v>
      </c>
      <c r="D119" s="67">
        <f>(Table110[[#This Row],[Index]]-B107)/B107</f>
        <v>4.3981257637161257E-2</v>
      </c>
    </row>
    <row r="120" spans="1:4" x14ac:dyDescent="0.2">
      <c r="A120" s="17">
        <v>29738</v>
      </c>
      <c r="B120" s="59">
        <f>VLOOKUP(Table110[[#This Row],[Date]],database!A:H,3,)</f>
        <v>70.159599999999998</v>
      </c>
      <c r="C120" s="67">
        <f t="shared" si="1"/>
        <v>-1.5353610203554746E-2</v>
      </c>
      <c r="D120" s="67">
        <f>(Table110[[#This Row],[Index]]-B108)/B108</f>
        <v>4.8175095241652276E-2</v>
      </c>
    </row>
    <row r="121" spans="1:4" x14ac:dyDescent="0.2">
      <c r="A121" s="17">
        <v>29768</v>
      </c>
      <c r="B121" s="59">
        <f>VLOOKUP(Table110[[#This Row],[Date]],database!A:H,3,)</f>
        <v>70.362499999999997</v>
      </c>
      <c r="C121" s="67">
        <f t="shared" si="1"/>
        <v>2.8919777193712193E-3</v>
      </c>
      <c r="D121" s="67">
        <f>(Table110[[#This Row],[Index]]-B109)/B109</f>
        <v>6.0829697351638394E-2</v>
      </c>
    </row>
    <row r="122" spans="1:4" x14ac:dyDescent="0.2">
      <c r="A122" s="17">
        <v>29799</v>
      </c>
      <c r="B122" s="59">
        <f>VLOOKUP(Table110[[#This Row],[Date]],database!A:H,3,)</f>
        <v>70.135000000000005</v>
      </c>
      <c r="C122" s="67">
        <f t="shared" si="1"/>
        <v>-3.2332563510391044E-3</v>
      </c>
      <c r="D122" s="67">
        <f>(Table110[[#This Row],[Index]]-B110)/B110</f>
        <v>4.2230121319836271E-2</v>
      </c>
    </row>
    <row r="123" spans="1:4" x14ac:dyDescent="0.2">
      <c r="A123" s="17">
        <v>29830</v>
      </c>
      <c r="B123" s="59">
        <f>VLOOKUP(Table110[[#This Row],[Date]],database!A:H,3,)</f>
        <v>69.756600000000006</v>
      </c>
      <c r="C123" s="67">
        <f t="shared" si="1"/>
        <v>-5.3953090468382703E-3</v>
      </c>
      <c r="D123" s="67">
        <f>(Table110[[#This Row],[Index]]-B111)/B111</f>
        <v>1.1146930752773041E-2</v>
      </c>
    </row>
    <row r="124" spans="1:4" x14ac:dyDescent="0.2">
      <c r="A124" s="17">
        <v>29860</v>
      </c>
      <c r="B124" s="59">
        <f>VLOOKUP(Table110[[#This Row],[Date]],database!A:H,3,)</f>
        <v>67.570599999999999</v>
      </c>
      <c r="C124" s="67">
        <f t="shared" si="1"/>
        <v>-3.1337536519841946E-2</v>
      </c>
      <c r="D124" s="67">
        <f>(Table110[[#This Row],[Index]]-B112)/B112</f>
        <v>-4.059645207000448E-2</v>
      </c>
    </row>
    <row r="125" spans="1:4" x14ac:dyDescent="0.2">
      <c r="A125" s="17">
        <v>29891</v>
      </c>
      <c r="B125" s="59">
        <f>VLOOKUP(Table110[[#This Row],[Date]],database!A:H,3,)</f>
        <v>66.510300000000001</v>
      </c>
      <c r="C125" s="67">
        <f t="shared" si="1"/>
        <v>-1.5691735754899239E-2</v>
      </c>
      <c r="D125" s="67">
        <f>(Table110[[#This Row],[Index]]-B113)/B113</f>
        <v>-7.4220691095103875E-2</v>
      </c>
    </row>
    <row r="126" spans="1:4" x14ac:dyDescent="0.2">
      <c r="A126" s="17">
        <v>29921</v>
      </c>
      <c r="B126" s="59">
        <f>VLOOKUP(Table110[[#This Row],[Date]],database!A:H,3,)</f>
        <v>65.265900000000002</v>
      </c>
      <c r="C126" s="67">
        <f t="shared" si="1"/>
        <v>-1.8709884032999335E-2</v>
      </c>
      <c r="D126" s="67">
        <f>(Table110[[#This Row],[Index]]-B114)/B114</f>
        <v>-9.1931217851413505E-2</v>
      </c>
    </row>
    <row r="127" spans="1:4" x14ac:dyDescent="0.2">
      <c r="A127" s="17">
        <v>29952</v>
      </c>
      <c r="B127" s="59">
        <f>VLOOKUP(Table110[[#This Row],[Date]],database!A:H,3,)</f>
        <v>63.032800000000002</v>
      </c>
      <c r="C127" s="67">
        <f t="shared" si="1"/>
        <v>-3.4215417239324086E-2</v>
      </c>
      <c r="D127" s="67">
        <f>(Table110[[#This Row],[Index]]-B115)/B115</f>
        <v>-0.11977165072839394</v>
      </c>
    </row>
    <row r="128" spans="1:4" x14ac:dyDescent="0.2">
      <c r="A128" s="17">
        <v>29983</v>
      </c>
      <c r="B128" s="59">
        <f>VLOOKUP(Table110[[#This Row],[Date]],database!A:H,3,)</f>
        <v>65.308899999999994</v>
      </c>
      <c r="C128" s="67">
        <f t="shared" si="1"/>
        <v>3.6109771420593573E-2</v>
      </c>
      <c r="D128" s="67">
        <f>(Table110[[#This Row],[Index]]-B116)/B116</f>
        <v>-8.033767989410541E-2</v>
      </c>
    </row>
    <row r="129" spans="1:4" x14ac:dyDescent="0.2">
      <c r="A129" s="17">
        <v>30011</v>
      </c>
      <c r="B129" s="59">
        <f>VLOOKUP(Table110[[#This Row],[Date]],database!A:H,3,)</f>
        <v>63.933100000000003</v>
      </c>
      <c r="C129" s="67">
        <f t="shared" si="1"/>
        <v>-2.1066041534920865E-2</v>
      </c>
      <c r="D129" s="67">
        <f>(Table110[[#This Row],[Index]]-B117)/B117</f>
        <v>-0.10286961158509196</v>
      </c>
    </row>
    <row r="130" spans="1:4" x14ac:dyDescent="0.2">
      <c r="A130" s="17">
        <v>30042</v>
      </c>
      <c r="B130" s="59">
        <f>VLOOKUP(Table110[[#This Row],[Date]],database!A:H,3,)</f>
        <v>63.440399999999997</v>
      </c>
      <c r="C130" s="67">
        <f t="shared" si="1"/>
        <v>-7.7064931936665637E-3</v>
      </c>
      <c r="D130" s="67">
        <f>(Table110[[#This Row],[Index]]-B118)/B118</f>
        <v>-0.10989450408219688</v>
      </c>
    </row>
    <row r="131" spans="1:4" x14ac:dyDescent="0.2">
      <c r="A131" s="17">
        <v>30072</v>
      </c>
      <c r="B131" s="59">
        <f>VLOOKUP(Table110[[#This Row],[Date]],database!A:H,3,)</f>
        <v>63.784199999999998</v>
      </c>
      <c r="C131" s="67">
        <f t="shared" si="1"/>
        <v>5.419259651578523E-3</v>
      </c>
      <c r="D131" s="67">
        <f>(Table110[[#This Row],[Index]]-B119)/B119</f>
        <v>-0.10482838761830991</v>
      </c>
    </row>
    <row r="132" spans="1:4" x14ac:dyDescent="0.2">
      <c r="A132" s="17">
        <v>30103</v>
      </c>
      <c r="B132" s="59">
        <f>VLOOKUP(Table110[[#This Row],[Date]],database!A:H,3,)</f>
        <v>63.290100000000002</v>
      </c>
      <c r="C132" s="67">
        <f t="shared" si="1"/>
        <v>-7.7464325020929481E-3</v>
      </c>
      <c r="D132" s="67">
        <f>(Table110[[#This Row],[Index]]-B120)/B120</f>
        <v>-9.7912473845346834E-2</v>
      </c>
    </row>
    <row r="133" spans="1:4" x14ac:dyDescent="0.2">
      <c r="A133" s="17">
        <v>30133</v>
      </c>
      <c r="B133" s="59">
        <f>VLOOKUP(Table110[[#This Row],[Date]],database!A:H,3,)</f>
        <v>63.144399999999997</v>
      </c>
      <c r="C133" s="67">
        <f t="shared" si="1"/>
        <v>-2.3020978004459902E-3</v>
      </c>
      <c r="D133" s="67">
        <f>(Table110[[#This Row],[Index]]-B121)/B121</f>
        <v>-0.1025844732634571</v>
      </c>
    </row>
    <row r="134" spans="1:4" x14ac:dyDescent="0.2">
      <c r="A134" s="17">
        <v>30164</v>
      </c>
      <c r="B134" s="59">
        <f>VLOOKUP(Table110[[#This Row],[Date]],database!A:H,3,)</f>
        <v>63.1556</v>
      </c>
      <c r="C134" s="67">
        <f t="shared" si="1"/>
        <v>1.7737123165328939E-4</v>
      </c>
      <c r="D134" s="67">
        <f>(Table110[[#This Row],[Index]]-B122)/B122</f>
        <v>-9.951379482426756E-2</v>
      </c>
    </row>
    <row r="135" spans="1:4" x14ac:dyDescent="0.2">
      <c r="A135" s="17">
        <v>30195</v>
      </c>
      <c r="B135" s="59">
        <f>VLOOKUP(Table110[[#This Row],[Date]],database!A:H,3,)</f>
        <v>63.348799999999997</v>
      </c>
      <c r="C135" s="67">
        <f t="shared" si="1"/>
        <v>3.0591111477049626E-3</v>
      </c>
      <c r="D135" s="67">
        <f>(Table110[[#This Row],[Index]]-B123)/B123</f>
        <v>-9.1859408285381E-2</v>
      </c>
    </row>
    <row r="136" spans="1:4" x14ac:dyDescent="0.2">
      <c r="A136" s="17">
        <v>30225</v>
      </c>
      <c r="B136" s="59">
        <f>VLOOKUP(Table110[[#This Row],[Date]],database!A:H,3,)</f>
        <v>62.433100000000003</v>
      </c>
      <c r="C136" s="67">
        <f t="shared" ref="C136:C199" si="2">B136/B135-1</f>
        <v>-1.4454891016088656E-2</v>
      </c>
      <c r="D136" s="67">
        <f>(Table110[[#This Row],[Index]]-B124)/B124</f>
        <v>-7.6031587702343861E-2</v>
      </c>
    </row>
    <row r="137" spans="1:4" x14ac:dyDescent="0.2">
      <c r="A137" s="17">
        <v>30256</v>
      </c>
      <c r="B137" s="59">
        <f>VLOOKUP(Table110[[#This Row],[Date]],database!A:H,3,)</f>
        <v>62.065600000000003</v>
      </c>
      <c r="C137" s="67">
        <f t="shared" si="2"/>
        <v>-5.8863006962652786E-3</v>
      </c>
      <c r="D137" s="67">
        <f>(Table110[[#This Row],[Index]]-B125)/B125</f>
        <v>-6.6827243299158137E-2</v>
      </c>
    </row>
    <row r="138" spans="1:4" x14ac:dyDescent="0.2">
      <c r="A138" s="17">
        <v>30286</v>
      </c>
      <c r="B138" s="59">
        <f>VLOOKUP(Table110[[#This Row],[Date]],database!A:H,3,)</f>
        <v>61.616199999999999</v>
      </c>
      <c r="C138" s="67">
        <f t="shared" si="2"/>
        <v>-7.240725941584425E-3</v>
      </c>
      <c r="D138" s="67">
        <f>(Table110[[#This Row],[Index]]-B126)/B126</f>
        <v>-5.59204730188353E-2</v>
      </c>
    </row>
    <row r="139" spans="1:4" x14ac:dyDescent="0.2">
      <c r="A139" s="17">
        <v>30317</v>
      </c>
      <c r="B139" s="59">
        <f>VLOOKUP(Table110[[#This Row],[Date]],database!A:H,3,)</f>
        <v>63.8125</v>
      </c>
      <c r="C139" s="67">
        <f t="shared" si="2"/>
        <v>3.5644846647472583E-2</v>
      </c>
      <c r="D139" s="67">
        <f>(Table110[[#This Row],[Index]]-B127)/B127</f>
        <v>1.2369750352197558E-2</v>
      </c>
    </row>
    <row r="140" spans="1:4" x14ac:dyDescent="0.2">
      <c r="A140" s="17">
        <v>30348</v>
      </c>
      <c r="B140" s="59">
        <f>VLOOKUP(Table110[[#This Row],[Date]],database!A:H,3,)</f>
        <v>63.498100000000001</v>
      </c>
      <c r="C140" s="67">
        <f t="shared" si="2"/>
        <v>-4.9269343780606878E-3</v>
      </c>
      <c r="D140" s="67">
        <f>(Table110[[#This Row],[Index]]-B128)/B128</f>
        <v>-2.7726695748971325E-2</v>
      </c>
    </row>
    <row r="141" spans="1:4" x14ac:dyDescent="0.2">
      <c r="A141" s="17">
        <v>30376</v>
      </c>
      <c r="B141" s="59">
        <f>VLOOKUP(Table110[[#This Row],[Date]],database!A:H,3,)</f>
        <v>64.2196</v>
      </c>
      <c r="C141" s="67">
        <f t="shared" si="2"/>
        <v>1.1362544706062128E-2</v>
      </c>
      <c r="D141" s="67">
        <f>(Table110[[#This Row],[Index]]-B129)/B129</f>
        <v>4.4812468032990205E-3</v>
      </c>
    </row>
    <row r="142" spans="1:4" x14ac:dyDescent="0.2">
      <c r="A142" s="17">
        <v>30407</v>
      </c>
      <c r="B142" s="59">
        <f>VLOOKUP(Table110[[#This Row],[Date]],database!A:H,3,)</f>
        <v>65.092200000000005</v>
      </c>
      <c r="C142" s="67">
        <f t="shared" si="2"/>
        <v>1.3587752025861377E-2</v>
      </c>
      <c r="D142" s="67">
        <f>(Table110[[#This Row],[Index]]-B130)/B130</f>
        <v>2.6037036336467121E-2</v>
      </c>
    </row>
    <row r="143" spans="1:4" x14ac:dyDescent="0.2">
      <c r="A143" s="17">
        <v>30437</v>
      </c>
      <c r="B143" s="59">
        <f>VLOOKUP(Table110[[#This Row],[Date]],database!A:H,3,)</f>
        <v>66.320599999999999</v>
      </c>
      <c r="C143" s="67">
        <f t="shared" si="2"/>
        <v>1.8871692768104298E-2</v>
      </c>
      <c r="D143" s="67">
        <f>(Table110[[#This Row],[Index]]-B131)/B131</f>
        <v>3.9765333734686652E-2</v>
      </c>
    </row>
    <row r="144" spans="1:4" x14ac:dyDescent="0.2">
      <c r="A144" s="17">
        <v>30468</v>
      </c>
      <c r="B144" s="59">
        <f>VLOOKUP(Table110[[#This Row],[Date]],database!A:H,3,)</f>
        <v>67.479500000000002</v>
      </c>
      <c r="C144" s="67">
        <f t="shared" si="2"/>
        <v>1.7474208616930609E-2</v>
      </c>
      <c r="D144" s="67">
        <f>(Table110[[#This Row],[Index]]-B132)/B132</f>
        <v>6.6193606899025259E-2</v>
      </c>
    </row>
    <row r="145" spans="1:4" x14ac:dyDescent="0.2">
      <c r="A145" s="17">
        <v>30498</v>
      </c>
      <c r="B145" s="59">
        <f>VLOOKUP(Table110[[#This Row],[Date]],database!A:H,3,)</f>
        <v>68.888400000000004</v>
      </c>
      <c r="C145" s="67">
        <f t="shared" si="2"/>
        <v>2.0878933602056948E-2</v>
      </c>
      <c r="D145" s="67">
        <f>(Table110[[#This Row],[Index]]-B133)/B133</f>
        <v>9.096610309069382E-2</v>
      </c>
    </row>
    <row r="146" spans="1:4" x14ac:dyDescent="0.2">
      <c r="A146" s="17">
        <v>30529</v>
      </c>
      <c r="B146" s="59">
        <f>VLOOKUP(Table110[[#This Row],[Date]],database!A:H,3,)</f>
        <v>69.1858</v>
      </c>
      <c r="C146" s="67">
        <f t="shared" si="2"/>
        <v>4.3171274118718461E-3</v>
      </c>
      <c r="D146" s="67">
        <f>(Table110[[#This Row],[Index]]-B134)/B134</f>
        <v>9.5481635832768599E-2</v>
      </c>
    </row>
    <row r="147" spans="1:4" x14ac:dyDescent="0.2">
      <c r="A147" s="17">
        <v>30560</v>
      </c>
      <c r="B147" s="59">
        <f>VLOOKUP(Table110[[#This Row],[Date]],database!A:H,3,)</f>
        <v>70.041600000000003</v>
      </c>
      <c r="C147" s="67">
        <f t="shared" si="2"/>
        <v>1.2369590291649413E-2</v>
      </c>
      <c r="D147" s="67">
        <f>(Table110[[#This Row],[Index]]-B135)/B135</f>
        <v>0.10564998863435465</v>
      </c>
    </row>
    <row r="148" spans="1:4" x14ac:dyDescent="0.2">
      <c r="A148" s="17">
        <v>30590</v>
      </c>
      <c r="B148" s="59">
        <f>VLOOKUP(Table110[[#This Row],[Date]],database!A:H,3,)</f>
        <v>71.167400000000001</v>
      </c>
      <c r="C148" s="67">
        <f t="shared" si="2"/>
        <v>1.6073305007309857E-2</v>
      </c>
      <c r="D148" s="67">
        <f>(Table110[[#This Row],[Index]]-B136)/B136</f>
        <v>0.1398985474051424</v>
      </c>
    </row>
    <row r="149" spans="1:4" x14ac:dyDescent="0.2">
      <c r="A149" s="17">
        <v>30621</v>
      </c>
      <c r="B149" s="59">
        <f>VLOOKUP(Table110[[#This Row],[Date]],database!A:H,3,)</f>
        <v>70.991600000000005</v>
      </c>
      <c r="C149" s="67">
        <f t="shared" si="2"/>
        <v>-2.4702321568582652E-3</v>
      </c>
      <c r="D149" s="67">
        <f>(Table110[[#This Row],[Index]]-B137)/B137</f>
        <v>0.14381557577788665</v>
      </c>
    </row>
    <row r="150" spans="1:4" x14ac:dyDescent="0.2">
      <c r="A150" s="17">
        <v>30651</v>
      </c>
      <c r="B150" s="59">
        <f>VLOOKUP(Table110[[#This Row],[Date]],database!A:H,3,)</f>
        <v>71.186800000000005</v>
      </c>
      <c r="C150" s="67">
        <f t="shared" si="2"/>
        <v>2.7496210819308864E-3</v>
      </c>
      <c r="D150" s="67">
        <f>(Table110[[#This Row],[Index]]-B138)/B138</f>
        <v>0.15532603438706064</v>
      </c>
    </row>
    <row r="151" spans="1:4" x14ac:dyDescent="0.2">
      <c r="A151" s="17">
        <v>30682</v>
      </c>
      <c r="B151" s="59">
        <f>VLOOKUP(Table110[[#This Row],[Date]],database!A:H,3,)</f>
        <v>71.633399999999995</v>
      </c>
      <c r="C151" s="67">
        <f t="shared" si="2"/>
        <v>6.2736349997469798E-3</v>
      </c>
      <c r="D151" s="67">
        <f>(Table110[[#This Row],[Index]]-B139)/B139</f>
        <v>0.12256062683643479</v>
      </c>
    </row>
    <row r="152" spans="1:4" x14ac:dyDescent="0.2">
      <c r="A152" s="17">
        <v>30713</v>
      </c>
      <c r="B152" s="59">
        <f>VLOOKUP(Table110[[#This Row],[Date]],database!A:H,3,)</f>
        <v>73.218800000000002</v>
      </c>
      <c r="C152" s="67">
        <f t="shared" si="2"/>
        <v>2.2132133892849071E-2</v>
      </c>
      <c r="D152" s="67">
        <f>(Table110[[#This Row],[Index]]-B140)/B140</f>
        <v>0.15308647030383588</v>
      </c>
    </row>
    <row r="153" spans="1:4" x14ac:dyDescent="0.2">
      <c r="A153" s="17">
        <v>30742</v>
      </c>
      <c r="B153" s="59">
        <f>VLOOKUP(Table110[[#This Row],[Date]],database!A:H,3,)</f>
        <v>72.754800000000003</v>
      </c>
      <c r="C153" s="67">
        <f t="shared" si="2"/>
        <v>-6.3371702349669379E-3</v>
      </c>
      <c r="D153" s="67">
        <f>(Table110[[#This Row],[Index]]-B141)/B141</f>
        <v>0.13290646469302211</v>
      </c>
    </row>
    <row r="154" spans="1:4" x14ac:dyDescent="0.2">
      <c r="A154" s="17">
        <v>30773</v>
      </c>
      <c r="B154" s="59">
        <f>VLOOKUP(Table110[[#This Row],[Date]],database!A:H,3,)</f>
        <v>73.250799999999998</v>
      </c>
      <c r="C154" s="67">
        <f t="shared" si="2"/>
        <v>6.8174196066788095E-3</v>
      </c>
      <c r="D154" s="67">
        <f>(Table110[[#This Row],[Index]]-B142)/B142</f>
        <v>0.12533913433560384</v>
      </c>
    </row>
    <row r="155" spans="1:4" x14ac:dyDescent="0.2">
      <c r="A155" s="17">
        <v>30803</v>
      </c>
      <c r="B155" s="59">
        <f>VLOOKUP(Table110[[#This Row],[Date]],database!A:H,3,)</f>
        <v>73.447100000000006</v>
      </c>
      <c r="C155" s="67">
        <f t="shared" si="2"/>
        <v>2.6798342134148889E-3</v>
      </c>
      <c r="D155" s="67">
        <f>(Table110[[#This Row],[Index]]-B143)/B143</f>
        <v>0.10745530046471242</v>
      </c>
    </row>
    <row r="156" spans="1:4" x14ac:dyDescent="0.2">
      <c r="A156" s="17">
        <v>30834</v>
      </c>
      <c r="B156" s="59">
        <f>VLOOKUP(Table110[[#This Row],[Date]],database!A:H,3,)</f>
        <v>73.956800000000001</v>
      </c>
      <c r="C156" s="67">
        <f t="shared" si="2"/>
        <v>6.9396885649670725E-3</v>
      </c>
      <c r="D156" s="67">
        <f>(Table110[[#This Row],[Index]]-B144)/B144</f>
        <v>9.5989152261057059E-2</v>
      </c>
    </row>
    <row r="157" spans="1:4" x14ac:dyDescent="0.2">
      <c r="A157" s="17">
        <v>30864</v>
      </c>
      <c r="B157" s="59">
        <f>VLOOKUP(Table110[[#This Row],[Date]],database!A:H,3,)</f>
        <v>73.710999999999999</v>
      </c>
      <c r="C157" s="67">
        <f t="shared" si="2"/>
        <v>-3.3235618631417552E-3</v>
      </c>
      <c r="D157" s="67">
        <f>(Table110[[#This Row],[Index]]-B145)/B145</f>
        <v>7.0005980687604788E-2</v>
      </c>
    </row>
    <row r="158" spans="1:4" x14ac:dyDescent="0.2">
      <c r="A158" s="17">
        <v>30895</v>
      </c>
      <c r="B158" s="59">
        <f>VLOOKUP(Table110[[#This Row],[Date]],database!A:H,3,)</f>
        <v>73.963200000000001</v>
      </c>
      <c r="C158" s="67">
        <f t="shared" si="2"/>
        <v>3.4214703368560251E-3</v>
      </c>
      <c r="D158" s="67">
        <f>(Table110[[#This Row],[Index]]-B146)/B146</f>
        <v>6.9051741831416269E-2</v>
      </c>
    </row>
    <row r="159" spans="1:4" x14ac:dyDescent="0.2">
      <c r="A159" s="17">
        <v>30926</v>
      </c>
      <c r="B159" s="59">
        <f>VLOOKUP(Table110[[#This Row],[Date]],database!A:H,3,)</f>
        <v>74.156899999999993</v>
      </c>
      <c r="C159" s="67">
        <f t="shared" si="2"/>
        <v>2.6188699245028868E-3</v>
      </c>
      <c r="D159" s="67">
        <f>(Table110[[#This Row],[Index]]-B147)/B147</f>
        <v>5.8755082693713316E-2</v>
      </c>
    </row>
    <row r="160" spans="1:4" x14ac:dyDescent="0.2">
      <c r="A160" s="17">
        <v>30956</v>
      </c>
      <c r="B160" s="59">
        <f>VLOOKUP(Table110[[#This Row],[Date]],database!A:H,3,)</f>
        <v>73.977500000000006</v>
      </c>
      <c r="C160" s="67">
        <f t="shared" si="2"/>
        <v>-2.4191949771361632E-3</v>
      </c>
      <c r="D160" s="67">
        <f>(Table110[[#This Row],[Index]]-B148)/B148</f>
        <v>3.9485775790600829E-2</v>
      </c>
    </row>
    <row r="161" spans="1:4" x14ac:dyDescent="0.2">
      <c r="A161" s="17">
        <v>30987</v>
      </c>
      <c r="B161" s="59">
        <f>VLOOKUP(Table110[[#This Row],[Date]],database!A:H,3,)</f>
        <v>73.837400000000002</v>
      </c>
      <c r="C161" s="67">
        <f t="shared" si="2"/>
        <v>-1.8938190666081267E-3</v>
      </c>
      <c r="D161" s="67">
        <f>(Table110[[#This Row],[Index]]-B149)/B149</f>
        <v>4.0086432761059013E-2</v>
      </c>
    </row>
    <row r="162" spans="1:4" x14ac:dyDescent="0.2">
      <c r="A162" s="17">
        <v>31017</v>
      </c>
      <c r="B162" s="59">
        <f>VLOOKUP(Table110[[#This Row],[Date]],database!A:H,3,)</f>
        <v>74.507400000000004</v>
      </c>
      <c r="C162" s="67">
        <f t="shared" si="2"/>
        <v>9.0739923128386746E-3</v>
      </c>
      <c r="D162" s="67">
        <f>(Table110[[#This Row],[Index]]-B150)/B150</f>
        <v>4.6646288356830178E-2</v>
      </c>
    </row>
    <row r="163" spans="1:4" x14ac:dyDescent="0.2">
      <c r="A163" s="17">
        <v>31048</v>
      </c>
      <c r="B163" s="59">
        <f>VLOOKUP(Table110[[#This Row],[Date]],database!A:H,3,)</f>
        <v>73.253799999999998</v>
      </c>
      <c r="C163" s="67">
        <f t="shared" si="2"/>
        <v>-1.6825174412206101E-2</v>
      </c>
      <c r="D163" s="67">
        <f>(Table110[[#This Row],[Index]]-B151)/B151</f>
        <v>2.2620732786661022E-2</v>
      </c>
    </row>
    <row r="164" spans="1:4" x14ac:dyDescent="0.2">
      <c r="A164" s="17">
        <v>31079</v>
      </c>
      <c r="B164" s="59">
        <f>VLOOKUP(Table110[[#This Row],[Date]],database!A:H,3,)</f>
        <v>73.349299999999999</v>
      </c>
      <c r="C164" s="67">
        <f t="shared" si="2"/>
        <v>1.3036866346864961E-3</v>
      </c>
      <c r="D164" s="67">
        <f>(Table110[[#This Row],[Index]]-B152)/B152</f>
        <v>1.7823291285844324E-3</v>
      </c>
    </row>
    <row r="165" spans="1:4" x14ac:dyDescent="0.2">
      <c r="A165" s="17">
        <v>31107</v>
      </c>
      <c r="B165" s="59">
        <f>VLOOKUP(Table110[[#This Row],[Date]],database!A:H,3,)</f>
        <v>75.337599999999995</v>
      </c>
      <c r="C165" s="67">
        <f t="shared" si="2"/>
        <v>2.710727982407457E-2</v>
      </c>
      <c r="D165" s="67">
        <f>(Table110[[#This Row],[Index]]-B153)/B153</f>
        <v>3.5500063226068822E-2</v>
      </c>
    </row>
    <row r="166" spans="1:4" x14ac:dyDescent="0.2">
      <c r="A166" s="17">
        <v>31138</v>
      </c>
      <c r="B166" s="59">
        <f>VLOOKUP(Table110[[#This Row],[Date]],database!A:H,3,)</f>
        <v>75.2714</v>
      </c>
      <c r="C166" s="67">
        <f t="shared" si="2"/>
        <v>-8.7871129422756322E-4</v>
      </c>
      <c r="D166" s="67">
        <f>(Table110[[#This Row],[Index]]-B154)/B154</f>
        <v>2.7584681669005687E-2</v>
      </c>
    </row>
    <row r="167" spans="1:4" x14ac:dyDescent="0.2">
      <c r="A167" s="17">
        <v>31168</v>
      </c>
      <c r="B167" s="59">
        <f>VLOOKUP(Table110[[#This Row],[Date]],database!A:H,3,)</f>
        <v>75.58</v>
      </c>
      <c r="C167" s="67">
        <f t="shared" si="2"/>
        <v>4.0998307458077754E-3</v>
      </c>
      <c r="D167" s="67">
        <f>(Table110[[#This Row],[Index]]-B155)/B155</f>
        <v>2.9039948479926261E-2</v>
      </c>
    </row>
    <row r="168" spans="1:4" x14ac:dyDescent="0.2">
      <c r="A168" s="17">
        <v>31199</v>
      </c>
      <c r="B168" s="59">
        <f>VLOOKUP(Table110[[#This Row],[Date]],database!A:H,3,)</f>
        <v>75.971199999999996</v>
      </c>
      <c r="C168" s="67">
        <f t="shared" si="2"/>
        <v>5.1759724794919748E-3</v>
      </c>
      <c r="D168" s="67">
        <f>(Table110[[#This Row],[Index]]-B156)/B156</f>
        <v>2.7237522445535702E-2</v>
      </c>
    </row>
    <row r="169" spans="1:4" x14ac:dyDescent="0.2">
      <c r="A169" s="17">
        <v>31229</v>
      </c>
      <c r="B169" s="59">
        <f>VLOOKUP(Table110[[#This Row],[Date]],database!A:H,3,)</f>
        <v>75.695899999999995</v>
      </c>
      <c r="C169" s="67">
        <f t="shared" si="2"/>
        <v>-3.6237416284066182E-3</v>
      </c>
      <c r="D169" s="67">
        <f>(Table110[[#This Row],[Index]]-B157)/B157</f>
        <v>2.6928138269729025E-2</v>
      </c>
    </row>
    <row r="170" spans="1:4" x14ac:dyDescent="0.2">
      <c r="A170" s="17">
        <v>31260</v>
      </c>
      <c r="B170" s="59">
        <f>VLOOKUP(Table110[[#This Row],[Date]],database!A:H,3,)</f>
        <v>75.761099999999999</v>
      </c>
      <c r="C170" s="67">
        <f t="shared" si="2"/>
        <v>8.6134123512637828E-4</v>
      </c>
      <c r="D170" s="67">
        <f>(Table110[[#This Row],[Index]]-B158)/B158</f>
        <v>2.4308034265688862E-2</v>
      </c>
    </row>
    <row r="171" spans="1:4" x14ac:dyDescent="0.2">
      <c r="A171" s="17">
        <v>31291</v>
      </c>
      <c r="B171" s="59">
        <f>VLOOKUP(Table110[[#This Row],[Date]],database!A:H,3,)</f>
        <v>75.738</v>
      </c>
      <c r="C171" s="67">
        <f t="shared" si="2"/>
        <v>-3.0490581578146436E-4</v>
      </c>
      <c r="D171" s="67">
        <f>(Table110[[#This Row],[Index]]-B159)/B159</f>
        <v>2.1321009912766128E-2</v>
      </c>
    </row>
    <row r="172" spans="1:4" x14ac:dyDescent="0.2">
      <c r="A172" s="17">
        <v>31321</v>
      </c>
      <c r="B172" s="59">
        <f>VLOOKUP(Table110[[#This Row],[Date]],database!A:H,3,)</f>
        <v>75.858500000000006</v>
      </c>
      <c r="C172" s="67">
        <f t="shared" si="2"/>
        <v>1.5910111172727781E-3</v>
      </c>
      <c r="D172" s="67">
        <f>(Table110[[#This Row],[Index]]-B160)/B160</f>
        <v>2.5426649994930894E-2</v>
      </c>
    </row>
    <row r="173" spans="1:4" x14ac:dyDescent="0.2">
      <c r="A173" s="17">
        <v>31352</v>
      </c>
      <c r="B173" s="59">
        <f>VLOOKUP(Table110[[#This Row],[Date]],database!A:H,3,)</f>
        <v>75.807500000000005</v>
      </c>
      <c r="C173" s="67">
        <f t="shared" si="2"/>
        <v>-6.7230435613674366E-4</v>
      </c>
      <c r="D173" s="67">
        <f>(Table110[[#This Row],[Index]]-B161)/B161</f>
        <v>2.6681600381378571E-2</v>
      </c>
    </row>
    <row r="174" spans="1:4" x14ac:dyDescent="0.2">
      <c r="A174" s="17">
        <v>31382</v>
      </c>
      <c r="B174" s="59">
        <f>VLOOKUP(Table110[[#This Row],[Date]],database!A:H,3,)</f>
        <v>75.561099999999996</v>
      </c>
      <c r="C174" s="67">
        <f t="shared" si="2"/>
        <v>-3.2503380272401738E-3</v>
      </c>
      <c r="D174" s="67">
        <f>(Table110[[#This Row],[Index]]-B162)/B162</f>
        <v>1.4142219430553099E-2</v>
      </c>
    </row>
    <row r="175" spans="1:4" x14ac:dyDescent="0.2">
      <c r="A175" s="17">
        <v>31413</v>
      </c>
      <c r="B175" s="59">
        <f>VLOOKUP(Table110[[#This Row],[Date]],database!A:H,3,)</f>
        <v>77.175899999999999</v>
      </c>
      <c r="C175" s="67">
        <f t="shared" si="2"/>
        <v>2.1370784702710921E-2</v>
      </c>
      <c r="D175" s="67">
        <f>(Table110[[#This Row],[Index]]-B163)/B163</f>
        <v>5.3541249737215003E-2</v>
      </c>
    </row>
    <row r="176" spans="1:4" x14ac:dyDescent="0.2">
      <c r="A176" s="17">
        <v>31444</v>
      </c>
      <c r="B176" s="59">
        <f>VLOOKUP(Table110[[#This Row],[Date]],database!A:H,3,)</f>
        <v>76.445999999999998</v>
      </c>
      <c r="C176" s="67">
        <f t="shared" si="2"/>
        <v>-9.4576156546279933E-3</v>
      </c>
      <c r="D176" s="67">
        <f>(Table110[[#This Row],[Index]]-B164)/B164</f>
        <v>4.2218535146211329E-2</v>
      </c>
    </row>
    <row r="177" spans="1:4" x14ac:dyDescent="0.2">
      <c r="A177" s="17">
        <v>31472</v>
      </c>
      <c r="B177" s="59">
        <f>VLOOKUP(Table110[[#This Row],[Date]],database!A:H,3,)</f>
        <v>76.6143</v>
      </c>
      <c r="C177" s="67">
        <f t="shared" si="2"/>
        <v>2.2015540381445931E-3</v>
      </c>
      <c r="D177" s="67">
        <f>(Table110[[#This Row],[Index]]-B165)/B165</f>
        <v>1.6946385337467684E-2</v>
      </c>
    </row>
    <row r="178" spans="1:4" x14ac:dyDescent="0.2">
      <c r="A178" s="17">
        <v>31503</v>
      </c>
      <c r="B178" s="59">
        <f>VLOOKUP(Table110[[#This Row],[Date]],database!A:H,3,)</f>
        <v>77.347499999999997</v>
      </c>
      <c r="C178" s="67">
        <f t="shared" si="2"/>
        <v>9.5700149972002269E-3</v>
      </c>
      <c r="D178" s="67">
        <f>(Table110[[#This Row],[Index]]-B166)/B166</f>
        <v>2.7581524988242501E-2</v>
      </c>
    </row>
    <row r="179" spans="1:4" x14ac:dyDescent="0.2">
      <c r="A179" s="17">
        <v>31533</v>
      </c>
      <c r="B179" s="59">
        <f>VLOOKUP(Table110[[#This Row],[Date]],database!A:H,3,)</f>
        <v>77.795199999999994</v>
      </c>
      <c r="C179" s="67">
        <f t="shared" si="2"/>
        <v>5.7881638061991758E-3</v>
      </c>
      <c r="D179" s="67">
        <f>(Table110[[#This Row],[Index]]-B167)/B167</f>
        <v>2.9309341095527863E-2</v>
      </c>
    </row>
    <row r="180" spans="1:4" x14ac:dyDescent="0.2">
      <c r="A180" s="17">
        <v>31564</v>
      </c>
      <c r="B180" s="59">
        <f>VLOOKUP(Table110[[#This Row],[Date]],database!A:H,3,)</f>
        <v>77.025599999999997</v>
      </c>
      <c r="C180" s="67">
        <f t="shared" si="2"/>
        <v>-9.8926411912302337E-3</v>
      </c>
      <c r="D180" s="67">
        <f>(Table110[[#This Row],[Index]]-B168)/B168</f>
        <v>1.3878943599679894E-2</v>
      </c>
    </row>
    <row r="181" spans="1:4" x14ac:dyDescent="0.2">
      <c r="A181" s="17">
        <v>31594</v>
      </c>
      <c r="B181" s="59">
        <f>VLOOKUP(Table110[[#This Row],[Date]],database!A:H,3,)</f>
        <v>77.440299999999993</v>
      </c>
      <c r="C181" s="67">
        <f t="shared" si="2"/>
        <v>5.3839243056852393E-3</v>
      </c>
      <c r="D181" s="67">
        <f>(Table110[[#This Row],[Index]]-B169)/B169</f>
        <v>2.3044841266171602E-2</v>
      </c>
    </row>
    <row r="182" spans="1:4" x14ac:dyDescent="0.2">
      <c r="A182" s="17">
        <v>31625</v>
      </c>
      <c r="B182" s="59">
        <f>VLOOKUP(Table110[[#This Row],[Date]],database!A:H,3,)</f>
        <v>78.2196</v>
      </c>
      <c r="C182" s="67">
        <f t="shared" si="2"/>
        <v>1.0063235808745574E-2</v>
      </c>
      <c r="D182" s="67">
        <f>(Table110[[#This Row],[Index]]-B170)/B170</f>
        <v>3.2450690393882889E-2</v>
      </c>
    </row>
    <row r="183" spans="1:4" x14ac:dyDescent="0.2">
      <c r="A183" s="17">
        <v>31656</v>
      </c>
      <c r="B183" s="59">
        <f>VLOOKUP(Table110[[#This Row],[Date]],database!A:H,3,)</f>
        <v>78.313100000000006</v>
      </c>
      <c r="C183" s="67">
        <f t="shared" si="2"/>
        <v>1.195352571478292E-3</v>
      </c>
      <c r="D183" s="67">
        <f>(Table110[[#This Row],[Index]]-B171)/B171</f>
        <v>3.4000105627294178E-2</v>
      </c>
    </row>
    <row r="184" spans="1:4" x14ac:dyDescent="0.2">
      <c r="A184" s="17">
        <v>31686</v>
      </c>
      <c r="B184" s="59">
        <f>VLOOKUP(Table110[[#This Row],[Date]],database!A:H,3,)</f>
        <v>78.304699999999997</v>
      </c>
      <c r="C184" s="67">
        <f t="shared" si="2"/>
        <v>-1.0726174803465938E-4</v>
      </c>
      <c r="D184" s="67">
        <f>(Table110[[#This Row],[Index]]-B172)/B172</f>
        <v>3.2246880705523971E-2</v>
      </c>
    </row>
    <row r="185" spans="1:4" x14ac:dyDescent="0.2">
      <c r="A185" s="17">
        <v>31717</v>
      </c>
      <c r="B185" s="59">
        <f>VLOOKUP(Table110[[#This Row],[Date]],database!A:H,3,)</f>
        <v>78.485100000000003</v>
      </c>
      <c r="C185" s="67">
        <f t="shared" si="2"/>
        <v>2.3038208434487117E-3</v>
      </c>
      <c r="D185" s="67">
        <f>(Table110[[#This Row],[Index]]-B173)/B173</f>
        <v>3.532104343237804E-2</v>
      </c>
    </row>
    <row r="186" spans="1:4" x14ac:dyDescent="0.2">
      <c r="A186" s="17">
        <v>31747</v>
      </c>
      <c r="B186" s="59">
        <f>VLOOKUP(Table110[[#This Row],[Date]],database!A:H,3,)</f>
        <v>79.035600000000002</v>
      </c>
      <c r="C186" s="67">
        <f t="shared" si="2"/>
        <v>7.0140701865704091E-3</v>
      </c>
      <c r="D186" s="67">
        <f>(Table110[[#This Row],[Index]]-B174)/B174</f>
        <v>4.5982655096339337E-2</v>
      </c>
    </row>
    <row r="187" spans="1:4" x14ac:dyDescent="0.2">
      <c r="A187" s="17">
        <v>31778</v>
      </c>
      <c r="B187" s="59">
        <f>VLOOKUP(Table110[[#This Row],[Date]],database!A:H,3,)</f>
        <v>79.822299999999998</v>
      </c>
      <c r="C187" s="67">
        <f t="shared" si="2"/>
        <v>9.9537423642004352E-3</v>
      </c>
      <c r="D187" s="67">
        <f>(Table110[[#This Row],[Index]]-B175)/B175</f>
        <v>3.4290497422122708E-2</v>
      </c>
    </row>
    <row r="188" spans="1:4" x14ac:dyDescent="0.2">
      <c r="A188" s="17">
        <v>31809</v>
      </c>
      <c r="B188" s="59">
        <f>VLOOKUP(Table110[[#This Row],[Date]],database!A:H,3,)</f>
        <v>81.433999999999997</v>
      </c>
      <c r="C188" s="67">
        <f t="shared" si="2"/>
        <v>2.0191099479719421E-2</v>
      </c>
      <c r="D188" s="67">
        <f>(Table110[[#This Row],[Index]]-B176)/B176</f>
        <v>6.524867226538994E-2</v>
      </c>
    </row>
    <row r="189" spans="1:4" x14ac:dyDescent="0.2">
      <c r="A189" s="17">
        <v>31837</v>
      </c>
      <c r="B189" s="59">
        <f>VLOOKUP(Table110[[#This Row],[Date]],database!A:H,3,)</f>
        <v>81.038200000000003</v>
      </c>
      <c r="C189" s="67">
        <f t="shared" si="2"/>
        <v>-4.8603777292040018E-3</v>
      </c>
      <c r="D189" s="67">
        <f>(Table110[[#This Row],[Index]]-B177)/B177</f>
        <v>5.7742484105447724E-2</v>
      </c>
    </row>
    <row r="190" spans="1:4" x14ac:dyDescent="0.2">
      <c r="A190" s="17">
        <v>31868</v>
      </c>
      <c r="B190" s="59">
        <f>VLOOKUP(Table110[[#This Row],[Date]],database!A:H,3,)</f>
        <v>81.435199999999995</v>
      </c>
      <c r="C190" s="67">
        <f t="shared" si="2"/>
        <v>4.8989242110508702E-3</v>
      </c>
      <c r="D190" s="67">
        <f>(Table110[[#This Row],[Index]]-B178)/B178</f>
        <v>5.2848508355150432E-2</v>
      </c>
    </row>
    <row r="191" spans="1:4" x14ac:dyDescent="0.2">
      <c r="A191" s="17">
        <v>31898</v>
      </c>
      <c r="B191" s="59">
        <f>VLOOKUP(Table110[[#This Row],[Date]],database!A:H,3,)</f>
        <v>82.0976</v>
      </c>
      <c r="C191" s="67">
        <f t="shared" si="2"/>
        <v>8.1340746998841418E-3</v>
      </c>
      <c r="D191" s="67">
        <f>(Table110[[#This Row],[Index]]-B179)/B179</f>
        <v>5.5304183291514208E-2</v>
      </c>
    </row>
    <row r="192" spans="1:4" x14ac:dyDescent="0.2">
      <c r="A192" s="17">
        <v>31929</v>
      </c>
      <c r="B192" s="59">
        <f>VLOOKUP(Table110[[#This Row],[Date]],database!A:H,3,)</f>
        <v>82.302499999999995</v>
      </c>
      <c r="C192" s="67">
        <f t="shared" si="2"/>
        <v>2.4958098653309335E-3</v>
      </c>
      <c r="D192" s="67">
        <f>(Table110[[#This Row],[Index]]-B180)/B180</f>
        <v>6.8508392015122224E-2</v>
      </c>
    </row>
    <row r="193" spans="1:4" x14ac:dyDescent="0.2">
      <c r="A193" s="17">
        <v>31959</v>
      </c>
      <c r="B193" s="59">
        <f>VLOOKUP(Table110[[#This Row],[Date]],database!A:H,3,)</f>
        <v>82.653899999999993</v>
      </c>
      <c r="C193" s="67">
        <f t="shared" si="2"/>
        <v>4.2696151392727089E-3</v>
      </c>
      <c r="D193" s="67">
        <f>(Table110[[#This Row],[Index]]-B181)/B181</f>
        <v>6.7324119353876472E-2</v>
      </c>
    </row>
    <row r="194" spans="1:4" x14ac:dyDescent="0.2">
      <c r="A194" s="17">
        <v>31990</v>
      </c>
      <c r="B194" s="59">
        <f>VLOOKUP(Table110[[#This Row],[Date]],database!A:H,3,)</f>
        <v>83.257099999999994</v>
      </c>
      <c r="C194" s="67">
        <f t="shared" si="2"/>
        <v>7.2979012484588601E-3</v>
      </c>
      <c r="D194" s="67">
        <f>(Table110[[#This Row],[Index]]-B182)/B182</f>
        <v>6.4402016885793265E-2</v>
      </c>
    </row>
    <row r="195" spans="1:4" x14ac:dyDescent="0.2">
      <c r="A195" s="17">
        <v>32021</v>
      </c>
      <c r="B195" s="59">
        <f>VLOOKUP(Table110[[#This Row],[Date]],database!A:H,3,)</f>
        <v>83.738299999999995</v>
      </c>
      <c r="C195" s="67">
        <f t="shared" si="2"/>
        <v>5.7796872579034542E-3</v>
      </c>
      <c r="D195" s="67">
        <f>(Table110[[#This Row],[Index]]-B183)/B183</f>
        <v>6.9275766123419832E-2</v>
      </c>
    </row>
    <row r="196" spans="1:4" x14ac:dyDescent="0.2">
      <c r="A196" s="17">
        <v>32051</v>
      </c>
      <c r="B196" s="59">
        <f>VLOOKUP(Table110[[#This Row],[Date]],database!A:H,3,)</f>
        <v>84.737799999999993</v>
      </c>
      <c r="C196" s="67">
        <f t="shared" si="2"/>
        <v>1.1935995834641888E-2</v>
      </c>
      <c r="D196" s="67">
        <f>(Table110[[#This Row],[Index]]-B184)/B184</f>
        <v>8.215471101990042E-2</v>
      </c>
    </row>
    <row r="197" spans="1:4" x14ac:dyDescent="0.2">
      <c r="A197" s="17">
        <v>32082</v>
      </c>
      <c r="B197" s="59">
        <f>VLOOKUP(Table110[[#This Row],[Date]],database!A:H,3,)</f>
        <v>84.743899999999996</v>
      </c>
      <c r="C197" s="67">
        <f t="shared" si="2"/>
        <v>7.1986763876319415E-5</v>
      </c>
      <c r="D197" s="67">
        <f>(Table110[[#This Row],[Index]]-B185)/B185</f>
        <v>7.9745072631620437E-2</v>
      </c>
    </row>
    <row r="198" spans="1:4" x14ac:dyDescent="0.2">
      <c r="A198" s="17">
        <v>32112</v>
      </c>
      <c r="B198" s="59">
        <f>VLOOKUP(Table110[[#This Row],[Date]],database!A:H,3,)</f>
        <v>85.526600000000002</v>
      </c>
      <c r="C198" s="67">
        <f t="shared" si="2"/>
        <v>9.2360630086649742E-3</v>
      </c>
      <c r="D198" s="67">
        <f>(Table110[[#This Row],[Index]]-B186)/B186</f>
        <v>8.212754758615104E-2</v>
      </c>
    </row>
    <row r="199" spans="1:4" x14ac:dyDescent="0.2">
      <c r="A199" s="17">
        <v>32143</v>
      </c>
      <c r="B199" s="59">
        <f>VLOOKUP(Table110[[#This Row],[Date]],database!A:H,3,)</f>
        <v>83.990499999999997</v>
      </c>
      <c r="C199" s="67">
        <f t="shared" si="2"/>
        <v>-1.7960494162050256E-2</v>
      </c>
      <c r="D199" s="67">
        <f>(Table110[[#This Row],[Index]]-B187)/B187</f>
        <v>5.2218490321626898E-2</v>
      </c>
    </row>
    <row r="200" spans="1:4" x14ac:dyDescent="0.2">
      <c r="A200" s="17">
        <v>32174</v>
      </c>
      <c r="B200" s="59">
        <f>VLOOKUP(Table110[[#This Row],[Date]],database!A:H,3,)</f>
        <v>84.837000000000003</v>
      </c>
      <c r="C200" s="67">
        <f t="shared" ref="C200:C263" si="3">B200/B199-1</f>
        <v>1.0078520785088863E-2</v>
      </c>
      <c r="D200" s="67">
        <f>(Table110[[#This Row],[Index]]-B188)/B188</f>
        <v>4.1788442174030577E-2</v>
      </c>
    </row>
    <row r="201" spans="1:4" x14ac:dyDescent="0.2">
      <c r="A201" s="17">
        <v>32203</v>
      </c>
      <c r="B201" s="59">
        <f>VLOOKUP(Table110[[#This Row],[Date]],database!A:H,3,)</f>
        <v>85.145499999999998</v>
      </c>
      <c r="C201" s="67">
        <f t="shared" si="3"/>
        <v>3.6363850678358123E-3</v>
      </c>
      <c r="D201" s="67">
        <f>(Table110[[#This Row],[Index]]-B189)/B189</f>
        <v>5.0683504816247088E-2</v>
      </c>
    </row>
    <row r="202" spans="1:4" x14ac:dyDescent="0.2">
      <c r="A202" s="17">
        <v>32234</v>
      </c>
      <c r="B202" s="59">
        <f>VLOOKUP(Table110[[#This Row],[Date]],database!A:H,3,)</f>
        <v>84.850399999999993</v>
      </c>
      <c r="C202" s="67">
        <f t="shared" si="3"/>
        <v>-3.4658320169592693E-3</v>
      </c>
      <c r="D202" s="67">
        <f>(Table110[[#This Row],[Index]]-B190)/B190</f>
        <v>4.1937638760634208E-2</v>
      </c>
    </row>
    <row r="203" spans="1:4" x14ac:dyDescent="0.2">
      <c r="A203" s="17">
        <v>32264</v>
      </c>
      <c r="B203" s="59">
        <f>VLOOKUP(Table110[[#This Row],[Date]],database!A:H,3,)</f>
        <v>84.985699999999994</v>
      </c>
      <c r="C203" s="67">
        <f t="shared" si="3"/>
        <v>1.5945711511082816E-3</v>
      </c>
      <c r="D203" s="67">
        <f>(Table110[[#This Row],[Index]]-B191)/B191</f>
        <v>3.5178860283369966E-2</v>
      </c>
    </row>
    <row r="204" spans="1:4" x14ac:dyDescent="0.2">
      <c r="A204" s="17">
        <v>32295</v>
      </c>
      <c r="B204" s="59">
        <f>VLOOKUP(Table110[[#This Row],[Date]],database!A:H,3,)</f>
        <v>84.331400000000002</v>
      </c>
      <c r="C204" s="67">
        <f t="shared" si="3"/>
        <v>-7.6989422926444506E-3</v>
      </c>
      <c r="D204" s="67">
        <f>(Table110[[#This Row],[Index]]-B192)/B192</f>
        <v>2.4651742049148051E-2</v>
      </c>
    </row>
    <row r="205" spans="1:4" x14ac:dyDescent="0.2">
      <c r="A205" s="17">
        <v>32325</v>
      </c>
      <c r="B205" s="59">
        <f>VLOOKUP(Table110[[#This Row],[Date]],database!A:H,3,)</f>
        <v>84.355000000000004</v>
      </c>
      <c r="C205" s="67">
        <f t="shared" si="3"/>
        <v>2.7984831272820365E-4</v>
      </c>
      <c r="D205" s="67">
        <f>(Table110[[#This Row],[Index]]-B193)/B193</f>
        <v>2.0581001017495982E-2</v>
      </c>
    </row>
    <row r="206" spans="1:4" x14ac:dyDescent="0.2">
      <c r="A206" s="17">
        <v>32356</v>
      </c>
      <c r="B206" s="59">
        <f>VLOOKUP(Table110[[#This Row],[Date]],database!A:H,3,)</f>
        <v>83.85</v>
      </c>
      <c r="C206" s="67">
        <f t="shared" si="3"/>
        <v>-5.9866042321143897E-3</v>
      </c>
      <c r="D206" s="67">
        <f>(Table110[[#This Row],[Index]]-B194)/B194</f>
        <v>7.1213145785764846E-3</v>
      </c>
    </row>
    <row r="207" spans="1:4" x14ac:dyDescent="0.2">
      <c r="A207" s="17">
        <v>32387</v>
      </c>
      <c r="B207" s="59">
        <f>VLOOKUP(Table110[[#This Row],[Date]],database!A:H,3,)</f>
        <v>84.158699999999996</v>
      </c>
      <c r="C207" s="67">
        <f t="shared" si="3"/>
        <v>3.6815742397138251E-3</v>
      </c>
      <c r="D207" s="67">
        <f>(Table110[[#This Row],[Index]]-B195)/B195</f>
        <v>5.0204028503086501E-3</v>
      </c>
    </row>
    <row r="208" spans="1:4" x14ac:dyDescent="0.2">
      <c r="A208" s="17">
        <v>32417</v>
      </c>
      <c r="B208" s="59">
        <f>VLOOKUP(Table110[[#This Row],[Date]],database!A:H,3,)</f>
        <v>84.482100000000003</v>
      </c>
      <c r="C208" s="67">
        <f t="shared" si="3"/>
        <v>3.8427399662781525E-3</v>
      </c>
      <c r="D208" s="67">
        <f>(Table110[[#This Row],[Index]]-B196)/B196</f>
        <v>-3.0175435283898129E-3</v>
      </c>
    </row>
    <row r="209" spans="1:4" x14ac:dyDescent="0.2">
      <c r="A209" s="17">
        <v>32448</v>
      </c>
      <c r="B209" s="59">
        <f>VLOOKUP(Table110[[#This Row],[Date]],database!A:H,3,)</f>
        <v>84.869299999999996</v>
      </c>
      <c r="C209" s="67">
        <f t="shared" si="3"/>
        <v>4.5832194038737395E-3</v>
      </c>
      <c r="D209" s="67">
        <f>(Table110[[#This Row],[Index]]-B197)/B197</f>
        <v>1.4797525249604876E-3</v>
      </c>
    </row>
    <row r="210" spans="1:4" x14ac:dyDescent="0.2">
      <c r="A210" s="17">
        <v>32478</v>
      </c>
      <c r="B210" s="59">
        <f>VLOOKUP(Table110[[#This Row],[Date]],database!A:H,3,)</f>
        <v>84.808999999999997</v>
      </c>
      <c r="C210" s="67">
        <f t="shared" si="3"/>
        <v>-7.1050426950614032E-4</v>
      </c>
      <c r="D210" s="67">
        <f>(Table110[[#This Row],[Index]]-B198)/B198</f>
        <v>-8.3903721181480904E-3</v>
      </c>
    </row>
    <row r="211" spans="1:4" x14ac:dyDescent="0.2">
      <c r="A211" s="17">
        <v>32509</v>
      </c>
      <c r="B211" s="59">
        <f>VLOOKUP(Table110[[#This Row],[Date]],database!A:H,3,)</f>
        <v>86.419700000000006</v>
      </c>
      <c r="C211" s="67">
        <f t="shared" si="3"/>
        <v>1.8992088103856997E-2</v>
      </c>
      <c r="D211" s="67">
        <f>(Table110[[#This Row],[Index]]-B199)/B199</f>
        <v>2.8922318595555555E-2</v>
      </c>
    </row>
    <row r="212" spans="1:4" x14ac:dyDescent="0.2">
      <c r="A212" s="17">
        <v>32540</v>
      </c>
      <c r="B212" s="59">
        <f>VLOOKUP(Table110[[#This Row],[Date]],database!A:H,3,)</f>
        <v>84.261099999999999</v>
      </c>
      <c r="C212" s="67">
        <f t="shared" si="3"/>
        <v>-2.4978101057976487E-2</v>
      </c>
      <c r="D212" s="67">
        <f>(Table110[[#This Row],[Index]]-B200)/B200</f>
        <v>-6.7883117036199331E-3</v>
      </c>
    </row>
    <row r="213" spans="1:4" x14ac:dyDescent="0.2">
      <c r="A213" s="17">
        <v>32568</v>
      </c>
      <c r="B213" s="59">
        <f>VLOOKUP(Table110[[#This Row],[Date]],database!A:H,3,)</f>
        <v>84.495599999999996</v>
      </c>
      <c r="C213" s="67">
        <f t="shared" si="3"/>
        <v>2.7830161248785235E-3</v>
      </c>
      <c r="D213" s="67">
        <f>(Table110[[#This Row],[Index]]-B201)/B201</f>
        <v>-7.6328167665936824E-3</v>
      </c>
    </row>
    <row r="214" spans="1:4" x14ac:dyDescent="0.2">
      <c r="A214" s="17">
        <v>32599</v>
      </c>
      <c r="B214" s="59">
        <f>VLOOKUP(Table110[[#This Row],[Date]],database!A:H,3,)</f>
        <v>84.472499999999997</v>
      </c>
      <c r="C214" s="67">
        <f t="shared" si="3"/>
        <v>-2.7338701660206688E-4</v>
      </c>
      <c r="D214" s="67">
        <f>(Table110[[#This Row],[Index]]-B202)/B202</f>
        <v>-4.4537209017281804E-3</v>
      </c>
    </row>
    <row r="215" spans="1:4" x14ac:dyDescent="0.2">
      <c r="A215" s="17">
        <v>32629</v>
      </c>
      <c r="B215" s="59">
        <f>VLOOKUP(Table110[[#This Row],[Date]],database!A:H,3,)</f>
        <v>83.797499999999999</v>
      </c>
      <c r="C215" s="67">
        <f t="shared" si="3"/>
        <v>-7.9907662256947232E-3</v>
      </c>
      <c r="D215" s="67">
        <f>(Table110[[#This Row],[Index]]-B203)/B203</f>
        <v>-1.3981175656610405E-2</v>
      </c>
    </row>
    <row r="216" spans="1:4" x14ac:dyDescent="0.2">
      <c r="A216" s="17">
        <v>32660</v>
      </c>
      <c r="B216" s="59">
        <f>VLOOKUP(Table110[[#This Row],[Date]],database!A:H,3,)</f>
        <v>83.996700000000004</v>
      </c>
      <c r="C216" s="67">
        <f t="shared" si="3"/>
        <v>2.377159223127201E-3</v>
      </c>
      <c r="D216" s="67">
        <f>(Table110[[#This Row],[Index]]-B204)/B204</f>
        <v>-3.968865689411038E-3</v>
      </c>
    </row>
    <row r="217" spans="1:4" x14ac:dyDescent="0.2">
      <c r="A217" s="17">
        <v>32690</v>
      </c>
      <c r="B217" s="59">
        <f>VLOOKUP(Table110[[#This Row],[Date]],database!A:H,3,)</f>
        <v>83.95</v>
      </c>
      <c r="C217" s="67">
        <f t="shared" si="3"/>
        <v>-5.5597422279685116E-4</v>
      </c>
      <c r="D217" s="67">
        <f>(Table110[[#This Row],[Index]]-B205)/B205</f>
        <v>-4.8011380475372076E-3</v>
      </c>
    </row>
    <row r="218" spans="1:4" x14ac:dyDescent="0.2">
      <c r="A218" s="17">
        <v>32721</v>
      </c>
      <c r="B218" s="59">
        <f>VLOOKUP(Table110[[#This Row],[Date]],database!A:H,3,)</f>
        <v>83.9298</v>
      </c>
      <c r="C218" s="67">
        <f t="shared" si="3"/>
        <v>-2.4061941631925432E-4</v>
      </c>
      <c r="D218" s="67">
        <f>(Table110[[#This Row],[Index]]-B206)/B206</f>
        <v>9.5169946332744029E-4</v>
      </c>
    </row>
    <row r="219" spans="1:4" x14ac:dyDescent="0.2">
      <c r="A219" s="17">
        <v>32752</v>
      </c>
      <c r="B219" s="59">
        <f>VLOOKUP(Table110[[#This Row],[Date]],database!A:H,3,)</f>
        <v>83.7226</v>
      </c>
      <c r="C219" s="67">
        <f t="shared" si="3"/>
        <v>-2.4687298194443485E-3</v>
      </c>
      <c r="D219" s="67">
        <f>(Table110[[#This Row],[Index]]-B207)/B207</f>
        <v>-5.1818766211930104E-3</v>
      </c>
    </row>
    <row r="220" spans="1:4" x14ac:dyDescent="0.2">
      <c r="A220" s="17">
        <v>32782</v>
      </c>
      <c r="B220" s="59">
        <f>VLOOKUP(Table110[[#This Row],[Date]],database!A:H,3,)</f>
        <v>84.125200000000007</v>
      </c>
      <c r="C220" s="67">
        <f t="shared" si="3"/>
        <v>4.8087374257370641E-3</v>
      </c>
      <c r="D220" s="67">
        <f>(Table110[[#This Row],[Index]]-B208)/B208</f>
        <v>-4.2245635465973973E-3</v>
      </c>
    </row>
    <row r="221" spans="1:4" x14ac:dyDescent="0.2">
      <c r="A221" s="17">
        <v>32813</v>
      </c>
      <c r="B221" s="59">
        <f>VLOOKUP(Table110[[#This Row],[Date]],database!A:H,3,)</f>
        <v>84.113</v>
      </c>
      <c r="C221" s="67">
        <f t="shared" si="3"/>
        <v>-1.4502194348431363E-4</v>
      </c>
      <c r="D221" s="67">
        <f>(Table110[[#This Row],[Index]]-B209)/B209</f>
        <v>-8.9113495692788331E-3</v>
      </c>
    </row>
    <row r="222" spans="1:4" x14ac:dyDescent="0.2">
      <c r="A222" s="17">
        <v>32843</v>
      </c>
      <c r="B222" s="59">
        <f>VLOOKUP(Table110[[#This Row],[Date]],database!A:H,3,)</f>
        <v>83.054699999999997</v>
      </c>
      <c r="C222" s="67">
        <f t="shared" si="3"/>
        <v>-1.2581883894285051E-2</v>
      </c>
      <c r="D222" s="67">
        <f>(Table110[[#This Row],[Index]]-B210)/B210</f>
        <v>-2.0685304625688319E-2</v>
      </c>
    </row>
    <row r="223" spans="1:4" x14ac:dyDescent="0.2">
      <c r="A223" s="17">
        <v>32874</v>
      </c>
      <c r="B223" s="59">
        <f>VLOOKUP(Table110[[#This Row],[Date]],database!A:H,3,)</f>
        <v>84.912599999999998</v>
      </c>
      <c r="C223" s="67">
        <f t="shared" si="3"/>
        <v>2.2369594977767582E-2</v>
      </c>
      <c r="D223" s="67">
        <f>(Table110[[#This Row],[Index]]-B211)/B211</f>
        <v>-1.7439310712719532E-2</v>
      </c>
    </row>
    <row r="224" spans="1:4" x14ac:dyDescent="0.2">
      <c r="A224" s="17">
        <v>32905</v>
      </c>
      <c r="B224" s="59">
        <f>VLOOKUP(Table110[[#This Row],[Date]],database!A:H,3,)</f>
        <v>85.238299999999995</v>
      </c>
      <c r="C224" s="67">
        <f t="shared" si="3"/>
        <v>3.8357087169631487E-3</v>
      </c>
      <c r="D224" s="67">
        <f>(Table110[[#This Row],[Index]]-B212)/B212</f>
        <v>1.1597285105463807E-2</v>
      </c>
    </row>
    <row r="225" spans="1:4" x14ac:dyDescent="0.2">
      <c r="A225" s="17">
        <v>32933</v>
      </c>
      <c r="B225" s="59">
        <f>VLOOKUP(Table110[[#This Row],[Date]],database!A:H,3,)</f>
        <v>85.069400000000002</v>
      </c>
      <c r="C225" s="67">
        <f t="shared" si="3"/>
        <v>-1.9815036198516101E-3</v>
      </c>
      <c r="D225" s="67">
        <f>(Table110[[#This Row],[Index]]-B213)/B213</f>
        <v>6.790886152651803E-3</v>
      </c>
    </row>
    <row r="226" spans="1:4" x14ac:dyDescent="0.2">
      <c r="A226" s="17">
        <v>32964</v>
      </c>
      <c r="B226" s="59">
        <f>VLOOKUP(Table110[[#This Row],[Date]],database!A:H,3,)</f>
        <v>84.250699999999995</v>
      </c>
      <c r="C226" s="67">
        <f t="shared" si="3"/>
        <v>-9.6239070688168837E-3</v>
      </c>
      <c r="D226" s="67">
        <f>(Table110[[#This Row],[Index]]-B214)/B214</f>
        <v>-2.6257065909023858E-3</v>
      </c>
    </row>
    <row r="227" spans="1:4" x14ac:dyDescent="0.2">
      <c r="A227" s="17">
        <v>32994</v>
      </c>
      <c r="B227" s="59">
        <f>VLOOKUP(Table110[[#This Row],[Date]],database!A:H,3,)</f>
        <v>83.7791</v>
      </c>
      <c r="C227" s="67">
        <f t="shared" si="3"/>
        <v>-5.5975796046797699E-3</v>
      </c>
      <c r="D227" s="67">
        <f>(Table110[[#This Row],[Index]]-B215)/B215</f>
        <v>-2.1957695635311017E-4</v>
      </c>
    </row>
    <row r="228" spans="1:4" x14ac:dyDescent="0.2">
      <c r="A228" s="17">
        <v>33025</v>
      </c>
      <c r="B228" s="59">
        <f>VLOOKUP(Table110[[#This Row],[Date]],database!A:H,3,)</f>
        <v>84.1447</v>
      </c>
      <c r="C228" s="67">
        <f t="shared" si="3"/>
        <v>4.3638568569011049E-3</v>
      </c>
      <c r="D228" s="67">
        <f>(Table110[[#This Row],[Index]]-B216)/B216</f>
        <v>1.7619739823111638E-3</v>
      </c>
    </row>
    <row r="229" spans="1:4" x14ac:dyDescent="0.2">
      <c r="A229" s="17">
        <v>33055</v>
      </c>
      <c r="B229" s="59">
        <f>VLOOKUP(Table110[[#This Row],[Date]],database!A:H,3,)</f>
        <v>83.4054</v>
      </c>
      <c r="C229" s="67">
        <f t="shared" si="3"/>
        <v>-8.7860554497193322E-3</v>
      </c>
      <c r="D229" s="67">
        <f>(Table110[[#This Row],[Index]]-B217)/B217</f>
        <v>-6.4871947587850226E-3</v>
      </c>
    </row>
    <row r="230" spans="1:4" x14ac:dyDescent="0.2">
      <c r="A230" s="17">
        <v>33086</v>
      </c>
      <c r="B230" s="59">
        <f>VLOOKUP(Table110[[#This Row],[Date]],database!A:H,3,)</f>
        <v>83.349599999999995</v>
      </c>
      <c r="C230" s="67">
        <f t="shared" si="3"/>
        <v>-6.6902143026714711E-4</v>
      </c>
      <c r="D230" s="67">
        <f>(Table110[[#This Row],[Index]]-B218)/B218</f>
        <v>-6.9129200832124581E-3</v>
      </c>
    </row>
    <row r="231" spans="1:4" x14ac:dyDescent="0.2">
      <c r="A231" s="17">
        <v>33117</v>
      </c>
      <c r="B231" s="59">
        <f>VLOOKUP(Table110[[#This Row],[Date]],database!A:H,3,)</f>
        <v>82.962299999999999</v>
      </c>
      <c r="C231" s="67">
        <f t="shared" si="3"/>
        <v>-4.6466929655331057E-3</v>
      </c>
      <c r="D231" s="67">
        <f>(Table110[[#This Row],[Index]]-B219)/B219</f>
        <v>-9.0811799920212811E-3</v>
      </c>
    </row>
    <row r="232" spans="1:4" x14ac:dyDescent="0.2">
      <c r="A232" s="17">
        <v>33147</v>
      </c>
      <c r="B232" s="59">
        <f>VLOOKUP(Table110[[#This Row],[Date]],database!A:H,3,)</f>
        <v>82.163300000000007</v>
      </c>
      <c r="C232" s="67">
        <f t="shared" si="3"/>
        <v>-9.6308805324827329E-3</v>
      </c>
      <c r="D232" s="67">
        <f>(Table110[[#This Row],[Index]]-B220)/B220</f>
        <v>-2.3321192698501754E-2</v>
      </c>
    </row>
    <row r="233" spans="1:4" x14ac:dyDescent="0.2">
      <c r="A233" s="17">
        <v>33178</v>
      </c>
      <c r="B233" s="59">
        <f>VLOOKUP(Table110[[#This Row],[Date]],database!A:H,3,)</f>
        <v>82.128799999999998</v>
      </c>
      <c r="C233" s="67">
        <f t="shared" si="3"/>
        <v>-4.1989550078935789E-4</v>
      </c>
      <c r="D233" s="67">
        <f>(Table110[[#This Row],[Index]]-B221)/B221</f>
        <v>-2.3589694815307993E-2</v>
      </c>
    </row>
    <row r="234" spans="1:4" x14ac:dyDescent="0.2">
      <c r="A234" s="17">
        <v>33208</v>
      </c>
      <c r="B234" s="59">
        <f>VLOOKUP(Table110[[#This Row],[Date]],database!A:H,3,)</f>
        <v>81.574100000000001</v>
      </c>
      <c r="C234" s="67">
        <f t="shared" si="3"/>
        <v>-6.7540253845179699E-3</v>
      </c>
      <c r="D234" s="67">
        <f>(Table110[[#This Row],[Index]]-B222)/B222</f>
        <v>-1.7826805707563755E-2</v>
      </c>
    </row>
    <row r="235" spans="1:4" x14ac:dyDescent="0.2">
      <c r="A235" s="17">
        <v>33239</v>
      </c>
      <c r="B235" s="59">
        <f>VLOOKUP(Table110[[#This Row],[Date]],database!A:H,3,)</f>
        <v>78.604399999999998</v>
      </c>
      <c r="C235" s="67">
        <f t="shared" si="3"/>
        <v>-3.6404937351438793E-2</v>
      </c>
      <c r="D235" s="67">
        <f>(Table110[[#This Row],[Index]]-B223)/B223</f>
        <v>-7.4290505767106413E-2</v>
      </c>
    </row>
    <row r="236" spans="1:4" x14ac:dyDescent="0.2">
      <c r="A236" s="17">
        <v>33270</v>
      </c>
      <c r="B236" s="59">
        <f>VLOOKUP(Table110[[#This Row],[Date]],database!A:H,3,)</f>
        <v>78.297899999999998</v>
      </c>
      <c r="C236" s="67">
        <f t="shared" si="3"/>
        <v>-3.8992728142445143E-3</v>
      </c>
      <c r="D236" s="67">
        <f>(Table110[[#This Row],[Index]]-B224)/B224</f>
        <v>-8.1423491552506291E-2</v>
      </c>
    </row>
    <row r="237" spans="1:4" x14ac:dyDescent="0.2">
      <c r="A237" s="17">
        <v>33298</v>
      </c>
      <c r="B237" s="59">
        <f>VLOOKUP(Table110[[#This Row],[Date]],database!A:H,3,)</f>
        <v>77.349800000000002</v>
      </c>
      <c r="C237" s="67">
        <f t="shared" si="3"/>
        <v>-1.2108881591971099E-2</v>
      </c>
      <c r="D237" s="67">
        <f>(Table110[[#This Row],[Index]]-B225)/B225</f>
        <v>-9.074473312377894E-2</v>
      </c>
    </row>
    <row r="238" spans="1:4" x14ac:dyDescent="0.2">
      <c r="A238" s="17">
        <v>33329</v>
      </c>
      <c r="B238" s="59">
        <f>VLOOKUP(Table110[[#This Row],[Date]],database!A:H,3,)</f>
        <v>77.977500000000006</v>
      </c>
      <c r="C238" s="67">
        <f t="shared" si="3"/>
        <v>8.1150823919389214E-3</v>
      </c>
      <c r="D238" s="67">
        <f>(Table110[[#This Row],[Index]]-B226)/B226</f>
        <v>-7.4458728532819179E-2</v>
      </c>
    </row>
    <row r="239" spans="1:4" x14ac:dyDescent="0.2">
      <c r="A239" s="17">
        <v>33359</v>
      </c>
      <c r="B239" s="59">
        <f>VLOOKUP(Table110[[#This Row],[Date]],database!A:H,3,)</f>
        <v>78.090599999999995</v>
      </c>
      <c r="C239" s="67">
        <f t="shared" si="3"/>
        <v>1.4504183899199941E-3</v>
      </c>
      <c r="D239" s="67">
        <f>(Table110[[#This Row],[Index]]-B227)/B227</f>
        <v>-6.7898795761711511E-2</v>
      </c>
    </row>
    <row r="240" spans="1:4" x14ac:dyDescent="0.2">
      <c r="A240" s="17">
        <v>33390</v>
      </c>
      <c r="B240" s="59">
        <f>VLOOKUP(Table110[[#This Row],[Date]],database!A:H,3,)</f>
        <v>79.400499999999994</v>
      </c>
      <c r="C240" s="67">
        <f t="shared" si="3"/>
        <v>1.6774105974342701E-2</v>
      </c>
      <c r="D240" s="67">
        <f>(Table110[[#This Row],[Index]]-B228)/B228</f>
        <v>-5.6381447672877866E-2</v>
      </c>
    </row>
    <row r="241" spans="1:4" x14ac:dyDescent="0.2">
      <c r="A241" s="17">
        <v>33420</v>
      </c>
      <c r="B241" s="59">
        <f>VLOOKUP(Table110[[#This Row],[Date]],database!A:H,3,)</f>
        <v>79.208299999999994</v>
      </c>
      <c r="C241" s="67">
        <f t="shared" si="3"/>
        <v>-2.4206396685159115E-3</v>
      </c>
      <c r="D241" s="67">
        <f>(Table110[[#This Row],[Index]]-B229)/B229</f>
        <v>-5.0321681809571153E-2</v>
      </c>
    </row>
    <row r="242" spans="1:4" x14ac:dyDescent="0.2">
      <c r="A242" s="17">
        <v>33451</v>
      </c>
      <c r="B242" s="59">
        <f>VLOOKUP(Table110[[#This Row],[Date]],database!A:H,3,)</f>
        <v>79.968599999999995</v>
      </c>
      <c r="C242" s="67">
        <f t="shared" si="3"/>
        <v>9.5987415460248027E-3</v>
      </c>
      <c r="D242" s="67">
        <f>(Table110[[#This Row],[Index]]-B230)/B230</f>
        <v>-4.056408189121484E-2</v>
      </c>
    </row>
    <row r="243" spans="1:4" x14ac:dyDescent="0.2">
      <c r="A243" s="17">
        <v>33482</v>
      </c>
      <c r="B243" s="59">
        <f>VLOOKUP(Table110[[#This Row],[Date]],database!A:H,3,)</f>
        <v>80.314800000000005</v>
      </c>
      <c r="C243" s="67">
        <f t="shared" si="3"/>
        <v>4.3291992106904154E-3</v>
      </c>
      <c r="D243" s="67">
        <f>(Table110[[#This Row],[Index]]-B231)/B231</f>
        <v>-3.1912085368896399E-2</v>
      </c>
    </row>
    <row r="244" spans="1:4" x14ac:dyDescent="0.2">
      <c r="A244" s="17">
        <v>33512</v>
      </c>
      <c r="B244" s="59">
        <f>VLOOKUP(Table110[[#This Row],[Date]],database!A:H,3,)</f>
        <v>79.454300000000003</v>
      </c>
      <c r="C244" s="67">
        <f t="shared" si="3"/>
        <v>-1.0714090055631065E-2</v>
      </c>
      <c r="D244" s="67">
        <f>(Table110[[#This Row],[Index]]-B232)/B232</f>
        <v>-3.2970924975019293E-2</v>
      </c>
    </row>
    <row r="245" spans="1:4" x14ac:dyDescent="0.2">
      <c r="A245" s="17">
        <v>33543</v>
      </c>
      <c r="B245" s="59">
        <f>VLOOKUP(Table110[[#This Row],[Date]],database!A:H,3,)</f>
        <v>80.191199999999995</v>
      </c>
      <c r="C245" s="67">
        <f t="shared" si="3"/>
        <v>9.2745137771019781E-3</v>
      </c>
      <c r="D245" s="67">
        <f>(Table110[[#This Row],[Index]]-B233)/B233</f>
        <v>-2.3592211258413653E-2</v>
      </c>
    </row>
    <row r="246" spans="1:4" x14ac:dyDescent="0.2">
      <c r="A246" s="17">
        <v>33573</v>
      </c>
      <c r="B246" s="59">
        <f>VLOOKUP(Table110[[#This Row],[Date]],database!A:H,3,)</f>
        <v>80.169899999999998</v>
      </c>
      <c r="C246" s="67">
        <f t="shared" si="3"/>
        <v>-2.6561517972045756E-4</v>
      </c>
      <c r="D246" s="67">
        <f>(Table110[[#This Row],[Index]]-B234)/B234</f>
        <v>-1.7213797026262048E-2</v>
      </c>
    </row>
    <row r="247" spans="1:4" x14ac:dyDescent="0.2">
      <c r="A247" s="17">
        <v>33604</v>
      </c>
      <c r="B247" s="59">
        <f>VLOOKUP(Table110[[#This Row],[Date]],database!A:H,3,)</f>
        <v>80.289500000000004</v>
      </c>
      <c r="C247" s="67">
        <f t="shared" si="3"/>
        <v>1.4918317223797661E-3</v>
      </c>
      <c r="D247" s="67">
        <f>(Table110[[#This Row],[Index]]-B235)/B235</f>
        <v>2.1437731221153087E-2</v>
      </c>
    </row>
    <row r="248" spans="1:4" x14ac:dyDescent="0.2">
      <c r="A248" s="17">
        <v>33635</v>
      </c>
      <c r="B248" s="59">
        <f>VLOOKUP(Table110[[#This Row],[Date]],database!A:H,3,)</f>
        <v>80.940700000000007</v>
      </c>
      <c r="C248" s="67">
        <f t="shared" si="3"/>
        <v>8.1106495868077388E-3</v>
      </c>
      <c r="D248" s="67">
        <f>(Table110[[#This Row],[Index]]-B236)/B236</f>
        <v>3.3753140250249475E-2</v>
      </c>
    </row>
    <row r="249" spans="1:4" x14ac:dyDescent="0.2">
      <c r="A249" s="17">
        <v>33664</v>
      </c>
      <c r="B249" s="59">
        <f>VLOOKUP(Table110[[#This Row],[Date]],database!A:H,3,)</f>
        <v>81.520600000000002</v>
      </c>
      <c r="C249" s="67">
        <f t="shared" si="3"/>
        <v>7.1645043840737888E-3</v>
      </c>
      <c r="D249" s="67">
        <f>(Table110[[#This Row],[Index]]-B237)/B237</f>
        <v>5.392127710737455E-2</v>
      </c>
    </row>
    <row r="250" spans="1:4" x14ac:dyDescent="0.2">
      <c r="A250" s="17">
        <v>33695</v>
      </c>
      <c r="B250" s="59">
        <f>VLOOKUP(Table110[[#This Row],[Date]],database!A:H,3,)</f>
        <v>82.058800000000005</v>
      </c>
      <c r="C250" s="67">
        <f t="shared" si="3"/>
        <v>6.6020122521179836E-3</v>
      </c>
      <c r="D250" s="67">
        <f>(Table110[[#This Row],[Index]]-B238)/B238</f>
        <v>5.2339456894617019E-2</v>
      </c>
    </row>
    <row r="251" spans="1:4" x14ac:dyDescent="0.2">
      <c r="A251" s="17">
        <v>33725</v>
      </c>
      <c r="B251" s="59">
        <f>VLOOKUP(Table110[[#This Row],[Date]],database!A:H,3,)</f>
        <v>82.902100000000004</v>
      </c>
      <c r="C251" s="67">
        <f t="shared" si="3"/>
        <v>1.0276777140294513E-2</v>
      </c>
      <c r="D251" s="67">
        <f>(Table110[[#This Row],[Index]]-B239)/B239</f>
        <v>6.1614330021795324E-2</v>
      </c>
    </row>
    <row r="252" spans="1:4" x14ac:dyDescent="0.2">
      <c r="A252" s="17">
        <v>33756</v>
      </c>
      <c r="B252" s="59">
        <f>VLOOKUP(Table110[[#This Row],[Date]],database!A:H,3,)</f>
        <v>82.550399999999996</v>
      </c>
      <c r="C252" s="67">
        <f t="shared" si="3"/>
        <v>-4.2423533300122163E-3</v>
      </c>
      <c r="D252" s="67">
        <f>(Table110[[#This Row],[Index]]-B240)/B240</f>
        <v>3.9671034817161131E-2</v>
      </c>
    </row>
    <row r="253" spans="1:4" x14ac:dyDescent="0.2">
      <c r="A253" s="17">
        <v>33786</v>
      </c>
      <c r="B253" s="59">
        <f>VLOOKUP(Table110[[#This Row],[Date]],database!A:H,3,)</f>
        <v>83.091700000000003</v>
      </c>
      <c r="C253" s="67">
        <f t="shared" si="3"/>
        <v>6.5572062642944573E-3</v>
      </c>
      <c r="D253" s="67">
        <f>(Table110[[#This Row],[Index]]-B241)/B241</f>
        <v>4.9027690279932902E-2</v>
      </c>
    </row>
    <row r="254" spans="1:4" x14ac:dyDescent="0.2">
      <c r="A254" s="17">
        <v>33817</v>
      </c>
      <c r="B254" s="59">
        <f>VLOOKUP(Table110[[#This Row],[Date]],database!A:H,3,)</f>
        <v>83.275000000000006</v>
      </c>
      <c r="C254" s="67">
        <f t="shared" si="3"/>
        <v>2.2059965074729959E-3</v>
      </c>
      <c r="D254" s="67">
        <f>(Table110[[#This Row],[Index]]-B242)/B242</f>
        <v>4.1346228394645031E-2</v>
      </c>
    </row>
    <row r="255" spans="1:4" x14ac:dyDescent="0.2">
      <c r="A255" s="17">
        <v>33848</v>
      </c>
      <c r="B255" s="59">
        <f>VLOOKUP(Table110[[#This Row],[Date]],database!A:H,3,)</f>
        <v>83.241600000000005</v>
      </c>
      <c r="C255" s="67">
        <f t="shared" si="3"/>
        <v>-4.0108075652955932E-4</v>
      </c>
      <c r="D255" s="67">
        <f>(Table110[[#This Row],[Index]]-B243)/B243</f>
        <v>3.6441602294969296E-2</v>
      </c>
    </row>
    <row r="256" spans="1:4" x14ac:dyDescent="0.2">
      <c r="A256" s="17">
        <v>33878</v>
      </c>
      <c r="B256" s="59">
        <f>VLOOKUP(Table110[[#This Row],[Date]],database!A:H,3,)</f>
        <v>83.191100000000006</v>
      </c>
      <c r="C256" s="67">
        <f t="shared" si="3"/>
        <v>-6.066678199362352E-4</v>
      </c>
      <c r="D256" s="67">
        <f>(Table110[[#This Row],[Index]]-B244)/B244</f>
        <v>4.7030808905244928E-2</v>
      </c>
    </row>
    <row r="257" spans="1:4" x14ac:dyDescent="0.2">
      <c r="A257" s="17">
        <v>33909</v>
      </c>
      <c r="B257" s="59">
        <f>VLOOKUP(Table110[[#This Row],[Date]],database!A:H,3,)</f>
        <v>82.931600000000003</v>
      </c>
      <c r="C257" s="67">
        <f t="shared" si="3"/>
        <v>-3.1193240623096363E-3</v>
      </c>
      <c r="D257" s="67">
        <f>(Table110[[#This Row],[Index]]-B245)/B245</f>
        <v>3.4173325751454126E-2</v>
      </c>
    </row>
    <row r="258" spans="1:4" x14ac:dyDescent="0.2">
      <c r="A258" s="17">
        <v>33939</v>
      </c>
      <c r="B258" s="59">
        <f>VLOOKUP(Table110[[#This Row],[Date]],database!A:H,3,)</f>
        <v>83.31</v>
      </c>
      <c r="C258" s="67">
        <f t="shared" si="3"/>
        <v>4.5627963285406192E-3</v>
      </c>
      <c r="D258" s="67">
        <f>(Table110[[#This Row],[Index]]-B246)/B246</f>
        <v>3.9168066818095121E-2</v>
      </c>
    </row>
    <row r="259" spans="1:4" x14ac:dyDescent="0.2">
      <c r="A259" s="17">
        <v>33970</v>
      </c>
      <c r="B259" s="59">
        <f>VLOOKUP(Table110[[#This Row],[Date]],database!A:H,3,)</f>
        <v>83.549499999999995</v>
      </c>
      <c r="C259" s="67">
        <f t="shared" si="3"/>
        <v>2.8748049453846125E-3</v>
      </c>
      <c r="D259" s="67">
        <f>(Table110[[#This Row],[Index]]-B247)/B247</f>
        <v>4.0603067648945265E-2</v>
      </c>
    </row>
    <row r="260" spans="1:4" x14ac:dyDescent="0.2">
      <c r="A260" s="17">
        <v>34001</v>
      </c>
      <c r="B260" s="59">
        <f>VLOOKUP(Table110[[#This Row],[Date]],database!A:H,3,)</f>
        <v>85.068200000000004</v>
      </c>
      <c r="C260" s="67">
        <f t="shared" si="3"/>
        <v>1.8177248218122388E-2</v>
      </c>
      <c r="D260" s="67">
        <f>(Table110[[#This Row],[Index]]-B248)/B248</f>
        <v>5.0994122857845277E-2</v>
      </c>
    </row>
    <row r="261" spans="1:4" x14ac:dyDescent="0.2">
      <c r="A261" s="17">
        <v>34029</v>
      </c>
      <c r="B261" s="59">
        <f>VLOOKUP(Table110[[#This Row],[Date]],database!A:H,3,)</f>
        <v>84.352000000000004</v>
      </c>
      <c r="C261" s="67">
        <f t="shared" si="3"/>
        <v>-8.4191272414368967E-3</v>
      </c>
      <c r="D261" s="67">
        <f>(Table110[[#This Row],[Index]]-B249)/B249</f>
        <v>3.4732325326359254E-2</v>
      </c>
    </row>
    <row r="262" spans="1:4" x14ac:dyDescent="0.2">
      <c r="A262" s="17">
        <v>34060</v>
      </c>
      <c r="B262" s="59">
        <f>VLOOKUP(Table110[[#This Row],[Date]],database!A:H,3,)</f>
        <v>84.628399999999999</v>
      </c>
      <c r="C262" s="67">
        <f t="shared" si="3"/>
        <v>3.2767450682851251E-3</v>
      </c>
      <c r="D262" s="67">
        <f>(Table110[[#This Row],[Index]]-B250)/B250</f>
        <v>3.131413084276146E-2</v>
      </c>
    </row>
    <row r="263" spans="1:4" x14ac:dyDescent="0.2">
      <c r="A263" s="17">
        <v>34090</v>
      </c>
      <c r="B263" s="59">
        <f>VLOOKUP(Table110[[#This Row],[Date]],database!A:H,3,)</f>
        <v>85.572599999999994</v>
      </c>
      <c r="C263" s="67">
        <f t="shared" si="3"/>
        <v>1.1157011121561977E-2</v>
      </c>
      <c r="D263" s="67">
        <f>(Table110[[#This Row],[Index]]-B251)/B251</f>
        <v>3.2212694250205842E-2</v>
      </c>
    </row>
    <row r="264" spans="1:4" x14ac:dyDescent="0.2">
      <c r="A264" s="17">
        <v>34121</v>
      </c>
      <c r="B264" s="59">
        <f>VLOOKUP(Table110[[#This Row],[Date]],database!A:H,3,)</f>
        <v>85.547600000000003</v>
      </c>
      <c r="C264" s="67">
        <f t="shared" ref="C264:C327" si="4">B264/B263-1</f>
        <v>-2.921495899387283E-4</v>
      </c>
      <c r="D264" s="67">
        <f>(Table110[[#This Row],[Index]]-B252)/B252</f>
        <v>3.6307516377873474E-2</v>
      </c>
    </row>
    <row r="265" spans="1:4" x14ac:dyDescent="0.2">
      <c r="A265" s="17">
        <v>34151</v>
      </c>
      <c r="B265" s="59">
        <f>VLOOKUP(Table110[[#This Row],[Date]],database!A:H,3,)</f>
        <v>85.972499999999997</v>
      </c>
      <c r="C265" s="67">
        <f t="shared" si="4"/>
        <v>4.9668254866295225E-3</v>
      </c>
      <c r="D265" s="67">
        <f>(Table110[[#This Row],[Index]]-B253)/B253</f>
        <v>3.467012950751993E-2</v>
      </c>
    </row>
    <row r="266" spans="1:4" x14ac:dyDescent="0.2">
      <c r="A266" s="17">
        <v>34182</v>
      </c>
      <c r="B266" s="59">
        <f>VLOOKUP(Table110[[#This Row],[Date]],database!A:H,3,)</f>
        <v>86.279300000000006</v>
      </c>
      <c r="C266" s="67">
        <f t="shared" si="4"/>
        <v>3.5685829771148203E-3</v>
      </c>
      <c r="D266" s="67">
        <f>(Table110[[#This Row],[Index]]-B254)/B254</f>
        <v>3.6076853797658369E-2</v>
      </c>
    </row>
    <row r="267" spans="1:4" x14ac:dyDescent="0.2">
      <c r="A267" s="17">
        <v>34213</v>
      </c>
      <c r="B267" s="59">
        <f>VLOOKUP(Table110[[#This Row],[Date]],database!A:H,3,)</f>
        <v>86.733000000000004</v>
      </c>
      <c r="C267" s="67">
        <f t="shared" si="4"/>
        <v>5.2585034880903159E-3</v>
      </c>
      <c r="D267" s="67">
        <f>(Table110[[#This Row],[Index]]-B255)/B255</f>
        <v>4.1942970822281149E-2</v>
      </c>
    </row>
    <row r="268" spans="1:4" x14ac:dyDescent="0.2">
      <c r="A268" s="17">
        <v>34243</v>
      </c>
      <c r="B268" s="59">
        <f>VLOOKUP(Table110[[#This Row],[Date]],database!A:H,3,)</f>
        <v>87.521000000000001</v>
      </c>
      <c r="C268" s="67">
        <f t="shared" si="4"/>
        <v>9.0853539022055507E-3</v>
      </c>
      <c r="D268" s="67">
        <f>(Table110[[#This Row],[Index]]-B256)/B256</f>
        <v>5.2047634903252808E-2</v>
      </c>
    </row>
    <row r="269" spans="1:4" x14ac:dyDescent="0.2">
      <c r="A269" s="17">
        <v>34274</v>
      </c>
      <c r="B269" s="59">
        <f>VLOOKUP(Table110[[#This Row],[Date]],database!A:H,3,)</f>
        <v>88.247299999999996</v>
      </c>
      <c r="C269" s="67">
        <f t="shared" si="4"/>
        <v>8.2985797694266061E-3</v>
      </c>
      <c r="D269" s="67">
        <f>(Table110[[#This Row],[Index]]-B257)/B257</f>
        <v>6.4097400749533254E-2</v>
      </c>
    </row>
    <row r="270" spans="1:4" x14ac:dyDescent="0.2">
      <c r="A270" s="17">
        <v>34304</v>
      </c>
      <c r="B270" s="59">
        <f>VLOOKUP(Table110[[#This Row],[Date]],database!A:H,3,)</f>
        <v>89.416300000000007</v>
      </c>
      <c r="C270" s="67">
        <f t="shared" si="4"/>
        <v>1.3246864210009868E-2</v>
      </c>
      <c r="D270" s="67">
        <f>(Table110[[#This Row],[Index]]-B258)/B258</f>
        <v>7.329612291441609E-2</v>
      </c>
    </row>
    <row r="271" spans="1:4" x14ac:dyDescent="0.2">
      <c r="A271" s="17">
        <v>34335</v>
      </c>
      <c r="B271" s="59">
        <f>VLOOKUP(Table110[[#This Row],[Date]],database!A:H,3,)</f>
        <v>89.018299999999996</v>
      </c>
      <c r="C271" s="67">
        <f t="shared" si="4"/>
        <v>-4.451090013789516E-3</v>
      </c>
      <c r="D271" s="67">
        <f>(Table110[[#This Row],[Index]]-B259)/B259</f>
        <v>6.5455807634994853E-2</v>
      </c>
    </row>
    <row r="272" spans="1:4" x14ac:dyDescent="0.2">
      <c r="A272" s="17">
        <v>34366</v>
      </c>
      <c r="B272" s="59">
        <f>VLOOKUP(Table110[[#This Row],[Date]],database!A:H,3,)</f>
        <v>88.431600000000003</v>
      </c>
      <c r="C272" s="67">
        <f t="shared" si="4"/>
        <v>-6.590779648678935E-3</v>
      </c>
      <c r="D272" s="67">
        <f>(Table110[[#This Row],[Index]]-B260)/B260</f>
        <v>3.9537688583983183E-2</v>
      </c>
    </row>
    <row r="273" spans="1:4" x14ac:dyDescent="0.2">
      <c r="A273" s="17">
        <v>34394</v>
      </c>
      <c r="B273" s="59">
        <f>VLOOKUP(Table110[[#This Row],[Date]],database!A:H,3,)</f>
        <v>90.031700000000001</v>
      </c>
      <c r="C273" s="67">
        <f t="shared" si="4"/>
        <v>1.809421066677519E-2</v>
      </c>
      <c r="D273" s="67">
        <f>(Table110[[#This Row],[Index]]-B261)/B261</f>
        <v>6.7333317526555345E-2</v>
      </c>
    </row>
    <row r="274" spans="1:4" x14ac:dyDescent="0.2">
      <c r="A274" s="17">
        <v>34425</v>
      </c>
      <c r="B274" s="59">
        <f>VLOOKUP(Table110[[#This Row],[Date]],database!A:H,3,)</f>
        <v>91.473399999999998</v>
      </c>
      <c r="C274" s="67">
        <f t="shared" si="4"/>
        <v>1.6013248666858493E-2</v>
      </c>
      <c r="D274" s="67">
        <f>(Table110[[#This Row],[Index]]-B262)/B262</f>
        <v>8.0883013267413761E-2</v>
      </c>
    </row>
    <row r="275" spans="1:4" x14ac:dyDescent="0.2">
      <c r="A275" s="17">
        <v>34455</v>
      </c>
      <c r="B275" s="59">
        <f>VLOOKUP(Table110[[#This Row],[Date]],database!A:H,3,)</f>
        <v>92.194199999999995</v>
      </c>
      <c r="C275" s="67">
        <f t="shared" si="4"/>
        <v>7.8798863932028063E-3</v>
      </c>
      <c r="D275" s="67">
        <f>(Table110[[#This Row],[Index]]-B263)/B263</f>
        <v>7.7379908989559751E-2</v>
      </c>
    </row>
    <row r="276" spans="1:4" x14ac:dyDescent="0.2">
      <c r="A276" s="17">
        <v>34486</v>
      </c>
      <c r="B276" s="59">
        <f>VLOOKUP(Table110[[#This Row],[Date]],database!A:H,3,)</f>
        <v>92.275599999999997</v>
      </c>
      <c r="C276" s="67">
        <f t="shared" si="4"/>
        <v>8.8291888209890423E-4</v>
      </c>
      <c r="D276" s="67">
        <f>(Table110[[#This Row],[Index]]-B264)/B264</f>
        <v>7.8646274121074042E-2</v>
      </c>
    </row>
    <row r="277" spans="1:4" x14ac:dyDescent="0.2">
      <c r="A277" s="17">
        <v>34516</v>
      </c>
      <c r="B277" s="59">
        <f>VLOOKUP(Table110[[#This Row],[Date]],database!A:H,3,)</f>
        <v>93.206000000000003</v>
      </c>
      <c r="C277" s="67">
        <f t="shared" si="4"/>
        <v>1.0082838800289595E-2</v>
      </c>
      <c r="D277" s="67">
        <f>(Table110[[#This Row],[Index]]-B265)/B265</f>
        <v>8.413736950769149E-2</v>
      </c>
    </row>
    <row r="278" spans="1:4" x14ac:dyDescent="0.2">
      <c r="A278" s="17">
        <v>34547</v>
      </c>
      <c r="B278" s="59">
        <f>VLOOKUP(Table110[[#This Row],[Date]],database!A:H,3,)</f>
        <v>93.1601</v>
      </c>
      <c r="C278" s="67">
        <f t="shared" si="4"/>
        <v>-4.9245756710947219E-4</v>
      </c>
      <c r="D278" s="67">
        <f>(Table110[[#This Row],[Index]]-B266)/B266</f>
        <v>7.9750299318608206E-2</v>
      </c>
    </row>
    <row r="279" spans="1:4" x14ac:dyDescent="0.2">
      <c r="A279" s="17">
        <v>34578</v>
      </c>
      <c r="B279" s="59">
        <f>VLOOKUP(Table110[[#This Row],[Date]],database!A:H,3,)</f>
        <v>93.999799999999993</v>
      </c>
      <c r="C279" s="67">
        <f t="shared" si="4"/>
        <v>9.0135154427699593E-3</v>
      </c>
      <c r="D279" s="67">
        <f>(Table110[[#This Row],[Index]]-B267)/B267</f>
        <v>8.3783565655517381E-2</v>
      </c>
    </row>
    <row r="280" spans="1:4" x14ac:dyDescent="0.2">
      <c r="A280" s="17">
        <v>34608</v>
      </c>
      <c r="B280" s="59">
        <f>VLOOKUP(Table110[[#This Row],[Date]],database!A:H,3,)</f>
        <v>94.403700000000001</v>
      </c>
      <c r="C280" s="67">
        <f t="shared" si="4"/>
        <v>4.2968176528035418E-3</v>
      </c>
      <c r="D280" s="67">
        <f>(Table110[[#This Row],[Index]]-B268)/B268</f>
        <v>7.8640554838267387E-2</v>
      </c>
    </row>
    <row r="281" spans="1:4" x14ac:dyDescent="0.2">
      <c r="A281" s="17">
        <v>34639</v>
      </c>
      <c r="B281" s="59">
        <f>VLOOKUP(Table110[[#This Row],[Date]],database!A:H,3,)</f>
        <v>94.6233</v>
      </c>
      <c r="C281" s="67">
        <f t="shared" si="4"/>
        <v>2.3261800120122356E-3</v>
      </c>
      <c r="D281" s="67">
        <f>(Table110[[#This Row],[Index]]-B269)/B269</f>
        <v>7.2251502312252108E-2</v>
      </c>
    </row>
    <row r="282" spans="1:4" x14ac:dyDescent="0.2">
      <c r="A282" s="17">
        <v>34669</v>
      </c>
      <c r="B282" s="59">
        <f>VLOOKUP(Table110[[#This Row],[Date]],database!A:H,3,)</f>
        <v>95.292299999999997</v>
      </c>
      <c r="C282" s="67">
        <f t="shared" si="4"/>
        <v>7.0701402297319582E-3</v>
      </c>
      <c r="D282" s="67">
        <f>(Table110[[#This Row],[Index]]-B270)/B270</f>
        <v>6.5715087741273007E-2</v>
      </c>
    </row>
    <row r="283" spans="1:4" x14ac:dyDescent="0.2">
      <c r="A283" s="17">
        <v>34700</v>
      </c>
      <c r="B283" s="59">
        <f>VLOOKUP(Table110[[#This Row],[Date]],database!A:H,3,)</f>
        <v>95.633600000000001</v>
      </c>
      <c r="C283" s="67">
        <f t="shared" si="4"/>
        <v>3.5816115258000547E-3</v>
      </c>
      <c r="D283" s="67">
        <f>(Table110[[#This Row],[Index]]-B271)/B271</f>
        <v>7.4313933202498864E-2</v>
      </c>
    </row>
    <row r="284" spans="1:4" x14ac:dyDescent="0.2">
      <c r="A284" s="17">
        <v>34731</v>
      </c>
      <c r="B284" s="59">
        <f>VLOOKUP(Table110[[#This Row],[Date]],database!A:H,3,)</f>
        <v>94.3279</v>
      </c>
      <c r="C284" s="67">
        <f t="shared" si="4"/>
        <v>-1.3653151193722679E-2</v>
      </c>
      <c r="D284" s="67">
        <f>(Table110[[#This Row],[Index]]-B272)/B272</f>
        <v>6.6676391697085613E-2</v>
      </c>
    </row>
    <row r="285" spans="1:4" x14ac:dyDescent="0.2">
      <c r="A285" s="17">
        <v>34759</v>
      </c>
      <c r="B285" s="59">
        <f>VLOOKUP(Table110[[#This Row],[Date]],database!A:H,3,)</f>
        <v>94.342299999999994</v>
      </c>
      <c r="C285" s="67">
        <f t="shared" si="4"/>
        <v>1.5265896940341861E-4</v>
      </c>
      <c r="D285" s="67">
        <f>(Table110[[#This Row],[Index]]-B273)/B273</f>
        <v>4.7878691616397268E-2</v>
      </c>
    </row>
    <row r="286" spans="1:4" x14ac:dyDescent="0.2">
      <c r="A286" s="17">
        <v>34790</v>
      </c>
      <c r="B286" s="59">
        <f>VLOOKUP(Table110[[#This Row],[Date]],database!A:H,3,)</f>
        <v>93.606499999999997</v>
      </c>
      <c r="C286" s="67">
        <f t="shared" si="4"/>
        <v>-7.799258657039343E-3</v>
      </c>
      <c r="D286" s="67">
        <f>(Table110[[#This Row],[Index]]-B274)/B274</f>
        <v>2.3319347482437507E-2</v>
      </c>
    </row>
    <row r="287" spans="1:4" x14ac:dyDescent="0.2">
      <c r="A287" s="17">
        <v>34820</v>
      </c>
      <c r="B287" s="59">
        <f>VLOOKUP(Table110[[#This Row],[Date]],database!A:H,3,)</f>
        <v>93.188699999999997</v>
      </c>
      <c r="C287" s="67">
        <f t="shared" si="4"/>
        <v>-4.4633652577544813E-3</v>
      </c>
      <c r="D287" s="67">
        <f>(Table110[[#This Row],[Index]]-B275)/B275</f>
        <v>1.0787012632031107E-2</v>
      </c>
    </row>
    <row r="288" spans="1:4" x14ac:dyDescent="0.2">
      <c r="A288" s="17">
        <v>34851</v>
      </c>
      <c r="B288" s="59">
        <f>VLOOKUP(Table110[[#This Row],[Date]],database!A:H,3,)</f>
        <v>93.351500000000001</v>
      </c>
      <c r="C288" s="67">
        <f t="shared" si="4"/>
        <v>1.7469929294002817E-3</v>
      </c>
      <c r="D288" s="67">
        <f>(Table110[[#This Row],[Index]]-B276)/B276</f>
        <v>1.1659637000463874E-2</v>
      </c>
    </row>
    <row r="289" spans="1:4" x14ac:dyDescent="0.2">
      <c r="A289" s="17">
        <v>34881</v>
      </c>
      <c r="B289" s="59">
        <f>VLOOKUP(Table110[[#This Row],[Date]],database!A:H,3,)</f>
        <v>93.084699999999998</v>
      </c>
      <c r="C289" s="67">
        <f t="shared" si="4"/>
        <v>-2.8580151363395423E-3</v>
      </c>
      <c r="D289" s="67">
        <f>(Table110[[#This Row],[Index]]-B277)/B277</f>
        <v>-1.3014183636247138E-3</v>
      </c>
    </row>
    <row r="290" spans="1:4" x14ac:dyDescent="0.2">
      <c r="A290" s="17">
        <v>34912</v>
      </c>
      <c r="B290" s="59">
        <f>VLOOKUP(Table110[[#This Row],[Date]],database!A:H,3,)</f>
        <v>93.952799999999996</v>
      </c>
      <c r="C290" s="67">
        <f t="shared" si="4"/>
        <v>9.3259149999946889E-3</v>
      </c>
      <c r="D290" s="67">
        <f>(Table110[[#This Row],[Index]]-B278)/B278</f>
        <v>8.5090076116276867E-3</v>
      </c>
    </row>
    <row r="291" spans="1:4" x14ac:dyDescent="0.2">
      <c r="A291" s="17">
        <v>34943</v>
      </c>
      <c r="B291" s="59">
        <f>VLOOKUP(Table110[[#This Row],[Date]],database!A:H,3,)</f>
        <v>95.452100000000002</v>
      </c>
      <c r="C291" s="67">
        <f t="shared" si="4"/>
        <v>1.5958012959699008E-2</v>
      </c>
      <c r="D291" s="67">
        <f>(Table110[[#This Row],[Index]]-B279)/B279</f>
        <v>1.5450032872410455E-2</v>
      </c>
    </row>
    <row r="292" spans="1:4" x14ac:dyDescent="0.2">
      <c r="A292" s="17">
        <v>34973</v>
      </c>
      <c r="B292" s="59">
        <f>VLOOKUP(Table110[[#This Row],[Date]],database!A:H,3,)</f>
        <v>95.398200000000003</v>
      </c>
      <c r="C292" s="67">
        <f t="shared" si="4"/>
        <v>-5.6468113325947034E-4</v>
      </c>
      <c r="D292" s="67">
        <f>(Table110[[#This Row],[Index]]-B280)/B280</f>
        <v>1.0534544726530868E-2</v>
      </c>
    </row>
    <row r="293" spans="1:4" x14ac:dyDescent="0.2">
      <c r="A293" s="17">
        <v>35004</v>
      </c>
      <c r="B293" s="59">
        <f>VLOOKUP(Table110[[#This Row],[Date]],database!A:H,3,)</f>
        <v>95.446600000000004</v>
      </c>
      <c r="C293" s="67">
        <f t="shared" si="4"/>
        <v>5.0734709879218798E-4</v>
      </c>
      <c r="D293" s="67">
        <f>(Table110[[#This Row],[Index]]-B281)/B281</f>
        <v>8.7008168178451112E-3</v>
      </c>
    </row>
    <row r="294" spans="1:4" x14ac:dyDescent="0.2">
      <c r="A294" s="17">
        <v>35034</v>
      </c>
      <c r="B294" s="59">
        <f>VLOOKUP(Table110[[#This Row],[Date]],database!A:H,3,)</f>
        <v>95.798000000000002</v>
      </c>
      <c r="C294" s="67">
        <f t="shared" si="4"/>
        <v>3.6816397860164329E-3</v>
      </c>
      <c r="D294" s="67">
        <f>(Table110[[#This Row],[Index]]-B282)/B282</f>
        <v>5.3068296179230061E-3</v>
      </c>
    </row>
    <row r="295" spans="1:4" x14ac:dyDescent="0.2">
      <c r="A295" s="17">
        <v>35065</v>
      </c>
      <c r="B295" s="59">
        <f>VLOOKUP(Table110[[#This Row],[Date]],database!A:H,3,)</f>
        <v>94.536199999999994</v>
      </c>
      <c r="C295" s="67">
        <f t="shared" si="4"/>
        <v>-1.3171464957514867E-2</v>
      </c>
      <c r="D295" s="67">
        <f>(Table110[[#This Row],[Index]]-B283)/B283</f>
        <v>-1.1475046427197214E-2</v>
      </c>
    </row>
    <row r="296" spans="1:4" x14ac:dyDescent="0.2">
      <c r="A296" s="17">
        <v>35096</v>
      </c>
      <c r="B296" s="59">
        <f>VLOOKUP(Table110[[#This Row],[Date]],database!A:H,3,)</f>
        <v>95.484499999999997</v>
      </c>
      <c r="C296" s="67">
        <f t="shared" si="4"/>
        <v>1.0031078042062269E-2</v>
      </c>
      <c r="D296" s="67">
        <f>(Table110[[#This Row],[Index]]-B284)/B284</f>
        <v>1.2261483611953594E-2</v>
      </c>
    </row>
    <row r="297" spans="1:4" x14ac:dyDescent="0.2">
      <c r="A297" s="17">
        <v>35125</v>
      </c>
      <c r="B297" s="59">
        <f>VLOOKUP(Table110[[#This Row],[Date]],database!A:H,3,)</f>
        <v>96.651300000000006</v>
      </c>
      <c r="C297" s="67">
        <f t="shared" si="4"/>
        <v>1.2219784362907271E-2</v>
      </c>
      <c r="D297" s="67">
        <f>(Table110[[#This Row],[Index]]-B285)/B285</f>
        <v>2.4474705407860651E-2</v>
      </c>
    </row>
    <row r="298" spans="1:4" x14ac:dyDescent="0.2">
      <c r="A298" s="17">
        <v>35156</v>
      </c>
      <c r="B298" s="59">
        <f>VLOOKUP(Table110[[#This Row],[Date]],database!A:H,3,)</f>
        <v>97.227800000000002</v>
      </c>
      <c r="C298" s="67">
        <f t="shared" si="4"/>
        <v>5.9647412916328246E-3</v>
      </c>
      <c r="D298" s="67">
        <f>(Table110[[#This Row],[Index]]-B286)/B286</f>
        <v>3.8686416007435435E-2</v>
      </c>
    </row>
    <row r="299" spans="1:4" x14ac:dyDescent="0.2">
      <c r="A299" s="17">
        <v>35186</v>
      </c>
      <c r="B299" s="59">
        <f>VLOOKUP(Table110[[#This Row],[Date]],database!A:H,3,)</f>
        <v>98.231200000000001</v>
      </c>
      <c r="C299" s="67">
        <f t="shared" si="4"/>
        <v>1.03200936357708E-2</v>
      </c>
      <c r="D299" s="67">
        <f>(Table110[[#This Row],[Index]]-B287)/B287</f>
        <v>5.4110637877768486E-2</v>
      </c>
    </row>
    <row r="300" spans="1:4" x14ac:dyDescent="0.2">
      <c r="A300" s="17">
        <v>35217</v>
      </c>
      <c r="B300" s="59">
        <f>VLOOKUP(Table110[[#This Row],[Date]],database!A:H,3,)</f>
        <v>99.761600000000001</v>
      </c>
      <c r="C300" s="67">
        <f t="shared" si="4"/>
        <v>1.5579571459984232E-2</v>
      </c>
      <c r="D300" s="67">
        <f>(Table110[[#This Row],[Index]]-B288)/B288</f>
        <v>6.8666277456709321E-2</v>
      </c>
    </row>
    <row r="301" spans="1:4" x14ac:dyDescent="0.2">
      <c r="A301" s="17">
        <v>35247</v>
      </c>
      <c r="B301" s="59">
        <f>VLOOKUP(Table110[[#This Row],[Date]],database!A:H,3,)</f>
        <v>99.384600000000006</v>
      </c>
      <c r="C301" s="67">
        <f t="shared" si="4"/>
        <v>-3.7790091578322471E-3</v>
      </c>
      <c r="D301" s="67">
        <f>(Table110[[#This Row],[Index]]-B289)/B289</f>
        <v>6.767922118242857E-2</v>
      </c>
    </row>
    <row r="302" spans="1:4" x14ac:dyDescent="0.2">
      <c r="A302" s="17">
        <v>35278</v>
      </c>
      <c r="B302" s="59">
        <f>VLOOKUP(Table110[[#This Row],[Date]],database!A:H,3,)</f>
        <v>100.1738</v>
      </c>
      <c r="C302" s="67">
        <f t="shared" si="4"/>
        <v>7.9408681023014349E-3</v>
      </c>
      <c r="D302" s="67">
        <f>(Table110[[#This Row],[Index]]-B290)/B290</f>
        <v>6.6214098994388709E-2</v>
      </c>
    </row>
    <row r="303" spans="1:4" x14ac:dyDescent="0.2">
      <c r="A303" s="17">
        <v>35309</v>
      </c>
      <c r="B303" s="59">
        <f>VLOOKUP(Table110[[#This Row],[Date]],database!A:H,3,)</f>
        <v>100.5264</v>
      </c>
      <c r="C303" s="67">
        <f t="shared" si="4"/>
        <v>3.5198824443116727E-3</v>
      </c>
      <c r="D303" s="67">
        <f>(Table110[[#This Row],[Index]]-B291)/B291</f>
        <v>5.3160695259716589E-2</v>
      </c>
    </row>
    <row r="304" spans="1:4" x14ac:dyDescent="0.2">
      <c r="A304" s="17">
        <v>35339</v>
      </c>
      <c r="B304" s="59">
        <f>VLOOKUP(Table110[[#This Row],[Date]],database!A:H,3,)</f>
        <v>100.67189999999999</v>
      </c>
      <c r="C304" s="67">
        <f t="shared" si="4"/>
        <v>1.4473809864872234E-3</v>
      </c>
      <c r="D304" s="67">
        <f>(Table110[[#This Row],[Index]]-B292)/B292</f>
        <v>5.5280917250010907E-2</v>
      </c>
    </row>
    <row r="305" spans="1:4" x14ac:dyDescent="0.2">
      <c r="A305" s="17">
        <v>35370</v>
      </c>
      <c r="B305" s="59">
        <f>VLOOKUP(Table110[[#This Row],[Date]],database!A:H,3,)</f>
        <v>101.4128</v>
      </c>
      <c r="C305" s="67">
        <f t="shared" si="4"/>
        <v>7.3595511756510135E-3</v>
      </c>
      <c r="D305" s="67">
        <f>(Table110[[#This Row],[Index]]-B293)/B293</f>
        <v>6.250825068677146E-2</v>
      </c>
    </row>
    <row r="306" spans="1:4" x14ac:dyDescent="0.2">
      <c r="A306" s="17">
        <v>35400</v>
      </c>
      <c r="B306" s="59">
        <f>VLOOKUP(Table110[[#This Row],[Date]],database!A:H,3,)</f>
        <v>100.9579</v>
      </c>
      <c r="C306" s="67">
        <f t="shared" si="4"/>
        <v>-4.4856270608839566E-3</v>
      </c>
      <c r="D306" s="67">
        <f>(Table110[[#This Row],[Index]]-B294)/B294</f>
        <v>5.3862293576066235E-2</v>
      </c>
    </row>
    <row r="307" spans="1:4" x14ac:dyDescent="0.2">
      <c r="A307" s="17">
        <v>35431</v>
      </c>
      <c r="B307" s="59">
        <f>VLOOKUP(Table110[[#This Row],[Date]],database!A:H,3,)</f>
        <v>100.02079999999999</v>
      </c>
      <c r="C307" s="67">
        <f t="shared" si="4"/>
        <v>-9.2820868896836828E-3</v>
      </c>
      <c r="D307" s="67">
        <f>(Table110[[#This Row],[Index]]-B295)/B295</f>
        <v>5.8015871168927889E-2</v>
      </c>
    </row>
    <row r="308" spans="1:4" x14ac:dyDescent="0.2">
      <c r="A308" s="17">
        <v>35462</v>
      </c>
      <c r="B308" s="59">
        <f>VLOOKUP(Table110[[#This Row],[Date]],database!A:H,3,)</f>
        <v>102.01519999999999</v>
      </c>
      <c r="C308" s="67">
        <f t="shared" si="4"/>
        <v>1.9939852510677758E-2</v>
      </c>
      <c r="D308" s="67">
        <f>(Table110[[#This Row],[Index]]-B296)/B296</f>
        <v>6.8395394016829911E-2</v>
      </c>
    </row>
    <row r="309" spans="1:4" x14ac:dyDescent="0.2">
      <c r="A309" s="17">
        <v>35490</v>
      </c>
      <c r="B309" s="59">
        <f>VLOOKUP(Table110[[#This Row],[Date]],database!A:H,3,)</f>
        <v>102.8965</v>
      </c>
      <c r="C309" s="67">
        <f t="shared" si="4"/>
        <v>8.6389087116429675E-3</v>
      </c>
      <c r="D309" s="67">
        <f>(Table110[[#This Row],[Index]]-B297)/B297</f>
        <v>6.4615788923687495E-2</v>
      </c>
    </row>
    <row r="310" spans="1:4" x14ac:dyDescent="0.2">
      <c r="A310" s="17">
        <v>35521</v>
      </c>
      <c r="B310" s="59">
        <f>VLOOKUP(Table110[[#This Row],[Date]],database!A:H,3,)</f>
        <v>102.6622</v>
      </c>
      <c r="C310" s="67">
        <f t="shared" si="4"/>
        <v>-2.2770453805524005E-3</v>
      </c>
      <c r="D310" s="67">
        <f>(Table110[[#This Row],[Index]]-B298)/B298</f>
        <v>5.5893479025546158E-2</v>
      </c>
    </row>
    <row r="311" spans="1:4" x14ac:dyDescent="0.2">
      <c r="A311" s="17">
        <v>35551</v>
      </c>
      <c r="B311" s="59">
        <f>VLOOKUP(Table110[[#This Row],[Date]],database!A:H,3,)</f>
        <v>103.1818</v>
      </c>
      <c r="C311" s="67">
        <f t="shared" si="4"/>
        <v>5.0612591586776112E-3</v>
      </c>
      <c r="D311" s="67">
        <f>(Table110[[#This Row],[Index]]-B299)/B299</f>
        <v>5.0397429737191385E-2</v>
      </c>
    </row>
    <row r="312" spans="1:4" x14ac:dyDescent="0.2">
      <c r="A312" s="17">
        <v>35582</v>
      </c>
      <c r="B312" s="59">
        <f>VLOOKUP(Table110[[#This Row],[Date]],database!A:H,3,)</f>
        <v>103.0868</v>
      </c>
      <c r="C312" s="67">
        <f t="shared" si="4"/>
        <v>-9.20705008053746E-4</v>
      </c>
      <c r="D312" s="67">
        <f>(Table110[[#This Row],[Index]]-B300)/B300</f>
        <v>3.3331462205898818E-2</v>
      </c>
    </row>
    <row r="313" spans="1:4" x14ac:dyDescent="0.2">
      <c r="A313" s="17">
        <v>35612</v>
      </c>
      <c r="B313" s="59">
        <f>VLOOKUP(Table110[[#This Row],[Date]],database!A:H,3,)</f>
        <v>103.137</v>
      </c>
      <c r="C313" s="67">
        <f t="shared" si="4"/>
        <v>4.8696826363814338E-4</v>
      </c>
      <c r="D313" s="67">
        <f>(Table110[[#This Row],[Index]]-B301)/B301</f>
        <v>3.775635259386257E-2</v>
      </c>
    </row>
    <row r="314" spans="1:4" x14ac:dyDescent="0.2">
      <c r="A314" s="17">
        <v>35643</v>
      </c>
      <c r="B314" s="59">
        <f>VLOOKUP(Table110[[#This Row],[Date]],database!A:H,3,)</f>
        <v>103.88930000000001</v>
      </c>
      <c r="C314" s="67">
        <f t="shared" si="4"/>
        <v>7.2941815255438414E-3</v>
      </c>
      <c r="D314" s="67">
        <f>(Table110[[#This Row],[Index]]-B302)/B302</f>
        <v>3.7090536647307042E-2</v>
      </c>
    </row>
    <row r="315" spans="1:4" x14ac:dyDescent="0.2">
      <c r="A315" s="17">
        <v>35674</v>
      </c>
      <c r="B315" s="59">
        <f>VLOOKUP(Table110[[#This Row],[Date]],database!A:H,3,)</f>
        <v>104.35550000000001</v>
      </c>
      <c r="C315" s="67">
        <f t="shared" si="4"/>
        <v>4.4874688731177947E-3</v>
      </c>
      <c r="D315" s="67">
        <f>(Table110[[#This Row],[Index]]-B303)/B303</f>
        <v>3.809049165194428E-2</v>
      </c>
    </row>
    <row r="316" spans="1:4" x14ac:dyDescent="0.2">
      <c r="A316" s="17">
        <v>35704</v>
      </c>
      <c r="B316" s="59">
        <f>VLOOKUP(Table110[[#This Row],[Date]],database!A:H,3,)</f>
        <v>104.95350000000001</v>
      </c>
      <c r="C316" s="67">
        <f t="shared" si="4"/>
        <v>5.7304119092909112E-3</v>
      </c>
      <c r="D316" s="67">
        <f>(Table110[[#This Row],[Index]]-B304)/B304</f>
        <v>4.2530239321995629E-2</v>
      </c>
    </row>
    <row r="317" spans="1:4" x14ac:dyDescent="0.2">
      <c r="A317" s="17">
        <v>35735</v>
      </c>
      <c r="B317" s="59">
        <f>VLOOKUP(Table110[[#This Row],[Date]],database!A:H,3,)</f>
        <v>105.27670000000001</v>
      </c>
      <c r="C317" s="67">
        <f t="shared" si="4"/>
        <v>3.0794589985088106E-3</v>
      </c>
      <c r="D317" s="67">
        <f>(Table110[[#This Row],[Index]]-B305)/B305</f>
        <v>3.8100713124970424E-2</v>
      </c>
    </row>
    <row r="318" spans="1:4" x14ac:dyDescent="0.2">
      <c r="A318" s="17">
        <v>35765</v>
      </c>
      <c r="B318" s="59">
        <f>VLOOKUP(Table110[[#This Row],[Date]],database!A:H,3,)</f>
        <v>106.7137</v>
      </c>
      <c r="C318" s="67">
        <f t="shared" si="4"/>
        <v>1.3649743960439498E-2</v>
      </c>
      <c r="D318" s="67">
        <f>(Table110[[#This Row],[Index]]-B306)/B306</f>
        <v>5.7011883171104075E-2</v>
      </c>
    </row>
    <row r="319" spans="1:4" x14ac:dyDescent="0.2">
      <c r="A319" s="17">
        <v>35796</v>
      </c>
      <c r="B319" s="59">
        <f>VLOOKUP(Table110[[#This Row],[Date]],database!A:H,3,)</f>
        <v>107.3002</v>
      </c>
      <c r="C319" s="67">
        <f t="shared" si="4"/>
        <v>5.4960141012823094E-3</v>
      </c>
      <c r="D319" s="67">
        <f>(Table110[[#This Row],[Index]]-B307)/B307</f>
        <v>7.2778861996704788E-2</v>
      </c>
    </row>
    <row r="320" spans="1:4" x14ac:dyDescent="0.2">
      <c r="A320" s="17">
        <v>35827</v>
      </c>
      <c r="B320" s="59">
        <f>VLOOKUP(Table110[[#This Row],[Date]],database!A:H,3,)</f>
        <v>107.97369999999999</v>
      </c>
      <c r="C320" s="67">
        <f t="shared" si="4"/>
        <v>6.2767823359135555E-3</v>
      </c>
      <c r="D320" s="67">
        <f>(Table110[[#This Row],[Index]]-B308)/B308</f>
        <v>5.8407962734964999E-2</v>
      </c>
    </row>
    <row r="321" spans="1:4" x14ac:dyDescent="0.2">
      <c r="A321" s="17">
        <v>35855</v>
      </c>
      <c r="B321" s="59">
        <f>VLOOKUP(Table110[[#This Row],[Date]],database!A:H,3,)</f>
        <v>107.2033</v>
      </c>
      <c r="C321" s="67">
        <f t="shared" si="4"/>
        <v>-7.1350708552174735E-3</v>
      </c>
      <c r="D321" s="67">
        <f>(Table110[[#This Row],[Index]]-B309)/B309</f>
        <v>4.185565106684868E-2</v>
      </c>
    </row>
    <row r="322" spans="1:4" x14ac:dyDescent="0.2">
      <c r="A322" s="17">
        <v>35886</v>
      </c>
      <c r="B322" s="59">
        <f>VLOOKUP(Table110[[#This Row],[Date]],database!A:H,3,)</f>
        <v>107.6558</v>
      </c>
      <c r="C322" s="67">
        <f t="shared" si="4"/>
        <v>4.2209521535250261E-3</v>
      </c>
      <c r="D322" s="67">
        <f>(Table110[[#This Row],[Index]]-B310)/B310</f>
        <v>4.8641077241672208E-2</v>
      </c>
    </row>
    <row r="323" spans="1:4" x14ac:dyDescent="0.2">
      <c r="A323" s="17">
        <v>35916</v>
      </c>
      <c r="B323" s="59">
        <f>VLOOKUP(Table110[[#This Row],[Date]],database!A:H,3,)</f>
        <v>108.9911</v>
      </c>
      <c r="C323" s="67">
        <f t="shared" si="4"/>
        <v>1.2403419044770603E-2</v>
      </c>
      <c r="D323" s="67">
        <f>(Table110[[#This Row],[Index]]-B311)/B311</f>
        <v>5.6301595824069822E-2</v>
      </c>
    </row>
    <row r="324" spans="1:4" x14ac:dyDescent="0.2">
      <c r="A324" s="17">
        <v>35947</v>
      </c>
      <c r="B324" s="59">
        <f>VLOOKUP(Table110[[#This Row],[Date]],database!A:H,3,)</f>
        <v>108.54770000000001</v>
      </c>
      <c r="C324" s="67">
        <f t="shared" si="4"/>
        <v>-4.0682220841884442E-3</v>
      </c>
      <c r="D324" s="67">
        <f>(Table110[[#This Row],[Index]]-B312)/B312</f>
        <v>5.2973804599619055E-2</v>
      </c>
    </row>
    <row r="325" spans="1:4" x14ac:dyDescent="0.2">
      <c r="A325" s="17">
        <v>35977</v>
      </c>
      <c r="B325" s="59">
        <f>VLOOKUP(Table110[[#This Row],[Date]],database!A:H,3,)</f>
        <v>109.2122</v>
      </c>
      <c r="C325" s="67">
        <f t="shared" si="4"/>
        <v>6.1217326576241682E-3</v>
      </c>
      <c r="D325" s="67">
        <f>(Table110[[#This Row],[Index]]-B313)/B313</f>
        <v>5.8904175998914017E-2</v>
      </c>
    </row>
    <row r="326" spans="1:4" x14ac:dyDescent="0.2">
      <c r="A326" s="17">
        <v>36008</v>
      </c>
      <c r="B326" s="59">
        <f>VLOOKUP(Table110[[#This Row],[Date]],database!A:H,3,)</f>
        <v>109.5201</v>
      </c>
      <c r="C326" s="67">
        <f t="shared" si="4"/>
        <v>2.8192820948576003E-3</v>
      </c>
      <c r="D326" s="67">
        <f>(Table110[[#This Row],[Index]]-B314)/B314</f>
        <v>5.4199999422462113E-2</v>
      </c>
    </row>
    <row r="327" spans="1:4" x14ac:dyDescent="0.2">
      <c r="A327" s="17">
        <v>36039</v>
      </c>
      <c r="B327" s="59">
        <f>VLOOKUP(Table110[[#This Row],[Date]],database!A:H,3,)</f>
        <v>109.2503</v>
      </c>
      <c r="C327" s="67">
        <f t="shared" si="4"/>
        <v>-2.4634747411662605E-3</v>
      </c>
      <c r="D327" s="67">
        <f>(Table110[[#This Row],[Index]]-B315)/B315</f>
        <v>4.6905050524409249E-2</v>
      </c>
    </row>
    <row r="328" spans="1:4" x14ac:dyDescent="0.2">
      <c r="A328" s="17">
        <v>36069</v>
      </c>
      <c r="B328" s="59">
        <f>VLOOKUP(Table110[[#This Row],[Date]],database!A:H,3,)</f>
        <v>110.1781</v>
      </c>
      <c r="C328" s="67">
        <f t="shared" ref="C328:C391" si="5">B328/B327-1</f>
        <v>8.4924251924252125E-3</v>
      </c>
      <c r="D328" s="67">
        <f>(Table110[[#This Row],[Index]]-B316)/B316</f>
        <v>4.978014072898946E-2</v>
      </c>
    </row>
    <row r="329" spans="1:4" x14ac:dyDescent="0.2">
      <c r="A329" s="17">
        <v>36100</v>
      </c>
      <c r="B329" s="59">
        <f>VLOOKUP(Table110[[#This Row],[Date]],database!A:H,3,)</f>
        <v>110.3879</v>
      </c>
      <c r="C329" s="67">
        <f t="shared" si="5"/>
        <v>1.9041896710871864E-3</v>
      </c>
      <c r="D329" s="67">
        <f>(Table110[[#This Row],[Index]]-B317)/B317</f>
        <v>4.8550154022684949E-2</v>
      </c>
    </row>
    <row r="330" spans="1:4" x14ac:dyDescent="0.2">
      <c r="A330" s="17">
        <v>36130</v>
      </c>
      <c r="B330" s="59">
        <f>VLOOKUP(Table110[[#This Row],[Date]],database!A:H,3,)</f>
        <v>111.81959999999999</v>
      </c>
      <c r="C330" s="67">
        <f t="shared" si="5"/>
        <v>1.2969718601404612E-2</v>
      </c>
      <c r="D330" s="67">
        <f>(Table110[[#This Row],[Index]]-B318)/B318</f>
        <v>4.7846715089065329E-2</v>
      </c>
    </row>
    <row r="331" spans="1:4" x14ac:dyDescent="0.2">
      <c r="A331" s="17">
        <v>36161</v>
      </c>
      <c r="B331" s="59">
        <f>VLOOKUP(Table110[[#This Row],[Date]],database!A:H,3,)</f>
        <v>111.0729</v>
      </c>
      <c r="C331" s="67">
        <f t="shared" si="5"/>
        <v>-6.6777201850122259E-3</v>
      </c>
      <c r="D331" s="67">
        <f>(Table110[[#This Row],[Index]]-B319)/B319</f>
        <v>3.5160232692949316E-2</v>
      </c>
    </row>
    <row r="332" spans="1:4" x14ac:dyDescent="0.2">
      <c r="A332" s="17">
        <v>36192</v>
      </c>
      <c r="B332" s="59">
        <f>VLOOKUP(Table110[[#This Row],[Date]],database!A:H,3,)</f>
        <v>111.2581</v>
      </c>
      <c r="C332" s="67">
        <f t="shared" si="5"/>
        <v>1.6673734097154558E-3</v>
      </c>
      <c r="D332" s="67">
        <f>(Table110[[#This Row],[Index]]-B320)/B320</f>
        <v>3.041851858369219E-2</v>
      </c>
    </row>
    <row r="333" spans="1:4" x14ac:dyDescent="0.2">
      <c r="A333" s="17">
        <v>36220</v>
      </c>
      <c r="B333" s="59">
        <f>VLOOKUP(Table110[[#This Row],[Date]],database!A:H,3,)</f>
        <v>110.1279</v>
      </c>
      <c r="C333" s="67">
        <f t="shared" si="5"/>
        <v>-1.0158361503566971E-2</v>
      </c>
      <c r="D333" s="67">
        <f>(Table110[[#This Row],[Index]]-B321)/B321</f>
        <v>2.7280876614805685E-2</v>
      </c>
    </row>
    <row r="334" spans="1:4" x14ac:dyDescent="0.2">
      <c r="A334" s="17">
        <v>36251</v>
      </c>
      <c r="B334" s="59">
        <f>VLOOKUP(Table110[[#This Row],[Date]],database!A:H,3,)</f>
        <v>110.47410000000001</v>
      </c>
      <c r="C334" s="67">
        <f t="shared" si="5"/>
        <v>3.1436175574037772E-3</v>
      </c>
      <c r="D334" s="67">
        <f>(Table110[[#This Row],[Index]]-B322)/B322</f>
        <v>2.6178803185708598E-2</v>
      </c>
    </row>
    <row r="335" spans="1:4" x14ac:dyDescent="0.2">
      <c r="A335" s="17">
        <v>36281</v>
      </c>
      <c r="B335" s="59">
        <f>VLOOKUP(Table110[[#This Row],[Date]],database!A:H,3,)</f>
        <v>110.72069999999999</v>
      </c>
      <c r="C335" s="67">
        <f t="shared" si="5"/>
        <v>2.2321974109766884E-3</v>
      </c>
      <c r="D335" s="67">
        <f>(Table110[[#This Row],[Index]]-B323)/B323</f>
        <v>1.5869185649103373E-2</v>
      </c>
    </row>
    <row r="336" spans="1:4" x14ac:dyDescent="0.2">
      <c r="A336" s="17">
        <v>36312</v>
      </c>
      <c r="B336" s="59">
        <f>VLOOKUP(Table110[[#This Row],[Date]],database!A:H,3,)</f>
        <v>110.8252</v>
      </c>
      <c r="C336" s="67">
        <f t="shared" si="5"/>
        <v>9.4381628728856803E-4</v>
      </c>
      <c r="D336" s="67">
        <f>(Table110[[#This Row],[Index]]-B324)/B324</f>
        <v>2.0981559259201154E-2</v>
      </c>
    </row>
    <row r="337" spans="1:4" x14ac:dyDescent="0.2">
      <c r="A337" s="17">
        <v>36342</v>
      </c>
      <c r="B337" s="59">
        <f>VLOOKUP(Table110[[#This Row],[Date]],database!A:H,3,)</f>
        <v>111.57080000000001</v>
      </c>
      <c r="C337" s="67">
        <f t="shared" si="5"/>
        <v>6.7277117478696802E-3</v>
      </c>
      <c r="D337" s="67">
        <f>(Table110[[#This Row],[Index]]-B325)/B325</f>
        <v>2.1596488304420292E-2</v>
      </c>
    </row>
    <row r="338" spans="1:4" x14ac:dyDescent="0.2">
      <c r="A338" s="17">
        <v>36373</v>
      </c>
      <c r="B338" s="59">
        <f>VLOOKUP(Table110[[#This Row],[Date]],database!A:H,3,)</f>
        <v>111.559</v>
      </c>
      <c r="C338" s="67">
        <f t="shared" si="5"/>
        <v>-1.0576243963478227E-4</v>
      </c>
      <c r="D338" s="67">
        <f>(Table110[[#This Row],[Index]]-B326)/B326</f>
        <v>1.8616674016915601E-2</v>
      </c>
    </row>
    <row r="339" spans="1:4" x14ac:dyDescent="0.2">
      <c r="A339" s="17">
        <v>36404</v>
      </c>
      <c r="B339" s="59">
        <f>VLOOKUP(Table110[[#This Row],[Date]],database!A:H,3,)</f>
        <v>111.6039</v>
      </c>
      <c r="C339" s="67">
        <f t="shared" si="5"/>
        <v>4.0247761274292415E-4</v>
      </c>
      <c r="D339" s="67">
        <f>(Table110[[#This Row],[Index]]-B327)/B327</f>
        <v>2.1543190270415735E-2</v>
      </c>
    </row>
    <row r="340" spans="1:4" x14ac:dyDescent="0.2">
      <c r="A340" s="17">
        <v>36434</v>
      </c>
      <c r="B340" s="59">
        <f>VLOOKUP(Table110[[#This Row],[Date]],database!A:H,3,)</f>
        <v>112.98390000000001</v>
      </c>
      <c r="C340" s="67">
        <f t="shared" si="5"/>
        <v>1.2365159282068161E-2</v>
      </c>
      <c r="D340" s="67">
        <f>(Table110[[#This Row],[Index]]-B328)/B328</f>
        <v>2.5466040891974039E-2</v>
      </c>
    </row>
    <row r="341" spans="1:4" x14ac:dyDescent="0.2">
      <c r="A341" s="17">
        <v>36465</v>
      </c>
      <c r="B341" s="59">
        <f>VLOOKUP(Table110[[#This Row],[Date]],database!A:H,3,)</f>
        <v>113.6375</v>
      </c>
      <c r="C341" s="67">
        <f t="shared" si="5"/>
        <v>5.7848950160155344E-3</v>
      </c>
      <c r="D341" s="67">
        <f>(Table110[[#This Row],[Index]]-B329)/B329</f>
        <v>2.9438009057152104E-2</v>
      </c>
    </row>
    <row r="342" spans="1:4" x14ac:dyDescent="0.2">
      <c r="A342" s="17">
        <v>36495</v>
      </c>
      <c r="B342" s="59">
        <f>VLOOKUP(Table110[[#This Row],[Date]],database!A:H,3,)</f>
        <v>114.7782</v>
      </c>
      <c r="C342" s="67">
        <f t="shared" si="5"/>
        <v>1.003805961940385E-2</v>
      </c>
      <c r="D342" s="67">
        <f>(Table110[[#This Row],[Index]]-B330)/B330</f>
        <v>2.6458688816629682E-2</v>
      </c>
    </row>
    <row r="343" spans="1:4" x14ac:dyDescent="0.2">
      <c r="A343" s="17">
        <v>36526</v>
      </c>
      <c r="B343" s="59">
        <f>VLOOKUP(Table110[[#This Row],[Date]],database!A:H,3,)</f>
        <v>115.1358</v>
      </c>
      <c r="C343" s="67">
        <f t="shared" si="5"/>
        <v>3.1155742118276208E-3</v>
      </c>
      <c r="D343" s="67">
        <f>(Table110[[#This Row],[Index]]-B331)/B331</f>
        <v>3.6578679407848348E-2</v>
      </c>
    </row>
    <row r="344" spans="1:4" x14ac:dyDescent="0.2">
      <c r="A344" s="17">
        <v>36557</v>
      </c>
      <c r="B344" s="59">
        <f>VLOOKUP(Table110[[#This Row],[Date]],database!A:H,3,)</f>
        <v>115.4297</v>
      </c>
      <c r="C344" s="67">
        <f t="shared" si="5"/>
        <v>2.5526378415747786E-3</v>
      </c>
      <c r="D344" s="67">
        <f>(Table110[[#This Row],[Index]]-B332)/B332</f>
        <v>3.7494798131551751E-2</v>
      </c>
    </row>
    <row r="345" spans="1:4" x14ac:dyDescent="0.2">
      <c r="A345" s="17">
        <v>36586</v>
      </c>
      <c r="B345" s="59">
        <f>VLOOKUP(Table110[[#This Row],[Date]],database!A:H,3,)</f>
        <v>115.54510000000001</v>
      </c>
      <c r="C345" s="67">
        <f t="shared" si="5"/>
        <v>9.9974270053548864E-4</v>
      </c>
      <c r="D345" s="67">
        <f>(Table110[[#This Row],[Index]]-B333)/B333</f>
        <v>4.9190078081939349E-2</v>
      </c>
    </row>
    <row r="346" spans="1:4" x14ac:dyDescent="0.2">
      <c r="A346" s="17">
        <v>36617</v>
      </c>
      <c r="B346" s="59">
        <f>VLOOKUP(Table110[[#This Row],[Date]],database!A:H,3,)</f>
        <v>115.9894</v>
      </c>
      <c r="C346" s="67">
        <f t="shared" si="5"/>
        <v>3.8452517674916198E-3</v>
      </c>
      <c r="D346" s="67">
        <f>(Table110[[#This Row],[Index]]-B334)/B334</f>
        <v>4.9923918818981061E-2</v>
      </c>
    </row>
    <row r="347" spans="1:4" x14ac:dyDescent="0.2">
      <c r="A347" s="17">
        <v>36647</v>
      </c>
      <c r="B347" s="59">
        <f>VLOOKUP(Table110[[#This Row],[Date]],database!A:H,3,)</f>
        <v>114.3001</v>
      </c>
      <c r="C347" s="67">
        <f t="shared" si="5"/>
        <v>-1.4564261906691467E-2</v>
      </c>
      <c r="D347" s="67">
        <f>(Table110[[#This Row],[Index]]-B335)/B335</f>
        <v>3.2328191566708006E-2</v>
      </c>
    </row>
    <row r="348" spans="1:4" x14ac:dyDescent="0.2">
      <c r="A348" s="17">
        <v>36678</v>
      </c>
      <c r="B348" s="59">
        <f>VLOOKUP(Table110[[#This Row],[Date]],database!A:H,3,)</f>
        <v>113.7782</v>
      </c>
      <c r="C348" s="67">
        <f t="shared" si="5"/>
        <v>-4.5660502484250465E-3</v>
      </c>
      <c r="D348" s="67">
        <f>(Table110[[#This Row],[Index]]-B336)/B336</f>
        <v>2.6645564366227205E-2</v>
      </c>
    </row>
    <row r="349" spans="1:4" x14ac:dyDescent="0.2">
      <c r="A349" s="17">
        <v>36708</v>
      </c>
      <c r="B349" s="59">
        <f>VLOOKUP(Table110[[#This Row],[Date]],database!A:H,3,)</f>
        <v>114.325</v>
      </c>
      <c r="C349" s="67">
        <f t="shared" si="5"/>
        <v>4.8058415408225308E-3</v>
      </c>
      <c r="D349" s="67">
        <f>(Table110[[#This Row],[Index]]-B337)/B337</f>
        <v>2.4685670444238073E-2</v>
      </c>
    </row>
    <row r="350" spans="1:4" x14ac:dyDescent="0.2">
      <c r="A350" s="17">
        <v>36739</v>
      </c>
      <c r="B350" s="59">
        <f>VLOOKUP(Table110[[#This Row],[Date]],database!A:H,3,)</f>
        <v>113.47280000000001</v>
      </c>
      <c r="C350" s="67">
        <f t="shared" si="5"/>
        <v>-7.4541876230045379E-3</v>
      </c>
      <c r="D350" s="67">
        <f>(Table110[[#This Row],[Index]]-B338)/B338</f>
        <v>1.715504800150601E-2</v>
      </c>
    </row>
    <row r="351" spans="1:4" x14ac:dyDescent="0.2">
      <c r="A351" s="17">
        <v>36770</v>
      </c>
      <c r="B351" s="59">
        <f>VLOOKUP(Table110[[#This Row],[Date]],database!A:H,3,)</f>
        <v>113.62649999999999</v>
      </c>
      <c r="C351" s="67">
        <f t="shared" si="5"/>
        <v>1.3545096269764745E-3</v>
      </c>
      <c r="D351" s="67">
        <f>(Table110[[#This Row],[Index]]-B339)/B339</f>
        <v>1.8123022582544134E-2</v>
      </c>
    </row>
    <row r="352" spans="1:4" x14ac:dyDescent="0.2">
      <c r="A352" s="17">
        <v>36800</v>
      </c>
      <c r="B352" s="59">
        <f>VLOOKUP(Table110[[#This Row],[Date]],database!A:H,3,)</f>
        <v>113.23</v>
      </c>
      <c r="C352" s="67">
        <f t="shared" si="5"/>
        <v>-3.4895028888506374E-3</v>
      </c>
      <c r="D352" s="67">
        <f>(Table110[[#This Row],[Index]]-B340)/B340</f>
        <v>2.1781864495737748E-3</v>
      </c>
    </row>
    <row r="353" spans="1:4" x14ac:dyDescent="0.2">
      <c r="A353" s="17">
        <v>36831</v>
      </c>
      <c r="B353" s="59">
        <f>VLOOKUP(Table110[[#This Row],[Date]],database!A:H,3,)</f>
        <v>112.93219999999999</v>
      </c>
      <c r="C353" s="67">
        <f t="shared" si="5"/>
        <v>-2.6300450410668974E-3</v>
      </c>
      <c r="D353" s="67">
        <f>(Table110[[#This Row],[Index]]-B341)/B341</f>
        <v>-6.2065779342207299E-3</v>
      </c>
    </row>
    <row r="354" spans="1:4" x14ac:dyDescent="0.2">
      <c r="A354" s="17">
        <v>36861</v>
      </c>
      <c r="B354" s="59">
        <f>VLOOKUP(Table110[[#This Row],[Date]],database!A:H,3,)</f>
        <v>111.17959999999999</v>
      </c>
      <c r="C354" s="67">
        <f t="shared" si="5"/>
        <v>-1.551904594083886E-2</v>
      </c>
      <c r="D354" s="67">
        <f>(Table110[[#This Row],[Index]]-B342)/B342</f>
        <v>-3.1352643620478494E-2</v>
      </c>
    </row>
    <row r="355" spans="1:4" x14ac:dyDescent="0.2">
      <c r="A355" s="17">
        <v>36892</v>
      </c>
      <c r="B355" s="59">
        <f>VLOOKUP(Table110[[#This Row],[Date]],database!A:H,3,)</f>
        <v>111.9186</v>
      </c>
      <c r="C355" s="67">
        <f t="shared" si="5"/>
        <v>6.6469028490838689E-3</v>
      </c>
      <c r="D355" s="67">
        <f>(Table110[[#This Row],[Index]]-B343)/B343</f>
        <v>-2.7942655542411703E-2</v>
      </c>
    </row>
    <row r="356" spans="1:4" x14ac:dyDescent="0.2">
      <c r="A356" s="17">
        <v>36923</v>
      </c>
      <c r="B356" s="59">
        <f>VLOOKUP(Table110[[#This Row],[Date]],database!A:H,3,)</f>
        <v>110.5078</v>
      </c>
      <c r="C356" s="67">
        <f t="shared" si="5"/>
        <v>-1.2605590134258216E-2</v>
      </c>
      <c r="D356" s="67">
        <f>(Table110[[#This Row],[Index]]-B344)/B344</f>
        <v>-4.2639805873185097E-2</v>
      </c>
    </row>
    <row r="357" spans="1:4" x14ac:dyDescent="0.2">
      <c r="A357" s="17">
        <v>36951</v>
      </c>
      <c r="B357" s="59">
        <f>VLOOKUP(Table110[[#This Row],[Date]],database!A:H,3,)</f>
        <v>110.62260000000001</v>
      </c>
      <c r="C357" s="67">
        <f t="shared" si="5"/>
        <v>1.0388406972177133E-3</v>
      </c>
      <c r="D357" s="67">
        <f>(Table110[[#This Row],[Index]]-B345)/B345</f>
        <v>-4.2602412391351943E-2</v>
      </c>
    </row>
    <row r="358" spans="1:4" x14ac:dyDescent="0.2">
      <c r="A358" s="17">
        <v>36982</v>
      </c>
      <c r="B358" s="59">
        <f>VLOOKUP(Table110[[#This Row],[Date]],database!A:H,3,)</f>
        <v>110.4067</v>
      </c>
      <c r="C358" s="67">
        <f t="shared" si="5"/>
        <v>-1.9516807596278163E-3</v>
      </c>
      <c r="D358" s="67">
        <f>(Table110[[#This Row],[Index]]-B346)/B346</f>
        <v>-4.8131122326695391E-2</v>
      </c>
    </row>
    <row r="359" spans="1:4" x14ac:dyDescent="0.2">
      <c r="A359" s="17">
        <v>37012</v>
      </c>
      <c r="B359" s="59">
        <f>VLOOKUP(Table110[[#This Row],[Date]],database!A:H,3,)</f>
        <v>109.71040000000001</v>
      </c>
      <c r="C359" s="67">
        <f t="shared" si="5"/>
        <v>-6.3066824748859718E-3</v>
      </c>
      <c r="D359" s="67">
        <f>(Table110[[#This Row],[Index]]-B347)/B347</f>
        <v>-4.0154820511967997E-2</v>
      </c>
    </row>
    <row r="360" spans="1:4" x14ac:dyDescent="0.2">
      <c r="A360" s="17">
        <v>37043</v>
      </c>
      <c r="B360" s="59">
        <f>VLOOKUP(Table110[[#This Row],[Date]],database!A:H,3,)</f>
        <v>108.95820000000001</v>
      </c>
      <c r="C360" s="67">
        <f t="shared" si="5"/>
        <v>-6.8562324082311887E-3</v>
      </c>
      <c r="D360" s="67">
        <f>(Table110[[#This Row],[Index]]-B348)/B348</f>
        <v>-4.2363124043094315E-2</v>
      </c>
    </row>
    <row r="361" spans="1:4" x14ac:dyDescent="0.2">
      <c r="A361" s="17">
        <v>37073</v>
      </c>
      <c r="B361" s="59">
        <f>VLOOKUP(Table110[[#This Row],[Date]],database!A:H,3,)</f>
        <v>109.0355</v>
      </c>
      <c r="C361" s="67">
        <f t="shared" si="5"/>
        <v>7.09446374848266E-4</v>
      </c>
      <c r="D361" s="67">
        <f>(Table110[[#This Row],[Index]]-B349)/B349</f>
        <v>-4.6267220642904033E-2</v>
      </c>
    </row>
    <row r="362" spans="1:4" x14ac:dyDescent="0.2">
      <c r="A362" s="17">
        <v>37104</v>
      </c>
      <c r="B362" s="59">
        <f>VLOOKUP(Table110[[#This Row],[Date]],database!A:H,3,)</f>
        <v>107.7281</v>
      </c>
      <c r="C362" s="67">
        <f t="shared" si="5"/>
        <v>-1.1990590220616215E-2</v>
      </c>
      <c r="D362" s="67">
        <f>(Table110[[#This Row],[Index]]-B350)/B350</f>
        <v>-5.0626229369505366E-2</v>
      </c>
    </row>
    <row r="363" spans="1:4" x14ac:dyDescent="0.2">
      <c r="A363" s="17">
        <v>37135</v>
      </c>
      <c r="B363" s="59">
        <f>VLOOKUP(Table110[[#This Row],[Date]],database!A:H,3,)</f>
        <v>107.52889999999999</v>
      </c>
      <c r="C363" s="67">
        <f t="shared" si="5"/>
        <v>-1.8490997242130991E-3</v>
      </c>
      <c r="D363" s="67">
        <f>(Table110[[#This Row],[Index]]-B351)/B351</f>
        <v>-5.366353799509798E-2</v>
      </c>
    </row>
    <row r="364" spans="1:4" x14ac:dyDescent="0.2">
      <c r="A364" s="17">
        <v>37165</v>
      </c>
      <c r="B364" s="59">
        <f>VLOOKUP(Table110[[#This Row],[Date]],database!A:H,3,)</f>
        <v>106.48860000000001</v>
      </c>
      <c r="C364" s="67">
        <f t="shared" si="5"/>
        <v>-9.6746084076000383E-3</v>
      </c>
      <c r="D364" s="67">
        <f>(Table110[[#This Row],[Index]]-B352)/B352</f>
        <v>-5.9537225117018443E-2</v>
      </c>
    </row>
    <row r="365" spans="1:4" x14ac:dyDescent="0.2">
      <c r="A365" s="17">
        <v>37196</v>
      </c>
      <c r="B365" s="59">
        <f>VLOOKUP(Table110[[#This Row],[Date]],database!A:H,3,)</f>
        <v>106.137</v>
      </c>
      <c r="C365" s="67">
        <f t="shared" si="5"/>
        <v>-3.3017618787363201E-3</v>
      </c>
      <c r="D365" s="67">
        <f>(Table110[[#This Row],[Index]]-B353)/B353</f>
        <v>-6.0170615643722468E-2</v>
      </c>
    </row>
    <row r="366" spans="1:4" x14ac:dyDescent="0.2">
      <c r="A366" s="17">
        <v>37226</v>
      </c>
      <c r="B366" s="59">
        <f>VLOOKUP(Table110[[#This Row],[Date]],database!A:H,3,)</f>
        <v>106.90179999999999</v>
      </c>
      <c r="C366" s="67">
        <f t="shared" si="5"/>
        <v>7.2057812073074157E-3</v>
      </c>
      <c r="D366" s="67">
        <f>(Table110[[#This Row],[Index]]-B354)/B354</f>
        <v>-3.8476483095819733E-2</v>
      </c>
    </row>
    <row r="367" spans="1:4" x14ac:dyDescent="0.2">
      <c r="A367" s="17">
        <v>37257</v>
      </c>
      <c r="B367" s="59">
        <f>VLOOKUP(Table110[[#This Row],[Date]],database!A:H,3,)</f>
        <v>106.76519999999999</v>
      </c>
      <c r="C367" s="67">
        <f t="shared" si="5"/>
        <v>-1.2778082314797157E-3</v>
      </c>
      <c r="D367" s="67">
        <f>(Table110[[#This Row],[Index]]-B355)/B355</f>
        <v>-4.6045965549962251E-2</v>
      </c>
    </row>
    <row r="368" spans="1:4" x14ac:dyDescent="0.2">
      <c r="A368" s="17">
        <v>37288</v>
      </c>
      <c r="B368" s="59">
        <f>VLOOKUP(Table110[[#This Row],[Date]],database!A:H,3,)</f>
        <v>107.04300000000001</v>
      </c>
      <c r="C368" s="67">
        <f t="shared" si="5"/>
        <v>2.6019714288927354E-3</v>
      </c>
      <c r="D368" s="67">
        <f>(Table110[[#This Row],[Index]]-B356)/B356</f>
        <v>-3.135344292439083E-2</v>
      </c>
    </row>
    <row r="369" spans="1:4" x14ac:dyDescent="0.2">
      <c r="A369" s="17">
        <v>37316</v>
      </c>
      <c r="B369" s="59">
        <f>VLOOKUP(Table110[[#This Row],[Date]],database!A:H,3,)</f>
        <v>108.6831</v>
      </c>
      <c r="C369" s="67">
        <f t="shared" si="5"/>
        <v>1.5321879992152621E-2</v>
      </c>
      <c r="D369" s="67">
        <f>(Table110[[#This Row],[Index]]-B357)/B357</f>
        <v>-1.7532583757749406E-2</v>
      </c>
    </row>
    <row r="370" spans="1:4" x14ac:dyDescent="0.2">
      <c r="A370" s="17">
        <v>37347</v>
      </c>
      <c r="B370" s="59">
        <f>VLOOKUP(Table110[[#This Row],[Date]],database!A:H,3,)</f>
        <v>108.6516</v>
      </c>
      <c r="C370" s="67">
        <f t="shared" si="5"/>
        <v>-2.8983346996902526E-4</v>
      </c>
      <c r="D370" s="67">
        <f>(Table110[[#This Row],[Index]]-B358)/B358</f>
        <v>-1.5896680183358426E-2</v>
      </c>
    </row>
    <row r="371" spans="1:4" x14ac:dyDescent="0.2">
      <c r="A371" s="17">
        <v>37377</v>
      </c>
      <c r="B371" s="59">
        <f>VLOOKUP(Table110[[#This Row],[Date]],database!A:H,3,)</f>
        <v>109.14570000000001</v>
      </c>
      <c r="C371" s="67">
        <f t="shared" si="5"/>
        <v>4.5475630363474018E-3</v>
      </c>
      <c r="D371" s="67">
        <f>(Table110[[#This Row],[Index]]-B359)/B359</f>
        <v>-5.1471875045574706E-3</v>
      </c>
    </row>
    <row r="372" spans="1:4" x14ac:dyDescent="0.2">
      <c r="A372" s="17">
        <v>37408</v>
      </c>
      <c r="B372" s="59">
        <f>VLOOKUP(Table110[[#This Row],[Date]],database!A:H,3,)</f>
        <v>109.8729</v>
      </c>
      <c r="C372" s="67">
        <f t="shared" si="5"/>
        <v>6.6626536821881022E-3</v>
      </c>
      <c r="D372" s="67">
        <f>(Table110[[#This Row],[Index]]-B360)/B360</f>
        <v>8.3949624718469666E-3</v>
      </c>
    </row>
    <row r="373" spans="1:4" x14ac:dyDescent="0.2">
      <c r="A373" s="17">
        <v>37438</v>
      </c>
      <c r="B373" s="59">
        <f>VLOOKUP(Table110[[#This Row],[Date]],database!A:H,3,)</f>
        <v>108.61190000000001</v>
      </c>
      <c r="C373" s="67">
        <f t="shared" si="5"/>
        <v>-1.1476897396901276E-2</v>
      </c>
      <c r="D373" s="67">
        <f>(Table110[[#This Row],[Index]]-B361)/B361</f>
        <v>-3.8849732426594397E-3</v>
      </c>
    </row>
    <row r="374" spans="1:4" x14ac:dyDescent="0.2">
      <c r="A374" s="17">
        <v>37469</v>
      </c>
      <c r="B374" s="59">
        <f>VLOOKUP(Table110[[#This Row],[Date]],database!A:H,3,)</f>
        <v>108.9087</v>
      </c>
      <c r="C374" s="67">
        <f t="shared" si="5"/>
        <v>2.7326655734776217E-3</v>
      </c>
      <c r="D374" s="67">
        <f>(Table110[[#This Row],[Index]]-B362)/B362</f>
        <v>1.0959071959869322E-2</v>
      </c>
    </row>
    <row r="375" spans="1:4" x14ac:dyDescent="0.2">
      <c r="A375" s="17">
        <v>37500</v>
      </c>
      <c r="B375" s="59">
        <f>VLOOKUP(Table110[[#This Row],[Date]],database!A:H,3,)</f>
        <v>109.85169999999999</v>
      </c>
      <c r="C375" s="67">
        <f t="shared" si="5"/>
        <v>8.6586287413219498E-3</v>
      </c>
      <c r="D375" s="67">
        <f>(Table110[[#This Row],[Index]]-B363)/B363</f>
        <v>2.1601634537319742E-2</v>
      </c>
    </row>
    <row r="376" spans="1:4" x14ac:dyDescent="0.2">
      <c r="A376" s="17">
        <v>37530</v>
      </c>
      <c r="B376" s="59">
        <f>VLOOKUP(Table110[[#This Row],[Date]],database!A:H,3,)</f>
        <v>109.4211</v>
      </c>
      <c r="C376" s="67">
        <f t="shared" si="5"/>
        <v>-3.9198300982141721E-3</v>
      </c>
      <c r="D376" s="67">
        <f>(Table110[[#This Row],[Index]]-B364)/B364</f>
        <v>2.7538159014204245E-2</v>
      </c>
    </row>
    <row r="377" spans="1:4" x14ac:dyDescent="0.2">
      <c r="A377" s="17">
        <v>37561</v>
      </c>
      <c r="B377" s="59">
        <f>VLOOKUP(Table110[[#This Row],[Date]],database!A:H,3,)</f>
        <v>109.4365</v>
      </c>
      <c r="C377" s="67">
        <f t="shared" si="5"/>
        <v>1.4074067981395544E-4</v>
      </c>
      <c r="D377" s="67">
        <f>(Table110[[#This Row],[Index]]-B365)/B365</f>
        <v>3.1087179777080517E-2</v>
      </c>
    </row>
    <row r="378" spans="1:4" x14ac:dyDescent="0.2">
      <c r="A378" s="17">
        <v>37591</v>
      </c>
      <c r="B378" s="59">
        <f>VLOOKUP(Table110[[#This Row],[Date]],database!A:H,3,)</f>
        <v>108.6027</v>
      </c>
      <c r="C378" s="67">
        <f t="shared" si="5"/>
        <v>-7.6190302138683386E-3</v>
      </c>
      <c r="D378" s="67">
        <f>(Table110[[#This Row],[Index]]-B366)/B366</f>
        <v>1.5910863989193863E-2</v>
      </c>
    </row>
    <row r="379" spans="1:4" x14ac:dyDescent="0.2">
      <c r="A379" s="17">
        <v>37622</v>
      </c>
      <c r="B379" s="59">
        <f>VLOOKUP(Table110[[#This Row],[Date]],database!A:H,3,)</f>
        <v>109.02970000000001</v>
      </c>
      <c r="C379" s="67">
        <f t="shared" si="5"/>
        <v>3.9317622858363599E-3</v>
      </c>
      <c r="D379" s="67">
        <f>(Table110[[#This Row],[Index]]-B367)/B367</f>
        <v>2.1210094675044047E-2</v>
      </c>
    </row>
    <row r="380" spans="1:4" x14ac:dyDescent="0.2">
      <c r="A380" s="17">
        <v>37653</v>
      </c>
      <c r="B380" s="59">
        <f>VLOOKUP(Table110[[#This Row],[Date]],database!A:H,3,)</f>
        <v>108.16330000000001</v>
      </c>
      <c r="C380" s="67">
        <f t="shared" si="5"/>
        <v>-7.946458625493813E-3</v>
      </c>
      <c r="D380" s="67">
        <f>(Table110[[#This Row],[Index]]-B368)/B368</f>
        <v>1.0465887540521102E-2</v>
      </c>
    </row>
    <row r="381" spans="1:4" x14ac:dyDescent="0.2">
      <c r="A381" s="17">
        <v>37681</v>
      </c>
      <c r="B381" s="59">
        <f>VLOOKUP(Table110[[#This Row],[Date]],database!A:H,3,)</f>
        <v>107.6896</v>
      </c>
      <c r="C381" s="67">
        <f t="shared" si="5"/>
        <v>-4.3794891612960463E-3</v>
      </c>
      <c r="D381" s="67">
        <f>(Table110[[#This Row],[Index]]-B369)/B369</f>
        <v>-9.1412556322003832E-3</v>
      </c>
    </row>
    <row r="382" spans="1:4" x14ac:dyDescent="0.2">
      <c r="A382" s="17">
        <v>37712</v>
      </c>
      <c r="B382" s="59">
        <f>VLOOKUP(Table110[[#This Row],[Date]],database!A:H,3,)</f>
        <v>106.57850000000001</v>
      </c>
      <c r="C382" s="67">
        <f t="shared" si="5"/>
        <v>-1.0317616557216192E-2</v>
      </c>
      <c r="D382" s="67">
        <f>(Table110[[#This Row],[Index]]-B370)/B370</f>
        <v>-1.9080252844872938E-2</v>
      </c>
    </row>
    <row r="383" spans="1:4" x14ac:dyDescent="0.2">
      <c r="A383" s="17">
        <v>37742</v>
      </c>
      <c r="B383" s="59">
        <f>VLOOKUP(Table110[[#This Row],[Date]],database!A:H,3,)</f>
        <v>107.952</v>
      </c>
      <c r="C383" s="67">
        <f t="shared" si="5"/>
        <v>1.2887214588308105E-2</v>
      </c>
      <c r="D383" s="67">
        <f>(Table110[[#This Row],[Index]]-B371)/B371</f>
        <v>-1.0936757013789886E-2</v>
      </c>
    </row>
    <row r="384" spans="1:4" x14ac:dyDescent="0.2">
      <c r="A384" s="17">
        <v>37773</v>
      </c>
      <c r="B384" s="59">
        <f>VLOOKUP(Table110[[#This Row],[Date]],database!A:H,3,)</f>
        <v>108.39230000000001</v>
      </c>
      <c r="C384" s="67">
        <f t="shared" si="5"/>
        <v>4.078664591670389E-3</v>
      </c>
      <c r="D384" s="67">
        <f>(Table110[[#This Row],[Index]]-B372)/B372</f>
        <v>-1.3475570409081724E-2</v>
      </c>
    </row>
    <row r="385" spans="1:4" x14ac:dyDescent="0.2">
      <c r="A385" s="17">
        <v>37803</v>
      </c>
      <c r="B385" s="59">
        <f>VLOOKUP(Table110[[#This Row],[Date]],database!A:H,3,)</f>
        <v>107.8937</v>
      </c>
      <c r="C385" s="67">
        <f t="shared" si="5"/>
        <v>-4.5999577460761332E-3</v>
      </c>
      <c r="D385" s="67">
        <f>(Table110[[#This Row],[Index]]-B373)/B373</f>
        <v>-6.6125350905380546E-3</v>
      </c>
    </row>
    <row r="386" spans="1:4" x14ac:dyDescent="0.2">
      <c r="A386" s="17">
        <v>37834</v>
      </c>
      <c r="B386" s="59">
        <f>VLOOKUP(Table110[[#This Row],[Date]],database!A:H,3,)</f>
        <v>108.56</v>
      </c>
      <c r="C386" s="67">
        <f t="shared" si="5"/>
        <v>6.1755227599016305E-3</v>
      </c>
      <c r="D386" s="67">
        <f>(Table110[[#This Row],[Index]]-B374)/B374</f>
        <v>-3.2017644136785564E-3</v>
      </c>
    </row>
    <row r="387" spans="1:4" x14ac:dyDescent="0.2">
      <c r="A387" s="17">
        <v>37865</v>
      </c>
      <c r="B387" s="59">
        <f>VLOOKUP(Table110[[#This Row],[Date]],database!A:H,3,)</f>
        <v>108.2989</v>
      </c>
      <c r="C387" s="67">
        <f t="shared" si="5"/>
        <v>-2.4051215917464397E-3</v>
      </c>
      <c r="D387" s="67">
        <f>(Table110[[#This Row],[Index]]-B375)/B375</f>
        <v>-1.4135420753615928E-2</v>
      </c>
    </row>
    <row r="388" spans="1:4" x14ac:dyDescent="0.2">
      <c r="A388" s="17">
        <v>37895</v>
      </c>
      <c r="B388" s="59">
        <f>VLOOKUP(Table110[[#This Row],[Date]],database!A:H,3,)</f>
        <v>108.8664</v>
      </c>
      <c r="C388" s="67">
        <f t="shared" si="5"/>
        <v>5.2401270927036059E-3</v>
      </c>
      <c r="D388" s="67">
        <f>(Table110[[#This Row],[Index]]-B376)/B376</f>
        <v>-5.0694061748602134E-3</v>
      </c>
    </row>
    <row r="389" spans="1:4" x14ac:dyDescent="0.2">
      <c r="A389" s="17">
        <v>37926</v>
      </c>
      <c r="B389" s="59">
        <f>VLOOKUP(Table110[[#This Row],[Date]],database!A:H,3,)</f>
        <v>110.1212</v>
      </c>
      <c r="C389" s="67">
        <f t="shared" si="5"/>
        <v>1.1526053952367388E-2</v>
      </c>
      <c r="D389" s="67">
        <f>(Table110[[#This Row],[Index]]-B377)/B377</f>
        <v>6.2565962909998636E-3</v>
      </c>
    </row>
    <row r="390" spans="1:4" x14ac:dyDescent="0.2">
      <c r="A390" s="17">
        <v>37956</v>
      </c>
      <c r="B390" s="59">
        <f>VLOOKUP(Table110[[#This Row],[Date]],database!A:H,3,)</f>
        <v>110.1865</v>
      </c>
      <c r="C390" s="67">
        <f t="shared" si="5"/>
        <v>5.9298300418086924E-4</v>
      </c>
      <c r="D390" s="67">
        <f>(Table110[[#This Row],[Index]]-B378)/B378</f>
        <v>1.4583431166996737E-2</v>
      </c>
    </row>
    <row r="391" spans="1:4" x14ac:dyDescent="0.2">
      <c r="A391" s="17">
        <v>37987</v>
      </c>
      <c r="B391" s="59">
        <f>VLOOKUP(Table110[[#This Row],[Date]],database!A:H,3,)</f>
        <v>109.9603</v>
      </c>
      <c r="C391" s="67">
        <f t="shared" si="5"/>
        <v>-2.0528830664372499E-3</v>
      </c>
      <c r="D391" s="67">
        <f>(Table110[[#This Row],[Index]]-B379)/B379</f>
        <v>8.5352890084077846E-3</v>
      </c>
    </row>
    <row r="392" spans="1:4" x14ac:dyDescent="0.2">
      <c r="A392" s="17">
        <v>38018</v>
      </c>
      <c r="B392" s="59">
        <f>VLOOKUP(Table110[[#This Row],[Date]],database!A:H,3,)</f>
        <v>109.96040000000001</v>
      </c>
      <c r="C392" s="67">
        <f t="shared" ref="C392:C455" si="6">B392/B391-1</f>
        <v>9.0941912667119595E-7</v>
      </c>
      <c r="D392" s="67">
        <f>(Table110[[#This Row],[Index]]-B380)/B380</f>
        <v>1.6614692783966468E-2</v>
      </c>
    </row>
    <row r="393" spans="1:4" x14ac:dyDescent="0.2">
      <c r="A393" s="17">
        <v>38047</v>
      </c>
      <c r="B393" s="59">
        <f>VLOOKUP(Table110[[#This Row],[Date]],database!A:H,3,)</f>
        <v>110.06950000000001</v>
      </c>
      <c r="C393" s="67">
        <f t="shared" si="6"/>
        <v>9.9217536494955461E-4</v>
      </c>
      <c r="D393" s="67">
        <f>(Table110[[#This Row],[Index]]-B381)/B381</f>
        <v>2.2099627076337978E-2</v>
      </c>
    </row>
    <row r="394" spans="1:4" x14ac:dyDescent="0.2">
      <c r="A394" s="17">
        <v>38078</v>
      </c>
      <c r="B394" s="59">
        <f>VLOOKUP(Table110[[#This Row],[Date]],database!A:H,3,)</f>
        <v>109.8387</v>
      </c>
      <c r="C394" s="67">
        <f t="shared" si="6"/>
        <v>-2.0968569858135222E-3</v>
      </c>
      <c r="D394" s="67">
        <f>(Table110[[#This Row],[Index]]-B382)/B382</f>
        <v>3.0589659265236397E-2</v>
      </c>
    </row>
    <row r="395" spans="1:4" x14ac:dyDescent="0.2">
      <c r="A395" s="17">
        <v>38108</v>
      </c>
      <c r="B395" s="59">
        <f>VLOOKUP(Table110[[#This Row],[Date]],database!A:H,3,)</f>
        <v>111.05889999999999</v>
      </c>
      <c r="C395" s="67">
        <f t="shared" si="6"/>
        <v>1.1109017131484489E-2</v>
      </c>
      <c r="D395" s="67">
        <f>(Table110[[#This Row],[Index]]-B383)/B383</f>
        <v>2.8780383874314475E-2</v>
      </c>
    </row>
    <row r="396" spans="1:4" x14ac:dyDescent="0.2">
      <c r="A396" s="17">
        <v>38139</v>
      </c>
      <c r="B396" s="59">
        <f>VLOOKUP(Table110[[#This Row],[Date]],database!A:H,3,)</f>
        <v>110.346</v>
      </c>
      <c r="C396" s="67">
        <f t="shared" si="6"/>
        <v>-6.4191163427693709E-3</v>
      </c>
      <c r="D396" s="67">
        <f>(Table110[[#This Row],[Index]]-B384)/B384</f>
        <v>1.8024343057578791E-2</v>
      </c>
    </row>
    <row r="397" spans="1:4" x14ac:dyDescent="0.2">
      <c r="A397" s="17">
        <v>38169</v>
      </c>
      <c r="B397" s="59">
        <f>VLOOKUP(Table110[[#This Row],[Date]],database!A:H,3,)</f>
        <v>111.58540000000001</v>
      </c>
      <c r="C397" s="67">
        <f t="shared" si="6"/>
        <v>1.1231943160604052E-2</v>
      </c>
      <c r="D397" s="67">
        <f>(Table110[[#This Row],[Index]]-B385)/B385</f>
        <v>3.4216084905791644E-2</v>
      </c>
    </row>
    <row r="398" spans="1:4" x14ac:dyDescent="0.2">
      <c r="A398" s="17">
        <v>38200</v>
      </c>
      <c r="B398" s="59">
        <f>VLOOKUP(Table110[[#This Row],[Date]],database!A:H,3,)</f>
        <v>111.8463</v>
      </c>
      <c r="C398" s="67">
        <f t="shared" si="6"/>
        <v>2.3381195030891533E-3</v>
      </c>
      <c r="D398" s="67">
        <f>(Table110[[#This Row],[Index]]-B386)/B386</f>
        <v>3.0271739130434756E-2</v>
      </c>
    </row>
    <row r="399" spans="1:4" x14ac:dyDescent="0.2">
      <c r="A399" s="17">
        <v>38231</v>
      </c>
      <c r="B399" s="59">
        <f>VLOOKUP(Table110[[#This Row],[Date]],database!A:H,3,)</f>
        <v>110.923</v>
      </c>
      <c r="C399" s="67">
        <f t="shared" si="6"/>
        <v>-8.2550786212864935E-3</v>
      </c>
      <c r="D399" s="67">
        <f>(Table110[[#This Row],[Index]]-B387)/B387</f>
        <v>2.423016300257896E-2</v>
      </c>
    </row>
    <row r="400" spans="1:4" x14ac:dyDescent="0.2">
      <c r="A400" s="17">
        <v>38261</v>
      </c>
      <c r="B400" s="59">
        <f>VLOOKUP(Table110[[#This Row],[Date]],database!A:H,3,)</f>
        <v>112.6966</v>
      </c>
      <c r="C400" s="67">
        <f t="shared" si="6"/>
        <v>1.5989470173003006E-2</v>
      </c>
      <c r="D400" s="67">
        <f>(Table110[[#This Row],[Index]]-B388)/B388</f>
        <v>3.5182572400667286E-2</v>
      </c>
    </row>
    <row r="401" spans="1:4" x14ac:dyDescent="0.2">
      <c r="A401" s="17">
        <v>38292</v>
      </c>
      <c r="B401" s="59">
        <f>VLOOKUP(Table110[[#This Row],[Date]],database!A:H,3,)</f>
        <v>112.3314</v>
      </c>
      <c r="C401" s="67">
        <f t="shared" si="6"/>
        <v>-3.240559165050283E-3</v>
      </c>
      <c r="D401" s="67">
        <f>(Table110[[#This Row],[Index]]-B389)/B389</f>
        <v>2.0070613106286533E-2</v>
      </c>
    </row>
    <row r="402" spans="1:4" x14ac:dyDescent="0.2">
      <c r="A402" s="17">
        <v>38322</v>
      </c>
      <c r="B402" s="59">
        <f>VLOOKUP(Table110[[#This Row],[Date]],database!A:H,3,)</f>
        <v>112.3801</v>
      </c>
      <c r="C402" s="67">
        <f t="shared" si="6"/>
        <v>4.3353861876549438E-4</v>
      </c>
      <c r="D402" s="67">
        <f>(Table110[[#This Row],[Index]]-B390)/B390</f>
        <v>1.9908064962586194E-2</v>
      </c>
    </row>
    <row r="403" spans="1:4" x14ac:dyDescent="0.2">
      <c r="A403" s="17">
        <v>38353</v>
      </c>
      <c r="B403" s="59">
        <f>VLOOKUP(Table110[[#This Row],[Date]],database!A:H,3,)</f>
        <v>113.5749</v>
      </c>
      <c r="C403" s="67">
        <f t="shared" si="6"/>
        <v>1.0631775554568845E-2</v>
      </c>
      <c r="D403" s="67">
        <f>(Table110[[#This Row],[Index]]-B391)/B391</f>
        <v>3.2871863754464069E-2</v>
      </c>
    </row>
    <row r="404" spans="1:4" x14ac:dyDescent="0.2">
      <c r="A404" s="17">
        <v>38384</v>
      </c>
      <c r="B404" s="59">
        <f>VLOOKUP(Table110[[#This Row],[Date]],database!A:H,3,)</f>
        <v>114.5326</v>
      </c>
      <c r="C404" s="67">
        <f t="shared" si="6"/>
        <v>8.4323208737142608E-3</v>
      </c>
      <c r="D404" s="67">
        <f>(Table110[[#This Row],[Index]]-B392)/B392</f>
        <v>4.158042349791375E-2</v>
      </c>
    </row>
    <row r="405" spans="1:4" x14ac:dyDescent="0.2">
      <c r="A405" s="17">
        <v>38412</v>
      </c>
      <c r="B405" s="59">
        <f>VLOOKUP(Table110[[#This Row],[Date]],database!A:H,3,)</f>
        <v>113.3353</v>
      </c>
      <c r="C405" s="67">
        <f t="shared" si="6"/>
        <v>-1.0453792195409872E-2</v>
      </c>
      <c r="D405" s="67">
        <f>(Table110[[#This Row],[Index]]-B393)/B393</f>
        <v>2.9670344645882814E-2</v>
      </c>
    </row>
    <row r="406" spans="1:4" x14ac:dyDescent="0.2">
      <c r="A406" s="17">
        <v>38443</v>
      </c>
      <c r="B406" s="59">
        <f>VLOOKUP(Table110[[#This Row],[Date]],database!A:H,3,)</f>
        <v>115.4324</v>
      </c>
      <c r="C406" s="67">
        <f t="shared" si="6"/>
        <v>1.8503502439222386E-2</v>
      </c>
      <c r="D406" s="67">
        <f>(Table110[[#This Row],[Index]]-B394)/B394</f>
        <v>5.092649494212876E-2</v>
      </c>
    </row>
    <row r="407" spans="1:4" x14ac:dyDescent="0.2">
      <c r="A407" s="17">
        <v>38473</v>
      </c>
      <c r="B407" s="59">
        <f>VLOOKUP(Table110[[#This Row],[Date]],database!A:H,3,)</f>
        <v>115.5461</v>
      </c>
      <c r="C407" s="67">
        <f t="shared" si="6"/>
        <v>9.8499208194580135E-4</v>
      </c>
      <c r="D407" s="67">
        <f>(Table110[[#This Row],[Index]]-B395)/B395</f>
        <v>4.0403785738918729E-2</v>
      </c>
    </row>
    <row r="408" spans="1:4" x14ac:dyDescent="0.2">
      <c r="A408" s="17">
        <v>38504</v>
      </c>
      <c r="B408" s="59">
        <f>VLOOKUP(Table110[[#This Row],[Date]],database!A:H,3,)</f>
        <v>114.5201</v>
      </c>
      <c r="C408" s="67">
        <f t="shared" si="6"/>
        <v>-8.8795727419618276E-3</v>
      </c>
      <c r="D408" s="67">
        <f>(Table110[[#This Row],[Index]]-B396)/B396</f>
        <v>3.7827379334094538E-2</v>
      </c>
    </row>
    <row r="409" spans="1:4" x14ac:dyDescent="0.2">
      <c r="A409" s="17">
        <v>38534</v>
      </c>
      <c r="B409" s="59">
        <f>VLOOKUP(Table110[[#This Row],[Date]],database!A:H,3,)</f>
        <v>115.41630000000001</v>
      </c>
      <c r="C409" s="67">
        <f t="shared" si="6"/>
        <v>7.8257004665556185E-3</v>
      </c>
      <c r="D409" s="67">
        <f>(Table110[[#This Row],[Index]]-B397)/B397</f>
        <v>3.433155233569983E-2</v>
      </c>
    </row>
    <row r="410" spans="1:4" x14ac:dyDescent="0.2">
      <c r="A410" s="17">
        <v>38565</v>
      </c>
      <c r="B410" s="59">
        <f>VLOOKUP(Table110[[#This Row],[Date]],database!A:H,3,)</f>
        <v>115.85899999999999</v>
      </c>
      <c r="C410" s="67">
        <f t="shared" si="6"/>
        <v>3.835680055589874E-3</v>
      </c>
      <c r="D410" s="67">
        <f>(Table110[[#This Row],[Index]]-B398)/B398</f>
        <v>3.5876913228242643E-2</v>
      </c>
    </row>
    <row r="411" spans="1:4" x14ac:dyDescent="0.2">
      <c r="A411" s="17">
        <v>38596</v>
      </c>
      <c r="B411" s="59">
        <f>VLOOKUP(Table110[[#This Row],[Date]],database!A:H,3,)</f>
        <v>117.5813</v>
      </c>
      <c r="C411" s="67">
        <f t="shared" si="6"/>
        <v>1.4865483044044892E-2</v>
      </c>
      <c r="D411" s="67">
        <f>(Table110[[#This Row],[Index]]-B399)/B399</f>
        <v>6.0026324567492739E-2</v>
      </c>
    </row>
    <row r="412" spans="1:4" x14ac:dyDescent="0.2">
      <c r="A412" s="17">
        <v>38626</v>
      </c>
      <c r="B412" s="59">
        <f>VLOOKUP(Table110[[#This Row],[Date]],database!A:H,3,)</f>
        <v>120.03789999999999</v>
      </c>
      <c r="C412" s="67">
        <f t="shared" si="6"/>
        <v>2.0892778018273273E-2</v>
      </c>
      <c r="D412" s="67">
        <f>(Table110[[#This Row],[Index]]-B400)/B400</f>
        <v>6.5142160455594844E-2</v>
      </c>
    </row>
    <row r="413" spans="1:4" x14ac:dyDescent="0.2">
      <c r="A413" s="17">
        <v>38657</v>
      </c>
      <c r="B413" s="59">
        <f>VLOOKUP(Table110[[#This Row],[Date]],database!A:H,3,)</f>
        <v>120.8832</v>
      </c>
      <c r="C413" s="67">
        <f t="shared" si="6"/>
        <v>7.0419425864665097E-3</v>
      </c>
      <c r="D413" s="67">
        <f>(Table110[[#This Row],[Index]]-B401)/B401</f>
        <v>7.6130093633658982E-2</v>
      </c>
    </row>
    <row r="414" spans="1:4" x14ac:dyDescent="0.2">
      <c r="A414" s="17">
        <v>38687</v>
      </c>
      <c r="B414" s="59">
        <f>VLOOKUP(Table110[[#This Row],[Date]],database!A:H,3,)</f>
        <v>120.76479999999999</v>
      </c>
      <c r="C414" s="67">
        <f t="shared" si="6"/>
        <v>-9.7945785684039333E-4</v>
      </c>
      <c r="D414" s="67">
        <f>(Table110[[#This Row],[Index]]-B402)/B402</f>
        <v>7.461018454334882E-2</v>
      </c>
    </row>
    <row r="415" spans="1:4" x14ac:dyDescent="0.2">
      <c r="A415" s="17">
        <v>38718</v>
      </c>
      <c r="B415" s="59">
        <f>VLOOKUP(Table110[[#This Row],[Date]],database!A:H,3,)</f>
        <v>122.3293</v>
      </c>
      <c r="C415" s="67">
        <f t="shared" si="6"/>
        <v>1.2954933888020381E-2</v>
      </c>
      <c r="D415" s="67">
        <f>(Table110[[#This Row],[Index]]-B403)/B403</f>
        <v>7.7080411252838474E-2</v>
      </c>
    </row>
    <row r="416" spans="1:4" x14ac:dyDescent="0.2">
      <c r="A416" s="17">
        <v>38749</v>
      </c>
      <c r="B416" s="59">
        <f>VLOOKUP(Table110[[#This Row],[Date]],database!A:H,3,)</f>
        <v>121.1469</v>
      </c>
      <c r="C416" s="67">
        <f t="shared" si="6"/>
        <v>-9.665713774214324E-3</v>
      </c>
      <c r="D416" s="67">
        <f>(Table110[[#This Row],[Index]]-B404)/B404</f>
        <v>5.7750369763717925E-2</v>
      </c>
    </row>
    <row r="417" spans="1:4" x14ac:dyDescent="0.2">
      <c r="A417" s="17">
        <v>38777</v>
      </c>
      <c r="B417" s="59">
        <f>VLOOKUP(Table110[[#This Row],[Date]],database!A:H,3,)</f>
        <v>120.9145</v>
      </c>
      <c r="C417" s="67">
        <f t="shared" si="6"/>
        <v>-1.9183322066020914E-3</v>
      </c>
      <c r="D417" s="67">
        <f>(Table110[[#This Row],[Index]]-B405)/B405</f>
        <v>6.6874133654739515E-2</v>
      </c>
    </row>
    <row r="418" spans="1:4" x14ac:dyDescent="0.2">
      <c r="A418" s="17">
        <v>38808</v>
      </c>
      <c r="B418" s="59">
        <f>VLOOKUP(Table110[[#This Row],[Date]],database!A:H,3,)</f>
        <v>120.2957</v>
      </c>
      <c r="C418" s="67">
        <f t="shared" si="6"/>
        <v>-5.1176657886358168E-3</v>
      </c>
      <c r="D418" s="67">
        <f>(Table110[[#This Row],[Index]]-B406)/B406</f>
        <v>4.2131152085549593E-2</v>
      </c>
    </row>
    <row r="419" spans="1:4" x14ac:dyDescent="0.2">
      <c r="A419" s="17">
        <v>38838</v>
      </c>
      <c r="B419" s="59">
        <f>VLOOKUP(Table110[[#This Row],[Date]],database!A:H,3,)</f>
        <v>119.4182</v>
      </c>
      <c r="C419" s="67">
        <f t="shared" si="6"/>
        <v>-7.2945250744623769E-3</v>
      </c>
      <c r="D419" s="67">
        <f>(Table110[[#This Row],[Index]]-B407)/B407</f>
        <v>3.351129981886021E-2</v>
      </c>
    </row>
    <row r="420" spans="1:4" x14ac:dyDescent="0.2">
      <c r="A420" s="17">
        <v>38869</v>
      </c>
      <c r="B420" s="59">
        <f>VLOOKUP(Table110[[#This Row],[Date]],database!A:H,3,)</f>
        <v>118.9088</v>
      </c>
      <c r="C420" s="67">
        <f t="shared" si="6"/>
        <v>-4.2656814455418468E-3</v>
      </c>
      <c r="D420" s="67">
        <f>(Table110[[#This Row],[Index]]-B408)/B408</f>
        <v>3.8322530280710546E-2</v>
      </c>
    </row>
    <row r="421" spans="1:4" x14ac:dyDescent="0.2">
      <c r="A421" s="17">
        <v>38899</v>
      </c>
      <c r="B421" s="59">
        <f>VLOOKUP(Table110[[#This Row],[Date]],database!A:H,3,)</f>
        <v>119.2728</v>
      </c>
      <c r="C421" s="67">
        <f t="shared" si="6"/>
        <v>3.0611695686106888E-3</v>
      </c>
      <c r="D421" s="67">
        <f>(Table110[[#This Row],[Index]]-B409)/B409</f>
        <v>3.3413824563774758E-2</v>
      </c>
    </row>
    <row r="422" spans="1:4" x14ac:dyDescent="0.2">
      <c r="A422" s="17">
        <v>38930</v>
      </c>
      <c r="B422" s="59">
        <f>VLOOKUP(Table110[[#This Row],[Date]],database!A:H,3,)</f>
        <v>118.3672</v>
      </c>
      <c r="C422" s="67">
        <f t="shared" si="6"/>
        <v>-7.5926782971473816E-3</v>
      </c>
      <c r="D422" s="67">
        <f>(Table110[[#This Row],[Index]]-B410)/B410</f>
        <v>2.1648728195479007E-2</v>
      </c>
    </row>
    <row r="423" spans="1:4" x14ac:dyDescent="0.2">
      <c r="A423" s="17">
        <v>38961</v>
      </c>
      <c r="B423" s="59">
        <f>VLOOKUP(Table110[[#This Row],[Date]],database!A:H,3,)</f>
        <v>118.2364</v>
      </c>
      <c r="C423" s="67">
        <f t="shared" si="6"/>
        <v>-1.1050358545272587E-3</v>
      </c>
      <c r="D423" s="67">
        <f>(Table110[[#This Row],[Index]]-B411)/B411</f>
        <v>5.5714641698978024E-3</v>
      </c>
    </row>
    <row r="424" spans="1:4" x14ac:dyDescent="0.2">
      <c r="A424" s="17">
        <v>38991</v>
      </c>
      <c r="B424" s="59">
        <f>VLOOKUP(Table110[[#This Row],[Date]],database!A:H,3,)</f>
        <v>116.9911</v>
      </c>
      <c r="C424" s="67">
        <f t="shared" si="6"/>
        <v>-1.053228954873453E-2</v>
      </c>
      <c r="D424" s="67">
        <f>(Table110[[#This Row],[Index]]-B412)/B412</f>
        <v>-2.5381983523537072E-2</v>
      </c>
    </row>
    <row r="425" spans="1:4" x14ac:dyDescent="0.2">
      <c r="A425" s="17">
        <v>39022</v>
      </c>
      <c r="B425" s="59">
        <f>VLOOKUP(Table110[[#This Row],[Date]],database!A:H,3,)</f>
        <v>116.72110000000001</v>
      </c>
      <c r="C425" s="67">
        <f t="shared" si="6"/>
        <v>-2.3078678634528282E-3</v>
      </c>
      <c r="D425" s="67">
        <f>(Table110[[#This Row],[Index]]-B413)/B413</f>
        <v>-3.4430756300296447E-2</v>
      </c>
    </row>
    <row r="426" spans="1:4" x14ac:dyDescent="0.2">
      <c r="A426" s="17">
        <v>39052</v>
      </c>
      <c r="B426" s="59">
        <f>VLOOKUP(Table110[[#This Row],[Date]],database!A:H,3,)</f>
        <v>119.8078</v>
      </c>
      <c r="C426" s="67">
        <f t="shared" si="6"/>
        <v>2.6445090047986231E-2</v>
      </c>
      <c r="D426" s="67">
        <f>(Table110[[#This Row],[Index]]-B414)/B414</f>
        <v>-7.9244945547046301E-3</v>
      </c>
    </row>
    <row r="427" spans="1:4" x14ac:dyDescent="0.2">
      <c r="A427" s="17">
        <v>39083</v>
      </c>
      <c r="B427" s="59">
        <f>VLOOKUP(Table110[[#This Row],[Date]],database!A:H,3,)</f>
        <v>117.91119999999999</v>
      </c>
      <c r="C427" s="67">
        <f t="shared" si="6"/>
        <v>-1.5830354951847925E-2</v>
      </c>
      <c r="D427" s="67">
        <f>(Table110[[#This Row],[Index]]-B415)/B415</f>
        <v>-3.6116449615913843E-2</v>
      </c>
    </row>
    <row r="428" spans="1:4" x14ac:dyDescent="0.2">
      <c r="A428" s="17">
        <v>39114</v>
      </c>
      <c r="B428" s="59">
        <f>VLOOKUP(Table110[[#This Row],[Date]],database!A:H,3,)</f>
        <v>118.083</v>
      </c>
      <c r="C428" s="67">
        <f t="shared" si="6"/>
        <v>1.4570286792094933E-3</v>
      </c>
      <c r="D428" s="67">
        <f>(Table110[[#This Row],[Index]]-B416)/B416</f>
        <v>-2.5290783338244756E-2</v>
      </c>
    </row>
    <row r="429" spans="1:4" x14ac:dyDescent="0.2">
      <c r="A429" s="17">
        <v>39142</v>
      </c>
      <c r="B429" s="59">
        <f>VLOOKUP(Table110[[#This Row],[Date]],database!A:H,3,)</f>
        <v>119.4777</v>
      </c>
      <c r="C429" s="67">
        <f t="shared" si="6"/>
        <v>1.181118365895184E-2</v>
      </c>
      <c r="D429" s="67">
        <f>(Table110[[#This Row],[Index]]-B417)/B417</f>
        <v>-1.1882776672772953E-2</v>
      </c>
    </row>
    <row r="430" spans="1:4" x14ac:dyDescent="0.2">
      <c r="A430" s="17">
        <v>39173</v>
      </c>
      <c r="B430" s="59">
        <f>VLOOKUP(Table110[[#This Row],[Date]],database!A:H,3,)</f>
        <v>118.9952</v>
      </c>
      <c r="C430" s="67">
        <f t="shared" si="6"/>
        <v>-4.0384105151003435E-3</v>
      </c>
      <c r="D430" s="67">
        <f>(Table110[[#This Row],[Index]]-B418)/B418</f>
        <v>-1.0810860238562139E-2</v>
      </c>
    </row>
    <row r="431" spans="1:4" x14ac:dyDescent="0.2">
      <c r="A431" s="17">
        <v>39203</v>
      </c>
      <c r="B431" s="59">
        <f>VLOOKUP(Table110[[#This Row],[Date]],database!A:H,3,)</f>
        <v>118.6664</v>
      </c>
      <c r="C431" s="67">
        <f t="shared" si="6"/>
        <v>-2.76313666433603E-3</v>
      </c>
      <c r="D431" s="67">
        <f>(Table110[[#This Row],[Index]]-B419)/B419</f>
        <v>-6.2955227930081258E-3</v>
      </c>
    </row>
    <row r="432" spans="1:4" x14ac:dyDescent="0.2">
      <c r="A432" s="17">
        <v>39234</v>
      </c>
      <c r="B432" s="59">
        <f>VLOOKUP(Table110[[#This Row],[Date]],database!A:H,3,)</f>
        <v>119.29649999999999</v>
      </c>
      <c r="C432" s="67">
        <f t="shared" si="6"/>
        <v>5.3098433929064104E-3</v>
      </c>
      <c r="D432" s="67">
        <f>(Table110[[#This Row],[Index]]-B420)/B420</f>
        <v>3.2604819828304992E-3</v>
      </c>
    </row>
    <row r="433" spans="1:4" x14ac:dyDescent="0.2">
      <c r="A433" s="17">
        <v>39264</v>
      </c>
      <c r="B433" s="59">
        <f>VLOOKUP(Table110[[#This Row],[Date]],database!A:H,3,)</f>
        <v>118.8425</v>
      </c>
      <c r="C433" s="67">
        <f t="shared" si="6"/>
        <v>-3.8056439208190573E-3</v>
      </c>
      <c r="D433" s="67">
        <f>(Table110[[#This Row],[Index]]-B421)/B421</f>
        <v>-3.6076959709171125E-3</v>
      </c>
    </row>
    <row r="434" spans="1:4" x14ac:dyDescent="0.2">
      <c r="A434" s="17">
        <v>39295</v>
      </c>
      <c r="B434" s="59">
        <f>VLOOKUP(Table110[[#This Row],[Date]],database!A:H,3,)</f>
        <v>118.2568</v>
      </c>
      <c r="C434" s="67">
        <f t="shared" si="6"/>
        <v>-4.9283715842396436E-3</v>
      </c>
      <c r="D434" s="67">
        <f>(Table110[[#This Row],[Index]]-B422)/B422</f>
        <v>-9.3269081299547933E-4</v>
      </c>
    </row>
    <row r="435" spans="1:4" x14ac:dyDescent="0.2">
      <c r="A435" s="17">
        <v>39326</v>
      </c>
      <c r="B435" s="59">
        <f>VLOOKUP(Table110[[#This Row],[Date]],database!A:H,3,)</f>
        <v>118.41889999999999</v>
      </c>
      <c r="C435" s="67">
        <f t="shared" si="6"/>
        <v>1.3707456991902678E-3</v>
      </c>
      <c r="D435" s="67">
        <f>(Table110[[#This Row],[Index]]-B423)/B423</f>
        <v>1.5435179014245217E-3</v>
      </c>
    </row>
    <row r="436" spans="1:4" x14ac:dyDescent="0.2">
      <c r="A436" s="17">
        <v>39356</v>
      </c>
      <c r="B436" s="59">
        <f>VLOOKUP(Table110[[#This Row],[Date]],database!A:H,3,)</f>
        <v>117.6798</v>
      </c>
      <c r="C436" s="67">
        <f t="shared" si="6"/>
        <v>-6.2414023437136201E-3</v>
      </c>
      <c r="D436" s="67">
        <f>(Table110[[#This Row],[Index]]-B424)/B424</f>
        <v>5.8867725835554776E-3</v>
      </c>
    </row>
    <row r="437" spans="1:4" x14ac:dyDescent="0.2">
      <c r="A437" s="17">
        <v>39387</v>
      </c>
      <c r="B437" s="59">
        <f>VLOOKUP(Table110[[#This Row],[Date]],database!A:H,3,)</f>
        <v>117.65300000000001</v>
      </c>
      <c r="C437" s="67">
        <f t="shared" si="6"/>
        <v>-2.2773662089836666E-4</v>
      </c>
      <c r="D437" s="67">
        <f>(Table110[[#This Row],[Index]]-B425)/B425</f>
        <v>7.9839891844747761E-3</v>
      </c>
    </row>
    <row r="438" spans="1:4" x14ac:dyDescent="0.2">
      <c r="A438" s="17">
        <v>39417</v>
      </c>
      <c r="B438" s="59">
        <f>VLOOKUP(Table110[[#This Row],[Date]],database!A:H,3,)</f>
        <v>117.75449999999999</v>
      </c>
      <c r="C438" s="67">
        <f t="shared" si="6"/>
        <v>8.627064333250889E-4</v>
      </c>
      <c r="D438" s="67">
        <f>(Table110[[#This Row],[Index]]-B426)/B426</f>
        <v>-1.7138283150178929E-2</v>
      </c>
    </row>
    <row r="439" spans="1:4" x14ac:dyDescent="0.2">
      <c r="A439" s="17">
        <v>39448</v>
      </c>
      <c r="B439" s="59">
        <f>VLOOKUP(Table110[[#This Row],[Date]],database!A:H,3,)</f>
        <v>117.79179999999999</v>
      </c>
      <c r="C439" s="67">
        <f t="shared" si="6"/>
        <v>3.1676071827413388E-4</v>
      </c>
      <c r="D439" s="67">
        <f>(Table110[[#This Row],[Index]]-B427)/B427</f>
        <v>-1.0126264510919984E-3</v>
      </c>
    </row>
    <row r="440" spans="1:4" x14ac:dyDescent="0.2">
      <c r="A440" s="17">
        <v>39479</v>
      </c>
      <c r="B440" s="59">
        <f>VLOOKUP(Table110[[#This Row],[Date]],database!A:H,3,)</f>
        <v>115.3884</v>
      </c>
      <c r="C440" s="67">
        <f t="shared" si="6"/>
        <v>-2.040379720829455E-2</v>
      </c>
      <c r="D440" s="67">
        <f>(Table110[[#This Row],[Index]]-B428)/B428</f>
        <v>-2.2819542186428142E-2</v>
      </c>
    </row>
    <row r="441" spans="1:4" x14ac:dyDescent="0.2">
      <c r="A441" s="17">
        <v>39508</v>
      </c>
      <c r="B441" s="59">
        <f>VLOOKUP(Table110[[#This Row],[Date]],database!A:H,3,)</f>
        <v>113.8871</v>
      </c>
      <c r="C441" s="67">
        <f t="shared" si="6"/>
        <v>-1.3010839911117622E-2</v>
      </c>
      <c r="D441" s="67">
        <f>(Table110[[#This Row],[Index]]-B429)/B429</f>
        <v>-4.6791995493719707E-2</v>
      </c>
    </row>
    <row r="442" spans="1:4" x14ac:dyDescent="0.2">
      <c r="A442" s="17">
        <v>39539</v>
      </c>
      <c r="B442" s="59">
        <f>VLOOKUP(Table110[[#This Row],[Date]],database!A:H,3,)</f>
        <v>111.764</v>
      </c>
      <c r="C442" s="67">
        <f t="shared" si="6"/>
        <v>-1.8642146476642307E-2</v>
      </c>
      <c r="D442" s="67">
        <f>(Table110[[#This Row],[Index]]-B430)/B430</f>
        <v>-6.0768837734631327E-2</v>
      </c>
    </row>
    <row r="443" spans="1:4" x14ac:dyDescent="0.2">
      <c r="A443" s="17">
        <v>39569</v>
      </c>
      <c r="B443" s="59">
        <f>VLOOKUP(Table110[[#This Row],[Date]],database!A:H,3,)</f>
        <v>110.6193</v>
      </c>
      <c r="C443" s="67">
        <f t="shared" si="6"/>
        <v>-1.0242117318635668E-2</v>
      </c>
      <c r="D443" s="67">
        <f>(Table110[[#This Row],[Index]]-B431)/B431</f>
        <v>-6.7812792837736724E-2</v>
      </c>
    </row>
    <row r="444" spans="1:4" x14ac:dyDescent="0.2">
      <c r="A444" s="17">
        <v>39600</v>
      </c>
      <c r="B444" s="59">
        <f>VLOOKUP(Table110[[#This Row],[Date]],database!A:H,3,)</f>
        <v>109.43340000000001</v>
      </c>
      <c r="C444" s="67">
        <f t="shared" si="6"/>
        <v>-1.0720552381003889E-2</v>
      </c>
      <c r="D444" s="67">
        <f>(Table110[[#This Row],[Index]]-B432)/B432</f>
        <v>-8.2677195056015798E-2</v>
      </c>
    </row>
    <row r="445" spans="1:4" x14ac:dyDescent="0.2">
      <c r="A445" s="17">
        <v>39630</v>
      </c>
      <c r="B445" s="59">
        <f>VLOOKUP(Table110[[#This Row],[Date]],database!A:H,3,)</f>
        <v>109.16840000000001</v>
      </c>
      <c r="C445" s="67">
        <f t="shared" si="6"/>
        <v>-2.4215641659676157E-3</v>
      </c>
      <c r="D445" s="67">
        <f>(Table110[[#This Row],[Index]]-B433)/B433</f>
        <v>-8.1402696846666775E-2</v>
      </c>
    </row>
    <row r="446" spans="1:4" x14ac:dyDescent="0.2">
      <c r="A446" s="17">
        <v>39661</v>
      </c>
      <c r="B446" s="59">
        <f>VLOOKUP(Table110[[#This Row],[Date]],database!A:H,3,)</f>
        <v>106.91630000000001</v>
      </c>
      <c r="C446" s="67">
        <f t="shared" si="6"/>
        <v>-2.0629596110229742E-2</v>
      </c>
      <c r="D446" s="67">
        <f>(Table110[[#This Row],[Index]]-B434)/B434</f>
        <v>-9.5897233816575389E-2</v>
      </c>
    </row>
    <row r="447" spans="1:4" x14ac:dyDescent="0.2">
      <c r="A447" s="17">
        <v>39692</v>
      </c>
      <c r="B447" s="59">
        <f>VLOOKUP(Table110[[#This Row],[Date]],database!A:H,3,)</f>
        <v>104.12909999999999</v>
      </c>
      <c r="C447" s="67">
        <f t="shared" si="6"/>
        <v>-2.6068990415867521E-2</v>
      </c>
      <c r="D447" s="67">
        <f>(Table110[[#This Row],[Index]]-B435)/B435</f>
        <v>-0.12067161576403768</v>
      </c>
    </row>
    <row r="448" spans="1:4" x14ac:dyDescent="0.2">
      <c r="A448" s="17">
        <v>39722</v>
      </c>
      <c r="B448" s="59">
        <f>VLOOKUP(Table110[[#This Row],[Date]],database!A:H,3,)</f>
        <v>102.4148</v>
      </c>
      <c r="C448" s="67">
        <f t="shared" si="6"/>
        <v>-1.646321729468514E-2</v>
      </c>
      <c r="D448" s="67">
        <f>(Table110[[#This Row],[Index]]-B436)/B436</f>
        <v>-0.12971639992590062</v>
      </c>
    </row>
    <row r="449" spans="1:4" x14ac:dyDescent="0.2">
      <c r="A449" s="17">
        <v>39753</v>
      </c>
      <c r="B449" s="59">
        <f>VLOOKUP(Table110[[#This Row],[Date]],database!A:H,3,)</f>
        <v>97.335999999999999</v>
      </c>
      <c r="C449" s="67">
        <f t="shared" si="6"/>
        <v>-4.9590488874654892E-2</v>
      </c>
      <c r="D449" s="67">
        <f>(Table110[[#This Row],[Index]]-B437)/B437</f>
        <v>-0.17268577936814197</v>
      </c>
    </row>
    <row r="450" spans="1:4" x14ac:dyDescent="0.2">
      <c r="A450" s="17">
        <v>39783</v>
      </c>
      <c r="B450" s="59">
        <f>VLOOKUP(Table110[[#This Row],[Date]],database!A:H,3,)</f>
        <v>91.8626</v>
      </c>
      <c r="C450" s="67">
        <f t="shared" si="6"/>
        <v>-5.6232021040519387E-2</v>
      </c>
      <c r="D450" s="67">
        <f>(Table110[[#This Row],[Index]]-B438)/B438</f>
        <v>-0.21988034427559028</v>
      </c>
    </row>
    <row r="451" spans="1:4" x14ac:dyDescent="0.2">
      <c r="A451" s="17">
        <v>39814</v>
      </c>
      <c r="B451" s="59">
        <f>VLOOKUP(Table110[[#This Row],[Date]],database!A:H,3,)</f>
        <v>87.807500000000005</v>
      </c>
      <c r="C451" s="67">
        <f t="shared" si="6"/>
        <v>-4.4143100674267854E-2</v>
      </c>
      <c r="D451" s="67">
        <f>(Table110[[#This Row],[Index]]-B439)/B439</f>
        <v>-0.25455337298521624</v>
      </c>
    </row>
    <row r="452" spans="1:4" x14ac:dyDescent="0.2">
      <c r="A452" s="17">
        <v>39845</v>
      </c>
      <c r="B452" s="59">
        <f>VLOOKUP(Table110[[#This Row],[Date]],database!A:H,3,)</f>
        <v>86.311000000000007</v>
      </c>
      <c r="C452" s="67">
        <f t="shared" si="6"/>
        <v>-1.7042963300401448E-2</v>
      </c>
      <c r="D452" s="67">
        <f>(Table110[[#This Row],[Index]]-B440)/B440</f>
        <v>-0.25199586786886718</v>
      </c>
    </row>
    <row r="453" spans="1:4" x14ac:dyDescent="0.2">
      <c r="A453" s="17">
        <v>39873</v>
      </c>
      <c r="B453" s="59">
        <f>VLOOKUP(Table110[[#This Row],[Date]],database!A:H,3,)</f>
        <v>83.435400000000001</v>
      </c>
      <c r="C453" s="67">
        <f t="shared" si="6"/>
        <v>-3.3316726720811984E-2</v>
      </c>
      <c r="D453" s="67">
        <f>(Table110[[#This Row],[Index]]-B441)/B441</f>
        <v>-0.26738498038847247</v>
      </c>
    </row>
    <row r="454" spans="1:4" x14ac:dyDescent="0.2">
      <c r="A454" s="17">
        <v>39904</v>
      </c>
      <c r="B454" s="59">
        <f>VLOOKUP(Table110[[#This Row],[Date]],database!A:H,3,)</f>
        <v>81.883899999999997</v>
      </c>
      <c r="C454" s="67">
        <f t="shared" si="6"/>
        <v>-1.8595224568948021E-2</v>
      </c>
      <c r="D454" s="67">
        <f>(Table110[[#This Row],[Index]]-B442)/B442</f>
        <v>-0.26734995168390535</v>
      </c>
    </row>
    <row r="455" spans="1:4" x14ac:dyDescent="0.2">
      <c r="A455" s="17">
        <v>39934</v>
      </c>
      <c r="B455" s="59">
        <f>VLOOKUP(Table110[[#This Row],[Date]],database!A:H,3,)</f>
        <v>81.555499999999995</v>
      </c>
      <c r="C455" s="67">
        <f t="shared" si="6"/>
        <v>-4.0105564097460134E-3</v>
      </c>
      <c r="D455" s="67">
        <f>(Table110[[#This Row],[Index]]-B443)/B443</f>
        <v>-0.26273715346237053</v>
      </c>
    </row>
    <row r="456" spans="1:4" x14ac:dyDescent="0.2">
      <c r="A456" s="17">
        <v>39965</v>
      </c>
      <c r="B456" s="59">
        <f>VLOOKUP(Table110[[#This Row],[Date]],database!A:H,3,)</f>
        <v>81.588300000000004</v>
      </c>
      <c r="C456" s="67">
        <f t="shared" ref="C456:C519" si="7">B456/B455-1</f>
        <v>4.0218011047699065E-4</v>
      </c>
      <c r="D456" s="67">
        <f>(Table110[[#This Row],[Index]]-B444)/B444</f>
        <v>-0.25444791078409335</v>
      </c>
    </row>
    <row r="457" spans="1:4" x14ac:dyDescent="0.2">
      <c r="A457" s="17">
        <v>39995</v>
      </c>
      <c r="B457" s="59">
        <f>VLOOKUP(Table110[[#This Row],[Date]],database!A:H,3,)</f>
        <v>81.906999999999996</v>
      </c>
      <c r="C457" s="67">
        <f t="shared" si="7"/>
        <v>3.9061973346667944E-3</v>
      </c>
      <c r="D457" s="67">
        <f>(Table110[[#This Row],[Index]]-B445)/B445</f>
        <v>-0.2497187830910777</v>
      </c>
    </row>
    <row r="458" spans="1:4" x14ac:dyDescent="0.2">
      <c r="A458" s="17">
        <v>40026</v>
      </c>
      <c r="B458" s="59">
        <f>VLOOKUP(Table110[[#This Row],[Date]],database!A:H,3,)</f>
        <v>82.510400000000004</v>
      </c>
      <c r="C458" s="67">
        <f t="shared" si="7"/>
        <v>7.3668917186566762E-3</v>
      </c>
      <c r="D458" s="67">
        <f>(Table110[[#This Row],[Index]]-B446)/B446</f>
        <v>-0.2282710868221216</v>
      </c>
    </row>
    <row r="459" spans="1:4" x14ac:dyDescent="0.2">
      <c r="A459" s="17">
        <v>40057</v>
      </c>
      <c r="B459" s="59">
        <f>VLOOKUP(Table110[[#This Row],[Date]],database!A:H,3,)</f>
        <v>82.250299999999996</v>
      </c>
      <c r="C459" s="67">
        <f t="shared" si="7"/>
        <v>-3.152329888111205E-3</v>
      </c>
      <c r="D459" s="67">
        <f>(Table110[[#This Row],[Index]]-B447)/B447</f>
        <v>-0.21011225488360122</v>
      </c>
    </row>
    <row r="460" spans="1:4" x14ac:dyDescent="0.2">
      <c r="A460" s="17">
        <v>40087</v>
      </c>
      <c r="B460" s="59">
        <f>VLOOKUP(Table110[[#This Row],[Date]],database!A:H,3,)</f>
        <v>80.840500000000006</v>
      </c>
      <c r="C460" s="67">
        <f t="shared" si="7"/>
        <v>-1.7140363013873339E-2</v>
      </c>
      <c r="D460" s="67">
        <f>(Table110[[#This Row],[Index]]-B448)/B448</f>
        <v>-0.2106560770513636</v>
      </c>
    </row>
    <row r="461" spans="1:4" x14ac:dyDescent="0.2">
      <c r="A461" s="17">
        <v>40118</v>
      </c>
      <c r="B461" s="59">
        <f>VLOOKUP(Table110[[#This Row],[Date]],database!A:H,3,)</f>
        <v>82.480999999999995</v>
      </c>
      <c r="C461" s="67">
        <f t="shared" si="7"/>
        <v>2.0293046183534003E-2</v>
      </c>
      <c r="D461" s="67">
        <f>(Table110[[#This Row],[Index]]-B449)/B449</f>
        <v>-0.15261568176214355</v>
      </c>
    </row>
    <row r="462" spans="1:4" x14ac:dyDescent="0.2">
      <c r="A462" s="17">
        <v>40148</v>
      </c>
      <c r="B462" s="59">
        <f>VLOOKUP(Table110[[#This Row],[Date]],database!A:H,3,)</f>
        <v>80.649199999999993</v>
      </c>
      <c r="C462" s="67">
        <f t="shared" si="7"/>
        <v>-2.2208751106315372E-2</v>
      </c>
      <c r="D462" s="67">
        <f>(Table110[[#This Row],[Index]]-B450)/B450</f>
        <v>-0.1220670871497215</v>
      </c>
    </row>
    <row r="463" spans="1:4" x14ac:dyDescent="0.2">
      <c r="A463" s="17">
        <v>40179</v>
      </c>
      <c r="B463" s="59">
        <f>VLOOKUP(Table110[[#This Row],[Date]],database!A:H,3,)</f>
        <v>82.170400000000001</v>
      </c>
      <c r="C463" s="67">
        <f t="shared" si="7"/>
        <v>1.8861935394275609E-2</v>
      </c>
      <c r="D463" s="67">
        <f>(Table110[[#This Row],[Index]]-B451)/B451</f>
        <v>-6.4198388520342833E-2</v>
      </c>
    </row>
    <row r="464" spans="1:4" x14ac:dyDescent="0.2">
      <c r="A464" s="17">
        <v>40210</v>
      </c>
      <c r="B464" s="59">
        <f>VLOOKUP(Table110[[#This Row],[Date]],database!A:H,3,)</f>
        <v>82.273899999999998</v>
      </c>
      <c r="C464" s="67">
        <f t="shared" si="7"/>
        <v>1.2595776581347806E-3</v>
      </c>
      <c r="D464" s="67">
        <f>(Table110[[#This Row],[Index]]-B452)/B452</f>
        <v>-4.6773875867502507E-2</v>
      </c>
    </row>
    <row r="465" spans="1:4" x14ac:dyDescent="0.2">
      <c r="A465" s="17">
        <v>40238</v>
      </c>
      <c r="B465" s="59">
        <f>VLOOKUP(Table110[[#This Row],[Date]],database!A:H,3,)</f>
        <v>83.715800000000002</v>
      </c>
      <c r="C465" s="67">
        <f t="shared" si="7"/>
        <v>1.7525606541078043E-2</v>
      </c>
      <c r="D465" s="67">
        <f>(Table110[[#This Row],[Index]]-B453)/B453</f>
        <v>3.360683834439581E-3</v>
      </c>
    </row>
    <row r="466" spans="1:4" x14ac:dyDescent="0.2">
      <c r="A466" s="17">
        <v>40269</v>
      </c>
      <c r="B466" s="59">
        <f>VLOOKUP(Table110[[#This Row],[Date]],database!A:H,3,)</f>
        <v>86.223500000000001</v>
      </c>
      <c r="C466" s="67">
        <f t="shared" si="7"/>
        <v>2.9954918904197214E-2</v>
      </c>
      <c r="D466" s="67">
        <f>(Table110[[#This Row],[Index]]-B454)/B454</f>
        <v>5.2996987197727566E-2</v>
      </c>
    </row>
    <row r="467" spans="1:4" x14ac:dyDescent="0.2">
      <c r="A467" s="17">
        <v>40299</v>
      </c>
      <c r="B467" s="59">
        <f>VLOOKUP(Table110[[#This Row],[Date]],database!A:H,3,)</f>
        <v>86.477400000000003</v>
      </c>
      <c r="C467" s="67">
        <f t="shared" si="7"/>
        <v>2.9446728560078572E-3</v>
      </c>
      <c r="D467" s="67">
        <f>(Table110[[#This Row],[Index]]-B455)/B455</f>
        <v>6.0350313590131974E-2</v>
      </c>
    </row>
    <row r="468" spans="1:4" x14ac:dyDescent="0.2">
      <c r="A468" s="17">
        <v>40330</v>
      </c>
      <c r="B468" s="59">
        <f>VLOOKUP(Table110[[#This Row],[Date]],database!A:H,3,)</f>
        <v>86.444500000000005</v>
      </c>
      <c r="C468" s="67">
        <f t="shared" si="7"/>
        <v>-3.8044622063104772E-4</v>
      </c>
      <c r="D468" s="67">
        <f>(Table110[[#This Row],[Index]]-B456)/B456</f>
        <v>5.9520789132755568E-2</v>
      </c>
    </row>
    <row r="469" spans="1:4" x14ac:dyDescent="0.2">
      <c r="A469" s="17">
        <v>40360</v>
      </c>
      <c r="B469" s="59">
        <f>VLOOKUP(Table110[[#This Row],[Date]],database!A:H,3,)</f>
        <v>85.976500000000001</v>
      </c>
      <c r="C469" s="67">
        <f t="shared" si="7"/>
        <v>-5.4138782687157549E-3</v>
      </c>
      <c r="D469" s="67">
        <f>(Table110[[#This Row],[Index]]-B457)/B457</f>
        <v>4.9684398158887581E-2</v>
      </c>
    </row>
    <row r="470" spans="1:4" x14ac:dyDescent="0.2">
      <c r="A470" s="17">
        <v>40391</v>
      </c>
      <c r="B470" s="59">
        <f>VLOOKUP(Table110[[#This Row],[Date]],database!A:H,3,)</f>
        <v>86.521500000000003</v>
      </c>
      <c r="C470" s="67">
        <f t="shared" si="7"/>
        <v>6.3389414549324119E-3</v>
      </c>
      <c r="D470" s="67">
        <f>(Table110[[#This Row],[Index]]-B458)/B458</f>
        <v>4.8613265721654468E-2</v>
      </c>
    </row>
    <row r="471" spans="1:4" x14ac:dyDescent="0.2">
      <c r="A471" s="17">
        <v>40422</v>
      </c>
      <c r="B471" s="59">
        <f>VLOOKUP(Table110[[#This Row],[Date]],database!A:H,3,)</f>
        <v>86.567300000000003</v>
      </c>
      <c r="C471" s="67">
        <f t="shared" si="7"/>
        <v>5.2934819669103739E-4</v>
      </c>
      <c r="D471" s="67">
        <f>(Table110[[#This Row],[Index]]-B459)/B459</f>
        <v>5.2486130749675168E-2</v>
      </c>
    </row>
    <row r="472" spans="1:4" x14ac:dyDescent="0.2">
      <c r="A472" s="17">
        <v>40452</v>
      </c>
      <c r="B472" s="59">
        <f>VLOOKUP(Table110[[#This Row],[Date]],database!A:H,3,)</f>
        <v>86.703000000000003</v>
      </c>
      <c r="C472" s="67">
        <f t="shared" si="7"/>
        <v>1.5675665060594923E-3</v>
      </c>
      <c r="D472" s="67">
        <f>(Table110[[#This Row],[Index]]-B460)/B460</f>
        <v>7.2519343645821049E-2</v>
      </c>
    </row>
    <row r="473" spans="1:4" x14ac:dyDescent="0.2">
      <c r="A473" s="17">
        <v>40483</v>
      </c>
      <c r="B473" s="59">
        <f>VLOOKUP(Table110[[#This Row],[Date]],database!A:H,3,)</f>
        <v>87.399100000000004</v>
      </c>
      <c r="C473" s="67">
        <f t="shared" si="7"/>
        <v>8.0285572586877851E-3</v>
      </c>
      <c r="D473" s="67">
        <f>(Table110[[#This Row],[Index]]-B461)/B461</f>
        <v>5.9627065627235486E-2</v>
      </c>
    </row>
    <row r="474" spans="1:4" x14ac:dyDescent="0.2">
      <c r="A474" s="17">
        <v>40513</v>
      </c>
      <c r="B474" s="59">
        <f>VLOOKUP(Table110[[#This Row],[Date]],database!A:H,3,)</f>
        <v>86.274799999999999</v>
      </c>
      <c r="C474" s="67">
        <f t="shared" si="7"/>
        <v>-1.2863976860173709E-2</v>
      </c>
      <c r="D474" s="67">
        <f>(Table110[[#This Row],[Index]]-B462)/B462</f>
        <v>6.975394672234822E-2</v>
      </c>
    </row>
    <row r="475" spans="1:4" x14ac:dyDescent="0.2">
      <c r="A475" s="17">
        <v>40544</v>
      </c>
      <c r="B475" s="59">
        <f>VLOOKUP(Table110[[#This Row],[Date]],database!A:H,3,)</f>
        <v>85.867999999999995</v>
      </c>
      <c r="C475" s="67">
        <f t="shared" si="7"/>
        <v>-4.7151659580781935E-3</v>
      </c>
      <c r="D475" s="67">
        <f>(Table110[[#This Row],[Index]]-B463)/B463</f>
        <v>4.4999172451393621E-2</v>
      </c>
    </row>
    <row r="476" spans="1:4" x14ac:dyDescent="0.2">
      <c r="A476" s="17">
        <v>40575</v>
      </c>
      <c r="B476" s="59">
        <f>VLOOKUP(Table110[[#This Row],[Date]],database!A:H,3,)</f>
        <v>85.498400000000004</v>
      </c>
      <c r="C476" s="67">
        <f t="shared" si="7"/>
        <v>-4.3042809894254797E-3</v>
      </c>
      <c r="D476" s="67">
        <f>(Table110[[#This Row],[Index]]-B464)/B464</f>
        <v>3.9192259027468083E-2</v>
      </c>
    </row>
    <row r="477" spans="1:4" x14ac:dyDescent="0.2">
      <c r="A477" s="17">
        <v>40603</v>
      </c>
      <c r="B477" s="59">
        <f>VLOOKUP(Table110[[#This Row],[Date]],database!A:H,3,)</f>
        <v>86.262100000000004</v>
      </c>
      <c r="C477" s="67">
        <f t="shared" si="7"/>
        <v>8.9323308974202931E-3</v>
      </c>
      <c r="D477" s="67">
        <f>(Table110[[#This Row],[Index]]-B465)/B465</f>
        <v>3.041600271394411E-2</v>
      </c>
    </row>
    <row r="478" spans="1:4" x14ac:dyDescent="0.2">
      <c r="A478" s="17">
        <v>40634</v>
      </c>
      <c r="B478" s="59">
        <f>VLOOKUP(Table110[[#This Row],[Date]],database!A:H,3,)</f>
        <v>86.292199999999994</v>
      </c>
      <c r="C478" s="68">
        <f t="shared" si="7"/>
        <v>3.4893655498757781E-4</v>
      </c>
      <c r="D478" s="67">
        <f>(Table110[[#This Row],[Index]]-B466)/B466</f>
        <v>7.9676654276377844E-4</v>
      </c>
    </row>
    <row r="479" spans="1:4" x14ac:dyDescent="0.2">
      <c r="A479" s="17">
        <v>40664</v>
      </c>
      <c r="B479" s="59">
        <f>VLOOKUP(Table110[[#This Row],[Date]],database!A:H,3,)</f>
        <v>87.358400000000003</v>
      </c>
      <c r="C479" s="67">
        <f t="shared" si="7"/>
        <v>1.2355693793877132E-2</v>
      </c>
      <c r="D479" s="67">
        <f>(Table110[[#This Row],[Index]]-B467)/B467</f>
        <v>1.0187632838175063E-2</v>
      </c>
    </row>
    <row r="480" spans="1:4" x14ac:dyDescent="0.2">
      <c r="A480" s="17">
        <v>40695</v>
      </c>
      <c r="B480" s="59">
        <f>VLOOKUP(Table110[[#This Row],[Date]],database!A:H,3,)</f>
        <v>87.635499999999993</v>
      </c>
      <c r="C480" s="67">
        <f t="shared" si="7"/>
        <v>3.1719903294931129E-3</v>
      </c>
      <c r="D480" s="67">
        <f>(Table110[[#This Row],[Index]]-B468)/B468</f>
        <v>1.3777626106923959E-2</v>
      </c>
    </row>
    <row r="481" spans="1:4" x14ac:dyDescent="0.2">
      <c r="A481" s="17">
        <v>40725</v>
      </c>
      <c r="B481" s="59">
        <f>VLOOKUP(Table110[[#This Row],[Date]],database!A:H,3,)</f>
        <v>88.484399999999994</v>
      </c>
      <c r="C481" s="67">
        <f t="shared" si="7"/>
        <v>9.6867137176144258E-3</v>
      </c>
      <c r="D481" s="67">
        <f>(Table110[[#This Row],[Index]]-B469)/B469</f>
        <v>2.916959866940376E-2</v>
      </c>
    </row>
    <row r="482" spans="1:4" x14ac:dyDescent="0.2">
      <c r="A482" s="17">
        <v>40756</v>
      </c>
      <c r="B482" s="59">
        <f>VLOOKUP(Table110[[#This Row],[Date]],database!A:H,3,)</f>
        <v>88.276899999999998</v>
      </c>
      <c r="C482" s="67">
        <f t="shared" si="7"/>
        <v>-2.3450461324255878E-3</v>
      </c>
      <c r="D482" s="67">
        <f>(Table110[[#This Row],[Index]]-B470)/B470</f>
        <v>2.0288598787584523E-2</v>
      </c>
    </row>
    <row r="483" spans="1:4" x14ac:dyDescent="0.2">
      <c r="A483" s="17">
        <v>40787</v>
      </c>
      <c r="B483" s="59">
        <f>VLOOKUP(Table110[[#This Row],[Date]],database!A:H,3,)</f>
        <v>88.514700000000005</v>
      </c>
      <c r="C483" s="67">
        <f t="shared" si="7"/>
        <v>2.6937964518465307E-3</v>
      </c>
      <c r="D483" s="67">
        <f>(Table110[[#This Row],[Index]]-B471)/B471</f>
        <v>2.2495792291084529E-2</v>
      </c>
    </row>
    <row r="484" spans="1:4" x14ac:dyDescent="0.2">
      <c r="A484" s="17">
        <v>40817</v>
      </c>
      <c r="B484" s="59">
        <f>VLOOKUP(Table110[[#This Row],[Date]],database!A:H,3,)</f>
        <v>88.716999999999999</v>
      </c>
      <c r="C484" s="67">
        <f t="shared" si="7"/>
        <v>2.2854960814417957E-3</v>
      </c>
      <c r="D484" s="67">
        <f>(Table110[[#This Row],[Index]]-B472)/B472</f>
        <v>2.3228723342906193E-2</v>
      </c>
    </row>
    <row r="485" spans="1:4" x14ac:dyDescent="0.2">
      <c r="A485" s="17">
        <v>40848</v>
      </c>
      <c r="B485" s="59">
        <f>VLOOKUP(Table110[[#This Row],[Date]],database!A:H,3,)</f>
        <v>88.842500000000001</v>
      </c>
      <c r="C485" s="67">
        <f t="shared" si="7"/>
        <v>1.414610503060354E-3</v>
      </c>
      <c r="D485" s="67">
        <f>(Table110[[#This Row],[Index]]-B473)/B473</f>
        <v>1.6515044205260659E-2</v>
      </c>
    </row>
    <row r="486" spans="1:4" x14ac:dyDescent="0.2">
      <c r="A486" s="17">
        <v>40878</v>
      </c>
      <c r="B486" s="59">
        <f>VLOOKUP(Table110[[#This Row],[Date]],database!A:H,3,)</f>
        <v>89.421199999999999</v>
      </c>
      <c r="C486" s="67">
        <f t="shared" si="7"/>
        <v>6.5137743760024236E-3</v>
      </c>
      <c r="D486" s="67">
        <f>(Table110[[#This Row],[Index]]-B474)/B474</f>
        <v>3.6469513693453942E-2</v>
      </c>
    </row>
    <row r="487" spans="1:4" x14ac:dyDescent="0.2">
      <c r="A487" s="17">
        <v>40909</v>
      </c>
      <c r="B487" s="59">
        <f>VLOOKUP(Table110[[#This Row],[Date]],database!A:H,3,)</f>
        <v>90.6922</v>
      </c>
      <c r="C487" s="67">
        <f t="shared" si="7"/>
        <v>1.4213631666763593E-2</v>
      </c>
      <c r="D487" s="67">
        <f>(Table110[[#This Row],[Index]]-B475)/B475</f>
        <v>5.61815810313505E-2</v>
      </c>
    </row>
    <row r="488" spans="1:4" x14ac:dyDescent="0.2">
      <c r="A488" s="17">
        <v>40940</v>
      </c>
      <c r="B488" s="59">
        <f>VLOOKUP(Table110[[#This Row],[Date]],database!A:H,3,)</f>
        <v>91.4876</v>
      </c>
      <c r="C488" s="67">
        <f t="shared" si="7"/>
        <v>8.7703242395706926E-3</v>
      </c>
      <c r="D488" s="67">
        <f>(Table110[[#This Row],[Index]]-B476)/B476</f>
        <v>7.0050433692326358E-2</v>
      </c>
    </row>
    <row r="489" spans="1:4" x14ac:dyDescent="0.2">
      <c r="A489" s="17">
        <v>40969</v>
      </c>
      <c r="B489" s="59">
        <f>VLOOKUP(Table110[[#This Row],[Date]],database!A:H,3,)</f>
        <v>91.222300000000004</v>
      </c>
      <c r="C489" s="67">
        <f t="shared" si="7"/>
        <v>-2.8998465365798198E-3</v>
      </c>
      <c r="D489" s="67">
        <f>(Table110[[#This Row],[Index]]-B477)/B477</f>
        <v>5.7501498340522664E-2</v>
      </c>
    </row>
    <row r="490" spans="1:4" x14ac:dyDescent="0.2">
      <c r="A490" s="17">
        <v>41000</v>
      </c>
      <c r="B490" s="59">
        <f>VLOOKUP(Table110[[#This Row],[Date]],database!A:H,3,)</f>
        <v>92.562899999999999</v>
      </c>
      <c r="C490" s="67">
        <f t="shared" si="7"/>
        <v>1.4695967981513292E-2</v>
      </c>
      <c r="D490" s="67">
        <f>(Table110[[#This Row],[Index]]-B478)/B478</f>
        <v>7.2668213349526445E-2</v>
      </c>
    </row>
    <row r="491" spans="1:4" x14ac:dyDescent="0.2">
      <c r="A491" s="17">
        <v>41030</v>
      </c>
      <c r="B491" s="59">
        <f>VLOOKUP(Table110[[#This Row],[Date]],database!A:H,3,)</f>
        <v>91.588499999999996</v>
      </c>
      <c r="C491" s="67">
        <f t="shared" si="7"/>
        <v>-1.052689576493393E-2</v>
      </c>
      <c r="D491" s="67">
        <f>(Table110[[#This Row],[Index]]-B479)/B479</f>
        <v>4.8422361215406794E-2</v>
      </c>
    </row>
    <row r="492" spans="1:4" x14ac:dyDescent="0.2">
      <c r="A492" s="17">
        <v>41061</v>
      </c>
      <c r="B492" s="59">
        <f>VLOOKUP(Table110[[#This Row],[Date]],database!A:H,3,)</f>
        <v>90.915199999999999</v>
      </c>
      <c r="C492" s="67">
        <f t="shared" si="7"/>
        <v>-7.3513596139253012E-3</v>
      </c>
      <c r="D492" s="67">
        <f>(Table110[[#This Row],[Index]]-B480)/B480</f>
        <v>3.7424331463847479E-2</v>
      </c>
    </row>
    <row r="493" spans="1:4" x14ac:dyDescent="0.2">
      <c r="A493" s="17">
        <v>41091</v>
      </c>
      <c r="B493" s="59">
        <f>VLOOKUP(Table110[[#This Row],[Date]],database!A:H,3,)</f>
        <v>90.505899999999997</v>
      </c>
      <c r="C493" s="67">
        <f t="shared" si="7"/>
        <v>-4.501997465770291E-3</v>
      </c>
      <c r="D493" s="67">
        <f>(Table110[[#This Row],[Index]]-B481)/B481</f>
        <v>2.2845834972040308E-2</v>
      </c>
    </row>
    <row r="494" spans="1:4" x14ac:dyDescent="0.2">
      <c r="A494" s="17">
        <v>41122</v>
      </c>
      <c r="B494" s="59">
        <f>VLOOKUP(Table110[[#This Row],[Date]],database!A:H,3,)</f>
        <v>90.999700000000004</v>
      </c>
      <c r="C494" s="67">
        <f t="shared" si="7"/>
        <v>5.4559978962698263E-3</v>
      </c>
      <c r="D494" s="67">
        <f>(Table110[[#This Row],[Index]]-B482)/B482</f>
        <v>3.0843856093723348E-2</v>
      </c>
    </row>
    <row r="495" spans="1:4" x14ac:dyDescent="0.2">
      <c r="A495" s="17">
        <v>41153</v>
      </c>
      <c r="B495" s="59">
        <f>VLOOKUP(Table110[[#This Row],[Date]],database!A:H,3,)</f>
        <v>90.795199999999994</v>
      </c>
      <c r="C495" s="67">
        <f t="shared" si="7"/>
        <v>-2.2472601558027883E-3</v>
      </c>
      <c r="D495" s="67">
        <f>(Table110[[#This Row],[Index]]-B483)/B483</f>
        <v>2.5764082124212013E-2</v>
      </c>
    </row>
    <row r="496" spans="1:4" x14ac:dyDescent="0.2">
      <c r="A496" s="17">
        <v>41183</v>
      </c>
      <c r="B496" s="59">
        <f>VLOOKUP(Table110[[#This Row],[Date]],database!A:H,3,)</f>
        <v>90.539000000000001</v>
      </c>
      <c r="C496" s="67">
        <f t="shared" si="7"/>
        <v>-2.8217350696951859E-3</v>
      </c>
      <c r="D496" s="67">
        <f>(Table110[[#This Row],[Index]]-B484)/B484</f>
        <v>2.0537213837257828E-2</v>
      </c>
    </row>
    <row r="497" spans="1:4" x14ac:dyDescent="0.2">
      <c r="A497" s="17">
        <v>41214</v>
      </c>
      <c r="B497" s="59">
        <f>VLOOKUP(Table110[[#This Row],[Date]],database!A:H,3,)</f>
        <v>91.832800000000006</v>
      </c>
      <c r="C497" s="67">
        <f t="shared" si="7"/>
        <v>1.4289974486133117E-2</v>
      </c>
      <c r="D497" s="67">
        <f>(Table110[[#This Row],[Index]]-B485)/B485</f>
        <v>3.3658440498635277E-2</v>
      </c>
    </row>
    <row r="498" spans="1:4" x14ac:dyDescent="0.2">
      <c r="A498" s="17">
        <v>41244</v>
      </c>
      <c r="B498" s="59">
        <f>VLOOKUP(Table110[[#This Row],[Date]],database!A:H,3,)</f>
        <v>92.2316</v>
      </c>
      <c r="C498" s="67">
        <f t="shared" si="7"/>
        <v>4.3426749483843619E-3</v>
      </c>
      <c r="D498" s="67">
        <f>(Table110[[#This Row],[Index]]-B486)/B486</f>
        <v>3.1428788698876789E-2</v>
      </c>
    </row>
    <row r="499" spans="1:4" x14ac:dyDescent="0.2">
      <c r="A499" s="17">
        <v>41275</v>
      </c>
      <c r="B499" s="59">
        <f>VLOOKUP(Table110[[#This Row],[Date]],database!A:H,3,)</f>
        <v>92.697500000000005</v>
      </c>
      <c r="C499" s="67">
        <f t="shared" si="7"/>
        <v>5.0514140489810178E-3</v>
      </c>
      <c r="D499" s="67">
        <f>(Table110[[#This Row],[Index]]-B487)/B487</f>
        <v>2.2111052549171874E-2</v>
      </c>
    </row>
    <row r="500" spans="1:4" x14ac:dyDescent="0.2">
      <c r="A500" s="17">
        <v>41306</v>
      </c>
      <c r="B500" s="59">
        <f>VLOOKUP(Table110[[#This Row],[Date]],database!A:H,3,)</f>
        <v>94.058999999999997</v>
      </c>
      <c r="C500" s="67">
        <f t="shared" si="7"/>
        <v>1.4687558995657879E-2</v>
      </c>
      <c r="D500" s="67">
        <f>(Table110[[#This Row],[Index]]-B488)/B488</f>
        <v>2.8106541214328467E-2</v>
      </c>
    </row>
    <row r="501" spans="1:4" x14ac:dyDescent="0.2">
      <c r="A501" s="17">
        <v>41334</v>
      </c>
      <c r="B501" s="59">
        <f>VLOOKUP(Table110[[#This Row],[Date]],database!A:H,3,)</f>
        <v>93.721000000000004</v>
      </c>
      <c r="C501" s="67">
        <f t="shared" si="7"/>
        <v>-3.5934891929533253E-3</v>
      </c>
      <c r="D501" s="67">
        <f>(Table110[[#This Row],[Index]]-B489)/B489</f>
        <v>2.7391328655383601E-2</v>
      </c>
    </row>
    <row r="502" spans="1:4" x14ac:dyDescent="0.2">
      <c r="A502" s="17">
        <v>41365</v>
      </c>
      <c r="B502" s="59">
        <f>VLOOKUP(Table110[[#This Row],[Date]],database!A:H,3,)</f>
        <v>93.254099999999994</v>
      </c>
      <c r="C502" s="67">
        <f t="shared" si="7"/>
        <v>-4.9818077058504384E-3</v>
      </c>
      <c r="D502" s="67">
        <f>(Table110[[#This Row],[Index]]-B490)/B490</f>
        <v>7.4673546312831055E-3</v>
      </c>
    </row>
    <row r="503" spans="1:4" x14ac:dyDescent="0.2">
      <c r="A503" s="17">
        <v>41395</v>
      </c>
      <c r="B503" s="59">
        <f>VLOOKUP(Table110[[#This Row],[Date]],database!A:H,3,)</f>
        <v>93.218500000000006</v>
      </c>
      <c r="C503" s="67">
        <f t="shared" si="7"/>
        <v>-3.8175265216211507E-4</v>
      </c>
      <c r="D503" s="67">
        <f>(Table110[[#This Row],[Index]]-B491)/B491</f>
        <v>1.7796994164114597E-2</v>
      </c>
    </row>
    <row r="504" spans="1:4" x14ac:dyDescent="0.2">
      <c r="A504" s="17">
        <v>41426</v>
      </c>
      <c r="B504" s="59">
        <f>VLOOKUP(Table110[[#This Row],[Date]],database!A:H,3,)</f>
        <v>93.969499999999996</v>
      </c>
      <c r="C504" s="67">
        <f t="shared" si="7"/>
        <v>8.0563407478129179E-3</v>
      </c>
      <c r="D504" s="67">
        <f>(Table110[[#This Row],[Index]]-B492)/B492</f>
        <v>3.3595042413149812E-2</v>
      </c>
    </row>
    <row r="505" spans="1:4" x14ac:dyDescent="0.2">
      <c r="A505" s="17">
        <v>41456</v>
      </c>
      <c r="B505" s="59">
        <f>VLOOKUP(Table110[[#This Row],[Date]],database!A:H,3,)</f>
        <v>93.929500000000004</v>
      </c>
      <c r="C505" s="67">
        <f t="shared" si="7"/>
        <v>-4.2567003123350489E-4</v>
      </c>
      <c r="D505" s="67">
        <f>(Table110[[#This Row],[Index]]-B493)/B493</f>
        <v>3.7827368160528847E-2</v>
      </c>
    </row>
    <row r="506" spans="1:4" x14ac:dyDescent="0.2">
      <c r="A506" s="17">
        <v>41487</v>
      </c>
      <c r="B506" s="59">
        <f>VLOOKUP(Table110[[#This Row],[Date]],database!A:H,3,)</f>
        <v>94.358900000000006</v>
      </c>
      <c r="C506" s="67">
        <f t="shared" si="7"/>
        <v>4.5715137416892926E-3</v>
      </c>
      <c r="D506" s="67">
        <f>(Table110[[#This Row],[Index]]-B494)/B494</f>
        <v>3.6914407410134333E-2</v>
      </c>
    </row>
    <row r="507" spans="1:4" x14ac:dyDescent="0.2">
      <c r="A507" s="17">
        <v>41518</v>
      </c>
      <c r="B507" s="59">
        <f>VLOOKUP(Table110[[#This Row],[Date]],database!A:H,3,)</f>
        <v>95.401499999999999</v>
      </c>
      <c r="C507" s="67">
        <f t="shared" si="7"/>
        <v>1.1049302185591303E-2</v>
      </c>
      <c r="D507" s="67">
        <f>(Table110[[#This Row],[Index]]-B495)/B495</f>
        <v>5.0732858124658622E-2</v>
      </c>
    </row>
    <row r="508" spans="1:4" x14ac:dyDescent="0.2">
      <c r="A508" s="17">
        <v>41548</v>
      </c>
      <c r="B508" s="59">
        <f>VLOOKUP(Table110[[#This Row],[Date]],database!A:H,3,)</f>
        <v>95.251000000000005</v>
      </c>
      <c r="C508" s="67">
        <f t="shared" si="7"/>
        <v>-1.5775433300314612E-3</v>
      </c>
      <c r="D508" s="67">
        <f>(Table110[[#This Row],[Index]]-B496)/B496</f>
        <v>5.2043870597201239E-2</v>
      </c>
    </row>
    <row r="509" spans="1:4" x14ac:dyDescent="0.2">
      <c r="A509" s="17">
        <v>41579</v>
      </c>
      <c r="B509" s="59">
        <f>VLOOKUP(Table110[[#This Row],[Date]],database!A:H,3,)</f>
        <v>95.988200000000006</v>
      </c>
      <c r="C509" s="67">
        <f t="shared" si="7"/>
        <v>7.7395512908000619E-3</v>
      </c>
      <c r="D509" s="67">
        <f>(Table110[[#This Row],[Index]]-B497)/B497</f>
        <v>4.5249627584044043E-2</v>
      </c>
    </row>
    <row r="510" spans="1:4" x14ac:dyDescent="0.2">
      <c r="A510" s="17">
        <v>41609</v>
      </c>
      <c r="B510" s="59">
        <f>VLOOKUP(Table110[[#This Row],[Date]],database!A:H,3,)</f>
        <v>94.430499999999995</v>
      </c>
      <c r="C510" s="67">
        <f t="shared" si="7"/>
        <v>-1.6228036362803011E-2</v>
      </c>
      <c r="D510" s="67">
        <f>(Table110[[#This Row],[Index]]-B498)/B498</f>
        <v>2.3841069655085617E-2</v>
      </c>
    </row>
    <row r="511" spans="1:4" x14ac:dyDescent="0.2">
      <c r="A511" s="17">
        <v>41640</v>
      </c>
      <c r="B511" s="59">
        <f>VLOOKUP(Table110[[#This Row],[Date]],database!A:H,3,)</f>
        <v>94.070499999999996</v>
      </c>
      <c r="C511" s="67">
        <f t="shared" si="7"/>
        <v>-3.812327584837516E-3</v>
      </c>
      <c r="D511" s="67">
        <f>(Table110[[#This Row],[Index]]-B499)/B499</f>
        <v>1.4811618436311555E-2</v>
      </c>
    </row>
    <row r="512" spans="1:4" x14ac:dyDescent="0.2">
      <c r="A512" s="17">
        <v>41671</v>
      </c>
      <c r="B512" s="59">
        <f>VLOOKUP(Table110[[#This Row],[Date]],database!A:H,3,)</f>
        <v>94.643799999999999</v>
      </c>
      <c r="C512" s="67">
        <f t="shared" si="7"/>
        <v>6.0943653961655908E-3</v>
      </c>
      <c r="D512" s="67">
        <f>(Table110[[#This Row],[Index]]-B500)/B500</f>
        <v>6.217374201299199E-3</v>
      </c>
    </row>
    <row r="513" spans="1:4" x14ac:dyDescent="0.2">
      <c r="A513" s="17">
        <v>41699</v>
      </c>
      <c r="B513" s="59">
        <f>VLOOKUP(Table110[[#This Row],[Date]],database!A:H,3,)</f>
        <v>95.926100000000005</v>
      </c>
      <c r="C513" s="67">
        <f t="shared" si="7"/>
        <v>1.3548695212998618E-2</v>
      </c>
      <c r="D513" s="67">
        <f>(Table110[[#This Row],[Index]]-B501)/B501</f>
        <v>2.3528344767981577E-2</v>
      </c>
    </row>
    <row r="514" spans="1:4" x14ac:dyDescent="0.2">
      <c r="A514" s="17">
        <v>41730</v>
      </c>
      <c r="B514" s="59">
        <f>VLOOKUP(Table110[[#This Row],[Date]],database!A:H,3,)</f>
        <v>95.328100000000006</v>
      </c>
      <c r="C514" s="67">
        <f t="shared" si="7"/>
        <v>-6.2339655213753398E-3</v>
      </c>
      <c r="D514" s="67">
        <f>(Table110[[#This Row],[Index]]-B502)/B502</f>
        <v>2.2240309005180602E-2</v>
      </c>
    </row>
    <row r="515" spans="1:4" x14ac:dyDescent="0.2">
      <c r="A515" s="17">
        <v>41760</v>
      </c>
      <c r="B515" s="59">
        <f>VLOOKUP(Table110[[#This Row],[Date]],database!A:H,3,)</f>
        <v>96.851900000000001</v>
      </c>
      <c r="C515" s="67">
        <f t="shared" si="7"/>
        <v>1.5984793570835931E-2</v>
      </c>
      <c r="D515" s="67">
        <f>(Table110[[#This Row],[Index]]-B503)/B503</f>
        <v>3.8977241641948691E-2</v>
      </c>
    </row>
    <row r="516" spans="1:4" x14ac:dyDescent="0.2">
      <c r="A516" s="17">
        <v>41791</v>
      </c>
      <c r="B516" s="59">
        <f>VLOOKUP(Table110[[#This Row],[Date]],database!A:H,3,)</f>
        <v>97.6036</v>
      </c>
      <c r="C516" s="67">
        <f t="shared" si="7"/>
        <v>7.7613345737150841E-3</v>
      </c>
      <c r="D516" s="67">
        <f>(Table110[[#This Row],[Index]]-B504)/B504</f>
        <v>3.8673186512645098E-2</v>
      </c>
    </row>
    <row r="517" spans="1:4" x14ac:dyDescent="0.2">
      <c r="A517" s="17">
        <v>41821</v>
      </c>
      <c r="B517" s="59">
        <f>VLOOKUP(Table110[[#This Row],[Date]],database!A:H,3,)</f>
        <v>98.484399999999994</v>
      </c>
      <c r="C517" s="67">
        <f t="shared" si="7"/>
        <v>9.0242573019847505E-3</v>
      </c>
      <c r="D517" s="67">
        <f>(Table110[[#This Row],[Index]]-B505)/B505</f>
        <v>4.8492752543130638E-2</v>
      </c>
    </row>
    <row r="518" spans="1:4" x14ac:dyDescent="0.2">
      <c r="A518" s="17">
        <v>41852</v>
      </c>
      <c r="B518" s="59">
        <f>VLOOKUP(Table110[[#This Row],[Date]],database!A:H,3,)</f>
        <v>98.383399999999995</v>
      </c>
      <c r="C518" s="67">
        <f t="shared" si="7"/>
        <v>-1.0255431317041097E-3</v>
      </c>
      <c r="D518" s="67">
        <f>(Table110[[#This Row],[Index]]-B506)/B506</f>
        <v>4.2650984697786734E-2</v>
      </c>
    </row>
    <row r="519" spans="1:4" x14ac:dyDescent="0.2">
      <c r="A519" s="17">
        <v>41883</v>
      </c>
      <c r="B519" s="59">
        <f>VLOOKUP(Table110[[#This Row],[Date]],database!A:H,3,)</f>
        <v>98.815200000000004</v>
      </c>
      <c r="C519" s="67">
        <f t="shared" si="7"/>
        <v>4.388951794713325E-3</v>
      </c>
      <c r="D519" s="67">
        <f>(Table110[[#This Row],[Index]]-B507)/B507</f>
        <v>3.578245625068794E-2</v>
      </c>
    </row>
    <row r="520" spans="1:4" x14ac:dyDescent="0.2">
      <c r="A520" s="17">
        <v>41913</v>
      </c>
      <c r="B520" s="59">
        <f>VLOOKUP(Table110[[#This Row],[Date]],database!A:H,3,)</f>
        <v>98.216800000000006</v>
      </c>
      <c r="C520" s="67">
        <f t="shared" ref="C520:C583" si="8">B520/B519-1</f>
        <v>-6.055748508326686E-3</v>
      </c>
      <c r="D520" s="67">
        <f>(Table110[[#This Row],[Index]]-B508)/B508</f>
        <v>3.1136680979727261E-2</v>
      </c>
    </row>
    <row r="521" spans="1:4" x14ac:dyDescent="0.2">
      <c r="A521" s="17">
        <v>41944</v>
      </c>
      <c r="B521" s="59">
        <f>VLOOKUP(Table110[[#This Row],[Date]],database!A:H,3,)</f>
        <v>98.091300000000004</v>
      </c>
      <c r="C521" s="68">
        <f t="shared" si="8"/>
        <v>-1.2777854705101621E-3</v>
      </c>
      <c r="D521" s="67">
        <f>(Table110[[#This Row],[Index]]-B509)/B509</f>
        <v>2.1909984768961159E-2</v>
      </c>
    </row>
    <row r="522" spans="1:4" x14ac:dyDescent="0.2">
      <c r="A522" s="17">
        <v>41974</v>
      </c>
      <c r="B522" s="59">
        <f>VLOOKUP(Table110[[#This Row],[Date]],database!A:H,3,)</f>
        <v>98.928299999999993</v>
      </c>
      <c r="C522" s="67">
        <f t="shared" si="8"/>
        <v>8.5328668291682064E-3</v>
      </c>
      <c r="D522" s="67">
        <f>(Table110[[#This Row],[Index]]-B510)/B510</f>
        <v>4.763079725300616E-2</v>
      </c>
    </row>
    <row r="523" spans="1:4" x14ac:dyDescent="0.2">
      <c r="A523" s="17">
        <v>42005</v>
      </c>
      <c r="B523" s="59">
        <f>VLOOKUP(Table110[[#This Row],[Date]],database!A:H,3,)</f>
        <v>97.926299999999998</v>
      </c>
      <c r="C523" s="68">
        <f t="shared" si="8"/>
        <v>-1.0128547645112618E-2</v>
      </c>
      <c r="D523" s="67">
        <f>(Table110[[#This Row],[Index]]-B511)/B511</f>
        <v>4.09884076304474E-2</v>
      </c>
    </row>
    <row r="524" spans="1:4" x14ac:dyDescent="0.2">
      <c r="A524" s="17">
        <v>42036</v>
      </c>
      <c r="B524" s="59">
        <f>VLOOKUP(Table110[[#This Row],[Date]],database!A:H,3,)</f>
        <v>96.764700000000005</v>
      </c>
      <c r="C524" s="67">
        <f t="shared" si="8"/>
        <v>-1.1861981919055409E-2</v>
      </c>
      <c r="D524" s="67">
        <f>(Table110[[#This Row],[Index]]-B512)/B512</f>
        <v>2.2409286186733903E-2</v>
      </c>
    </row>
    <row r="525" spans="1:4" x14ac:dyDescent="0.2">
      <c r="A525" s="17">
        <v>42064</v>
      </c>
      <c r="B525" s="59">
        <f>VLOOKUP(Table110[[#This Row],[Date]],database!A:H,3,)</f>
        <v>96.224800000000002</v>
      </c>
      <c r="C525" s="68">
        <f t="shared" si="8"/>
        <v>-5.579514016991749E-3</v>
      </c>
      <c r="D525" s="67">
        <f>(Table110[[#This Row],[Index]]-B513)/B513</f>
        <v>3.113855353235424E-3</v>
      </c>
    </row>
    <row r="526" spans="1:4" x14ac:dyDescent="0.2">
      <c r="A526" s="17">
        <v>42095</v>
      </c>
      <c r="B526" s="59">
        <f>VLOOKUP(Table110[[#This Row],[Date]],database!A:H,3,)</f>
        <v>96.926500000000004</v>
      </c>
      <c r="C526" s="67">
        <f t="shared" si="8"/>
        <v>7.2922988668202571E-3</v>
      </c>
      <c r="D526" s="67">
        <f>(Table110[[#This Row],[Index]]-B514)/B514</f>
        <v>1.6767354012090851E-2</v>
      </c>
    </row>
    <row r="527" spans="1:4" x14ac:dyDescent="0.2">
      <c r="A527" s="17">
        <v>42125</v>
      </c>
      <c r="B527" s="59">
        <f>VLOOKUP(Table110[[#This Row],[Date]],database!A:H,3,)</f>
        <v>97.444199999999995</v>
      </c>
      <c r="C527" s="67">
        <f t="shared" si="8"/>
        <v>5.3411605701225717E-3</v>
      </c>
      <c r="D527" s="67">
        <f>(Table110[[#This Row],[Index]]-B515)/B515</f>
        <v>6.1155227723978002E-3</v>
      </c>
    </row>
    <row r="528" spans="1:4" x14ac:dyDescent="0.2">
      <c r="A528" s="17">
        <v>42156</v>
      </c>
      <c r="B528" s="59">
        <f>VLOOKUP(Table110[[#This Row],[Date]],database!A:H,3,)</f>
        <v>97.809299999999993</v>
      </c>
      <c r="C528" s="67">
        <f t="shared" si="8"/>
        <v>3.7467596840037309E-3</v>
      </c>
      <c r="D528" s="67">
        <f>(Table110[[#This Row],[Index]]-B516)/B516</f>
        <v>2.1075042314012303E-3</v>
      </c>
    </row>
    <row r="529" spans="1:4" x14ac:dyDescent="0.2">
      <c r="A529" s="17">
        <v>42186</v>
      </c>
      <c r="B529" s="59">
        <f>VLOOKUP(Table110[[#This Row],[Date]],database!A:H,3,)</f>
        <v>97.742099999999994</v>
      </c>
      <c r="C529" s="67">
        <f t="shared" si="8"/>
        <v>-6.870512313246202E-4</v>
      </c>
      <c r="D529" s="67">
        <f>(Table110[[#This Row],[Index]]-B517)/B517</f>
        <v>-7.537234323405537E-3</v>
      </c>
    </row>
    <row r="530" spans="1:4" x14ac:dyDescent="0.2">
      <c r="A530" s="17">
        <v>42217</v>
      </c>
      <c r="B530" s="59">
        <f>VLOOKUP(Table110[[#This Row],[Date]],database!A:H,3,)</f>
        <v>98.337900000000005</v>
      </c>
      <c r="C530" s="67">
        <f t="shared" si="8"/>
        <v>6.0956333043797883E-3</v>
      </c>
      <c r="D530" s="67">
        <f>(Table110[[#This Row],[Index]]-B518)/B518</f>
        <v>-4.6247639337520239E-4</v>
      </c>
    </row>
    <row r="531" spans="1:4" x14ac:dyDescent="0.2">
      <c r="A531" s="17">
        <v>42248</v>
      </c>
      <c r="B531" s="59">
        <f>VLOOKUP(Table110[[#This Row],[Date]],database!A:H,3,)</f>
        <v>97.584599999999995</v>
      </c>
      <c r="C531" s="67">
        <f t="shared" si="8"/>
        <v>-7.6603222155446904E-3</v>
      </c>
      <c r="D531" s="67">
        <f>(Table110[[#This Row],[Index]]-B519)/B519</f>
        <v>-1.2453549656328274E-2</v>
      </c>
    </row>
    <row r="532" spans="1:4" x14ac:dyDescent="0.2">
      <c r="A532" s="17">
        <v>42278</v>
      </c>
      <c r="B532" s="59">
        <f>VLOOKUP(Table110[[#This Row],[Date]],database!A:H,3,)</f>
        <v>98.560299999999998</v>
      </c>
      <c r="C532" s="67">
        <f t="shared" si="8"/>
        <v>9.9985038622898426E-3</v>
      </c>
      <c r="D532" s="67">
        <f>(Table110[[#This Row],[Index]]-B520)/B520</f>
        <v>3.4973650129101301E-3</v>
      </c>
    </row>
    <row r="533" spans="1:4" x14ac:dyDescent="0.2">
      <c r="A533" s="17">
        <v>42309</v>
      </c>
      <c r="B533" s="59">
        <f>VLOOKUP(Table110[[#This Row],[Date]],database!A:H,3,)</f>
        <v>98.670199999999994</v>
      </c>
      <c r="C533" s="67">
        <f t="shared" si="8"/>
        <v>1.1150534241473053E-3</v>
      </c>
      <c r="D533" s="67">
        <f>(Table110[[#This Row],[Index]]-B521)/B521</f>
        <v>5.9016446922406998E-3</v>
      </c>
    </row>
    <row r="534" spans="1:4" x14ac:dyDescent="0.2">
      <c r="A534" s="17">
        <v>42339</v>
      </c>
      <c r="B534" s="59">
        <f>VLOOKUP(Table110[[#This Row],[Date]],database!A:H,3,)</f>
        <v>99.069699999999997</v>
      </c>
      <c r="C534" s="67">
        <f t="shared" si="8"/>
        <v>4.0488414941897144E-3</v>
      </c>
      <c r="D534" s="67">
        <f>(Table110[[#This Row],[Index]]-B522)/B522</f>
        <v>1.4293180010169428E-3</v>
      </c>
    </row>
    <row r="535" spans="1:4" x14ac:dyDescent="0.2">
      <c r="A535" s="17">
        <v>42370</v>
      </c>
      <c r="B535" s="59">
        <f>VLOOKUP(Table110[[#This Row],[Date]],database!A:H,3,)</f>
        <v>99.033799999999999</v>
      </c>
      <c r="C535" s="67">
        <f t="shared" si="8"/>
        <v>-3.6237113870329907E-4</v>
      </c>
      <c r="D535" s="67">
        <f>(Table110[[#This Row],[Index]]-B523)/B523</f>
        <v>1.130952563305263E-2</v>
      </c>
    </row>
    <row r="536" spans="1:4" x14ac:dyDescent="0.2">
      <c r="A536" s="17">
        <v>42401</v>
      </c>
      <c r="B536" s="59">
        <f>VLOOKUP(Table110[[#This Row],[Date]],database!A:H,3,)</f>
        <v>98.959900000000005</v>
      </c>
      <c r="C536" s="67">
        <f t="shared" si="8"/>
        <v>-7.4620987985918319E-4</v>
      </c>
      <c r="D536" s="67">
        <f>(Table110[[#This Row],[Index]]-B524)/B524</f>
        <v>2.2685958825894151E-2</v>
      </c>
    </row>
    <row r="537" spans="1:4" x14ac:dyDescent="0.2">
      <c r="A537" s="17">
        <v>42430</v>
      </c>
      <c r="B537" s="59">
        <f>VLOOKUP(Table110[[#This Row],[Date]],database!A:H,3,)</f>
        <v>98.780100000000004</v>
      </c>
      <c r="C537" s="67">
        <f t="shared" si="8"/>
        <v>-1.8168975514324393E-3</v>
      </c>
      <c r="D537" s="67">
        <f>(Table110[[#This Row],[Index]]-B525)/B525</f>
        <v>2.6555524147621013E-2</v>
      </c>
    </row>
    <row r="538" spans="1:4" x14ac:dyDescent="0.2">
      <c r="A538" s="17">
        <v>42461</v>
      </c>
      <c r="B538" s="59">
        <f>VLOOKUP(Table110[[#This Row],[Date]],database!A:H,3,)</f>
        <v>99.149299999999997</v>
      </c>
      <c r="C538" s="67">
        <f t="shared" si="8"/>
        <v>3.7375949204343506E-3</v>
      </c>
      <c r="D538" s="67">
        <f>(Table110[[#This Row],[Index]]-B526)/B526</f>
        <v>2.2932840863953533E-2</v>
      </c>
    </row>
    <row r="539" spans="1:4" x14ac:dyDescent="0.2">
      <c r="A539" s="17">
        <v>42491</v>
      </c>
      <c r="B539" s="59">
        <f>VLOOKUP(Table110[[#This Row],[Date]],database!A:H,3,)</f>
        <v>98.514499999999998</v>
      </c>
      <c r="C539" s="67">
        <f t="shared" si="8"/>
        <v>-6.4024657763595005E-3</v>
      </c>
      <c r="D539" s="67">
        <f>(Table110[[#This Row],[Index]]-B527)/B527</f>
        <v>1.0983721966007245E-2</v>
      </c>
    </row>
    <row r="540" spans="1:4" x14ac:dyDescent="0.2">
      <c r="A540" s="17">
        <v>42522</v>
      </c>
      <c r="B540" s="59">
        <f>VLOOKUP(Table110[[#This Row],[Date]],database!A:H,3,)</f>
        <v>98.195599999999999</v>
      </c>
      <c r="C540" s="67">
        <f t="shared" si="8"/>
        <v>-3.2370869262899893E-3</v>
      </c>
      <c r="D540" s="67">
        <f>(Table110[[#This Row],[Index]]-B528)/B528</f>
        <v>3.9495221824510113E-3</v>
      </c>
    </row>
    <row r="541" spans="1:4" x14ac:dyDescent="0.2">
      <c r="A541" s="17">
        <v>42552</v>
      </c>
      <c r="B541" s="59">
        <f>VLOOKUP(Table110[[#This Row],[Date]],database!A:H,3,)</f>
        <v>99.049000000000007</v>
      </c>
      <c r="C541" s="67">
        <f t="shared" si="8"/>
        <v>8.6908171038213577E-3</v>
      </c>
      <c r="D541" s="67">
        <f>(Table110[[#This Row],[Index]]-B529)/B529</f>
        <v>1.3370901586931458E-2</v>
      </c>
    </row>
    <row r="542" spans="1:4" x14ac:dyDescent="0.2">
      <c r="A542" s="17">
        <v>42583</v>
      </c>
      <c r="B542" s="59">
        <f>VLOOKUP(Table110[[#This Row],[Date]],database!A:H,3,)</f>
        <v>98.245500000000007</v>
      </c>
      <c r="C542" s="67">
        <f t="shared" si="8"/>
        <v>-8.1121465133419113E-3</v>
      </c>
      <c r="D542" s="67">
        <f>(Table110[[#This Row],[Index]]-B530)/B530</f>
        <v>-9.3961738048095199E-4</v>
      </c>
    </row>
    <row r="543" spans="1:4" x14ac:dyDescent="0.2">
      <c r="A543" s="17">
        <v>42614</v>
      </c>
      <c r="B543" s="59">
        <f>VLOOKUP(Table110[[#This Row],[Date]],database!A:H,3,)</f>
        <v>98.598399999999998</v>
      </c>
      <c r="C543" s="67">
        <f t="shared" si="8"/>
        <v>3.5920220264540337E-3</v>
      </c>
      <c r="D543" s="67">
        <f>(Table110[[#This Row],[Index]]-B531)/B531</f>
        <v>1.0388934319554555E-2</v>
      </c>
    </row>
    <row r="544" spans="1:4" x14ac:dyDescent="0.2">
      <c r="A544" s="17">
        <v>42644</v>
      </c>
      <c r="B544" s="59">
        <f>VLOOKUP(Table110[[#This Row],[Date]],database!A:H,3,)</f>
        <v>99.0608</v>
      </c>
      <c r="C544" s="67">
        <f t="shared" si="8"/>
        <v>4.6897312735298957E-3</v>
      </c>
      <c r="D544" s="67">
        <f>(Table110[[#This Row],[Index]]-B532)/B532</f>
        <v>5.0781095430919186E-3</v>
      </c>
    </row>
    <row r="545" spans="1:4" x14ac:dyDescent="0.2">
      <c r="A545" s="17">
        <v>42675</v>
      </c>
      <c r="B545" s="59">
        <f>VLOOKUP(Table110[[#This Row],[Date]],database!A:H,3,)</f>
        <v>99.630899999999997</v>
      </c>
      <c r="C545" s="67">
        <f t="shared" si="8"/>
        <v>5.7550514431541355E-3</v>
      </c>
      <c r="D545" s="67">
        <f>(Table110[[#This Row],[Index]]-B533)/B533</f>
        <v>9.7364756532367716E-3</v>
      </c>
    </row>
    <row r="546" spans="1:4" x14ac:dyDescent="0.2">
      <c r="A546" s="17">
        <v>42705</v>
      </c>
      <c r="B546" s="59">
        <f>VLOOKUP(Table110[[#This Row],[Date]],database!A:H,3,)</f>
        <v>97.929500000000004</v>
      </c>
      <c r="C546" s="67">
        <f t="shared" si="8"/>
        <v>-1.7077031322611735E-2</v>
      </c>
      <c r="D546" s="67">
        <f>(Table110[[#This Row],[Index]]-B534)/B534</f>
        <v>-1.150906886767592E-2</v>
      </c>
    </row>
    <row r="547" spans="1:4" x14ac:dyDescent="0.2">
      <c r="A547" s="17">
        <v>42736</v>
      </c>
      <c r="B547" s="59">
        <f>VLOOKUP(Table110[[#This Row],[Date]],database!A:H,3,)</f>
        <v>99.684200000000004</v>
      </c>
      <c r="C547" s="67">
        <f t="shared" si="8"/>
        <v>1.7917992024875096E-2</v>
      </c>
      <c r="D547" s="67">
        <f>(Table110[[#This Row],[Index]]-B535)/B535</f>
        <v>6.5674547477730305E-3</v>
      </c>
    </row>
    <row r="548" spans="1:4" x14ac:dyDescent="0.2">
      <c r="A548" s="17">
        <v>42767</v>
      </c>
      <c r="B548" s="59">
        <f>VLOOKUP(Table110[[#This Row],[Date]],database!A:H,3,)</f>
        <v>99.953999999999994</v>
      </c>
      <c r="C548" s="67">
        <f t="shared" si="8"/>
        <v>2.7065472762983767E-3</v>
      </c>
      <c r="D548" s="67">
        <f>(Table110[[#This Row],[Index]]-B536)/B536</f>
        <v>1.0045483069404768E-2</v>
      </c>
    </row>
    <row r="549" spans="1:4" x14ac:dyDescent="0.2">
      <c r="A549" s="17">
        <v>42795</v>
      </c>
      <c r="B549" s="59">
        <f>VLOOKUP(Table110[[#This Row],[Date]],database!A:H,3,)</f>
        <v>99.224100000000007</v>
      </c>
      <c r="C549" s="67">
        <f t="shared" si="8"/>
        <v>-7.3023590851790665E-3</v>
      </c>
      <c r="D549" s="67">
        <f>(Table110[[#This Row],[Index]]-B537)/B537</f>
        <v>4.4948324611941331E-3</v>
      </c>
    </row>
    <row r="550" spans="1:4" x14ac:dyDescent="0.2">
      <c r="A550" s="17">
        <v>42826</v>
      </c>
      <c r="B550" s="59">
        <f>VLOOKUP(Table110[[#This Row],[Date]],database!A:H,3,)</f>
        <v>99.938900000000004</v>
      </c>
      <c r="C550" s="67">
        <f t="shared" si="8"/>
        <v>7.2038950214716735E-3</v>
      </c>
      <c r="D550" s="67">
        <f>(Table110[[#This Row],[Index]]-B538)/B538</f>
        <v>7.963747600840421E-3</v>
      </c>
    </row>
    <row r="551" spans="1:4" x14ac:dyDescent="0.2">
      <c r="A551" s="17">
        <v>42856</v>
      </c>
      <c r="B551" s="59">
        <f>VLOOKUP(Table110[[#This Row],[Date]],database!A:H,3,)</f>
        <v>99.773099999999999</v>
      </c>
      <c r="C551" s="67">
        <f t="shared" si="8"/>
        <v>-1.6590136573446657E-3</v>
      </c>
      <c r="D551" s="67">
        <f>(Table110[[#This Row],[Index]]-B539)/B539</f>
        <v>1.2775784275411248E-2</v>
      </c>
    </row>
    <row r="552" spans="1:4" x14ac:dyDescent="0.2">
      <c r="A552" s="17">
        <v>42887</v>
      </c>
      <c r="B552" s="59">
        <f>VLOOKUP(Table110[[#This Row],[Date]],database!A:H,3,)</f>
        <v>99.795000000000002</v>
      </c>
      <c r="C552" s="67">
        <f t="shared" si="8"/>
        <v>2.1949804105525494E-4</v>
      </c>
      <c r="D552" s="67">
        <f>(Table110[[#This Row],[Index]]-B540)/B540</f>
        <v>1.6287898846791535E-2</v>
      </c>
    </row>
    <row r="553" spans="1:4" x14ac:dyDescent="0.2">
      <c r="A553" s="17">
        <v>42917</v>
      </c>
      <c r="B553" s="59">
        <f>VLOOKUP(Table110[[#This Row],[Date]],database!A:H,3,)</f>
        <v>99.654899999999998</v>
      </c>
      <c r="C553" s="67">
        <f t="shared" si="8"/>
        <v>-1.4038779497971277E-3</v>
      </c>
      <c r="D553" s="67">
        <f>(Table110[[#This Row],[Index]]-B541)/B541</f>
        <v>6.1171743278578402E-3</v>
      </c>
    </row>
    <row r="554" spans="1:4" x14ac:dyDescent="0.2">
      <c r="A554" s="17">
        <v>42948</v>
      </c>
      <c r="B554" s="59">
        <f>VLOOKUP(Table110[[#This Row],[Date]],database!A:H,3,)</f>
        <v>98.850300000000004</v>
      </c>
      <c r="C554" s="67">
        <f t="shared" si="8"/>
        <v>-8.0738629008708651E-3</v>
      </c>
      <c r="D554" s="67">
        <f>(Table110[[#This Row],[Index]]-B542)/B542</f>
        <v>6.1560071453654087E-3</v>
      </c>
    </row>
    <row r="555" spans="1:4" x14ac:dyDescent="0.2">
      <c r="A555" s="17">
        <v>42979</v>
      </c>
      <c r="B555" s="59">
        <f>VLOOKUP(Table110[[#This Row],[Date]],database!A:H,3,)</f>
        <v>100.5587</v>
      </c>
      <c r="C555" s="67">
        <f t="shared" si="8"/>
        <v>1.7282699192617601E-2</v>
      </c>
      <c r="D555" s="67">
        <f>(Table110[[#This Row],[Index]]-B543)/B543</f>
        <v>1.9881661365701714E-2</v>
      </c>
    </row>
    <row r="556" spans="1:4" x14ac:dyDescent="0.2">
      <c r="A556" s="17">
        <v>43009</v>
      </c>
      <c r="B556" s="59">
        <f>VLOOKUP(Table110[[#This Row],[Date]],database!A:H,3,)</f>
        <v>100.9723</v>
      </c>
      <c r="C556" s="67">
        <f t="shared" si="8"/>
        <v>4.1130205541639597E-3</v>
      </c>
      <c r="D556" s="67">
        <f>(Table110[[#This Row],[Index]]-B544)/B544</f>
        <v>1.9296230193981915E-2</v>
      </c>
    </row>
    <row r="557" spans="1:4" x14ac:dyDescent="0.2">
      <c r="A557" s="17">
        <v>43040</v>
      </c>
      <c r="B557" s="59">
        <f>VLOOKUP(Table110[[#This Row],[Date]],database!A:H,3,)</f>
        <v>100.974</v>
      </c>
      <c r="C557" s="67">
        <f t="shared" si="8"/>
        <v>1.6836300648748193E-5</v>
      </c>
      <c r="D557" s="67">
        <f>(Table110[[#This Row],[Index]]-B545)/B545</f>
        <v>1.3480757475843408E-2</v>
      </c>
    </row>
    <row r="558" spans="1:4" x14ac:dyDescent="0.2">
      <c r="A558" s="17">
        <v>43070</v>
      </c>
      <c r="B558" s="59">
        <f>VLOOKUP(Table110[[#This Row],[Date]],database!A:H,3,)</f>
        <v>100.6206</v>
      </c>
      <c r="C558" s="67">
        <f t="shared" si="8"/>
        <v>-3.4999108681443847E-3</v>
      </c>
      <c r="D558" s="67">
        <f>(Table110[[#This Row],[Index]]-B546)/B546</f>
        <v>2.7479972837602475E-2</v>
      </c>
    </row>
    <row r="559" spans="1:4" x14ac:dyDescent="0.2">
      <c r="A559" s="17">
        <v>43101</v>
      </c>
      <c r="B559" s="59">
        <f>VLOOKUP(Table110[[#This Row],[Date]],database!A:H,3,)</f>
        <v>98.775199999999998</v>
      </c>
      <c r="C559" s="67">
        <f t="shared" si="8"/>
        <v>-1.8340180837721043E-2</v>
      </c>
      <c r="D559" s="67">
        <f>(Table110[[#This Row],[Index]]-B547)/B547</f>
        <v>-9.1187971614358748E-3</v>
      </c>
    </row>
    <row r="560" spans="1:4" x14ac:dyDescent="0.2">
      <c r="A560" s="17">
        <v>43132</v>
      </c>
      <c r="B560" s="59">
        <f>VLOOKUP(Table110[[#This Row],[Date]],database!A:H,3,)</f>
        <v>101.6777</v>
      </c>
      <c r="C560" s="67">
        <f t="shared" si="8"/>
        <v>2.9384906332763805E-2</v>
      </c>
      <c r="D560" s="67">
        <f>(Table110[[#This Row],[Index]]-B548)/B548</f>
        <v>1.7244932669027834E-2</v>
      </c>
    </row>
    <row r="561" spans="1:4" x14ac:dyDescent="0.2">
      <c r="A561" s="17">
        <v>43160</v>
      </c>
      <c r="B561" s="59">
        <f>VLOOKUP(Table110[[#This Row],[Date]],database!A:H,3,)</f>
        <v>100.9468</v>
      </c>
      <c r="C561" s="67">
        <f t="shared" si="8"/>
        <v>-7.1884002096822552E-3</v>
      </c>
      <c r="D561" s="67">
        <f>(Table110[[#This Row],[Index]]-B549)/B549</f>
        <v>1.7361709504041749E-2</v>
      </c>
    </row>
    <row r="562" spans="1:4" x14ac:dyDescent="0.2">
      <c r="A562" s="17">
        <v>43191</v>
      </c>
      <c r="B562" s="59">
        <f>VLOOKUP(Table110[[#This Row],[Date]],database!A:H,3,)</f>
        <v>101.8806</v>
      </c>
      <c r="C562" s="67">
        <f t="shared" si="8"/>
        <v>9.2504170513578732E-3</v>
      </c>
      <c r="D562" s="67">
        <f>(Table110[[#This Row],[Index]]-B550)/B550</f>
        <v>1.9428871040205537E-2</v>
      </c>
    </row>
    <row r="563" spans="1:4" x14ac:dyDescent="0.2">
      <c r="A563" s="17">
        <v>43221</v>
      </c>
      <c r="B563" s="59">
        <f>VLOOKUP(Table110[[#This Row],[Date]],database!A:H,3,)</f>
        <v>102.54219999999999</v>
      </c>
      <c r="C563" s="67">
        <f t="shared" si="8"/>
        <v>6.4938761648438703E-3</v>
      </c>
      <c r="D563" s="67">
        <f>(Table110[[#This Row],[Index]]-B551)/B551</f>
        <v>2.7753973766476082E-2</v>
      </c>
    </row>
    <row r="564" spans="1:4" x14ac:dyDescent="0.2">
      <c r="A564" s="17">
        <v>43252</v>
      </c>
      <c r="B564" s="59">
        <f>VLOOKUP(Table110[[#This Row],[Date]],database!A:H,3,)</f>
        <v>102.3398</v>
      </c>
      <c r="C564" s="67">
        <f t="shared" si="8"/>
        <v>-1.9738215095833622E-3</v>
      </c>
      <c r="D564" s="67">
        <f>(Table110[[#This Row],[Index]]-B552)/B552</f>
        <v>2.5500275564908012E-2</v>
      </c>
    </row>
    <row r="565" spans="1:4" x14ac:dyDescent="0.2">
      <c r="A565" s="17">
        <v>43282</v>
      </c>
      <c r="B565" s="59">
        <f>VLOOKUP(Table110[[#This Row],[Date]],database!A:H,3,)</f>
        <v>102.2436</v>
      </c>
      <c r="C565" s="67">
        <f t="shared" si="8"/>
        <v>-9.4000574556518668E-4</v>
      </c>
      <c r="D565" s="67">
        <f>(Table110[[#This Row],[Index]]-B553)/B553</f>
        <v>2.5976645403286772E-2</v>
      </c>
    </row>
    <row r="566" spans="1:4" x14ac:dyDescent="0.2">
      <c r="A566" s="17">
        <v>43313</v>
      </c>
      <c r="B566" s="59">
        <f>VLOOKUP(Table110[[#This Row],[Date]],database!A:H,3,)</f>
        <v>102.49639999999999</v>
      </c>
      <c r="C566" s="67">
        <f t="shared" si="8"/>
        <v>2.4725263977403156E-3</v>
      </c>
      <c r="D566" s="67">
        <f>(Table110[[#This Row],[Index]]-B554)/B554</f>
        <v>3.6885067622455268E-2</v>
      </c>
    </row>
    <row r="567" spans="1:4" x14ac:dyDescent="0.2">
      <c r="A567" s="17">
        <v>43344</v>
      </c>
      <c r="B567" s="59">
        <f>VLOOKUP(Table110[[#This Row],[Date]],database!A:H,3,)</f>
        <v>101.8092</v>
      </c>
      <c r="C567" s="67">
        <f t="shared" si="8"/>
        <v>-6.7046257234399942E-3</v>
      </c>
      <c r="D567" s="67">
        <f>(Table110[[#This Row],[Index]]-B555)/B555</f>
        <v>1.2435522734482471E-2</v>
      </c>
    </row>
    <row r="568" spans="1:4" x14ac:dyDescent="0.2">
      <c r="A568" s="17">
        <v>43374</v>
      </c>
      <c r="B568" s="59">
        <f>VLOOKUP(Table110[[#This Row],[Date]],database!A:H,3,)</f>
        <v>101.792</v>
      </c>
      <c r="C568" s="67">
        <f t="shared" si="8"/>
        <v>-1.6894347465656878E-4</v>
      </c>
      <c r="D568" s="67">
        <f>(Table110[[#This Row],[Index]]-B556)/B556</f>
        <v>8.1180680245968185E-3</v>
      </c>
    </row>
    <row r="569" spans="1:4" x14ac:dyDescent="0.2">
      <c r="A569" s="17">
        <v>43405</v>
      </c>
      <c r="B569" s="59">
        <f>VLOOKUP(Table110[[#This Row],[Date]],database!A:H,3,)</f>
        <v>101.3634</v>
      </c>
      <c r="C569" s="67">
        <f t="shared" si="8"/>
        <v>-4.2105469977994359E-3</v>
      </c>
      <c r="D569" s="67">
        <f>(Table110[[#This Row],[Index]]-B557)/B557</f>
        <v>3.8564382910451687E-3</v>
      </c>
    </row>
    <row r="570" spans="1:4" x14ac:dyDescent="0.2">
      <c r="A570" s="17">
        <v>43435</v>
      </c>
      <c r="B570" s="59">
        <f>VLOOKUP(Table110[[#This Row],[Date]],database!A:H,3,)</f>
        <v>102.2179</v>
      </c>
      <c r="C570" s="67">
        <f t="shared" si="8"/>
        <v>8.4300645005987995E-3</v>
      </c>
      <c r="D570" s="67">
        <f>(Table110[[#This Row],[Index]]-B558)/B558</f>
        <v>1.5874482958757988E-2</v>
      </c>
    </row>
    <row r="571" spans="1:4" x14ac:dyDescent="0.2">
      <c r="A571" s="17">
        <v>43466</v>
      </c>
      <c r="B571" s="59">
        <f>VLOOKUP(Table110[[#This Row],[Date]],database!A:H,3,)</f>
        <v>101.9348</v>
      </c>
      <c r="C571" s="67">
        <f t="shared" si="8"/>
        <v>-2.7695736265370696E-3</v>
      </c>
      <c r="D571" s="67">
        <f>(Table110[[#This Row],[Index]]-B559)/B559</f>
        <v>3.1987786407924233E-2</v>
      </c>
    </row>
    <row r="572" spans="1:4" x14ac:dyDescent="0.2">
      <c r="A572" s="17">
        <v>43497</v>
      </c>
      <c r="B572" s="59">
        <f>VLOOKUP(Table110[[#This Row],[Date]],database!A:H,3,)</f>
        <v>100.1206</v>
      </c>
      <c r="C572" s="67">
        <f t="shared" si="8"/>
        <v>-1.7797651047532392E-2</v>
      </c>
      <c r="D572" s="67">
        <f>(Table110[[#This Row],[Index]]-B560)/B560</f>
        <v>-1.5314075751123457E-2</v>
      </c>
    </row>
    <row r="573" spans="1:4" x14ac:dyDescent="0.2">
      <c r="A573" s="17">
        <v>43525</v>
      </c>
      <c r="B573" s="59">
        <f>VLOOKUP(Table110[[#This Row],[Date]],database!A:H,3,)</f>
        <v>100.0899</v>
      </c>
      <c r="C573" s="67">
        <f t="shared" si="8"/>
        <v>-3.0663020397392327E-4</v>
      </c>
      <c r="D573" s="67">
        <f>(Table110[[#This Row],[Index]]-B561)/B561</f>
        <v>-8.4886296544317997E-3</v>
      </c>
    </row>
    <row r="574" spans="1:4" x14ac:dyDescent="0.2">
      <c r="A574" s="17">
        <v>43556</v>
      </c>
      <c r="B574" s="59">
        <f>VLOOKUP(Table110[[#This Row],[Date]],database!A:H,3,)</f>
        <v>99.672700000000006</v>
      </c>
      <c r="C574" s="67">
        <f t="shared" si="8"/>
        <v>-4.168252740786027E-3</v>
      </c>
      <c r="D574" s="67">
        <f>(Table110[[#This Row],[Index]]-B562)/B562</f>
        <v>-2.1671446772005613E-2</v>
      </c>
    </row>
    <row r="575" spans="1:4" x14ac:dyDescent="0.2">
      <c r="A575" s="17">
        <v>43586</v>
      </c>
      <c r="B575" s="59">
        <f>VLOOKUP(Table110[[#This Row],[Date]],database!A:H,3,)</f>
        <v>100.443</v>
      </c>
      <c r="C575" s="67">
        <f t="shared" si="8"/>
        <v>7.7282947085810516E-3</v>
      </c>
      <c r="D575" s="67">
        <f>(Table110[[#This Row],[Index]]-B563)/B563</f>
        <v>-2.0471571704137381E-2</v>
      </c>
    </row>
    <row r="576" spans="1:4" x14ac:dyDescent="0.2">
      <c r="A576" s="17">
        <v>43617</v>
      </c>
      <c r="B576" s="59">
        <f>VLOOKUP(Table110[[#This Row],[Date]],database!A:H,3,)</f>
        <v>101.2953</v>
      </c>
      <c r="C576" s="67">
        <f t="shared" si="8"/>
        <v>8.4854096353155217E-3</v>
      </c>
      <c r="D576" s="67">
        <f>(Table110[[#This Row],[Index]]-B564)/B564</f>
        <v>-1.0206195439115568E-2</v>
      </c>
    </row>
    <row r="577" spans="1:4" x14ac:dyDescent="0.2">
      <c r="A577" s="17">
        <v>43647</v>
      </c>
      <c r="B577" s="59">
        <f>VLOOKUP(Table110[[#This Row],[Date]],database!A:H,3,)</f>
        <v>100.55840000000001</v>
      </c>
      <c r="C577" s="67">
        <f t="shared" si="8"/>
        <v>-7.2747699054150905E-3</v>
      </c>
      <c r="D577" s="67">
        <f>(Table110[[#This Row],[Index]]-B565)/B565</f>
        <v>-1.6482205243164311E-2</v>
      </c>
    </row>
    <row r="578" spans="1:4" x14ac:dyDescent="0.2">
      <c r="A578" s="17">
        <v>43678</v>
      </c>
      <c r="B578" s="59">
        <f>VLOOKUP(Table110[[#This Row],[Date]],database!A:H,3,)</f>
        <v>100.8668</v>
      </c>
      <c r="C578" s="67">
        <f t="shared" si="8"/>
        <v>3.0668745723876345E-3</v>
      </c>
      <c r="D578" s="67">
        <f>(Table110[[#This Row],[Index]]-B566)/B566</f>
        <v>-1.5899094992604584E-2</v>
      </c>
    </row>
    <row r="579" spans="1:4" x14ac:dyDescent="0.2">
      <c r="A579" s="17">
        <v>43709</v>
      </c>
      <c r="B579" s="59">
        <f>VLOOKUP(Table110[[#This Row],[Date]],database!A:H,3,)</f>
        <v>100.6456</v>
      </c>
      <c r="C579" s="67">
        <f t="shared" si="8"/>
        <v>-2.1929911526884505E-3</v>
      </c>
      <c r="D579" s="67">
        <f>(Table110[[#This Row],[Index]]-B567)/B567</f>
        <v>-1.1429222506413981E-2</v>
      </c>
    </row>
    <row r="580" spans="1:4" x14ac:dyDescent="0.2">
      <c r="A580" s="17">
        <v>43739</v>
      </c>
      <c r="B580" s="59">
        <f>VLOOKUP(Table110[[#This Row],[Date]],database!A:H,3,)</f>
        <v>99.744200000000006</v>
      </c>
      <c r="C580" s="67">
        <f t="shared" si="8"/>
        <v>-8.9561789089637189E-3</v>
      </c>
      <c r="D580" s="67">
        <f>(Table110[[#This Row],[Index]]-B568)/B568</f>
        <v>-2.0117494498585301E-2</v>
      </c>
    </row>
    <row r="581" spans="1:4" x14ac:dyDescent="0.2">
      <c r="A581" s="17">
        <v>43770</v>
      </c>
      <c r="B581" s="59">
        <f>VLOOKUP(Table110[[#This Row],[Date]],database!A:H,3,)</f>
        <v>99.238200000000006</v>
      </c>
      <c r="C581" s="67">
        <f t="shared" si="8"/>
        <v>-5.0729766743329296E-3</v>
      </c>
      <c r="D581" s="67">
        <f>(Table110[[#This Row],[Index]]-B569)/B569</f>
        <v>-2.0966147544379851E-2</v>
      </c>
    </row>
    <row r="582" spans="1:4" x14ac:dyDescent="0.2">
      <c r="A582" s="17">
        <v>43800</v>
      </c>
      <c r="B582" s="59">
        <f>VLOOKUP(Table110[[#This Row],[Date]],database!A:H,3,)</f>
        <v>100.0692</v>
      </c>
      <c r="C582" s="67">
        <f t="shared" si="8"/>
        <v>8.3737915439818789E-3</v>
      </c>
      <c r="D582" s="67">
        <f>(Table110[[#This Row],[Index]]-B570)/B570</f>
        <v>-2.1020780117768072E-2</v>
      </c>
    </row>
    <row r="583" spans="1:4" x14ac:dyDescent="0.2">
      <c r="A583" s="17">
        <v>43831</v>
      </c>
      <c r="B583" s="59">
        <f>VLOOKUP(Table110[[#This Row],[Date]],database!A:H,3,)</f>
        <v>102.36669999999999</v>
      </c>
      <c r="C583" s="67">
        <f t="shared" si="8"/>
        <v>2.2959112294292261E-2</v>
      </c>
      <c r="D583" s="67">
        <f>(Table110[[#This Row],[Index]]-B571)/B571</f>
        <v>4.2370220964773452E-3</v>
      </c>
    </row>
    <row r="584" spans="1:4" x14ac:dyDescent="0.2">
      <c r="A584" s="17">
        <v>43862</v>
      </c>
      <c r="B584" s="59">
        <f>VLOOKUP(Table110[[#This Row],[Date]],database!A:H,3,)</f>
        <v>102.39019999999999</v>
      </c>
      <c r="C584" s="67">
        <f t="shared" ref="C584:C647" si="9">B584/B583-1</f>
        <v>2.295668415608354E-4</v>
      </c>
      <c r="D584" s="67">
        <f>(Table110[[#This Row],[Index]]-B572)/B572</f>
        <v>2.2668661594117463E-2</v>
      </c>
    </row>
    <row r="585" spans="1:4" x14ac:dyDescent="0.2">
      <c r="A585" s="17">
        <v>43891</v>
      </c>
      <c r="B585" s="59">
        <f>VLOOKUP(Table110[[#This Row],[Date]],database!A:H,3,)</f>
        <v>99.006399999999999</v>
      </c>
      <c r="C585" s="67">
        <f t="shared" si="9"/>
        <v>-3.3048084679979106E-2</v>
      </c>
      <c r="D585" s="67">
        <f>(Table110[[#This Row],[Index]]-B573)/B573</f>
        <v>-1.0825268083992499E-2</v>
      </c>
    </row>
    <row r="586" spans="1:4" x14ac:dyDescent="0.2">
      <c r="A586" s="17">
        <v>43922</v>
      </c>
      <c r="B586" s="59">
        <f>VLOOKUP(Table110[[#This Row],[Date]],database!A:H,3,)</f>
        <v>88.207300000000004</v>
      </c>
      <c r="C586" s="67">
        <f t="shared" si="9"/>
        <v>-0.10907476688375695</v>
      </c>
      <c r="D586" s="67">
        <f>(Table110[[#This Row],[Index]]-B574)/B574</f>
        <v>-0.11503049480951155</v>
      </c>
    </row>
    <row r="587" spans="1:4" x14ac:dyDescent="0.2">
      <c r="A587" s="17">
        <v>43952</v>
      </c>
      <c r="B587" s="59">
        <f>VLOOKUP(Table110[[#This Row],[Date]],database!A:H,3,)</f>
        <v>91.625299999999996</v>
      </c>
      <c r="C587" s="67">
        <f t="shared" si="9"/>
        <v>3.8749627298420686E-2</v>
      </c>
      <c r="D587" s="67">
        <f>(Table110[[#This Row],[Index]]-B575)/B575</f>
        <v>-8.778809872265865E-2</v>
      </c>
    </row>
    <row r="588" spans="1:4" x14ac:dyDescent="0.2">
      <c r="A588" s="17">
        <v>43983</v>
      </c>
      <c r="B588" s="59">
        <f>VLOOKUP(Table110[[#This Row],[Date]],database!A:H,3,)</f>
        <v>92.928399999999996</v>
      </c>
      <c r="C588" s="67">
        <f t="shared" si="9"/>
        <v>1.4222054388907779E-2</v>
      </c>
      <c r="D588" s="67">
        <f>(Table110[[#This Row],[Index]]-B576)/B576</f>
        <v>-8.2599093936243845E-2</v>
      </c>
    </row>
    <row r="589" spans="1:4" x14ac:dyDescent="0.2">
      <c r="A589" s="17">
        <v>44013</v>
      </c>
      <c r="B589" s="59">
        <f>VLOOKUP(Table110[[#This Row],[Date]],database!A:H,3,)</f>
        <v>94.430499999999995</v>
      </c>
      <c r="C589" s="67">
        <f t="shared" si="9"/>
        <v>1.6164057489421957E-2</v>
      </c>
      <c r="D589" s="67">
        <f>(Table110[[#This Row],[Index]]-B577)/B577</f>
        <v>-6.0938718197584792E-2</v>
      </c>
    </row>
    <row r="590" spans="1:4" x14ac:dyDescent="0.2">
      <c r="A590" s="17">
        <v>44044</v>
      </c>
      <c r="B590" s="59">
        <f>VLOOKUP(Table110[[#This Row],[Date]],database!A:H,3,)</f>
        <v>95.561000000000007</v>
      </c>
      <c r="C590" s="67">
        <f t="shared" si="9"/>
        <v>1.1971767596274718E-2</v>
      </c>
      <c r="D590" s="67">
        <f>(Table110[[#This Row],[Index]]-B578)/B578</f>
        <v>-5.2602045469867104E-2</v>
      </c>
    </row>
    <row r="591" spans="1:4" x14ac:dyDescent="0.2">
      <c r="A591" s="17">
        <v>44075</v>
      </c>
      <c r="B591" s="59">
        <f>VLOOKUP(Table110[[#This Row],[Date]],database!A:H,3,)</f>
        <v>96.009600000000006</v>
      </c>
      <c r="C591" s="67">
        <f t="shared" si="9"/>
        <v>4.6943836920918525E-3</v>
      </c>
      <c r="D591" s="67">
        <f>(Table110[[#This Row],[Index]]-B579)/B579</f>
        <v>-4.6062619727042169E-2</v>
      </c>
    </row>
    <row r="592" spans="1:4" x14ac:dyDescent="0.2">
      <c r="A592" s="17">
        <v>44105</v>
      </c>
      <c r="B592" s="59">
        <f>VLOOKUP(Table110[[#This Row],[Date]],database!A:H,3,)</f>
        <v>98.072000000000003</v>
      </c>
      <c r="C592" s="67">
        <f t="shared" si="9"/>
        <v>2.1481185214811793E-2</v>
      </c>
      <c r="D592" s="67">
        <f>(Table110[[#This Row],[Index]]-B580)/B580</f>
        <v>-1.6764884574742227E-2</v>
      </c>
    </row>
    <row r="593" spans="1:4" x14ac:dyDescent="0.2">
      <c r="A593" s="17">
        <v>44136</v>
      </c>
      <c r="B593" s="59">
        <f>VLOOKUP(Table110[[#This Row],[Date]],database!A:H,3,)</f>
        <v>98.147999999999996</v>
      </c>
      <c r="C593" s="67">
        <f t="shared" si="9"/>
        <v>7.7494085977636296E-4</v>
      </c>
      <c r="D593" s="67">
        <f>(Table110[[#This Row],[Index]]-B581)/B581</f>
        <v>-1.0985688978639375E-2</v>
      </c>
    </row>
    <row r="594" spans="1:4" x14ac:dyDescent="0.2">
      <c r="A594" s="17">
        <v>44166</v>
      </c>
      <c r="B594" s="59">
        <f>VLOOKUP(Table110[[#This Row],[Date]],database!A:H,3,)</f>
        <v>99.424400000000006</v>
      </c>
      <c r="C594" s="67">
        <f t="shared" si="9"/>
        <v>1.3004849818641251E-2</v>
      </c>
      <c r="D594" s="67">
        <f>(Table110[[#This Row],[Index]]-B582)/B582</f>
        <v>-6.4435410695797453E-3</v>
      </c>
    </row>
    <row r="595" spans="1:4" x14ac:dyDescent="0.2">
      <c r="A595" s="17">
        <v>44197</v>
      </c>
      <c r="B595" s="59">
        <f>VLOOKUP(Table110[[#This Row],[Date]],database!A:H,3,)</f>
        <v>100.37479999999999</v>
      </c>
      <c r="C595" s="67">
        <f t="shared" si="9"/>
        <v>9.5590217290724144E-3</v>
      </c>
      <c r="D595" s="67">
        <f>(Table110[[#This Row],[Index]]-B583)/B583</f>
        <v>-1.9458476242762552E-2</v>
      </c>
    </row>
    <row r="596" spans="1:4" x14ac:dyDescent="0.2">
      <c r="A596" s="17">
        <v>44228</v>
      </c>
      <c r="B596" s="59">
        <f>VLOOKUP(Table110[[#This Row],[Date]],database!A:H,3,)</f>
        <v>97.013199999999998</v>
      </c>
      <c r="C596" s="67">
        <f t="shared" si="9"/>
        <v>-3.3490477689619214E-2</v>
      </c>
      <c r="D596" s="67">
        <f>(Table110[[#This Row],[Index]]-B584)/B584</f>
        <v>-5.2514791454650891E-2</v>
      </c>
    </row>
    <row r="597" spans="1:4" x14ac:dyDescent="0.2">
      <c r="A597" s="17">
        <v>44256</v>
      </c>
      <c r="B597" s="59">
        <f>VLOOKUP(Table110[[#This Row],[Date]],database!A:H,3,)</f>
        <v>100.6644</v>
      </c>
      <c r="C597" s="67">
        <f t="shared" si="9"/>
        <v>3.7636115497684974E-2</v>
      </c>
      <c r="D597" s="67">
        <f>(Table110[[#This Row],[Index]]-B585)/B585</f>
        <v>1.6746392152426522E-2</v>
      </c>
    </row>
    <row r="598" spans="1:4" x14ac:dyDescent="0.2">
      <c r="A598" s="17">
        <v>44287</v>
      </c>
      <c r="B598" s="59">
        <f>VLOOKUP(Table110[[#This Row],[Date]],database!A:H,3,)</f>
        <v>99.752300000000005</v>
      </c>
      <c r="C598" s="67">
        <f t="shared" si="9"/>
        <v>-9.0608000445042691E-3</v>
      </c>
      <c r="D598" s="67">
        <f>(Table110[[#This Row],[Index]]-B586)/B586</f>
        <v>0.13088485873618172</v>
      </c>
    </row>
    <row r="599" spans="1:4" x14ac:dyDescent="0.2">
      <c r="A599" s="17">
        <v>44317</v>
      </c>
      <c r="B599" s="59">
        <f>VLOOKUP(Table110[[#This Row],[Date]],database!A:H,3,)</f>
        <v>99.451499999999996</v>
      </c>
      <c r="C599" s="67">
        <f t="shared" si="9"/>
        <v>-3.0154693174995195E-3</v>
      </c>
      <c r="D599" s="67">
        <f>(Table110[[#This Row],[Index]]-B587)/B587</f>
        <v>8.5415272855859689E-2</v>
      </c>
    </row>
    <row r="600" spans="1:4" x14ac:dyDescent="0.2">
      <c r="A600" s="17">
        <v>44348</v>
      </c>
      <c r="B600" s="59">
        <f>VLOOKUP(Table110[[#This Row],[Date]],database!A:H,3,)</f>
        <v>99.070499999999996</v>
      </c>
      <c r="C600" s="67">
        <f t="shared" si="9"/>
        <v>-3.8310131068912678E-3</v>
      </c>
      <c r="D600" s="67">
        <f>(Table110[[#This Row],[Index]]-B588)/B588</f>
        <v>6.6094972042992237E-2</v>
      </c>
    </row>
    <row r="601" spans="1:4" x14ac:dyDescent="0.2">
      <c r="A601" s="17">
        <v>44378</v>
      </c>
      <c r="B601" s="59">
        <f>VLOOKUP(Table110[[#This Row],[Date]],database!A:H,3,)</f>
        <v>100.2358</v>
      </c>
      <c r="C601" s="67">
        <f t="shared" si="9"/>
        <v>1.17623308653938E-2</v>
      </c>
      <c r="D601" s="67">
        <f>(Table110[[#This Row],[Index]]-B589)/B589</f>
        <v>6.1476959245159168E-2</v>
      </c>
    </row>
    <row r="602" spans="1:4" x14ac:dyDescent="0.2">
      <c r="A602" s="17">
        <v>44409</v>
      </c>
      <c r="B602" s="59">
        <f>VLOOKUP(Table110[[#This Row],[Date]],database!A:H,3,)</f>
        <v>100.61539999999999</v>
      </c>
      <c r="C602" s="67">
        <f t="shared" si="9"/>
        <v>3.787070088730804E-3</v>
      </c>
      <c r="D602" s="67">
        <f>(Table110[[#This Row],[Index]]-B590)/B590</f>
        <v>5.2891870114377064E-2</v>
      </c>
    </row>
    <row r="603" spans="1:4" x14ac:dyDescent="0.2">
      <c r="A603" s="17">
        <v>44440</v>
      </c>
      <c r="B603" s="59">
        <f>VLOOKUP(Table110[[#This Row],[Date]],database!A:H,3,)</f>
        <v>101.93300000000001</v>
      </c>
      <c r="C603" s="67">
        <f t="shared" si="9"/>
        <v>1.3095410841680533E-2</v>
      </c>
      <c r="D603" s="67">
        <f>(Table110[[#This Row],[Index]]-B591)/B591</f>
        <v>6.1695913741959145E-2</v>
      </c>
    </row>
    <row r="604" spans="1:4" x14ac:dyDescent="0.2">
      <c r="A604" s="17">
        <v>44470</v>
      </c>
      <c r="B604" s="59">
        <f>VLOOKUP(Table110[[#This Row],[Date]],database!A:H,3,)</f>
        <v>103.2902</v>
      </c>
      <c r="C604" s="67">
        <f t="shared" si="9"/>
        <v>1.3314628236194226E-2</v>
      </c>
      <c r="D604" s="67">
        <f>(Table110[[#This Row],[Index]]-B592)/B592</f>
        <v>5.3207847295864218E-2</v>
      </c>
    </row>
    <row r="605" spans="1:4" x14ac:dyDescent="0.2">
      <c r="A605" s="17">
        <v>44501</v>
      </c>
      <c r="B605" s="59">
        <f>VLOOKUP(Table110[[#This Row],[Date]],database!A:H,3,)</f>
        <v>104.8263</v>
      </c>
      <c r="C605" s="67">
        <f t="shared" si="9"/>
        <v>1.4871691602881931E-2</v>
      </c>
      <c r="D605" s="67">
        <f>(Table110[[#This Row],[Index]]-B593)/B593</f>
        <v>6.804315931042923E-2</v>
      </c>
    </row>
    <row r="606" spans="1:4" x14ac:dyDescent="0.2">
      <c r="A606" s="17">
        <v>44531</v>
      </c>
      <c r="B606" s="59">
        <f>VLOOKUP(Table110[[#This Row],[Date]],database!A:H,3,)</f>
        <v>104.95480000000001</v>
      </c>
      <c r="C606" s="67">
        <f t="shared" si="9"/>
        <v>1.2258374091234092E-3</v>
      </c>
      <c r="D606" s="67">
        <f>(Table110[[#This Row],[Index]]-B594)/B594</f>
        <v>5.5624172738281547E-2</v>
      </c>
    </row>
    <row r="607" spans="1:4" x14ac:dyDescent="0.2">
      <c r="A607" s="17">
        <v>44562</v>
      </c>
      <c r="B607" s="59">
        <f>VLOOKUP(Table110[[#This Row],[Date]],database!A:H,3,)</f>
        <v>103.7324</v>
      </c>
      <c r="C607" s="67">
        <f t="shared" si="9"/>
        <v>-1.1646918483004143E-2</v>
      </c>
      <c r="D607" s="67">
        <f>(Table110[[#This Row],[Index]]-B595)/B595</f>
        <v>3.3450627049817334E-2</v>
      </c>
    </row>
    <row r="608" spans="1:4" x14ac:dyDescent="0.2">
      <c r="A608" s="17">
        <v>44593</v>
      </c>
      <c r="B608" s="59">
        <f>VLOOKUP(Table110[[#This Row],[Date]],database!A:H,3,)</f>
        <v>105.8214</v>
      </c>
      <c r="C608" s="67">
        <f t="shared" si="9"/>
        <v>2.0138356000632296E-2</v>
      </c>
      <c r="D608" s="67">
        <f>(Table110[[#This Row],[Index]]-B596)/B596</f>
        <v>9.0793830117963326E-2</v>
      </c>
    </row>
    <row r="609" spans="1:4" x14ac:dyDescent="0.2">
      <c r="A609" s="17">
        <v>44621</v>
      </c>
      <c r="B609" s="59">
        <f>VLOOKUP(Table110[[#This Row],[Date]],database!A:H,3,)</f>
        <v>105.2346</v>
      </c>
      <c r="C609" s="67">
        <f t="shared" si="9"/>
        <v>-5.5451921822995409E-3</v>
      </c>
      <c r="D609" s="67">
        <f>(Table110[[#This Row],[Index]]-B597)/B597</f>
        <v>4.5400360008106141E-2</v>
      </c>
    </row>
    <row r="610" spans="1:4" x14ac:dyDescent="0.2">
      <c r="A610" s="17">
        <v>44652</v>
      </c>
      <c r="B610" s="59">
        <f>VLOOKUP(Table110[[#This Row],[Date]],database!A:H,3,)</f>
        <v>104.9893</v>
      </c>
      <c r="C610" s="67">
        <f t="shared" si="9"/>
        <v>-2.3309823955238729E-3</v>
      </c>
      <c r="D610" s="67">
        <f>(Table110[[#This Row],[Index]]-B598)/B598</f>
        <v>5.2500042605533849E-2</v>
      </c>
    </row>
    <row r="611" spans="1:4" x14ac:dyDescent="0.2">
      <c r="A611" s="17">
        <v>44682</v>
      </c>
      <c r="B611" s="59">
        <f>VLOOKUP(Table110[[#This Row],[Date]],database!A:H,3,)</f>
        <v>105.1751</v>
      </c>
      <c r="C611" s="67">
        <f t="shared" si="9"/>
        <v>1.769704150804019E-3</v>
      </c>
      <c r="D611" s="67">
        <f>(Table110[[#This Row],[Index]]-B599)/B599</f>
        <v>5.7551670914968656E-2</v>
      </c>
    </row>
    <row r="612" spans="1:4" x14ac:dyDescent="0.2">
      <c r="A612" s="17">
        <v>44713</v>
      </c>
      <c r="B612" s="59">
        <f>VLOOKUP(Table110[[#This Row],[Date]],database!A:H,3,)</f>
        <v>104.0767</v>
      </c>
      <c r="C612" s="67">
        <f t="shared" si="9"/>
        <v>-1.0443536540492904E-2</v>
      </c>
      <c r="D612" s="67">
        <f>(Table110[[#This Row],[Index]]-B600)/B600</f>
        <v>5.0531692077863816E-2</v>
      </c>
    </row>
    <row r="613" spans="1:4" x14ac:dyDescent="0.2">
      <c r="A613" s="17">
        <v>44743</v>
      </c>
      <c r="B613" s="59">
        <f>VLOOKUP(Table110[[#This Row],[Date]],database!A:H,3,)</f>
        <v>104.87949999999999</v>
      </c>
      <c r="C613" s="67">
        <f t="shared" si="9"/>
        <v>7.7135420319820458E-3</v>
      </c>
      <c r="D613" s="67">
        <f>(Table110[[#This Row],[Index]]-B601)/B601</f>
        <v>4.6327759143938552E-2</v>
      </c>
    </row>
    <row r="614" spans="1:4" x14ac:dyDescent="0.2">
      <c r="A614" s="17">
        <v>44774</v>
      </c>
      <c r="B614" s="59">
        <f>VLOOKUP(Table110[[#This Row],[Date]],database!A:H,3,)</f>
        <v>104.2602</v>
      </c>
      <c r="C614" s="67">
        <f t="shared" si="9"/>
        <v>-5.9048717814252916E-3</v>
      </c>
      <c r="D614" s="67">
        <f>(Table110[[#This Row],[Index]]-B602)/B602</f>
        <v>3.6225070913597758E-2</v>
      </c>
    </row>
  </sheetData>
  <conditionalFormatting sqref="D463:D61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4"/>
  <sheetViews>
    <sheetView zoomScale="160" zoomScaleNormal="160" workbookViewId="0">
      <pane ySplit="6" topLeftCell="A582" activePane="bottomLeft" state="frozen"/>
      <selection activeCell="J582" sqref="J582"/>
      <selection pane="bottomLeft" activeCell="AA591" sqref="AA591"/>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5" x14ac:dyDescent="0.2">
      <c r="A1" s="15" t="s">
        <v>19</v>
      </c>
      <c r="B1" s="75"/>
      <c r="C1" s="75"/>
      <c r="S1" s="75" t="s">
        <v>70</v>
      </c>
      <c r="T1" s="75" t="s">
        <v>64</v>
      </c>
      <c r="U1" s="75" t="str">
        <f>S1&amp;T1</f>
        <v>Industrial Production: Manufacturing (NAICS) since 2010</v>
      </c>
      <c r="Y1" s="75" t="str">
        <f>U2&amp; T1</f>
        <v>Industrial Production: Manufacturing (NAICS) yoy since 2010</v>
      </c>
    </row>
    <row r="2" spans="1:25" x14ac:dyDescent="0.2">
      <c r="A2" s="16"/>
      <c r="B2" s="75"/>
      <c r="C2" s="75"/>
      <c r="U2" s="75"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VLOOKUP(Table13[[#This Row],[Date]],database!A:F,6,)</f>
        <v>36.042700000000004</v>
      </c>
      <c r="C7" s="67"/>
      <c r="D7" s="67"/>
    </row>
    <row r="8" spans="1:25" x14ac:dyDescent="0.2">
      <c r="A8" s="17">
        <v>26330</v>
      </c>
      <c r="B8" s="59">
        <f>VLOOKUP(Table13[[#This Row],[Date]],database!A:F,6,)</f>
        <v>36.328800000000001</v>
      </c>
      <c r="C8" s="67">
        <f t="shared" ref="C8:C71" si="0">B8/B7-1</f>
        <v>7.9378071010218765E-3</v>
      </c>
      <c r="D8" s="67"/>
    </row>
    <row r="9" spans="1:25" x14ac:dyDescent="0.2">
      <c r="A9" s="17">
        <v>26359</v>
      </c>
      <c r="B9" s="59">
        <f>VLOOKUP(Table13[[#This Row],[Date]],database!A:F,6,)</f>
        <v>36.573399999999999</v>
      </c>
      <c r="C9" s="67">
        <f t="shared" si="0"/>
        <v>6.7329501662591884E-3</v>
      </c>
      <c r="D9" s="67"/>
    </row>
    <row r="10" spans="1:25" x14ac:dyDescent="0.2">
      <c r="A10" s="17">
        <v>26390</v>
      </c>
      <c r="B10" s="59">
        <f>VLOOKUP(Table13[[#This Row],[Date]],database!A:F,6,)</f>
        <v>36.981999999999999</v>
      </c>
      <c r="C10" s="67">
        <f t="shared" si="0"/>
        <v>1.1172054006463705E-2</v>
      </c>
      <c r="D10" s="67"/>
    </row>
    <row r="11" spans="1:25" x14ac:dyDescent="0.2">
      <c r="A11" s="17">
        <v>26420</v>
      </c>
      <c r="B11" s="59">
        <f>VLOOKUP(Table13[[#This Row],[Date]],database!A:F,6,)</f>
        <v>37.053699999999999</v>
      </c>
      <c r="C11" s="67">
        <f t="shared" si="0"/>
        <v>1.9387810286084495E-3</v>
      </c>
      <c r="D11" s="67"/>
    </row>
    <row r="12" spans="1:25" x14ac:dyDescent="0.2">
      <c r="A12" s="17">
        <v>26451</v>
      </c>
      <c r="B12" s="59">
        <f>VLOOKUP(Table13[[#This Row],[Date]],database!A:F,6,)</f>
        <v>37.163400000000003</v>
      </c>
      <c r="C12" s="67">
        <f t="shared" si="0"/>
        <v>2.9605680404387602E-3</v>
      </c>
      <c r="D12" s="67"/>
    </row>
    <row r="13" spans="1:25" x14ac:dyDescent="0.2">
      <c r="A13" s="17">
        <v>26481</v>
      </c>
      <c r="B13" s="59">
        <f>VLOOKUP(Table13[[#This Row],[Date]],database!A:F,6,)</f>
        <v>37.153399999999998</v>
      </c>
      <c r="C13" s="67">
        <f t="shared" si="0"/>
        <v>-2.6908194621599879E-4</v>
      </c>
      <c r="D13" s="67"/>
    </row>
    <row r="14" spans="1:25" x14ac:dyDescent="0.2">
      <c r="A14" s="17">
        <v>26512</v>
      </c>
      <c r="B14" s="59">
        <f>VLOOKUP(Table13[[#This Row],[Date]],database!A:F,6,)</f>
        <v>37.650799999999997</v>
      </c>
      <c r="C14" s="67">
        <f t="shared" si="0"/>
        <v>1.3387738403483951E-2</v>
      </c>
      <c r="D14" s="67"/>
    </row>
    <row r="15" spans="1:25" x14ac:dyDescent="0.2">
      <c r="A15" s="17">
        <v>26543</v>
      </c>
      <c r="B15" s="59">
        <f>VLOOKUP(Table13[[#This Row],[Date]],database!A:F,6,)</f>
        <v>37.918900000000001</v>
      </c>
      <c r="C15" s="67">
        <f t="shared" si="0"/>
        <v>7.1206986305736297E-3</v>
      </c>
      <c r="D15" s="67"/>
    </row>
    <row r="16" spans="1:25" x14ac:dyDescent="0.2">
      <c r="A16" s="17">
        <v>26573</v>
      </c>
      <c r="B16" s="59">
        <f>VLOOKUP(Table13[[#This Row],[Date]],database!A:F,6,)</f>
        <v>38.487000000000002</v>
      </c>
      <c r="C16" s="67">
        <f t="shared" si="0"/>
        <v>1.4981974688084376E-2</v>
      </c>
      <c r="D16" s="67"/>
    </row>
    <row r="17" spans="1:4" x14ac:dyDescent="0.2">
      <c r="A17" s="17">
        <v>26604</v>
      </c>
      <c r="B17" s="59">
        <f>VLOOKUP(Table13[[#This Row],[Date]],database!A:F,6,)</f>
        <v>38.985300000000002</v>
      </c>
      <c r="C17" s="67">
        <f t="shared" si="0"/>
        <v>1.2947228934445443E-2</v>
      </c>
      <c r="D17" s="67"/>
    </row>
    <row r="18" spans="1:4" x14ac:dyDescent="0.2">
      <c r="A18" s="17">
        <v>26634</v>
      </c>
      <c r="B18" s="59">
        <f>VLOOKUP(Table13[[#This Row],[Date]],database!A:F,6,)</f>
        <v>39.549300000000002</v>
      </c>
      <c r="C18" s="67">
        <f t="shared" si="0"/>
        <v>1.4466991404452401E-2</v>
      </c>
      <c r="D18" s="67"/>
    </row>
    <row r="19" spans="1:4" x14ac:dyDescent="0.2">
      <c r="A19" s="17">
        <v>26665</v>
      </c>
      <c r="B19" s="59">
        <f>VLOOKUP(Table13[[#This Row],[Date]],database!A:F,6,)</f>
        <v>39.8491</v>
      </c>
      <c r="C19" s="67">
        <f t="shared" si="0"/>
        <v>7.5804122955398512E-3</v>
      </c>
      <c r="D19" s="67"/>
    </row>
    <row r="20" spans="1:4" x14ac:dyDescent="0.2">
      <c r="A20" s="17">
        <v>26696</v>
      </c>
      <c r="B20" s="59">
        <f>VLOOKUP(Table13[[#This Row],[Date]],database!A:F,6,)</f>
        <v>40.485900000000001</v>
      </c>
      <c r="C20" s="67">
        <f t="shared" si="0"/>
        <v>1.5980285627529955E-2</v>
      </c>
      <c r="D20" s="67">
        <f>(Table13[[#This Row],[Index]]-B8)/B8</f>
        <v>0.1144298738191187</v>
      </c>
    </row>
    <row r="21" spans="1:4" x14ac:dyDescent="0.2">
      <c r="A21" s="17">
        <v>26724</v>
      </c>
      <c r="B21" s="59">
        <f>VLOOKUP(Table13[[#This Row],[Date]],database!A:F,6,)</f>
        <v>40.561</v>
      </c>
      <c r="C21" s="67">
        <f t="shared" si="0"/>
        <v>1.8549667909073531E-3</v>
      </c>
      <c r="D21" s="67">
        <f>(Table13[[#This Row],[Index]]-B9)/B9</f>
        <v>0.10903006009832283</v>
      </c>
    </row>
    <row r="22" spans="1:4" x14ac:dyDescent="0.2">
      <c r="A22" s="17">
        <v>26755</v>
      </c>
      <c r="B22" s="59">
        <f>VLOOKUP(Table13[[#This Row],[Date]],database!A:F,6,)</f>
        <v>40.4985</v>
      </c>
      <c r="C22" s="67">
        <f t="shared" si="0"/>
        <v>-1.540889031335535E-3</v>
      </c>
      <c r="D22" s="67">
        <f>(Table13[[#This Row],[Index]]-B10)/B10</f>
        <v>9.5086798983289186E-2</v>
      </c>
    </row>
    <row r="23" spans="1:4" x14ac:dyDescent="0.2">
      <c r="A23" s="17">
        <v>26785</v>
      </c>
      <c r="B23" s="59">
        <f>VLOOKUP(Table13[[#This Row],[Date]],database!A:F,6,)</f>
        <v>40.768000000000001</v>
      </c>
      <c r="C23" s="67">
        <f t="shared" si="0"/>
        <v>6.6545674531155452E-3</v>
      </c>
      <c r="D23" s="67">
        <f>(Table13[[#This Row],[Index]]-B11)/B11</f>
        <v>0.10024100157339218</v>
      </c>
    </row>
    <row r="24" spans="1:4" x14ac:dyDescent="0.2">
      <c r="A24" s="17">
        <v>26816</v>
      </c>
      <c r="B24" s="59">
        <f>VLOOKUP(Table13[[#This Row],[Date]],database!A:F,6,)</f>
        <v>40.7744</v>
      </c>
      <c r="C24" s="67">
        <f t="shared" si="0"/>
        <v>1.5698587127155328E-4</v>
      </c>
      <c r="D24" s="67">
        <f>(Table13[[#This Row],[Index]]-B12)/B12</f>
        <v>9.7165490778561611E-2</v>
      </c>
    </row>
    <row r="25" spans="1:4" x14ac:dyDescent="0.2">
      <c r="A25" s="17">
        <v>26846</v>
      </c>
      <c r="B25" s="59">
        <f>VLOOKUP(Table13[[#This Row],[Date]],database!A:F,6,)</f>
        <v>40.9621</v>
      </c>
      <c r="C25" s="67">
        <f t="shared" si="0"/>
        <v>4.6033785904882052E-3</v>
      </c>
      <c r="D25" s="67">
        <f>(Table13[[#This Row],[Index]]-B13)/B13</f>
        <v>0.10251282520576857</v>
      </c>
    </row>
    <row r="26" spans="1:4" x14ac:dyDescent="0.2">
      <c r="A26" s="17">
        <v>26877</v>
      </c>
      <c r="B26" s="59">
        <f>VLOOKUP(Table13[[#This Row],[Date]],database!A:F,6,)</f>
        <v>40.8521</v>
      </c>
      <c r="C26" s="67">
        <f t="shared" si="0"/>
        <v>-2.6854091953293358E-3</v>
      </c>
      <c r="D26" s="67">
        <f>(Table13[[#This Row],[Index]]-B14)/B14</f>
        <v>8.5026081783122903E-2</v>
      </c>
    </row>
    <row r="27" spans="1:4" x14ac:dyDescent="0.2">
      <c r="A27" s="17">
        <v>26908</v>
      </c>
      <c r="B27" s="59">
        <f>VLOOKUP(Table13[[#This Row],[Date]],database!A:F,6,)</f>
        <v>41.189399999999999</v>
      </c>
      <c r="C27" s="67">
        <f t="shared" si="0"/>
        <v>8.2566134911057354E-3</v>
      </c>
      <c r="D27" s="67">
        <f>(Table13[[#This Row],[Index]]-B15)/B15</f>
        <v>8.6249864843125676E-2</v>
      </c>
    </row>
    <row r="28" spans="1:4" x14ac:dyDescent="0.2">
      <c r="A28" s="17">
        <v>26938</v>
      </c>
      <c r="B28" s="59">
        <f>VLOOKUP(Table13[[#This Row],[Date]],database!A:F,6,)</f>
        <v>41.597099999999998</v>
      </c>
      <c r="C28" s="67">
        <f t="shared" si="0"/>
        <v>9.8981776864921489E-3</v>
      </c>
      <c r="D28" s="67">
        <f>(Table13[[#This Row],[Index]]-B16)/B16</f>
        <v>8.0809104372905019E-2</v>
      </c>
    </row>
    <row r="29" spans="1:4" x14ac:dyDescent="0.2">
      <c r="A29" s="17">
        <v>26969</v>
      </c>
      <c r="B29" s="59">
        <f>VLOOKUP(Table13[[#This Row],[Date]],database!A:F,6,)</f>
        <v>41.885599999999997</v>
      </c>
      <c r="C29" s="67">
        <f t="shared" si="0"/>
        <v>6.9355796437731154E-3</v>
      </c>
      <c r="D29" s="67">
        <f>(Table13[[#This Row],[Index]]-B17)/B17</f>
        <v>7.4394707748817998E-2</v>
      </c>
    </row>
    <row r="30" spans="1:4" x14ac:dyDescent="0.2">
      <c r="A30" s="17">
        <v>26999</v>
      </c>
      <c r="B30" s="59">
        <f>VLOOKUP(Table13[[#This Row],[Date]],database!A:F,6,)</f>
        <v>41.890099999999997</v>
      </c>
      <c r="C30" s="67">
        <f t="shared" si="0"/>
        <v>1.074354909562647E-4</v>
      </c>
      <c r="D30" s="67">
        <f>(Table13[[#This Row],[Index]]-B18)/B18</f>
        <v>5.9186888263508944E-2</v>
      </c>
    </row>
    <row r="31" spans="1:4" x14ac:dyDescent="0.2">
      <c r="A31" s="17">
        <v>27030</v>
      </c>
      <c r="B31" s="59">
        <f>VLOOKUP(Table13[[#This Row],[Date]],database!A:F,6,)</f>
        <v>41.5396</v>
      </c>
      <c r="C31" s="67">
        <f t="shared" si="0"/>
        <v>-8.3671320908758062E-3</v>
      </c>
      <c r="D31" s="67">
        <f>(Table13[[#This Row],[Index]]-B19)/B19</f>
        <v>4.242253902848496E-2</v>
      </c>
    </row>
    <row r="32" spans="1:4" x14ac:dyDescent="0.2">
      <c r="A32" s="17">
        <v>27061</v>
      </c>
      <c r="B32" s="59">
        <f>VLOOKUP(Table13[[#This Row],[Date]],database!A:F,6,)</f>
        <v>41.368299999999998</v>
      </c>
      <c r="C32" s="67">
        <f t="shared" si="0"/>
        <v>-4.1237758668837277E-3</v>
      </c>
      <c r="D32" s="67">
        <f>(Table13[[#This Row],[Index]]-B20)/B20</f>
        <v>2.1795242294230757E-2</v>
      </c>
    </row>
    <row r="33" spans="1:4" x14ac:dyDescent="0.2">
      <c r="A33" s="17">
        <v>27089</v>
      </c>
      <c r="B33" s="59">
        <f>VLOOKUP(Table13[[#This Row],[Date]],database!A:F,6,)</f>
        <v>41.347900000000003</v>
      </c>
      <c r="C33" s="67">
        <f t="shared" si="0"/>
        <v>-4.9313121399707782E-4</v>
      </c>
      <c r="D33" s="67">
        <f>(Table13[[#This Row],[Index]]-B21)/B21</f>
        <v>1.9400409260126792E-2</v>
      </c>
    </row>
    <row r="34" spans="1:4" x14ac:dyDescent="0.2">
      <c r="A34" s="17">
        <v>27120</v>
      </c>
      <c r="B34" s="59">
        <f>VLOOKUP(Table13[[#This Row],[Date]],database!A:F,6,)</f>
        <v>41.171300000000002</v>
      </c>
      <c r="C34" s="67">
        <f t="shared" si="0"/>
        <v>-4.2710754355118619E-3</v>
      </c>
      <c r="D34" s="67">
        <f>(Table13[[#This Row],[Index]]-B22)/B22</f>
        <v>1.6612960973863285E-2</v>
      </c>
    </row>
    <row r="35" spans="1:4" x14ac:dyDescent="0.2">
      <c r="A35" s="17">
        <v>27150</v>
      </c>
      <c r="B35" s="59">
        <f>VLOOKUP(Table13[[#This Row],[Date]],database!A:F,6,)</f>
        <v>41.461500000000001</v>
      </c>
      <c r="C35" s="67">
        <f t="shared" si="0"/>
        <v>7.0485993884088494E-3</v>
      </c>
      <c r="D35" s="67">
        <f>(Table13[[#This Row],[Index]]-B23)/B23</f>
        <v>1.7010890894819473E-2</v>
      </c>
    </row>
    <row r="36" spans="1:4" x14ac:dyDescent="0.2">
      <c r="A36" s="17">
        <v>27181</v>
      </c>
      <c r="B36" s="59">
        <f>VLOOKUP(Table13[[#This Row],[Date]],database!A:F,6,)</f>
        <v>41.482300000000002</v>
      </c>
      <c r="C36" s="67">
        <f t="shared" si="0"/>
        <v>5.016702241840143E-4</v>
      </c>
      <c r="D36" s="67">
        <f>(Table13[[#This Row],[Index]]-B24)/B24</f>
        <v>1.7361383613247582E-2</v>
      </c>
    </row>
    <row r="37" spans="1:4" x14ac:dyDescent="0.2">
      <c r="A37" s="17">
        <v>27211</v>
      </c>
      <c r="B37" s="59">
        <f>VLOOKUP(Table13[[#This Row],[Date]],database!A:F,6,)</f>
        <v>41.462499999999999</v>
      </c>
      <c r="C37" s="67">
        <f t="shared" si="0"/>
        <v>-4.7731201018275105E-4</v>
      </c>
      <c r="D37" s="67">
        <f>(Table13[[#This Row],[Index]]-B25)/B25</f>
        <v>1.2216170557661816E-2</v>
      </c>
    </row>
    <row r="38" spans="1:4" x14ac:dyDescent="0.2">
      <c r="A38" s="17">
        <v>27242</v>
      </c>
      <c r="B38" s="59">
        <f>VLOOKUP(Table13[[#This Row],[Date]],database!A:F,6,)</f>
        <v>41.0702</v>
      </c>
      <c r="C38" s="67">
        <f t="shared" si="0"/>
        <v>-9.4615616520952184E-3</v>
      </c>
      <c r="D38" s="67">
        <f>(Table13[[#This Row],[Index]]-B26)/B26</f>
        <v>5.3387708343022693E-3</v>
      </c>
    </row>
    <row r="39" spans="1:4" x14ac:dyDescent="0.2">
      <c r="A39" s="17">
        <v>27273</v>
      </c>
      <c r="B39" s="59">
        <f>VLOOKUP(Table13[[#This Row],[Date]],database!A:F,6,)</f>
        <v>41.125500000000002</v>
      </c>
      <c r="C39" s="67">
        <f t="shared" si="0"/>
        <v>1.3464750597758091E-3</v>
      </c>
      <c r="D39" s="67">
        <f>(Table13[[#This Row],[Index]]-B27)/B27</f>
        <v>-1.5513700126730842E-3</v>
      </c>
    </row>
    <row r="40" spans="1:4" x14ac:dyDescent="0.2">
      <c r="A40" s="17">
        <v>27303</v>
      </c>
      <c r="B40" s="59">
        <f>VLOOKUP(Table13[[#This Row],[Date]],database!A:F,6,)</f>
        <v>40.834299999999999</v>
      </c>
      <c r="C40" s="67">
        <f t="shared" si="0"/>
        <v>-7.0807649755019186E-3</v>
      </c>
      <c r="D40" s="67">
        <f>(Table13[[#This Row],[Index]]-B28)/B28</f>
        <v>-1.8337816818960906E-2</v>
      </c>
    </row>
    <row r="41" spans="1:4" x14ac:dyDescent="0.2">
      <c r="A41" s="17">
        <v>27334</v>
      </c>
      <c r="B41" s="59">
        <f>VLOOKUP(Table13[[#This Row],[Date]],database!A:F,6,)</f>
        <v>39.579599999999999</v>
      </c>
      <c r="C41" s="67">
        <f t="shared" si="0"/>
        <v>-3.0726619533088639E-2</v>
      </c>
      <c r="D41" s="67">
        <f>(Table13[[#This Row],[Index]]-B29)/B29</f>
        <v>-5.5054720476727027E-2</v>
      </c>
    </row>
    <row r="42" spans="1:4" x14ac:dyDescent="0.2">
      <c r="A42" s="17">
        <v>27364</v>
      </c>
      <c r="B42" s="59">
        <f>VLOOKUP(Table13[[#This Row],[Date]],database!A:F,6,)</f>
        <v>37.755899999999997</v>
      </c>
      <c r="C42" s="67">
        <f t="shared" si="0"/>
        <v>-4.6076766819270643E-2</v>
      </c>
      <c r="D42" s="67">
        <f>(Table13[[#This Row],[Index]]-B30)/B30</f>
        <v>-9.869157629129556E-2</v>
      </c>
    </row>
    <row r="43" spans="1:4" x14ac:dyDescent="0.2">
      <c r="A43" s="17">
        <v>27395</v>
      </c>
      <c r="B43" s="59">
        <f>VLOOKUP(Table13[[#This Row],[Date]],database!A:F,6,)</f>
        <v>36.9621</v>
      </c>
      <c r="C43" s="67">
        <f t="shared" si="0"/>
        <v>-2.102452861671944E-2</v>
      </c>
      <c r="D43" s="67">
        <f>(Table13[[#This Row],[Index]]-B31)/B31</f>
        <v>-0.11019605388593055</v>
      </c>
    </row>
    <row r="44" spans="1:4" x14ac:dyDescent="0.2">
      <c r="A44" s="17">
        <v>27426</v>
      </c>
      <c r="B44" s="59">
        <f>VLOOKUP(Table13[[#This Row],[Date]],database!A:F,6,)</f>
        <v>35.9238</v>
      </c>
      <c r="C44" s="67">
        <f t="shared" si="0"/>
        <v>-2.8090936391601096E-2</v>
      </c>
      <c r="D44" s="67">
        <f>(Table13[[#This Row],[Index]]-B32)/B32</f>
        <v>-0.13161043601018166</v>
      </c>
    </row>
    <row r="45" spans="1:4" x14ac:dyDescent="0.2">
      <c r="A45" s="17">
        <v>27454</v>
      </c>
      <c r="B45" s="59">
        <f>VLOOKUP(Table13[[#This Row],[Date]],database!A:F,6,)</f>
        <v>35.424100000000003</v>
      </c>
      <c r="C45" s="67">
        <f t="shared" si="0"/>
        <v>-1.3909998385471356E-2</v>
      </c>
      <c r="D45" s="67">
        <f>(Table13[[#This Row],[Index]]-B33)/B33</f>
        <v>-0.14326725178304098</v>
      </c>
    </row>
    <row r="46" spans="1:4" x14ac:dyDescent="0.2">
      <c r="A46" s="17">
        <v>27485</v>
      </c>
      <c r="B46" s="59">
        <f>VLOOKUP(Table13[[#This Row],[Date]],database!A:F,6,)</f>
        <v>35.420499999999997</v>
      </c>
      <c r="C46" s="67">
        <f t="shared" si="0"/>
        <v>-1.0162572937644221E-4</v>
      </c>
      <c r="D46" s="67">
        <f>(Table13[[#This Row],[Index]]-B34)/B34</f>
        <v>-0.13967982550951769</v>
      </c>
    </row>
    <row r="47" spans="1:4" x14ac:dyDescent="0.2">
      <c r="A47" s="17">
        <v>27515</v>
      </c>
      <c r="B47" s="59">
        <f>VLOOKUP(Table13[[#This Row],[Date]],database!A:F,6,)</f>
        <v>35.355800000000002</v>
      </c>
      <c r="C47" s="67">
        <f t="shared" si="0"/>
        <v>-1.8266258240282607E-3</v>
      </c>
      <c r="D47" s="67">
        <f>(Table13[[#This Row],[Index]]-B35)/B35</f>
        <v>-0.14726191768266944</v>
      </c>
    </row>
    <row r="48" spans="1:4" x14ac:dyDescent="0.2">
      <c r="A48" s="17">
        <v>27546</v>
      </c>
      <c r="B48" s="59">
        <f>VLOOKUP(Table13[[#This Row],[Date]],database!A:F,6,)</f>
        <v>35.6616</v>
      </c>
      <c r="C48" s="67">
        <f t="shared" si="0"/>
        <v>8.6492173844177067E-3</v>
      </c>
      <c r="D48" s="67">
        <f>(Table13[[#This Row],[Index]]-B36)/B36</f>
        <v>-0.1403176776601105</v>
      </c>
    </row>
    <row r="49" spans="1:4" x14ac:dyDescent="0.2">
      <c r="A49" s="17">
        <v>27576</v>
      </c>
      <c r="B49" s="59">
        <f>VLOOKUP(Table13[[#This Row],[Date]],database!A:F,6,)</f>
        <v>36.1755</v>
      </c>
      <c r="C49" s="67">
        <f t="shared" si="0"/>
        <v>1.4410458308096175E-2</v>
      </c>
      <c r="D49" s="67">
        <f>(Table13[[#This Row],[Index]]-B37)/B37</f>
        <v>-0.1275128127826349</v>
      </c>
    </row>
    <row r="50" spans="1:4" x14ac:dyDescent="0.2">
      <c r="A50" s="17">
        <v>27607</v>
      </c>
      <c r="B50" s="59">
        <f>VLOOKUP(Table13[[#This Row],[Date]],database!A:F,6,)</f>
        <v>36.552500000000002</v>
      </c>
      <c r="C50" s="67">
        <f t="shared" si="0"/>
        <v>1.0421417810396516E-2</v>
      </c>
      <c r="D50" s="67">
        <f>(Table13[[#This Row],[Index]]-B38)/B38</f>
        <v>-0.10999946433180256</v>
      </c>
    </row>
    <row r="51" spans="1:4" x14ac:dyDescent="0.2">
      <c r="A51" s="17">
        <v>27638</v>
      </c>
      <c r="B51" s="59">
        <f>VLOOKUP(Table13[[#This Row],[Date]],database!A:F,6,)</f>
        <v>37.187399999999997</v>
      </c>
      <c r="C51" s="67">
        <f t="shared" si="0"/>
        <v>1.7369536967375643E-2</v>
      </c>
      <c r="D51" s="67">
        <f>(Table13[[#This Row],[Index]]-B39)/B39</f>
        <v>-9.5758106284422204E-2</v>
      </c>
    </row>
    <row r="52" spans="1:4" x14ac:dyDescent="0.2">
      <c r="A52" s="17">
        <v>27668</v>
      </c>
      <c r="B52" s="59">
        <f>VLOOKUP(Table13[[#This Row],[Date]],database!A:F,6,)</f>
        <v>37.390799999999999</v>
      </c>
      <c r="C52" s="67">
        <f t="shared" si="0"/>
        <v>5.46959454008622E-3</v>
      </c>
      <c r="D52" s="67">
        <f>(Table13[[#This Row],[Index]]-B40)/B40</f>
        <v>-8.4328615893991085E-2</v>
      </c>
    </row>
    <row r="53" spans="1:4" x14ac:dyDescent="0.2">
      <c r="A53" s="17">
        <v>27699</v>
      </c>
      <c r="B53" s="59">
        <f>VLOOKUP(Table13[[#This Row],[Date]],database!A:F,6,)</f>
        <v>37.473399999999998</v>
      </c>
      <c r="C53" s="67">
        <f t="shared" si="0"/>
        <v>2.2090995645986933E-3</v>
      </c>
      <c r="D53" s="67">
        <f>(Table13[[#This Row],[Index]]-B41)/B41</f>
        <v>-5.3214282104922767E-2</v>
      </c>
    </row>
    <row r="54" spans="1:4" x14ac:dyDescent="0.2">
      <c r="A54" s="17">
        <v>27729</v>
      </c>
      <c r="B54" s="59">
        <f>VLOOKUP(Table13[[#This Row],[Date]],database!A:F,6,)</f>
        <v>38.001800000000003</v>
      </c>
      <c r="C54" s="67">
        <f t="shared" si="0"/>
        <v>1.4100668741027E-2</v>
      </c>
      <c r="D54" s="67">
        <f>(Table13[[#This Row],[Index]]-B42)/B42</f>
        <v>6.5128893762301E-3</v>
      </c>
    </row>
    <row r="55" spans="1:4" x14ac:dyDescent="0.2">
      <c r="A55" s="17">
        <v>27760</v>
      </c>
      <c r="B55" s="59">
        <f>VLOOKUP(Table13[[#This Row],[Date]],database!A:F,6,)</f>
        <v>38.473199999999999</v>
      </c>
      <c r="C55" s="67">
        <f t="shared" si="0"/>
        <v>1.2404675567999401E-2</v>
      </c>
      <c r="D55" s="67">
        <f>(Table13[[#This Row],[Index]]-B43)/B43</f>
        <v>4.0882417395115514E-2</v>
      </c>
    </row>
    <row r="56" spans="1:4" x14ac:dyDescent="0.2">
      <c r="A56" s="17">
        <v>27791</v>
      </c>
      <c r="B56" s="59">
        <f>VLOOKUP(Table13[[#This Row],[Date]],database!A:F,6,)</f>
        <v>39.0839</v>
      </c>
      <c r="C56" s="67">
        <f t="shared" si="0"/>
        <v>1.587338718900444E-2</v>
      </c>
      <c r="D56" s="67">
        <f>(Table13[[#This Row],[Index]]-B44)/B44</f>
        <v>8.7966751846964966E-2</v>
      </c>
    </row>
    <row r="57" spans="1:4" x14ac:dyDescent="0.2">
      <c r="A57" s="17">
        <v>27820</v>
      </c>
      <c r="B57" s="59">
        <f>VLOOKUP(Table13[[#This Row],[Date]],database!A:F,6,)</f>
        <v>39.201799999999999</v>
      </c>
      <c r="C57" s="67">
        <f t="shared" si="0"/>
        <v>3.0165873927627818E-3</v>
      </c>
      <c r="D57" s="67">
        <f>(Table13[[#This Row],[Index]]-B45)/B45</f>
        <v>0.10664208829582109</v>
      </c>
    </row>
    <row r="58" spans="1:4" x14ac:dyDescent="0.2">
      <c r="A58" s="17">
        <v>27851</v>
      </c>
      <c r="B58" s="59">
        <f>VLOOKUP(Table13[[#This Row],[Date]],database!A:F,6,)</f>
        <v>39.415300000000002</v>
      </c>
      <c r="C58" s="67">
        <f t="shared" si="0"/>
        <v>5.4461784918040657E-3</v>
      </c>
      <c r="D58" s="67">
        <f>(Table13[[#This Row],[Index]]-B46)/B46</f>
        <v>0.1127821459324404</v>
      </c>
    </row>
    <row r="59" spans="1:4" x14ac:dyDescent="0.2">
      <c r="A59" s="17">
        <v>27881</v>
      </c>
      <c r="B59" s="59">
        <f>VLOOKUP(Table13[[#This Row],[Date]],database!A:F,6,)</f>
        <v>39.605200000000004</v>
      </c>
      <c r="C59" s="67">
        <f t="shared" si="0"/>
        <v>4.817926033799047E-3</v>
      </c>
      <c r="D59" s="67">
        <f>(Table13[[#This Row],[Index]]-B47)/B47</f>
        <v>0.12018961528235823</v>
      </c>
    </row>
    <row r="60" spans="1:4" x14ac:dyDescent="0.2">
      <c r="A60" s="17">
        <v>27912</v>
      </c>
      <c r="B60" s="59">
        <f>VLOOKUP(Table13[[#This Row],[Date]],database!A:F,6,)</f>
        <v>39.658200000000001</v>
      </c>
      <c r="C60" s="67">
        <f t="shared" si="0"/>
        <v>1.3382081140860258E-3</v>
      </c>
      <c r="D60" s="67">
        <f>(Table13[[#This Row],[Index]]-B48)/B48</f>
        <v>0.11207012584965344</v>
      </c>
    </row>
    <row r="61" spans="1:4" x14ac:dyDescent="0.2">
      <c r="A61" s="17">
        <v>27942</v>
      </c>
      <c r="B61" s="59">
        <f>VLOOKUP(Table13[[#This Row],[Date]],database!A:F,6,)</f>
        <v>39.924900000000001</v>
      </c>
      <c r="C61" s="67">
        <f t="shared" si="0"/>
        <v>6.7249648244247506E-3</v>
      </c>
      <c r="D61" s="67">
        <f>(Table13[[#This Row],[Index]]-B49)/B49</f>
        <v>0.10364473193183235</v>
      </c>
    </row>
    <row r="62" spans="1:4" x14ac:dyDescent="0.2">
      <c r="A62" s="17">
        <v>27973</v>
      </c>
      <c r="B62" s="59">
        <f>VLOOKUP(Table13[[#This Row],[Date]],database!A:F,6,)</f>
        <v>40.181699999999999</v>
      </c>
      <c r="C62" s="67">
        <f t="shared" si="0"/>
        <v>6.432076223108929E-3</v>
      </c>
      <c r="D62" s="67">
        <f>(Table13[[#This Row],[Index]]-B50)/B50</f>
        <v>9.9287326448259272E-2</v>
      </c>
    </row>
    <row r="63" spans="1:4" x14ac:dyDescent="0.2">
      <c r="A63" s="17">
        <v>28004</v>
      </c>
      <c r="B63" s="59">
        <f>VLOOKUP(Table13[[#This Row],[Date]],database!A:F,6,)</f>
        <v>40.281700000000001</v>
      </c>
      <c r="C63" s="67">
        <f t="shared" si="0"/>
        <v>2.4886951024969406E-3</v>
      </c>
      <c r="D63" s="67">
        <f>(Table13[[#This Row],[Index]]-B51)/B51</f>
        <v>8.3208290980278377E-2</v>
      </c>
    </row>
    <row r="64" spans="1:4" x14ac:dyDescent="0.2">
      <c r="A64" s="17">
        <v>28034</v>
      </c>
      <c r="B64" s="59">
        <f>VLOOKUP(Table13[[#This Row],[Date]],database!A:F,6,)</f>
        <v>40.221899999999998</v>
      </c>
      <c r="C64" s="67">
        <f t="shared" si="0"/>
        <v>-1.4845450911953328E-3</v>
      </c>
      <c r="D64" s="67">
        <f>(Table13[[#This Row],[Index]]-B52)/B52</f>
        <v>7.571648640842131E-2</v>
      </c>
    </row>
    <row r="65" spans="1:4" x14ac:dyDescent="0.2">
      <c r="A65" s="17">
        <v>28065</v>
      </c>
      <c r="B65" s="59">
        <f>VLOOKUP(Table13[[#This Row],[Date]],database!A:F,6,)</f>
        <v>40.765999999999998</v>
      </c>
      <c r="C65" s="67">
        <f t="shared" si="0"/>
        <v>1.3527456435424412E-2</v>
      </c>
      <c r="D65" s="67">
        <f>(Table13[[#This Row],[Index]]-B53)/B53</f>
        <v>8.7864992234491679E-2</v>
      </c>
    </row>
    <row r="66" spans="1:4" x14ac:dyDescent="0.2">
      <c r="A66" s="17">
        <v>28095</v>
      </c>
      <c r="B66" s="59">
        <f>VLOOKUP(Table13[[#This Row],[Date]],database!A:F,6,)</f>
        <v>41.208300000000001</v>
      </c>
      <c r="C66" s="67">
        <f t="shared" si="0"/>
        <v>1.084972771427184E-2</v>
      </c>
      <c r="D66" s="67">
        <f>(Table13[[#This Row],[Index]]-B54)/B54</f>
        <v>8.4377582114531363E-2</v>
      </c>
    </row>
    <row r="67" spans="1:4" x14ac:dyDescent="0.2">
      <c r="A67" s="17">
        <v>28126</v>
      </c>
      <c r="B67" s="59">
        <f>VLOOKUP(Table13[[#This Row],[Date]],database!A:F,6,)</f>
        <v>41.065899999999999</v>
      </c>
      <c r="C67" s="67">
        <f t="shared" si="0"/>
        <v>-3.4556145242584657E-3</v>
      </c>
      <c r="D67" s="67">
        <f>(Table13[[#This Row],[Index]]-B55)/B55</f>
        <v>6.738976742251751E-2</v>
      </c>
    </row>
    <row r="68" spans="1:4" x14ac:dyDescent="0.2">
      <c r="A68" s="17">
        <v>28157</v>
      </c>
      <c r="B68" s="59">
        <f>VLOOKUP(Table13[[#This Row],[Date]],database!A:F,6,)</f>
        <v>41.833500000000001</v>
      </c>
      <c r="C68" s="67">
        <f t="shared" si="0"/>
        <v>1.8691907397621943E-2</v>
      </c>
      <c r="D68" s="67">
        <f>(Table13[[#This Row],[Index]]-B56)/B56</f>
        <v>7.0351218788299044E-2</v>
      </c>
    </row>
    <row r="69" spans="1:4" x14ac:dyDescent="0.2">
      <c r="A69" s="17">
        <v>28185</v>
      </c>
      <c r="B69" s="59">
        <f>VLOOKUP(Table13[[#This Row],[Date]],database!A:F,6,)</f>
        <v>42.444000000000003</v>
      </c>
      <c r="C69" s="67">
        <f t="shared" si="0"/>
        <v>1.4593567356305348E-2</v>
      </c>
      <c r="D69" s="67">
        <f>(Table13[[#This Row],[Index]]-B57)/B57</f>
        <v>8.2705385977174625E-2</v>
      </c>
    </row>
    <row r="70" spans="1:4" x14ac:dyDescent="0.2">
      <c r="A70" s="17">
        <v>28216</v>
      </c>
      <c r="B70" s="59">
        <f>VLOOKUP(Table13[[#This Row],[Date]],database!A:F,6,)</f>
        <v>42.876100000000001</v>
      </c>
      <c r="C70" s="67">
        <f t="shared" si="0"/>
        <v>1.0180473093958975E-2</v>
      </c>
      <c r="D70" s="67">
        <f>(Table13[[#This Row],[Index]]-B58)/B58</f>
        <v>8.7803467181525929E-2</v>
      </c>
    </row>
    <row r="71" spans="1:4" x14ac:dyDescent="0.2">
      <c r="A71" s="17">
        <v>28246</v>
      </c>
      <c r="B71" s="59">
        <f>VLOOKUP(Table13[[#This Row],[Date]],database!A:F,6,)</f>
        <v>43.229199999999999</v>
      </c>
      <c r="C71" s="67">
        <f t="shared" si="0"/>
        <v>8.2353572269866504E-3</v>
      </c>
      <c r="D71" s="67">
        <f>(Table13[[#This Row],[Index]]-B59)/B59</f>
        <v>9.1503135951844575E-2</v>
      </c>
    </row>
    <row r="72" spans="1:4" x14ac:dyDescent="0.2">
      <c r="A72" s="17">
        <v>28277</v>
      </c>
      <c r="B72" s="59">
        <f>VLOOKUP(Table13[[#This Row],[Date]],database!A:F,6,)</f>
        <v>43.611800000000002</v>
      </c>
      <c r="C72" s="67">
        <f t="shared" ref="C72:C135" si="1">B72/B71-1</f>
        <v>8.8504991996152249E-3</v>
      </c>
      <c r="D72" s="67">
        <f>(Table13[[#This Row],[Index]]-B60)/B60</f>
        <v>9.9691867003545334E-2</v>
      </c>
    </row>
    <row r="73" spans="1:4" x14ac:dyDescent="0.2">
      <c r="A73" s="17">
        <v>28307</v>
      </c>
      <c r="B73" s="59">
        <f>VLOOKUP(Table13[[#This Row],[Date]],database!A:F,6,)</f>
        <v>43.613199999999999</v>
      </c>
      <c r="C73" s="67">
        <f t="shared" si="1"/>
        <v>3.2101403748541202E-5</v>
      </c>
      <c r="D73" s="67">
        <f>(Table13[[#This Row],[Index]]-B61)/B61</f>
        <v>9.2380945224659256E-2</v>
      </c>
    </row>
    <row r="74" spans="1:4" x14ac:dyDescent="0.2">
      <c r="A74" s="17">
        <v>28338</v>
      </c>
      <c r="B74" s="59">
        <f>VLOOKUP(Table13[[#This Row],[Date]],database!A:F,6,)</f>
        <v>43.851900000000001</v>
      </c>
      <c r="C74" s="67">
        <f t="shared" si="1"/>
        <v>5.4731136444929884E-3</v>
      </c>
      <c r="D74" s="67">
        <f>(Table13[[#This Row],[Index]]-B62)/B62</f>
        <v>9.1340087651841539E-2</v>
      </c>
    </row>
    <row r="75" spans="1:4" x14ac:dyDescent="0.2">
      <c r="A75" s="17">
        <v>28369</v>
      </c>
      <c r="B75" s="59">
        <f>VLOOKUP(Table13[[#This Row],[Date]],database!A:F,6,)</f>
        <v>43.856000000000002</v>
      </c>
      <c r="C75" s="67">
        <f t="shared" si="1"/>
        <v>9.3496518964952813E-5</v>
      </c>
      <c r="D75" s="67">
        <f>(Table13[[#This Row],[Index]]-B63)/B63</f>
        <v>8.8732600659853E-2</v>
      </c>
    </row>
    <row r="76" spans="1:4" x14ac:dyDescent="0.2">
      <c r="A76" s="17">
        <v>28399</v>
      </c>
      <c r="B76" s="59">
        <f>VLOOKUP(Table13[[#This Row],[Date]],database!A:F,6,)</f>
        <v>43.949599999999997</v>
      </c>
      <c r="C76" s="67">
        <f t="shared" si="1"/>
        <v>2.1342575702296696E-3</v>
      </c>
      <c r="D76" s="67">
        <f>(Table13[[#This Row],[Index]]-B64)/B64</f>
        <v>9.2678366760396674E-2</v>
      </c>
    </row>
    <row r="77" spans="1:4" x14ac:dyDescent="0.2">
      <c r="A77" s="17">
        <v>28430</v>
      </c>
      <c r="B77" s="59">
        <f>VLOOKUP(Table13[[#This Row],[Date]],database!A:F,6,)</f>
        <v>44.072200000000002</v>
      </c>
      <c r="C77" s="67">
        <f t="shared" si="1"/>
        <v>2.7895589493420747E-3</v>
      </c>
      <c r="D77" s="67">
        <f>(Table13[[#This Row],[Index]]-B65)/B65</f>
        <v>8.1101898641024489E-2</v>
      </c>
    </row>
    <row r="78" spans="1:4" x14ac:dyDescent="0.2">
      <c r="A78" s="17">
        <v>28460</v>
      </c>
      <c r="B78" s="59">
        <f>VLOOKUP(Table13[[#This Row],[Date]],database!A:F,6,)</f>
        <v>44.551900000000003</v>
      </c>
      <c r="C78" s="67">
        <f t="shared" si="1"/>
        <v>1.0884412396023002E-2</v>
      </c>
      <c r="D78" s="67">
        <f>(Table13[[#This Row],[Index]]-B66)/B66</f>
        <v>8.1138993843473325E-2</v>
      </c>
    </row>
    <row r="79" spans="1:4" x14ac:dyDescent="0.2">
      <c r="A79" s="17">
        <v>28491</v>
      </c>
      <c r="B79" s="59">
        <f>VLOOKUP(Table13[[#This Row],[Date]],database!A:F,6,)</f>
        <v>43.876800000000003</v>
      </c>
      <c r="C79" s="67">
        <f t="shared" si="1"/>
        <v>-1.5153113559691067E-2</v>
      </c>
      <c r="D79" s="67">
        <f>(Table13[[#This Row],[Index]]-B67)/B67</f>
        <v>6.8448518113568765E-2</v>
      </c>
    </row>
    <row r="80" spans="1:4" x14ac:dyDescent="0.2">
      <c r="A80" s="17">
        <v>28522</v>
      </c>
      <c r="B80" s="59">
        <f>VLOOKUP(Table13[[#This Row],[Date]],database!A:F,6,)</f>
        <v>44.034999999999997</v>
      </c>
      <c r="C80" s="67">
        <f t="shared" si="1"/>
        <v>3.6055500856944089E-3</v>
      </c>
      <c r="D80" s="67">
        <f>(Table13[[#This Row],[Index]]-B68)/B68</f>
        <v>5.2625288345464656E-2</v>
      </c>
    </row>
    <row r="81" spans="1:4" x14ac:dyDescent="0.2">
      <c r="A81" s="17">
        <v>28550</v>
      </c>
      <c r="B81" s="59">
        <f>VLOOKUP(Table13[[#This Row],[Date]],database!A:F,6,)</f>
        <v>44.822099999999999</v>
      </c>
      <c r="C81" s="67">
        <f t="shared" si="1"/>
        <v>1.7874418076530008E-2</v>
      </c>
      <c r="D81" s="67">
        <f>(Table13[[#This Row],[Index]]-B69)/B69</f>
        <v>5.6029120723777123E-2</v>
      </c>
    </row>
    <row r="82" spans="1:4" x14ac:dyDescent="0.2">
      <c r="A82" s="17">
        <v>28581</v>
      </c>
      <c r="B82" s="59">
        <f>VLOOKUP(Table13[[#This Row],[Date]],database!A:F,6,)</f>
        <v>45.5167</v>
      </c>
      <c r="C82" s="67">
        <f t="shared" si="1"/>
        <v>1.5496819649235549E-2</v>
      </c>
      <c r="D82" s="67">
        <f>(Table13[[#This Row],[Index]]-B70)/B70</f>
        <v>6.1586758123989803E-2</v>
      </c>
    </row>
    <row r="83" spans="1:4" x14ac:dyDescent="0.2">
      <c r="A83" s="17">
        <v>28611</v>
      </c>
      <c r="B83" s="59">
        <f>VLOOKUP(Table13[[#This Row],[Date]],database!A:F,6,)</f>
        <v>45.757399999999997</v>
      </c>
      <c r="C83" s="67">
        <f t="shared" si="1"/>
        <v>5.2881689577670699E-3</v>
      </c>
      <c r="D83" s="67">
        <f>(Table13[[#This Row],[Index]]-B71)/B71</f>
        <v>5.848361755480088E-2</v>
      </c>
    </row>
    <row r="84" spans="1:4" x14ac:dyDescent="0.2">
      <c r="A84" s="17">
        <v>28642</v>
      </c>
      <c r="B84" s="59">
        <f>VLOOKUP(Table13[[#This Row],[Date]],database!A:F,6,)</f>
        <v>46.097099999999998</v>
      </c>
      <c r="C84" s="67">
        <f t="shared" si="1"/>
        <v>7.4239358005481204E-3</v>
      </c>
      <c r="D84" s="67">
        <f>(Table13[[#This Row],[Index]]-B72)/B72</f>
        <v>5.6986870525866741E-2</v>
      </c>
    </row>
    <row r="85" spans="1:4" x14ac:dyDescent="0.2">
      <c r="A85" s="17">
        <v>28672</v>
      </c>
      <c r="B85" s="59">
        <f>VLOOKUP(Table13[[#This Row],[Date]],database!A:F,6,)</f>
        <v>46.0535</v>
      </c>
      <c r="C85" s="67">
        <f t="shared" si="1"/>
        <v>-9.4582956411570773E-4</v>
      </c>
      <c r="D85" s="67">
        <f>(Table13[[#This Row],[Index]]-B73)/B73</f>
        <v>5.5953243513431727E-2</v>
      </c>
    </row>
    <row r="86" spans="1:4" x14ac:dyDescent="0.2">
      <c r="A86" s="17">
        <v>28703</v>
      </c>
      <c r="B86" s="59">
        <f>VLOOKUP(Table13[[#This Row],[Date]],database!A:F,6,)</f>
        <v>46.319499999999998</v>
      </c>
      <c r="C86" s="67">
        <f t="shared" si="1"/>
        <v>5.7758910831966492E-3</v>
      </c>
      <c r="D86" s="67">
        <f>(Table13[[#This Row],[Index]]-B74)/B74</f>
        <v>5.627122199950281E-2</v>
      </c>
    </row>
    <row r="87" spans="1:4" x14ac:dyDescent="0.2">
      <c r="A87" s="17">
        <v>28734</v>
      </c>
      <c r="B87" s="59">
        <f>VLOOKUP(Table13[[#This Row],[Date]],database!A:F,6,)</f>
        <v>46.561399999999999</v>
      </c>
      <c r="C87" s="67">
        <f t="shared" si="1"/>
        <v>5.2224225218320264E-3</v>
      </c>
      <c r="D87" s="67">
        <f>(Table13[[#This Row],[Index]]-B75)/B75</f>
        <v>6.1688252462604828E-2</v>
      </c>
    </row>
    <row r="88" spans="1:4" x14ac:dyDescent="0.2">
      <c r="A88" s="17">
        <v>28764</v>
      </c>
      <c r="B88" s="59">
        <f>VLOOKUP(Table13[[#This Row],[Date]],database!A:F,6,)</f>
        <v>46.891500000000001</v>
      </c>
      <c r="C88" s="67">
        <f t="shared" si="1"/>
        <v>7.0895634581433775E-3</v>
      </c>
      <c r="D88" s="67">
        <f>(Table13[[#This Row],[Index]]-B76)/B76</f>
        <v>6.693803811638796E-2</v>
      </c>
    </row>
    <row r="89" spans="1:4" x14ac:dyDescent="0.2">
      <c r="A89" s="17">
        <v>28795</v>
      </c>
      <c r="B89" s="59">
        <f>VLOOKUP(Table13[[#This Row],[Date]],database!A:F,6,)</f>
        <v>47.333399999999997</v>
      </c>
      <c r="C89" s="67">
        <f t="shared" si="1"/>
        <v>9.4238827932566771E-3</v>
      </c>
      <c r="D89" s="67">
        <f>(Table13[[#This Row],[Index]]-B77)/B77</f>
        <v>7.3996759862225966E-2</v>
      </c>
    </row>
    <row r="90" spans="1:4" x14ac:dyDescent="0.2">
      <c r="A90" s="17">
        <v>28825</v>
      </c>
      <c r="B90" s="59">
        <f>VLOOKUP(Table13[[#This Row],[Date]],database!A:F,6,)</f>
        <v>47.671399999999998</v>
      </c>
      <c r="C90" s="67">
        <f t="shared" si="1"/>
        <v>7.1408350129085196E-3</v>
      </c>
      <c r="D90" s="67">
        <f>(Table13[[#This Row],[Index]]-B78)/B78</f>
        <v>7.0019460449498111E-2</v>
      </c>
    </row>
    <row r="91" spans="1:4" x14ac:dyDescent="0.2">
      <c r="A91" s="17">
        <v>28856</v>
      </c>
      <c r="B91" s="59">
        <f>VLOOKUP(Table13[[#This Row],[Date]],database!A:F,6,)</f>
        <v>47.324800000000003</v>
      </c>
      <c r="C91" s="67">
        <f t="shared" si="1"/>
        <v>-7.2706066949994597E-3</v>
      </c>
      <c r="D91" s="67">
        <f>(Table13[[#This Row],[Index]]-B79)/B79</f>
        <v>7.8583670641432374E-2</v>
      </c>
    </row>
    <row r="92" spans="1:4" x14ac:dyDescent="0.2">
      <c r="A92" s="17">
        <v>28887</v>
      </c>
      <c r="B92" s="59">
        <f>VLOOKUP(Table13[[#This Row],[Date]],database!A:F,6,)</f>
        <v>47.465400000000002</v>
      </c>
      <c r="C92" s="67">
        <f t="shared" si="1"/>
        <v>2.9709581445669375E-3</v>
      </c>
      <c r="D92" s="67">
        <f>(Table13[[#This Row],[Index]]-B80)/B80</f>
        <v>7.7901669126831066E-2</v>
      </c>
    </row>
    <row r="93" spans="1:4" x14ac:dyDescent="0.2">
      <c r="A93" s="17">
        <v>28915</v>
      </c>
      <c r="B93" s="59">
        <f>VLOOKUP(Table13[[#This Row],[Date]],database!A:F,6,)</f>
        <v>47.694299999999998</v>
      </c>
      <c r="C93" s="67">
        <f t="shared" si="1"/>
        <v>4.8224601499196051E-3</v>
      </c>
      <c r="D93" s="67">
        <f>(Table13[[#This Row],[Index]]-B81)/B81</f>
        <v>6.4079996251848959E-2</v>
      </c>
    </row>
    <row r="94" spans="1:4" x14ac:dyDescent="0.2">
      <c r="A94" s="17">
        <v>28946</v>
      </c>
      <c r="B94" s="59">
        <f>VLOOKUP(Table13[[#This Row],[Date]],database!A:F,6,)</f>
        <v>46.894399999999997</v>
      </c>
      <c r="C94" s="67">
        <f t="shared" si="1"/>
        <v>-1.6771396162644225E-2</v>
      </c>
      <c r="D94" s="67">
        <f>(Table13[[#This Row],[Index]]-B82)/B82</f>
        <v>3.0268011521046061E-2</v>
      </c>
    </row>
    <row r="95" spans="1:4" x14ac:dyDescent="0.2">
      <c r="A95" s="17">
        <v>28976</v>
      </c>
      <c r="B95" s="59">
        <f>VLOOKUP(Table13[[#This Row],[Date]],database!A:F,6,)</f>
        <v>47.548900000000003</v>
      </c>
      <c r="C95" s="67">
        <f t="shared" si="1"/>
        <v>1.3956890374970277E-2</v>
      </c>
      <c r="D95" s="67">
        <f>(Table13[[#This Row],[Index]]-B83)/B83</f>
        <v>3.9152137140659356E-2</v>
      </c>
    </row>
    <row r="96" spans="1:4" x14ac:dyDescent="0.2">
      <c r="A96" s="17">
        <v>29007</v>
      </c>
      <c r="B96" s="59">
        <f>VLOOKUP(Table13[[#This Row],[Date]],database!A:F,6,)</f>
        <v>47.599899999999998</v>
      </c>
      <c r="C96" s="67">
        <f t="shared" si="1"/>
        <v>1.072580017623892E-3</v>
      </c>
      <c r="D96" s="67">
        <f>(Table13[[#This Row],[Index]]-B84)/B84</f>
        <v>3.2600749287916175E-2</v>
      </c>
    </row>
    <row r="97" spans="1:4" x14ac:dyDescent="0.2">
      <c r="A97" s="17">
        <v>29037</v>
      </c>
      <c r="B97" s="59">
        <f>VLOOKUP(Table13[[#This Row],[Date]],database!A:F,6,)</f>
        <v>47.630299999999998</v>
      </c>
      <c r="C97" s="67">
        <f t="shared" si="1"/>
        <v>6.3865680390096102E-4</v>
      </c>
      <c r="D97" s="67">
        <f>(Table13[[#This Row],[Index]]-B85)/B85</f>
        <v>3.4238440075129981E-2</v>
      </c>
    </row>
    <row r="98" spans="1:4" x14ac:dyDescent="0.2">
      <c r="A98" s="17">
        <v>29068</v>
      </c>
      <c r="B98" s="59">
        <f>VLOOKUP(Table13[[#This Row],[Date]],database!A:F,6,)</f>
        <v>47.007599999999996</v>
      </c>
      <c r="C98" s="67">
        <f t="shared" si="1"/>
        <v>-1.3073610705790273E-2</v>
      </c>
      <c r="D98" s="67">
        <f>(Table13[[#This Row],[Index]]-B86)/B86</f>
        <v>1.4855514416174585E-2</v>
      </c>
    </row>
    <row r="99" spans="1:4" x14ac:dyDescent="0.2">
      <c r="A99" s="17">
        <v>29099</v>
      </c>
      <c r="B99" s="59">
        <f>VLOOKUP(Table13[[#This Row],[Date]],database!A:F,6,)</f>
        <v>47.064</v>
      </c>
      <c r="C99" s="67">
        <f t="shared" si="1"/>
        <v>1.1998059888189694E-3</v>
      </c>
      <c r="D99" s="67">
        <f>(Table13[[#This Row],[Index]]-B87)/B87</f>
        <v>1.0794348967170254E-2</v>
      </c>
    </row>
    <row r="100" spans="1:4" x14ac:dyDescent="0.2">
      <c r="A100" s="17">
        <v>29129</v>
      </c>
      <c r="B100" s="59">
        <f>VLOOKUP(Table13[[#This Row],[Date]],database!A:F,6,)</f>
        <v>47.314900000000002</v>
      </c>
      <c r="C100" s="67">
        <f t="shared" si="1"/>
        <v>5.3310385857556764E-3</v>
      </c>
      <c r="D100" s="67">
        <f>(Table13[[#This Row],[Index]]-B88)/B88</f>
        <v>9.0293550003732216E-3</v>
      </c>
    </row>
    <row r="101" spans="1:4" x14ac:dyDescent="0.2">
      <c r="A101" s="17">
        <v>29160</v>
      </c>
      <c r="B101" s="59">
        <f>VLOOKUP(Table13[[#This Row],[Date]],database!A:F,6,)</f>
        <v>47.136400000000002</v>
      </c>
      <c r="C101" s="67">
        <f t="shared" si="1"/>
        <v>-3.772595947576729E-3</v>
      </c>
      <c r="D101" s="67">
        <f>(Table13[[#This Row],[Index]]-B89)/B89</f>
        <v>-4.1619659690619228E-3</v>
      </c>
    </row>
    <row r="102" spans="1:4" x14ac:dyDescent="0.2">
      <c r="A102" s="17">
        <v>29190</v>
      </c>
      <c r="B102" s="59">
        <f>VLOOKUP(Table13[[#This Row],[Date]],database!A:F,6,)</f>
        <v>47.286999999999999</v>
      </c>
      <c r="C102" s="67">
        <f t="shared" si="1"/>
        <v>3.1949830704083304E-3</v>
      </c>
      <c r="D102" s="67">
        <f>(Table13[[#This Row],[Index]]-B90)/B90</f>
        <v>-8.063534949676314E-3</v>
      </c>
    </row>
    <row r="103" spans="1:4" x14ac:dyDescent="0.2">
      <c r="A103" s="17">
        <v>29221</v>
      </c>
      <c r="B103" s="59">
        <f>VLOOKUP(Table13[[#This Row],[Date]],database!A:F,6,)</f>
        <v>47.524999999999999</v>
      </c>
      <c r="C103" s="67">
        <f t="shared" si="1"/>
        <v>5.0330957768520701E-3</v>
      </c>
      <c r="D103" s="67">
        <f>(Table13[[#This Row],[Index]]-B91)/B91</f>
        <v>4.2303401176549136E-3</v>
      </c>
    </row>
    <row r="104" spans="1:4" x14ac:dyDescent="0.2">
      <c r="A104" s="17">
        <v>29252</v>
      </c>
      <c r="B104" s="59">
        <f>VLOOKUP(Table13[[#This Row],[Date]],database!A:F,6,)</f>
        <v>47.456200000000003</v>
      </c>
      <c r="C104" s="67">
        <f t="shared" si="1"/>
        <v>-1.447659126775247E-3</v>
      </c>
      <c r="D104" s="67">
        <f>(Table13[[#This Row],[Index]]-B92)/B92</f>
        <v>-1.9382539702604158E-4</v>
      </c>
    </row>
    <row r="105" spans="1:4" x14ac:dyDescent="0.2">
      <c r="A105" s="17">
        <v>29281</v>
      </c>
      <c r="B105" s="59">
        <f>VLOOKUP(Table13[[#This Row],[Date]],database!A:F,6,)</f>
        <v>47.063600000000001</v>
      </c>
      <c r="C105" s="67">
        <f t="shared" si="1"/>
        <v>-8.2728916348128179E-3</v>
      </c>
      <c r="D105" s="67">
        <f>(Table13[[#This Row],[Index]]-B93)/B93</f>
        <v>-1.3223802425027674E-2</v>
      </c>
    </row>
    <row r="106" spans="1:4" x14ac:dyDescent="0.2">
      <c r="A106" s="17">
        <v>29312</v>
      </c>
      <c r="B106" s="59">
        <f>VLOOKUP(Table13[[#This Row],[Date]],database!A:F,6,)</f>
        <v>46.084099999999999</v>
      </c>
      <c r="C106" s="67">
        <f t="shared" si="1"/>
        <v>-2.0812262555350625E-2</v>
      </c>
      <c r="D106" s="67">
        <f>(Table13[[#This Row],[Index]]-B94)/B94</f>
        <v>-1.7279248694940078E-2</v>
      </c>
    </row>
    <row r="107" spans="1:4" x14ac:dyDescent="0.2">
      <c r="A107" s="17">
        <v>29342</v>
      </c>
      <c r="B107" s="59">
        <f>VLOOKUP(Table13[[#This Row],[Date]],database!A:F,6,)</f>
        <v>44.647599999999997</v>
      </c>
      <c r="C107" s="67">
        <f t="shared" si="1"/>
        <v>-3.1171271653346877E-2</v>
      </c>
      <c r="D107" s="67">
        <f>(Table13[[#This Row],[Index]]-B95)/B95</f>
        <v>-6.1017184414360923E-2</v>
      </c>
    </row>
    <row r="108" spans="1:4" x14ac:dyDescent="0.2">
      <c r="A108" s="17">
        <v>29373</v>
      </c>
      <c r="B108" s="59">
        <f>VLOOKUP(Table13[[#This Row],[Date]],database!A:F,6,)</f>
        <v>43.926099999999998</v>
      </c>
      <c r="C108" s="67">
        <f t="shared" si="1"/>
        <v>-1.6159883174011624E-2</v>
      </c>
      <c r="D108" s="67">
        <f>(Table13[[#This Row],[Index]]-B96)/B96</f>
        <v>-7.7180834413517682E-2</v>
      </c>
    </row>
    <row r="109" spans="1:4" x14ac:dyDescent="0.2">
      <c r="A109" s="17">
        <v>29403</v>
      </c>
      <c r="B109" s="59">
        <f>VLOOKUP(Table13[[#This Row],[Date]],database!A:F,6,)</f>
        <v>43.427500000000002</v>
      </c>
      <c r="C109" s="67">
        <f t="shared" si="1"/>
        <v>-1.1350882504934323E-2</v>
      </c>
      <c r="D109" s="67">
        <f>(Table13[[#This Row],[Index]]-B97)/B97</f>
        <v>-8.8237949372563185E-2</v>
      </c>
    </row>
    <row r="110" spans="1:4" x14ac:dyDescent="0.2">
      <c r="A110" s="17">
        <v>29434</v>
      </c>
      <c r="B110" s="59">
        <f>VLOOKUP(Table13[[#This Row],[Date]],database!A:F,6,)</f>
        <v>43.744199999999999</v>
      </c>
      <c r="C110" s="67">
        <f t="shared" si="1"/>
        <v>7.2926141269931133E-3</v>
      </c>
      <c r="D110" s="67">
        <f>(Table13[[#This Row],[Index]]-B98)/B98</f>
        <v>-6.9422816736017107E-2</v>
      </c>
    </row>
    <row r="111" spans="1:4" x14ac:dyDescent="0.2">
      <c r="A111" s="17">
        <v>29465</v>
      </c>
      <c r="B111" s="59">
        <f>VLOOKUP(Table13[[#This Row],[Date]],database!A:F,6,)</f>
        <v>44.510199999999998</v>
      </c>
      <c r="C111" s="67">
        <f t="shared" si="1"/>
        <v>1.7510892872655059E-2</v>
      </c>
      <c r="D111" s="67">
        <f>(Table13[[#This Row],[Index]]-B99)/B99</f>
        <v>-5.4262281149073659E-2</v>
      </c>
    </row>
    <row r="112" spans="1:4" x14ac:dyDescent="0.2">
      <c r="A112" s="17">
        <v>29495</v>
      </c>
      <c r="B112" s="59">
        <f>VLOOKUP(Table13[[#This Row],[Date]],database!A:F,6,)</f>
        <v>45.3538</v>
      </c>
      <c r="C112" s="67">
        <f t="shared" si="1"/>
        <v>1.8952959097016109E-2</v>
      </c>
      <c r="D112" s="67">
        <f>(Table13[[#This Row],[Index]]-B100)/B100</f>
        <v>-4.1447831444217396E-2</v>
      </c>
    </row>
    <row r="113" spans="1:4" x14ac:dyDescent="0.2">
      <c r="A113" s="17">
        <v>29526</v>
      </c>
      <c r="B113" s="59">
        <f>VLOOKUP(Table13[[#This Row],[Date]],database!A:F,6,)</f>
        <v>46.168999999999997</v>
      </c>
      <c r="C113" s="67">
        <f t="shared" si="1"/>
        <v>1.79742381013277E-2</v>
      </c>
      <c r="D113" s="67">
        <f>(Table13[[#This Row],[Index]]-B101)/B101</f>
        <v>-2.0523417146833547E-2</v>
      </c>
    </row>
    <row r="114" spans="1:4" x14ac:dyDescent="0.2">
      <c r="A114" s="17">
        <v>29556</v>
      </c>
      <c r="B114" s="59">
        <f>VLOOKUP(Table13[[#This Row],[Date]],database!A:F,6,)</f>
        <v>46.354199999999999</v>
      </c>
      <c r="C114" s="67">
        <f t="shared" si="1"/>
        <v>4.0113496068792109E-3</v>
      </c>
      <c r="D114" s="67">
        <f>(Table13[[#This Row],[Index]]-B102)/B102</f>
        <v>-1.9726351851460239E-2</v>
      </c>
    </row>
    <row r="115" spans="1:4" x14ac:dyDescent="0.2">
      <c r="A115" s="17">
        <v>29587</v>
      </c>
      <c r="B115" s="59">
        <f>VLOOKUP(Table13[[#This Row],[Date]],database!A:F,6,)</f>
        <v>46.167700000000004</v>
      </c>
      <c r="C115" s="67">
        <f t="shared" si="1"/>
        <v>-4.0233678933083716E-3</v>
      </c>
      <c r="D115" s="67">
        <f>(Table13[[#This Row],[Index]]-B103)/B103</f>
        <v>-2.8559705418200843E-2</v>
      </c>
    </row>
    <row r="116" spans="1:4" x14ac:dyDescent="0.2">
      <c r="A116" s="17">
        <v>29618</v>
      </c>
      <c r="B116" s="59">
        <f>VLOOKUP(Table13[[#This Row],[Date]],database!A:F,6,)</f>
        <v>45.938800000000001</v>
      </c>
      <c r="C116" s="67">
        <f t="shared" si="1"/>
        <v>-4.9580117701337745E-3</v>
      </c>
      <c r="D116" s="67">
        <f>(Table13[[#This Row],[Index]]-B104)/B104</f>
        <v>-3.1974747240613492E-2</v>
      </c>
    </row>
    <row r="117" spans="1:4" x14ac:dyDescent="0.2">
      <c r="A117" s="17">
        <v>29646</v>
      </c>
      <c r="B117" s="59">
        <f>VLOOKUP(Table13[[#This Row],[Date]],database!A:F,6,)</f>
        <v>46.084499999999998</v>
      </c>
      <c r="C117" s="67">
        <f t="shared" si="1"/>
        <v>3.1716109258403957E-3</v>
      </c>
      <c r="D117" s="67">
        <f>(Table13[[#This Row],[Index]]-B105)/B105</f>
        <v>-2.0803763418013124E-2</v>
      </c>
    </row>
    <row r="118" spans="1:4" x14ac:dyDescent="0.2">
      <c r="A118" s="17">
        <v>29677</v>
      </c>
      <c r="B118" s="59">
        <f>VLOOKUP(Table13[[#This Row],[Date]],database!A:F,6,)</f>
        <v>46.328699999999998</v>
      </c>
      <c r="C118" s="67">
        <f t="shared" si="1"/>
        <v>5.2989616899390413E-3</v>
      </c>
      <c r="D118" s="67">
        <f>(Table13[[#This Row],[Index]]-B106)/B106</f>
        <v>5.3076874670439124E-3</v>
      </c>
    </row>
    <row r="119" spans="1:4" x14ac:dyDescent="0.2">
      <c r="A119" s="17">
        <v>29707</v>
      </c>
      <c r="B119" s="59">
        <f>VLOOKUP(Table13[[#This Row],[Date]],database!A:F,6,)</f>
        <v>46.537700000000001</v>
      </c>
      <c r="C119" s="67">
        <f t="shared" si="1"/>
        <v>4.5112424911557536E-3</v>
      </c>
      <c r="D119" s="67">
        <f>(Table13[[#This Row],[Index]]-B107)/B107</f>
        <v>4.2333742463200798E-2</v>
      </c>
    </row>
    <row r="120" spans="1:4" x14ac:dyDescent="0.2">
      <c r="A120" s="17">
        <v>29738</v>
      </c>
      <c r="B120" s="59">
        <f>VLOOKUP(Table13[[#This Row],[Date]],database!A:F,6,)</f>
        <v>46.319400000000002</v>
      </c>
      <c r="C120" s="67">
        <f t="shared" si="1"/>
        <v>-4.6908205605348252E-3</v>
      </c>
      <c r="D120" s="67">
        <f>(Table13[[#This Row],[Index]]-B108)/B108</f>
        <v>5.4484691333853988E-2</v>
      </c>
    </row>
    <row r="121" spans="1:4" x14ac:dyDescent="0.2">
      <c r="A121" s="17">
        <v>29768</v>
      </c>
      <c r="B121" s="59">
        <f>VLOOKUP(Table13[[#This Row],[Date]],database!A:F,6,)</f>
        <v>46.4129</v>
      </c>
      <c r="C121" s="67">
        <f t="shared" si="1"/>
        <v>2.0185926415281497E-3</v>
      </c>
      <c r="D121" s="67">
        <f>(Table13[[#This Row],[Index]]-B109)/B109</f>
        <v>6.8744459156064669E-2</v>
      </c>
    </row>
    <row r="122" spans="1:4" x14ac:dyDescent="0.2">
      <c r="A122" s="17">
        <v>29799</v>
      </c>
      <c r="B122" s="59">
        <f>VLOOKUP(Table13[[#This Row],[Date]],database!A:F,6,)</f>
        <v>46.393300000000004</v>
      </c>
      <c r="C122" s="67">
        <f t="shared" si="1"/>
        <v>-4.2229638742674602E-4</v>
      </c>
      <c r="D122" s="67">
        <f>(Table13[[#This Row],[Index]]-B110)/B110</f>
        <v>6.0558885520823433E-2</v>
      </c>
    </row>
    <row r="123" spans="1:4" x14ac:dyDescent="0.2">
      <c r="A123" s="17">
        <v>29830</v>
      </c>
      <c r="B123" s="59">
        <f>VLOOKUP(Table13[[#This Row],[Date]],database!A:F,6,)</f>
        <v>46.205100000000002</v>
      </c>
      <c r="C123" s="67">
        <f t="shared" si="1"/>
        <v>-4.056620244733633E-3</v>
      </c>
      <c r="D123" s="67">
        <f>(Table13[[#This Row],[Index]]-B111)/B111</f>
        <v>3.8078912249327211E-2</v>
      </c>
    </row>
    <row r="124" spans="1:4" x14ac:dyDescent="0.2">
      <c r="A124" s="17">
        <v>29860</v>
      </c>
      <c r="B124" s="59">
        <f>VLOOKUP(Table13[[#This Row],[Date]],database!A:F,6,)</f>
        <v>45.726700000000001</v>
      </c>
      <c r="C124" s="67">
        <f t="shared" si="1"/>
        <v>-1.0353835399122602E-2</v>
      </c>
      <c r="D124" s="67">
        <f>(Table13[[#This Row],[Index]]-B112)/B112</f>
        <v>8.2220232924253619E-3</v>
      </c>
    </row>
    <row r="125" spans="1:4" x14ac:dyDescent="0.2">
      <c r="A125" s="17">
        <v>29891</v>
      </c>
      <c r="B125" s="59">
        <f>VLOOKUP(Table13[[#This Row],[Date]],database!A:F,6,)</f>
        <v>45.124000000000002</v>
      </c>
      <c r="C125" s="67">
        <f t="shared" si="1"/>
        <v>-1.3180483175037727E-2</v>
      </c>
      <c r="D125" s="67">
        <f>(Table13[[#This Row],[Index]]-B113)/B113</f>
        <v>-2.2634235092811077E-2</v>
      </c>
    </row>
    <row r="126" spans="1:4" x14ac:dyDescent="0.2">
      <c r="A126" s="17">
        <v>29921</v>
      </c>
      <c r="B126" s="59">
        <f>VLOOKUP(Table13[[#This Row],[Date]],database!A:F,6,)</f>
        <v>44.339100000000002</v>
      </c>
      <c r="C126" s="67">
        <f t="shared" si="1"/>
        <v>-1.7394291286233488E-2</v>
      </c>
      <c r="D126" s="67">
        <f>(Table13[[#This Row],[Index]]-B114)/B114</f>
        <v>-4.3471788964106743E-2</v>
      </c>
    </row>
    <row r="127" spans="1:4" x14ac:dyDescent="0.2">
      <c r="A127" s="17">
        <v>29952</v>
      </c>
      <c r="B127" s="59">
        <f>VLOOKUP(Table13[[#This Row],[Date]],database!A:F,6,)</f>
        <v>43.240099999999998</v>
      </c>
      <c r="C127" s="67">
        <f t="shared" si="1"/>
        <v>-2.4786249608133804E-2</v>
      </c>
      <c r="D127" s="67">
        <f>(Table13[[#This Row],[Index]]-B115)/B115</f>
        <v>-6.3412299074894457E-2</v>
      </c>
    </row>
    <row r="128" spans="1:4" x14ac:dyDescent="0.2">
      <c r="A128" s="17">
        <v>29983</v>
      </c>
      <c r="B128" s="59">
        <f>VLOOKUP(Table13[[#This Row],[Date]],database!A:F,6,)</f>
        <v>44.481299999999997</v>
      </c>
      <c r="C128" s="67">
        <f t="shared" si="1"/>
        <v>2.8704836482801754E-2</v>
      </c>
      <c r="D128" s="67">
        <f>(Table13[[#This Row],[Index]]-B116)/B116</f>
        <v>-3.1726993304135136E-2</v>
      </c>
    </row>
    <row r="129" spans="1:4" x14ac:dyDescent="0.2">
      <c r="A129" s="17">
        <v>30011</v>
      </c>
      <c r="B129" s="59">
        <f>VLOOKUP(Table13[[#This Row],[Date]],database!A:F,6,)</f>
        <v>44.141599999999997</v>
      </c>
      <c r="C129" s="67">
        <f t="shared" si="1"/>
        <v>-7.6369170865060454E-3</v>
      </c>
      <c r="D129" s="67">
        <f>(Table13[[#This Row],[Index]]-B117)/B117</f>
        <v>-4.2159511332443701E-2</v>
      </c>
    </row>
    <row r="130" spans="1:4" x14ac:dyDescent="0.2">
      <c r="A130" s="17">
        <v>30042</v>
      </c>
      <c r="B130" s="59">
        <f>VLOOKUP(Table13[[#This Row],[Date]],database!A:F,6,)</f>
        <v>43.820399999999999</v>
      </c>
      <c r="C130" s="67">
        <f t="shared" si="1"/>
        <v>-7.2765826340684958E-3</v>
      </c>
      <c r="D130" s="67">
        <f>(Table13[[#This Row],[Index]]-B118)/B118</f>
        <v>-5.4141385361557708E-2</v>
      </c>
    </row>
    <row r="131" spans="1:4" x14ac:dyDescent="0.2">
      <c r="A131" s="17">
        <v>30072</v>
      </c>
      <c r="B131" s="59">
        <f>VLOOKUP(Table13[[#This Row],[Date]],database!A:F,6,)</f>
        <v>43.719299999999997</v>
      </c>
      <c r="C131" s="67">
        <f t="shared" si="1"/>
        <v>-2.3071446175754184E-3</v>
      </c>
      <c r="D131" s="67">
        <f>(Table13[[#This Row],[Index]]-B119)/B119</f>
        <v>-6.0561652165878499E-2</v>
      </c>
    </row>
    <row r="132" spans="1:4" x14ac:dyDescent="0.2">
      <c r="A132" s="17">
        <v>30103</v>
      </c>
      <c r="B132" s="59">
        <f>VLOOKUP(Table13[[#This Row],[Date]],database!A:F,6,)</f>
        <v>43.690899999999999</v>
      </c>
      <c r="C132" s="67">
        <f t="shared" si="1"/>
        <v>-6.4959868982339408E-4</v>
      </c>
      <c r="D132" s="67">
        <f>(Table13[[#This Row],[Index]]-B120)/B120</f>
        <v>-5.674728083697117E-2</v>
      </c>
    </row>
    <row r="133" spans="1:4" x14ac:dyDescent="0.2">
      <c r="A133" s="17">
        <v>30133</v>
      </c>
      <c r="B133" s="59">
        <f>VLOOKUP(Table13[[#This Row],[Date]],database!A:F,6,)</f>
        <v>43.624899999999997</v>
      </c>
      <c r="C133" s="67">
        <f t="shared" si="1"/>
        <v>-1.5106120496488629E-3</v>
      </c>
      <c r="D133" s="67">
        <f>(Table13[[#This Row],[Index]]-B121)/B121</f>
        <v>-6.0069506538053083E-2</v>
      </c>
    </row>
    <row r="134" spans="1:4" x14ac:dyDescent="0.2">
      <c r="A134" s="17">
        <v>30164</v>
      </c>
      <c r="B134" s="59">
        <f>VLOOKUP(Table13[[#This Row],[Date]],database!A:F,6,)</f>
        <v>43.2104</v>
      </c>
      <c r="C134" s="67">
        <f t="shared" si="1"/>
        <v>-9.5014544445946036E-3</v>
      </c>
      <c r="D134" s="67">
        <f>(Table13[[#This Row],[Index]]-B122)/B122</f>
        <v>-6.8606889356868414E-2</v>
      </c>
    </row>
    <row r="135" spans="1:4" x14ac:dyDescent="0.2">
      <c r="A135" s="17">
        <v>30195</v>
      </c>
      <c r="B135" s="59">
        <f>VLOOKUP(Table13[[#This Row],[Date]],database!A:F,6,)</f>
        <v>43.128500000000003</v>
      </c>
      <c r="C135" s="67">
        <f t="shared" si="1"/>
        <v>-1.8953770388610014E-3</v>
      </c>
      <c r="D135" s="67">
        <f>(Table13[[#This Row],[Index]]-B123)/B123</f>
        <v>-6.6585723221029694E-2</v>
      </c>
    </row>
    <row r="136" spans="1:4" x14ac:dyDescent="0.2">
      <c r="A136" s="17">
        <v>30225</v>
      </c>
      <c r="B136" s="59">
        <f>VLOOKUP(Table13[[#This Row],[Date]],database!A:F,6,)</f>
        <v>42.570399999999999</v>
      </c>
      <c r="C136" s="67">
        <f t="shared" ref="C136:C199" si="2">B136/B135-1</f>
        <v>-1.2940399040077932E-2</v>
      </c>
      <c r="D136" s="67">
        <f>(Table13[[#This Row],[Index]]-B124)/B124</f>
        <v>-6.9025317812131684E-2</v>
      </c>
    </row>
    <row r="137" spans="1:4" x14ac:dyDescent="0.2">
      <c r="A137" s="17">
        <v>30256</v>
      </c>
      <c r="B137" s="59">
        <f>VLOOKUP(Table13[[#This Row],[Date]],database!A:F,6,)</f>
        <v>42.309699999999999</v>
      </c>
      <c r="C137" s="67">
        <f t="shared" si="2"/>
        <v>-6.1239734651307165E-3</v>
      </c>
      <c r="D137" s="67">
        <f>(Table13[[#This Row],[Index]]-B125)/B125</f>
        <v>-6.2368141122240997E-2</v>
      </c>
    </row>
    <row r="138" spans="1:4" x14ac:dyDescent="0.2">
      <c r="A138" s="17">
        <v>30286</v>
      </c>
      <c r="B138" s="59">
        <f>VLOOKUP(Table13[[#This Row],[Date]],database!A:F,6,)</f>
        <v>42.1691</v>
      </c>
      <c r="C138" s="67">
        <f t="shared" si="2"/>
        <v>-3.3231150303594248E-3</v>
      </c>
      <c r="D138" s="67">
        <f>(Table13[[#This Row],[Index]]-B126)/B126</f>
        <v>-4.8941002410964628E-2</v>
      </c>
    </row>
    <row r="139" spans="1:4" x14ac:dyDescent="0.2">
      <c r="A139" s="17">
        <v>30317</v>
      </c>
      <c r="B139" s="59">
        <f>VLOOKUP(Table13[[#This Row],[Date]],database!A:F,6,)</f>
        <v>43.165799999999997</v>
      </c>
      <c r="C139" s="67">
        <f t="shared" si="2"/>
        <v>2.3635790187601646E-2</v>
      </c>
      <c r="D139" s="67">
        <f>(Table13[[#This Row],[Index]]-B127)/B127</f>
        <v>-1.7183123998325842E-3</v>
      </c>
    </row>
    <row r="140" spans="1:4" x14ac:dyDescent="0.2">
      <c r="A140" s="17">
        <v>30348</v>
      </c>
      <c r="B140" s="59">
        <f>VLOOKUP(Table13[[#This Row],[Date]],database!A:F,6,)</f>
        <v>43.157400000000003</v>
      </c>
      <c r="C140" s="67">
        <f t="shared" si="2"/>
        <v>-1.9459850159142533E-4</v>
      </c>
      <c r="D140" s="67">
        <f>(Table13[[#This Row],[Index]]-B128)/B128</f>
        <v>-2.976306897505232E-2</v>
      </c>
    </row>
    <row r="141" spans="1:4" x14ac:dyDescent="0.2">
      <c r="A141" s="17">
        <v>30376</v>
      </c>
      <c r="B141" s="59">
        <f>VLOOKUP(Table13[[#This Row],[Date]],database!A:F,6,)</f>
        <v>43.574399999999997</v>
      </c>
      <c r="C141" s="67">
        <f t="shared" si="2"/>
        <v>9.6623058849698573E-3</v>
      </c>
      <c r="D141" s="67">
        <f>(Table13[[#This Row],[Index]]-B129)/B129</f>
        <v>-1.2849556880584296E-2</v>
      </c>
    </row>
    <row r="142" spans="1:4" x14ac:dyDescent="0.2">
      <c r="A142" s="17">
        <v>30407</v>
      </c>
      <c r="B142" s="59">
        <f>VLOOKUP(Table13[[#This Row],[Date]],database!A:F,6,)</f>
        <v>44.1008</v>
      </c>
      <c r="C142" s="67">
        <f t="shared" si="2"/>
        <v>1.2080487625762082E-2</v>
      </c>
      <c r="D142" s="67">
        <f>(Table13[[#This Row],[Index]]-B130)/B130</f>
        <v>6.3988461994870013E-3</v>
      </c>
    </row>
    <row r="143" spans="1:4" x14ac:dyDescent="0.2">
      <c r="A143" s="17">
        <v>30437</v>
      </c>
      <c r="B143" s="59">
        <f>VLOOKUP(Table13[[#This Row],[Date]],database!A:F,6,)</f>
        <v>44.650399999999998</v>
      </c>
      <c r="C143" s="67">
        <f t="shared" si="2"/>
        <v>1.2462358959474562E-2</v>
      </c>
      <c r="D143" s="67">
        <f>(Table13[[#This Row],[Index]]-B131)/B131</f>
        <v>2.1297230285022881E-2</v>
      </c>
    </row>
    <row r="144" spans="1:4" x14ac:dyDescent="0.2">
      <c r="A144" s="17">
        <v>30468</v>
      </c>
      <c r="B144" s="59">
        <f>VLOOKUP(Table13[[#This Row],[Date]],database!A:F,6,)</f>
        <v>45.018700000000003</v>
      </c>
      <c r="C144" s="67">
        <f t="shared" si="2"/>
        <v>8.2485263289915345E-3</v>
      </c>
      <c r="D144" s="67">
        <f>(Table13[[#This Row],[Index]]-B132)/B132</f>
        <v>3.0390767871570589E-2</v>
      </c>
    </row>
    <row r="145" spans="1:4" x14ac:dyDescent="0.2">
      <c r="A145" s="17">
        <v>30498</v>
      </c>
      <c r="B145" s="59">
        <f>VLOOKUP(Table13[[#This Row],[Date]],database!A:F,6,)</f>
        <v>45.693199999999997</v>
      </c>
      <c r="C145" s="67">
        <f t="shared" si="2"/>
        <v>1.4982662760141707E-2</v>
      </c>
      <c r="D145" s="67">
        <f>(Table13[[#This Row],[Index]]-B133)/B133</f>
        <v>4.7410996930652011E-2</v>
      </c>
    </row>
    <row r="146" spans="1:4" x14ac:dyDescent="0.2">
      <c r="A146" s="17">
        <v>30529</v>
      </c>
      <c r="B146" s="59">
        <f>VLOOKUP(Table13[[#This Row],[Date]],database!A:F,6,)</f>
        <v>46.087499999999999</v>
      </c>
      <c r="C146" s="67">
        <f t="shared" si="2"/>
        <v>8.6292927612861003E-3</v>
      </c>
      <c r="D146" s="67">
        <f>(Table13[[#This Row],[Index]]-B134)/B134</f>
        <v>6.6583507674078432E-2</v>
      </c>
    </row>
    <row r="147" spans="1:4" x14ac:dyDescent="0.2">
      <c r="A147" s="17">
        <v>30560</v>
      </c>
      <c r="B147" s="59">
        <f>VLOOKUP(Table13[[#This Row],[Date]],database!A:F,6,)</f>
        <v>46.968400000000003</v>
      </c>
      <c r="C147" s="67">
        <f t="shared" si="2"/>
        <v>1.9113642527800456E-2</v>
      </c>
      <c r="D147" s="67">
        <f>(Table13[[#This Row],[Index]]-B135)/B135</f>
        <v>8.9033933477862662E-2</v>
      </c>
    </row>
    <row r="148" spans="1:4" x14ac:dyDescent="0.2">
      <c r="A148" s="17">
        <v>30590</v>
      </c>
      <c r="B148" s="59">
        <f>VLOOKUP(Table13[[#This Row],[Date]],database!A:F,6,)</f>
        <v>47.458300000000001</v>
      </c>
      <c r="C148" s="67">
        <f t="shared" si="2"/>
        <v>1.0430417046354501E-2</v>
      </c>
      <c r="D148" s="67">
        <f>(Table13[[#This Row],[Index]]-B136)/B136</f>
        <v>0.11481921710860132</v>
      </c>
    </row>
    <row r="149" spans="1:4" x14ac:dyDescent="0.2">
      <c r="A149" s="17">
        <v>30621</v>
      </c>
      <c r="B149" s="59">
        <f>VLOOKUP(Table13[[#This Row],[Date]],database!A:F,6,)</f>
        <v>47.700499999999998</v>
      </c>
      <c r="C149" s="67">
        <f t="shared" si="2"/>
        <v>5.1034276406864976E-3</v>
      </c>
      <c r="D149" s="67">
        <f>(Table13[[#This Row],[Index]]-B137)/B137</f>
        <v>0.12741286277142119</v>
      </c>
    </row>
    <row r="150" spans="1:4" x14ac:dyDescent="0.2">
      <c r="A150" s="17">
        <v>30651</v>
      </c>
      <c r="B150" s="59">
        <f>VLOOKUP(Table13[[#This Row],[Date]],database!A:F,6,)</f>
        <v>47.849400000000003</v>
      </c>
      <c r="C150" s="67">
        <f t="shared" si="2"/>
        <v>3.1215605706440552E-3</v>
      </c>
      <c r="D150" s="67">
        <f>(Table13[[#This Row],[Index]]-B138)/B138</f>
        <v>0.13470289856790879</v>
      </c>
    </row>
    <row r="151" spans="1:4" x14ac:dyDescent="0.2">
      <c r="A151" s="17">
        <v>30682</v>
      </c>
      <c r="B151" s="59">
        <f>VLOOKUP(Table13[[#This Row],[Date]],database!A:F,6,)</f>
        <v>48.732599999999998</v>
      </c>
      <c r="C151" s="67">
        <f t="shared" si="2"/>
        <v>1.845791169795219E-2</v>
      </c>
      <c r="D151" s="67">
        <f>(Table13[[#This Row],[Index]]-B139)/B139</f>
        <v>0.12896320698330624</v>
      </c>
    </row>
    <row r="152" spans="1:4" x14ac:dyDescent="0.2">
      <c r="A152" s="17">
        <v>30713</v>
      </c>
      <c r="B152" s="59">
        <f>VLOOKUP(Table13[[#This Row],[Date]],database!A:F,6,)</f>
        <v>49.265900000000002</v>
      </c>
      <c r="C152" s="67">
        <f t="shared" si="2"/>
        <v>1.0943393129034806E-2</v>
      </c>
      <c r="D152" s="67">
        <f>(Table13[[#This Row],[Index]]-B140)/B140</f>
        <v>0.14154003716627969</v>
      </c>
    </row>
    <row r="153" spans="1:4" x14ac:dyDescent="0.2">
      <c r="A153" s="17">
        <v>30742</v>
      </c>
      <c r="B153" s="59">
        <f>VLOOKUP(Table13[[#This Row],[Date]],database!A:F,6,)</f>
        <v>49.481400000000001</v>
      </c>
      <c r="C153" s="67">
        <f t="shared" si="2"/>
        <v>4.3742223322824625E-3</v>
      </c>
      <c r="D153" s="67">
        <f>(Table13[[#This Row],[Index]]-B141)/B141</f>
        <v>0.13556124697069849</v>
      </c>
    </row>
    <row r="154" spans="1:4" x14ac:dyDescent="0.2">
      <c r="A154" s="17">
        <v>30773</v>
      </c>
      <c r="B154" s="59">
        <f>VLOOKUP(Table13[[#This Row],[Date]],database!A:F,6,)</f>
        <v>49.728000000000002</v>
      </c>
      <c r="C154" s="67">
        <f t="shared" si="2"/>
        <v>4.9836908414071512E-3</v>
      </c>
      <c r="D154" s="67">
        <f>(Table13[[#This Row],[Index]]-B142)/B142</f>
        <v>0.12759859231578571</v>
      </c>
    </row>
    <row r="155" spans="1:4" x14ac:dyDescent="0.2">
      <c r="A155" s="17">
        <v>30803</v>
      </c>
      <c r="B155" s="59">
        <f>VLOOKUP(Table13[[#This Row],[Date]],database!A:F,6,)</f>
        <v>49.881100000000004</v>
      </c>
      <c r="C155" s="67">
        <f t="shared" si="2"/>
        <v>3.0787483912484426E-3</v>
      </c>
      <c r="D155" s="67">
        <f>(Table13[[#This Row],[Index]]-B143)/B143</f>
        <v>0.11714788669306447</v>
      </c>
    </row>
    <row r="156" spans="1:4" x14ac:dyDescent="0.2">
      <c r="A156" s="17">
        <v>30834</v>
      </c>
      <c r="B156" s="59">
        <f>VLOOKUP(Table13[[#This Row],[Date]],database!A:F,6,)</f>
        <v>50.1051</v>
      </c>
      <c r="C156" s="67">
        <f t="shared" si="2"/>
        <v>4.4906788342677917E-3</v>
      </c>
      <c r="D156" s="67">
        <f>(Table13[[#This Row],[Index]]-B144)/B144</f>
        <v>0.11298415991576828</v>
      </c>
    </row>
    <row r="157" spans="1:4" x14ac:dyDescent="0.2">
      <c r="A157" s="17">
        <v>30864</v>
      </c>
      <c r="B157" s="59">
        <f>VLOOKUP(Table13[[#This Row],[Date]],database!A:F,6,)</f>
        <v>50.3185</v>
      </c>
      <c r="C157" s="67">
        <f t="shared" si="2"/>
        <v>4.2590474821924129E-3</v>
      </c>
      <c r="D157" s="67">
        <f>(Table13[[#This Row],[Index]]-B145)/B145</f>
        <v>0.10122512759010101</v>
      </c>
    </row>
    <row r="158" spans="1:4" x14ac:dyDescent="0.2">
      <c r="A158" s="17">
        <v>30895</v>
      </c>
      <c r="B158" s="59">
        <f>VLOOKUP(Table13[[#This Row],[Date]],database!A:F,6,)</f>
        <v>50.411000000000001</v>
      </c>
      <c r="C158" s="67">
        <f t="shared" si="2"/>
        <v>1.8382900921132261E-3</v>
      </c>
      <c r="D158" s="67">
        <f>(Table13[[#This Row],[Index]]-B146)/B146</f>
        <v>9.3810686194738327E-2</v>
      </c>
    </row>
    <row r="159" spans="1:4" x14ac:dyDescent="0.2">
      <c r="A159" s="17">
        <v>30926</v>
      </c>
      <c r="B159" s="59">
        <f>VLOOKUP(Table13[[#This Row],[Date]],database!A:F,6,)</f>
        <v>50.218899999999998</v>
      </c>
      <c r="C159" s="67">
        <f t="shared" si="2"/>
        <v>-3.8106762412966066E-3</v>
      </c>
      <c r="D159" s="67">
        <f>(Table13[[#This Row],[Index]]-B147)/B147</f>
        <v>6.9206104529854012E-2</v>
      </c>
    </row>
    <row r="160" spans="1:4" x14ac:dyDescent="0.2">
      <c r="A160" s="17">
        <v>30956</v>
      </c>
      <c r="B160" s="59">
        <f>VLOOKUP(Table13[[#This Row],[Date]],database!A:F,6,)</f>
        <v>50.487900000000003</v>
      </c>
      <c r="C160" s="67">
        <f t="shared" si="2"/>
        <v>5.3565490283540296E-3</v>
      </c>
      <c r="D160" s="67">
        <f>(Table13[[#This Row],[Index]]-B148)/B148</f>
        <v>6.3837094881190479E-2</v>
      </c>
    </row>
    <row r="161" spans="1:4" x14ac:dyDescent="0.2">
      <c r="A161" s="17">
        <v>30987</v>
      </c>
      <c r="B161" s="59">
        <f>VLOOKUP(Table13[[#This Row],[Date]],database!A:F,6,)</f>
        <v>50.623800000000003</v>
      </c>
      <c r="C161" s="67">
        <f t="shared" si="2"/>
        <v>2.6917340590517647E-3</v>
      </c>
      <c r="D161" s="67">
        <f>(Table13[[#This Row],[Index]]-B149)/B149</f>
        <v>6.1284472909089102E-2</v>
      </c>
    </row>
    <row r="162" spans="1:4" x14ac:dyDescent="0.2">
      <c r="A162" s="17">
        <v>31017</v>
      </c>
      <c r="B162" s="59">
        <f>VLOOKUP(Table13[[#This Row],[Date]],database!A:F,6,)</f>
        <v>50.765599999999999</v>
      </c>
      <c r="C162" s="67">
        <f t="shared" si="2"/>
        <v>2.8010540496761216E-3</v>
      </c>
      <c r="D162" s="67">
        <f>(Table13[[#This Row],[Index]]-B150)/B150</f>
        <v>6.0945382805217961E-2</v>
      </c>
    </row>
    <row r="163" spans="1:4" x14ac:dyDescent="0.2">
      <c r="A163" s="17">
        <v>31048</v>
      </c>
      <c r="B163" s="59">
        <f>VLOOKUP(Table13[[#This Row],[Date]],database!A:F,6,)</f>
        <v>50.628</v>
      </c>
      <c r="C163" s="67">
        <f t="shared" si="2"/>
        <v>-2.7104968718975053E-3</v>
      </c>
      <c r="D163" s="67">
        <f>(Table13[[#This Row],[Index]]-B151)/B151</f>
        <v>3.8893882124081257E-2</v>
      </c>
    </row>
    <row r="164" spans="1:4" x14ac:dyDescent="0.2">
      <c r="A164" s="17">
        <v>31079</v>
      </c>
      <c r="B164" s="59">
        <f>VLOOKUP(Table13[[#This Row],[Date]],database!A:F,6,)</f>
        <v>50.4069</v>
      </c>
      <c r="C164" s="67">
        <f t="shared" si="2"/>
        <v>-4.3671486134154724E-3</v>
      </c>
      <c r="D164" s="67">
        <f>(Table13[[#This Row],[Index]]-B152)/B152</f>
        <v>2.3160035643315115E-2</v>
      </c>
    </row>
    <row r="165" spans="1:4" x14ac:dyDescent="0.2">
      <c r="A165" s="17">
        <v>31107</v>
      </c>
      <c r="B165" s="59">
        <f>VLOOKUP(Table13[[#This Row],[Date]],database!A:F,6,)</f>
        <v>50.79</v>
      </c>
      <c r="C165" s="67">
        <f t="shared" si="2"/>
        <v>7.600149979467119E-3</v>
      </c>
      <c r="D165" s="67">
        <f>(Table13[[#This Row],[Index]]-B153)/B153</f>
        <v>2.6446301034328018E-2</v>
      </c>
    </row>
    <row r="166" spans="1:4" x14ac:dyDescent="0.2">
      <c r="A166" s="17">
        <v>31138</v>
      </c>
      <c r="B166" s="59">
        <f>VLOOKUP(Table13[[#This Row],[Date]],database!A:F,6,)</f>
        <v>50.609699999999997</v>
      </c>
      <c r="C166" s="67">
        <f t="shared" si="2"/>
        <v>-3.5499113998819221E-3</v>
      </c>
      <c r="D166" s="67">
        <f>(Table13[[#This Row],[Index]]-B154)/B154</f>
        <v>1.7730453667953568E-2</v>
      </c>
    </row>
    <row r="167" spans="1:4" x14ac:dyDescent="0.2">
      <c r="A167" s="17">
        <v>31168</v>
      </c>
      <c r="B167" s="59">
        <f>VLOOKUP(Table13[[#This Row],[Date]],database!A:F,6,)</f>
        <v>50.724499999999999</v>
      </c>
      <c r="C167" s="67">
        <f t="shared" si="2"/>
        <v>2.2683398637020069E-3</v>
      </c>
      <c r="D167" s="67">
        <f>(Table13[[#This Row],[Index]]-B155)/B155</f>
        <v>1.6908207717953202E-2</v>
      </c>
    </row>
    <row r="168" spans="1:4" x14ac:dyDescent="0.2">
      <c r="A168" s="17">
        <v>31199</v>
      </c>
      <c r="B168" s="59">
        <f>VLOOKUP(Table13[[#This Row],[Date]],database!A:F,6,)</f>
        <v>50.737200000000001</v>
      </c>
      <c r="C168" s="67">
        <f t="shared" si="2"/>
        <v>2.5037210815281874E-4</v>
      </c>
      <c r="D168" s="67">
        <f>(Table13[[#This Row],[Index]]-B156)/B156</f>
        <v>1.2615482256297288E-2</v>
      </c>
    </row>
    <row r="169" spans="1:4" x14ac:dyDescent="0.2">
      <c r="A169" s="17">
        <v>31229</v>
      </c>
      <c r="B169" s="59">
        <f>VLOOKUP(Table13[[#This Row],[Date]],database!A:F,6,)</f>
        <v>50.5184</v>
      </c>
      <c r="C169" s="67">
        <f t="shared" si="2"/>
        <v>-4.3124177132360941E-3</v>
      </c>
      <c r="D169" s="67">
        <f>(Table13[[#This Row],[Index]]-B157)/B157</f>
        <v>3.9726939396047085E-3</v>
      </c>
    </row>
    <row r="170" spans="1:4" x14ac:dyDescent="0.2">
      <c r="A170" s="17">
        <v>31260</v>
      </c>
      <c r="B170" s="59">
        <f>VLOOKUP(Table13[[#This Row],[Date]],database!A:F,6,)</f>
        <v>50.775199999999998</v>
      </c>
      <c r="C170" s="67">
        <f t="shared" si="2"/>
        <v>5.0832963831000111E-3</v>
      </c>
      <c r="D170" s="67">
        <f>(Table13[[#This Row],[Index]]-B158)/B158</f>
        <v>7.2246136755866131E-3</v>
      </c>
    </row>
    <row r="171" spans="1:4" x14ac:dyDescent="0.2">
      <c r="A171" s="17">
        <v>31291</v>
      </c>
      <c r="B171" s="59">
        <f>VLOOKUP(Table13[[#This Row],[Date]],database!A:F,6,)</f>
        <v>50.8264</v>
      </c>
      <c r="C171" s="67">
        <f t="shared" si="2"/>
        <v>1.0083662890545408E-3</v>
      </c>
      <c r="D171" s="67">
        <f>(Table13[[#This Row],[Index]]-B159)/B159</f>
        <v>1.2097039162546407E-2</v>
      </c>
    </row>
    <row r="172" spans="1:4" x14ac:dyDescent="0.2">
      <c r="A172" s="17">
        <v>31321</v>
      </c>
      <c r="B172" s="59">
        <f>VLOOKUP(Table13[[#This Row],[Date]],database!A:F,6,)</f>
        <v>50.734400000000001</v>
      </c>
      <c r="C172" s="67">
        <f t="shared" si="2"/>
        <v>-1.8100829490186321E-3</v>
      </c>
      <c r="D172" s="67">
        <f>(Table13[[#This Row],[Index]]-B160)/B160</f>
        <v>4.8823579511129891E-3</v>
      </c>
    </row>
    <row r="173" spans="1:4" x14ac:dyDescent="0.2">
      <c r="A173" s="17">
        <v>31352</v>
      </c>
      <c r="B173" s="59">
        <f>VLOOKUP(Table13[[#This Row],[Date]],database!A:F,6,)</f>
        <v>51.0852</v>
      </c>
      <c r="C173" s="67">
        <f t="shared" si="2"/>
        <v>6.9144406950707449E-3</v>
      </c>
      <c r="D173" s="67">
        <f>(Table13[[#This Row],[Index]]-B161)/B161</f>
        <v>9.1142901165064179E-3</v>
      </c>
    </row>
    <row r="174" spans="1:4" x14ac:dyDescent="0.2">
      <c r="A174" s="17">
        <v>31382</v>
      </c>
      <c r="B174" s="59">
        <f>VLOOKUP(Table13[[#This Row],[Date]],database!A:F,6,)</f>
        <v>51.2667</v>
      </c>
      <c r="C174" s="67">
        <f t="shared" si="2"/>
        <v>3.5528881163233716E-3</v>
      </c>
      <c r="D174" s="67">
        <f>(Table13[[#This Row],[Index]]-B162)/B162</f>
        <v>9.8708574310162975E-3</v>
      </c>
    </row>
    <row r="175" spans="1:4" x14ac:dyDescent="0.2">
      <c r="A175" s="17">
        <v>31413</v>
      </c>
      <c r="B175" s="59">
        <f>VLOOKUP(Table13[[#This Row],[Date]],database!A:F,6,)</f>
        <v>51.882899999999999</v>
      </c>
      <c r="C175" s="67">
        <f t="shared" si="2"/>
        <v>1.2019498036737186E-2</v>
      </c>
      <c r="D175" s="67">
        <f>(Table13[[#This Row],[Index]]-B163)/B163</f>
        <v>2.4786679307892849E-2</v>
      </c>
    </row>
    <row r="176" spans="1:4" x14ac:dyDescent="0.2">
      <c r="A176" s="17">
        <v>31444</v>
      </c>
      <c r="B176" s="59">
        <f>VLOOKUP(Table13[[#This Row],[Date]],database!A:F,6,)</f>
        <v>51.613900000000001</v>
      </c>
      <c r="C176" s="67">
        <f t="shared" si="2"/>
        <v>-5.1847525870758471E-3</v>
      </c>
      <c r="D176" s="67">
        <f>(Table13[[#This Row],[Index]]-B164)/B164</f>
        <v>2.3945134495475834E-2</v>
      </c>
    </row>
    <row r="177" spans="1:4" x14ac:dyDescent="0.2">
      <c r="A177" s="17">
        <v>31472</v>
      </c>
      <c r="B177" s="59">
        <f>VLOOKUP(Table13[[#This Row],[Date]],database!A:F,6,)</f>
        <v>51.425400000000003</v>
      </c>
      <c r="C177" s="67">
        <f t="shared" si="2"/>
        <v>-3.6521169684909927E-3</v>
      </c>
      <c r="D177" s="67">
        <f>(Table13[[#This Row],[Index]]-B165)/B165</f>
        <v>1.2510336680448989E-2</v>
      </c>
    </row>
    <row r="178" spans="1:4" x14ac:dyDescent="0.2">
      <c r="A178" s="17">
        <v>31503</v>
      </c>
      <c r="B178" s="59">
        <f>VLOOKUP(Table13[[#This Row],[Date]],database!A:F,6,)</f>
        <v>51.559199999999997</v>
      </c>
      <c r="C178" s="67">
        <f t="shared" si="2"/>
        <v>2.6018271126717618E-3</v>
      </c>
      <c r="D178" s="67">
        <f>(Table13[[#This Row],[Index]]-B166)/B166</f>
        <v>1.8761225614852498E-2</v>
      </c>
    </row>
    <row r="179" spans="1:4" x14ac:dyDescent="0.2">
      <c r="A179" s="17">
        <v>31533</v>
      </c>
      <c r="B179" s="59">
        <f>VLOOKUP(Table13[[#This Row],[Date]],database!A:F,6,)</f>
        <v>51.617899999999999</v>
      </c>
      <c r="C179" s="67">
        <f t="shared" si="2"/>
        <v>1.1384971062391447E-3</v>
      </c>
      <c r="D179" s="67">
        <f>(Table13[[#This Row],[Index]]-B167)/B167</f>
        <v>1.7612790663288937E-2</v>
      </c>
    </row>
    <row r="180" spans="1:4" x14ac:dyDescent="0.2">
      <c r="A180" s="17">
        <v>31564</v>
      </c>
      <c r="B180" s="59">
        <f>VLOOKUP(Table13[[#This Row],[Date]],database!A:F,6,)</f>
        <v>51.421399999999998</v>
      </c>
      <c r="C180" s="67">
        <f t="shared" si="2"/>
        <v>-3.8068189523401408E-3</v>
      </c>
      <c r="D180" s="67">
        <f>(Table13[[#This Row],[Index]]-B168)/B168</f>
        <v>1.3485174585905351E-2</v>
      </c>
    </row>
    <row r="181" spans="1:4" x14ac:dyDescent="0.2">
      <c r="A181" s="17">
        <v>31594</v>
      </c>
      <c r="B181" s="59">
        <f>VLOOKUP(Table13[[#This Row],[Date]],database!A:F,6,)</f>
        <v>51.7014</v>
      </c>
      <c r="C181" s="67">
        <f t="shared" si="2"/>
        <v>5.4452037478560644E-3</v>
      </c>
      <c r="D181" s="67">
        <f>(Table13[[#This Row],[Index]]-B169)/B169</f>
        <v>2.341721036295686E-2</v>
      </c>
    </row>
    <row r="182" spans="1:4" x14ac:dyDescent="0.2">
      <c r="A182" s="17">
        <v>31625</v>
      </c>
      <c r="B182" s="59">
        <f>VLOOKUP(Table13[[#This Row],[Date]],database!A:F,6,)</f>
        <v>51.846200000000003</v>
      </c>
      <c r="C182" s="67">
        <f t="shared" si="2"/>
        <v>2.8006978534431681E-3</v>
      </c>
      <c r="D182" s="67">
        <f>(Table13[[#This Row],[Index]]-B170)/B170</f>
        <v>2.1092974522995578E-2</v>
      </c>
    </row>
    <row r="183" spans="1:4" x14ac:dyDescent="0.2">
      <c r="A183" s="17">
        <v>31656</v>
      </c>
      <c r="B183" s="59">
        <f>VLOOKUP(Table13[[#This Row],[Date]],database!A:F,6,)</f>
        <v>51.988</v>
      </c>
      <c r="C183" s="67">
        <f t="shared" si="2"/>
        <v>2.7350124020659727E-3</v>
      </c>
      <c r="D183" s="67">
        <f>(Table13[[#This Row],[Index]]-B171)/B171</f>
        <v>2.2854264712826405E-2</v>
      </c>
    </row>
    <row r="184" spans="1:4" x14ac:dyDescent="0.2">
      <c r="A184" s="17">
        <v>31686</v>
      </c>
      <c r="B184" s="59">
        <f>VLOOKUP(Table13[[#This Row],[Date]],database!A:F,6,)</f>
        <v>52.187199999999997</v>
      </c>
      <c r="C184" s="67">
        <f t="shared" si="2"/>
        <v>3.8316534584903472E-3</v>
      </c>
      <c r="D184" s="67">
        <f>(Table13[[#This Row],[Index]]-B172)/B172</f>
        <v>2.8635403197830197E-2</v>
      </c>
    </row>
    <row r="185" spans="1:4" x14ac:dyDescent="0.2">
      <c r="A185" s="17">
        <v>31717</v>
      </c>
      <c r="B185" s="59">
        <f>VLOOKUP(Table13[[#This Row],[Date]],database!A:F,6,)</f>
        <v>52.374899999999997</v>
      </c>
      <c r="C185" s="67">
        <f t="shared" si="2"/>
        <v>3.5966673820400086E-3</v>
      </c>
      <c r="D185" s="67">
        <f>(Table13[[#This Row],[Index]]-B173)/B173</f>
        <v>2.5246059524089096E-2</v>
      </c>
    </row>
    <row r="186" spans="1:4" x14ac:dyDescent="0.2">
      <c r="A186" s="17">
        <v>31747</v>
      </c>
      <c r="B186" s="59">
        <f>VLOOKUP(Table13[[#This Row],[Date]],database!A:F,6,)</f>
        <v>52.903300000000002</v>
      </c>
      <c r="C186" s="67">
        <f t="shared" si="2"/>
        <v>1.0088802078858539E-2</v>
      </c>
      <c r="D186" s="67">
        <f>(Table13[[#This Row],[Index]]-B174)/B174</f>
        <v>3.1923256226751504E-2</v>
      </c>
    </row>
    <row r="187" spans="1:4" x14ac:dyDescent="0.2">
      <c r="A187" s="17">
        <v>31778</v>
      </c>
      <c r="B187" s="59">
        <f>VLOOKUP(Table13[[#This Row],[Date]],database!A:F,6,)</f>
        <v>52.707900000000002</v>
      </c>
      <c r="C187" s="67">
        <f t="shared" si="2"/>
        <v>-3.6935314054132862E-3</v>
      </c>
      <c r="D187" s="67">
        <f>(Table13[[#This Row],[Index]]-B175)/B175</f>
        <v>1.5901192878578545E-2</v>
      </c>
    </row>
    <row r="188" spans="1:4" x14ac:dyDescent="0.2">
      <c r="A188" s="17">
        <v>31809</v>
      </c>
      <c r="B188" s="59">
        <f>VLOOKUP(Table13[[#This Row],[Date]],database!A:F,6,)</f>
        <v>53.497999999999998</v>
      </c>
      <c r="C188" s="67">
        <f t="shared" si="2"/>
        <v>1.4990162764974446E-2</v>
      </c>
      <c r="D188" s="67">
        <f>(Table13[[#This Row],[Index]]-B176)/B176</f>
        <v>3.6503732521665611E-2</v>
      </c>
    </row>
    <row r="189" spans="1:4" x14ac:dyDescent="0.2">
      <c r="A189" s="17">
        <v>31837</v>
      </c>
      <c r="B189" s="59">
        <f>VLOOKUP(Table13[[#This Row],[Date]],database!A:F,6,)</f>
        <v>53.510399999999997</v>
      </c>
      <c r="C189" s="67">
        <f t="shared" si="2"/>
        <v>2.3178436577064865E-4</v>
      </c>
      <c r="D189" s="67">
        <f>(Table13[[#This Row],[Index]]-B177)/B177</f>
        <v>4.0544166890291444E-2</v>
      </c>
    </row>
    <row r="190" spans="1:4" x14ac:dyDescent="0.2">
      <c r="A190" s="17">
        <v>31868</v>
      </c>
      <c r="B190" s="59">
        <f>VLOOKUP(Table13[[#This Row],[Date]],database!A:F,6,)</f>
        <v>53.835000000000001</v>
      </c>
      <c r="C190" s="67">
        <f t="shared" si="2"/>
        <v>6.0661105130965787E-3</v>
      </c>
      <c r="D190" s="67">
        <f>(Table13[[#This Row],[Index]]-B178)/B178</f>
        <v>4.4139552204068407E-2</v>
      </c>
    </row>
    <row r="191" spans="1:4" x14ac:dyDescent="0.2">
      <c r="A191" s="17">
        <v>31898</v>
      </c>
      <c r="B191" s="59">
        <f>VLOOKUP(Table13[[#This Row],[Date]],database!A:F,6,)</f>
        <v>54.214300000000001</v>
      </c>
      <c r="C191" s="67">
        <f t="shared" si="2"/>
        <v>7.0456023033342863E-3</v>
      </c>
      <c r="D191" s="67">
        <f>(Table13[[#This Row],[Index]]-B179)/B179</f>
        <v>5.0300380294432796E-2</v>
      </c>
    </row>
    <row r="192" spans="1:4" x14ac:dyDescent="0.2">
      <c r="A192" s="17">
        <v>31929</v>
      </c>
      <c r="B192" s="59">
        <f>VLOOKUP(Table13[[#This Row],[Date]],database!A:F,6,)</f>
        <v>54.424999999999997</v>
      </c>
      <c r="C192" s="67">
        <f t="shared" si="2"/>
        <v>3.8864284884245759E-3</v>
      </c>
      <c r="D192" s="67">
        <f>(Table13[[#This Row],[Index]]-B180)/B180</f>
        <v>5.8411478489500457E-2</v>
      </c>
    </row>
    <row r="193" spans="1:4" x14ac:dyDescent="0.2">
      <c r="A193" s="17">
        <v>31959</v>
      </c>
      <c r="B193" s="59">
        <f>VLOOKUP(Table13[[#This Row],[Date]],database!A:F,6,)</f>
        <v>54.850099999999998</v>
      </c>
      <c r="C193" s="67">
        <f t="shared" si="2"/>
        <v>7.8107487367937711E-3</v>
      </c>
      <c r="D193" s="67">
        <f>(Table13[[#This Row],[Index]]-B181)/B181</f>
        <v>6.0901639027182979E-2</v>
      </c>
    </row>
    <row r="194" spans="1:4" x14ac:dyDescent="0.2">
      <c r="A194" s="17">
        <v>31990</v>
      </c>
      <c r="B194" s="59">
        <f>VLOOKUP(Table13[[#This Row],[Date]],database!A:F,6,)</f>
        <v>55.142200000000003</v>
      </c>
      <c r="C194" s="67">
        <f t="shared" si="2"/>
        <v>5.3254232900215026E-3</v>
      </c>
      <c r="D194" s="67">
        <f>(Table13[[#This Row],[Index]]-B182)/B182</f>
        <v>6.3572643703877996E-2</v>
      </c>
    </row>
    <row r="195" spans="1:4" x14ac:dyDescent="0.2">
      <c r="A195" s="17">
        <v>32021</v>
      </c>
      <c r="B195" s="59">
        <f>VLOOKUP(Table13[[#This Row],[Date]],database!A:F,6,)</f>
        <v>55.537300000000002</v>
      </c>
      <c r="C195" s="67">
        <f t="shared" si="2"/>
        <v>7.1651112940724904E-3</v>
      </c>
      <c r="D195" s="67">
        <f>(Table13[[#This Row],[Index]]-B183)/B183</f>
        <v>6.827152419789187E-2</v>
      </c>
    </row>
    <row r="196" spans="1:4" x14ac:dyDescent="0.2">
      <c r="A196" s="17">
        <v>32051</v>
      </c>
      <c r="B196" s="59">
        <f>VLOOKUP(Table13[[#This Row],[Date]],database!A:F,6,)</f>
        <v>56.402200000000001</v>
      </c>
      <c r="C196" s="67">
        <f t="shared" si="2"/>
        <v>1.557331739209511E-2</v>
      </c>
      <c r="D196" s="67">
        <f>(Table13[[#This Row],[Index]]-B184)/B184</f>
        <v>8.0766931354815039E-2</v>
      </c>
    </row>
    <row r="197" spans="1:4" x14ac:dyDescent="0.2">
      <c r="A197" s="17">
        <v>32082</v>
      </c>
      <c r="B197" s="59">
        <f>VLOOKUP(Table13[[#This Row],[Date]],database!A:F,6,)</f>
        <v>56.695500000000003</v>
      </c>
      <c r="C197" s="67">
        <f t="shared" si="2"/>
        <v>5.2001517671296238E-3</v>
      </c>
      <c r="D197" s="67">
        <f>(Table13[[#This Row],[Index]]-B185)/B185</f>
        <v>8.2493713591816051E-2</v>
      </c>
    </row>
    <row r="198" spans="1:4" x14ac:dyDescent="0.2">
      <c r="A198" s="17">
        <v>32112</v>
      </c>
      <c r="B198" s="59">
        <f>VLOOKUP(Table13[[#This Row],[Date]],database!A:F,6,)</f>
        <v>57.104900000000001</v>
      </c>
      <c r="C198" s="67">
        <f t="shared" si="2"/>
        <v>7.2210316515419759E-3</v>
      </c>
      <c r="D198" s="67">
        <f>(Table13[[#This Row],[Index]]-B186)/B186</f>
        <v>7.9420376422642797E-2</v>
      </c>
    </row>
    <row r="199" spans="1:4" x14ac:dyDescent="0.2">
      <c r="A199" s="17">
        <v>32143</v>
      </c>
      <c r="B199" s="59">
        <f>VLOOKUP(Table13[[#This Row],[Date]],database!A:F,6,)</f>
        <v>56.9621</v>
      </c>
      <c r="C199" s="67">
        <f t="shared" si="2"/>
        <v>-2.5006610641118421E-3</v>
      </c>
      <c r="D199" s="67">
        <f>(Table13[[#This Row],[Index]]-B187)/B187</f>
        <v>8.0712758429002052E-2</v>
      </c>
    </row>
    <row r="200" spans="1:4" x14ac:dyDescent="0.2">
      <c r="A200" s="17">
        <v>32174</v>
      </c>
      <c r="B200" s="59">
        <f>VLOOKUP(Table13[[#This Row],[Date]],database!A:F,6,)</f>
        <v>57.165599999999998</v>
      </c>
      <c r="C200" s="67">
        <f t="shared" ref="C200:C263" si="3">B200/B199-1</f>
        <v>3.5725508715442889E-3</v>
      </c>
      <c r="D200" s="67">
        <f>(Table13[[#This Row],[Index]]-B188)/B188</f>
        <v>6.8555833862948154E-2</v>
      </c>
    </row>
    <row r="201" spans="1:4" x14ac:dyDescent="0.2">
      <c r="A201" s="17">
        <v>32203</v>
      </c>
      <c r="B201" s="59">
        <f>VLOOKUP(Table13[[#This Row],[Date]],database!A:F,6,)</f>
        <v>57.3371</v>
      </c>
      <c r="C201" s="67">
        <f t="shared" si="3"/>
        <v>3.0000559777207947E-3</v>
      </c>
      <c r="D201" s="67">
        <f>(Table13[[#This Row],[Index]]-B189)/B189</f>
        <v>7.1513201172108645E-2</v>
      </c>
    </row>
    <row r="202" spans="1:4" x14ac:dyDescent="0.2">
      <c r="A202" s="17">
        <v>32234</v>
      </c>
      <c r="B202" s="59">
        <f>VLOOKUP(Table13[[#This Row],[Date]],database!A:F,6,)</f>
        <v>57.866799999999998</v>
      </c>
      <c r="C202" s="67">
        <f t="shared" si="3"/>
        <v>9.2383465504881634E-3</v>
      </c>
      <c r="D202" s="67">
        <f>(Table13[[#This Row],[Index]]-B190)/B190</f>
        <v>7.4891799015510296E-2</v>
      </c>
    </row>
    <row r="203" spans="1:4" x14ac:dyDescent="0.2">
      <c r="A203" s="17">
        <v>32264</v>
      </c>
      <c r="B203" s="59">
        <f>VLOOKUP(Table13[[#This Row],[Date]],database!A:F,6,)</f>
        <v>57.744300000000003</v>
      </c>
      <c r="C203" s="67">
        <f t="shared" si="3"/>
        <v>-2.116930606150591E-3</v>
      </c>
      <c r="D203" s="67">
        <f>(Table13[[#This Row],[Index]]-B191)/B191</f>
        <v>6.5111972302510618E-2</v>
      </c>
    </row>
    <row r="204" spans="1:4" x14ac:dyDescent="0.2">
      <c r="A204" s="17">
        <v>32295</v>
      </c>
      <c r="B204" s="59">
        <f>VLOOKUP(Table13[[#This Row],[Date]],database!A:F,6,)</f>
        <v>57.875399999999999</v>
      </c>
      <c r="C204" s="67">
        <f t="shared" si="3"/>
        <v>2.2703539570139153E-3</v>
      </c>
      <c r="D204" s="67">
        <f>(Table13[[#This Row],[Index]]-B192)/B192</f>
        <v>6.3397335783187916E-2</v>
      </c>
    </row>
    <row r="205" spans="1:4" x14ac:dyDescent="0.2">
      <c r="A205" s="17">
        <v>32325</v>
      </c>
      <c r="B205" s="59">
        <f>VLOOKUP(Table13[[#This Row],[Date]],database!A:F,6,)</f>
        <v>57.854999999999997</v>
      </c>
      <c r="C205" s="67">
        <f t="shared" si="3"/>
        <v>-3.5248136513965633E-4</v>
      </c>
      <c r="D205" s="67">
        <f>(Table13[[#This Row],[Index]]-B193)/B193</f>
        <v>5.478385636489267E-2</v>
      </c>
    </row>
    <row r="206" spans="1:4" x14ac:dyDescent="0.2">
      <c r="A206" s="17">
        <v>32356</v>
      </c>
      <c r="B206" s="59">
        <f>VLOOKUP(Table13[[#This Row],[Date]],database!A:F,6,)</f>
        <v>57.953600000000002</v>
      </c>
      <c r="C206" s="67">
        <f t="shared" si="3"/>
        <v>1.704260651629097E-3</v>
      </c>
      <c r="D206" s="67">
        <f>(Table13[[#This Row],[Index]]-B194)/B194</f>
        <v>5.098454541168105E-2</v>
      </c>
    </row>
    <row r="207" spans="1:4" x14ac:dyDescent="0.2">
      <c r="A207" s="17">
        <v>32387</v>
      </c>
      <c r="B207" s="59">
        <f>VLOOKUP(Table13[[#This Row],[Date]],database!A:F,6,)</f>
        <v>58.1355</v>
      </c>
      <c r="C207" s="67">
        <f t="shared" si="3"/>
        <v>3.1387178708484065E-3</v>
      </c>
      <c r="D207" s="67">
        <f>(Table13[[#This Row],[Index]]-B195)/B195</f>
        <v>4.6782972884889945E-2</v>
      </c>
    </row>
    <row r="208" spans="1:4" x14ac:dyDescent="0.2">
      <c r="A208" s="17">
        <v>32417</v>
      </c>
      <c r="B208" s="59">
        <f>VLOOKUP(Table13[[#This Row],[Date]],database!A:F,6,)</f>
        <v>58.372100000000003</v>
      </c>
      <c r="C208" s="67">
        <f t="shared" si="3"/>
        <v>4.0698024442897829E-3</v>
      </c>
      <c r="D208" s="67">
        <f>(Table13[[#This Row],[Index]]-B196)/B196</f>
        <v>3.4925942605075734E-2</v>
      </c>
    </row>
    <row r="209" spans="1:4" x14ac:dyDescent="0.2">
      <c r="A209" s="17">
        <v>32448</v>
      </c>
      <c r="B209" s="59">
        <f>VLOOKUP(Table13[[#This Row],[Date]],database!A:F,6,)</f>
        <v>58.607599999999998</v>
      </c>
      <c r="C209" s="67">
        <f t="shared" si="3"/>
        <v>4.034461669187861E-3</v>
      </c>
      <c r="D209" s="67">
        <f>(Table13[[#This Row],[Index]]-B197)/B197</f>
        <v>3.3725780705699662E-2</v>
      </c>
    </row>
    <row r="210" spans="1:4" x14ac:dyDescent="0.2">
      <c r="A210" s="17">
        <v>32478</v>
      </c>
      <c r="B210" s="59">
        <f>VLOOKUP(Table13[[#This Row],[Date]],database!A:F,6,)</f>
        <v>58.871200000000002</v>
      </c>
      <c r="C210" s="67">
        <f t="shared" si="3"/>
        <v>4.4977101945822273E-3</v>
      </c>
      <c r="D210" s="67">
        <f>(Table13[[#This Row],[Index]]-B198)/B198</f>
        <v>3.0930795781097614E-2</v>
      </c>
    </row>
    <row r="211" spans="1:4" x14ac:dyDescent="0.2">
      <c r="A211" s="17">
        <v>32509</v>
      </c>
      <c r="B211" s="59">
        <f>VLOOKUP(Table13[[#This Row],[Date]],database!A:F,6,)</f>
        <v>59.383099999999999</v>
      </c>
      <c r="C211" s="67">
        <f t="shared" si="3"/>
        <v>8.6952533666715404E-3</v>
      </c>
      <c r="D211" s="67">
        <f>(Table13[[#This Row],[Index]]-B199)/B199</f>
        <v>4.2501944275228604E-2</v>
      </c>
    </row>
    <row r="212" spans="1:4" x14ac:dyDescent="0.2">
      <c r="A212" s="17">
        <v>32540</v>
      </c>
      <c r="B212" s="59">
        <f>VLOOKUP(Table13[[#This Row],[Date]],database!A:F,6,)</f>
        <v>58.777500000000003</v>
      </c>
      <c r="C212" s="67">
        <f t="shared" si="3"/>
        <v>-1.0198187699867356E-2</v>
      </c>
      <c r="D212" s="67">
        <f>(Table13[[#This Row],[Index]]-B200)/B200</f>
        <v>2.8197027583022057E-2</v>
      </c>
    </row>
    <row r="213" spans="1:4" x14ac:dyDescent="0.2">
      <c r="A213" s="17">
        <v>32568</v>
      </c>
      <c r="B213" s="59">
        <f>VLOOKUP(Table13[[#This Row],[Date]],database!A:F,6,)</f>
        <v>58.711399999999998</v>
      </c>
      <c r="C213" s="67">
        <f t="shared" si="3"/>
        <v>-1.1245799838374149E-3</v>
      </c>
      <c r="D213" s="67">
        <f>(Table13[[#This Row],[Index]]-B201)/B201</f>
        <v>2.3968774144489311E-2</v>
      </c>
    </row>
    <row r="214" spans="1:4" x14ac:dyDescent="0.2">
      <c r="A214" s="17">
        <v>32599</v>
      </c>
      <c r="B214" s="59">
        <f>VLOOKUP(Table13[[#This Row],[Date]],database!A:F,6,)</f>
        <v>58.811300000000003</v>
      </c>
      <c r="C214" s="67">
        <f t="shared" si="3"/>
        <v>1.7015434821858744E-3</v>
      </c>
      <c r="D214" s="67">
        <f>(Table13[[#This Row],[Index]]-B202)/B202</f>
        <v>1.6321967000076123E-2</v>
      </c>
    </row>
    <row r="215" spans="1:4" x14ac:dyDescent="0.2">
      <c r="A215" s="17">
        <v>32629</v>
      </c>
      <c r="B215" s="59">
        <f>VLOOKUP(Table13[[#This Row],[Date]],database!A:F,6,)</f>
        <v>58.334200000000003</v>
      </c>
      <c r="C215" s="67">
        <f t="shared" si="3"/>
        <v>-8.1123865651668847E-3</v>
      </c>
      <c r="D215" s="67">
        <f>(Table13[[#This Row],[Index]]-B203)/B203</f>
        <v>1.021572692023282E-2</v>
      </c>
    </row>
    <row r="216" spans="1:4" x14ac:dyDescent="0.2">
      <c r="A216" s="17">
        <v>32660</v>
      </c>
      <c r="B216" s="59">
        <f>VLOOKUP(Table13[[#This Row],[Date]],database!A:F,6,)</f>
        <v>58.441600000000001</v>
      </c>
      <c r="C216" s="67">
        <f t="shared" si="3"/>
        <v>1.8411155034268045E-3</v>
      </c>
      <c r="D216" s="67">
        <f>(Table13[[#This Row],[Index]]-B204)/B204</f>
        <v>9.7830857324528557E-3</v>
      </c>
    </row>
    <row r="217" spans="1:4" x14ac:dyDescent="0.2">
      <c r="A217" s="17">
        <v>32690</v>
      </c>
      <c r="B217" s="59">
        <f>VLOOKUP(Table13[[#This Row],[Date]],database!A:F,6,)</f>
        <v>57.728999999999999</v>
      </c>
      <c r="C217" s="67">
        <f t="shared" si="3"/>
        <v>-1.2193369106937579E-2</v>
      </c>
      <c r="D217" s="67">
        <f>(Table13[[#This Row],[Index]]-B205)/B205</f>
        <v>-2.1778584392014117E-3</v>
      </c>
    </row>
    <row r="218" spans="1:4" x14ac:dyDescent="0.2">
      <c r="A218" s="17">
        <v>32721</v>
      </c>
      <c r="B218" s="59">
        <f>VLOOKUP(Table13[[#This Row],[Date]],database!A:F,6,)</f>
        <v>58.316800000000001</v>
      </c>
      <c r="C218" s="67">
        <f t="shared" si="3"/>
        <v>1.018205754473489E-2</v>
      </c>
      <c r="D218" s="67">
        <f>(Table13[[#This Row],[Index]]-B206)/B206</f>
        <v>6.2670826316225236E-3</v>
      </c>
    </row>
    <row r="219" spans="1:4" x14ac:dyDescent="0.2">
      <c r="A219" s="17">
        <v>32752</v>
      </c>
      <c r="B219" s="59">
        <f>VLOOKUP(Table13[[#This Row],[Date]],database!A:F,6,)</f>
        <v>58.1873</v>
      </c>
      <c r="C219" s="67">
        <f t="shared" si="3"/>
        <v>-2.2206293898155982E-3</v>
      </c>
      <c r="D219" s="67">
        <f>(Table13[[#This Row],[Index]]-B207)/B207</f>
        <v>8.9102183691548308E-4</v>
      </c>
    </row>
    <row r="220" spans="1:4" x14ac:dyDescent="0.2">
      <c r="A220" s="17">
        <v>32782</v>
      </c>
      <c r="B220" s="59">
        <f>VLOOKUP(Table13[[#This Row],[Date]],database!A:F,6,)</f>
        <v>58.042900000000003</v>
      </c>
      <c r="C220" s="67">
        <f t="shared" si="3"/>
        <v>-2.4816411828697538E-3</v>
      </c>
      <c r="D220" s="67">
        <f>(Table13[[#This Row],[Index]]-B208)/B208</f>
        <v>-5.6396806008349905E-3</v>
      </c>
    </row>
    <row r="221" spans="1:4" x14ac:dyDescent="0.2">
      <c r="A221" s="17">
        <v>32813</v>
      </c>
      <c r="B221" s="59">
        <f>VLOOKUP(Table13[[#This Row],[Date]],database!A:F,6,)</f>
        <v>58.1648</v>
      </c>
      <c r="C221" s="67">
        <f t="shared" si="3"/>
        <v>2.10017073578328E-3</v>
      </c>
      <c r="D221" s="67">
        <f>(Table13[[#This Row],[Index]]-B209)/B209</f>
        <v>-7.5553341204894642E-3</v>
      </c>
    </row>
    <row r="222" spans="1:4" x14ac:dyDescent="0.2">
      <c r="A222" s="17">
        <v>32843</v>
      </c>
      <c r="B222" s="59">
        <f>VLOOKUP(Table13[[#This Row],[Date]],database!A:F,6,)</f>
        <v>58.1965</v>
      </c>
      <c r="C222" s="67">
        <f t="shared" si="3"/>
        <v>5.4500316342531718E-4</v>
      </c>
      <c r="D222" s="67">
        <f>(Table13[[#This Row],[Index]]-B210)/B210</f>
        <v>-1.1460612319776077E-2</v>
      </c>
    </row>
    <row r="223" spans="1:4" x14ac:dyDescent="0.2">
      <c r="A223" s="17">
        <v>32874</v>
      </c>
      <c r="B223" s="59">
        <f>VLOOKUP(Table13[[#This Row],[Date]],database!A:F,6,)</f>
        <v>58.131599999999999</v>
      </c>
      <c r="C223" s="67">
        <f t="shared" si="3"/>
        <v>-1.1151873394448231E-3</v>
      </c>
      <c r="D223" s="67">
        <f>(Table13[[#This Row],[Index]]-B211)/B211</f>
        <v>-2.1075019660475793E-2</v>
      </c>
    </row>
    <row r="224" spans="1:4" x14ac:dyDescent="0.2">
      <c r="A224" s="17">
        <v>32905</v>
      </c>
      <c r="B224" s="59">
        <f>VLOOKUP(Table13[[#This Row],[Date]],database!A:F,6,)</f>
        <v>58.945900000000002</v>
      </c>
      <c r="C224" s="67">
        <f t="shared" si="3"/>
        <v>1.4007871794342597E-2</v>
      </c>
      <c r="D224" s="67">
        <f>(Table13[[#This Row],[Index]]-B212)/B212</f>
        <v>2.8650418952830305E-3</v>
      </c>
    </row>
    <row r="225" spans="1:4" x14ac:dyDescent="0.2">
      <c r="A225" s="17">
        <v>32933</v>
      </c>
      <c r="B225" s="59">
        <f>VLOOKUP(Table13[[#This Row],[Date]],database!A:F,6,)</f>
        <v>59.265300000000003</v>
      </c>
      <c r="C225" s="67">
        <f t="shared" si="3"/>
        <v>5.4185278365417311E-3</v>
      </c>
      <c r="D225" s="67">
        <f>(Table13[[#This Row],[Index]]-B213)/B213</f>
        <v>9.4342836314583855E-3</v>
      </c>
    </row>
    <row r="226" spans="1:4" x14ac:dyDescent="0.2">
      <c r="A226" s="17">
        <v>32964</v>
      </c>
      <c r="B226" s="59">
        <f>VLOOKUP(Table13[[#This Row],[Date]],database!A:F,6,)</f>
        <v>59.046199999999999</v>
      </c>
      <c r="C226" s="67">
        <f t="shared" si="3"/>
        <v>-3.696935643622945E-3</v>
      </c>
      <c r="D226" s="67">
        <f>(Table13[[#This Row],[Index]]-B214)/B214</f>
        <v>3.9941303797058746E-3</v>
      </c>
    </row>
    <row r="227" spans="1:4" x14ac:dyDescent="0.2">
      <c r="A227" s="17">
        <v>32994</v>
      </c>
      <c r="B227" s="59">
        <f>VLOOKUP(Table13[[#This Row],[Date]],database!A:F,6,)</f>
        <v>59.2181</v>
      </c>
      <c r="C227" s="67">
        <f t="shared" si="3"/>
        <v>2.9112796420429632E-3</v>
      </c>
      <c r="D227" s="67">
        <f>(Table13[[#This Row],[Index]]-B215)/B215</f>
        <v>1.5152346307997657E-2</v>
      </c>
    </row>
    <row r="228" spans="1:4" x14ac:dyDescent="0.2">
      <c r="A228" s="17">
        <v>33025</v>
      </c>
      <c r="B228" s="59">
        <f>VLOOKUP(Table13[[#This Row],[Date]],database!A:F,6,)</f>
        <v>59.409599999999998</v>
      </c>
      <c r="C228" s="67">
        <f t="shared" si="3"/>
        <v>3.2338085821732587E-3</v>
      </c>
      <c r="D228" s="67">
        <f>(Table13[[#This Row],[Index]]-B216)/B216</f>
        <v>1.6563543777035474E-2</v>
      </c>
    </row>
    <row r="229" spans="1:4" x14ac:dyDescent="0.2">
      <c r="A229" s="17">
        <v>33055</v>
      </c>
      <c r="B229" s="59">
        <f>VLOOKUP(Table13[[#This Row],[Date]],database!A:F,6,)</f>
        <v>59.271599999999999</v>
      </c>
      <c r="C229" s="67">
        <f t="shared" si="3"/>
        <v>-2.3228569120141707E-3</v>
      </c>
      <c r="D229" s="67">
        <f>(Table13[[#This Row],[Index]]-B217)/B217</f>
        <v>2.6721405186301516E-2</v>
      </c>
    </row>
    <row r="230" spans="1:4" x14ac:dyDescent="0.2">
      <c r="A230" s="17">
        <v>33086</v>
      </c>
      <c r="B230" s="59">
        <f>VLOOKUP(Table13[[#This Row],[Date]],database!A:F,6,)</f>
        <v>59.500799999999998</v>
      </c>
      <c r="C230" s="67">
        <f t="shared" si="3"/>
        <v>3.8669447087644748E-3</v>
      </c>
      <c r="D230" s="67">
        <f>(Table13[[#This Row],[Index]]-B218)/B218</f>
        <v>2.0302897278314268E-2</v>
      </c>
    </row>
    <row r="231" spans="1:4" x14ac:dyDescent="0.2">
      <c r="A231" s="17">
        <v>33117</v>
      </c>
      <c r="B231" s="59">
        <f>VLOOKUP(Table13[[#This Row],[Date]],database!A:F,6,)</f>
        <v>59.423499999999997</v>
      </c>
      <c r="C231" s="67">
        <f t="shared" si="3"/>
        <v>-1.2991421964074767E-3</v>
      </c>
      <c r="D231" s="67">
        <f>(Table13[[#This Row],[Index]]-B219)/B219</f>
        <v>2.1245185805149863E-2</v>
      </c>
    </row>
    <row r="232" spans="1:4" x14ac:dyDescent="0.2">
      <c r="A232" s="17">
        <v>33147</v>
      </c>
      <c r="B232" s="59">
        <f>VLOOKUP(Table13[[#This Row],[Date]],database!A:F,6,)</f>
        <v>59.0289</v>
      </c>
      <c r="C232" s="67">
        <f t="shared" si="3"/>
        <v>-6.6404705209217596E-3</v>
      </c>
      <c r="D232" s="67">
        <f>(Table13[[#This Row],[Index]]-B220)/B220</f>
        <v>1.6987435155720976E-2</v>
      </c>
    </row>
    <row r="233" spans="1:4" x14ac:dyDescent="0.2">
      <c r="A233" s="17">
        <v>33178</v>
      </c>
      <c r="B233" s="59">
        <f>VLOOKUP(Table13[[#This Row],[Date]],database!A:F,6,)</f>
        <v>58.322299999999998</v>
      </c>
      <c r="C233" s="67">
        <f t="shared" si="3"/>
        <v>-1.1970407715542808E-2</v>
      </c>
      <c r="D233" s="67">
        <f>(Table13[[#This Row],[Index]]-B221)/B221</f>
        <v>2.7078232883118118E-3</v>
      </c>
    </row>
    <row r="234" spans="1:4" x14ac:dyDescent="0.2">
      <c r="A234" s="17">
        <v>33208</v>
      </c>
      <c r="B234" s="59">
        <f>VLOOKUP(Table13[[#This Row],[Date]],database!A:F,6,)</f>
        <v>57.840400000000002</v>
      </c>
      <c r="C234" s="67">
        <f t="shared" si="3"/>
        <v>-8.2627056889045258E-3</v>
      </c>
      <c r="D234" s="67">
        <f>(Table13[[#This Row],[Index]]-B222)/B222</f>
        <v>-6.11892467760085E-3</v>
      </c>
    </row>
    <row r="235" spans="1:4" x14ac:dyDescent="0.2">
      <c r="A235" s="17">
        <v>33239</v>
      </c>
      <c r="B235" s="59">
        <f>VLOOKUP(Table13[[#This Row],[Date]],database!A:F,6,)</f>
        <v>57.471800000000002</v>
      </c>
      <c r="C235" s="67">
        <f t="shared" si="3"/>
        <v>-6.3727083491815772E-3</v>
      </c>
      <c r="D235" s="67">
        <f>(Table13[[#This Row],[Index]]-B223)/B223</f>
        <v>-1.1350109062884852E-2</v>
      </c>
    </row>
    <row r="236" spans="1:4" x14ac:dyDescent="0.2">
      <c r="A236" s="17">
        <v>33270</v>
      </c>
      <c r="B236" s="59">
        <f>VLOOKUP(Table13[[#This Row],[Date]],database!A:F,6,)</f>
        <v>57.051000000000002</v>
      </c>
      <c r="C236" s="67">
        <f t="shared" si="3"/>
        <v>-7.3218517603416133E-3</v>
      </c>
      <c r="D236" s="67">
        <f>(Table13[[#This Row],[Index]]-B224)/B224</f>
        <v>-3.2146425790428167E-2</v>
      </c>
    </row>
    <row r="237" spans="1:4" x14ac:dyDescent="0.2">
      <c r="A237" s="17">
        <v>33298</v>
      </c>
      <c r="B237" s="59">
        <f>VLOOKUP(Table13[[#This Row],[Date]],database!A:F,6,)</f>
        <v>56.660400000000003</v>
      </c>
      <c r="C237" s="67">
        <f t="shared" si="3"/>
        <v>-6.8465057580059385E-3</v>
      </c>
      <c r="D237" s="67">
        <f>(Table13[[#This Row],[Index]]-B225)/B225</f>
        <v>-4.395320701995941E-2</v>
      </c>
    </row>
    <row r="238" spans="1:4" x14ac:dyDescent="0.2">
      <c r="A238" s="17">
        <v>33329</v>
      </c>
      <c r="B238" s="59">
        <f>VLOOKUP(Table13[[#This Row],[Date]],database!A:F,6,)</f>
        <v>56.908700000000003</v>
      </c>
      <c r="C238" s="67">
        <f t="shared" si="3"/>
        <v>4.382249331102539E-3</v>
      </c>
      <c r="D238" s="67">
        <f>(Table13[[#This Row],[Index]]-B226)/B226</f>
        <v>-3.6200466753152548E-2</v>
      </c>
    </row>
    <row r="239" spans="1:4" x14ac:dyDescent="0.2">
      <c r="A239" s="17">
        <v>33359</v>
      </c>
      <c r="B239" s="59">
        <f>VLOOKUP(Table13[[#This Row],[Date]],database!A:F,6,)</f>
        <v>57.318199999999997</v>
      </c>
      <c r="C239" s="67">
        <f t="shared" si="3"/>
        <v>7.1957363285402032E-3</v>
      </c>
      <c r="D239" s="67">
        <f>(Table13[[#This Row],[Index]]-B227)/B227</f>
        <v>-3.2083096215515229E-2</v>
      </c>
    </row>
    <row r="240" spans="1:4" x14ac:dyDescent="0.2">
      <c r="A240" s="17">
        <v>33390</v>
      </c>
      <c r="B240" s="59">
        <f>VLOOKUP(Table13[[#This Row],[Date]],database!A:F,6,)</f>
        <v>57.8765</v>
      </c>
      <c r="C240" s="67">
        <f t="shared" si="3"/>
        <v>9.7403617001232679E-3</v>
      </c>
      <c r="D240" s="67">
        <f>(Table13[[#This Row],[Index]]-B228)/B228</f>
        <v>-2.5805593708760833E-2</v>
      </c>
    </row>
    <row r="241" spans="1:4" x14ac:dyDescent="0.2">
      <c r="A241" s="17">
        <v>33420</v>
      </c>
      <c r="B241" s="59">
        <f>VLOOKUP(Table13[[#This Row],[Date]],database!A:F,6,)</f>
        <v>58.198999999999998</v>
      </c>
      <c r="C241" s="67">
        <f t="shared" si="3"/>
        <v>5.5722097915389401E-3</v>
      </c>
      <c r="D241" s="67">
        <f>(Table13[[#This Row],[Index]]-B229)/B229</f>
        <v>-1.8096356433772689E-2</v>
      </c>
    </row>
    <row r="242" spans="1:4" x14ac:dyDescent="0.2">
      <c r="A242" s="17">
        <v>33451</v>
      </c>
      <c r="B242" s="59">
        <f>VLOOKUP(Table13[[#This Row],[Date]],database!A:F,6,)</f>
        <v>58.247100000000003</v>
      </c>
      <c r="C242" s="67">
        <f t="shared" si="3"/>
        <v>8.2647468169572136E-4</v>
      </c>
      <c r="D242" s="67">
        <f>(Table13[[#This Row],[Index]]-B230)/B230</f>
        <v>-2.107030493707639E-2</v>
      </c>
    </row>
    <row r="243" spans="1:4" x14ac:dyDescent="0.2">
      <c r="A243" s="17">
        <v>33482</v>
      </c>
      <c r="B243" s="59">
        <f>VLOOKUP(Table13[[#This Row],[Date]],database!A:F,6,)</f>
        <v>58.886600000000001</v>
      </c>
      <c r="C243" s="67">
        <f t="shared" si="3"/>
        <v>1.0979087370873275E-2</v>
      </c>
      <c r="D243" s="67">
        <f>(Table13[[#This Row],[Index]]-B231)/B231</f>
        <v>-9.0351460280864593E-3</v>
      </c>
    </row>
    <row r="244" spans="1:4" x14ac:dyDescent="0.2">
      <c r="A244" s="17">
        <v>33512</v>
      </c>
      <c r="B244" s="59">
        <f>VLOOKUP(Table13[[#This Row],[Date]],database!A:F,6,)</f>
        <v>58.816800000000001</v>
      </c>
      <c r="C244" s="67">
        <f t="shared" si="3"/>
        <v>-1.1853290901495672E-3</v>
      </c>
      <c r="D244" s="67">
        <f>(Table13[[#This Row],[Index]]-B232)/B232</f>
        <v>-3.5931552171902157E-3</v>
      </c>
    </row>
    <row r="245" spans="1:4" x14ac:dyDescent="0.2">
      <c r="A245" s="17">
        <v>33543</v>
      </c>
      <c r="B245" s="59">
        <f>VLOOKUP(Table13[[#This Row],[Date]],database!A:F,6,)</f>
        <v>58.707799999999999</v>
      </c>
      <c r="C245" s="67">
        <f t="shared" si="3"/>
        <v>-1.8532120074536973E-3</v>
      </c>
      <c r="D245" s="67">
        <f>(Table13[[#This Row],[Index]]-B233)/B233</f>
        <v>6.6098216291195716E-3</v>
      </c>
    </row>
    <row r="246" spans="1:4" x14ac:dyDescent="0.2">
      <c r="A246" s="17">
        <v>33573</v>
      </c>
      <c r="B246" s="59">
        <f>VLOOKUP(Table13[[#This Row],[Date]],database!A:F,6,)</f>
        <v>58.580399999999997</v>
      </c>
      <c r="C246" s="67">
        <f t="shared" si="3"/>
        <v>-2.1700693945267968E-3</v>
      </c>
      <c r="D246" s="67">
        <f>(Table13[[#This Row],[Index]]-B234)/B234</f>
        <v>1.2793825768839685E-2</v>
      </c>
    </row>
    <row r="247" spans="1:4" x14ac:dyDescent="0.2">
      <c r="A247" s="17">
        <v>33604</v>
      </c>
      <c r="B247" s="59">
        <f>VLOOKUP(Table13[[#This Row],[Date]],database!A:F,6,)</f>
        <v>58.273400000000002</v>
      </c>
      <c r="C247" s="67">
        <f t="shared" si="3"/>
        <v>-5.240660698800248E-3</v>
      </c>
      <c r="D247" s="67">
        <f>(Table13[[#This Row],[Index]]-B235)/B235</f>
        <v>1.394771000734274E-2</v>
      </c>
    </row>
    <row r="248" spans="1:4" x14ac:dyDescent="0.2">
      <c r="A248" s="17">
        <v>33635</v>
      </c>
      <c r="B248" s="59">
        <f>VLOOKUP(Table13[[#This Row],[Date]],database!A:F,6,)</f>
        <v>58.829599999999999</v>
      </c>
      <c r="C248" s="67">
        <f t="shared" si="3"/>
        <v>9.5446636029474785E-3</v>
      </c>
      <c r="D248" s="67">
        <f>(Table13[[#This Row],[Index]]-B236)/B236</f>
        <v>3.1175614800792225E-2</v>
      </c>
    </row>
    <row r="249" spans="1:4" x14ac:dyDescent="0.2">
      <c r="A249" s="17">
        <v>33664</v>
      </c>
      <c r="B249" s="59">
        <f>VLOOKUP(Table13[[#This Row],[Date]],database!A:F,6,)</f>
        <v>59.444200000000002</v>
      </c>
      <c r="C249" s="67">
        <f t="shared" si="3"/>
        <v>1.0447121857024344E-2</v>
      </c>
      <c r="D249" s="67">
        <f>(Table13[[#This Row],[Index]]-B237)/B237</f>
        <v>4.9131315698441931E-2</v>
      </c>
    </row>
    <row r="250" spans="1:4" x14ac:dyDescent="0.2">
      <c r="A250" s="17">
        <v>33695</v>
      </c>
      <c r="B250" s="59">
        <f>VLOOKUP(Table13[[#This Row],[Date]],database!A:F,6,)</f>
        <v>59.7834</v>
      </c>
      <c r="C250" s="67">
        <f t="shared" si="3"/>
        <v>5.7061916890124298E-3</v>
      </c>
      <c r="D250" s="67">
        <f>(Table13[[#This Row],[Index]]-B238)/B238</f>
        <v>5.0514244746409545E-2</v>
      </c>
    </row>
    <row r="251" spans="1:4" x14ac:dyDescent="0.2">
      <c r="A251" s="17">
        <v>33725</v>
      </c>
      <c r="B251" s="59">
        <f>VLOOKUP(Table13[[#This Row],[Date]],database!A:F,6,)</f>
        <v>60.133800000000001</v>
      </c>
      <c r="C251" s="67">
        <f t="shared" si="3"/>
        <v>5.8611587832073653E-3</v>
      </c>
      <c r="D251" s="67">
        <f>(Table13[[#This Row],[Index]]-B239)/B239</f>
        <v>4.9122268319661183E-2</v>
      </c>
    </row>
    <row r="252" spans="1:4" x14ac:dyDescent="0.2">
      <c r="A252" s="17">
        <v>33756</v>
      </c>
      <c r="B252" s="59">
        <f>VLOOKUP(Table13[[#This Row],[Date]],database!A:F,6,)</f>
        <v>60.331200000000003</v>
      </c>
      <c r="C252" s="67">
        <f t="shared" si="3"/>
        <v>3.2826796244376233E-3</v>
      </c>
      <c r="D252" s="67">
        <f>(Table13[[#This Row],[Index]]-B240)/B240</f>
        <v>4.2412723644311638E-2</v>
      </c>
    </row>
    <row r="253" spans="1:4" x14ac:dyDescent="0.2">
      <c r="A253" s="17">
        <v>33786</v>
      </c>
      <c r="B253" s="59">
        <f>VLOOKUP(Table13[[#This Row],[Date]],database!A:F,6,)</f>
        <v>60.894799999999996</v>
      </c>
      <c r="C253" s="67">
        <f t="shared" si="3"/>
        <v>9.341766780703642E-3</v>
      </c>
      <c r="D253" s="67">
        <f>(Table13[[#This Row],[Index]]-B241)/B241</f>
        <v>4.6320383511744161E-2</v>
      </c>
    </row>
    <row r="254" spans="1:4" x14ac:dyDescent="0.2">
      <c r="A254" s="17">
        <v>33817</v>
      </c>
      <c r="B254" s="59">
        <f>VLOOKUP(Table13[[#This Row],[Date]],database!A:F,6,)</f>
        <v>60.609200000000001</v>
      </c>
      <c r="C254" s="67">
        <f t="shared" si="3"/>
        <v>-4.6900556369344759E-3</v>
      </c>
      <c r="D254" s="67">
        <f>(Table13[[#This Row],[Index]]-B242)/B242</f>
        <v>4.0553091913588794E-2</v>
      </c>
    </row>
    <row r="255" spans="1:4" x14ac:dyDescent="0.2">
      <c r="A255" s="17">
        <v>33848</v>
      </c>
      <c r="B255" s="59">
        <f>VLOOKUP(Table13[[#This Row],[Date]],database!A:F,6,)</f>
        <v>60.711500000000001</v>
      </c>
      <c r="C255" s="67">
        <f t="shared" si="3"/>
        <v>1.6878625687188897E-3</v>
      </c>
      <c r="D255" s="67">
        <f>(Table13[[#This Row],[Index]]-B243)/B243</f>
        <v>3.0990072444325185E-2</v>
      </c>
    </row>
    <row r="256" spans="1:4" x14ac:dyDescent="0.2">
      <c r="A256" s="17">
        <v>33878</v>
      </c>
      <c r="B256" s="59">
        <f>VLOOKUP(Table13[[#This Row],[Date]],database!A:F,6,)</f>
        <v>61.091099999999997</v>
      </c>
      <c r="C256" s="67">
        <f t="shared" si="3"/>
        <v>6.2525221745468595E-3</v>
      </c>
      <c r="D256" s="67">
        <f>(Table13[[#This Row],[Index]]-B244)/B244</f>
        <v>3.8667523564695744E-2</v>
      </c>
    </row>
    <row r="257" spans="1:4" x14ac:dyDescent="0.2">
      <c r="A257" s="17">
        <v>33909</v>
      </c>
      <c r="B257" s="59">
        <f>VLOOKUP(Table13[[#This Row],[Date]],database!A:F,6,)</f>
        <v>61.350099999999998</v>
      </c>
      <c r="C257" s="67">
        <f t="shared" si="3"/>
        <v>4.2395700846769024E-3</v>
      </c>
      <c r="D257" s="67">
        <f>(Table13[[#This Row],[Index]]-B245)/B245</f>
        <v>4.5007648046767192E-2</v>
      </c>
    </row>
    <row r="258" spans="1:4" x14ac:dyDescent="0.2">
      <c r="A258" s="17">
        <v>33939</v>
      </c>
      <c r="B258" s="59">
        <f>VLOOKUP(Table13[[#This Row],[Date]],database!A:F,6,)</f>
        <v>61.300400000000003</v>
      </c>
      <c r="C258" s="67">
        <f t="shared" si="3"/>
        <v>-8.1010462900621416E-4</v>
      </c>
      <c r="D258" s="67">
        <f>(Table13[[#This Row],[Index]]-B246)/B246</f>
        <v>4.6431912380250157E-2</v>
      </c>
    </row>
    <row r="259" spans="1:4" x14ac:dyDescent="0.2">
      <c r="A259" s="17">
        <v>33970</v>
      </c>
      <c r="B259" s="59">
        <f>VLOOKUP(Table13[[#This Row],[Date]],database!A:F,6,)</f>
        <v>61.871200000000002</v>
      </c>
      <c r="C259" s="67">
        <f t="shared" si="3"/>
        <v>9.3115216213923713E-3</v>
      </c>
      <c r="D259" s="67">
        <f>(Table13[[#This Row],[Index]]-B247)/B247</f>
        <v>6.1740004873578669E-2</v>
      </c>
    </row>
    <row r="260" spans="1:4" x14ac:dyDescent="0.2">
      <c r="A260" s="17">
        <v>34001</v>
      </c>
      <c r="B260" s="59">
        <f>VLOOKUP(Table13[[#This Row],[Date]],database!A:F,6,)</f>
        <v>62.028599999999997</v>
      </c>
      <c r="C260" s="67">
        <f t="shared" si="3"/>
        <v>2.5439946210836784E-3</v>
      </c>
      <c r="D260" s="67">
        <f>(Table13[[#This Row],[Index]]-B248)/B248</f>
        <v>5.4377388253532201E-2</v>
      </c>
    </row>
    <row r="261" spans="1:4" x14ac:dyDescent="0.2">
      <c r="A261" s="17">
        <v>34029</v>
      </c>
      <c r="B261" s="59">
        <f>VLOOKUP(Table13[[#This Row],[Date]],database!A:F,6,)</f>
        <v>61.901299999999999</v>
      </c>
      <c r="C261" s="67">
        <f t="shared" si="3"/>
        <v>-2.0522791099589766E-3</v>
      </c>
      <c r="D261" s="67">
        <f>(Table13[[#This Row],[Index]]-B249)/B249</f>
        <v>4.1334562497266289E-2</v>
      </c>
    </row>
    <row r="262" spans="1:4" x14ac:dyDescent="0.2">
      <c r="A262" s="17">
        <v>34060</v>
      </c>
      <c r="B262" s="59">
        <f>VLOOKUP(Table13[[#This Row],[Date]],database!A:F,6,)</f>
        <v>62.2209</v>
      </c>
      <c r="C262" s="67">
        <f t="shared" si="3"/>
        <v>5.163057964856943E-3</v>
      </c>
      <c r="D262" s="67">
        <f>(Table13[[#This Row],[Index]]-B250)/B250</f>
        <v>4.0772187597225985E-2</v>
      </c>
    </row>
    <row r="263" spans="1:4" x14ac:dyDescent="0.2">
      <c r="A263" s="17">
        <v>34090</v>
      </c>
      <c r="B263" s="59">
        <f>VLOOKUP(Table13[[#This Row],[Date]],database!A:F,6,)</f>
        <v>62.145699999999998</v>
      </c>
      <c r="C263" s="67">
        <f t="shared" si="3"/>
        <v>-1.2085971112600902E-3</v>
      </c>
      <c r="D263" s="67">
        <f>(Table13[[#This Row],[Index]]-B251)/B251</f>
        <v>3.3457057428600841E-2</v>
      </c>
    </row>
    <row r="264" spans="1:4" x14ac:dyDescent="0.2">
      <c r="A264" s="17">
        <v>34121</v>
      </c>
      <c r="B264" s="59">
        <f>VLOOKUP(Table13[[#This Row],[Date]],database!A:F,6,)</f>
        <v>62.052500000000002</v>
      </c>
      <c r="C264" s="67">
        <f t="shared" ref="C264:C327" si="4">B264/B263-1</f>
        <v>-1.4997015079080134E-3</v>
      </c>
      <c r="D264" s="67">
        <f>(Table13[[#This Row],[Index]]-B252)/B252</f>
        <v>2.8530843079534293E-2</v>
      </c>
    </row>
    <row r="265" spans="1:4" x14ac:dyDescent="0.2">
      <c r="A265" s="17">
        <v>34151</v>
      </c>
      <c r="B265" s="59">
        <f>VLOOKUP(Table13[[#This Row],[Date]],database!A:F,6,)</f>
        <v>62.203400000000002</v>
      </c>
      <c r="C265" s="67">
        <f t="shared" si="4"/>
        <v>2.4318117722896826E-3</v>
      </c>
      <c r="D265" s="67">
        <f>(Table13[[#This Row],[Index]]-B253)/B253</f>
        <v>2.14895196305761E-2</v>
      </c>
    </row>
    <row r="266" spans="1:4" x14ac:dyDescent="0.2">
      <c r="A266" s="17">
        <v>34182</v>
      </c>
      <c r="B266" s="59">
        <f>VLOOKUP(Table13[[#This Row],[Date]],database!A:F,6,)</f>
        <v>62.121000000000002</v>
      </c>
      <c r="C266" s="67">
        <f t="shared" si="4"/>
        <v>-1.3246864319313989E-3</v>
      </c>
      <c r="D266" s="67">
        <f>(Table13[[#This Row],[Index]]-B254)/B254</f>
        <v>2.4943407931469163E-2</v>
      </c>
    </row>
    <row r="267" spans="1:4" x14ac:dyDescent="0.2">
      <c r="A267" s="17">
        <v>34213</v>
      </c>
      <c r="B267" s="59">
        <f>VLOOKUP(Table13[[#This Row],[Date]],database!A:F,6,)</f>
        <v>62.577800000000003</v>
      </c>
      <c r="C267" s="67">
        <f t="shared" si="4"/>
        <v>7.3533909627985228E-3</v>
      </c>
      <c r="D267" s="67">
        <f>(Table13[[#This Row],[Index]]-B255)/B255</f>
        <v>3.0740469268590011E-2</v>
      </c>
    </row>
    <row r="268" spans="1:4" x14ac:dyDescent="0.2">
      <c r="A268" s="17">
        <v>34243</v>
      </c>
      <c r="B268" s="59">
        <f>VLOOKUP(Table13[[#This Row],[Date]],database!A:F,6,)</f>
        <v>63.120399999999997</v>
      </c>
      <c r="C268" s="67">
        <f t="shared" si="4"/>
        <v>8.6708065799692147E-3</v>
      </c>
      <c r="D268" s="67">
        <f>(Table13[[#This Row],[Index]]-B256)/B256</f>
        <v>3.3217604528319171E-2</v>
      </c>
    </row>
    <row r="269" spans="1:4" x14ac:dyDescent="0.2">
      <c r="A269" s="17">
        <v>34274</v>
      </c>
      <c r="B269" s="59">
        <f>VLOOKUP(Table13[[#This Row],[Date]],database!A:F,6,)</f>
        <v>63.424900000000001</v>
      </c>
      <c r="C269" s="67">
        <f t="shared" si="4"/>
        <v>4.8241139156279811E-3</v>
      </c>
      <c r="D269" s="67">
        <f>(Table13[[#This Row],[Index]]-B257)/B257</f>
        <v>3.3819015779925438E-2</v>
      </c>
    </row>
    <row r="270" spans="1:4" x14ac:dyDescent="0.2">
      <c r="A270" s="17">
        <v>34304</v>
      </c>
      <c r="B270" s="59">
        <f>VLOOKUP(Table13[[#This Row],[Date]],database!A:F,6,)</f>
        <v>63.835999999999999</v>
      </c>
      <c r="C270" s="67">
        <f t="shared" si="4"/>
        <v>6.4816814847166171E-3</v>
      </c>
      <c r="D270" s="67">
        <f>(Table13[[#This Row],[Index]]-B258)/B258</f>
        <v>4.1363514756836743E-2</v>
      </c>
    </row>
    <row r="271" spans="1:4" x14ac:dyDescent="0.2">
      <c r="A271" s="17">
        <v>34335</v>
      </c>
      <c r="B271" s="59">
        <f>VLOOKUP(Table13[[#This Row],[Date]],database!A:F,6,)</f>
        <v>63.908999999999999</v>
      </c>
      <c r="C271" s="67">
        <f t="shared" si="4"/>
        <v>1.1435553606116144E-3</v>
      </c>
      <c r="D271" s="67">
        <f>(Table13[[#This Row],[Index]]-B259)/B259</f>
        <v>3.2936164160384751E-2</v>
      </c>
    </row>
    <row r="272" spans="1:4" x14ac:dyDescent="0.2">
      <c r="A272" s="17">
        <v>34366</v>
      </c>
      <c r="B272" s="59">
        <f>VLOOKUP(Table13[[#This Row],[Date]],database!A:F,6,)</f>
        <v>64.026399999999995</v>
      </c>
      <c r="C272" s="67">
        <f t="shared" si="4"/>
        <v>1.8369869658418914E-3</v>
      </c>
      <c r="D272" s="67">
        <f>(Table13[[#This Row],[Index]]-B260)/B260</f>
        <v>3.2207723533982678E-2</v>
      </c>
    </row>
    <row r="273" spans="1:4" x14ac:dyDescent="0.2">
      <c r="A273" s="17">
        <v>34394</v>
      </c>
      <c r="B273" s="59">
        <f>VLOOKUP(Table13[[#This Row],[Date]],database!A:F,6,)</f>
        <v>64.879199999999997</v>
      </c>
      <c r="C273" s="67">
        <f t="shared" si="4"/>
        <v>1.3319505703897283E-2</v>
      </c>
      <c r="D273" s="67">
        <f>(Table13[[#This Row],[Index]]-B261)/B261</f>
        <v>4.8107228765793257E-2</v>
      </c>
    </row>
    <row r="274" spans="1:4" x14ac:dyDescent="0.2">
      <c r="A274" s="17">
        <v>34425</v>
      </c>
      <c r="B274" s="59">
        <f>VLOOKUP(Table13[[#This Row],[Date]],database!A:F,6,)</f>
        <v>65.4726</v>
      </c>
      <c r="C274" s="67">
        <f t="shared" si="4"/>
        <v>9.146228683460933E-3</v>
      </c>
      <c r="D274" s="67">
        <f>(Table13[[#This Row],[Index]]-B262)/B262</f>
        <v>5.2260574822929264E-2</v>
      </c>
    </row>
    <row r="275" spans="1:4" x14ac:dyDescent="0.2">
      <c r="A275" s="17">
        <v>34455</v>
      </c>
      <c r="B275" s="59">
        <f>VLOOKUP(Table13[[#This Row],[Date]],database!A:F,6,)</f>
        <v>65.906400000000005</v>
      </c>
      <c r="C275" s="67">
        <f t="shared" si="4"/>
        <v>6.6256724186912752E-3</v>
      </c>
      <c r="D275" s="67">
        <f>(Table13[[#This Row],[Index]]-B263)/B263</f>
        <v>6.051424314152077E-2</v>
      </c>
    </row>
    <row r="276" spans="1:4" x14ac:dyDescent="0.2">
      <c r="A276" s="17">
        <v>34486</v>
      </c>
      <c r="B276" s="59">
        <f>VLOOKUP(Table13[[#This Row],[Date]],database!A:F,6,)</f>
        <v>66.134699999999995</v>
      </c>
      <c r="C276" s="67">
        <f t="shared" si="4"/>
        <v>3.4640034958666188E-3</v>
      </c>
      <c r="D276" s="67">
        <f>(Table13[[#This Row],[Index]]-B264)/B264</f>
        <v>6.5786229402521948E-2</v>
      </c>
    </row>
    <row r="277" spans="1:4" x14ac:dyDescent="0.2">
      <c r="A277" s="17">
        <v>34516</v>
      </c>
      <c r="B277" s="59">
        <f>VLOOKUP(Table13[[#This Row],[Date]],database!A:F,6,)</f>
        <v>66.422200000000004</v>
      </c>
      <c r="C277" s="67">
        <f t="shared" si="4"/>
        <v>4.3471883897561181E-3</v>
      </c>
      <c r="D277" s="67">
        <f>(Table13[[#This Row],[Index]]-B265)/B265</f>
        <v>6.7822659211554379E-2</v>
      </c>
    </row>
    <row r="278" spans="1:4" x14ac:dyDescent="0.2">
      <c r="A278" s="17">
        <v>34547</v>
      </c>
      <c r="B278" s="59">
        <f>VLOOKUP(Table13[[#This Row],[Date]],database!A:F,6,)</f>
        <v>66.971999999999994</v>
      </c>
      <c r="C278" s="67">
        <f t="shared" si="4"/>
        <v>8.2773530536475182E-3</v>
      </c>
      <c r="D278" s="67">
        <f>(Table13[[#This Row],[Index]]-B266)/B266</f>
        <v>7.8089534939875277E-2</v>
      </c>
    </row>
    <row r="279" spans="1:4" x14ac:dyDescent="0.2">
      <c r="A279" s="17">
        <v>34578</v>
      </c>
      <c r="B279" s="59">
        <f>VLOOKUP(Table13[[#This Row],[Date]],database!A:F,6,)</f>
        <v>67.233999999999995</v>
      </c>
      <c r="C279" s="67">
        <f t="shared" si="4"/>
        <v>3.9120826614107429E-3</v>
      </c>
      <c r="D279" s="67">
        <f>(Table13[[#This Row],[Index]]-B267)/B267</f>
        <v>7.4406578690845493E-2</v>
      </c>
    </row>
    <row r="280" spans="1:4" x14ac:dyDescent="0.2">
      <c r="A280" s="17">
        <v>34608</v>
      </c>
      <c r="B280" s="59">
        <f>VLOOKUP(Table13[[#This Row],[Date]],database!A:F,6,)</f>
        <v>67.912899999999993</v>
      </c>
      <c r="C280" s="67">
        <f t="shared" si="4"/>
        <v>1.0097569682006036E-2</v>
      </c>
      <c r="D280" s="67">
        <f>(Table13[[#This Row],[Index]]-B268)/B268</f>
        <v>7.5926324928232355E-2</v>
      </c>
    </row>
    <row r="281" spans="1:4" x14ac:dyDescent="0.2">
      <c r="A281" s="17">
        <v>34639</v>
      </c>
      <c r="B281" s="59">
        <f>VLOOKUP(Table13[[#This Row],[Date]],database!A:F,6,)</f>
        <v>68.482699999999994</v>
      </c>
      <c r="C281" s="67">
        <f t="shared" si="4"/>
        <v>8.3901585707575332E-3</v>
      </c>
      <c r="D281" s="67">
        <f>(Table13[[#This Row],[Index]]-B269)/B269</f>
        <v>7.9744705943564642E-2</v>
      </c>
    </row>
    <row r="282" spans="1:4" x14ac:dyDescent="0.2">
      <c r="A282" s="17">
        <v>34669</v>
      </c>
      <c r="B282" s="59">
        <f>VLOOKUP(Table13[[#This Row],[Date]],database!A:F,6,)</f>
        <v>69.232600000000005</v>
      </c>
      <c r="C282" s="67">
        <f t="shared" si="4"/>
        <v>1.0950210783161385E-2</v>
      </c>
      <c r="D282" s="67">
        <f>(Table13[[#This Row],[Index]]-B270)/B270</f>
        <v>8.4538504918854673E-2</v>
      </c>
    </row>
    <row r="283" spans="1:4" x14ac:dyDescent="0.2">
      <c r="A283" s="17">
        <v>34700</v>
      </c>
      <c r="B283" s="59">
        <f>VLOOKUP(Table13[[#This Row],[Date]],database!A:F,6,)</f>
        <v>69.366299999999995</v>
      </c>
      <c r="C283" s="67">
        <f t="shared" si="4"/>
        <v>1.931171153473743E-3</v>
      </c>
      <c r="D283" s="67">
        <f>(Table13[[#This Row],[Index]]-B271)/B271</f>
        <v>8.5391728864479127E-2</v>
      </c>
    </row>
    <row r="284" spans="1:4" x14ac:dyDescent="0.2">
      <c r="A284" s="17">
        <v>34731</v>
      </c>
      <c r="B284" s="59">
        <f>VLOOKUP(Table13[[#This Row],[Date]],database!A:F,6,)</f>
        <v>69.178200000000004</v>
      </c>
      <c r="C284" s="67">
        <f t="shared" si="4"/>
        <v>-2.7116914121121383E-3</v>
      </c>
      <c r="D284" s="67">
        <f>(Table13[[#This Row],[Index]]-B272)/B272</f>
        <v>8.0463683730461324E-2</v>
      </c>
    </row>
    <row r="285" spans="1:4" x14ac:dyDescent="0.2">
      <c r="A285" s="17">
        <v>34759</v>
      </c>
      <c r="B285" s="59">
        <f>VLOOKUP(Table13[[#This Row],[Date]],database!A:F,6,)</f>
        <v>69.373900000000006</v>
      </c>
      <c r="C285" s="67">
        <f t="shared" si="4"/>
        <v>2.8289258754925495E-3</v>
      </c>
      <c r="D285" s="67">
        <f>(Table13[[#This Row],[Index]]-B273)/B273</f>
        <v>6.9277981232814353E-2</v>
      </c>
    </row>
    <row r="286" spans="1:4" x14ac:dyDescent="0.2">
      <c r="A286" s="17">
        <v>34790</v>
      </c>
      <c r="B286" s="59">
        <f>VLOOKUP(Table13[[#This Row],[Date]],database!A:F,6,)</f>
        <v>69.190899999999999</v>
      </c>
      <c r="C286" s="67">
        <f t="shared" si="4"/>
        <v>-2.637879663677678E-3</v>
      </c>
      <c r="D286" s="67">
        <f>(Table13[[#This Row],[Index]]-B274)/B274</f>
        <v>5.6791696068278934E-2</v>
      </c>
    </row>
    <row r="287" spans="1:4" x14ac:dyDescent="0.2">
      <c r="A287" s="17">
        <v>34820</v>
      </c>
      <c r="B287" s="59">
        <f>VLOOKUP(Table13[[#This Row],[Date]],database!A:F,6,)</f>
        <v>69.423699999999997</v>
      </c>
      <c r="C287" s="67">
        <f t="shared" si="4"/>
        <v>3.3646043049013752E-3</v>
      </c>
      <c r="D287" s="67">
        <f>(Table13[[#This Row],[Index]]-B275)/B275</f>
        <v>5.3368109925591316E-2</v>
      </c>
    </row>
    <row r="288" spans="1:4" x14ac:dyDescent="0.2">
      <c r="A288" s="17">
        <v>34851</v>
      </c>
      <c r="B288" s="59">
        <f>VLOOKUP(Table13[[#This Row],[Date]],database!A:F,6,)</f>
        <v>69.750900000000001</v>
      </c>
      <c r="C288" s="67">
        <f t="shared" si="4"/>
        <v>4.7130878936156861E-3</v>
      </c>
      <c r="D288" s="67">
        <f>(Table13[[#This Row],[Index]]-B276)/B276</f>
        <v>5.4679313582733521E-2</v>
      </c>
    </row>
    <row r="289" spans="1:4" x14ac:dyDescent="0.2">
      <c r="A289" s="17">
        <v>34881</v>
      </c>
      <c r="B289" s="59">
        <f>VLOOKUP(Table13[[#This Row],[Date]],database!A:F,6,)</f>
        <v>69.283699999999996</v>
      </c>
      <c r="C289" s="67">
        <f t="shared" si="4"/>
        <v>-6.6981214579311388E-3</v>
      </c>
      <c r="D289" s="67">
        <f>(Table13[[#This Row],[Index]]-B277)/B277</f>
        <v>4.3080476105880144E-2</v>
      </c>
    </row>
    <row r="290" spans="1:4" x14ac:dyDescent="0.2">
      <c r="A290" s="17">
        <v>34912</v>
      </c>
      <c r="B290" s="59">
        <f>VLOOKUP(Table13[[#This Row],[Date]],database!A:F,6,)</f>
        <v>70.130399999999995</v>
      </c>
      <c r="C290" s="67">
        <f t="shared" si="4"/>
        <v>1.2220767655306997E-2</v>
      </c>
      <c r="D290" s="67">
        <f>(Table13[[#This Row],[Index]]-B278)/B278</f>
        <v>4.7160007167174348E-2</v>
      </c>
    </row>
    <row r="291" spans="1:4" x14ac:dyDescent="0.2">
      <c r="A291" s="17">
        <v>34943</v>
      </c>
      <c r="B291" s="59">
        <f>VLOOKUP(Table13[[#This Row],[Date]],database!A:F,6,)</f>
        <v>70.778000000000006</v>
      </c>
      <c r="C291" s="67">
        <f t="shared" si="4"/>
        <v>9.2342265265850099E-3</v>
      </c>
      <c r="D291" s="67">
        <f>(Table13[[#This Row],[Index]]-B279)/B279</f>
        <v>5.2711425766725335E-2</v>
      </c>
    </row>
    <row r="292" spans="1:4" x14ac:dyDescent="0.2">
      <c r="A292" s="17">
        <v>34973</v>
      </c>
      <c r="B292" s="59">
        <f>VLOOKUP(Table13[[#This Row],[Date]],database!A:F,6,)</f>
        <v>70.731700000000004</v>
      </c>
      <c r="C292" s="67">
        <f t="shared" si="4"/>
        <v>-6.5415807171720353E-4</v>
      </c>
      <c r="D292" s="67">
        <f>(Table13[[#This Row],[Index]]-B280)/B280</f>
        <v>4.1506105614691917E-2</v>
      </c>
    </row>
    <row r="293" spans="1:4" x14ac:dyDescent="0.2">
      <c r="A293" s="17">
        <v>35004</v>
      </c>
      <c r="B293" s="59">
        <f>VLOOKUP(Table13[[#This Row],[Date]],database!A:F,6,)</f>
        <v>70.804199999999994</v>
      </c>
      <c r="C293" s="67">
        <f t="shared" si="4"/>
        <v>1.0250001060343461E-3</v>
      </c>
      <c r="D293" s="67">
        <f>(Table13[[#This Row],[Index]]-B281)/B281</f>
        <v>3.3899072320454665E-2</v>
      </c>
    </row>
    <row r="294" spans="1:4" x14ac:dyDescent="0.2">
      <c r="A294" s="17">
        <v>35034</v>
      </c>
      <c r="B294" s="59">
        <f>VLOOKUP(Table13[[#This Row],[Date]],database!A:F,6,)</f>
        <v>71.097899999999996</v>
      </c>
      <c r="C294" s="67">
        <f t="shared" si="4"/>
        <v>4.1480590134483908E-3</v>
      </c>
      <c r="D294" s="67">
        <f>(Table13[[#This Row],[Index]]-B282)/B282</f>
        <v>2.6942509742520004E-2</v>
      </c>
    </row>
    <row r="295" spans="1:4" x14ac:dyDescent="0.2">
      <c r="A295" s="17">
        <v>35065</v>
      </c>
      <c r="B295" s="59">
        <f>VLOOKUP(Table13[[#This Row],[Date]],database!A:F,6,)</f>
        <v>70.644599999999997</v>
      </c>
      <c r="C295" s="67">
        <f t="shared" si="4"/>
        <v>-6.3757157384395358E-3</v>
      </c>
      <c r="D295" s="67">
        <f>(Table13[[#This Row],[Index]]-B283)/B283</f>
        <v>1.8428256948979573E-2</v>
      </c>
    </row>
    <row r="296" spans="1:4" x14ac:dyDescent="0.2">
      <c r="A296" s="17">
        <v>35096</v>
      </c>
      <c r="B296" s="59">
        <f>VLOOKUP(Table13[[#This Row],[Date]],database!A:F,6,)</f>
        <v>71.681700000000006</v>
      </c>
      <c r="C296" s="67">
        <f t="shared" si="4"/>
        <v>1.4680527598712523E-2</v>
      </c>
      <c r="D296" s="67">
        <f>(Table13[[#This Row],[Index]]-B284)/B284</f>
        <v>3.6189146291750907E-2</v>
      </c>
    </row>
    <row r="297" spans="1:4" x14ac:dyDescent="0.2">
      <c r="A297" s="17">
        <v>35125</v>
      </c>
      <c r="B297" s="59">
        <f>VLOOKUP(Table13[[#This Row],[Date]],database!A:F,6,)</f>
        <v>71.495400000000004</v>
      </c>
      <c r="C297" s="67">
        <f t="shared" si="4"/>
        <v>-2.5989897003001472E-3</v>
      </c>
      <c r="D297" s="67">
        <f>(Table13[[#This Row],[Index]]-B285)/B285</f>
        <v>3.0580665062797354E-2</v>
      </c>
    </row>
    <row r="298" spans="1:4" x14ac:dyDescent="0.2">
      <c r="A298" s="17">
        <v>35156</v>
      </c>
      <c r="B298" s="59">
        <f>VLOOKUP(Table13[[#This Row],[Date]],database!A:F,6,)</f>
        <v>72.395700000000005</v>
      </c>
      <c r="C298" s="67">
        <f t="shared" si="4"/>
        <v>1.259241853322024E-2</v>
      </c>
      <c r="D298" s="67">
        <f>(Table13[[#This Row],[Index]]-B286)/B286</f>
        <v>4.6318229709398286E-2</v>
      </c>
    </row>
    <row r="299" spans="1:4" x14ac:dyDescent="0.2">
      <c r="A299" s="17">
        <v>35186</v>
      </c>
      <c r="B299" s="59">
        <f>VLOOKUP(Table13[[#This Row],[Date]],database!A:F,6,)</f>
        <v>72.983099999999993</v>
      </c>
      <c r="C299" s="67">
        <f t="shared" si="4"/>
        <v>8.113741561998733E-3</v>
      </c>
      <c r="D299" s="67">
        <f>(Table13[[#This Row],[Index]]-B287)/B287</f>
        <v>5.1270675576208076E-2</v>
      </c>
    </row>
    <row r="300" spans="1:4" x14ac:dyDescent="0.2">
      <c r="A300" s="17">
        <v>35217</v>
      </c>
      <c r="B300" s="59">
        <f>VLOOKUP(Table13[[#This Row],[Date]],database!A:F,6,)</f>
        <v>73.708200000000005</v>
      </c>
      <c r="C300" s="67">
        <f t="shared" si="4"/>
        <v>9.9351767738011798E-3</v>
      </c>
      <c r="D300" s="67">
        <f>(Table13[[#This Row],[Index]]-B288)/B288</f>
        <v>5.6734751809654121E-2</v>
      </c>
    </row>
    <row r="301" spans="1:4" x14ac:dyDescent="0.2">
      <c r="A301" s="17">
        <v>35247</v>
      </c>
      <c r="B301" s="59">
        <f>VLOOKUP(Table13[[#This Row],[Date]],database!A:F,6,)</f>
        <v>74.042599999999993</v>
      </c>
      <c r="C301" s="67">
        <f t="shared" si="4"/>
        <v>4.5368086590091838E-3</v>
      </c>
      <c r="D301" s="67">
        <f>(Table13[[#This Row],[Index]]-B289)/B289</f>
        <v>6.8687151523374151E-2</v>
      </c>
    </row>
    <row r="302" spans="1:4" x14ac:dyDescent="0.2">
      <c r="A302" s="17">
        <v>35278</v>
      </c>
      <c r="B302" s="59">
        <f>VLOOKUP(Table13[[#This Row],[Date]],database!A:F,6,)</f>
        <v>74.351200000000006</v>
      </c>
      <c r="C302" s="67">
        <f t="shared" si="4"/>
        <v>4.1678709283576865E-3</v>
      </c>
      <c r="D302" s="67">
        <f>(Table13[[#This Row],[Index]]-B290)/B290</f>
        <v>6.0185026750168423E-2</v>
      </c>
    </row>
    <row r="303" spans="1:4" x14ac:dyDescent="0.2">
      <c r="A303" s="17">
        <v>35309</v>
      </c>
      <c r="B303" s="59">
        <f>VLOOKUP(Table13[[#This Row],[Date]],database!A:F,6,)</f>
        <v>74.985100000000003</v>
      </c>
      <c r="C303" s="67">
        <f t="shared" si="4"/>
        <v>8.5257534511884447E-3</v>
      </c>
      <c r="D303" s="67">
        <f>(Table13[[#This Row],[Index]]-B291)/B291</f>
        <v>5.9440786685128102E-2</v>
      </c>
    </row>
    <row r="304" spans="1:4" x14ac:dyDescent="0.2">
      <c r="A304" s="17">
        <v>35339</v>
      </c>
      <c r="B304" s="59">
        <f>VLOOKUP(Table13[[#This Row],[Date]],database!A:F,6,)</f>
        <v>74.881600000000006</v>
      </c>
      <c r="C304" s="67">
        <f t="shared" si="4"/>
        <v>-1.3802742144772839E-3</v>
      </c>
      <c r="D304" s="67">
        <f>(Table13[[#This Row],[Index]]-B292)/B292</f>
        <v>5.8671006069414451E-2</v>
      </c>
    </row>
    <row r="305" spans="1:4" x14ac:dyDescent="0.2">
      <c r="A305" s="17">
        <v>35370</v>
      </c>
      <c r="B305" s="59">
        <f>VLOOKUP(Table13[[#This Row],[Date]],database!A:F,6,)</f>
        <v>75.5364</v>
      </c>
      <c r="C305" s="67">
        <f t="shared" si="4"/>
        <v>8.7444712719813023E-3</v>
      </c>
      <c r="D305" s="67">
        <f>(Table13[[#This Row],[Index]]-B293)/B293</f>
        <v>6.6835018261628631E-2</v>
      </c>
    </row>
    <row r="306" spans="1:4" x14ac:dyDescent="0.2">
      <c r="A306" s="17">
        <v>35400</v>
      </c>
      <c r="B306" s="59">
        <f>VLOOKUP(Table13[[#This Row],[Date]],database!A:F,6,)</f>
        <v>76.165800000000004</v>
      </c>
      <c r="C306" s="67">
        <f t="shared" si="4"/>
        <v>8.3324066277981057E-3</v>
      </c>
      <c r="D306" s="67">
        <f>(Table13[[#This Row],[Index]]-B294)/B294</f>
        <v>7.1280586346432306E-2</v>
      </c>
    </row>
    <row r="307" spans="1:4" x14ac:dyDescent="0.2">
      <c r="A307" s="17">
        <v>35431</v>
      </c>
      <c r="B307" s="59">
        <f>VLOOKUP(Table13[[#This Row],[Date]],database!A:F,6,)</f>
        <v>76.256200000000007</v>
      </c>
      <c r="C307" s="67">
        <f t="shared" si="4"/>
        <v>1.1868844021858393E-3</v>
      </c>
      <c r="D307" s="67">
        <f>(Table13[[#This Row],[Index]]-B295)/B295</f>
        <v>7.943423842728263E-2</v>
      </c>
    </row>
    <row r="308" spans="1:4" x14ac:dyDescent="0.2">
      <c r="A308" s="17">
        <v>35462</v>
      </c>
      <c r="B308" s="59">
        <f>VLOOKUP(Table13[[#This Row],[Date]],database!A:F,6,)</f>
        <v>77.3018</v>
      </c>
      <c r="C308" s="67">
        <f t="shared" si="4"/>
        <v>1.3711671968967609E-2</v>
      </c>
      <c r="D308" s="67">
        <f>(Table13[[#This Row],[Index]]-B296)/B296</f>
        <v>7.8403553487152139E-2</v>
      </c>
    </row>
    <row r="309" spans="1:4" x14ac:dyDescent="0.2">
      <c r="A309" s="17">
        <v>35490</v>
      </c>
      <c r="B309" s="59">
        <f>VLOOKUP(Table13[[#This Row],[Date]],database!A:F,6,)</f>
        <v>78.077500000000001</v>
      </c>
      <c r="C309" s="67">
        <f t="shared" si="4"/>
        <v>1.003469518174227E-2</v>
      </c>
      <c r="D309" s="67">
        <f>(Table13[[#This Row],[Index]]-B297)/B297</f>
        <v>9.206326560869646E-2</v>
      </c>
    </row>
    <row r="310" spans="1:4" x14ac:dyDescent="0.2">
      <c r="A310" s="17">
        <v>35521</v>
      </c>
      <c r="B310" s="59">
        <f>VLOOKUP(Table13[[#This Row],[Date]],database!A:F,6,)</f>
        <v>77.973299999999995</v>
      </c>
      <c r="C310" s="67">
        <f t="shared" si="4"/>
        <v>-1.3345714194230585E-3</v>
      </c>
      <c r="D310" s="67">
        <f>(Table13[[#This Row],[Index]]-B298)/B298</f>
        <v>7.7043249806272876E-2</v>
      </c>
    </row>
    <row r="311" spans="1:4" x14ac:dyDescent="0.2">
      <c r="A311" s="17">
        <v>35551</v>
      </c>
      <c r="B311" s="59">
        <f>VLOOKUP(Table13[[#This Row],[Date]],database!A:F,6,)</f>
        <v>78.532399999999996</v>
      </c>
      <c r="C311" s="67">
        <f t="shared" si="4"/>
        <v>7.1704032021218111E-3</v>
      </c>
      <c r="D311" s="67">
        <f>(Table13[[#This Row],[Index]]-B299)/B299</f>
        <v>7.6035410937600661E-2</v>
      </c>
    </row>
    <row r="312" spans="1:4" x14ac:dyDescent="0.2">
      <c r="A312" s="17">
        <v>35582</v>
      </c>
      <c r="B312" s="59">
        <f>VLOOKUP(Table13[[#This Row],[Date]],database!A:F,6,)</f>
        <v>79.019800000000004</v>
      </c>
      <c r="C312" s="67">
        <f t="shared" si="4"/>
        <v>6.2063555933602466E-3</v>
      </c>
      <c r="D312" s="67">
        <f>(Table13[[#This Row],[Index]]-B300)/B300</f>
        <v>7.2062538496395226E-2</v>
      </c>
    </row>
    <row r="313" spans="1:4" x14ac:dyDescent="0.2">
      <c r="A313" s="17">
        <v>35612</v>
      </c>
      <c r="B313" s="59">
        <f>VLOOKUP(Table13[[#This Row],[Date]],database!A:F,6,)</f>
        <v>79.601299999999995</v>
      </c>
      <c r="C313" s="67">
        <f t="shared" si="4"/>
        <v>7.3589151073527592E-3</v>
      </c>
      <c r="D313" s="67">
        <f>(Table13[[#This Row],[Index]]-B301)/B301</f>
        <v>7.5074349090928763E-2</v>
      </c>
    </row>
    <row r="314" spans="1:4" x14ac:dyDescent="0.2">
      <c r="A314" s="17">
        <v>35643</v>
      </c>
      <c r="B314" s="59">
        <f>VLOOKUP(Table13[[#This Row],[Date]],database!A:F,6,)</f>
        <v>80.607900000000001</v>
      </c>
      <c r="C314" s="67">
        <f t="shared" si="4"/>
        <v>1.264552212086989E-2</v>
      </c>
      <c r="D314" s="67">
        <f>(Table13[[#This Row],[Index]]-B302)/B302</f>
        <v>8.4150625679208876E-2</v>
      </c>
    </row>
    <row r="315" spans="1:4" x14ac:dyDescent="0.2">
      <c r="A315" s="17">
        <v>35674</v>
      </c>
      <c r="B315" s="59">
        <f>VLOOKUP(Table13[[#This Row],[Date]],database!A:F,6,)</f>
        <v>81.333200000000005</v>
      </c>
      <c r="C315" s="67">
        <f t="shared" si="4"/>
        <v>8.9978773792642741E-3</v>
      </c>
      <c r="D315" s="67">
        <f>(Table13[[#This Row],[Index]]-B303)/B303</f>
        <v>8.4658152086214494E-2</v>
      </c>
    </row>
    <row r="316" spans="1:4" x14ac:dyDescent="0.2">
      <c r="A316" s="17">
        <v>35704</v>
      </c>
      <c r="B316" s="59">
        <f>VLOOKUP(Table13[[#This Row],[Date]],database!A:F,6,)</f>
        <v>82.057000000000002</v>
      </c>
      <c r="C316" s="67">
        <f t="shared" si="4"/>
        <v>8.8991949167129825E-3</v>
      </c>
      <c r="D316" s="67">
        <f>(Table13[[#This Row],[Index]]-B304)/B304</f>
        <v>9.5823273006986967E-2</v>
      </c>
    </row>
    <row r="317" spans="1:4" x14ac:dyDescent="0.2">
      <c r="A317" s="17">
        <v>35735</v>
      </c>
      <c r="B317" s="59">
        <f>VLOOKUP(Table13[[#This Row],[Date]],database!A:F,6,)</f>
        <v>82.916499999999999</v>
      </c>
      <c r="C317" s="67">
        <f t="shared" si="4"/>
        <v>1.0474426313416219E-2</v>
      </c>
      <c r="D317" s="67">
        <f>(Table13[[#This Row],[Index]]-B305)/B305</f>
        <v>9.7702564591375801E-2</v>
      </c>
    </row>
    <row r="318" spans="1:4" x14ac:dyDescent="0.2">
      <c r="A318" s="17">
        <v>35765</v>
      </c>
      <c r="B318" s="59">
        <f>VLOOKUP(Table13[[#This Row],[Date]],database!A:F,6,)</f>
        <v>83.389200000000002</v>
      </c>
      <c r="C318" s="67">
        <f t="shared" si="4"/>
        <v>5.7009159817407173E-3</v>
      </c>
      <c r="D318" s="67">
        <f>(Table13[[#This Row],[Index]]-B306)/B306</f>
        <v>9.4837840605626111E-2</v>
      </c>
    </row>
    <row r="319" spans="1:4" x14ac:dyDescent="0.2">
      <c r="A319" s="17">
        <v>35796</v>
      </c>
      <c r="B319" s="59">
        <f>VLOOKUP(Table13[[#This Row],[Date]],database!A:F,6,)</f>
        <v>84.085499999999996</v>
      </c>
      <c r="C319" s="67">
        <f t="shared" si="4"/>
        <v>8.3500021585527495E-3</v>
      </c>
      <c r="D319" s="67">
        <f>(Table13[[#This Row],[Index]]-B307)/B307</f>
        <v>0.1026709959321339</v>
      </c>
    </row>
    <row r="320" spans="1:4" x14ac:dyDescent="0.2">
      <c r="A320" s="17">
        <v>35827</v>
      </c>
      <c r="B320" s="59">
        <f>VLOOKUP(Table13[[#This Row],[Date]],database!A:F,6,)</f>
        <v>84.185900000000004</v>
      </c>
      <c r="C320" s="67">
        <f t="shared" si="4"/>
        <v>1.1940227506526124E-3</v>
      </c>
      <c r="D320" s="67">
        <f>(Table13[[#This Row],[Index]]-B308)/B308</f>
        <v>8.905484736448574E-2</v>
      </c>
    </row>
    <row r="321" spans="1:4" x14ac:dyDescent="0.2">
      <c r="A321" s="17">
        <v>35855</v>
      </c>
      <c r="B321" s="59">
        <f>VLOOKUP(Table13[[#This Row],[Date]],database!A:F,6,)</f>
        <v>84.006399999999999</v>
      </c>
      <c r="C321" s="67">
        <f t="shared" si="4"/>
        <v>-2.1321860311525054E-3</v>
      </c>
      <c r="D321" s="67">
        <f>(Table13[[#This Row],[Index]]-B309)/B309</f>
        <v>7.5936089142198446E-2</v>
      </c>
    </row>
    <row r="322" spans="1:4" x14ac:dyDescent="0.2">
      <c r="A322" s="17">
        <v>35886</v>
      </c>
      <c r="B322" s="59">
        <f>VLOOKUP(Table13[[#This Row],[Date]],database!A:F,6,)</f>
        <v>84.402199999999993</v>
      </c>
      <c r="C322" s="67">
        <f t="shared" si="4"/>
        <v>4.7115457869875144E-3</v>
      </c>
      <c r="D322" s="67">
        <f>(Table13[[#This Row],[Index]]-B310)/B310</f>
        <v>8.2450018147237569E-2</v>
      </c>
    </row>
    <row r="323" spans="1:4" x14ac:dyDescent="0.2">
      <c r="A323" s="17">
        <v>35916</v>
      </c>
      <c r="B323" s="59">
        <f>VLOOKUP(Table13[[#This Row],[Date]],database!A:F,6,)</f>
        <v>84.8416</v>
      </c>
      <c r="C323" s="67">
        <f t="shared" si="4"/>
        <v>5.2060254353560875E-3</v>
      </c>
      <c r="D323" s="67">
        <f>(Table13[[#This Row],[Index]]-B311)/B311</f>
        <v>8.0338815571662198E-2</v>
      </c>
    </row>
    <row r="324" spans="1:4" x14ac:dyDescent="0.2">
      <c r="A324" s="17">
        <v>35947</v>
      </c>
      <c r="B324" s="59">
        <f>VLOOKUP(Table13[[#This Row],[Date]],database!A:F,6,)</f>
        <v>84.154700000000005</v>
      </c>
      <c r="C324" s="67">
        <f t="shared" si="4"/>
        <v>-8.0962640968580413E-3</v>
      </c>
      <c r="D324" s="67">
        <f>(Table13[[#This Row],[Index]]-B312)/B312</f>
        <v>6.4982447437224616E-2</v>
      </c>
    </row>
    <row r="325" spans="1:4" x14ac:dyDescent="0.2">
      <c r="A325" s="17">
        <v>35977</v>
      </c>
      <c r="B325" s="59">
        <f>VLOOKUP(Table13[[#This Row],[Date]],database!A:F,6,)</f>
        <v>83.724400000000003</v>
      </c>
      <c r="C325" s="67">
        <f t="shared" si="4"/>
        <v>-5.1132022335057536E-3</v>
      </c>
      <c r="D325" s="67">
        <f>(Table13[[#This Row],[Index]]-B313)/B313</f>
        <v>5.1796892764314255E-2</v>
      </c>
    </row>
    <row r="326" spans="1:4" x14ac:dyDescent="0.2">
      <c r="A326" s="17">
        <v>36008</v>
      </c>
      <c r="B326" s="59">
        <f>VLOOKUP(Table13[[#This Row],[Date]],database!A:F,6,)</f>
        <v>85.864400000000003</v>
      </c>
      <c r="C326" s="67">
        <f t="shared" si="4"/>
        <v>2.5560051788964699E-2</v>
      </c>
      <c r="D326" s="67">
        <f>(Table13[[#This Row],[Index]]-B314)/B314</f>
        <v>6.521072996567337E-2</v>
      </c>
    </row>
    <row r="327" spans="1:4" x14ac:dyDescent="0.2">
      <c r="A327" s="17">
        <v>36039</v>
      </c>
      <c r="B327" s="59">
        <f>VLOOKUP(Table13[[#This Row],[Date]],database!A:F,6,)</f>
        <v>85.803299999999993</v>
      </c>
      <c r="C327" s="67">
        <f t="shared" si="4"/>
        <v>-7.115871071131652E-4</v>
      </c>
      <c r="D327" s="67">
        <f>(Table13[[#This Row],[Index]]-B315)/B315</f>
        <v>5.4960336000550669E-2</v>
      </c>
    </row>
    <row r="328" spans="1:4" x14ac:dyDescent="0.2">
      <c r="A328" s="17">
        <v>36069</v>
      </c>
      <c r="B328" s="59">
        <f>VLOOKUP(Table13[[#This Row],[Date]],database!A:F,6,)</f>
        <v>86.548299999999998</v>
      </c>
      <c r="C328" s="67">
        <f t="shared" ref="C328:C391" si="5">B328/B327-1</f>
        <v>8.6826497349170584E-3</v>
      </c>
      <c r="D328" s="67">
        <f>(Table13[[#This Row],[Index]]-B316)/B316</f>
        <v>5.4733904481031423E-2</v>
      </c>
    </row>
    <row r="329" spans="1:4" x14ac:dyDescent="0.2">
      <c r="A329" s="17">
        <v>36100</v>
      </c>
      <c r="B329" s="59">
        <f>VLOOKUP(Table13[[#This Row],[Date]],database!A:F,6,)</f>
        <v>86.6571</v>
      </c>
      <c r="C329" s="67">
        <f t="shared" si="5"/>
        <v>1.2571015259688068E-3</v>
      </c>
      <c r="D329" s="67">
        <f>(Table13[[#This Row],[Index]]-B317)/B317</f>
        <v>4.5112854498200003E-2</v>
      </c>
    </row>
    <row r="330" spans="1:4" x14ac:dyDescent="0.2">
      <c r="A330" s="17">
        <v>36130</v>
      </c>
      <c r="B330" s="59">
        <f>VLOOKUP(Table13[[#This Row],[Date]],database!A:F,6,)</f>
        <v>87.195300000000003</v>
      </c>
      <c r="C330" s="67">
        <f t="shared" si="5"/>
        <v>6.210685564137286E-3</v>
      </c>
      <c r="D330" s="67">
        <f>(Table13[[#This Row],[Index]]-B318)/B318</f>
        <v>4.5642601200155425E-2</v>
      </c>
    </row>
    <row r="331" spans="1:4" x14ac:dyDescent="0.2">
      <c r="A331" s="17">
        <v>36161</v>
      </c>
      <c r="B331" s="59">
        <f>VLOOKUP(Table13[[#This Row],[Date]],database!A:F,6,)</f>
        <v>87.441500000000005</v>
      </c>
      <c r="C331" s="67">
        <f t="shared" si="5"/>
        <v>2.8235466819885868E-3</v>
      </c>
      <c r="D331" s="67">
        <f>(Table13[[#This Row],[Index]]-B319)/B319</f>
        <v>3.991175648595785E-2</v>
      </c>
    </row>
    <row r="332" spans="1:4" x14ac:dyDescent="0.2">
      <c r="A332" s="17">
        <v>36192</v>
      </c>
      <c r="B332" s="59">
        <f>VLOOKUP(Table13[[#This Row],[Date]],database!A:F,6,)</f>
        <v>88.245000000000005</v>
      </c>
      <c r="C332" s="67">
        <f t="shared" si="5"/>
        <v>9.1890006461463614E-3</v>
      </c>
      <c r="D332" s="67">
        <f>(Table13[[#This Row],[Index]]-B320)/B320</f>
        <v>4.8215912640952943E-2</v>
      </c>
    </row>
    <row r="333" spans="1:4" x14ac:dyDescent="0.2">
      <c r="A333" s="17">
        <v>36220</v>
      </c>
      <c r="B333" s="59">
        <f>VLOOKUP(Table13[[#This Row],[Date]],database!A:F,6,)</f>
        <v>88.2119</v>
      </c>
      <c r="C333" s="67">
        <f t="shared" si="5"/>
        <v>-3.7509207320529647E-4</v>
      </c>
      <c r="D333" s="67">
        <f>(Table13[[#This Row],[Index]]-B321)/B321</f>
        <v>5.0061661968611927E-2</v>
      </c>
    </row>
    <row r="334" spans="1:4" x14ac:dyDescent="0.2">
      <c r="A334" s="17">
        <v>36251</v>
      </c>
      <c r="B334" s="59">
        <f>VLOOKUP(Table13[[#This Row],[Date]],database!A:F,6,)</f>
        <v>88.558099999999996</v>
      </c>
      <c r="C334" s="67">
        <f t="shared" si="5"/>
        <v>3.9246405530319883E-3</v>
      </c>
      <c r="D334" s="67">
        <f>(Table13[[#This Row],[Index]]-B322)/B322</f>
        <v>4.9239237839771986E-2</v>
      </c>
    </row>
    <row r="335" spans="1:4" x14ac:dyDescent="0.2">
      <c r="A335" s="17">
        <v>36281</v>
      </c>
      <c r="B335" s="59">
        <f>VLOOKUP(Table13[[#This Row],[Date]],database!A:F,6,)</f>
        <v>89.287499999999994</v>
      </c>
      <c r="C335" s="67">
        <f t="shared" si="5"/>
        <v>8.2364007357880187E-3</v>
      </c>
      <c r="D335" s="67">
        <f>(Table13[[#This Row],[Index]]-B323)/B323</f>
        <v>5.2402359220005218E-2</v>
      </c>
    </row>
    <row r="336" spans="1:4" x14ac:dyDescent="0.2">
      <c r="A336" s="17">
        <v>36312</v>
      </c>
      <c r="B336" s="59">
        <f>VLOOKUP(Table13[[#This Row],[Date]],database!A:F,6,)</f>
        <v>89.093599999999995</v>
      </c>
      <c r="C336" s="67">
        <f t="shared" si="5"/>
        <v>-2.1716365672685978E-3</v>
      </c>
      <c r="D336" s="67">
        <f>(Table13[[#This Row],[Index]]-B324)/B324</f>
        <v>5.8688344204185734E-2</v>
      </c>
    </row>
    <row r="337" spans="1:4" x14ac:dyDescent="0.2">
      <c r="A337" s="17">
        <v>36342</v>
      </c>
      <c r="B337" s="59">
        <f>VLOOKUP(Table13[[#This Row],[Date]],database!A:F,6,)</f>
        <v>89.510599999999997</v>
      </c>
      <c r="C337" s="67">
        <f t="shared" si="5"/>
        <v>4.6804708755736613E-3</v>
      </c>
      <c r="D337" s="67">
        <f>(Table13[[#This Row],[Index]]-B325)/B325</f>
        <v>6.9110080215564321E-2</v>
      </c>
    </row>
    <row r="338" spans="1:4" x14ac:dyDescent="0.2">
      <c r="A338" s="17">
        <v>36373</v>
      </c>
      <c r="B338" s="59">
        <f>VLOOKUP(Table13[[#This Row],[Date]],database!A:F,6,)</f>
        <v>89.982200000000006</v>
      </c>
      <c r="C338" s="67">
        <f t="shared" si="5"/>
        <v>5.2686497465106452E-3</v>
      </c>
      <c r="D338" s="67">
        <f>(Table13[[#This Row],[Index]]-B326)/B326</f>
        <v>4.795701128756507E-2</v>
      </c>
    </row>
    <row r="339" spans="1:4" x14ac:dyDescent="0.2">
      <c r="A339" s="17">
        <v>36404</v>
      </c>
      <c r="B339" s="59">
        <f>VLOOKUP(Table13[[#This Row],[Date]],database!A:F,6,)</f>
        <v>89.570700000000002</v>
      </c>
      <c r="C339" s="67">
        <f t="shared" si="5"/>
        <v>-4.5731266850554952E-3</v>
      </c>
      <c r="D339" s="67">
        <f>(Table13[[#This Row],[Index]]-B327)/B327</f>
        <v>4.3907402162853985E-2</v>
      </c>
    </row>
    <row r="340" spans="1:4" x14ac:dyDescent="0.2">
      <c r="A340" s="17">
        <v>36434</v>
      </c>
      <c r="B340" s="59">
        <f>VLOOKUP(Table13[[#This Row],[Date]],database!A:F,6,)</f>
        <v>90.940700000000007</v>
      </c>
      <c r="C340" s="67">
        <f t="shared" si="5"/>
        <v>1.5295180231928551E-2</v>
      </c>
      <c r="D340" s="67">
        <f>(Table13[[#This Row],[Index]]-B328)/B328</f>
        <v>5.0750852414201193E-2</v>
      </c>
    </row>
    <row r="341" spans="1:4" x14ac:dyDescent="0.2">
      <c r="A341" s="17">
        <v>36465</v>
      </c>
      <c r="B341" s="59">
        <f>VLOOKUP(Table13[[#This Row],[Date]],database!A:F,6,)</f>
        <v>91.546999999999997</v>
      </c>
      <c r="C341" s="67">
        <f t="shared" si="5"/>
        <v>6.666981890396606E-3</v>
      </c>
      <c r="D341" s="67">
        <f>(Table13[[#This Row],[Index]]-B329)/B329</f>
        <v>5.6428151876764823E-2</v>
      </c>
    </row>
    <row r="342" spans="1:4" x14ac:dyDescent="0.2">
      <c r="A342" s="17">
        <v>36495</v>
      </c>
      <c r="B342" s="59">
        <f>VLOOKUP(Table13[[#This Row],[Date]],database!A:F,6,)</f>
        <v>92.207599999999999</v>
      </c>
      <c r="C342" s="67">
        <f t="shared" si="5"/>
        <v>7.2159655695982483E-3</v>
      </c>
      <c r="D342" s="67">
        <f>(Table13[[#This Row],[Index]]-B330)/B330</f>
        <v>5.7483602900615008E-2</v>
      </c>
    </row>
    <row r="343" spans="1:4" x14ac:dyDescent="0.2">
      <c r="A343" s="17">
        <v>36526</v>
      </c>
      <c r="B343" s="59">
        <f>VLOOKUP(Table13[[#This Row],[Date]],database!A:F,6,)</f>
        <v>92.276399999999995</v>
      </c>
      <c r="C343" s="67">
        <f t="shared" si="5"/>
        <v>7.4614240040937752E-4</v>
      </c>
      <c r="D343" s="67">
        <f>(Table13[[#This Row],[Index]]-B331)/B331</f>
        <v>5.5292967298136354E-2</v>
      </c>
    </row>
    <row r="344" spans="1:4" x14ac:dyDescent="0.2">
      <c r="A344" s="17">
        <v>36557</v>
      </c>
      <c r="B344" s="59">
        <f>VLOOKUP(Table13[[#This Row],[Date]],database!A:F,6,)</f>
        <v>92.566900000000004</v>
      </c>
      <c r="C344" s="67">
        <f t="shared" si="5"/>
        <v>3.1481505563719647E-3</v>
      </c>
      <c r="D344" s="67">
        <f>(Table13[[#This Row],[Index]]-B332)/B332</f>
        <v>4.8976145957278026E-2</v>
      </c>
    </row>
    <row r="345" spans="1:4" x14ac:dyDescent="0.2">
      <c r="A345" s="17">
        <v>36586</v>
      </c>
      <c r="B345" s="59">
        <f>VLOOKUP(Table13[[#This Row],[Date]],database!A:F,6,)</f>
        <v>93.194900000000004</v>
      </c>
      <c r="C345" s="67">
        <f t="shared" si="5"/>
        <v>6.7842825027089049E-3</v>
      </c>
      <c r="D345" s="67">
        <f>(Table13[[#This Row],[Index]]-B333)/B333</f>
        <v>5.6488977110798019E-2</v>
      </c>
    </row>
    <row r="346" spans="1:4" x14ac:dyDescent="0.2">
      <c r="A346" s="17">
        <v>36617</v>
      </c>
      <c r="B346" s="59">
        <f>VLOOKUP(Table13[[#This Row],[Date]],database!A:F,6,)</f>
        <v>93.805099999999996</v>
      </c>
      <c r="C346" s="67">
        <f t="shared" si="5"/>
        <v>6.5475685901266178E-3</v>
      </c>
      <c r="D346" s="67">
        <f>(Table13[[#This Row],[Index]]-B334)/B334</f>
        <v>5.9249238635426915E-2</v>
      </c>
    </row>
    <row r="347" spans="1:4" x14ac:dyDescent="0.2">
      <c r="A347" s="17">
        <v>36647</v>
      </c>
      <c r="B347" s="59">
        <f>VLOOKUP(Table13[[#This Row],[Date]],database!A:F,6,)</f>
        <v>93.881500000000003</v>
      </c>
      <c r="C347" s="67">
        <f t="shared" si="5"/>
        <v>8.1445465118634708E-4</v>
      </c>
      <c r="D347" s="67">
        <f>(Table13[[#This Row],[Index]]-B335)/B335</f>
        <v>5.1451770964580805E-2</v>
      </c>
    </row>
    <row r="348" spans="1:4" x14ac:dyDescent="0.2">
      <c r="A348" s="17">
        <v>36678</v>
      </c>
      <c r="B348" s="59">
        <f>VLOOKUP(Table13[[#This Row],[Date]],database!A:F,6,)</f>
        <v>94.015900000000002</v>
      </c>
      <c r="C348" s="67">
        <f t="shared" si="5"/>
        <v>1.4315919536862509E-3</v>
      </c>
      <c r="D348" s="67">
        <f>(Table13[[#This Row],[Index]]-B336)/B336</f>
        <v>5.5248637388095295E-2</v>
      </c>
    </row>
    <row r="349" spans="1:4" x14ac:dyDescent="0.2">
      <c r="A349" s="17">
        <v>36708</v>
      </c>
      <c r="B349" s="59">
        <f>VLOOKUP(Table13[[#This Row],[Date]],database!A:F,6,)</f>
        <v>94.093000000000004</v>
      </c>
      <c r="C349" s="67">
        <f t="shared" si="5"/>
        <v>8.2007405130402056E-4</v>
      </c>
      <c r="D349" s="67">
        <f>(Table13[[#This Row],[Index]]-B337)/B337</f>
        <v>5.1193936807484332E-2</v>
      </c>
    </row>
    <row r="350" spans="1:4" x14ac:dyDescent="0.2">
      <c r="A350" s="17">
        <v>36739</v>
      </c>
      <c r="B350" s="59">
        <f>VLOOKUP(Table13[[#This Row],[Date]],database!A:F,6,)</f>
        <v>93.496899999999997</v>
      </c>
      <c r="C350" s="67">
        <f t="shared" si="5"/>
        <v>-6.3352215361398567E-3</v>
      </c>
      <c r="D350" s="67">
        <f>(Table13[[#This Row],[Index]]-B338)/B338</f>
        <v>3.9059947411821345E-2</v>
      </c>
    </row>
    <row r="351" spans="1:4" x14ac:dyDescent="0.2">
      <c r="A351" s="17">
        <v>36770</v>
      </c>
      <c r="B351" s="59">
        <f>VLOOKUP(Table13[[#This Row],[Date]],database!A:F,6,)</f>
        <v>93.942599999999999</v>
      </c>
      <c r="C351" s="67">
        <f t="shared" si="5"/>
        <v>4.7670029701518679E-3</v>
      </c>
      <c r="D351" s="67">
        <f>(Table13[[#This Row],[Index]]-B339)/B339</f>
        <v>4.8809487924064414E-2</v>
      </c>
    </row>
    <row r="352" spans="1:4" x14ac:dyDescent="0.2">
      <c r="A352" s="17">
        <v>36800</v>
      </c>
      <c r="B352" s="59">
        <f>VLOOKUP(Table13[[#This Row],[Date]],database!A:F,6,)</f>
        <v>93.668899999999994</v>
      </c>
      <c r="C352" s="67">
        <f t="shared" si="5"/>
        <v>-2.9134812108670971E-3</v>
      </c>
      <c r="D352" s="67">
        <f>(Table13[[#This Row],[Index]]-B340)/B340</f>
        <v>2.9999769080290638E-2</v>
      </c>
    </row>
    <row r="353" spans="1:4" x14ac:dyDescent="0.2">
      <c r="A353" s="17">
        <v>36831</v>
      </c>
      <c r="B353" s="59">
        <f>VLOOKUP(Table13[[#This Row],[Date]],database!A:F,6,)</f>
        <v>93.4114</v>
      </c>
      <c r="C353" s="67">
        <f t="shared" si="5"/>
        <v>-2.7490447736654433E-3</v>
      </c>
      <c r="D353" s="67">
        <f>(Table13[[#This Row],[Index]]-B341)/B341</f>
        <v>2.0365495319344201E-2</v>
      </c>
    </row>
    <row r="354" spans="1:4" x14ac:dyDescent="0.2">
      <c r="A354" s="17">
        <v>36861</v>
      </c>
      <c r="B354" s="59">
        <f>VLOOKUP(Table13[[#This Row],[Date]],database!A:F,6,)</f>
        <v>92.862399999999994</v>
      </c>
      <c r="C354" s="67">
        <f t="shared" si="5"/>
        <v>-5.8772269765789975E-3</v>
      </c>
      <c r="D354" s="67">
        <f>(Table13[[#This Row],[Index]]-B342)/B342</f>
        <v>7.1013669155253418E-3</v>
      </c>
    </row>
    <row r="355" spans="1:4" x14ac:dyDescent="0.2">
      <c r="A355" s="17">
        <v>36892</v>
      </c>
      <c r="B355" s="59">
        <f>VLOOKUP(Table13[[#This Row],[Date]],database!A:F,6,)</f>
        <v>92.431200000000004</v>
      </c>
      <c r="C355" s="67">
        <f t="shared" si="5"/>
        <v>-4.6434294181497693E-3</v>
      </c>
      <c r="D355" s="67">
        <f>(Table13[[#This Row],[Index]]-B343)/B343</f>
        <v>1.6775686957879665E-3</v>
      </c>
    </row>
    <row r="356" spans="1:4" x14ac:dyDescent="0.2">
      <c r="A356" s="17">
        <v>36923</v>
      </c>
      <c r="B356" s="59">
        <f>VLOOKUP(Table13[[#This Row],[Date]],database!A:F,6,)</f>
        <v>91.897999999999996</v>
      </c>
      <c r="C356" s="67">
        <f t="shared" si="5"/>
        <v>-5.768614926561666E-3</v>
      </c>
      <c r="D356" s="67">
        <f>(Table13[[#This Row],[Index]]-B344)/B344</f>
        <v>-7.2261251051942733E-3</v>
      </c>
    </row>
    <row r="357" spans="1:4" x14ac:dyDescent="0.2">
      <c r="A357" s="17">
        <v>36951</v>
      </c>
      <c r="B357" s="59">
        <f>VLOOKUP(Table13[[#This Row],[Date]],database!A:F,6,)</f>
        <v>91.716300000000004</v>
      </c>
      <c r="C357" s="67">
        <f t="shared" si="5"/>
        <v>-1.9771921042894824E-3</v>
      </c>
      <c r="D357" s="67">
        <f>(Table13[[#This Row],[Index]]-B345)/B345</f>
        <v>-1.5865675053034017E-2</v>
      </c>
    </row>
    <row r="358" spans="1:4" x14ac:dyDescent="0.2">
      <c r="A358" s="17">
        <v>36982</v>
      </c>
      <c r="B358" s="59">
        <f>VLOOKUP(Table13[[#This Row],[Date]],database!A:F,6,)</f>
        <v>91.3506</v>
      </c>
      <c r="C358" s="67">
        <f t="shared" si="5"/>
        <v>-3.9872956061245413E-3</v>
      </c>
      <c r="D358" s="67">
        <f>(Table13[[#This Row],[Index]]-B346)/B346</f>
        <v>-2.6165954729540249E-2</v>
      </c>
    </row>
    <row r="359" spans="1:4" x14ac:dyDescent="0.2">
      <c r="A359" s="17">
        <v>37012</v>
      </c>
      <c r="B359" s="59">
        <f>VLOOKUP(Table13[[#This Row],[Date]],database!A:F,6,)</f>
        <v>90.750399999999999</v>
      </c>
      <c r="C359" s="67">
        <f t="shared" si="5"/>
        <v>-6.5702907260598575E-3</v>
      </c>
      <c r="D359" s="67">
        <f>(Table13[[#This Row],[Index]]-B347)/B347</f>
        <v>-3.3351618796035466E-2</v>
      </c>
    </row>
    <row r="360" spans="1:4" x14ac:dyDescent="0.2">
      <c r="A360" s="17">
        <v>37043</v>
      </c>
      <c r="B360" s="59">
        <f>VLOOKUP(Table13[[#This Row],[Date]],database!A:F,6,)</f>
        <v>90.148399999999995</v>
      </c>
      <c r="C360" s="67">
        <f t="shared" si="5"/>
        <v>-6.6335795765087857E-3</v>
      </c>
      <c r="D360" s="67">
        <f>(Table13[[#This Row],[Index]]-B348)/B348</f>
        <v>-4.1136658799203182E-2</v>
      </c>
    </row>
    <row r="361" spans="1:4" x14ac:dyDescent="0.2">
      <c r="A361" s="17">
        <v>37073</v>
      </c>
      <c r="B361" s="59">
        <f>VLOOKUP(Table13[[#This Row],[Date]],database!A:F,6,)</f>
        <v>89.633200000000002</v>
      </c>
      <c r="C361" s="67">
        <f t="shared" si="5"/>
        <v>-5.7150210098015908E-3</v>
      </c>
      <c r="D361" s="67">
        <f>(Table13[[#This Row],[Index]]-B349)/B349</f>
        <v>-4.7397787295548034E-2</v>
      </c>
    </row>
    <row r="362" spans="1:4" x14ac:dyDescent="0.2">
      <c r="A362" s="17">
        <v>37104</v>
      </c>
      <c r="B362" s="59">
        <f>VLOOKUP(Table13[[#This Row],[Date]],database!A:F,6,)</f>
        <v>89.272999999999996</v>
      </c>
      <c r="C362" s="67">
        <f t="shared" si="5"/>
        <v>-4.0186002508000307E-3</v>
      </c>
      <c r="D362" s="67">
        <f>(Table13[[#This Row],[Index]]-B350)/B350</f>
        <v>-4.5176898913226009E-2</v>
      </c>
    </row>
    <row r="363" spans="1:4" x14ac:dyDescent="0.2">
      <c r="A363" s="17">
        <v>37135</v>
      </c>
      <c r="B363" s="59">
        <f>VLOOKUP(Table13[[#This Row],[Date]],database!A:F,6,)</f>
        <v>88.916499999999999</v>
      </c>
      <c r="C363" s="67">
        <f t="shared" si="5"/>
        <v>-3.9933686556965498E-3</v>
      </c>
      <c r="D363" s="67">
        <f>(Table13[[#This Row],[Index]]-B351)/B351</f>
        <v>-5.3501819195977116E-2</v>
      </c>
    </row>
    <row r="364" spans="1:4" x14ac:dyDescent="0.2">
      <c r="A364" s="17">
        <v>37165</v>
      </c>
      <c r="B364" s="59">
        <f>VLOOKUP(Table13[[#This Row],[Date]],database!A:F,6,)</f>
        <v>88.521100000000004</v>
      </c>
      <c r="C364" s="67">
        <f t="shared" si="5"/>
        <v>-4.4468686914126421E-3</v>
      </c>
      <c r="D364" s="67">
        <f>(Table13[[#This Row],[Index]]-B352)/B352</f>
        <v>-5.4957408488836637E-2</v>
      </c>
    </row>
    <row r="365" spans="1:4" x14ac:dyDescent="0.2">
      <c r="A365" s="17">
        <v>37196</v>
      </c>
      <c r="B365" s="59">
        <f>VLOOKUP(Table13[[#This Row],[Date]],database!A:F,6,)</f>
        <v>88.2363</v>
      </c>
      <c r="C365" s="67">
        <f t="shared" si="5"/>
        <v>-3.2173120306910885E-3</v>
      </c>
      <c r="D365" s="67">
        <f>(Table13[[#This Row],[Index]]-B353)/B353</f>
        <v>-5.5401160886144524E-2</v>
      </c>
    </row>
    <row r="366" spans="1:4" x14ac:dyDescent="0.2">
      <c r="A366" s="17">
        <v>37226</v>
      </c>
      <c r="B366" s="59">
        <f>VLOOKUP(Table13[[#This Row],[Date]],database!A:F,6,)</f>
        <v>88.409199999999998</v>
      </c>
      <c r="C366" s="67">
        <f t="shared" si="5"/>
        <v>1.959510994907987E-3</v>
      </c>
      <c r="D366" s="67">
        <f>(Table13[[#This Row],[Index]]-B354)/B354</f>
        <v>-4.7954823480762888E-2</v>
      </c>
    </row>
    <row r="367" spans="1:4" x14ac:dyDescent="0.2">
      <c r="A367" s="17">
        <v>37257</v>
      </c>
      <c r="B367" s="59">
        <f>VLOOKUP(Table13[[#This Row],[Date]],database!A:F,6,)</f>
        <v>89.022800000000004</v>
      </c>
      <c r="C367" s="67">
        <f t="shared" si="5"/>
        <v>6.9404541608792947E-3</v>
      </c>
      <c r="D367" s="67">
        <f>(Table13[[#This Row],[Index]]-B355)/B355</f>
        <v>-3.6874994590571149E-2</v>
      </c>
    </row>
    <row r="368" spans="1:4" x14ac:dyDescent="0.2">
      <c r="A368" s="17">
        <v>37288</v>
      </c>
      <c r="B368" s="59">
        <f>VLOOKUP(Table13[[#This Row],[Date]],database!A:F,6,)</f>
        <v>89.048599999999993</v>
      </c>
      <c r="C368" s="67">
        <f t="shared" si="5"/>
        <v>2.8981339611866552E-4</v>
      </c>
      <c r="D368" s="67">
        <f>(Table13[[#This Row],[Index]]-B356)/B356</f>
        <v>-3.1006115475853697E-2</v>
      </c>
    </row>
    <row r="369" spans="1:4" x14ac:dyDescent="0.2">
      <c r="A369" s="17">
        <v>37316</v>
      </c>
      <c r="B369" s="59">
        <f>VLOOKUP(Table13[[#This Row],[Date]],database!A:F,6,)</f>
        <v>89.761499999999998</v>
      </c>
      <c r="C369" s="67">
        <f t="shared" si="5"/>
        <v>8.0057406854234792E-3</v>
      </c>
      <c r="D369" s="67">
        <f>(Table13[[#This Row],[Index]]-B357)/B357</f>
        <v>-2.1313550590244108E-2</v>
      </c>
    </row>
    <row r="370" spans="1:4" x14ac:dyDescent="0.2">
      <c r="A370" s="17">
        <v>37347</v>
      </c>
      <c r="B370" s="59">
        <f>VLOOKUP(Table13[[#This Row],[Date]],database!A:F,6,)</f>
        <v>90.066999999999993</v>
      </c>
      <c r="C370" s="67">
        <f t="shared" si="5"/>
        <v>3.4034636230455551E-3</v>
      </c>
      <c r="D370" s="67">
        <f>(Table13[[#This Row],[Index]]-B358)/B358</f>
        <v>-1.4051358173892749E-2</v>
      </c>
    </row>
    <row r="371" spans="1:4" x14ac:dyDescent="0.2">
      <c r="A371" s="17">
        <v>37377</v>
      </c>
      <c r="B371" s="59">
        <f>VLOOKUP(Table13[[#This Row],[Date]],database!A:F,6,)</f>
        <v>90.579099999999997</v>
      </c>
      <c r="C371" s="67">
        <f t="shared" si="5"/>
        <v>5.6857672621493105E-3</v>
      </c>
      <c r="D371" s="67">
        <f>(Table13[[#This Row],[Index]]-B359)/B359</f>
        <v>-1.8875949858072497E-3</v>
      </c>
    </row>
    <row r="372" spans="1:4" x14ac:dyDescent="0.2">
      <c r="A372" s="17">
        <v>37408</v>
      </c>
      <c r="B372" s="59">
        <f>VLOOKUP(Table13[[#This Row],[Date]],database!A:F,6,)</f>
        <v>91.500299999999996</v>
      </c>
      <c r="C372" s="67">
        <f t="shared" si="5"/>
        <v>1.0170116505904714E-2</v>
      </c>
      <c r="D372" s="67">
        <f>(Table13[[#This Row],[Index]]-B360)/B360</f>
        <v>1.4996383740587749E-2</v>
      </c>
    </row>
    <row r="373" spans="1:4" x14ac:dyDescent="0.2">
      <c r="A373" s="17">
        <v>37438</v>
      </c>
      <c r="B373" s="59">
        <f>VLOOKUP(Table13[[#This Row],[Date]],database!A:F,6,)</f>
        <v>91.402799999999999</v>
      </c>
      <c r="C373" s="67">
        <f t="shared" si="5"/>
        <v>-1.0655702768187503E-3</v>
      </c>
      <c r="D373" s="67">
        <f>(Table13[[#This Row],[Index]]-B361)/B361</f>
        <v>1.9742684630248579E-2</v>
      </c>
    </row>
    <row r="374" spans="1:4" x14ac:dyDescent="0.2">
      <c r="A374" s="17">
        <v>37469</v>
      </c>
      <c r="B374" s="59">
        <f>VLOOKUP(Table13[[#This Row],[Date]],database!A:F,6,)</f>
        <v>91.470399999999998</v>
      </c>
      <c r="C374" s="67">
        <f t="shared" si="5"/>
        <v>7.3958347009051018E-4</v>
      </c>
      <c r="D374" s="67">
        <f>(Table13[[#This Row],[Index]]-B362)/B362</f>
        <v>2.4614385088436615E-2</v>
      </c>
    </row>
    <row r="375" spans="1:4" x14ac:dyDescent="0.2">
      <c r="A375" s="17">
        <v>37500</v>
      </c>
      <c r="B375" s="59">
        <f>VLOOKUP(Table13[[#This Row],[Date]],database!A:F,6,)</f>
        <v>91.57</v>
      </c>
      <c r="C375" s="67">
        <f t="shared" si="5"/>
        <v>1.0888768388461756E-3</v>
      </c>
      <c r="D375" s="67">
        <f>(Table13[[#This Row],[Index]]-B363)/B363</f>
        <v>2.9842605140778078E-2</v>
      </c>
    </row>
    <row r="376" spans="1:4" x14ac:dyDescent="0.2">
      <c r="A376" s="17">
        <v>37530</v>
      </c>
      <c r="B376" s="59">
        <f>VLOOKUP(Table13[[#This Row],[Date]],database!A:F,6,)</f>
        <v>91.275599999999997</v>
      </c>
      <c r="C376" s="67">
        <f t="shared" si="5"/>
        <v>-3.2150267554875711E-3</v>
      </c>
      <c r="D376" s="67">
        <f>(Table13[[#This Row],[Index]]-B364)/B364</f>
        <v>3.1116874959755278E-2</v>
      </c>
    </row>
    <row r="377" spans="1:4" x14ac:dyDescent="0.2">
      <c r="A377" s="17">
        <v>37561</v>
      </c>
      <c r="B377" s="59">
        <f>VLOOKUP(Table13[[#This Row],[Date]],database!A:F,6,)</f>
        <v>91.762500000000003</v>
      </c>
      <c r="C377" s="67">
        <f t="shared" si="5"/>
        <v>5.3343938577232741E-3</v>
      </c>
      <c r="D377" s="67">
        <f>(Table13[[#This Row],[Index]]-B365)/B365</f>
        <v>3.996314442015364E-2</v>
      </c>
    </row>
    <row r="378" spans="1:4" x14ac:dyDescent="0.2">
      <c r="A378" s="17">
        <v>37591</v>
      </c>
      <c r="B378" s="59">
        <f>VLOOKUP(Table13[[#This Row],[Date]],database!A:F,6,)</f>
        <v>91.134699999999995</v>
      </c>
      <c r="C378" s="67">
        <f t="shared" si="5"/>
        <v>-6.8415747173410368E-3</v>
      </c>
      <c r="D378" s="67">
        <f>(Table13[[#This Row],[Index]]-B366)/B366</f>
        <v>3.082823959497424E-2</v>
      </c>
    </row>
    <row r="379" spans="1:4" x14ac:dyDescent="0.2">
      <c r="A379" s="17">
        <v>37622</v>
      </c>
      <c r="B379" s="59">
        <f>VLOOKUP(Table13[[#This Row],[Date]],database!A:F,6,)</f>
        <v>91.931399999999996</v>
      </c>
      <c r="C379" s="67">
        <f t="shared" si="5"/>
        <v>8.7420049662751964E-3</v>
      </c>
      <c r="D379" s="67">
        <f>(Table13[[#This Row],[Index]]-B367)/B367</f>
        <v>3.2672528835309522E-2</v>
      </c>
    </row>
    <row r="380" spans="1:4" x14ac:dyDescent="0.2">
      <c r="A380" s="17">
        <v>37653</v>
      </c>
      <c r="B380" s="59">
        <f>VLOOKUP(Table13[[#This Row],[Date]],database!A:F,6,)</f>
        <v>91.804500000000004</v>
      </c>
      <c r="C380" s="67">
        <f t="shared" si="5"/>
        <v>-1.380377107277786E-3</v>
      </c>
      <c r="D380" s="67">
        <f>(Table13[[#This Row],[Index]]-B368)/B368</f>
        <v>3.0948268698216607E-2</v>
      </c>
    </row>
    <row r="381" spans="1:4" x14ac:dyDescent="0.2">
      <c r="A381" s="17">
        <v>37681</v>
      </c>
      <c r="B381" s="59">
        <f>VLOOKUP(Table13[[#This Row],[Date]],database!A:F,6,)</f>
        <v>91.894300000000001</v>
      </c>
      <c r="C381" s="67">
        <f t="shared" si="5"/>
        <v>9.781655583331883E-4</v>
      </c>
      <c r="D381" s="67">
        <f>(Table13[[#This Row],[Index]]-B369)/B369</f>
        <v>2.3760743748711899E-2</v>
      </c>
    </row>
    <row r="382" spans="1:4" x14ac:dyDescent="0.2">
      <c r="A382" s="17">
        <v>37712</v>
      </c>
      <c r="B382" s="59">
        <f>VLOOKUP(Table13[[#This Row],[Date]],database!A:F,6,)</f>
        <v>91.236900000000006</v>
      </c>
      <c r="C382" s="67">
        <f t="shared" si="5"/>
        <v>-7.153871350018437E-3</v>
      </c>
      <c r="D382" s="67">
        <f>(Table13[[#This Row],[Index]]-B370)/B370</f>
        <v>1.2989219136864918E-2</v>
      </c>
    </row>
    <row r="383" spans="1:4" x14ac:dyDescent="0.2">
      <c r="A383" s="17">
        <v>37742</v>
      </c>
      <c r="B383" s="59">
        <f>VLOOKUP(Table13[[#This Row],[Date]],database!A:F,6,)</f>
        <v>91.2911</v>
      </c>
      <c r="C383" s="67">
        <f t="shared" si="5"/>
        <v>5.9405788666633264E-4</v>
      </c>
      <c r="D383" s="67">
        <f>(Table13[[#This Row],[Index]]-B371)/B371</f>
        <v>7.8605329485499781E-3</v>
      </c>
    </row>
    <row r="384" spans="1:4" x14ac:dyDescent="0.2">
      <c r="A384" s="17">
        <v>37773</v>
      </c>
      <c r="B384" s="59">
        <f>VLOOKUP(Table13[[#This Row],[Date]],database!A:F,6,)</f>
        <v>91.719200000000001</v>
      </c>
      <c r="C384" s="67">
        <f t="shared" si="5"/>
        <v>4.6893946945540943E-3</v>
      </c>
      <c r="D384" s="67">
        <f>(Table13[[#This Row],[Index]]-B372)/B372</f>
        <v>2.3923418830321319E-3</v>
      </c>
    </row>
    <row r="385" spans="1:4" x14ac:dyDescent="0.2">
      <c r="A385" s="17">
        <v>37803</v>
      </c>
      <c r="B385" s="59">
        <f>VLOOKUP(Table13[[#This Row],[Date]],database!A:F,6,)</f>
        <v>92.087800000000001</v>
      </c>
      <c r="C385" s="67">
        <f t="shared" si="5"/>
        <v>4.0187877783495196E-3</v>
      </c>
      <c r="D385" s="67">
        <f>(Table13[[#This Row],[Index]]-B373)/B373</f>
        <v>7.4942999558000661E-3</v>
      </c>
    </row>
    <row r="386" spans="1:4" x14ac:dyDescent="0.2">
      <c r="A386" s="17">
        <v>37834</v>
      </c>
      <c r="B386" s="59">
        <f>VLOOKUP(Table13[[#This Row],[Date]],database!A:F,6,)</f>
        <v>91.709000000000003</v>
      </c>
      <c r="C386" s="67">
        <f t="shared" si="5"/>
        <v>-4.1134656273686954E-3</v>
      </c>
      <c r="D386" s="67">
        <f>(Table13[[#This Row],[Index]]-B374)/B374</f>
        <v>2.6084941139429287E-3</v>
      </c>
    </row>
    <row r="387" spans="1:4" x14ac:dyDescent="0.2">
      <c r="A387" s="17">
        <v>37865</v>
      </c>
      <c r="B387" s="59">
        <f>VLOOKUP(Table13[[#This Row],[Date]],database!A:F,6,)</f>
        <v>92.54</v>
      </c>
      <c r="C387" s="67">
        <f t="shared" si="5"/>
        <v>9.0612698862706509E-3</v>
      </c>
      <c r="D387" s="67">
        <f>(Table13[[#This Row],[Index]]-B375)/B375</f>
        <v>1.0592988970186887E-2</v>
      </c>
    </row>
    <row r="388" spans="1:4" x14ac:dyDescent="0.2">
      <c r="A388" s="17">
        <v>37895</v>
      </c>
      <c r="B388" s="59">
        <f>VLOOKUP(Table13[[#This Row],[Date]],database!A:F,6,)</f>
        <v>92.616299999999995</v>
      </c>
      <c r="C388" s="67">
        <f t="shared" si="5"/>
        <v>8.2450832072611391E-4</v>
      </c>
      <c r="D388" s="67">
        <f>(Table13[[#This Row],[Index]]-B376)/B376</f>
        <v>1.4688481916306201E-2</v>
      </c>
    </row>
    <row r="389" spans="1:4" x14ac:dyDescent="0.2">
      <c r="A389" s="17">
        <v>37926</v>
      </c>
      <c r="B389" s="59">
        <f>VLOOKUP(Table13[[#This Row],[Date]],database!A:F,6,)</f>
        <v>93.462599999999995</v>
      </c>
      <c r="C389" s="67">
        <f t="shared" si="5"/>
        <v>9.1377003831938364E-3</v>
      </c>
      <c r="D389" s="67">
        <f>(Table13[[#This Row],[Index]]-B377)/B377</f>
        <v>1.8527176134041597E-2</v>
      </c>
    </row>
    <row r="390" spans="1:4" x14ac:dyDescent="0.2">
      <c r="A390" s="17">
        <v>37956</v>
      </c>
      <c r="B390" s="59">
        <f>VLOOKUP(Table13[[#This Row],[Date]],database!A:F,6,)</f>
        <v>93.421599999999998</v>
      </c>
      <c r="C390" s="67">
        <f t="shared" si="5"/>
        <v>-4.3867814505482716E-4</v>
      </c>
      <c r="D390" s="67">
        <f>(Table13[[#This Row],[Index]]-B378)/B378</f>
        <v>2.5093625150464125E-2</v>
      </c>
    </row>
    <row r="391" spans="1:4" x14ac:dyDescent="0.2">
      <c r="A391" s="17">
        <v>37987</v>
      </c>
      <c r="B391" s="59">
        <f>VLOOKUP(Table13[[#This Row],[Date]],database!A:F,6,)</f>
        <v>93.357100000000003</v>
      </c>
      <c r="C391" s="67">
        <f t="shared" si="5"/>
        <v>-6.904184899423349E-4</v>
      </c>
      <c r="D391" s="67">
        <f>(Table13[[#This Row],[Index]]-B379)/B379</f>
        <v>1.5508302930228477E-2</v>
      </c>
    </row>
    <row r="392" spans="1:4" x14ac:dyDescent="0.2">
      <c r="A392" s="17">
        <v>38018</v>
      </c>
      <c r="B392" s="59">
        <f>VLOOKUP(Table13[[#This Row],[Date]],database!A:F,6,)</f>
        <v>94.042000000000002</v>
      </c>
      <c r="C392" s="67">
        <f t="shared" ref="C392:C455" si="6">B392/B391-1</f>
        <v>7.3363461375728356E-3</v>
      </c>
      <c r="D392" s="67">
        <f>(Table13[[#This Row],[Index]]-B380)/B380</f>
        <v>2.4372443616598283E-2</v>
      </c>
    </row>
    <row r="393" spans="1:4" x14ac:dyDescent="0.2">
      <c r="A393" s="17">
        <v>38047</v>
      </c>
      <c r="B393" s="59">
        <f>VLOOKUP(Table13[[#This Row],[Date]],database!A:F,6,)</f>
        <v>94.000699999999995</v>
      </c>
      <c r="C393" s="67">
        <f t="shared" si="6"/>
        <v>-4.3916547925404448E-4</v>
      </c>
      <c r="D393" s="67">
        <f>(Table13[[#This Row],[Index]]-B381)/B381</f>
        <v>2.2921987544385163E-2</v>
      </c>
    </row>
    <row r="394" spans="1:4" x14ac:dyDescent="0.2">
      <c r="A394" s="17">
        <v>38078</v>
      </c>
      <c r="B394" s="59">
        <f>VLOOKUP(Table13[[#This Row],[Date]],database!A:F,6,)</f>
        <v>94.311999999999998</v>
      </c>
      <c r="C394" s="67">
        <f t="shared" si="6"/>
        <v>3.3116774662316217E-3</v>
      </c>
      <c r="D394" s="67">
        <f>(Table13[[#This Row],[Index]]-B382)/B382</f>
        <v>3.3704564710111719E-2</v>
      </c>
    </row>
    <row r="395" spans="1:4" x14ac:dyDescent="0.2">
      <c r="A395" s="17">
        <v>38108</v>
      </c>
      <c r="B395" s="59">
        <f>VLOOKUP(Table13[[#This Row],[Date]],database!A:F,6,)</f>
        <v>94.9846</v>
      </c>
      <c r="C395" s="67">
        <f t="shared" si="6"/>
        <v>7.1316481465772963E-3</v>
      </c>
      <c r="D395" s="67">
        <f>(Table13[[#This Row],[Index]]-B383)/B383</f>
        <v>4.0458489381768874E-2</v>
      </c>
    </row>
    <row r="396" spans="1:4" x14ac:dyDescent="0.2">
      <c r="A396" s="17">
        <v>38139</v>
      </c>
      <c r="B396" s="59">
        <f>VLOOKUP(Table13[[#This Row],[Date]],database!A:F,6,)</f>
        <v>94.276300000000006</v>
      </c>
      <c r="C396" s="67">
        <f t="shared" si="6"/>
        <v>-7.4569982923546885E-3</v>
      </c>
      <c r="D396" s="67">
        <f>(Table13[[#This Row],[Index]]-B384)/B384</f>
        <v>2.7879658784638391E-2</v>
      </c>
    </row>
    <row r="397" spans="1:4" x14ac:dyDescent="0.2">
      <c r="A397" s="17">
        <v>38169</v>
      </c>
      <c r="B397" s="59">
        <f>VLOOKUP(Table13[[#This Row],[Date]],database!A:F,6,)</f>
        <v>95.096800000000002</v>
      </c>
      <c r="C397" s="67">
        <f t="shared" si="6"/>
        <v>8.7031417227871888E-3</v>
      </c>
      <c r="D397" s="67">
        <f>(Table13[[#This Row],[Index]]-B385)/B385</f>
        <v>3.2675338101246856E-2</v>
      </c>
    </row>
    <row r="398" spans="1:4" x14ac:dyDescent="0.2">
      <c r="A398" s="17">
        <v>38200</v>
      </c>
      <c r="B398" s="59">
        <f>VLOOKUP(Table13[[#This Row],[Date]],database!A:F,6,)</f>
        <v>95.533900000000003</v>
      </c>
      <c r="C398" s="67">
        <f t="shared" si="6"/>
        <v>4.5963691733055256E-3</v>
      </c>
      <c r="D398" s="67">
        <f>(Table13[[#This Row],[Index]]-B386)/B386</f>
        <v>4.1706920803846942E-2</v>
      </c>
    </row>
    <row r="399" spans="1:4" x14ac:dyDescent="0.2">
      <c r="A399" s="17">
        <v>38231</v>
      </c>
      <c r="B399" s="59">
        <f>VLOOKUP(Table13[[#This Row],[Date]],database!A:F,6,)</f>
        <v>95.61</v>
      </c>
      <c r="C399" s="67">
        <f t="shared" si="6"/>
        <v>7.9657587516046569E-4</v>
      </c>
      <c r="D399" s="67">
        <f>(Table13[[#This Row],[Index]]-B387)/B387</f>
        <v>3.3174843311000575E-2</v>
      </c>
    </row>
    <row r="400" spans="1:4" x14ac:dyDescent="0.2">
      <c r="A400" s="17">
        <v>38261</v>
      </c>
      <c r="B400" s="59">
        <f>VLOOKUP(Table13[[#This Row],[Date]],database!A:F,6,)</f>
        <v>96.613399999999999</v>
      </c>
      <c r="C400" s="67">
        <f t="shared" si="6"/>
        <v>1.0494718125719116E-2</v>
      </c>
      <c r="D400" s="67">
        <f>(Table13[[#This Row],[Index]]-B388)/B388</f>
        <v>4.315762992043521E-2</v>
      </c>
    </row>
    <row r="401" spans="1:4" x14ac:dyDescent="0.2">
      <c r="A401" s="17">
        <v>38292</v>
      </c>
      <c r="B401" s="59">
        <f>VLOOKUP(Table13[[#This Row],[Date]],database!A:F,6,)</f>
        <v>96.595399999999998</v>
      </c>
      <c r="C401" s="67">
        <f t="shared" si="6"/>
        <v>-1.8630955954346273E-4</v>
      </c>
      <c r="D401" s="67">
        <f>(Table13[[#This Row],[Index]]-B389)/B389</f>
        <v>3.3519290068968796E-2</v>
      </c>
    </row>
    <row r="402" spans="1:4" x14ac:dyDescent="0.2">
      <c r="A402" s="17">
        <v>38322</v>
      </c>
      <c r="B402" s="59">
        <f>VLOOKUP(Table13[[#This Row],[Date]],database!A:F,6,)</f>
        <v>97.375900000000001</v>
      </c>
      <c r="C402" s="67">
        <f t="shared" si="6"/>
        <v>8.080094911351976E-3</v>
      </c>
      <c r="D402" s="67">
        <f>(Table13[[#This Row],[Index]]-B390)/B390</f>
        <v>4.232747030665289E-2</v>
      </c>
    </row>
    <row r="403" spans="1:4" x14ac:dyDescent="0.2">
      <c r="A403" s="17">
        <v>38353</v>
      </c>
      <c r="B403" s="59">
        <f>VLOOKUP(Table13[[#This Row],[Date]],database!A:F,6,)</f>
        <v>97.999200000000002</v>
      </c>
      <c r="C403" s="67">
        <f t="shared" si="6"/>
        <v>6.4009677959331324E-3</v>
      </c>
      <c r="D403" s="67">
        <f>(Table13[[#This Row],[Index]]-B391)/B391</f>
        <v>4.9724123821326918E-2</v>
      </c>
    </row>
    <row r="404" spans="1:4" x14ac:dyDescent="0.2">
      <c r="A404" s="17">
        <v>38384</v>
      </c>
      <c r="B404" s="59">
        <f>VLOOKUP(Table13[[#This Row],[Date]],database!A:F,6,)</f>
        <v>98.919499999999999</v>
      </c>
      <c r="C404" s="67">
        <f t="shared" si="6"/>
        <v>9.3908929868815605E-3</v>
      </c>
      <c r="D404" s="67">
        <f>(Table13[[#This Row],[Index]]-B392)/B392</f>
        <v>5.1865124093490117E-2</v>
      </c>
    </row>
    <row r="405" spans="1:4" x14ac:dyDescent="0.2">
      <c r="A405" s="17">
        <v>38412</v>
      </c>
      <c r="B405" s="59">
        <f>VLOOKUP(Table13[[#This Row],[Date]],database!A:F,6,)</f>
        <v>98.430599999999998</v>
      </c>
      <c r="C405" s="67">
        <f t="shared" si="6"/>
        <v>-4.942402660749412E-3</v>
      </c>
      <c r="D405" s="67">
        <f>(Table13[[#This Row],[Index]]-B393)/B393</f>
        <v>4.7126244804560007E-2</v>
      </c>
    </row>
    <row r="406" spans="1:4" x14ac:dyDescent="0.2">
      <c r="A406" s="17">
        <v>38443</v>
      </c>
      <c r="B406" s="59">
        <f>VLOOKUP(Table13[[#This Row],[Date]],database!A:F,6,)</f>
        <v>98.836600000000004</v>
      </c>
      <c r="C406" s="67">
        <f t="shared" si="6"/>
        <v>4.1247335686260822E-3</v>
      </c>
      <c r="D406" s="67">
        <f>(Table13[[#This Row],[Index]]-B394)/B394</f>
        <v>4.7974807023496553E-2</v>
      </c>
    </row>
    <row r="407" spans="1:4" x14ac:dyDescent="0.2">
      <c r="A407" s="17">
        <v>38473</v>
      </c>
      <c r="B407" s="59">
        <f>VLOOKUP(Table13[[#This Row],[Date]],database!A:F,6,)</f>
        <v>99.113900000000001</v>
      </c>
      <c r="C407" s="67">
        <f t="shared" si="6"/>
        <v>2.8056408253622767E-3</v>
      </c>
      <c r="D407" s="67">
        <f>(Table13[[#This Row],[Index]]-B395)/B395</f>
        <v>4.3473363050431341E-2</v>
      </c>
    </row>
    <row r="408" spans="1:4" x14ac:dyDescent="0.2">
      <c r="A408" s="17">
        <v>38504</v>
      </c>
      <c r="B408" s="59">
        <f>VLOOKUP(Table13[[#This Row],[Date]],database!A:F,6,)</f>
        <v>99.3489</v>
      </c>
      <c r="C408" s="67">
        <f t="shared" si="6"/>
        <v>2.3710095153151034E-3</v>
      </c>
      <c r="D408" s="67">
        <f>(Table13[[#This Row],[Index]]-B396)/B396</f>
        <v>5.3805675445472448E-2</v>
      </c>
    </row>
    <row r="409" spans="1:4" x14ac:dyDescent="0.2">
      <c r="A409" s="17">
        <v>38534</v>
      </c>
      <c r="B409" s="59">
        <f>VLOOKUP(Table13[[#This Row],[Date]],database!A:F,6,)</f>
        <v>99.015699999999995</v>
      </c>
      <c r="C409" s="67">
        <f t="shared" si="6"/>
        <v>-3.3538368316106126E-3</v>
      </c>
      <c r="D409" s="67">
        <f>(Table13[[#This Row],[Index]]-B397)/B397</f>
        <v>4.1209588545566132E-2</v>
      </c>
    </row>
    <row r="410" spans="1:4" x14ac:dyDescent="0.2">
      <c r="A410" s="17">
        <v>38565</v>
      </c>
      <c r="B410" s="59">
        <f>VLOOKUP(Table13[[#This Row],[Date]],database!A:F,6,)</f>
        <v>99.5702</v>
      </c>
      <c r="C410" s="67">
        <f t="shared" si="6"/>
        <v>5.6001220008543573E-3</v>
      </c>
      <c r="D410" s="67">
        <f>(Table13[[#This Row],[Index]]-B398)/B398</f>
        <v>4.2249923849021098E-2</v>
      </c>
    </row>
    <row r="411" spans="1:4" x14ac:dyDescent="0.2">
      <c r="A411" s="17">
        <v>38596</v>
      </c>
      <c r="B411" s="59">
        <f>VLOOKUP(Table13[[#This Row],[Date]],database!A:F,6,)</f>
        <v>98.430300000000003</v>
      </c>
      <c r="C411" s="67">
        <f t="shared" si="6"/>
        <v>-1.1448204382435656E-2</v>
      </c>
      <c r="D411" s="67">
        <f>(Table13[[#This Row],[Index]]-B399)/B399</f>
        <v>2.9497960464386602E-2</v>
      </c>
    </row>
    <row r="412" spans="1:4" x14ac:dyDescent="0.2">
      <c r="A412" s="17">
        <v>38626</v>
      </c>
      <c r="B412" s="59">
        <f>VLOOKUP(Table13[[#This Row],[Date]],database!A:F,6,)</f>
        <v>99.900099999999995</v>
      </c>
      <c r="C412" s="67">
        <f t="shared" si="6"/>
        <v>1.4932393785247022E-2</v>
      </c>
      <c r="D412" s="67">
        <f>(Table13[[#This Row],[Index]]-B400)/B400</f>
        <v>3.4019090519534521E-2</v>
      </c>
    </row>
    <row r="413" spans="1:4" x14ac:dyDescent="0.2">
      <c r="A413" s="17">
        <v>38657</v>
      </c>
      <c r="B413" s="59">
        <f>VLOOKUP(Table13[[#This Row],[Date]],database!A:F,6,)</f>
        <v>100.8458</v>
      </c>
      <c r="C413" s="67">
        <f t="shared" si="6"/>
        <v>9.4664569905336116E-3</v>
      </c>
      <c r="D413" s="67">
        <f>(Table13[[#This Row],[Index]]-B401)/B401</f>
        <v>4.400209533787322E-2</v>
      </c>
    </row>
    <row r="414" spans="1:4" x14ac:dyDescent="0.2">
      <c r="A414" s="17">
        <v>38687</v>
      </c>
      <c r="B414" s="59">
        <f>VLOOKUP(Table13[[#This Row],[Date]],database!A:F,6,)</f>
        <v>100.93940000000001</v>
      </c>
      <c r="C414" s="67">
        <f t="shared" si="6"/>
        <v>9.2814970975507727E-4</v>
      </c>
      <c r="D414" s="67">
        <f>(Table13[[#This Row],[Index]]-B402)/B402</f>
        <v>3.6595297193658852E-2</v>
      </c>
    </row>
    <row r="415" spans="1:4" x14ac:dyDescent="0.2">
      <c r="A415" s="17">
        <v>38718</v>
      </c>
      <c r="B415" s="59">
        <f>VLOOKUP(Table13[[#This Row],[Date]],database!A:F,6,)</f>
        <v>101.76220000000001</v>
      </c>
      <c r="C415" s="67">
        <f t="shared" si="6"/>
        <v>8.1514255087706822E-3</v>
      </c>
      <c r="D415" s="67">
        <f>(Table13[[#This Row],[Index]]-B403)/B403</f>
        <v>3.8398272638960368E-2</v>
      </c>
    </row>
    <row r="416" spans="1:4" x14ac:dyDescent="0.2">
      <c r="A416" s="17">
        <v>38749</v>
      </c>
      <c r="B416" s="59">
        <f>VLOOKUP(Table13[[#This Row],[Date]],database!A:F,6,)</f>
        <v>101.4658</v>
      </c>
      <c r="C416" s="67">
        <f t="shared" si="6"/>
        <v>-2.9126728785344724E-3</v>
      </c>
      <c r="D416" s="67">
        <f>(Table13[[#This Row],[Index]]-B404)/B404</f>
        <v>2.5741132941432196E-2</v>
      </c>
    </row>
    <row r="417" spans="1:4" x14ac:dyDescent="0.2">
      <c r="A417" s="17">
        <v>38777</v>
      </c>
      <c r="B417" s="59">
        <f>VLOOKUP(Table13[[#This Row],[Date]],database!A:F,6,)</f>
        <v>101.41759999999999</v>
      </c>
      <c r="C417" s="67">
        <f t="shared" si="6"/>
        <v>-4.7503690898809126E-4</v>
      </c>
      <c r="D417" s="67">
        <f>(Table13[[#This Row],[Index]]-B405)/B405</f>
        <v>3.0346254112034215E-2</v>
      </c>
    </row>
    <row r="418" spans="1:4" x14ac:dyDescent="0.2">
      <c r="A418" s="17">
        <v>38808</v>
      </c>
      <c r="B418" s="59">
        <f>VLOOKUP(Table13[[#This Row],[Date]],database!A:F,6,)</f>
        <v>101.7898</v>
      </c>
      <c r="C418" s="67">
        <f t="shared" si="6"/>
        <v>3.6699744423058789E-3</v>
      </c>
      <c r="D418" s="67">
        <f>(Table13[[#This Row],[Index]]-B406)/B406</f>
        <v>2.987961949318365E-2</v>
      </c>
    </row>
    <row r="419" spans="1:4" x14ac:dyDescent="0.2">
      <c r="A419" s="17">
        <v>38838</v>
      </c>
      <c r="B419" s="59">
        <f>VLOOKUP(Table13[[#This Row],[Date]],database!A:F,6,)</f>
        <v>101.5625</v>
      </c>
      <c r="C419" s="67">
        <f t="shared" si="6"/>
        <v>-2.233033172282517E-3</v>
      </c>
      <c r="D419" s="67">
        <f>(Table13[[#This Row],[Index]]-B407)/B407</f>
        <v>2.4704910209365175E-2</v>
      </c>
    </row>
    <row r="420" spans="1:4" x14ac:dyDescent="0.2">
      <c r="A420" s="17">
        <v>38869</v>
      </c>
      <c r="B420" s="59">
        <f>VLOOKUP(Table13[[#This Row],[Date]],database!A:F,6,)</f>
        <v>101.90309999999999</v>
      </c>
      <c r="C420" s="67">
        <f t="shared" si="6"/>
        <v>3.3535999999998456E-3</v>
      </c>
      <c r="D420" s="67">
        <f>(Table13[[#This Row],[Index]]-B408)/B408</f>
        <v>2.5709393863444834E-2</v>
      </c>
    </row>
    <row r="421" spans="1:4" x14ac:dyDescent="0.2">
      <c r="A421" s="17">
        <v>38899</v>
      </c>
      <c r="B421" s="59">
        <f>VLOOKUP(Table13[[#This Row],[Date]],database!A:F,6,)</f>
        <v>101.60339999999999</v>
      </c>
      <c r="C421" s="67">
        <f t="shared" si="6"/>
        <v>-2.9410292719259656E-3</v>
      </c>
      <c r="D421" s="67">
        <f>(Table13[[#This Row],[Index]]-B409)/B409</f>
        <v>2.6134239317603149E-2</v>
      </c>
    </row>
    <row r="422" spans="1:4" x14ac:dyDescent="0.2">
      <c r="A422" s="17">
        <v>38930</v>
      </c>
      <c r="B422" s="59">
        <f>VLOOKUP(Table13[[#This Row],[Date]],database!A:F,6,)</f>
        <v>102.41119999999999</v>
      </c>
      <c r="C422" s="67">
        <f t="shared" si="6"/>
        <v>7.9505213408213038E-3</v>
      </c>
      <c r="D422" s="67">
        <f>(Table13[[#This Row],[Index]]-B410)/B410</f>
        <v>2.8532633257741715E-2</v>
      </c>
    </row>
    <row r="423" spans="1:4" x14ac:dyDescent="0.2">
      <c r="A423" s="17">
        <v>38961</v>
      </c>
      <c r="B423" s="59">
        <f>VLOOKUP(Table13[[#This Row],[Date]],database!A:F,6,)</f>
        <v>102.4877</v>
      </c>
      <c r="C423" s="67">
        <f t="shared" si="6"/>
        <v>7.4698861062083566E-4</v>
      </c>
      <c r="D423" s="67">
        <f>(Table13[[#This Row],[Index]]-B411)/B411</f>
        <v>4.1221046771167023E-2</v>
      </c>
    </row>
    <row r="424" spans="1:4" x14ac:dyDescent="0.2">
      <c r="A424" s="17">
        <v>38991</v>
      </c>
      <c r="B424" s="59">
        <f>VLOOKUP(Table13[[#This Row],[Date]],database!A:F,6,)</f>
        <v>102.0098</v>
      </c>
      <c r="C424" s="67">
        <f t="shared" si="6"/>
        <v>-4.6629985842203681E-3</v>
      </c>
      <c r="D424" s="67">
        <f>(Table13[[#This Row],[Index]]-B412)/B412</f>
        <v>2.111809697888194E-2</v>
      </c>
    </row>
    <row r="425" spans="1:4" x14ac:dyDescent="0.2">
      <c r="A425" s="17">
        <v>39022</v>
      </c>
      <c r="B425" s="59">
        <f>VLOOKUP(Table13[[#This Row],[Date]],database!A:F,6,)</f>
        <v>102.1152</v>
      </c>
      <c r="C425" s="67">
        <f t="shared" si="6"/>
        <v>1.0332340618255387E-3</v>
      </c>
      <c r="D425" s="67">
        <f>(Table13[[#This Row],[Index]]-B413)/B413</f>
        <v>1.2587534632081896E-2</v>
      </c>
    </row>
    <row r="426" spans="1:4" x14ac:dyDescent="0.2">
      <c r="A426" s="17">
        <v>39052</v>
      </c>
      <c r="B426" s="59">
        <f>VLOOKUP(Table13[[#This Row],[Date]],database!A:F,6,)</f>
        <v>103.6789</v>
      </c>
      <c r="C426" s="67">
        <f t="shared" si="6"/>
        <v>1.5313097364545003E-2</v>
      </c>
      <c r="D426" s="67">
        <f>(Table13[[#This Row],[Index]]-B414)/B414</f>
        <v>2.7140046404079996E-2</v>
      </c>
    </row>
    <row r="427" spans="1:4" x14ac:dyDescent="0.2">
      <c r="A427" s="17">
        <v>39083</v>
      </c>
      <c r="B427" s="59">
        <f>VLOOKUP(Table13[[#This Row],[Date]],database!A:F,6,)</f>
        <v>103.2709</v>
      </c>
      <c r="C427" s="67">
        <f t="shared" si="6"/>
        <v>-3.9352269362425973E-3</v>
      </c>
      <c r="D427" s="67">
        <f>(Table13[[#This Row],[Index]]-B415)/B415</f>
        <v>1.482574079569811E-2</v>
      </c>
    </row>
    <row r="428" spans="1:4" x14ac:dyDescent="0.2">
      <c r="A428" s="17">
        <v>39114</v>
      </c>
      <c r="B428" s="59">
        <f>VLOOKUP(Table13[[#This Row],[Date]],database!A:F,6,)</f>
        <v>103.65170000000001</v>
      </c>
      <c r="C428" s="67">
        <f t="shared" si="6"/>
        <v>3.6873891870798925E-3</v>
      </c>
      <c r="D428" s="67">
        <f>(Table13[[#This Row],[Index]]-B416)/B416</f>
        <v>2.154321948873417E-2</v>
      </c>
    </row>
    <row r="429" spans="1:4" x14ac:dyDescent="0.2">
      <c r="A429" s="17">
        <v>39142</v>
      </c>
      <c r="B429" s="59">
        <f>VLOOKUP(Table13[[#This Row],[Date]],database!A:F,6,)</f>
        <v>104.5857</v>
      </c>
      <c r="C429" s="67">
        <f t="shared" si="6"/>
        <v>9.0109472396497914E-3</v>
      </c>
      <c r="D429" s="67">
        <f>(Table13[[#This Row],[Index]]-B417)/B417</f>
        <v>3.123816773420008E-2</v>
      </c>
    </row>
    <row r="430" spans="1:4" x14ac:dyDescent="0.2">
      <c r="A430" s="17">
        <v>39173</v>
      </c>
      <c r="B430" s="59">
        <f>VLOOKUP(Table13[[#This Row],[Date]],database!A:F,6,)</f>
        <v>105.27979999999999</v>
      </c>
      <c r="C430" s="67">
        <f t="shared" si="6"/>
        <v>6.6366625647673594E-3</v>
      </c>
      <c r="D430" s="67">
        <f>(Table13[[#This Row],[Index]]-B418)/B418</f>
        <v>3.428634303240595E-2</v>
      </c>
    </row>
    <row r="431" spans="1:4" x14ac:dyDescent="0.2">
      <c r="A431" s="17">
        <v>39203</v>
      </c>
      <c r="B431" s="59">
        <f>VLOOKUP(Table13[[#This Row],[Date]],database!A:F,6,)</f>
        <v>105.2647</v>
      </c>
      <c r="C431" s="67">
        <f t="shared" si="6"/>
        <v>-1.4342732413996639E-4</v>
      </c>
      <c r="D431" s="67">
        <f>(Table13[[#This Row],[Index]]-B419)/B419</f>
        <v>3.6452430769230819E-2</v>
      </c>
    </row>
    <row r="432" spans="1:4" x14ac:dyDescent="0.2">
      <c r="A432" s="17">
        <v>39234</v>
      </c>
      <c r="B432" s="59">
        <f>VLOOKUP(Table13[[#This Row],[Date]],database!A:F,6,)</f>
        <v>105.6801</v>
      </c>
      <c r="C432" s="67">
        <f t="shared" si="6"/>
        <v>3.9462421875517961E-3</v>
      </c>
      <c r="D432" s="67">
        <f>(Table13[[#This Row],[Index]]-B420)/B420</f>
        <v>3.7064623156704765E-2</v>
      </c>
    </row>
    <row r="433" spans="1:4" x14ac:dyDescent="0.2">
      <c r="A433" s="17">
        <v>39264</v>
      </c>
      <c r="B433" s="59">
        <f>VLOOKUP(Table13[[#This Row],[Date]],database!A:F,6,)</f>
        <v>105.7557</v>
      </c>
      <c r="C433" s="67">
        <f t="shared" si="6"/>
        <v>7.15366469183909E-4</v>
      </c>
      <c r="D433" s="67">
        <f>(Table13[[#This Row],[Index]]-B421)/B421</f>
        <v>4.086772686740809E-2</v>
      </c>
    </row>
    <row r="434" spans="1:4" x14ac:dyDescent="0.2">
      <c r="A434" s="17">
        <v>39295</v>
      </c>
      <c r="B434" s="59">
        <f>VLOOKUP(Table13[[#This Row],[Date]],database!A:F,6,)</f>
        <v>105.5295</v>
      </c>
      <c r="C434" s="67">
        <f t="shared" si="6"/>
        <v>-2.1388918044134009E-3</v>
      </c>
      <c r="D434" s="67">
        <f>(Table13[[#This Row],[Index]]-B422)/B422</f>
        <v>3.044881809802058E-2</v>
      </c>
    </row>
    <row r="435" spans="1:4" x14ac:dyDescent="0.2">
      <c r="A435" s="17">
        <v>39326</v>
      </c>
      <c r="B435" s="59">
        <f>VLOOKUP(Table13[[#This Row],[Date]],database!A:F,6,)</f>
        <v>105.8948</v>
      </c>
      <c r="C435" s="67">
        <f t="shared" si="6"/>
        <v>3.4615913085915828E-3</v>
      </c>
      <c r="D435" s="67">
        <f>(Table13[[#This Row],[Index]]-B423)/B423</f>
        <v>3.3243989278713443E-2</v>
      </c>
    </row>
    <row r="436" spans="1:4" x14ac:dyDescent="0.2">
      <c r="A436" s="17">
        <v>39356</v>
      </c>
      <c r="B436" s="59">
        <f>VLOOKUP(Table13[[#This Row],[Date]],database!A:F,6,)</f>
        <v>105.75539999999999</v>
      </c>
      <c r="C436" s="67">
        <f t="shared" si="6"/>
        <v>-1.3164008053276888E-3</v>
      </c>
      <c r="D436" s="67">
        <f>(Table13[[#This Row],[Index]]-B424)/B424</f>
        <v>3.6718040815686297E-2</v>
      </c>
    </row>
    <row r="437" spans="1:4" x14ac:dyDescent="0.2">
      <c r="A437" s="17">
        <v>39387</v>
      </c>
      <c r="B437" s="59">
        <f>VLOOKUP(Table13[[#This Row],[Date]],database!A:F,6,)</f>
        <v>106.3892</v>
      </c>
      <c r="C437" s="67">
        <f t="shared" si="6"/>
        <v>5.9930745853167267E-3</v>
      </c>
      <c r="D437" s="67">
        <f>(Table13[[#This Row],[Index]]-B425)/B425</f>
        <v>4.1854689605465206E-2</v>
      </c>
    </row>
    <row r="438" spans="1:4" x14ac:dyDescent="0.2">
      <c r="A438" s="17">
        <v>39417</v>
      </c>
      <c r="B438" s="59">
        <f>VLOOKUP(Table13[[#This Row],[Date]],database!A:F,6,)</f>
        <v>106.47369999999999</v>
      </c>
      <c r="C438" s="67">
        <f t="shared" si="6"/>
        <v>7.9425355205220427E-4</v>
      </c>
      <c r="D438" s="67">
        <f>(Table13[[#This Row],[Index]]-B426)/B426</f>
        <v>2.6956304513261573E-2</v>
      </c>
    </row>
    <row r="439" spans="1:4" x14ac:dyDescent="0.2">
      <c r="A439" s="17">
        <v>39448</v>
      </c>
      <c r="B439" s="59">
        <f>VLOOKUP(Table13[[#This Row],[Date]],database!A:F,6,)</f>
        <v>106.2347</v>
      </c>
      <c r="C439" s="67">
        <f t="shared" si="6"/>
        <v>-2.2446857768630979E-3</v>
      </c>
      <c r="D439" s="67">
        <f>(Table13[[#This Row],[Index]]-B427)/B427</f>
        <v>2.8699275400911644E-2</v>
      </c>
    </row>
    <row r="440" spans="1:4" x14ac:dyDescent="0.2">
      <c r="A440" s="17">
        <v>39479</v>
      </c>
      <c r="B440" s="59">
        <f>VLOOKUP(Table13[[#This Row],[Date]],database!A:F,6,)</f>
        <v>105.4327</v>
      </c>
      <c r="C440" s="67">
        <f t="shared" si="6"/>
        <v>-7.5493223965428236E-3</v>
      </c>
      <c r="D440" s="67">
        <f>(Table13[[#This Row],[Index]]-B428)/B428</f>
        <v>1.7182545004085718E-2</v>
      </c>
    </row>
    <row r="441" spans="1:4" x14ac:dyDescent="0.2">
      <c r="A441" s="17">
        <v>39508</v>
      </c>
      <c r="B441" s="59">
        <f>VLOOKUP(Table13[[#This Row],[Date]],database!A:F,6,)</f>
        <v>104.9422</v>
      </c>
      <c r="C441" s="67">
        <f t="shared" si="6"/>
        <v>-4.6522568425165778E-3</v>
      </c>
      <c r="D441" s="67">
        <f>(Table13[[#This Row],[Index]]-B429)/B429</f>
        <v>3.4086878033994794E-3</v>
      </c>
    </row>
    <row r="442" spans="1:4" x14ac:dyDescent="0.2">
      <c r="A442" s="17">
        <v>39539</v>
      </c>
      <c r="B442" s="59">
        <f>VLOOKUP(Table13[[#This Row],[Date]],database!A:F,6,)</f>
        <v>103.8964</v>
      </c>
      <c r="C442" s="67">
        <f t="shared" si="6"/>
        <v>-9.9654857626388926E-3</v>
      </c>
      <c r="D442" s="67">
        <f>(Table13[[#This Row],[Index]]-B430)/B430</f>
        <v>-1.3140222530817827E-2</v>
      </c>
    </row>
    <row r="443" spans="1:4" x14ac:dyDescent="0.2">
      <c r="A443" s="17">
        <v>39569</v>
      </c>
      <c r="B443" s="59">
        <f>VLOOKUP(Table13[[#This Row],[Date]],database!A:F,6,)</f>
        <v>103.3681</v>
      </c>
      <c r="C443" s="67">
        <f t="shared" si="6"/>
        <v>-5.0848730081118898E-3</v>
      </c>
      <c r="D443" s="67">
        <f>(Table13[[#This Row],[Index]]-B431)/B431</f>
        <v>-1.8017436044562008E-2</v>
      </c>
    </row>
    <row r="444" spans="1:4" x14ac:dyDescent="0.2">
      <c r="A444" s="17">
        <v>39600</v>
      </c>
      <c r="B444" s="59">
        <f>VLOOKUP(Table13[[#This Row],[Date]],database!A:F,6,)</f>
        <v>102.6801</v>
      </c>
      <c r="C444" s="67">
        <f t="shared" si="6"/>
        <v>-6.6558251530210999E-3</v>
      </c>
      <c r="D444" s="67">
        <f>(Table13[[#This Row],[Index]]-B432)/B432</f>
        <v>-2.8387558300947861E-2</v>
      </c>
    </row>
    <row r="445" spans="1:4" x14ac:dyDescent="0.2">
      <c r="A445" s="17">
        <v>39630</v>
      </c>
      <c r="B445" s="59">
        <f>VLOOKUP(Table13[[#This Row],[Date]],database!A:F,6,)</f>
        <v>101.5866</v>
      </c>
      <c r="C445" s="67">
        <f t="shared" si="6"/>
        <v>-1.0649580590591512E-2</v>
      </c>
      <c r="D445" s="67">
        <f>(Table13[[#This Row],[Index]]-B433)/B433</f>
        <v>-3.9421988602032797E-2</v>
      </c>
    </row>
    <row r="446" spans="1:4" x14ac:dyDescent="0.2">
      <c r="A446" s="17">
        <v>39661</v>
      </c>
      <c r="B446" s="59">
        <f>VLOOKUP(Table13[[#This Row],[Date]],database!A:F,6,)</f>
        <v>100.29089999999999</v>
      </c>
      <c r="C446" s="67">
        <f t="shared" si="6"/>
        <v>-1.2754634961697819E-2</v>
      </c>
      <c r="D446" s="67">
        <f>(Table13[[#This Row],[Index]]-B434)/B434</f>
        <v>-4.9641095617813082E-2</v>
      </c>
    </row>
    <row r="447" spans="1:4" x14ac:dyDescent="0.2">
      <c r="A447" s="17">
        <v>39692</v>
      </c>
      <c r="B447" s="59">
        <f>VLOOKUP(Table13[[#This Row],[Date]],database!A:F,6,)</f>
        <v>96.742599999999996</v>
      </c>
      <c r="C447" s="67">
        <f t="shared" si="6"/>
        <v>-3.5380079349173199E-2</v>
      </c>
      <c r="D447" s="67">
        <f>(Table13[[#This Row],[Index]]-B435)/B435</f>
        <v>-8.6427284437007368E-2</v>
      </c>
    </row>
    <row r="448" spans="1:4" x14ac:dyDescent="0.2">
      <c r="A448" s="17">
        <v>39722</v>
      </c>
      <c r="B448" s="59">
        <f>VLOOKUP(Table13[[#This Row],[Date]],database!A:F,6,)</f>
        <v>96.190600000000003</v>
      </c>
      <c r="C448" s="67">
        <f t="shared" si="6"/>
        <v>-5.7058627740002033E-3</v>
      </c>
      <c r="D448" s="67">
        <f>(Table13[[#This Row],[Index]]-B436)/B436</f>
        <v>-9.0442662975129318E-2</v>
      </c>
    </row>
    <row r="449" spans="1:4" x14ac:dyDescent="0.2">
      <c r="A449" s="17">
        <v>39753</v>
      </c>
      <c r="B449" s="59">
        <f>VLOOKUP(Table13[[#This Row],[Date]],database!A:F,6,)</f>
        <v>93.768699999999995</v>
      </c>
      <c r="C449" s="67">
        <f t="shared" si="6"/>
        <v>-2.5178135909330046E-2</v>
      </c>
      <c r="D449" s="67">
        <f>(Table13[[#This Row],[Index]]-B437)/B437</f>
        <v>-0.11862576276539354</v>
      </c>
    </row>
    <row r="450" spans="1:4" x14ac:dyDescent="0.2">
      <c r="A450" s="17">
        <v>39783</v>
      </c>
      <c r="B450" s="59">
        <f>VLOOKUP(Table13[[#This Row],[Date]],database!A:F,6,)</f>
        <v>90.561700000000002</v>
      </c>
      <c r="C450" s="67">
        <f t="shared" si="6"/>
        <v>-3.42011780050272E-2</v>
      </c>
      <c r="D450" s="67">
        <f>(Table13[[#This Row],[Index]]-B438)/B438</f>
        <v>-0.14944535598931935</v>
      </c>
    </row>
    <row r="451" spans="1:4" x14ac:dyDescent="0.2">
      <c r="A451" s="17">
        <v>39814</v>
      </c>
      <c r="B451" s="59">
        <f>VLOOKUP(Table13[[#This Row],[Date]],database!A:F,6,)</f>
        <v>87.620199999999997</v>
      </c>
      <c r="C451" s="67">
        <f t="shared" si="6"/>
        <v>-3.2480618186275234E-2</v>
      </c>
      <c r="D451" s="67">
        <f>(Table13[[#This Row],[Index]]-B439)/B439</f>
        <v>-0.17522052587337289</v>
      </c>
    </row>
    <row r="452" spans="1:4" x14ac:dyDescent="0.2">
      <c r="A452" s="17">
        <v>39845</v>
      </c>
      <c r="B452" s="59">
        <f>VLOOKUP(Table13[[#This Row],[Date]],database!A:F,6,)</f>
        <v>87.6267</v>
      </c>
      <c r="C452" s="67">
        <f t="shared" si="6"/>
        <v>7.4183806930472329E-5</v>
      </c>
      <c r="D452" s="67">
        <f>(Table13[[#This Row],[Index]]-B440)/B440</f>
        <v>-0.16888498539826827</v>
      </c>
    </row>
    <row r="453" spans="1:4" x14ac:dyDescent="0.2">
      <c r="A453" s="17">
        <v>39873</v>
      </c>
      <c r="B453" s="59">
        <f>VLOOKUP(Table13[[#This Row],[Date]],database!A:F,6,)</f>
        <v>86.084199999999996</v>
      </c>
      <c r="C453" s="67">
        <f t="shared" si="6"/>
        <v>-1.7603082165595696E-2</v>
      </c>
      <c r="D453" s="67">
        <f>(Table13[[#This Row],[Index]]-B441)/B441</f>
        <v>-0.1796989199769016</v>
      </c>
    </row>
    <row r="454" spans="1:4" x14ac:dyDescent="0.2">
      <c r="A454" s="17">
        <v>39904</v>
      </c>
      <c r="B454" s="59">
        <f>VLOOKUP(Table13[[#This Row],[Date]],database!A:F,6,)</f>
        <v>85.530500000000004</v>
      </c>
      <c r="C454" s="67">
        <f t="shared" si="6"/>
        <v>-6.4320746431980602E-3</v>
      </c>
      <c r="D454" s="67">
        <f>(Table13[[#This Row],[Index]]-B442)/B442</f>
        <v>-0.17677128370184142</v>
      </c>
    </row>
    <row r="455" spans="1:4" x14ac:dyDescent="0.2">
      <c r="A455" s="17">
        <v>39934</v>
      </c>
      <c r="B455" s="59">
        <f>VLOOKUP(Table13[[#This Row],[Date]],database!A:F,6,)</f>
        <v>84.616900000000001</v>
      </c>
      <c r="C455" s="67">
        <f t="shared" si="6"/>
        <v>-1.0681569732434615E-2</v>
      </c>
      <c r="D455" s="67">
        <f>(Table13[[#This Row],[Index]]-B443)/B443</f>
        <v>-0.18140219274611796</v>
      </c>
    </row>
    <row r="456" spans="1:4" x14ac:dyDescent="0.2">
      <c r="A456" s="17">
        <v>39965</v>
      </c>
      <c r="B456" s="59">
        <f>VLOOKUP(Table13[[#This Row],[Date]],database!A:F,6,)</f>
        <v>84.4011</v>
      </c>
      <c r="C456" s="67">
        <f t="shared" ref="C456:C519" si="7">B456/B455-1</f>
        <v>-2.5503179624873917E-3</v>
      </c>
      <c r="D456" s="67">
        <f>(Table13[[#This Row],[Index]]-B444)/B444</f>
        <v>-0.17801891505754278</v>
      </c>
    </row>
    <row r="457" spans="1:4" x14ac:dyDescent="0.2">
      <c r="A457" s="17">
        <v>39995</v>
      </c>
      <c r="B457" s="59">
        <f>VLOOKUP(Table13[[#This Row],[Date]],database!A:F,6,)</f>
        <v>85.829899999999995</v>
      </c>
      <c r="C457" s="67">
        <f t="shared" si="7"/>
        <v>1.6928689318030266E-2</v>
      </c>
      <c r="D457" s="67">
        <f>(Table13[[#This Row],[Index]]-B445)/B445</f>
        <v>-0.15510608682641222</v>
      </c>
    </row>
    <row r="458" spans="1:4" x14ac:dyDescent="0.2">
      <c r="A458" s="17">
        <v>40026</v>
      </c>
      <c r="B458" s="59">
        <f>VLOOKUP(Table13[[#This Row],[Date]],database!A:F,6,)</f>
        <v>86.809700000000007</v>
      </c>
      <c r="C458" s="67">
        <f t="shared" si="7"/>
        <v>1.1415602255158364E-2</v>
      </c>
      <c r="D458" s="67">
        <f>(Table13[[#This Row],[Index]]-B446)/B446</f>
        <v>-0.13442096940001524</v>
      </c>
    </row>
    <row r="459" spans="1:4" x14ac:dyDescent="0.2">
      <c r="A459" s="17">
        <v>40057</v>
      </c>
      <c r="B459" s="59">
        <f>VLOOKUP(Table13[[#This Row],[Date]],database!A:F,6,)</f>
        <v>87.698700000000002</v>
      </c>
      <c r="C459" s="67">
        <f t="shared" si="7"/>
        <v>1.0240791063671484E-2</v>
      </c>
      <c r="D459" s="67">
        <f>(Table13[[#This Row],[Index]]-B447)/B447</f>
        <v>-9.3484152793081782E-2</v>
      </c>
    </row>
    <row r="460" spans="1:4" x14ac:dyDescent="0.2">
      <c r="A460" s="17">
        <v>40087</v>
      </c>
      <c r="B460" s="59">
        <f>VLOOKUP(Table13[[#This Row],[Date]],database!A:F,6,)</f>
        <v>87.705699999999993</v>
      </c>
      <c r="C460" s="67">
        <f t="shared" si="7"/>
        <v>7.9818743037085582E-5</v>
      </c>
      <c r="D460" s="67">
        <f>(Table13[[#This Row],[Index]]-B448)/B448</f>
        <v>-8.8209242898994386E-2</v>
      </c>
    </row>
    <row r="461" spans="1:4" x14ac:dyDescent="0.2">
      <c r="A461" s="17">
        <v>40118</v>
      </c>
      <c r="B461" s="59">
        <f>VLOOKUP(Table13[[#This Row],[Date]],database!A:F,6,)</f>
        <v>88.642899999999997</v>
      </c>
      <c r="C461" s="67">
        <f t="shared" si="7"/>
        <v>1.0685736502872745E-2</v>
      </c>
      <c r="D461" s="67">
        <f>(Table13[[#This Row],[Index]]-B449)/B449</f>
        <v>-5.4664296295032333E-2</v>
      </c>
    </row>
    <row r="462" spans="1:4" x14ac:dyDescent="0.2">
      <c r="A462" s="17">
        <v>40148</v>
      </c>
      <c r="B462" s="59">
        <f>VLOOKUP(Table13[[#This Row],[Date]],database!A:F,6,)</f>
        <v>88.529300000000006</v>
      </c>
      <c r="C462" s="67">
        <f t="shared" si="7"/>
        <v>-1.2815465198001696E-3</v>
      </c>
      <c r="D462" s="67">
        <f>(Table13[[#This Row],[Index]]-B450)/B450</f>
        <v>-2.2442158219202989E-2</v>
      </c>
    </row>
    <row r="463" spans="1:4" x14ac:dyDescent="0.2">
      <c r="A463" s="17">
        <v>40179</v>
      </c>
      <c r="B463" s="59">
        <f>VLOOKUP(Table13[[#This Row],[Date]],database!A:F,6,)</f>
        <v>89.569400000000002</v>
      </c>
      <c r="C463" s="67">
        <f t="shared" si="7"/>
        <v>1.1748652705940277E-2</v>
      </c>
      <c r="D463" s="67">
        <f>(Table13[[#This Row],[Index]]-B451)/B451</f>
        <v>2.2246011764410545E-2</v>
      </c>
    </row>
    <row r="464" spans="1:4" x14ac:dyDescent="0.2">
      <c r="A464" s="17">
        <v>40210</v>
      </c>
      <c r="B464" s="59">
        <f>VLOOKUP(Table13[[#This Row],[Date]],database!A:F,6,)</f>
        <v>89.589699999999993</v>
      </c>
      <c r="C464" s="67">
        <f t="shared" si="7"/>
        <v>2.2663990157334446E-4</v>
      </c>
      <c r="D464" s="67">
        <f>(Table13[[#This Row],[Index]]-B452)/B452</f>
        <v>2.2401847838615329E-2</v>
      </c>
    </row>
    <row r="465" spans="1:4" x14ac:dyDescent="0.2">
      <c r="A465" s="17">
        <v>40238</v>
      </c>
      <c r="B465" s="59">
        <f>VLOOKUP(Table13[[#This Row],[Date]],database!A:F,6,)</f>
        <v>90.800299999999993</v>
      </c>
      <c r="C465" s="67">
        <f t="shared" si="7"/>
        <v>1.3512714073157905E-2</v>
      </c>
      <c r="D465" s="67">
        <f>(Table13[[#This Row],[Index]]-B453)/B453</f>
        <v>5.4784734016230595E-2</v>
      </c>
    </row>
    <row r="466" spans="1:4" x14ac:dyDescent="0.2">
      <c r="A466" s="17">
        <v>40269</v>
      </c>
      <c r="B466" s="59">
        <f>VLOOKUP(Table13[[#This Row],[Date]],database!A:F,6,)</f>
        <v>91.630600000000001</v>
      </c>
      <c r="C466" s="67">
        <f t="shared" si="7"/>
        <v>9.1442429154970917E-3</v>
      </c>
      <c r="D466" s="67">
        <f>(Table13[[#This Row],[Index]]-B454)/B454</f>
        <v>7.1320756922968964E-2</v>
      </c>
    </row>
    <row r="467" spans="1:4" x14ac:dyDescent="0.2">
      <c r="A467" s="17">
        <v>40299</v>
      </c>
      <c r="B467" s="59">
        <f>VLOOKUP(Table13[[#This Row],[Date]],database!A:F,6,)</f>
        <v>92.847200000000001</v>
      </c>
      <c r="C467" s="67">
        <f t="shared" si="7"/>
        <v>1.3277223984127673E-2</v>
      </c>
      <c r="D467" s="67">
        <f>(Table13[[#This Row],[Index]]-B455)/B455</f>
        <v>9.7265439882576646E-2</v>
      </c>
    </row>
    <row r="468" spans="1:4" x14ac:dyDescent="0.2">
      <c r="A468" s="17">
        <v>40330</v>
      </c>
      <c r="B468" s="59">
        <f>VLOOKUP(Table13[[#This Row],[Date]],database!A:F,6,)</f>
        <v>92.851299999999995</v>
      </c>
      <c r="C468" s="67">
        <f t="shared" si="7"/>
        <v>4.4158574518116112E-5</v>
      </c>
      <c r="D468" s="67">
        <f>(Table13[[#This Row],[Index]]-B456)/B456</f>
        <v>0.1001195482049404</v>
      </c>
    </row>
    <row r="469" spans="1:4" x14ac:dyDescent="0.2">
      <c r="A469" s="17">
        <v>40360</v>
      </c>
      <c r="B469" s="59">
        <f>VLOOKUP(Table13[[#This Row],[Date]],database!A:F,6,)</f>
        <v>93.360900000000001</v>
      </c>
      <c r="C469" s="67">
        <f t="shared" si="7"/>
        <v>5.4883453435763396E-3</v>
      </c>
      <c r="D469" s="67">
        <f>(Table13[[#This Row],[Index]]-B457)/B457</f>
        <v>8.7743315557865104E-2</v>
      </c>
    </row>
    <row r="470" spans="1:4" x14ac:dyDescent="0.2">
      <c r="A470" s="17">
        <v>40391</v>
      </c>
      <c r="B470" s="59">
        <f>VLOOKUP(Table13[[#This Row],[Date]],database!A:F,6,)</f>
        <v>93.5501</v>
      </c>
      <c r="C470" s="67">
        <f t="shared" si="7"/>
        <v>2.0265443028077978E-3</v>
      </c>
      <c r="D470" s="67">
        <f>(Table13[[#This Row],[Index]]-B458)/B458</f>
        <v>7.7645700883656937E-2</v>
      </c>
    </row>
    <row r="471" spans="1:4" x14ac:dyDescent="0.2">
      <c r="A471" s="17">
        <v>40422</v>
      </c>
      <c r="B471" s="59">
        <f>VLOOKUP(Table13[[#This Row],[Date]],database!A:F,6,)</f>
        <v>93.635499999999993</v>
      </c>
      <c r="C471" s="67">
        <f t="shared" si="7"/>
        <v>9.1287983657939442E-4</v>
      </c>
      <c r="D471" s="67">
        <f>(Table13[[#This Row],[Index]]-B459)/B459</f>
        <v>6.7695416237640818E-2</v>
      </c>
    </row>
    <row r="472" spans="1:4" x14ac:dyDescent="0.2">
      <c r="A472" s="17">
        <v>40452</v>
      </c>
      <c r="B472" s="59">
        <f>VLOOKUP(Table13[[#This Row],[Date]],database!A:F,6,)</f>
        <v>93.683400000000006</v>
      </c>
      <c r="C472" s="67">
        <f t="shared" si="7"/>
        <v>5.1155811631287129E-4</v>
      </c>
      <c r="D472" s="67">
        <f>(Table13[[#This Row],[Index]]-B460)/B460</f>
        <v>6.8156345596694548E-2</v>
      </c>
    </row>
    <row r="473" spans="1:4" x14ac:dyDescent="0.2">
      <c r="A473" s="17">
        <v>40483</v>
      </c>
      <c r="B473" s="59">
        <f>VLOOKUP(Table13[[#This Row],[Date]],database!A:F,6,)</f>
        <v>93.792199999999994</v>
      </c>
      <c r="C473" s="67">
        <f t="shared" si="7"/>
        <v>1.1613583623137913E-3</v>
      </c>
      <c r="D473" s="67">
        <f>(Table13[[#This Row],[Index]]-B461)/B461</f>
        <v>5.8090382873303974E-2</v>
      </c>
    </row>
    <row r="474" spans="1:4" x14ac:dyDescent="0.2">
      <c r="A474" s="17">
        <v>40513</v>
      </c>
      <c r="B474" s="59">
        <f>VLOOKUP(Table13[[#This Row],[Date]],database!A:F,6,)</f>
        <v>94.265100000000004</v>
      </c>
      <c r="C474" s="67">
        <f t="shared" si="7"/>
        <v>5.0419970957074067E-3</v>
      </c>
      <c r="D474" s="67">
        <f>(Table13[[#This Row],[Index]]-B462)/B462</f>
        <v>6.4789849236354488E-2</v>
      </c>
    </row>
    <row r="475" spans="1:4" x14ac:dyDescent="0.2">
      <c r="A475" s="17">
        <v>40544</v>
      </c>
      <c r="B475" s="59">
        <f>VLOOKUP(Table13[[#This Row],[Date]],database!A:F,6,)</f>
        <v>94.366399999999999</v>
      </c>
      <c r="C475" s="67">
        <f t="shared" si="7"/>
        <v>1.074628892347107E-3</v>
      </c>
      <c r="D475" s="67">
        <f>(Table13[[#This Row],[Index]]-B463)/B463</f>
        <v>5.3556236839813566E-2</v>
      </c>
    </row>
    <row r="476" spans="1:4" x14ac:dyDescent="0.2">
      <c r="A476" s="17">
        <v>40575</v>
      </c>
      <c r="B476" s="59">
        <f>VLOOKUP(Table13[[#This Row],[Date]],database!A:F,6,)</f>
        <v>94.5685</v>
      </c>
      <c r="C476" s="67">
        <f t="shared" si="7"/>
        <v>2.1416521134640654E-3</v>
      </c>
      <c r="D476" s="67">
        <f>(Table13[[#This Row],[Index]]-B464)/B464</f>
        <v>5.5573352740326258E-2</v>
      </c>
    </row>
    <row r="477" spans="1:4" x14ac:dyDescent="0.2">
      <c r="A477" s="17">
        <v>40603</v>
      </c>
      <c r="B477" s="59">
        <f>VLOOKUP(Table13[[#This Row],[Date]],database!A:F,6,)</f>
        <v>95.212400000000002</v>
      </c>
      <c r="C477" s="67">
        <f t="shared" si="7"/>
        <v>6.8088211190830972E-3</v>
      </c>
      <c r="D477" s="67">
        <f>(Table13[[#This Row],[Index]]-B465)/B465</f>
        <v>4.8591249147855349E-2</v>
      </c>
    </row>
    <row r="478" spans="1:4" x14ac:dyDescent="0.2">
      <c r="A478" s="17">
        <v>40634</v>
      </c>
      <c r="B478" s="59">
        <f>VLOOKUP(Table13[[#This Row],[Date]],database!A:F,6,)</f>
        <v>94.647199999999998</v>
      </c>
      <c r="C478" s="68">
        <f t="shared" si="7"/>
        <v>-5.9362015871882168E-3</v>
      </c>
      <c r="D478" s="67">
        <f>(Table13[[#This Row],[Index]]-B466)/B466</f>
        <v>3.2921316678052932E-2</v>
      </c>
    </row>
    <row r="479" spans="1:4" x14ac:dyDescent="0.2">
      <c r="A479" s="17">
        <v>40664</v>
      </c>
      <c r="B479" s="59">
        <f>VLOOKUP(Table13[[#This Row],[Date]],database!A:F,6,)</f>
        <v>94.668199999999999</v>
      </c>
      <c r="C479" s="67">
        <f t="shared" si="7"/>
        <v>2.2187661124672964E-4</v>
      </c>
      <c r="D479" s="67">
        <f>(Table13[[#This Row],[Index]]-B467)/B467</f>
        <v>1.9612869316468325E-2</v>
      </c>
    </row>
    <row r="480" spans="1:4" x14ac:dyDescent="0.2">
      <c r="A480" s="17">
        <v>40695</v>
      </c>
      <c r="B480" s="59">
        <f>VLOOKUP(Table13[[#This Row],[Date]],database!A:F,6,)</f>
        <v>94.759900000000002</v>
      </c>
      <c r="C480" s="67">
        <f t="shared" si="7"/>
        <v>9.6864628248982676E-4</v>
      </c>
      <c r="D480" s="67">
        <f>(Table13[[#This Row],[Index]]-B468)/B468</f>
        <v>2.0555447258142935E-2</v>
      </c>
    </row>
    <row r="481" spans="1:4" x14ac:dyDescent="0.2">
      <c r="A481" s="17">
        <v>40725</v>
      </c>
      <c r="B481" s="59">
        <f>VLOOKUP(Table13[[#This Row],[Date]],database!A:F,6,)</f>
        <v>95.332099999999997</v>
      </c>
      <c r="C481" s="67">
        <f t="shared" si="7"/>
        <v>6.0384192047480134E-3</v>
      </c>
      <c r="D481" s="67">
        <f>(Table13[[#This Row],[Index]]-B469)/B469</f>
        <v>2.1113763899019783E-2</v>
      </c>
    </row>
    <row r="482" spans="1:4" x14ac:dyDescent="0.2">
      <c r="A482" s="17">
        <v>40756</v>
      </c>
      <c r="B482" s="59">
        <f>VLOOKUP(Table13[[#This Row],[Date]],database!A:F,6,)</f>
        <v>95.786900000000003</v>
      </c>
      <c r="C482" s="67">
        <f t="shared" si="7"/>
        <v>4.770691089360346E-3</v>
      </c>
      <c r="D482" s="67">
        <f>(Table13[[#This Row],[Index]]-B470)/B470</f>
        <v>2.3910182885961664E-2</v>
      </c>
    </row>
    <row r="483" spans="1:4" x14ac:dyDescent="0.2">
      <c r="A483" s="17">
        <v>40787</v>
      </c>
      <c r="B483" s="59">
        <f>VLOOKUP(Table13[[#This Row],[Date]],database!A:F,6,)</f>
        <v>96.0685</v>
      </c>
      <c r="C483" s="67">
        <f t="shared" si="7"/>
        <v>2.9398592083049735E-3</v>
      </c>
      <c r="D483" s="67">
        <f>(Table13[[#This Row],[Index]]-B471)/B471</f>
        <v>2.5983734801437564E-2</v>
      </c>
    </row>
    <row r="484" spans="1:4" x14ac:dyDescent="0.2">
      <c r="A484" s="17">
        <v>40817</v>
      </c>
      <c r="B484" s="59">
        <f>VLOOKUP(Table13[[#This Row],[Date]],database!A:F,6,)</f>
        <v>96.587000000000003</v>
      </c>
      <c r="C484" s="67">
        <f t="shared" si="7"/>
        <v>5.3971905463290337E-3</v>
      </c>
      <c r="D484" s="67">
        <f>(Table13[[#This Row],[Index]]-B472)/B472</f>
        <v>3.099375129425274E-2</v>
      </c>
    </row>
    <row r="485" spans="1:4" x14ac:dyDescent="0.2">
      <c r="A485" s="17">
        <v>40848</v>
      </c>
      <c r="B485" s="59">
        <f>VLOOKUP(Table13[[#This Row],[Date]],database!A:F,6,)</f>
        <v>96.420900000000003</v>
      </c>
      <c r="C485" s="67">
        <f t="shared" si="7"/>
        <v>-1.719693126404187E-3</v>
      </c>
      <c r="D485" s="67">
        <f>(Table13[[#This Row],[Index]]-B473)/B473</f>
        <v>2.8026850846872228E-2</v>
      </c>
    </row>
    <row r="486" spans="1:4" x14ac:dyDescent="0.2">
      <c r="A486" s="17">
        <v>40878</v>
      </c>
      <c r="B486" s="59">
        <f>VLOOKUP(Table13[[#This Row],[Date]],database!A:F,6,)</f>
        <v>97.021799999999999</v>
      </c>
      <c r="C486" s="67">
        <f t="shared" si="7"/>
        <v>6.2320513498628216E-3</v>
      </c>
      <c r="D486" s="67">
        <f>(Table13[[#This Row],[Index]]-B474)/B474</f>
        <v>2.9244121101022487E-2</v>
      </c>
    </row>
    <row r="487" spans="1:4" x14ac:dyDescent="0.2">
      <c r="A487" s="17">
        <v>40909</v>
      </c>
      <c r="B487" s="59">
        <f>VLOOKUP(Table13[[#This Row],[Date]],database!A:F,6,)</f>
        <v>97.928399999999996</v>
      </c>
      <c r="C487" s="67">
        <f t="shared" si="7"/>
        <v>9.344291695268403E-3</v>
      </c>
      <c r="D487" s="67">
        <f>(Table13[[#This Row],[Index]]-B475)/B475</f>
        <v>3.7746486037403118E-2</v>
      </c>
    </row>
    <row r="488" spans="1:4" x14ac:dyDescent="0.2">
      <c r="A488" s="17">
        <v>40940</v>
      </c>
      <c r="B488" s="59">
        <f>VLOOKUP(Table13[[#This Row],[Date]],database!A:F,6,)</f>
        <v>98.349199999999996</v>
      </c>
      <c r="C488" s="67">
        <f t="shared" si="7"/>
        <v>4.2970170042602174E-3</v>
      </c>
      <c r="D488" s="67">
        <f>(Table13[[#This Row],[Index]]-B476)/B476</f>
        <v>3.9978428335016372E-2</v>
      </c>
    </row>
    <row r="489" spans="1:4" x14ac:dyDescent="0.2">
      <c r="A489" s="17">
        <v>40969</v>
      </c>
      <c r="B489" s="59">
        <f>VLOOKUP(Table13[[#This Row],[Date]],database!A:F,6,)</f>
        <v>97.824399999999997</v>
      </c>
      <c r="C489" s="67">
        <f t="shared" si="7"/>
        <v>-5.3360881430657425E-3</v>
      </c>
      <c r="D489" s="67">
        <f>(Table13[[#This Row],[Index]]-B477)/B477</f>
        <v>2.7433401531733206E-2</v>
      </c>
    </row>
    <row r="490" spans="1:4" x14ac:dyDescent="0.2">
      <c r="A490" s="17">
        <v>41000</v>
      </c>
      <c r="B490" s="59">
        <f>VLOOKUP(Table13[[#This Row],[Date]],database!A:F,6,)</f>
        <v>98.361699999999999</v>
      </c>
      <c r="C490" s="67">
        <f t="shared" si="7"/>
        <v>5.4924947150198911E-3</v>
      </c>
      <c r="D490" s="67">
        <f>(Table13[[#This Row],[Index]]-B478)/B478</f>
        <v>3.9245746308395821E-2</v>
      </c>
    </row>
    <row r="491" spans="1:4" x14ac:dyDescent="0.2">
      <c r="A491" s="17">
        <v>41030</v>
      </c>
      <c r="B491" s="59">
        <f>VLOOKUP(Table13[[#This Row],[Date]],database!A:F,6,)</f>
        <v>98.0749</v>
      </c>
      <c r="C491" s="67">
        <f t="shared" si="7"/>
        <v>-2.9157690442519479E-3</v>
      </c>
      <c r="D491" s="67">
        <f>(Table13[[#This Row],[Index]]-B479)/B479</f>
        <v>3.5985684738909167E-2</v>
      </c>
    </row>
    <row r="492" spans="1:4" x14ac:dyDescent="0.2">
      <c r="A492" s="17">
        <v>41061</v>
      </c>
      <c r="B492" s="59">
        <f>VLOOKUP(Table13[[#This Row],[Date]],database!A:F,6,)</f>
        <v>98.399600000000007</v>
      </c>
      <c r="C492" s="67">
        <f t="shared" si="7"/>
        <v>3.3107349586898316E-3</v>
      </c>
      <c r="D492" s="67">
        <f>(Table13[[#This Row],[Index]]-B480)/B480</f>
        <v>3.8409707059631815E-2</v>
      </c>
    </row>
    <row r="493" spans="1:4" x14ac:dyDescent="0.2">
      <c r="A493" s="17">
        <v>41091</v>
      </c>
      <c r="B493" s="59">
        <f>VLOOKUP(Table13[[#This Row],[Date]],database!A:F,6,)</f>
        <v>98.263000000000005</v>
      </c>
      <c r="C493" s="67">
        <f t="shared" si="7"/>
        <v>-1.3882170252724757E-3</v>
      </c>
      <c r="D493" s="67">
        <f>(Table13[[#This Row],[Index]]-B481)/B481</f>
        <v>3.074410403211519E-2</v>
      </c>
    </row>
    <row r="494" spans="1:4" x14ac:dyDescent="0.2">
      <c r="A494" s="17">
        <v>41122</v>
      </c>
      <c r="B494" s="59">
        <f>VLOOKUP(Table13[[#This Row],[Date]],database!A:F,6,)</f>
        <v>98.134900000000002</v>
      </c>
      <c r="C494" s="67">
        <f t="shared" si="7"/>
        <v>-1.3036443015174148E-3</v>
      </c>
      <c r="D494" s="67">
        <f>(Table13[[#This Row],[Index]]-B482)/B482</f>
        <v>2.4512746523793951E-2</v>
      </c>
    </row>
    <row r="495" spans="1:4" x14ac:dyDescent="0.2">
      <c r="A495" s="17">
        <v>41153</v>
      </c>
      <c r="B495" s="59">
        <f>VLOOKUP(Table13[[#This Row],[Date]],database!A:F,6,)</f>
        <v>97.9375</v>
      </c>
      <c r="C495" s="67">
        <f t="shared" si="7"/>
        <v>-2.0115167998336902E-3</v>
      </c>
      <c r="D495" s="67">
        <f>(Table13[[#This Row],[Index]]-B483)/B483</f>
        <v>1.9454868140961916E-2</v>
      </c>
    </row>
    <row r="496" spans="1:4" x14ac:dyDescent="0.2">
      <c r="A496" s="17">
        <v>41183</v>
      </c>
      <c r="B496" s="59">
        <f>VLOOKUP(Table13[[#This Row],[Date]],database!A:F,6,)</f>
        <v>97.784000000000006</v>
      </c>
      <c r="C496" s="67">
        <f t="shared" si="7"/>
        <v>-1.5673261008295469E-3</v>
      </c>
      <c r="D496" s="67">
        <f>(Table13[[#This Row],[Index]]-B484)/B484</f>
        <v>1.2392972139107776E-2</v>
      </c>
    </row>
    <row r="497" spans="1:4" x14ac:dyDescent="0.2">
      <c r="A497" s="17">
        <v>41214</v>
      </c>
      <c r="B497" s="59">
        <f>VLOOKUP(Table13[[#This Row],[Date]],database!A:F,6,)</f>
        <v>98.404399999999995</v>
      </c>
      <c r="C497" s="67">
        <f t="shared" si="7"/>
        <v>6.3445962529655731E-3</v>
      </c>
      <c r="D497" s="67">
        <f>(Table13[[#This Row],[Index]]-B485)/B485</f>
        <v>2.0571266188139627E-2</v>
      </c>
    </row>
    <row r="498" spans="1:4" x14ac:dyDescent="0.2">
      <c r="A498" s="17">
        <v>41244</v>
      </c>
      <c r="B498" s="59">
        <f>VLOOKUP(Table13[[#This Row],[Date]],database!A:F,6,)</f>
        <v>99.126900000000006</v>
      </c>
      <c r="C498" s="67">
        <f t="shared" si="7"/>
        <v>7.3421513672153882E-3</v>
      </c>
      <c r="D498" s="67">
        <f>(Table13[[#This Row],[Index]]-B486)/B486</f>
        <v>2.1697185580972601E-2</v>
      </c>
    </row>
    <row r="499" spans="1:4" x14ac:dyDescent="0.2">
      <c r="A499" s="17">
        <v>41275</v>
      </c>
      <c r="B499" s="59">
        <f>VLOOKUP(Table13[[#This Row],[Date]],database!A:F,6,)</f>
        <v>98.881600000000006</v>
      </c>
      <c r="C499" s="67">
        <f t="shared" si="7"/>
        <v>-2.4746057830922208E-3</v>
      </c>
      <c r="D499" s="67">
        <f>(Table13[[#This Row],[Index]]-B487)/B487</f>
        <v>9.7336421303729007E-3</v>
      </c>
    </row>
    <row r="500" spans="1:4" x14ac:dyDescent="0.2">
      <c r="A500" s="17">
        <v>41306</v>
      </c>
      <c r="B500" s="59">
        <f>VLOOKUP(Table13[[#This Row],[Date]],database!A:F,6,)</f>
        <v>99.366</v>
      </c>
      <c r="C500" s="67">
        <f t="shared" si="7"/>
        <v>4.8987880455009236E-3</v>
      </c>
      <c r="D500" s="67">
        <f>(Table13[[#This Row],[Index]]-B488)/B488</f>
        <v>1.0338670777189887E-2</v>
      </c>
    </row>
    <row r="501" spans="1:4" x14ac:dyDescent="0.2">
      <c r="A501" s="17">
        <v>41334</v>
      </c>
      <c r="B501" s="59">
        <f>VLOOKUP(Table13[[#This Row],[Date]],database!A:F,6,)</f>
        <v>99.3249</v>
      </c>
      <c r="C501" s="67">
        <f t="shared" si="7"/>
        <v>-4.136223657991156E-4</v>
      </c>
      <c r="D501" s="67">
        <f>(Table13[[#This Row],[Index]]-B489)/B489</f>
        <v>1.5338708951958841E-2</v>
      </c>
    </row>
    <row r="502" spans="1:4" x14ac:dyDescent="0.2">
      <c r="A502" s="17">
        <v>41365</v>
      </c>
      <c r="B502" s="59">
        <f>VLOOKUP(Table13[[#This Row],[Date]],database!A:F,6,)</f>
        <v>98.980500000000006</v>
      </c>
      <c r="C502" s="67">
        <f t="shared" si="7"/>
        <v>-3.4674084746120215E-3</v>
      </c>
      <c r="D502" s="67">
        <f>(Table13[[#This Row],[Index]]-B490)/B490</f>
        <v>6.2910665431769415E-3</v>
      </c>
    </row>
    <row r="503" spans="1:4" x14ac:dyDescent="0.2">
      <c r="A503" s="17">
        <v>41395</v>
      </c>
      <c r="B503" s="59">
        <f>VLOOKUP(Table13[[#This Row],[Date]],database!A:F,6,)</f>
        <v>99.280199999999994</v>
      </c>
      <c r="C503" s="67">
        <f t="shared" si="7"/>
        <v>3.0278691257368262E-3</v>
      </c>
      <c r="D503" s="67">
        <f>(Table13[[#This Row],[Index]]-B491)/B491</f>
        <v>1.2289586836183305E-2</v>
      </c>
    </row>
    <row r="504" spans="1:4" x14ac:dyDescent="0.2">
      <c r="A504" s="17">
        <v>41426</v>
      </c>
      <c r="B504" s="59">
        <f>VLOOKUP(Table13[[#This Row],[Date]],database!A:F,6,)</f>
        <v>99.443600000000004</v>
      </c>
      <c r="C504" s="67">
        <f t="shared" si="7"/>
        <v>1.6458468053046627E-3</v>
      </c>
      <c r="D504" s="67">
        <f>(Table13[[#This Row],[Index]]-B492)/B492</f>
        <v>1.0609799226826094E-2</v>
      </c>
    </row>
    <row r="505" spans="1:4" x14ac:dyDescent="0.2">
      <c r="A505" s="17">
        <v>41456</v>
      </c>
      <c r="B505" s="59">
        <f>VLOOKUP(Table13[[#This Row],[Date]],database!A:F,6,)</f>
        <v>98.598399999999998</v>
      </c>
      <c r="C505" s="67">
        <f t="shared" si="7"/>
        <v>-8.4992900498374047E-3</v>
      </c>
      <c r="D505" s="67">
        <f>(Table13[[#This Row],[Index]]-B493)/B493</f>
        <v>3.4132888269235908E-3</v>
      </c>
    </row>
    <row r="506" spans="1:4" x14ac:dyDescent="0.2">
      <c r="A506" s="17">
        <v>41487</v>
      </c>
      <c r="B506" s="59">
        <f>VLOOKUP(Table13[[#This Row],[Date]],database!A:F,6,)</f>
        <v>99.427899999999994</v>
      </c>
      <c r="C506" s="67">
        <f t="shared" si="7"/>
        <v>8.4129154225625058E-3</v>
      </c>
      <c r="D506" s="67">
        <f>(Table13[[#This Row],[Index]]-B494)/B494</f>
        <v>1.3175740740551957E-2</v>
      </c>
    </row>
    <row r="507" spans="1:4" x14ac:dyDescent="0.2">
      <c r="A507" s="17">
        <v>41518</v>
      </c>
      <c r="B507" s="59">
        <f>VLOOKUP(Table13[[#This Row],[Date]],database!A:F,6,)</f>
        <v>99.486099999999993</v>
      </c>
      <c r="C507" s="67">
        <f t="shared" si="7"/>
        <v>5.8534878037241889E-4</v>
      </c>
      <c r="D507" s="67">
        <f>(Table13[[#This Row],[Index]]-B495)/B495</f>
        <v>1.5812125079770194E-2</v>
      </c>
    </row>
    <row r="508" spans="1:4" x14ac:dyDescent="0.2">
      <c r="A508" s="17">
        <v>41548</v>
      </c>
      <c r="B508" s="59">
        <f>VLOOKUP(Table13[[#This Row],[Date]],database!A:F,6,)</f>
        <v>99.6678</v>
      </c>
      <c r="C508" s="67">
        <f t="shared" si="7"/>
        <v>1.8263857966087649E-3</v>
      </c>
      <c r="D508" s="67">
        <f>(Table13[[#This Row],[Index]]-B496)/B496</f>
        <v>1.9264910414791721E-2</v>
      </c>
    </row>
    <row r="509" spans="1:4" x14ac:dyDescent="0.2">
      <c r="A509" s="17">
        <v>41579</v>
      </c>
      <c r="B509" s="59">
        <f>VLOOKUP(Table13[[#This Row],[Date]],database!A:F,6,)</f>
        <v>99.672700000000006</v>
      </c>
      <c r="C509" s="67">
        <f t="shared" si="7"/>
        <v>4.9163320550826839E-5</v>
      </c>
      <c r="D509" s="67">
        <f>(Table13[[#This Row],[Index]]-B497)/B497</f>
        <v>1.2888651320469518E-2</v>
      </c>
    </row>
    <row r="510" spans="1:4" x14ac:dyDescent="0.2">
      <c r="A510" s="17">
        <v>41609</v>
      </c>
      <c r="B510" s="59">
        <f>VLOOKUP(Table13[[#This Row],[Date]],database!A:F,6,)</f>
        <v>99.506600000000006</v>
      </c>
      <c r="C510" s="67">
        <f t="shared" si="7"/>
        <v>-1.6664543049400571E-3</v>
      </c>
      <c r="D510" s="67">
        <f>(Table13[[#This Row],[Index]]-B498)/B498</f>
        <v>3.8304436030986511E-3</v>
      </c>
    </row>
    <row r="511" spans="1:4" x14ac:dyDescent="0.2">
      <c r="A511" s="17">
        <v>41640</v>
      </c>
      <c r="B511" s="59">
        <f>VLOOKUP(Table13[[#This Row],[Date]],database!A:F,6,)</f>
        <v>98.404600000000002</v>
      </c>
      <c r="C511" s="67">
        <f t="shared" si="7"/>
        <v>-1.1074642285034408E-2</v>
      </c>
      <c r="D511" s="67">
        <f>(Table13[[#This Row],[Index]]-B499)/B499</f>
        <v>-4.823951068752972E-3</v>
      </c>
    </row>
    <row r="512" spans="1:4" x14ac:dyDescent="0.2">
      <c r="A512" s="17">
        <v>41671</v>
      </c>
      <c r="B512" s="59">
        <f>VLOOKUP(Table13[[#This Row],[Date]],database!A:F,6,)</f>
        <v>99.352099999999993</v>
      </c>
      <c r="C512" s="67">
        <f t="shared" si="7"/>
        <v>9.6286149224731332E-3</v>
      </c>
      <c r="D512" s="67">
        <f>(Table13[[#This Row],[Index]]-B500)/B500</f>
        <v>-1.3988688283725505E-4</v>
      </c>
    </row>
    <row r="513" spans="1:4" x14ac:dyDescent="0.2">
      <c r="A513" s="17">
        <v>41699</v>
      </c>
      <c r="B513" s="59">
        <f>VLOOKUP(Table13[[#This Row],[Date]],database!A:F,6,)</f>
        <v>100.2411</v>
      </c>
      <c r="C513" s="67">
        <f t="shared" si="7"/>
        <v>8.9479739230475808E-3</v>
      </c>
      <c r="D513" s="67">
        <f>(Table13[[#This Row],[Index]]-B501)/B501</f>
        <v>9.2242730674785833E-3</v>
      </c>
    </row>
    <row r="514" spans="1:4" x14ac:dyDescent="0.2">
      <c r="A514" s="17">
        <v>41730</v>
      </c>
      <c r="B514" s="59">
        <f>VLOOKUP(Table13[[#This Row],[Date]],database!A:F,6,)</f>
        <v>100.2186</v>
      </c>
      <c r="C514" s="67">
        <f t="shared" si="7"/>
        <v>-2.2445882976152021E-4</v>
      </c>
      <c r="D514" s="67">
        <f>(Table13[[#This Row],[Index]]-B502)/B502</f>
        <v>1.2508524406322342E-2</v>
      </c>
    </row>
    <row r="515" spans="1:4" x14ac:dyDescent="0.2">
      <c r="A515" s="17">
        <v>41760</v>
      </c>
      <c r="B515" s="59">
        <f>VLOOKUP(Table13[[#This Row],[Date]],database!A:F,6,)</f>
        <v>100.5074</v>
      </c>
      <c r="C515" s="67">
        <f t="shared" si="7"/>
        <v>2.8817006024830505E-3</v>
      </c>
      <c r="D515" s="67">
        <f>(Table13[[#This Row],[Index]]-B503)/B503</f>
        <v>1.2360974292960838E-2</v>
      </c>
    </row>
    <row r="516" spans="1:4" x14ac:dyDescent="0.2">
      <c r="A516" s="17">
        <v>41791</v>
      </c>
      <c r="B516" s="59">
        <f>VLOOKUP(Table13[[#This Row],[Date]],database!A:F,6,)</f>
        <v>100.84099999999999</v>
      </c>
      <c r="C516" s="67">
        <f t="shared" si="7"/>
        <v>3.31915858931775E-3</v>
      </c>
      <c r="D516" s="67">
        <f>(Table13[[#This Row],[Index]]-B504)/B504</f>
        <v>1.4052186364934398E-2</v>
      </c>
    </row>
    <row r="517" spans="1:4" x14ac:dyDescent="0.2">
      <c r="A517" s="17">
        <v>41821</v>
      </c>
      <c r="B517" s="59">
        <f>VLOOKUP(Table13[[#This Row],[Date]],database!A:F,6,)</f>
        <v>101.39870000000001</v>
      </c>
      <c r="C517" s="67">
        <f t="shared" si="7"/>
        <v>5.5304885909501778E-3</v>
      </c>
      <c r="D517" s="67">
        <f>(Table13[[#This Row],[Index]]-B505)/B505</f>
        <v>2.8401069388549988E-2</v>
      </c>
    </row>
    <row r="518" spans="1:4" x14ac:dyDescent="0.2">
      <c r="A518" s="17">
        <v>41852</v>
      </c>
      <c r="B518" s="59">
        <f>VLOOKUP(Table13[[#This Row],[Date]],database!A:F,6,)</f>
        <v>100.8009</v>
      </c>
      <c r="C518" s="67">
        <f t="shared" si="7"/>
        <v>-5.8955390946827668E-3</v>
      </c>
      <c r="D518" s="67">
        <f>(Table13[[#This Row],[Index]]-B506)/B506</f>
        <v>1.3809001296416849E-2</v>
      </c>
    </row>
    <row r="519" spans="1:4" x14ac:dyDescent="0.2">
      <c r="A519" s="17">
        <v>41883</v>
      </c>
      <c r="B519" s="59">
        <f>VLOOKUP(Table13[[#This Row],[Date]],database!A:F,6,)</f>
        <v>100.87220000000001</v>
      </c>
      <c r="C519" s="67">
        <f t="shared" si="7"/>
        <v>7.0733495435071347E-4</v>
      </c>
      <c r="D519" s="67">
        <f>(Table13[[#This Row],[Index]]-B507)/B507</f>
        <v>1.3932599629496114E-2</v>
      </c>
    </row>
    <row r="520" spans="1:4" x14ac:dyDescent="0.2">
      <c r="A520" s="17">
        <v>41913</v>
      </c>
      <c r="B520" s="59">
        <f>VLOOKUP(Table13[[#This Row],[Date]],database!A:F,6,)</f>
        <v>100.7754</v>
      </c>
      <c r="C520" s="67">
        <f t="shared" ref="C520:C583" si="8">B520/B519-1</f>
        <v>-9.5963010621358258E-4</v>
      </c>
      <c r="D520" s="67">
        <f>(Table13[[#This Row],[Index]]-B508)/B508</f>
        <v>1.1112917110641602E-2</v>
      </c>
    </row>
    <row r="521" spans="1:4" x14ac:dyDescent="0.2">
      <c r="A521" s="17">
        <v>41944</v>
      </c>
      <c r="B521" s="59">
        <f>VLOOKUP(Table13[[#This Row],[Date]],database!A:F,6,)</f>
        <v>101.4676</v>
      </c>
      <c r="C521" s="68">
        <f t="shared" si="8"/>
        <v>6.868739791655587E-3</v>
      </c>
      <c r="D521" s="67">
        <f>(Table13[[#This Row],[Index]]-B509)/B509</f>
        <v>1.8007939987579331E-2</v>
      </c>
    </row>
    <row r="522" spans="1:4" x14ac:dyDescent="0.2">
      <c r="A522" s="17">
        <v>41974</v>
      </c>
      <c r="B522" s="59">
        <f>VLOOKUP(Table13[[#This Row],[Date]],database!A:F,6,)</f>
        <v>101.2936</v>
      </c>
      <c r="C522" s="67">
        <f t="shared" si="8"/>
        <v>-1.7148331092881053E-3</v>
      </c>
      <c r="D522" s="67">
        <f>(Table13[[#This Row],[Index]]-B510)/B510</f>
        <v>1.7958607770740754E-2</v>
      </c>
    </row>
    <row r="523" spans="1:4" x14ac:dyDescent="0.2">
      <c r="A523" s="17">
        <v>42005</v>
      </c>
      <c r="B523" s="59">
        <f>VLOOKUP(Table13[[#This Row],[Date]],database!A:F,6,)</f>
        <v>100.708</v>
      </c>
      <c r="C523" s="68">
        <f t="shared" si="8"/>
        <v>-5.7812142129414212E-3</v>
      </c>
      <c r="D523" s="67">
        <f>(Table13[[#This Row],[Index]]-B511)/B511</f>
        <v>2.3407442335012758E-2</v>
      </c>
    </row>
    <row r="524" spans="1:4" x14ac:dyDescent="0.2">
      <c r="A524" s="17">
        <v>42036</v>
      </c>
      <c r="B524" s="59">
        <f>VLOOKUP(Table13[[#This Row],[Date]],database!A:F,6,)</f>
        <v>99.965500000000006</v>
      </c>
      <c r="C524" s="67">
        <f t="shared" si="8"/>
        <v>-7.3728005719505552E-3</v>
      </c>
      <c r="D524" s="67">
        <f>(Table13[[#This Row],[Index]]-B512)/B512</f>
        <v>6.1740013547777334E-3</v>
      </c>
    </row>
    <row r="525" spans="1:4" x14ac:dyDescent="0.2">
      <c r="A525" s="17">
        <v>42064</v>
      </c>
      <c r="B525" s="59">
        <f>VLOOKUP(Table13[[#This Row],[Date]],database!A:F,6,)</f>
        <v>100.28060000000001</v>
      </c>
      <c r="C525" s="68">
        <f t="shared" si="8"/>
        <v>3.1520874701771451E-3</v>
      </c>
      <c r="D525" s="67">
        <f>(Table13[[#This Row],[Index]]-B513)/B513</f>
        <v>3.9404994558124226E-4</v>
      </c>
    </row>
    <row r="526" spans="1:4" x14ac:dyDescent="0.2">
      <c r="A526" s="17">
        <v>42095</v>
      </c>
      <c r="B526" s="59">
        <f>VLOOKUP(Table13[[#This Row],[Date]],database!A:F,6,)</f>
        <v>100.24550000000001</v>
      </c>
      <c r="C526" s="67">
        <f t="shared" si="8"/>
        <v>-3.5001784991317564E-4</v>
      </c>
      <c r="D526" s="67">
        <f>(Table13[[#This Row],[Index]]-B514)/B514</f>
        <v>2.6841324863859518E-4</v>
      </c>
    </row>
    <row r="527" spans="1:4" x14ac:dyDescent="0.2">
      <c r="A527" s="17">
        <v>42125</v>
      </c>
      <c r="B527" s="59">
        <f>VLOOKUP(Table13[[#This Row],[Date]],database!A:F,6,)</f>
        <v>100.2375</v>
      </c>
      <c r="C527" s="67">
        <f t="shared" si="8"/>
        <v>-7.9804080981293879E-5</v>
      </c>
      <c r="D527" s="67">
        <f>(Table13[[#This Row],[Index]]-B515)/B515</f>
        <v>-2.6853744102424987E-3</v>
      </c>
    </row>
    <row r="528" spans="1:4" x14ac:dyDescent="0.2">
      <c r="A528" s="17">
        <v>42156</v>
      </c>
      <c r="B528" s="59">
        <f>VLOOKUP(Table13[[#This Row],[Date]],database!A:F,6,)</f>
        <v>99.855099999999993</v>
      </c>
      <c r="C528" s="67">
        <f t="shared" si="8"/>
        <v>-3.8149395186433122E-3</v>
      </c>
      <c r="D528" s="67">
        <f>(Table13[[#This Row],[Index]]-B516)/B516</f>
        <v>-9.7767773028827661E-3</v>
      </c>
    </row>
    <row r="529" spans="1:4" x14ac:dyDescent="0.2">
      <c r="A529" s="17">
        <v>42186</v>
      </c>
      <c r="B529" s="59">
        <f>VLOOKUP(Table13[[#This Row],[Date]],database!A:F,6,)</f>
        <v>100.5954</v>
      </c>
      <c r="C529" s="67">
        <f t="shared" si="8"/>
        <v>7.4137425129012779E-3</v>
      </c>
      <c r="D529" s="67">
        <f>(Table13[[#This Row],[Index]]-B517)/B517</f>
        <v>-7.9221922963510095E-3</v>
      </c>
    </row>
    <row r="530" spans="1:4" x14ac:dyDescent="0.2">
      <c r="A530" s="17">
        <v>42217</v>
      </c>
      <c r="B530" s="59">
        <f>VLOOKUP(Table13[[#This Row],[Date]],database!A:F,6,)</f>
        <v>100.23399999999999</v>
      </c>
      <c r="C530" s="67">
        <f t="shared" si="8"/>
        <v>-3.5926096024271326E-3</v>
      </c>
      <c r="D530" s="67">
        <f>(Table13[[#This Row],[Index]]-B518)/B518</f>
        <v>-5.6239577225997385E-3</v>
      </c>
    </row>
    <row r="531" spans="1:4" x14ac:dyDescent="0.2">
      <c r="A531" s="17">
        <v>42248</v>
      </c>
      <c r="B531" s="59">
        <f>VLOOKUP(Table13[[#This Row],[Date]],database!A:F,6,)</f>
        <v>100.0236</v>
      </c>
      <c r="C531" s="67">
        <f t="shared" si="8"/>
        <v>-2.0990881337669132E-3</v>
      </c>
      <c r="D531" s="67">
        <f>(Table13[[#This Row],[Index]]-B519)/B519</f>
        <v>-8.412625084017248E-3</v>
      </c>
    </row>
    <row r="532" spans="1:4" x14ac:dyDescent="0.2">
      <c r="A532" s="17">
        <v>42278</v>
      </c>
      <c r="B532" s="59">
        <f>VLOOKUP(Table13[[#This Row],[Date]],database!A:F,6,)</f>
        <v>99.892799999999994</v>
      </c>
      <c r="C532" s="67">
        <f t="shared" si="8"/>
        <v>-1.3076913848332206E-3</v>
      </c>
      <c r="D532" s="67">
        <f>(Table13[[#This Row],[Index]]-B520)/B520</f>
        <v>-8.7580897719087263E-3</v>
      </c>
    </row>
    <row r="533" spans="1:4" x14ac:dyDescent="0.2">
      <c r="A533" s="17">
        <v>42309</v>
      </c>
      <c r="B533" s="59">
        <f>VLOOKUP(Table13[[#This Row],[Date]],database!A:F,6,)</f>
        <v>99.578000000000003</v>
      </c>
      <c r="C533" s="67">
        <f t="shared" si="8"/>
        <v>-3.1513782775134391E-3</v>
      </c>
      <c r="D533" s="67">
        <f>(Table13[[#This Row],[Index]]-B521)/B521</f>
        <v>-1.8622693352360768E-2</v>
      </c>
    </row>
    <row r="534" spans="1:4" x14ac:dyDescent="0.2">
      <c r="A534" s="17">
        <v>42339</v>
      </c>
      <c r="B534" s="59">
        <f>VLOOKUP(Table13[[#This Row],[Date]],database!A:F,6,)</f>
        <v>99.299499999999995</v>
      </c>
      <c r="C534" s="67">
        <f t="shared" si="8"/>
        <v>-2.7968025065778779E-3</v>
      </c>
      <c r="D534" s="67">
        <f>(Table13[[#This Row],[Index]]-B522)/B522</f>
        <v>-1.9686337537613462E-2</v>
      </c>
    </row>
    <row r="535" spans="1:4" x14ac:dyDescent="0.2">
      <c r="A535" s="17">
        <v>42370</v>
      </c>
      <c r="B535" s="59">
        <f>VLOOKUP(Table13[[#This Row],[Date]],database!A:F,6,)</f>
        <v>99.750200000000007</v>
      </c>
      <c r="C535" s="67">
        <f t="shared" si="8"/>
        <v>4.5387942537475912E-3</v>
      </c>
      <c r="D535" s="67">
        <f>(Table13[[#This Row],[Index]]-B523)/B523</f>
        <v>-9.5106644953726789E-3</v>
      </c>
    </row>
    <row r="536" spans="1:4" x14ac:dyDescent="0.2">
      <c r="A536" s="17">
        <v>42401</v>
      </c>
      <c r="B536" s="59">
        <f>VLOOKUP(Table13[[#This Row],[Date]],database!A:F,6,)</f>
        <v>99.426500000000004</v>
      </c>
      <c r="C536" s="67">
        <f t="shared" si="8"/>
        <v>-3.2451062754761395E-3</v>
      </c>
      <c r="D536" s="67">
        <f>(Table13[[#This Row],[Index]]-B524)/B524</f>
        <v>-5.3918601917661742E-3</v>
      </c>
    </row>
    <row r="537" spans="1:4" x14ac:dyDescent="0.2">
      <c r="A537" s="17">
        <v>42430</v>
      </c>
      <c r="B537" s="59">
        <f>VLOOKUP(Table13[[#This Row],[Date]],database!A:F,6,)</f>
        <v>99.360100000000003</v>
      </c>
      <c r="C537" s="67">
        <f t="shared" si="8"/>
        <v>-6.6783000507919521E-4</v>
      </c>
      <c r="D537" s="67">
        <f>(Table13[[#This Row],[Index]]-B525)/B525</f>
        <v>-9.1792430440185251E-3</v>
      </c>
    </row>
    <row r="538" spans="1:4" x14ac:dyDescent="0.2">
      <c r="A538" s="17">
        <v>42461</v>
      </c>
      <c r="B538" s="59">
        <f>VLOOKUP(Table13[[#This Row],[Date]],database!A:F,6,)</f>
        <v>99.195999999999998</v>
      </c>
      <c r="C538" s="67">
        <f t="shared" si="8"/>
        <v>-1.6515683861026975E-3</v>
      </c>
      <c r="D538" s="67">
        <f>(Table13[[#This Row],[Index]]-B526)/B526</f>
        <v>-1.0469297873720106E-2</v>
      </c>
    </row>
    <row r="539" spans="1:4" x14ac:dyDescent="0.2">
      <c r="A539" s="17">
        <v>42491</v>
      </c>
      <c r="B539" s="59">
        <f>VLOOKUP(Table13[[#This Row],[Date]],database!A:F,6,)</f>
        <v>99.114999999999995</v>
      </c>
      <c r="C539" s="67">
        <f t="shared" si="8"/>
        <v>-8.1656518408002032E-4</v>
      </c>
      <c r="D539" s="67">
        <f>(Table13[[#This Row],[Index]]-B527)/B527</f>
        <v>-1.1198403790996406E-2</v>
      </c>
    </row>
    <row r="540" spans="1:4" x14ac:dyDescent="0.2">
      <c r="A540" s="17">
        <v>42522</v>
      </c>
      <c r="B540" s="59">
        <f>VLOOKUP(Table13[[#This Row],[Date]],database!A:F,6,)</f>
        <v>99.361400000000003</v>
      </c>
      <c r="C540" s="67">
        <f t="shared" si="8"/>
        <v>2.4860011098220003E-3</v>
      </c>
      <c r="D540" s="67">
        <f>(Table13[[#This Row],[Index]]-B528)/B528</f>
        <v>-4.9441640937717734E-3</v>
      </c>
    </row>
    <row r="541" spans="1:4" x14ac:dyDescent="0.2">
      <c r="A541" s="17">
        <v>42552</v>
      </c>
      <c r="B541" s="59">
        <f>VLOOKUP(Table13[[#This Row],[Date]],database!A:F,6,)</f>
        <v>99.448700000000002</v>
      </c>
      <c r="C541" s="67">
        <f t="shared" si="8"/>
        <v>8.7861080862383645E-4</v>
      </c>
      <c r="D541" s="67">
        <f>(Table13[[#This Row],[Index]]-B529)/B529</f>
        <v>-1.1399129582465955E-2</v>
      </c>
    </row>
    <row r="542" spans="1:4" x14ac:dyDescent="0.2">
      <c r="A542" s="17">
        <v>42583</v>
      </c>
      <c r="B542" s="59">
        <f>VLOOKUP(Table13[[#This Row],[Date]],database!A:F,6,)</f>
        <v>99.092200000000005</v>
      </c>
      <c r="C542" s="67">
        <f t="shared" si="8"/>
        <v>-3.5847627973014662E-3</v>
      </c>
      <c r="D542" s="67">
        <f>(Table13[[#This Row],[Index]]-B530)/B530</f>
        <v>-1.1391344254444493E-2</v>
      </c>
    </row>
    <row r="543" spans="1:4" x14ac:dyDescent="0.2">
      <c r="A543" s="17">
        <v>42614</v>
      </c>
      <c r="B543" s="59">
        <f>VLOOKUP(Table13[[#This Row],[Date]],database!A:F,6,)</f>
        <v>99.29</v>
      </c>
      <c r="C543" s="67">
        <f t="shared" si="8"/>
        <v>1.9961207844816364E-3</v>
      </c>
      <c r="D543" s="67">
        <f>(Table13[[#This Row],[Index]]-B531)/B531</f>
        <v>-7.3342691124894084E-3</v>
      </c>
    </row>
    <row r="544" spans="1:4" x14ac:dyDescent="0.2">
      <c r="A544" s="17">
        <v>42644</v>
      </c>
      <c r="B544" s="59">
        <f>VLOOKUP(Table13[[#This Row],[Date]],database!A:F,6,)</f>
        <v>99.440200000000004</v>
      </c>
      <c r="C544" s="67">
        <f t="shared" si="8"/>
        <v>1.5127404572463643E-3</v>
      </c>
      <c r="D544" s="67">
        <f>(Table13[[#This Row],[Index]]-B532)/B532</f>
        <v>-4.5308570787883579E-3</v>
      </c>
    </row>
    <row r="545" spans="1:4" x14ac:dyDescent="0.2">
      <c r="A545" s="17">
        <v>42675</v>
      </c>
      <c r="B545" s="59">
        <f>VLOOKUP(Table13[[#This Row],[Date]],database!A:F,6,)</f>
        <v>99.331999999999994</v>
      </c>
      <c r="C545" s="67">
        <f t="shared" si="8"/>
        <v>-1.088091134169189E-3</v>
      </c>
      <c r="D545" s="67">
        <f>(Table13[[#This Row],[Index]]-B533)/B533</f>
        <v>-2.4704251943201243E-3</v>
      </c>
    </row>
    <row r="546" spans="1:4" x14ac:dyDescent="0.2">
      <c r="A546" s="17">
        <v>42705</v>
      </c>
      <c r="B546" s="59">
        <f>VLOOKUP(Table13[[#This Row],[Date]],database!A:F,6,)</f>
        <v>99.291200000000003</v>
      </c>
      <c r="C546" s="67">
        <f t="shared" si="8"/>
        <v>-4.1074376837257898E-4</v>
      </c>
      <c r="D546" s="67">
        <f>(Table13[[#This Row],[Index]]-B534)/B534</f>
        <v>-8.3585516543298959E-5</v>
      </c>
    </row>
    <row r="547" spans="1:4" x14ac:dyDescent="0.2">
      <c r="A547" s="17">
        <v>42736</v>
      </c>
      <c r="B547" s="59">
        <f>VLOOKUP(Table13[[#This Row],[Date]],database!A:F,6,)</f>
        <v>99.516000000000005</v>
      </c>
      <c r="C547" s="67">
        <f t="shared" si="8"/>
        <v>2.2640475691702022E-3</v>
      </c>
      <c r="D547" s="67">
        <f>(Table13[[#This Row],[Index]]-B535)/B535</f>
        <v>-2.3478649666867964E-3</v>
      </c>
    </row>
    <row r="548" spans="1:4" x14ac:dyDescent="0.2">
      <c r="A548" s="17">
        <v>42767</v>
      </c>
      <c r="B548" s="59">
        <f>VLOOKUP(Table13[[#This Row],[Date]],database!A:F,6,)</f>
        <v>99.500600000000006</v>
      </c>
      <c r="C548" s="67">
        <f t="shared" si="8"/>
        <v>-1.5474898508782697E-4</v>
      </c>
      <c r="D548" s="67">
        <f>(Table13[[#This Row],[Index]]-B536)/B536</f>
        <v>7.4527414723440314E-4</v>
      </c>
    </row>
    <row r="549" spans="1:4" x14ac:dyDescent="0.2">
      <c r="A549" s="17">
        <v>42795</v>
      </c>
      <c r="B549" s="59">
        <f>VLOOKUP(Table13[[#This Row],[Date]],database!A:F,6,)</f>
        <v>99.212800000000001</v>
      </c>
      <c r="C549" s="67">
        <f t="shared" si="8"/>
        <v>-2.8924448696792115E-3</v>
      </c>
      <c r="D549" s="67">
        <f>(Table13[[#This Row],[Index]]-B537)/B537</f>
        <v>-1.4824864306698696E-3</v>
      </c>
    </row>
    <row r="550" spans="1:4" x14ac:dyDescent="0.2">
      <c r="A550" s="17">
        <v>42826</v>
      </c>
      <c r="B550" s="59">
        <f>VLOOKUP(Table13[[#This Row],[Date]],database!A:F,6,)</f>
        <v>100.3682</v>
      </c>
      <c r="C550" s="67">
        <f t="shared" si="8"/>
        <v>1.1645674751644908E-2</v>
      </c>
      <c r="D550" s="67">
        <f>(Table13[[#This Row],[Index]]-B538)/B538</f>
        <v>1.1817008750352874E-2</v>
      </c>
    </row>
    <row r="551" spans="1:4" x14ac:dyDescent="0.2">
      <c r="A551" s="17">
        <v>42856</v>
      </c>
      <c r="B551" s="59">
        <f>VLOOKUP(Table13[[#This Row],[Date]],database!A:F,6,)</f>
        <v>100.15519999999999</v>
      </c>
      <c r="C551" s="67">
        <f t="shared" si="8"/>
        <v>-2.1221861107403317E-3</v>
      </c>
      <c r="D551" s="67">
        <f>(Table13[[#This Row],[Index]]-B539)/B539</f>
        <v>1.0494879685214132E-2</v>
      </c>
    </row>
    <row r="552" spans="1:4" x14ac:dyDescent="0.2">
      <c r="A552" s="17">
        <v>42887</v>
      </c>
      <c r="B552" s="59">
        <f>VLOOKUP(Table13[[#This Row],[Date]],database!A:F,6,)</f>
        <v>100.1335</v>
      </c>
      <c r="C552" s="67">
        <f t="shared" si="8"/>
        <v>-2.1666373787876392E-4</v>
      </c>
      <c r="D552" s="67">
        <f>(Table13[[#This Row],[Index]]-B540)/B540</f>
        <v>7.770623199753573E-3</v>
      </c>
    </row>
    <row r="553" spans="1:4" x14ac:dyDescent="0.2">
      <c r="A553" s="17">
        <v>42917</v>
      </c>
      <c r="B553" s="59">
        <f>VLOOKUP(Table13[[#This Row],[Date]],database!A:F,6,)</f>
        <v>99.833100000000002</v>
      </c>
      <c r="C553" s="67">
        <f t="shared" si="8"/>
        <v>-2.9999950066660341E-3</v>
      </c>
      <c r="D553" s="67">
        <f>(Table13[[#This Row],[Index]]-B541)/B541</f>
        <v>3.8653094510033756E-3</v>
      </c>
    </row>
    <row r="554" spans="1:4" x14ac:dyDescent="0.2">
      <c r="A554" s="17">
        <v>42948</v>
      </c>
      <c r="B554" s="59">
        <f>VLOOKUP(Table13[[#This Row],[Date]],database!A:F,6,)</f>
        <v>99.616600000000005</v>
      </c>
      <c r="C554" s="67">
        <f t="shared" si="8"/>
        <v>-2.168619425821694E-3</v>
      </c>
      <c r="D554" s="67">
        <f>(Table13[[#This Row],[Index]]-B542)/B542</f>
        <v>5.2920411495556655E-3</v>
      </c>
    </row>
    <row r="555" spans="1:4" x14ac:dyDescent="0.2">
      <c r="A555" s="17">
        <v>42979</v>
      </c>
      <c r="B555" s="59">
        <f>VLOOKUP(Table13[[#This Row],[Date]],database!A:F,6,)</f>
        <v>99.658199999999994</v>
      </c>
      <c r="C555" s="67">
        <f t="shared" si="8"/>
        <v>4.176010825502896E-4</v>
      </c>
      <c r="D555" s="67">
        <f>(Table13[[#This Row],[Index]]-B543)/B543</f>
        <v>3.7083291368716627E-3</v>
      </c>
    </row>
    <row r="556" spans="1:4" x14ac:dyDescent="0.2">
      <c r="A556" s="17">
        <v>43009</v>
      </c>
      <c r="B556" s="59">
        <f>VLOOKUP(Table13[[#This Row],[Date]],database!A:F,6,)</f>
        <v>100.7491</v>
      </c>
      <c r="C556" s="67">
        <f t="shared" si="8"/>
        <v>1.0946414845943497E-2</v>
      </c>
      <c r="D556" s="67">
        <f>(Table13[[#This Row],[Index]]-B544)/B544</f>
        <v>1.3162684709000928E-2</v>
      </c>
    </row>
    <row r="557" spans="1:4" x14ac:dyDescent="0.2">
      <c r="A557" s="17">
        <v>43040</v>
      </c>
      <c r="B557" s="59">
        <f>VLOOKUP(Table13[[#This Row],[Date]],database!A:F,6,)</f>
        <v>100.77889999999999</v>
      </c>
      <c r="C557" s="67">
        <f t="shared" si="8"/>
        <v>2.957842799586885E-4</v>
      </c>
      <c r="D557" s="67">
        <f>(Table13[[#This Row],[Index]]-B545)/B545</f>
        <v>1.4566302903394671E-2</v>
      </c>
    </row>
    <row r="558" spans="1:4" x14ac:dyDescent="0.2">
      <c r="A558" s="17">
        <v>43070</v>
      </c>
      <c r="B558" s="59">
        <f>VLOOKUP(Table13[[#This Row],[Date]],database!A:F,6,)</f>
        <v>100.4778</v>
      </c>
      <c r="C558" s="67">
        <f t="shared" si="8"/>
        <v>-2.9877285820741895E-3</v>
      </c>
      <c r="D558" s="67">
        <f>(Table13[[#This Row],[Index]]-B546)/B546</f>
        <v>1.1950706608440612E-2</v>
      </c>
    </row>
    <row r="559" spans="1:4" x14ac:dyDescent="0.2">
      <c r="A559" s="17">
        <v>43101</v>
      </c>
      <c r="B559" s="59">
        <f>VLOOKUP(Table13[[#This Row],[Date]],database!A:F,6,)</f>
        <v>100.08929999999999</v>
      </c>
      <c r="C559" s="67">
        <f t="shared" si="8"/>
        <v>-3.8665257400143371E-3</v>
      </c>
      <c r="D559" s="67">
        <f>(Table13[[#This Row],[Index]]-B547)/B547</f>
        <v>5.7608826721330135E-3</v>
      </c>
    </row>
    <row r="560" spans="1:4" x14ac:dyDescent="0.2">
      <c r="A560" s="17">
        <v>43132</v>
      </c>
      <c r="B560" s="59">
        <f>VLOOKUP(Table13[[#This Row],[Date]],database!A:F,6,)</f>
        <v>101.1146</v>
      </c>
      <c r="C560" s="67">
        <f t="shared" si="8"/>
        <v>1.0243852239949724E-2</v>
      </c>
      <c r="D560" s="67">
        <f>(Table13[[#This Row],[Index]]-B548)/B548</f>
        <v>1.6221007712516205E-2</v>
      </c>
    </row>
    <row r="561" spans="1:4" x14ac:dyDescent="0.2">
      <c r="A561" s="17">
        <v>43160</v>
      </c>
      <c r="B561" s="59">
        <f>VLOOKUP(Table13[[#This Row],[Date]],database!A:F,6,)</f>
        <v>101.205</v>
      </c>
      <c r="C561" s="67">
        <f t="shared" si="8"/>
        <v>8.9403508494334538E-4</v>
      </c>
      <c r="D561" s="67">
        <f>(Table13[[#This Row],[Index]]-B549)/B549</f>
        <v>2.0080070313507902E-2</v>
      </c>
    </row>
    <row r="562" spans="1:4" x14ac:dyDescent="0.2">
      <c r="A562" s="17">
        <v>43191</v>
      </c>
      <c r="B562" s="59">
        <f>VLOOKUP(Table13[[#This Row],[Date]],database!A:F,6,)</f>
        <v>101.9431</v>
      </c>
      <c r="C562" s="67">
        <f t="shared" si="8"/>
        <v>7.2931179289561499E-3</v>
      </c>
      <c r="D562" s="67">
        <f>(Table13[[#This Row],[Index]]-B550)/B550</f>
        <v>1.5691224909881809E-2</v>
      </c>
    </row>
    <row r="563" spans="1:4" x14ac:dyDescent="0.2">
      <c r="A563" s="17">
        <v>43221</v>
      </c>
      <c r="B563" s="59">
        <f>VLOOKUP(Table13[[#This Row],[Date]],database!A:F,6,)</f>
        <v>101.0712</v>
      </c>
      <c r="C563" s="67">
        <f t="shared" si="8"/>
        <v>-8.5528103422398694E-3</v>
      </c>
      <c r="D563" s="67">
        <f>(Table13[[#This Row],[Index]]-B551)/B551</f>
        <v>9.1458057095389067E-3</v>
      </c>
    </row>
    <row r="564" spans="1:4" x14ac:dyDescent="0.2">
      <c r="A564" s="17">
        <v>43252</v>
      </c>
      <c r="B564" s="59">
        <f>VLOOKUP(Table13[[#This Row],[Date]],database!A:F,6,)</f>
        <v>101.73390000000001</v>
      </c>
      <c r="C564" s="67">
        <f t="shared" si="8"/>
        <v>6.5567639446251214E-3</v>
      </c>
      <c r="D564" s="67">
        <f>(Table13[[#This Row],[Index]]-B552)/B552</f>
        <v>1.5982663144701901E-2</v>
      </c>
    </row>
    <row r="565" spans="1:4" x14ac:dyDescent="0.2">
      <c r="A565" s="17">
        <v>43282</v>
      </c>
      <c r="B565" s="59">
        <f>VLOOKUP(Table13[[#This Row],[Date]],database!A:F,6,)</f>
        <v>101.8353</v>
      </c>
      <c r="C565" s="67">
        <f t="shared" si="8"/>
        <v>9.9671790818978145E-4</v>
      </c>
      <c r="D565" s="67">
        <f>(Table13[[#This Row],[Index]]-B553)/B553</f>
        <v>2.0055472583742285E-2</v>
      </c>
    </row>
    <row r="566" spans="1:4" x14ac:dyDescent="0.2">
      <c r="A566" s="17">
        <v>43313</v>
      </c>
      <c r="B566" s="59">
        <f>VLOOKUP(Table13[[#This Row],[Date]],database!A:F,6,)</f>
        <v>102.1497</v>
      </c>
      <c r="C566" s="67">
        <f t="shared" si="8"/>
        <v>3.0873380841416331E-3</v>
      </c>
      <c r="D566" s="67">
        <f>(Table13[[#This Row],[Index]]-B554)/B554</f>
        <v>2.542849284155442E-2</v>
      </c>
    </row>
    <row r="567" spans="1:4" x14ac:dyDescent="0.2">
      <c r="A567" s="17">
        <v>43344</v>
      </c>
      <c r="B567" s="59">
        <f>VLOOKUP(Table13[[#This Row],[Date]],database!A:F,6,)</f>
        <v>102.11150000000001</v>
      </c>
      <c r="C567" s="67">
        <f t="shared" si="8"/>
        <v>-3.7396096121666833E-4</v>
      </c>
      <c r="D567" s="67">
        <f>(Table13[[#This Row],[Index]]-B555)/B555</f>
        <v>2.4617141389268651E-2</v>
      </c>
    </row>
    <row r="568" spans="1:4" x14ac:dyDescent="0.2">
      <c r="A568" s="17">
        <v>43374</v>
      </c>
      <c r="B568" s="59">
        <f>VLOOKUP(Table13[[#This Row],[Date]],database!A:F,6,)</f>
        <v>101.7088</v>
      </c>
      <c r="C568" s="67">
        <f t="shared" si="8"/>
        <v>-3.9437281794901802E-3</v>
      </c>
      <c r="D568" s="67">
        <f>(Table13[[#This Row],[Index]]-B556)/B556</f>
        <v>9.5256434052512426E-3</v>
      </c>
    </row>
    <row r="569" spans="1:4" x14ac:dyDescent="0.2">
      <c r="A569" s="17">
        <v>43405</v>
      </c>
      <c r="B569" s="59">
        <f>VLOOKUP(Table13[[#This Row],[Date]],database!A:F,6,)</f>
        <v>101.2783</v>
      </c>
      <c r="C569" s="67">
        <f t="shared" si="8"/>
        <v>-4.2326720991693323E-3</v>
      </c>
      <c r="D569" s="67">
        <f>(Table13[[#This Row],[Index]]-B557)/B557</f>
        <v>4.9554023709328888E-3</v>
      </c>
    </row>
    <row r="570" spans="1:4" x14ac:dyDescent="0.2">
      <c r="A570" s="17">
        <v>43435</v>
      </c>
      <c r="B570" s="59">
        <f>VLOOKUP(Table13[[#This Row],[Date]],database!A:F,6,)</f>
        <v>101.44450000000001</v>
      </c>
      <c r="C570" s="67">
        <f t="shared" si="8"/>
        <v>1.64102280547751E-3</v>
      </c>
      <c r="D570" s="67">
        <f>(Table13[[#This Row],[Index]]-B558)/B558</f>
        <v>9.6210307152426004E-3</v>
      </c>
    </row>
    <row r="571" spans="1:4" x14ac:dyDescent="0.2">
      <c r="A571" s="17">
        <v>43466</v>
      </c>
      <c r="B571" s="59">
        <f>VLOOKUP(Table13[[#This Row],[Date]],database!A:F,6,)</f>
        <v>100.6521</v>
      </c>
      <c r="C571" s="67">
        <f t="shared" si="8"/>
        <v>-7.8111676828216403E-3</v>
      </c>
      <c r="D571" s="67">
        <f>(Table13[[#This Row],[Index]]-B559)/B559</f>
        <v>5.6229786800388254E-3</v>
      </c>
    </row>
    <row r="572" spans="1:4" x14ac:dyDescent="0.2">
      <c r="A572" s="17">
        <v>43497</v>
      </c>
      <c r="B572" s="59">
        <f>VLOOKUP(Table13[[#This Row],[Date]],database!A:F,6,)</f>
        <v>100.2042</v>
      </c>
      <c r="C572" s="67">
        <f t="shared" si="8"/>
        <v>-4.4499816695330319E-3</v>
      </c>
      <c r="D572" s="67">
        <f>(Table13[[#This Row],[Index]]-B560)/B560</f>
        <v>-9.0036453687202013E-3</v>
      </c>
    </row>
    <row r="573" spans="1:4" x14ac:dyDescent="0.2">
      <c r="A573" s="17">
        <v>43525</v>
      </c>
      <c r="B573" s="59">
        <f>VLOOKUP(Table13[[#This Row],[Date]],database!A:F,6,)</f>
        <v>100.1091</v>
      </c>
      <c r="C573" s="67">
        <f t="shared" si="8"/>
        <v>-9.49062015364599E-4</v>
      </c>
      <c r="D573" s="67">
        <f>(Table13[[#This Row],[Index]]-B561)/B561</f>
        <v>-1.0828516377649328E-2</v>
      </c>
    </row>
    <row r="574" spans="1:4" x14ac:dyDescent="0.2">
      <c r="A574" s="17">
        <v>43556</v>
      </c>
      <c r="B574" s="59">
        <f>VLOOKUP(Table13[[#This Row],[Date]],database!A:F,6,)</f>
        <v>99.486599999999996</v>
      </c>
      <c r="C574" s="67">
        <f t="shared" si="8"/>
        <v>-6.218215926424242E-3</v>
      </c>
      <c r="D574" s="67">
        <f>(Table13[[#This Row],[Index]]-B562)/B562</f>
        <v>-2.4096775554206272E-2</v>
      </c>
    </row>
    <row r="575" spans="1:4" x14ac:dyDescent="0.2">
      <c r="A575" s="17">
        <v>43586</v>
      </c>
      <c r="B575" s="59">
        <f>VLOOKUP(Table13[[#This Row],[Date]],database!A:F,6,)</f>
        <v>99.550899999999999</v>
      </c>
      <c r="C575" s="67">
        <f t="shared" si="8"/>
        <v>6.4631819762661635E-4</v>
      </c>
      <c r="D575" s="67">
        <f>(Table13[[#This Row],[Index]]-B563)/B563</f>
        <v>-1.5041871472783601E-2</v>
      </c>
    </row>
    <row r="576" spans="1:4" x14ac:dyDescent="0.2">
      <c r="A576" s="17">
        <v>43617</v>
      </c>
      <c r="B576" s="59">
        <f>VLOOKUP(Table13[[#This Row],[Date]],database!A:F,6,)</f>
        <v>99.851699999999994</v>
      </c>
      <c r="C576" s="67">
        <f t="shared" si="8"/>
        <v>3.0215698702873439E-3</v>
      </c>
      <c r="D576" s="67">
        <f>(Table13[[#This Row],[Index]]-B564)/B564</f>
        <v>-1.8501207562081189E-2</v>
      </c>
    </row>
    <row r="577" spans="1:4" x14ac:dyDescent="0.2">
      <c r="A577" s="17">
        <v>43647</v>
      </c>
      <c r="B577" s="59">
        <f>VLOOKUP(Table13[[#This Row],[Date]],database!A:F,6,)</f>
        <v>99.239900000000006</v>
      </c>
      <c r="C577" s="67">
        <f t="shared" si="8"/>
        <v>-6.1270864692337668E-3</v>
      </c>
      <c r="D577" s="67">
        <f>(Table13[[#This Row],[Index]]-B565)/B565</f>
        <v>-2.5486250838363492E-2</v>
      </c>
    </row>
    <row r="578" spans="1:4" x14ac:dyDescent="0.2">
      <c r="A578" s="17">
        <v>43678</v>
      </c>
      <c r="B578" s="59">
        <f>VLOOKUP(Table13[[#This Row],[Date]],database!A:F,6,)</f>
        <v>99.912700000000001</v>
      </c>
      <c r="C578" s="67">
        <f t="shared" si="8"/>
        <v>6.7795312167786559E-3</v>
      </c>
      <c r="D578" s="67">
        <f>(Table13[[#This Row],[Index]]-B566)/B566</f>
        <v>-2.1899232205282979E-2</v>
      </c>
    </row>
    <row r="579" spans="1:4" x14ac:dyDescent="0.2">
      <c r="A579" s="17">
        <v>43709</v>
      </c>
      <c r="B579" s="59">
        <f>VLOOKUP(Table13[[#This Row],[Date]],database!A:F,6,)</f>
        <v>99.182000000000002</v>
      </c>
      <c r="C579" s="67">
        <f t="shared" si="8"/>
        <v>-7.3133845847425105E-3</v>
      </c>
      <c r="D579" s="67">
        <f>(Table13[[#This Row],[Index]]-B567)/B567</f>
        <v>-2.8689226972476209E-2</v>
      </c>
    </row>
    <row r="580" spans="1:4" x14ac:dyDescent="0.2">
      <c r="A580" s="17">
        <v>43739</v>
      </c>
      <c r="B580" s="59">
        <f>VLOOKUP(Table13[[#This Row],[Date]],database!A:F,6,)</f>
        <v>98.440700000000007</v>
      </c>
      <c r="C580" s="67">
        <f t="shared" si="8"/>
        <v>-7.4741384525417454E-3</v>
      </c>
      <c r="D580" s="67">
        <f>(Table13[[#This Row],[Index]]-B568)/B568</f>
        <v>-3.2131929587213594E-2</v>
      </c>
    </row>
    <row r="581" spans="1:4" x14ac:dyDescent="0.2">
      <c r="A581" s="17">
        <v>43770</v>
      </c>
      <c r="B581" s="59">
        <f>VLOOKUP(Table13[[#This Row],[Date]],database!A:F,6,)</f>
        <v>99.114999999999995</v>
      </c>
      <c r="C581" s="67">
        <f t="shared" si="8"/>
        <v>6.8498090728732475E-3</v>
      </c>
      <c r="D581" s="67">
        <f>(Table13[[#This Row],[Index]]-B569)/B569</f>
        <v>-2.1359955686460048E-2</v>
      </c>
    </row>
    <row r="582" spans="1:4" x14ac:dyDescent="0.2">
      <c r="A582" s="17">
        <v>43800</v>
      </c>
      <c r="B582" s="59">
        <f>VLOOKUP(Table13[[#This Row],[Date]],database!A:F,6,)</f>
        <v>98.980800000000002</v>
      </c>
      <c r="C582" s="67">
        <f t="shared" si="8"/>
        <v>-1.3539827473136867E-3</v>
      </c>
      <c r="D582" s="67">
        <f>(Table13[[#This Row],[Index]]-B570)/B570</f>
        <v>-2.4286186042614462E-2</v>
      </c>
    </row>
    <row r="583" spans="1:4" x14ac:dyDescent="0.2">
      <c r="A583" s="17">
        <v>43831</v>
      </c>
      <c r="B583" s="59">
        <f>VLOOKUP(Table13[[#This Row],[Date]],database!A:F,6,)</f>
        <v>98.870999999999995</v>
      </c>
      <c r="C583" s="67">
        <f t="shared" si="8"/>
        <v>-1.1093060472334715E-3</v>
      </c>
      <c r="D583" s="67">
        <f>(Table13[[#This Row],[Index]]-B571)/B571</f>
        <v>-1.7695606947098066E-2</v>
      </c>
    </row>
    <row r="584" spans="1:4" x14ac:dyDescent="0.2">
      <c r="A584" s="17">
        <v>43862</v>
      </c>
      <c r="B584" s="59">
        <f>VLOOKUP(Table13[[#This Row],[Date]],database!A:F,6,)</f>
        <v>99.191400000000002</v>
      </c>
      <c r="C584" s="67">
        <f t="shared" ref="C584:C647" si="9">B584/B583-1</f>
        <v>3.2405862184059497E-3</v>
      </c>
      <c r="D584" s="67">
        <f>(Table13[[#This Row],[Index]]-B572)/B572</f>
        <v>-1.0107360769309057E-2</v>
      </c>
    </row>
    <row r="585" spans="1:4" x14ac:dyDescent="0.2">
      <c r="A585" s="17">
        <v>43891</v>
      </c>
      <c r="B585" s="59">
        <f>VLOOKUP(Table13[[#This Row],[Date]],database!A:F,6,)</f>
        <v>94.962400000000002</v>
      </c>
      <c r="C585" s="67">
        <f t="shared" si="9"/>
        <v>-4.2634744544385872E-2</v>
      </c>
      <c r="D585" s="67">
        <f>(Table13[[#This Row],[Index]]-B573)/B573</f>
        <v>-5.1410910696430154E-2</v>
      </c>
    </row>
    <row r="586" spans="1:4" x14ac:dyDescent="0.2">
      <c r="A586" s="17">
        <v>43922</v>
      </c>
      <c r="B586" s="59">
        <f>VLOOKUP(Table13[[#This Row],[Date]],database!A:F,6,)</f>
        <v>80.395200000000003</v>
      </c>
      <c r="C586" s="67">
        <f t="shared" si="9"/>
        <v>-0.153399661339646</v>
      </c>
      <c r="D586" s="67">
        <f>(Table13[[#This Row],[Index]]-B574)/B574</f>
        <v>-0.19189921054694797</v>
      </c>
    </row>
    <row r="587" spans="1:4" x14ac:dyDescent="0.2">
      <c r="A587" s="17">
        <v>43952</v>
      </c>
      <c r="B587" s="59">
        <f>VLOOKUP(Table13[[#This Row],[Date]],database!A:F,6,)</f>
        <v>83.931100000000001</v>
      </c>
      <c r="C587" s="67">
        <f t="shared" si="9"/>
        <v>4.3981481481481399E-2</v>
      </c>
      <c r="D587" s="67">
        <f>(Table13[[#This Row],[Index]]-B575)/B575</f>
        <v>-0.15690264980025292</v>
      </c>
    </row>
    <row r="588" spans="1:4" x14ac:dyDescent="0.2">
      <c r="A588" s="17">
        <v>43983</v>
      </c>
      <c r="B588" s="59">
        <f>VLOOKUP(Table13[[#This Row],[Date]],database!A:F,6,)</f>
        <v>90.209900000000005</v>
      </c>
      <c r="C588" s="67">
        <f t="shared" si="9"/>
        <v>7.4808980223064037E-2</v>
      </c>
      <c r="D588" s="67">
        <f>(Table13[[#This Row],[Index]]-B576)/B576</f>
        <v>-9.6561200259985464E-2</v>
      </c>
    </row>
    <row r="589" spans="1:4" x14ac:dyDescent="0.2">
      <c r="A589" s="17">
        <v>44013</v>
      </c>
      <c r="B589" s="59">
        <f>VLOOKUP(Table13[[#This Row],[Date]],database!A:F,6,)</f>
        <v>93.500399999999999</v>
      </c>
      <c r="C589" s="67">
        <f t="shared" si="9"/>
        <v>3.6476040877996718E-2</v>
      </c>
      <c r="D589" s="67">
        <f>(Table13[[#This Row],[Index]]-B577)/B577</f>
        <v>-5.783460080068608E-2</v>
      </c>
    </row>
    <row r="590" spans="1:4" x14ac:dyDescent="0.2">
      <c r="A590" s="17">
        <v>44044</v>
      </c>
      <c r="B590" s="59">
        <f>VLOOKUP(Table13[[#This Row],[Date]],database!A:F,6,)</f>
        <v>94.836399999999998</v>
      </c>
      <c r="C590" s="67">
        <f t="shared" si="9"/>
        <v>1.4288708925309423E-2</v>
      </c>
      <c r="D590" s="67">
        <f>(Table13[[#This Row],[Index]]-B578)/B578</f>
        <v>-5.0807354820758557E-2</v>
      </c>
    </row>
    <row r="591" spans="1:4" x14ac:dyDescent="0.2">
      <c r="A591" s="17">
        <v>44075</v>
      </c>
      <c r="B591" s="59">
        <f>VLOOKUP(Table13[[#This Row],[Date]],database!A:F,6,)</f>
        <v>94.836600000000004</v>
      </c>
      <c r="C591" s="67">
        <f t="shared" si="9"/>
        <v>2.1088948969349985E-6</v>
      </c>
      <c r="D591" s="67">
        <f>(Table13[[#This Row],[Index]]-B579)/B579</f>
        <v>-4.3812385311850915E-2</v>
      </c>
    </row>
    <row r="592" spans="1:4" x14ac:dyDescent="0.2">
      <c r="A592" s="17">
        <v>44105</v>
      </c>
      <c r="B592" s="59">
        <f>VLOOKUP(Table13[[#This Row],[Date]],database!A:F,6,)</f>
        <v>95.814700000000002</v>
      </c>
      <c r="C592" s="67">
        <f t="shared" si="9"/>
        <v>1.0313528743122413E-2</v>
      </c>
      <c r="D592" s="67">
        <f>(Table13[[#This Row],[Index]]-B580)/B580</f>
        <v>-2.6675958216469453E-2</v>
      </c>
    </row>
    <row r="593" spans="1:4" x14ac:dyDescent="0.2">
      <c r="A593" s="17">
        <v>44136</v>
      </c>
      <c r="B593" s="59">
        <f>VLOOKUP(Table13[[#This Row],[Date]],database!A:F,6,)</f>
        <v>96.358000000000004</v>
      </c>
      <c r="C593" s="67">
        <f t="shared" si="9"/>
        <v>5.6703198987211323E-3</v>
      </c>
      <c r="D593" s="67">
        <f>(Table13[[#This Row],[Index]]-B581)/B581</f>
        <v>-2.7816173132220057E-2</v>
      </c>
    </row>
    <row r="594" spans="1:4" x14ac:dyDescent="0.2">
      <c r="A594" s="17">
        <v>44166</v>
      </c>
      <c r="B594" s="59">
        <f>VLOOKUP(Table13[[#This Row],[Date]],database!A:F,6,)</f>
        <v>96.746099999999998</v>
      </c>
      <c r="C594" s="67">
        <f t="shared" si="9"/>
        <v>4.0276884119636591E-3</v>
      </c>
      <c r="D594" s="67">
        <f>(Table13[[#This Row],[Index]]-B582)/B582</f>
        <v>-2.2577105862955277E-2</v>
      </c>
    </row>
    <row r="595" spans="1:4" x14ac:dyDescent="0.2">
      <c r="A595" s="17">
        <v>44197</v>
      </c>
      <c r="B595" s="59">
        <f>VLOOKUP(Table13[[#This Row],[Date]],database!A:F,6,)</f>
        <v>98.323599999999999</v>
      </c>
      <c r="C595" s="67">
        <f t="shared" si="9"/>
        <v>1.6305566839386776E-2</v>
      </c>
      <c r="D595" s="67">
        <f>(Table13[[#This Row],[Index]]-B583)/B583</f>
        <v>-5.5365071659030062E-3</v>
      </c>
    </row>
    <row r="596" spans="1:4" x14ac:dyDescent="0.2">
      <c r="A596" s="17">
        <v>44228</v>
      </c>
      <c r="B596" s="59">
        <f>VLOOKUP(Table13[[#This Row],[Date]],database!A:F,6,)</f>
        <v>94.746499999999997</v>
      </c>
      <c r="C596" s="67">
        <f t="shared" si="9"/>
        <v>-3.6380889227001445E-2</v>
      </c>
      <c r="D596" s="67">
        <f>(Table13[[#This Row],[Index]]-B584)/B584</f>
        <v>-4.4811344531884859E-2</v>
      </c>
    </row>
    <row r="597" spans="1:4" x14ac:dyDescent="0.2">
      <c r="A597" s="17">
        <v>44256</v>
      </c>
      <c r="B597" s="59">
        <f>VLOOKUP(Table13[[#This Row],[Date]],database!A:F,6,)</f>
        <v>97.722999999999999</v>
      </c>
      <c r="C597" s="67">
        <f t="shared" si="9"/>
        <v>3.1415408484746221E-2</v>
      </c>
      <c r="D597" s="67">
        <f>(Table13[[#This Row],[Index]]-B585)/B585</f>
        <v>2.9070453147772134E-2</v>
      </c>
    </row>
    <row r="598" spans="1:4" x14ac:dyDescent="0.2">
      <c r="A598" s="17">
        <v>44287</v>
      </c>
      <c r="B598" s="59">
        <f>VLOOKUP(Table13[[#This Row],[Date]],database!A:F,6,)</f>
        <v>97.670699999999997</v>
      </c>
      <c r="C598" s="67">
        <f t="shared" si="9"/>
        <v>-5.3518618953574126E-4</v>
      </c>
      <c r="D598" s="67">
        <f>(Table13[[#This Row],[Index]]-B586)/B586</f>
        <v>0.21488223177503127</v>
      </c>
    </row>
    <row r="599" spans="1:4" x14ac:dyDescent="0.2">
      <c r="A599" s="17">
        <v>44317</v>
      </c>
      <c r="B599" s="59">
        <f>VLOOKUP(Table13[[#This Row],[Date]],database!A:F,6,)</f>
        <v>98.610299999999995</v>
      </c>
      <c r="C599" s="67">
        <f t="shared" si="9"/>
        <v>9.6200805359232255E-3</v>
      </c>
      <c r="D599" s="67">
        <f>(Table13[[#This Row],[Index]]-B587)/B587</f>
        <v>0.17489583718073509</v>
      </c>
    </row>
    <row r="600" spans="1:4" x14ac:dyDescent="0.2">
      <c r="A600" s="17">
        <v>44348</v>
      </c>
      <c r="B600" s="59">
        <f>VLOOKUP(Table13[[#This Row],[Date]],database!A:F,6,)</f>
        <v>98.577399999999997</v>
      </c>
      <c r="C600" s="67">
        <f t="shared" si="9"/>
        <v>-3.3363654709495094E-4</v>
      </c>
      <c r="D600" s="67">
        <f>(Table13[[#This Row],[Index]]-B588)/B588</f>
        <v>9.2755894862980581E-2</v>
      </c>
    </row>
    <row r="601" spans="1:4" x14ac:dyDescent="0.2">
      <c r="A601" s="17">
        <v>44378</v>
      </c>
      <c r="B601" s="59">
        <f>VLOOKUP(Table13[[#This Row],[Date]],database!A:F,6,)</f>
        <v>99.677599999999998</v>
      </c>
      <c r="C601" s="67">
        <f t="shared" si="9"/>
        <v>1.1160773158959358E-2</v>
      </c>
      <c r="D601" s="67">
        <f>(Table13[[#This Row],[Index]]-B589)/B589</f>
        <v>6.6066027525015933E-2</v>
      </c>
    </row>
    <row r="602" spans="1:4" x14ac:dyDescent="0.2">
      <c r="A602" s="17">
        <v>44409</v>
      </c>
      <c r="B602" s="59">
        <f>VLOOKUP(Table13[[#This Row],[Date]],database!A:F,6,)</f>
        <v>99.352699999999999</v>
      </c>
      <c r="C602" s="67">
        <f t="shared" si="9"/>
        <v>-3.2595086559066289E-3</v>
      </c>
      <c r="D602" s="67">
        <f>(Table13[[#This Row],[Index]]-B590)/B590</f>
        <v>4.7622010114259941E-2</v>
      </c>
    </row>
    <row r="603" spans="1:4" x14ac:dyDescent="0.2">
      <c r="A603" s="17">
        <v>44440</v>
      </c>
      <c r="B603" s="59">
        <f>VLOOKUP(Table13[[#This Row],[Date]],database!A:F,6,)</f>
        <v>98.578400000000002</v>
      </c>
      <c r="C603" s="67">
        <f t="shared" si="9"/>
        <v>-7.7934469823165431E-3</v>
      </c>
      <c r="D603" s="67">
        <f>(Table13[[#This Row],[Index]]-B591)/B591</f>
        <v>3.9455231419093448E-2</v>
      </c>
    </row>
    <row r="604" spans="1:4" x14ac:dyDescent="0.2">
      <c r="A604" s="17">
        <v>44470</v>
      </c>
      <c r="B604" s="59">
        <f>VLOOKUP(Table13[[#This Row],[Date]],database!A:F,6,)</f>
        <v>100.25109999999999</v>
      </c>
      <c r="C604" s="67">
        <f t="shared" si="9"/>
        <v>1.6968220218627872E-2</v>
      </c>
      <c r="D604" s="67">
        <f>(Table13[[#This Row],[Index]]-B592)/B592</f>
        <v>4.630187225968449E-2</v>
      </c>
    </row>
    <row r="605" spans="1:4" x14ac:dyDescent="0.2">
      <c r="A605" s="17">
        <v>44501</v>
      </c>
      <c r="B605" s="59">
        <f>VLOOKUP(Table13[[#This Row],[Date]],database!A:F,6,)</f>
        <v>100.8291</v>
      </c>
      <c r="C605" s="67">
        <f t="shared" si="9"/>
        <v>5.7655227723187874E-3</v>
      </c>
      <c r="D605" s="67">
        <f>(Table13[[#This Row],[Index]]-B593)/B593</f>
        <v>4.6400921563336646E-2</v>
      </c>
    </row>
    <row r="606" spans="1:4" x14ac:dyDescent="0.2">
      <c r="A606" s="17">
        <v>44531</v>
      </c>
      <c r="B606" s="59">
        <f>VLOOKUP(Table13[[#This Row],[Date]],database!A:F,6,)</f>
        <v>100.7976</v>
      </c>
      <c r="C606" s="67">
        <f t="shared" si="9"/>
        <v>-3.1240981026303682E-4</v>
      </c>
      <c r="D606" s="67">
        <f>(Table13[[#This Row],[Index]]-B594)/B594</f>
        <v>4.1877657083851487E-2</v>
      </c>
    </row>
    <row r="607" spans="1:4" x14ac:dyDescent="0.2">
      <c r="A607" s="17">
        <v>44562</v>
      </c>
      <c r="B607" s="59">
        <f>VLOOKUP(Table13[[#This Row],[Date]],database!A:F,6,)</f>
        <v>100.4851</v>
      </c>
      <c r="C607" s="67">
        <f t="shared" si="9"/>
        <v>-3.1002722287039042E-3</v>
      </c>
      <c r="D607" s="67">
        <f>(Table13[[#This Row],[Index]]-B595)/B595</f>
        <v>2.1983531929262189E-2</v>
      </c>
    </row>
    <row r="608" spans="1:4" x14ac:dyDescent="0.2">
      <c r="A608" s="17">
        <v>44593</v>
      </c>
      <c r="B608" s="59">
        <f>VLOOKUP(Table13[[#This Row],[Date]],database!A:F,6,)</f>
        <v>101.71729999999999</v>
      </c>
      <c r="C608" s="67">
        <f t="shared" si="9"/>
        <v>1.2262514541956815E-2</v>
      </c>
      <c r="D608" s="67">
        <f>(Table13[[#This Row],[Index]]-B596)/B596</f>
        <v>7.3573166291103068E-2</v>
      </c>
    </row>
    <row r="609" spans="1:4" x14ac:dyDescent="0.2">
      <c r="A609" s="17">
        <v>44621</v>
      </c>
      <c r="B609" s="59">
        <f>VLOOKUP(Table13[[#This Row],[Date]],database!A:F,6,)</f>
        <v>102.43389999999999</v>
      </c>
      <c r="C609" s="67">
        <f t="shared" si="9"/>
        <v>7.0450159412409619E-3</v>
      </c>
      <c r="D609" s="67">
        <f>(Table13[[#This Row],[Index]]-B597)/B597</f>
        <v>4.8206665779806139E-2</v>
      </c>
    </row>
    <row r="610" spans="1:4" x14ac:dyDescent="0.2">
      <c r="A610" s="17">
        <v>44652</v>
      </c>
      <c r="B610" s="59">
        <f>VLOOKUP(Table13[[#This Row],[Date]],database!A:F,6,)</f>
        <v>102.93559999999999</v>
      </c>
      <c r="C610" s="67">
        <f t="shared" si="9"/>
        <v>4.8977926252928849E-3</v>
      </c>
      <c r="D610" s="67">
        <f>(Table13[[#This Row],[Index]]-B598)/B598</f>
        <v>5.3904599844170231E-2</v>
      </c>
    </row>
    <row r="611" spans="1:4" x14ac:dyDescent="0.2">
      <c r="A611" s="17">
        <v>44682</v>
      </c>
      <c r="B611" s="59">
        <f>VLOOKUP(Table13[[#This Row],[Date]],database!A:F,6,)</f>
        <v>102.5035</v>
      </c>
      <c r="C611" s="67">
        <f t="shared" si="9"/>
        <v>-4.1977702563543717E-3</v>
      </c>
      <c r="D611" s="67">
        <f>(Table13[[#This Row],[Index]]-B599)/B599</f>
        <v>3.9480662770522021E-2</v>
      </c>
    </row>
    <row r="612" spans="1:4" x14ac:dyDescent="0.2">
      <c r="A612" s="17">
        <v>44713</v>
      </c>
      <c r="B612" s="59">
        <f>VLOOKUP(Table13[[#This Row],[Date]],database!A:F,6,)</f>
        <v>101.9307</v>
      </c>
      <c r="C612" s="67">
        <f t="shared" si="9"/>
        <v>-5.5881018696922746E-3</v>
      </c>
      <c r="D612" s="67">
        <f>(Table13[[#This Row],[Index]]-B600)/B600</f>
        <v>3.4016924771803722E-2</v>
      </c>
    </row>
    <row r="613" spans="1:4" x14ac:dyDescent="0.2">
      <c r="A613" s="17">
        <v>44743</v>
      </c>
      <c r="B613" s="59">
        <f>VLOOKUP(Table13[[#This Row],[Date]],database!A:F,6,)</f>
        <v>102.5658</v>
      </c>
      <c r="C613" s="67">
        <f t="shared" si="9"/>
        <v>6.2307038017004324E-3</v>
      </c>
      <c r="D613" s="67">
        <f>(Table13[[#This Row],[Index]]-B601)/B601</f>
        <v>2.8975416743581284E-2</v>
      </c>
    </row>
    <row r="614" spans="1:4" x14ac:dyDescent="0.2">
      <c r="A614" s="17">
        <v>44774</v>
      </c>
      <c r="B614" s="59">
        <f>VLOOKUP(Table13[[#This Row],[Date]],database!A:F,6,)</f>
        <v>102.6574</v>
      </c>
      <c r="C614" s="67">
        <f t="shared" si="9"/>
        <v>8.9308521943953778E-4</v>
      </c>
      <c r="D614" s="67">
        <f>(Table13[[#This Row],[Index]]-B602)/B602</f>
        <v>3.326230691264552E-2</v>
      </c>
    </row>
  </sheetData>
  <conditionalFormatting sqref="D463:D61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4"/>
  <sheetViews>
    <sheetView zoomScale="160" zoomScaleNormal="160" workbookViewId="0">
      <pane ySplit="6" topLeftCell="A586" activePane="bottomLeft" state="frozen"/>
      <selection activeCell="J582" sqref="J582"/>
      <selection pane="bottomLeft" activeCell="AA590" sqref="AA590"/>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5" x14ac:dyDescent="0.2">
      <c r="A1" s="15" t="s">
        <v>22</v>
      </c>
      <c r="B1" s="75"/>
      <c r="C1" s="75"/>
      <c r="S1" s="20" t="s">
        <v>71</v>
      </c>
      <c r="T1" s="63" t="s">
        <v>67</v>
      </c>
      <c r="U1" s="75" t="str">
        <f>S1&amp;T1</f>
        <v xml:space="preserve">Industrial Production: Mining since 2010 </v>
      </c>
      <c r="Y1" s="61" t="str">
        <f>U4&amp; T1</f>
        <v xml:space="preserve">Industrial Production: Mining yoy since 2010 </v>
      </c>
    </row>
    <row r="2" spans="1:25" x14ac:dyDescent="0.2">
      <c r="A2" s="15"/>
      <c r="B2" s="75"/>
      <c r="C2" s="75"/>
      <c r="S2" s="20"/>
      <c r="T2" s="63"/>
      <c r="Y2" s="61"/>
    </row>
    <row r="3" spans="1:25" x14ac:dyDescent="0.2">
      <c r="A3" s="15"/>
      <c r="B3" s="75"/>
      <c r="C3" s="75"/>
      <c r="S3" s="20"/>
      <c r="T3" s="63"/>
      <c r="Y3" s="61"/>
    </row>
    <row r="4" spans="1:25" x14ac:dyDescent="0.2">
      <c r="A4" s="16"/>
      <c r="B4" s="75"/>
      <c r="C4" s="75"/>
      <c r="S4" s="56"/>
      <c r="T4" s="63"/>
      <c r="U4" s="75" t="str">
        <f>S1&amp;Table134[[#Headers],[ yoy]]</f>
        <v>Industrial Production: Mining yoy</v>
      </c>
    </row>
    <row r="5" spans="1:25" x14ac:dyDescent="0.2">
      <c r="A5" s="16"/>
      <c r="B5" s="56"/>
      <c r="C5" s="63"/>
    </row>
    <row r="6" spans="1:25" x14ac:dyDescent="0.2">
      <c r="A6" s="19" t="s">
        <v>57</v>
      </c>
      <c r="B6" s="60" t="s">
        <v>58</v>
      </c>
      <c r="C6" s="70" t="s">
        <v>11</v>
      </c>
      <c r="D6" s="71" t="s">
        <v>65</v>
      </c>
    </row>
    <row r="7" spans="1:25" x14ac:dyDescent="0.2">
      <c r="A7" s="17">
        <v>26299</v>
      </c>
      <c r="B7" s="59">
        <f>VLOOKUP(Table134[[#This Row],[Date]],database!A:I,8,)</f>
        <v>86.360100000000003</v>
      </c>
      <c r="C7" s="67"/>
      <c r="D7" s="67"/>
    </row>
    <row r="8" spans="1:25" x14ac:dyDescent="0.2">
      <c r="A8" s="17">
        <v>26330</v>
      </c>
      <c r="B8" s="59">
        <f>VLOOKUP(Table134[[#This Row],[Date]],database!A:I,8,)</f>
        <v>85.453699999999998</v>
      </c>
      <c r="C8" s="67">
        <f t="shared" ref="C8:C71" si="0">B8/B7-1</f>
        <v>-1.049558766143166E-2</v>
      </c>
      <c r="D8" s="67"/>
    </row>
    <row r="9" spans="1:25" x14ac:dyDescent="0.2">
      <c r="A9" s="17">
        <v>26359</v>
      </c>
      <c r="B9" s="59">
        <f>VLOOKUP(Table134[[#This Row],[Date]],database!A:I,8,)</f>
        <v>86.075400000000002</v>
      </c>
      <c r="C9" s="67">
        <f t="shared" si="0"/>
        <v>7.2752847448385172E-3</v>
      </c>
      <c r="D9" s="67"/>
    </row>
    <row r="10" spans="1:25" x14ac:dyDescent="0.2">
      <c r="A10" s="17">
        <v>26390</v>
      </c>
      <c r="B10" s="59">
        <f>VLOOKUP(Table134[[#This Row],[Date]],database!A:I,8,)</f>
        <v>86.963399999999993</v>
      </c>
      <c r="C10" s="67">
        <f t="shared" si="0"/>
        <v>1.0316536432011914E-2</v>
      </c>
      <c r="D10" s="67"/>
    </row>
    <row r="11" spans="1:25" x14ac:dyDescent="0.2">
      <c r="A11" s="17">
        <v>26420</v>
      </c>
      <c r="B11" s="59">
        <f>VLOOKUP(Table134[[#This Row],[Date]],database!A:I,8,)</f>
        <v>86.222300000000004</v>
      </c>
      <c r="C11" s="67">
        <f t="shared" si="0"/>
        <v>-8.5219759117052263E-3</v>
      </c>
      <c r="D11" s="67"/>
    </row>
    <row r="12" spans="1:25" x14ac:dyDescent="0.2">
      <c r="A12" s="17">
        <v>26451</v>
      </c>
      <c r="B12" s="59">
        <f>VLOOKUP(Table134[[#This Row],[Date]],database!A:I,8,)</f>
        <v>86.295599999999993</v>
      </c>
      <c r="C12" s="67">
        <f t="shared" si="0"/>
        <v>8.5012809911111376E-4</v>
      </c>
      <c r="D12" s="67"/>
    </row>
    <row r="13" spans="1:25" x14ac:dyDescent="0.2">
      <c r="A13" s="17">
        <v>26481</v>
      </c>
      <c r="B13" s="59">
        <f>VLOOKUP(Table134[[#This Row],[Date]],database!A:I,8,)</f>
        <v>86.126400000000004</v>
      </c>
      <c r="C13" s="67">
        <f t="shared" si="0"/>
        <v>-1.9607025155394808E-3</v>
      </c>
      <c r="D13" s="67"/>
    </row>
    <row r="14" spans="1:25" x14ac:dyDescent="0.2">
      <c r="A14" s="17">
        <v>26512</v>
      </c>
      <c r="B14" s="59">
        <f>VLOOKUP(Table134[[#This Row],[Date]],database!A:I,8,)</f>
        <v>87.115899999999996</v>
      </c>
      <c r="C14" s="67">
        <f t="shared" si="0"/>
        <v>1.1488927901317059E-2</v>
      </c>
      <c r="D14" s="67"/>
    </row>
    <row r="15" spans="1:25" x14ac:dyDescent="0.2">
      <c r="A15" s="17">
        <v>26543</v>
      </c>
      <c r="B15" s="59">
        <f>VLOOKUP(Table134[[#This Row],[Date]],database!A:I,8,)</f>
        <v>87.233000000000004</v>
      </c>
      <c r="C15" s="67">
        <f t="shared" si="0"/>
        <v>1.3441863081251615E-3</v>
      </c>
      <c r="D15" s="67"/>
    </row>
    <row r="16" spans="1:25" x14ac:dyDescent="0.2">
      <c r="A16" s="17">
        <v>26573</v>
      </c>
      <c r="B16" s="59">
        <f>VLOOKUP(Table134[[#This Row],[Date]],database!A:I,8,)</f>
        <v>86.862499999999997</v>
      </c>
      <c r="C16" s="67">
        <f t="shared" si="0"/>
        <v>-4.2472458817192082E-3</v>
      </c>
      <c r="D16" s="67"/>
    </row>
    <row r="17" spans="1:4" x14ac:dyDescent="0.2">
      <c r="A17" s="17">
        <v>26604</v>
      </c>
      <c r="B17" s="59">
        <f>VLOOKUP(Table134[[#This Row],[Date]],database!A:I,8,)</f>
        <v>86.805700000000002</v>
      </c>
      <c r="C17" s="67">
        <f t="shared" si="0"/>
        <v>-6.5390703698364749E-4</v>
      </c>
      <c r="D17" s="67"/>
    </row>
    <row r="18" spans="1:4" x14ac:dyDescent="0.2">
      <c r="A18" s="17">
        <v>26634</v>
      </c>
      <c r="B18" s="59">
        <f>VLOOKUP(Table134[[#This Row],[Date]],database!A:I,8,)</f>
        <v>86.681399999999996</v>
      </c>
      <c r="C18" s="67">
        <f t="shared" si="0"/>
        <v>-1.4319336172625707E-3</v>
      </c>
      <c r="D18" s="67"/>
    </row>
    <row r="19" spans="1:4" x14ac:dyDescent="0.2">
      <c r="A19" s="17">
        <v>26665</v>
      </c>
      <c r="B19" s="59">
        <f>VLOOKUP(Table134[[#This Row],[Date]],database!A:I,8,)</f>
        <v>86.744699999999995</v>
      </c>
      <c r="C19" s="67">
        <f t="shared" si="0"/>
        <v>7.3026047110458236E-4</v>
      </c>
      <c r="D19" s="67"/>
    </row>
    <row r="20" spans="1:4" x14ac:dyDescent="0.2">
      <c r="A20" s="17">
        <v>26696</v>
      </c>
      <c r="B20" s="59">
        <f>VLOOKUP(Table134[[#This Row],[Date]],database!A:I,8,)</f>
        <v>86.860900000000001</v>
      </c>
      <c r="C20" s="67">
        <f t="shared" si="0"/>
        <v>1.3395631087549376E-3</v>
      </c>
      <c r="D20" s="67">
        <f>(Table134[[#This Row],[Index]]-B8)/B8</f>
        <v>1.6467396964672133E-2</v>
      </c>
    </row>
    <row r="21" spans="1:4" x14ac:dyDescent="0.2">
      <c r="A21" s="17">
        <v>26724</v>
      </c>
      <c r="B21" s="59">
        <f>VLOOKUP(Table134[[#This Row],[Date]],database!A:I,8,)</f>
        <v>85.989000000000004</v>
      </c>
      <c r="C21" s="67">
        <f t="shared" si="0"/>
        <v>-1.00378881637192E-2</v>
      </c>
      <c r="D21" s="67">
        <f>(Table134[[#This Row],[Index]]-B9)/B9</f>
        <v>-1.0037711123038358E-3</v>
      </c>
    </row>
    <row r="22" spans="1:4" x14ac:dyDescent="0.2">
      <c r="A22" s="17">
        <v>26755</v>
      </c>
      <c r="B22" s="59">
        <f>VLOOKUP(Table134[[#This Row],[Date]],database!A:I,8,)</f>
        <v>85.701400000000007</v>
      </c>
      <c r="C22" s="67">
        <f t="shared" si="0"/>
        <v>-3.3446138459569674E-3</v>
      </c>
      <c r="D22" s="67">
        <f>(Table134[[#This Row],[Index]]-B10)/B10</f>
        <v>-1.4511852112497744E-2</v>
      </c>
    </row>
    <row r="23" spans="1:4" x14ac:dyDescent="0.2">
      <c r="A23" s="17">
        <v>26785</v>
      </c>
      <c r="B23" s="59">
        <f>VLOOKUP(Table134[[#This Row],[Date]],database!A:I,8,)</f>
        <v>86.124499999999998</v>
      </c>
      <c r="C23" s="67">
        <f t="shared" si="0"/>
        <v>4.9369088486301838E-3</v>
      </c>
      <c r="D23" s="67">
        <f>(Table134[[#This Row],[Index]]-B11)/B11</f>
        <v>-1.1342773273272291E-3</v>
      </c>
    </row>
    <row r="24" spans="1:4" x14ac:dyDescent="0.2">
      <c r="A24" s="17">
        <v>26816</v>
      </c>
      <c r="B24" s="59">
        <f>VLOOKUP(Table134[[#This Row],[Date]],database!A:I,8,)</f>
        <v>86.434299999999993</v>
      </c>
      <c r="C24" s="67">
        <f t="shared" si="0"/>
        <v>3.5971181255043394E-3</v>
      </c>
      <c r="D24" s="67">
        <f>(Table134[[#This Row],[Index]]-B12)/B12</f>
        <v>1.6072661873838302E-3</v>
      </c>
    </row>
    <row r="25" spans="1:4" x14ac:dyDescent="0.2">
      <c r="A25" s="17">
        <v>26846</v>
      </c>
      <c r="B25" s="59">
        <f>VLOOKUP(Table134[[#This Row],[Date]],database!A:I,8,)</f>
        <v>87.837800000000001</v>
      </c>
      <c r="C25" s="67">
        <f t="shared" si="0"/>
        <v>1.623776671992494E-2</v>
      </c>
      <c r="D25" s="67">
        <f>(Table134[[#This Row],[Index]]-B13)/B13</f>
        <v>1.9870794553121893E-2</v>
      </c>
    </row>
    <row r="26" spans="1:4" x14ac:dyDescent="0.2">
      <c r="A26" s="17">
        <v>26877</v>
      </c>
      <c r="B26" s="59">
        <f>VLOOKUP(Table134[[#This Row],[Date]],database!A:I,8,)</f>
        <v>87.963099999999997</v>
      </c>
      <c r="C26" s="67">
        <f t="shared" si="0"/>
        <v>1.4264929221814437E-3</v>
      </c>
      <c r="D26" s="67">
        <f>(Table134[[#This Row],[Index]]-B14)/B14</f>
        <v>9.7249755785109356E-3</v>
      </c>
    </row>
    <row r="27" spans="1:4" x14ac:dyDescent="0.2">
      <c r="A27" s="17">
        <v>26908</v>
      </c>
      <c r="B27" s="59">
        <f>VLOOKUP(Table134[[#This Row],[Date]],database!A:I,8,)</f>
        <v>87.162800000000004</v>
      </c>
      <c r="C27" s="67">
        <f t="shared" si="0"/>
        <v>-9.0981331944871568E-3</v>
      </c>
      <c r="D27" s="67">
        <f>(Table134[[#This Row],[Index]]-B15)/B15</f>
        <v>-8.0474132495729619E-4</v>
      </c>
    </row>
    <row r="28" spans="1:4" x14ac:dyDescent="0.2">
      <c r="A28" s="17">
        <v>26938</v>
      </c>
      <c r="B28" s="59">
        <f>VLOOKUP(Table134[[#This Row],[Date]],database!A:I,8,)</f>
        <v>87.440600000000003</v>
      </c>
      <c r="C28" s="67">
        <f t="shared" si="0"/>
        <v>3.1871394677545073E-3</v>
      </c>
      <c r="D28" s="67">
        <f>(Table134[[#This Row],[Index]]-B16)/B16</f>
        <v>6.655346092963089E-3</v>
      </c>
    </row>
    <row r="29" spans="1:4" x14ac:dyDescent="0.2">
      <c r="A29" s="17">
        <v>26969</v>
      </c>
      <c r="B29" s="59">
        <f>VLOOKUP(Table134[[#This Row],[Date]],database!A:I,8,)</f>
        <v>87.084000000000003</v>
      </c>
      <c r="C29" s="67">
        <f t="shared" si="0"/>
        <v>-4.0781970846495152E-3</v>
      </c>
      <c r="D29" s="67">
        <f>(Table134[[#This Row],[Index]]-B17)/B17</f>
        <v>3.2060106651982711E-3</v>
      </c>
    </row>
    <row r="30" spans="1:4" x14ac:dyDescent="0.2">
      <c r="A30" s="17">
        <v>26999</v>
      </c>
      <c r="B30" s="59">
        <f>VLOOKUP(Table134[[#This Row],[Date]],database!A:I,8,)</f>
        <v>88.207400000000007</v>
      </c>
      <c r="C30" s="67">
        <f t="shared" si="0"/>
        <v>1.2900188323917261E-2</v>
      </c>
      <c r="D30" s="67">
        <f>(Table134[[#This Row],[Index]]-B18)/B18</f>
        <v>1.7604699508775936E-2</v>
      </c>
    </row>
    <row r="31" spans="1:4" x14ac:dyDescent="0.2">
      <c r="A31" s="17">
        <v>27030</v>
      </c>
      <c r="B31" s="59">
        <f>VLOOKUP(Table134[[#This Row],[Date]],database!A:I,8,)</f>
        <v>87.970799999999997</v>
      </c>
      <c r="C31" s="67">
        <f t="shared" si="0"/>
        <v>-2.6823146357336514E-3</v>
      </c>
      <c r="D31" s="67">
        <f>(Table134[[#This Row],[Index]]-B19)/B19</f>
        <v>1.4134581132910742E-2</v>
      </c>
    </row>
    <row r="32" spans="1:4" x14ac:dyDescent="0.2">
      <c r="A32" s="17">
        <v>27061</v>
      </c>
      <c r="B32" s="59">
        <f>VLOOKUP(Table134[[#This Row],[Date]],database!A:I,8,)</f>
        <v>87.987700000000004</v>
      </c>
      <c r="C32" s="67">
        <f t="shared" si="0"/>
        <v>1.9210919987089348E-4</v>
      </c>
      <c r="D32" s="67">
        <f>(Table134[[#This Row],[Index]]-B20)/B20</f>
        <v>1.2972465171325682E-2</v>
      </c>
    </row>
    <row r="33" spans="1:4" x14ac:dyDescent="0.2">
      <c r="A33" s="17">
        <v>27089</v>
      </c>
      <c r="B33" s="59">
        <f>VLOOKUP(Table134[[#This Row],[Date]],database!A:I,8,)</f>
        <v>87.234399999999994</v>
      </c>
      <c r="C33" s="67">
        <f t="shared" si="0"/>
        <v>-8.5614239262988834E-3</v>
      </c>
      <c r="D33" s="67">
        <f>(Table134[[#This Row],[Index]]-B21)/B21</f>
        <v>1.4483247857283948E-2</v>
      </c>
    </row>
    <row r="34" spans="1:4" x14ac:dyDescent="0.2">
      <c r="A34" s="17">
        <v>27120</v>
      </c>
      <c r="B34" s="59">
        <f>VLOOKUP(Table134[[#This Row],[Date]],database!A:I,8,)</f>
        <v>87.038799999999995</v>
      </c>
      <c r="C34" s="67">
        <f t="shared" si="0"/>
        <v>-2.2422347147454946E-3</v>
      </c>
      <c r="D34" s="67">
        <f>(Table134[[#This Row],[Index]]-B22)/B22</f>
        <v>1.5605346003682415E-2</v>
      </c>
    </row>
    <row r="35" spans="1:4" x14ac:dyDescent="0.2">
      <c r="A35" s="17">
        <v>27150</v>
      </c>
      <c r="B35" s="59">
        <f>VLOOKUP(Table134[[#This Row],[Date]],database!A:I,8,)</f>
        <v>87.691500000000005</v>
      </c>
      <c r="C35" s="67">
        <f t="shared" si="0"/>
        <v>7.4989544892622995E-3</v>
      </c>
      <c r="D35" s="67">
        <f>(Table134[[#This Row],[Index]]-B23)/B23</f>
        <v>1.8194590389494364E-2</v>
      </c>
    </row>
    <row r="36" spans="1:4" x14ac:dyDescent="0.2">
      <c r="A36" s="17">
        <v>27181</v>
      </c>
      <c r="B36" s="59">
        <f>VLOOKUP(Table134[[#This Row],[Date]],database!A:I,8,)</f>
        <v>86.283900000000003</v>
      </c>
      <c r="C36" s="67">
        <f t="shared" si="0"/>
        <v>-1.6051726792220444E-2</v>
      </c>
      <c r="D36" s="67">
        <f>(Table134[[#This Row],[Index]]-B24)/B24</f>
        <v>-1.7400499570192683E-3</v>
      </c>
    </row>
    <row r="37" spans="1:4" x14ac:dyDescent="0.2">
      <c r="A37" s="17">
        <v>27211</v>
      </c>
      <c r="B37" s="59">
        <f>VLOOKUP(Table134[[#This Row],[Date]],database!A:I,8,)</f>
        <v>86.799800000000005</v>
      </c>
      <c r="C37" s="67">
        <f t="shared" si="0"/>
        <v>5.9790992294044276E-3</v>
      </c>
      <c r="D37" s="67">
        <f>(Table134[[#This Row],[Index]]-B25)/B25</f>
        <v>-1.1817235859732333E-2</v>
      </c>
    </row>
    <row r="38" spans="1:4" x14ac:dyDescent="0.2">
      <c r="A38" s="17">
        <v>27242</v>
      </c>
      <c r="B38" s="59">
        <f>VLOOKUP(Table134[[#This Row],[Date]],database!A:I,8,)</f>
        <v>84.368899999999996</v>
      </c>
      <c r="C38" s="67">
        <f t="shared" si="0"/>
        <v>-2.8005824898214127E-2</v>
      </c>
      <c r="D38" s="67">
        <f>(Table134[[#This Row],[Index]]-B26)/B26</f>
        <v>-4.0860315291298292E-2</v>
      </c>
    </row>
    <row r="39" spans="1:4" x14ac:dyDescent="0.2">
      <c r="A39" s="17">
        <v>27273</v>
      </c>
      <c r="B39" s="59">
        <f>VLOOKUP(Table134[[#This Row],[Date]],database!A:I,8,)</f>
        <v>85.408500000000004</v>
      </c>
      <c r="C39" s="67">
        <f t="shared" si="0"/>
        <v>1.2322076025644613E-2</v>
      </c>
      <c r="D39" s="67">
        <f>(Table134[[#This Row],[Index]]-B27)/B27</f>
        <v>-2.0126705429380429E-2</v>
      </c>
    </row>
    <row r="40" spans="1:4" x14ac:dyDescent="0.2">
      <c r="A40" s="17">
        <v>27303</v>
      </c>
      <c r="B40" s="59">
        <f>VLOOKUP(Table134[[#This Row],[Date]],database!A:I,8,)</f>
        <v>86.156800000000004</v>
      </c>
      <c r="C40" s="67">
        <f t="shared" si="0"/>
        <v>8.761423043373906E-3</v>
      </c>
      <c r="D40" s="67">
        <f>(Table134[[#This Row],[Index]]-B28)/B28</f>
        <v>-1.4681966958140719E-2</v>
      </c>
    </row>
    <row r="41" spans="1:4" x14ac:dyDescent="0.2">
      <c r="A41" s="17">
        <v>27334</v>
      </c>
      <c r="B41" s="59">
        <f>VLOOKUP(Table134[[#This Row],[Date]],database!A:I,8,)</f>
        <v>79.848399999999998</v>
      </c>
      <c r="C41" s="67">
        <f t="shared" si="0"/>
        <v>-7.3219989600356583E-2</v>
      </c>
      <c r="D41" s="67">
        <f>(Table134[[#This Row],[Index]]-B29)/B29</f>
        <v>-8.3087593587800337E-2</v>
      </c>
    </row>
    <row r="42" spans="1:4" x14ac:dyDescent="0.2">
      <c r="A42" s="17">
        <v>27364</v>
      </c>
      <c r="B42" s="59">
        <f>VLOOKUP(Table134[[#This Row],[Date]],database!A:I,8,)</f>
        <v>81.947299999999998</v>
      </c>
      <c r="C42" s="67">
        <f t="shared" si="0"/>
        <v>2.6286062087656159E-2</v>
      </c>
      <c r="D42" s="67">
        <f>(Table134[[#This Row],[Index]]-B30)/B30</f>
        <v>-7.097023605729233E-2</v>
      </c>
    </row>
    <row r="43" spans="1:4" x14ac:dyDescent="0.2">
      <c r="A43" s="17">
        <v>27395</v>
      </c>
      <c r="B43" s="59">
        <f>VLOOKUP(Table134[[#This Row],[Date]],database!A:I,8,)</f>
        <v>86.391000000000005</v>
      </c>
      <c r="C43" s="67">
        <f t="shared" si="0"/>
        <v>5.4226313740660226E-2</v>
      </c>
      <c r="D43" s="67">
        <f>(Table134[[#This Row],[Index]]-B31)/B31</f>
        <v>-1.7958231595029166E-2</v>
      </c>
    </row>
    <row r="44" spans="1:4" x14ac:dyDescent="0.2">
      <c r="A44" s="17">
        <v>27426</v>
      </c>
      <c r="B44" s="59">
        <f>VLOOKUP(Table134[[#This Row],[Date]],database!A:I,8,)</f>
        <v>85.294200000000004</v>
      </c>
      <c r="C44" s="67">
        <f t="shared" si="0"/>
        <v>-1.2695766920165275E-2</v>
      </c>
      <c r="D44" s="67">
        <f>(Table134[[#This Row],[Index]]-B32)/B32</f>
        <v>-3.0612233300790909E-2</v>
      </c>
    </row>
    <row r="45" spans="1:4" x14ac:dyDescent="0.2">
      <c r="A45" s="17">
        <v>27454</v>
      </c>
      <c r="B45" s="59">
        <f>VLOOKUP(Table134[[#This Row],[Date]],database!A:I,8,)</f>
        <v>83.583299999999994</v>
      </c>
      <c r="C45" s="67">
        <f t="shared" si="0"/>
        <v>-2.0058808219081792E-2</v>
      </c>
      <c r="D45" s="67">
        <f>(Table134[[#This Row],[Index]]-B33)/B33</f>
        <v>-4.1853901671817538E-2</v>
      </c>
    </row>
    <row r="46" spans="1:4" x14ac:dyDescent="0.2">
      <c r="A46" s="17">
        <v>27485</v>
      </c>
      <c r="B46" s="59">
        <f>VLOOKUP(Table134[[#This Row],[Date]],database!A:I,8,)</f>
        <v>83.348600000000005</v>
      </c>
      <c r="C46" s="67">
        <f t="shared" si="0"/>
        <v>-2.8079771916158514E-3</v>
      </c>
      <c r="D46" s="67">
        <f>(Table134[[#This Row],[Index]]-B34)/B34</f>
        <v>-4.2397183784702801E-2</v>
      </c>
    </row>
    <row r="47" spans="1:4" x14ac:dyDescent="0.2">
      <c r="A47" s="17">
        <v>27515</v>
      </c>
      <c r="B47" s="59">
        <f>VLOOKUP(Table134[[#This Row],[Date]],database!A:I,8,)</f>
        <v>83.087999999999994</v>
      </c>
      <c r="C47" s="67">
        <f t="shared" si="0"/>
        <v>-3.1266272018967145E-3</v>
      </c>
      <c r="D47" s="67">
        <f>(Table134[[#This Row],[Index]]-B35)/B35</f>
        <v>-5.2496536152306789E-2</v>
      </c>
    </row>
    <row r="48" spans="1:4" x14ac:dyDescent="0.2">
      <c r="A48" s="17">
        <v>27546</v>
      </c>
      <c r="B48" s="59">
        <f>VLOOKUP(Table134[[#This Row],[Date]],database!A:I,8,)</f>
        <v>84.447000000000003</v>
      </c>
      <c r="C48" s="67">
        <f t="shared" si="0"/>
        <v>1.6356152512998268E-2</v>
      </c>
      <c r="D48" s="67">
        <f>(Table134[[#This Row],[Index]]-B36)/B36</f>
        <v>-2.1289023792387687E-2</v>
      </c>
    </row>
    <row r="49" spans="1:4" x14ac:dyDescent="0.2">
      <c r="A49" s="17">
        <v>27576</v>
      </c>
      <c r="B49" s="59">
        <f>VLOOKUP(Table134[[#This Row],[Date]],database!A:I,8,)</f>
        <v>82.301199999999994</v>
      </c>
      <c r="C49" s="67">
        <f t="shared" si="0"/>
        <v>-2.5410020486222207E-2</v>
      </c>
      <c r="D49" s="67">
        <f>(Table134[[#This Row],[Index]]-B37)/B37</f>
        <v>-5.1827308357853479E-2</v>
      </c>
    </row>
    <row r="50" spans="1:4" x14ac:dyDescent="0.2">
      <c r="A50" s="17">
        <v>27607</v>
      </c>
      <c r="B50" s="59">
        <f>VLOOKUP(Table134[[#This Row],[Date]],database!A:I,8,)</f>
        <v>82.9833</v>
      </c>
      <c r="C50" s="67">
        <f t="shared" si="0"/>
        <v>8.2878499948968454E-3</v>
      </c>
      <c r="D50" s="67">
        <f>(Table134[[#This Row],[Index]]-B38)/B38</f>
        <v>-1.6423113256187963E-2</v>
      </c>
    </row>
    <row r="51" spans="1:4" x14ac:dyDescent="0.2">
      <c r="A51" s="17">
        <v>27638</v>
      </c>
      <c r="B51" s="59">
        <f>VLOOKUP(Table134[[#This Row],[Date]],database!A:I,8,)</f>
        <v>82.640199999999993</v>
      </c>
      <c r="C51" s="67">
        <f t="shared" si="0"/>
        <v>-4.1345668345318387E-3</v>
      </c>
      <c r="D51" s="67">
        <f>(Table134[[#This Row],[Index]]-B39)/B39</f>
        <v>-3.2412464801512851E-2</v>
      </c>
    </row>
    <row r="52" spans="1:4" x14ac:dyDescent="0.2">
      <c r="A52" s="17">
        <v>27668</v>
      </c>
      <c r="B52" s="59">
        <f>VLOOKUP(Table134[[#This Row],[Date]],database!A:I,8,)</f>
        <v>82.863799999999998</v>
      </c>
      <c r="C52" s="67">
        <f t="shared" si="0"/>
        <v>2.7057049716723292E-3</v>
      </c>
      <c r="D52" s="67">
        <f>(Table134[[#This Row],[Index]]-B40)/B40</f>
        <v>-3.8221010993908851E-2</v>
      </c>
    </row>
    <row r="53" spans="1:4" x14ac:dyDescent="0.2">
      <c r="A53" s="17">
        <v>27699</v>
      </c>
      <c r="B53" s="59">
        <f>VLOOKUP(Table134[[#This Row],[Date]],database!A:I,8,)</f>
        <v>83.882999999999996</v>
      </c>
      <c r="C53" s="67">
        <f t="shared" si="0"/>
        <v>1.229970143778103E-2</v>
      </c>
      <c r="D53" s="67">
        <f>(Table134[[#This Row],[Index]]-B41)/B41</f>
        <v>5.0528251035712644E-2</v>
      </c>
    </row>
    <row r="54" spans="1:4" x14ac:dyDescent="0.2">
      <c r="A54" s="17">
        <v>27729</v>
      </c>
      <c r="B54" s="59">
        <f>VLOOKUP(Table134[[#This Row],[Date]],database!A:I,8,)</f>
        <v>84.095299999999995</v>
      </c>
      <c r="C54" s="67">
        <f t="shared" si="0"/>
        <v>2.5309061430802693E-3</v>
      </c>
      <c r="D54" s="67">
        <f>(Table134[[#This Row],[Index]]-B42)/B42</f>
        <v>2.6211967935490202E-2</v>
      </c>
    </row>
    <row r="55" spans="1:4" x14ac:dyDescent="0.2">
      <c r="A55" s="17">
        <v>27760</v>
      </c>
      <c r="B55" s="59">
        <f>VLOOKUP(Table134[[#This Row],[Date]],database!A:I,8,)</f>
        <v>85.653700000000001</v>
      </c>
      <c r="C55" s="67">
        <f t="shared" si="0"/>
        <v>1.8531356686996903E-2</v>
      </c>
      <c r="D55" s="67">
        <f>(Table134[[#This Row],[Index]]-B43)/B43</f>
        <v>-8.5344538204211624E-3</v>
      </c>
    </row>
    <row r="56" spans="1:4" x14ac:dyDescent="0.2">
      <c r="A56" s="17">
        <v>27791</v>
      </c>
      <c r="B56" s="59">
        <f>VLOOKUP(Table134[[#This Row],[Date]],database!A:I,8,)</f>
        <v>85.269300000000001</v>
      </c>
      <c r="C56" s="67">
        <f t="shared" si="0"/>
        <v>-4.4878388207397757E-3</v>
      </c>
      <c r="D56" s="67">
        <f>(Table134[[#This Row],[Index]]-B44)/B44</f>
        <v>-2.919307526186114E-4</v>
      </c>
    </row>
    <row r="57" spans="1:4" x14ac:dyDescent="0.2">
      <c r="A57" s="17">
        <v>27820</v>
      </c>
      <c r="B57" s="59">
        <f>VLOOKUP(Table134[[#This Row],[Date]],database!A:I,8,)</f>
        <v>84.228399999999993</v>
      </c>
      <c r="C57" s="67">
        <f t="shared" si="0"/>
        <v>-1.2207207048726909E-2</v>
      </c>
      <c r="D57" s="67">
        <f>(Table134[[#This Row],[Index]]-B45)/B45</f>
        <v>7.7180489403983737E-3</v>
      </c>
    </row>
    <row r="58" spans="1:4" x14ac:dyDescent="0.2">
      <c r="A58" s="17">
        <v>27851</v>
      </c>
      <c r="B58" s="59">
        <f>VLOOKUP(Table134[[#This Row],[Date]],database!A:I,8,)</f>
        <v>83.879900000000006</v>
      </c>
      <c r="C58" s="67">
        <f t="shared" si="0"/>
        <v>-4.1375593030378299E-3</v>
      </c>
      <c r="D58" s="67">
        <f>(Table134[[#This Row],[Index]]-B46)/B46</f>
        <v>6.3744322040202427E-3</v>
      </c>
    </row>
    <row r="59" spans="1:4" x14ac:dyDescent="0.2">
      <c r="A59" s="17">
        <v>27881</v>
      </c>
      <c r="B59" s="59">
        <f>VLOOKUP(Table134[[#This Row],[Date]],database!A:I,8,)</f>
        <v>84.081999999999994</v>
      </c>
      <c r="C59" s="67">
        <f t="shared" si="0"/>
        <v>2.4093972453471668E-3</v>
      </c>
      <c r="D59" s="67">
        <f>(Table134[[#This Row],[Index]]-B47)/B47</f>
        <v>1.1963219718852299E-2</v>
      </c>
    </row>
    <row r="60" spans="1:4" x14ac:dyDescent="0.2">
      <c r="A60" s="17">
        <v>27912</v>
      </c>
      <c r="B60" s="59">
        <f>VLOOKUP(Table134[[#This Row],[Date]],database!A:I,8,)</f>
        <v>83.589299999999994</v>
      </c>
      <c r="C60" s="67">
        <f t="shared" si="0"/>
        <v>-5.8597559525225273E-3</v>
      </c>
      <c r="D60" s="67">
        <f>(Table134[[#This Row],[Index]]-B48)/B48</f>
        <v>-1.0156666311414358E-2</v>
      </c>
    </row>
    <row r="61" spans="1:4" x14ac:dyDescent="0.2">
      <c r="A61" s="17">
        <v>27942</v>
      </c>
      <c r="B61" s="59">
        <f>VLOOKUP(Table134[[#This Row],[Date]],database!A:I,8,)</f>
        <v>82.820099999999996</v>
      </c>
      <c r="C61" s="67">
        <f t="shared" si="0"/>
        <v>-9.2021347229848116E-3</v>
      </c>
      <c r="D61" s="67">
        <f>(Table134[[#This Row],[Index]]-B49)/B49</f>
        <v>6.304889843647507E-3</v>
      </c>
    </row>
    <row r="62" spans="1:4" x14ac:dyDescent="0.2">
      <c r="A62" s="17">
        <v>27973</v>
      </c>
      <c r="B62" s="59">
        <f>VLOOKUP(Table134[[#This Row],[Date]],database!A:I,8,)</f>
        <v>83.941299999999998</v>
      </c>
      <c r="C62" s="67">
        <f t="shared" si="0"/>
        <v>1.3537776457647421E-2</v>
      </c>
      <c r="D62" s="67">
        <f>(Table134[[#This Row],[Index]]-B50)/B50</f>
        <v>1.1544491482021062E-2</v>
      </c>
    </row>
    <row r="63" spans="1:4" x14ac:dyDescent="0.2">
      <c r="A63" s="17">
        <v>28004</v>
      </c>
      <c r="B63" s="59">
        <f>VLOOKUP(Table134[[#This Row],[Date]],database!A:I,8,)</f>
        <v>84.202799999999996</v>
      </c>
      <c r="C63" s="67">
        <f t="shared" si="0"/>
        <v>3.1152722199918603E-3</v>
      </c>
      <c r="D63" s="67">
        <f>(Table134[[#This Row],[Index]]-B51)/B51</f>
        <v>1.8908473115989595E-2</v>
      </c>
    </row>
    <row r="64" spans="1:4" x14ac:dyDescent="0.2">
      <c r="A64" s="17">
        <v>28034</v>
      </c>
      <c r="B64" s="59">
        <f>VLOOKUP(Table134[[#This Row],[Date]],database!A:I,8,)</f>
        <v>84.025400000000005</v>
      </c>
      <c r="C64" s="67">
        <f t="shared" si="0"/>
        <v>-2.1068183005790164E-3</v>
      </c>
      <c r="D64" s="67">
        <f>(Table134[[#This Row],[Index]]-B52)/B52</f>
        <v>1.4018184056246601E-2</v>
      </c>
    </row>
    <row r="65" spans="1:4" x14ac:dyDescent="0.2">
      <c r="A65" s="17">
        <v>28065</v>
      </c>
      <c r="B65" s="59">
        <f>VLOOKUP(Table134[[#This Row],[Date]],database!A:I,8,)</f>
        <v>84.639899999999997</v>
      </c>
      <c r="C65" s="67">
        <f t="shared" si="0"/>
        <v>7.3132647985012511E-3</v>
      </c>
      <c r="D65" s="67">
        <f>(Table134[[#This Row],[Index]]-B53)/B53</f>
        <v>9.0232824290976919E-3</v>
      </c>
    </row>
    <row r="66" spans="1:4" x14ac:dyDescent="0.2">
      <c r="A66" s="17">
        <v>28095</v>
      </c>
      <c r="B66" s="59">
        <f>VLOOKUP(Table134[[#This Row],[Date]],database!A:I,8,)</f>
        <v>85.734999999999999</v>
      </c>
      <c r="C66" s="67">
        <f t="shared" si="0"/>
        <v>1.2938342318457474E-2</v>
      </c>
      <c r="D66" s="67">
        <f>(Table134[[#This Row],[Index]]-B54)/B54</f>
        <v>1.9498117017241211E-2</v>
      </c>
    </row>
    <row r="67" spans="1:4" x14ac:dyDescent="0.2">
      <c r="A67" s="17">
        <v>28126</v>
      </c>
      <c r="B67" s="59">
        <f>VLOOKUP(Table134[[#This Row],[Date]],database!A:I,8,)</f>
        <v>83.102999999999994</v>
      </c>
      <c r="C67" s="67">
        <f t="shared" si="0"/>
        <v>-3.0699247681810315E-2</v>
      </c>
      <c r="D67" s="67">
        <f>(Table134[[#This Row],[Index]]-B55)/B55</f>
        <v>-2.977921560889963E-2</v>
      </c>
    </row>
    <row r="68" spans="1:4" x14ac:dyDescent="0.2">
      <c r="A68" s="17">
        <v>28157</v>
      </c>
      <c r="B68" s="59">
        <f>VLOOKUP(Table134[[#This Row],[Date]],database!A:I,8,)</f>
        <v>86.039699999999996</v>
      </c>
      <c r="C68" s="67">
        <f t="shared" si="0"/>
        <v>3.5338074437746059E-2</v>
      </c>
      <c r="D68" s="67">
        <f>(Table134[[#This Row],[Index]]-B56)/B56</f>
        <v>9.0349047077904372E-3</v>
      </c>
    </row>
    <row r="69" spans="1:4" x14ac:dyDescent="0.2">
      <c r="A69" s="17">
        <v>28185</v>
      </c>
      <c r="B69" s="59">
        <f>VLOOKUP(Table134[[#This Row],[Date]],database!A:I,8,)</f>
        <v>87.544700000000006</v>
      </c>
      <c r="C69" s="67">
        <f t="shared" si="0"/>
        <v>1.7491925239162986E-2</v>
      </c>
      <c r="D69" s="67">
        <f>(Table134[[#This Row],[Index]]-B57)/B57</f>
        <v>3.9372705643227375E-2</v>
      </c>
    </row>
    <row r="70" spans="1:4" x14ac:dyDescent="0.2">
      <c r="A70" s="17">
        <v>28216</v>
      </c>
      <c r="B70" s="59">
        <f>VLOOKUP(Table134[[#This Row],[Date]],database!A:I,8,)</f>
        <v>87.290599999999998</v>
      </c>
      <c r="C70" s="67">
        <f t="shared" si="0"/>
        <v>-2.9025172283417833E-3</v>
      </c>
      <c r="D70" s="67">
        <f>(Table134[[#This Row],[Index]]-B58)/B58</f>
        <v>4.0661707989637461E-2</v>
      </c>
    </row>
    <row r="71" spans="1:4" x14ac:dyDescent="0.2">
      <c r="A71" s="17">
        <v>28246</v>
      </c>
      <c r="B71" s="59">
        <f>VLOOKUP(Table134[[#This Row],[Date]],database!A:I,8,)</f>
        <v>87.258799999999994</v>
      </c>
      <c r="C71" s="67">
        <f t="shared" si="0"/>
        <v>-3.6430039431512018E-4</v>
      </c>
      <c r="D71" s="67">
        <f>(Table134[[#This Row],[Index]]-B59)/B59</f>
        <v>3.7782165029376091E-2</v>
      </c>
    </row>
    <row r="72" spans="1:4" x14ac:dyDescent="0.2">
      <c r="A72" s="17">
        <v>28277</v>
      </c>
      <c r="B72" s="59">
        <f>VLOOKUP(Table134[[#This Row],[Date]],database!A:I,8,)</f>
        <v>86.610799999999998</v>
      </c>
      <c r="C72" s="67">
        <f t="shared" ref="C72:C135" si="1">B72/B71-1</f>
        <v>-7.426185095371407E-3</v>
      </c>
      <c r="D72" s="67">
        <f>(Table134[[#This Row],[Index]]-B60)/B60</f>
        <v>3.6146970963987057E-2</v>
      </c>
    </row>
    <row r="73" spans="1:4" x14ac:dyDescent="0.2">
      <c r="A73" s="17">
        <v>28307</v>
      </c>
      <c r="B73" s="59">
        <f>VLOOKUP(Table134[[#This Row],[Date]],database!A:I,8,)</f>
        <v>87.008700000000005</v>
      </c>
      <c r="C73" s="67">
        <f t="shared" si="1"/>
        <v>4.5941152835444754E-3</v>
      </c>
      <c r="D73" s="67">
        <f>(Table134[[#This Row],[Index]]-B61)/B61</f>
        <v>5.0574679335089044E-2</v>
      </c>
    </row>
    <row r="74" spans="1:4" x14ac:dyDescent="0.2">
      <c r="A74" s="17">
        <v>28338</v>
      </c>
      <c r="B74" s="59">
        <f>VLOOKUP(Table134[[#This Row],[Date]],database!A:I,8,)</f>
        <v>85.005700000000004</v>
      </c>
      <c r="C74" s="67">
        <f t="shared" si="1"/>
        <v>-2.3020686437103421E-2</v>
      </c>
      <c r="D74" s="67">
        <f>(Table134[[#This Row],[Index]]-B62)/B62</f>
        <v>1.268028967862073E-2</v>
      </c>
    </row>
    <row r="75" spans="1:4" x14ac:dyDescent="0.2">
      <c r="A75" s="17">
        <v>28369</v>
      </c>
      <c r="B75" s="59">
        <f>VLOOKUP(Table134[[#This Row],[Date]],database!A:I,8,)</f>
        <v>87.934399999999997</v>
      </c>
      <c r="C75" s="67">
        <f t="shared" si="1"/>
        <v>3.4452983741090293E-2</v>
      </c>
      <c r="D75" s="67">
        <f>(Table134[[#This Row],[Index]]-B63)/B63</f>
        <v>4.4316816067874229E-2</v>
      </c>
    </row>
    <row r="76" spans="1:4" x14ac:dyDescent="0.2">
      <c r="A76" s="17">
        <v>28399</v>
      </c>
      <c r="B76" s="59">
        <f>VLOOKUP(Table134[[#This Row],[Date]],database!A:I,8,)</f>
        <v>87.840500000000006</v>
      </c>
      <c r="C76" s="67">
        <f t="shared" si="1"/>
        <v>-1.0678414818318105E-3</v>
      </c>
      <c r="D76" s="67">
        <f>(Table134[[#This Row],[Index]]-B64)/B64</f>
        <v>4.5404127799451126E-2</v>
      </c>
    </row>
    <row r="77" spans="1:4" x14ac:dyDescent="0.2">
      <c r="A77" s="17">
        <v>28430</v>
      </c>
      <c r="B77" s="59">
        <f>VLOOKUP(Table134[[#This Row],[Date]],database!A:I,8,)</f>
        <v>88.520700000000005</v>
      </c>
      <c r="C77" s="67">
        <f t="shared" si="1"/>
        <v>7.7435806945542751E-3</v>
      </c>
      <c r="D77" s="67">
        <f>(Table134[[#This Row],[Index]]-B65)/B65</f>
        <v>4.5850715797159589E-2</v>
      </c>
    </row>
    <row r="78" spans="1:4" x14ac:dyDescent="0.2">
      <c r="A78" s="17">
        <v>28460</v>
      </c>
      <c r="B78" s="59">
        <f>VLOOKUP(Table134[[#This Row],[Date]],database!A:I,8,)</f>
        <v>81.027199999999993</v>
      </c>
      <c r="C78" s="67">
        <f t="shared" si="1"/>
        <v>-8.4652516304096204E-2</v>
      </c>
      <c r="D78" s="67">
        <f>(Table134[[#This Row],[Index]]-B66)/B66</f>
        <v>-5.491106315973647E-2</v>
      </c>
    </row>
    <row r="79" spans="1:4" x14ac:dyDescent="0.2">
      <c r="A79" s="17">
        <v>28491</v>
      </c>
      <c r="B79" s="59">
        <f>VLOOKUP(Table134[[#This Row],[Date]],database!A:I,8,)</f>
        <v>79.192700000000002</v>
      </c>
      <c r="C79" s="67">
        <f t="shared" si="1"/>
        <v>-2.2640545397101142E-2</v>
      </c>
      <c r="D79" s="67">
        <f>(Table134[[#This Row],[Index]]-B67)/B67</f>
        <v>-4.7053656306029777E-2</v>
      </c>
    </row>
    <row r="80" spans="1:4" x14ac:dyDescent="0.2">
      <c r="A80" s="17">
        <v>28522</v>
      </c>
      <c r="B80" s="59">
        <f>VLOOKUP(Table134[[#This Row],[Date]],database!A:I,8,)</f>
        <v>79.955299999999994</v>
      </c>
      <c r="C80" s="67">
        <f t="shared" si="1"/>
        <v>9.6296754625109227E-3</v>
      </c>
      <c r="D80" s="67">
        <f>(Table134[[#This Row],[Index]]-B68)/B68</f>
        <v>-7.0716192641303979E-2</v>
      </c>
    </row>
    <row r="81" spans="1:4" x14ac:dyDescent="0.2">
      <c r="A81" s="17">
        <v>28550</v>
      </c>
      <c r="B81" s="59">
        <f>VLOOKUP(Table134[[#This Row],[Date]],database!A:I,8,)</f>
        <v>83.961600000000004</v>
      </c>
      <c r="C81" s="67">
        <f t="shared" si="1"/>
        <v>5.0106747144967434E-2</v>
      </c>
      <c r="D81" s="67">
        <f>(Table134[[#This Row],[Index]]-B69)/B69</f>
        <v>-4.0928805513069343E-2</v>
      </c>
    </row>
    <row r="82" spans="1:4" x14ac:dyDescent="0.2">
      <c r="A82" s="17">
        <v>28581</v>
      </c>
      <c r="B82" s="59">
        <f>VLOOKUP(Table134[[#This Row],[Date]],database!A:I,8,)</f>
        <v>92.189400000000006</v>
      </c>
      <c r="C82" s="67">
        <f t="shared" si="1"/>
        <v>9.799479762176988E-2</v>
      </c>
      <c r="D82" s="67">
        <f>(Table134[[#This Row],[Index]]-B70)/B70</f>
        <v>5.6120590304110735E-2</v>
      </c>
    </row>
    <row r="83" spans="1:4" x14ac:dyDescent="0.2">
      <c r="A83" s="17">
        <v>28611</v>
      </c>
      <c r="B83" s="59">
        <f>VLOOKUP(Table134[[#This Row],[Date]],database!A:I,8,)</f>
        <v>91.720600000000005</v>
      </c>
      <c r="C83" s="67">
        <f t="shared" si="1"/>
        <v>-5.0851833291029047E-3</v>
      </c>
      <c r="D83" s="67">
        <f>(Table134[[#This Row],[Index]]-B71)/B71</f>
        <v>5.1132951633531647E-2</v>
      </c>
    </row>
    <row r="84" spans="1:4" x14ac:dyDescent="0.2">
      <c r="A84" s="17">
        <v>28642</v>
      </c>
      <c r="B84" s="59">
        <f>VLOOKUP(Table134[[#This Row],[Date]],database!A:I,8,)</f>
        <v>91.52</v>
      </c>
      <c r="C84" s="67">
        <f t="shared" si="1"/>
        <v>-2.1870768398811746E-3</v>
      </c>
      <c r="D84" s="67">
        <f>(Table134[[#This Row],[Index]]-B72)/B72</f>
        <v>5.6681152927810376E-2</v>
      </c>
    </row>
    <row r="85" spans="1:4" x14ac:dyDescent="0.2">
      <c r="A85" s="17">
        <v>28672</v>
      </c>
      <c r="B85" s="59">
        <f>VLOOKUP(Table134[[#This Row],[Date]],database!A:I,8,)</f>
        <v>92.424499999999995</v>
      </c>
      <c r="C85" s="67">
        <f t="shared" si="1"/>
        <v>9.8830856643357112E-3</v>
      </c>
      <c r="D85" s="67">
        <f>(Table134[[#This Row],[Index]]-B73)/B73</f>
        <v>6.2244350277615802E-2</v>
      </c>
    </row>
    <row r="86" spans="1:4" x14ac:dyDescent="0.2">
      <c r="A86" s="17">
        <v>28703</v>
      </c>
      <c r="B86" s="59">
        <f>VLOOKUP(Table134[[#This Row],[Date]],database!A:I,8,)</f>
        <v>91.472200000000001</v>
      </c>
      <c r="C86" s="67">
        <f t="shared" si="1"/>
        <v>-1.0303545055694086E-2</v>
      </c>
      <c r="D86" s="67">
        <f>(Table134[[#This Row],[Index]]-B74)/B74</f>
        <v>7.6071369331703595E-2</v>
      </c>
    </row>
    <row r="87" spans="1:4" x14ac:dyDescent="0.2">
      <c r="A87" s="17">
        <v>28734</v>
      </c>
      <c r="B87" s="59">
        <f>VLOOKUP(Table134[[#This Row],[Date]],database!A:I,8,)</f>
        <v>89.905299999999997</v>
      </c>
      <c r="C87" s="67">
        <f t="shared" si="1"/>
        <v>-1.7129794626126849E-2</v>
      </c>
      <c r="D87" s="67">
        <f>(Table134[[#This Row],[Index]]-B75)/B75</f>
        <v>2.241329900471261E-2</v>
      </c>
    </row>
    <row r="88" spans="1:4" x14ac:dyDescent="0.2">
      <c r="A88" s="17">
        <v>28764</v>
      </c>
      <c r="B88" s="59">
        <f>VLOOKUP(Table134[[#This Row],[Date]],database!A:I,8,)</f>
        <v>92.074200000000005</v>
      </c>
      <c r="C88" s="67">
        <f t="shared" si="1"/>
        <v>2.4124272985018846E-2</v>
      </c>
      <c r="D88" s="67">
        <f>(Table134[[#This Row],[Index]]-B76)/B76</f>
        <v>4.8197585396257972E-2</v>
      </c>
    </row>
    <row r="89" spans="1:4" x14ac:dyDescent="0.2">
      <c r="A89" s="17">
        <v>28795</v>
      </c>
      <c r="B89" s="59">
        <f>VLOOKUP(Table134[[#This Row],[Date]],database!A:I,8,)</f>
        <v>91.916499999999999</v>
      </c>
      <c r="C89" s="67">
        <f t="shared" si="1"/>
        <v>-1.7127490654277322E-3</v>
      </c>
      <c r="D89" s="67">
        <f>(Table134[[#This Row],[Index]]-B77)/B77</f>
        <v>3.8361648744304935E-2</v>
      </c>
    </row>
    <row r="90" spans="1:4" x14ac:dyDescent="0.2">
      <c r="A90" s="17">
        <v>28825</v>
      </c>
      <c r="B90" s="59">
        <f>VLOOKUP(Table134[[#This Row],[Date]],database!A:I,8,)</f>
        <v>91.233699999999999</v>
      </c>
      <c r="C90" s="67">
        <f t="shared" si="1"/>
        <v>-7.4284812846442394E-3</v>
      </c>
      <c r="D90" s="67">
        <f>(Table134[[#This Row],[Index]]-B78)/B78</f>
        <v>0.12596387385964228</v>
      </c>
    </row>
    <row r="91" spans="1:4" x14ac:dyDescent="0.2">
      <c r="A91" s="17">
        <v>28856</v>
      </c>
      <c r="B91" s="59">
        <f>VLOOKUP(Table134[[#This Row],[Date]],database!A:I,8,)</f>
        <v>90.2273</v>
      </c>
      <c r="C91" s="67">
        <f t="shared" si="1"/>
        <v>-1.1031011566997706E-2</v>
      </c>
      <c r="D91" s="67">
        <f>(Table134[[#This Row],[Index]]-B79)/B79</f>
        <v>0.13933860065384812</v>
      </c>
    </row>
    <row r="92" spans="1:4" x14ac:dyDescent="0.2">
      <c r="A92" s="17">
        <v>28887</v>
      </c>
      <c r="B92" s="59">
        <f>VLOOKUP(Table134[[#This Row],[Date]],database!A:I,8,)</f>
        <v>90.252200000000002</v>
      </c>
      <c r="C92" s="67">
        <f t="shared" si="1"/>
        <v>2.7596968988330417E-4</v>
      </c>
      <c r="D92" s="67">
        <f>(Table134[[#This Row],[Index]]-B80)/B80</f>
        <v>0.12878320761725626</v>
      </c>
    </row>
    <row r="93" spans="1:4" x14ac:dyDescent="0.2">
      <c r="A93" s="17">
        <v>28915</v>
      </c>
      <c r="B93" s="59">
        <f>VLOOKUP(Table134[[#This Row],[Date]],database!A:I,8,)</f>
        <v>90.515500000000003</v>
      </c>
      <c r="C93" s="67">
        <f t="shared" si="1"/>
        <v>2.9173804073474585E-3</v>
      </c>
      <c r="D93" s="67">
        <f>(Table134[[#This Row],[Index]]-B81)/B81</f>
        <v>7.8058302843204488E-2</v>
      </c>
    </row>
    <row r="94" spans="1:4" x14ac:dyDescent="0.2">
      <c r="A94" s="17">
        <v>28946</v>
      </c>
      <c r="B94" s="59">
        <f>VLOOKUP(Table134[[#This Row],[Date]],database!A:I,8,)</f>
        <v>91.686999999999998</v>
      </c>
      <c r="C94" s="67">
        <f t="shared" si="1"/>
        <v>1.2942534704000863E-2</v>
      </c>
      <c r="D94" s="67">
        <f>(Table134[[#This Row],[Index]]-B82)/B82</f>
        <v>-5.4496503936462175E-3</v>
      </c>
    </row>
    <row r="95" spans="1:4" x14ac:dyDescent="0.2">
      <c r="A95" s="17">
        <v>28976</v>
      </c>
      <c r="B95" s="59">
        <f>VLOOKUP(Table134[[#This Row],[Date]],database!A:I,8,)</f>
        <v>91.161000000000001</v>
      </c>
      <c r="C95" s="67">
        <f t="shared" si="1"/>
        <v>-5.736909267398782E-3</v>
      </c>
      <c r="D95" s="67">
        <f>(Table134[[#This Row],[Index]]-B83)/B83</f>
        <v>-6.1011375852317055E-3</v>
      </c>
    </row>
    <row r="96" spans="1:4" x14ac:dyDescent="0.2">
      <c r="A96" s="17">
        <v>29007</v>
      </c>
      <c r="B96" s="59">
        <f>VLOOKUP(Table134[[#This Row],[Date]],database!A:I,8,)</f>
        <v>91.281899999999993</v>
      </c>
      <c r="C96" s="67">
        <f t="shared" si="1"/>
        <v>1.3262250304406642E-3</v>
      </c>
      <c r="D96" s="67">
        <f>(Table134[[#This Row],[Index]]-B84)/B84</f>
        <v>-2.6016171328671644E-3</v>
      </c>
    </row>
    <row r="97" spans="1:4" x14ac:dyDescent="0.2">
      <c r="A97" s="17">
        <v>29037</v>
      </c>
      <c r="B97" s="59">
        <f>VLOOKUP(Table134[[#This Row],[Date]],database!A:I,8,)</f>
        <v>90.397999999999996</v>
      </c>
      <c r="C97" s="67">
        <f t="shared" si="1"/>
        <v>-9.6831902052870733E-3</v>
      </c>
      <c r="D97" s="67">
        <f>(Table134[[#This Row],[Index]]-B85)/B85</f>
        <v>-2.1926004468512124E-2</v>
      </c>
    </row>
    <row r="98" spans="1:4" x14ac:dyDescent="0.2">
      <c r="A98" s="17">
        <v>29068</v>
      </c>
      <c r="B98" s="59">
        <f>VLOOKUP(Table134[[#This Row],[Date]],database!A:I,8,)</f>
        <v>92.429900000000004</v>
      </c>
      <c r="C98" s="67">
        <f t="shared" si="1"/>
        <v>2.2477267196177042E-2</v>
      </c>
      <c r="D98" s="67">
        <f>(Table134[[#This Row],[Index]]-B86)/B86</f>
        <v>1.0469847669565208E-2</v>
      </c>
    </row>
    <row r="99" spans="1:4" x14ac:dyDescent="0.2">
      <c r="A99" s="17">
        <v>29099</v>
      </c>
      <c r="B99" s="59">
        <f>VLOOKUP(Table134[[#This Row],[Date]],database!A:I,8,)</f>
        <v>92.131100000000004</v>
      </c>
      <c r="C99" s="67">
        <f t="shared" si="1"/>
        <v>-3.2327201479175338E-3</v>
      </c>
      <c r="D99" s="67">
        <f>(Table134[[#This Row],[Index]]-B87)/B87</f>
        <v>2.4757161146228383E-2</v>
      </c>
    </row>
    <row r="100" spans="1:4" x14ac:dyDescent="0.2">
      <c r="A100" s="17">
        <v>29129</v>
      </c>
      <c r="B100" s="59">
        <f>VLOOKUP(Table134[[#This Row],[Date]],database!A:I,8,)</f>
        <v>93.414299999999997</v>
      </c>
      <c r="C100" s="67">
        <f t="shared" si="1"/>
        <v>1.3927978717284351E-2</v>
      </c>
      <c r="D100" s="67">
        <f>(Table134[[#This Row],[Index]]-B88)/B88</f>
        <v>1.4554565774125569E-2</v>
      </c>
    </row>
    <row r="101" spans="1:4" x14ac:dyDescent="0.2">
      <c r="A101" s="17">
        <v>29160</v>
      </c>
      <c r="B101" s="59">
        <f>VLOOKUP(Table134[[#This Row],[Date]],database!A:I,8,)</f>
        <v>93.718900000000005</v>
      </c>
      <c r="C101" s="67">
        <f t="shared" si="1"/>
        <v>3.2607427342494777E-3</v>
      </c>
      <c r="D101" s="67">
        <f>(Table134[[#This Row],[Index]]-B89)/B89</f>
        <v>1.9609101739078465E-2</v>
      </c>
    </row>
    <row r="102" spans="1:4" x14ac:dyDescent="0.2">
      <c r="A102" s="17">
        <v>29190</v>
      </c>
      <c r="B102" s="59">
        <f>VLOOKUP(Table134[[#This Row],[Date]],database!A:I,8,)</f>
        <v>93.598200000000006</v>
      </c>
      <c r="C102" s="67">
        <f t="shared" si="1"/>
        <v>-1.2878939040044113E-3</v>
      </c>
      <c r="D102" s="67">
        <f>(Table134[[#This Row],[Index]]-B90)/B90</f>
        <v>2.5916958316937785E-2</v>
      </c>
    </row>
    <row r="103" spans="1:4" x14ac:dyDescent="0.2">
      <c r="A103" s="17">
        <v>29221</v>
      </c>
      <c r="B103" s="59">
        <f>VLOOKUP(Table134[[#This Row],[Date]],database!A:I,8,)</f>
        <v>95.375</v>
      </c>
      <c r="C103" s="67">
        <f t="shared" si="1"/>
        <v>1.8983271045810657E-2</v>
      </c>
      <c r="D103" s="67">
        <f>(Table134[[#This Row],[Index]]-B91)/B91</f>
        <v>5.7052577213326794E-2</v>
      </c>
    </row>
    <row r="104" spans="1:4" x14ac:dyDescent="0.2">
      <c r="A104" s="17">
        <v>29252</v>
      </c>
      <c r="B104" s="59">
        <f>VLOOKUP(Table134[[#This Row],[Date]],database!A:I,8,)</f>
        <v>94.304000000000002</v>
      </c>
      <c r="C104" s="67">
        <f t="shared" si="1"/>
        <v>-1.122935779816514E-2</v>
      </c>
      <c r="D104" s="67">
        <f>(Table134[[#This Row],[Index]]-B92)/B92</f>
        <v>4.4894196484961034E-2</v>
      </c>
    </row>
    <row r="105" spans="1:4" x14ac:dyDescent="0.2">
      <c r="A105" s="17">
        <v>29281</v>
      </c>
      <c r="B105" s="59">
        <f>VLOOKUP(Table134[[#This Row],[Date]],database!A:I,8,)</f>
        <v>95.1267</v>
      </c>
      <c r="C105" s="67">
        <f t="shared" si="1"/>
        <v>8.7239141499830808E-3</v>
      </c>
      <c r="D105" s="67">
        <f>(Table134[[#This Row],[Index]]-B93)/B93</f>
        <v>5.0943761013307075E-2</v>
      </c>
    </row>
    <row r="106" spans="1:4" x14ac:dyDescent="0.2">
      <c r="A106" s="17">
        <v>29312</v>
      </c>
      <c r="B106" s="59">
        <f>VLOOKUP(Table134[[#This Row],[Date]],database!A:I,8,)</f>
        <v>94.034300000000002</v>
      </c>
      <c r="C106" s="67">
        <f t="shared" si="1"/>
        <v>-1.148363182996992E-2</v>
      </c>
      <c r="D106" s="67">
        <f>(Table134[[#This Row],[Index]]-B94)/B94</f>
        <v>2.5601230272557771E-2</v>
      </c>
    </row>
    <row r="107" spans="1:4" x14ac:dyDescent="0.2">
      <c r="A107" s="17">
        <v>29342</v>
      </c>
      <c r="B107" s="59">
        <f>VLOOKUP(Table134[[#This Row],[Date]],database!A:I,8,)</f>
        <v>93.986900000000006</v>
      </c>
      <c r="C107" s="67">
        <f t="shared" si="1"/>
        <v>-5.0407138671737517E-4</v>
      </c>
      <c r="D107" s="67">
        <f>(Table134[[#This Row],[Index]]-B95)/B95</f>
        <v>3.0999001766106166E-2</v>
      </c>
    </row>
    <row r="108" spans="1:4" x14ac:dyDescent="0.2">
      <c r="A108" s="17">
        <v>29373</v>
      </c>
      <c r="B108" s="59">
        <f>VLOOKUP(Table134[[#This Row],[Date]],database!A:I,8,)</f>
        <v>93.640600000000006</v>
      </c>
      <c r="C108" s="67">
        <f t="shared" si="1"/>
        <v>-3.6845560391927101E-3</v>
      </c>
      <c r="D108" s="67">
        <f>(Table134[[#This Row],[Index]]-B96)/B96</f>
        <v>2.5839733835514085E-2</v>
      </c>
    </row>
    <row r="109" spans="1:4" x14ac:dyDescent="0.2">
      <c r="A109" s="17">
        <v>29403</v>
      </c>
      <c r="B109" s="59">
        <f>VLOOKUP(Table134[[#This Row],[Date]],database!A:I,8,)</f>
        <v>92.034800000000004</v>
      </c>
      <c r="C109" s="67">
        <f t="shared" si="1"/>
        <v>-1.7148544541577104E-2</v>
      </c>
      <c r="D109" s="67">
        <f>(Table134[[#This Row],[Index]]-B97)/B97</f>
        <v>1.8106595278656698E-2</v>
      </c>
    </row>
    <row r="110" spans="1:4" x14ac:dyDescent="0.2">
      <c r="A110" s="17">
        <v>29434</v>
      </c>
      <c r="B110" s="59">
        <f>VLOOKUP(Table134[[#This Row],[Date]],database!A:I,8,)</f>
        <v>90.350200000000001</v>
      </c>
      <c r="C110" s="67">
        <f t="shared" si="1"/>
        <v>-1.8303945898725305E-2</v>
      </c>
      <c r="D110" s="67">
        <f>(Table134[[#This Row],[Index]]-B98)/B98</f>
        <v>-2.2500294818018872E-2</v>
      </c>
    </row>
    <row r="111" spans="1:4" x14ac:dyDescent="0.2">
      <c r="A111" s="17">
        <v>29465</v>
      </c>
      <c r="B111" s="59">
        <f>VLOOKUP(Table134[[#This Row],[Date]],database!A:I,8,)</f>
        <v>92.036500000000004</v>
      </c>
      <c r="C111" s="67">
        <f t="shared" si="1"/>
        <v>1.8664042802340353E-2</v>
      </c>
      <c r="D111" s="67">
        <f>(Table134[[#This Row],[Index]]-B99)/B99</f>
        <v>-1.0267976828671295E-3</v>
      </c>
    </row>
    <row r="112" spans="1:4" x14ac:dyDescent="0.2">
      <c r="A112" s="17">
        <v>29495</v>
      </c>
      <c r="B112" s="59">
        <f>VLOOKUP(Table134[[#This Row],[Date]],database!A:I,8,)</f>
        <v>91.759500000000003</v>
      </c>
      <c r="C112" s="67">
        <f t="shared" si="1"/>
        <v>-3.009675509172971E-3</v>
      </c>
      <c r="D112" s="67">
        <f>(Table134[[#This Row],[Index]]-B100)/B100</f>
        <v>-1.7714632556257388E-2</v>
      </c>
    </row>
    <row r="113" spans="1:4" x14ac:dyDescent="0.2">
      <c r="A113" s="17">
        <v>29526</v>
      </c>
      <c r="B113" s="59">
        <f>VLOOKUP(Table134[[#This Row],[Date]],database!A:I,8,)</f>
        <v>93.462999999999994</v>
      </c>
      <c r="C113" s="67">
        <f t="shared" si="1"/>
        <v>1.8564835248666256E-2</v>
      </c>
      <c r="D113" s="67">
        <f>(Table134[[#This Row],[Index]]-B101)/B101</f>
        <v>-2.730505799790769E-3</v>
      </c>
    </row>
    <row r="114" spans="1:4" x14ac:dyDescent="0.2">
      <c r="A114" s="17">
        <v>29556</v>
      </c>
      <c r="B114" s="59">
        <f>VLOOKUP(Table134[[#This Row],[Date]],database!A:I,8,)</f>
        <v>95.429699999999997</v>
      </c>
      <c r="C114" s="67">
        <f t="shared" si="1"/>
        <v>2.1042551597958647E-2</v>
      </c>
      <c r="D114" s="67">
        <f>(Table134[[#This Row],[Index]]-B102)/B102</f>
        <v>1.9567683993922867E-2</v>
      </c>
    </row>
    <row r="115" spans="1:4" x14ac:dyDescent="0.2">
      <c r="A115" s="17">
        <v>29587</v>
      </c>
      <c r="B115" s="59">
        <f>VLOOKUP(Table134[[#This Row],[Date]],database!A:I,8,)</f>
        <v>94.272900000000007</v>
      </c>
      <c r="C115" s="67">
        <f t="shared" si="1"/>
        <v>-1.2122012329494836E-2</v>
      </c>
      <c r="D115" s="67">
        <f>(Table134[[#This Row],[Index]]-B103)/B103</f>
        <v>-1.1555439056356413E-2</v>
      </c>
    </row>
    <row r="116" spans="1:4" x14ac:dyDescent="0.2">
      <c r="A116" s="17">
        <v>29618</v>
      </c>
      <c r="B116" s="59">
        <f>VLOOKUP(Table134[[#This Row],[Date]],database!A:I,8,)</f>
        <v>95.411600000000007</v>
      </c>
      <c r="C116" s="67">
        <f t="shared" si="1"/>
        <v>1.2078762825796119E-2</v>
      </c>
      <c r="D116" s="67">
        <f>(Table134[[#This Row],[Index]]-B104)/B104</f>
        <v>1.1744994910078098E-2</v>
      </c>
    </row>
    <row r="117" spans="1:4" x14ac:dyDescent="0.2">
      <c r="A117" s="17">
        <v>29646</v>
      </c>
      <c r="B117" s="59">
        <f>VLOOKUP(Table134[[#This Row],[Date]],database!A:I,8,)</f>
        <v>96.269199999999998</v>
      </c>
      <c r="C117" s="67">
        <f t="shared" si="1"/>
        <v>8.9884248875398143E-3</v>
      </c>
      <c r="D117" s="67">
        <f>(Table134[[#This Row],[Index]]-B105)/B105</f>
        <v>1.201029784487424E-2</v>
      </c>
    </row>
    <row r="118" spans="1:4" x14ac:dyDescent="0.2">
      <c r="A118" s="17">
        <v>29677</v>
      </c>
      <c r="B118" s="59">
        <f>VLOOKUP(Table134[[#This Row],[Date]],database!A:I,8,)</f>
        <v>91.197400000000002</v>
      </c>
      <c r="C118" s="67">
        <f t="shared" si="1"/>
        <v>-5.2683516638758809E-2</v>
      </c>
      <c r="D118" s="67">
        <f>(Table134[[#This Row],[Index]]-B106)/B106</f>
        <v>-3.0168778839210798E-2</v>
      </c>
    </row>
    <row r="119" spans="1:4" x14ac:dyDescent="0.2">
      <c r="A119" s="17">
        <v>29707</v>
      </c>
      <c r="B119" s="59">
        <f>VLOOKUP(Table134[[#This Row],[Date]],database!A:I,8,)</f>
        <v>91.736800000000002</v>
      </c>
      <c r="C119" s="67">
        <f t="shared" si="1"/>
        <v>5.9146423033991091E-3</v>
      </c>
      <c r="D119" s="67">
        <f>(Table134[[#This Row],[Index]]-B107)/B107</f>
        <v>-2.3940570441199818E-2</v>
      </c>
    </row>
    <row r="120" spans="1:4" x14ac:dyDescent="0.2">
      <c r="A120" s="17">
        <v>29738</v>
      </c>
      <c r="B120" s="59">
        <f>VLOOKUP(Table134[[#This Row],[Date]],database!A:I,8,)</f>
        <v>95.693299999999994</v>
      </c>
      <c r="C120" s="67">
        <f t="shared" si="1"/>
        <v>4.312882071317059E-2</v>
      </c>
      <c r="D120" s="67">
        <f>(Table134[[#This Row],[Index]]-B108)/B108</f>
        <v>2.1921047067190804E-2</v>
      </c>
    </row>
    <row r="121" spans="1:4" x14ac:dyDescent="0.2">
      <c r="A121" s="17">
        <v>29768</v>
      </c>
      <c r="B121" s="59">
        <f>VLOOKUP(Table134[[#This Row],[Date]],database!A:I,8,)</f>
        <v>98.742199999999997</v>
      </c>
      <c r="C121" s="67">
        <f t="shared" si="1"/>
        <v>3.1861164783741458E-2</v>
      </c>
      <c r="D121" s="67">
        <f>(Table134[[#This Row],[Index]]-B109)/B109</f>
        <v>7.2878954482434824E-2</v>
      </c>
    </row>
    <row r="122" spans="1:4" x14ac:dyDescent="0.2">
      <c r="A122" s="17">
        <v>29799</v>
      </c>
      <c r="B122" s="59">
        <f>VLOOKUP(Table134[[#This Row],[Date]],database!A:I,8,)</f>
        <v>99.0655</v>
      </c>
      <c r="C122" s="67">
        <f t="shared" si="1"/>
        <v>3.2741826696185417E-3</v>
      </c>
      <c r="D122" s="67">
        <f>(Table134[[#This Row],[Index]]-B110)/B110</f>
        <v>9.6461324933425699E-2</v>
      </c>
    </row>
    <row r="123" spans="1:4" x14ac:dyDescent="0.2">
      <c r="A123" s="17">
        <v>29830</v>
      </c>
      <c r="B123" s="59">
        <f>VLOOKUP(Table134[[#This Row],[Date]],database!A:I,8,)</f>
        <v>98.4602</v>
      </c>
      <c r="C123" s="67">
        <f t="shared" si="1"/>
        <v>-6.1100988739772877E-3</v>
      </c>
      <c r="D123" s="67">
        <f>(Table134[[#This Row],[Index]]-B111)/B111</f>
        <v>6.9795135625539823E-2</v>
      </c>
    </row>
    <row r="124" spans="1:4" x14ac:dyDescent="0.2">
      <c r="A124" s="17">
        <v>29860</v>
      </c>
      <c r="B124" s="59">
        <f>VLOOKUP(Table134[[#This Row],[Date]],database!A:I,8,)</f>
        <v>97.815399999999997</v>
      </c>
      <c r="C124" s="67">
        <f t="shared" si="1"/>
        <v>-6.5488390232805171E-3</v>
      </c>
      <c r="D124" s="67">
        <f>(Table134[[#This Row],[Index]]-B112)/B112</f>
        <v>6.5997526141707327E-2</v>
      </c>
    </row>
    <row r="125" spans="1:4" x14ac:dyDescent="0.2">
      <c r="A125" s="17">
        <v>29891</v>
      </c>
      <c r="B125" s="59">
        <f>VLOOKUP(Table134[[#This Row],[Date]],database!A:I,8,)</f>
        <v>96.953000000000003</v>
      </c>
      <c r="C125" s="67">
        <f t="shared" si="1"/>
        <v>-8.8166076098445956E-3</v>
      </c>
      <c r="D125" s="67">
        <f>(Table134[[#This Row],[Index]]-B113)/B113</f>
        <v>3.734097985299005E-2</v>
      </c>
    </row>
    <row r="126" spans="1:4" x14ac:dyDescent="0.2">
      <c r="A126" s="17">
        <v>29921</v>
      </c>
      <c r="B126" s="59">
        <f>VLOOKUP(Table134[[#This Row],[Date]],database!A:I,8,)</f>
        <v>96.903999999999996</v>
      </c>
      <c r="C126" s="67">
        <f t="shared" si="1"/>
        <v>-5.0539952348049866E-4</v>
      </c>
      <c r="D126" s="67">
        <f>(Table134[[#This Row],[Index]]-B114)/B114</f>
        <v>1.5449068790952916E-2</v>
      </c>
    </row>
    <row r="127" spans="1:4" x14ac:dyDescent="0.2">
      <c r="A127" s="17">
        <v>29952</v>
      </c>
      <c r="B127" s="59">
        <f>VLOOKUP(Table134[[#This Row],[Date]],database!A:I,8,)</f>
        <v>95.755799999999994</v>
      </c>
      <c r="C127" s="67">
        <f t="shared" si="1"/>
        <v>-1.1848840089160428E-2</v>
      </c>
      <c r="D127" s="67">
        <f>(Table134[[#This Row],[Index]]-B115)/B115</f>
        <v>1.572986510439359E-2</v>
      </c>
    </row>
    <row r="128" spans="1:4" x14ac:dyDescent="0.2">
      <c r="A128" s="17">
        <v>29983</v>
      </c>
      <c r="B128" s="59">
        <f>VLOOKUP(Table134[[#This Row],[Date]],database!A:I,8,)</f>
        <v>96.777799999999999</v>
      </c>
      <c r="C128" s="67">
        <f t="shared" si="1"/>
        <v>1.0672982733160863E-2</v>
      </c>
      <c r="D128" s="67">
        <f>(Table134[[#This Row],[Index]]-B116)/B116</f>
        <v>1.4319013620985204E-2</v>
      </c>
    </row>
    <row r="129" spans="1:4" x14ac:dyDescent="0.2">
      <c r="A129" s="17">
        <v>30011</v>
      </c>
      <c r="B129" s="59">
        <f>VLOOKUP(Table134[[#This Row],[Date]],database!A:I,8,)</f>
        <v>95.976299999999995</v>
      </c>
      <c r="C129" s="67">
        <f t="shared" si="1"/>
        <v>-8.2818580294241606E-3</v>
      </c>
      <c r="D129" s="67">
        <f>(Table134[[#This Row],[Index]]-B117)/B117</f>
        <v>-3.0425099616492404E-3</v>
      </c>
    </row>
    <row r="130" spans="1:4" x14ac:dyDescent="0.2">
      <c r="A130" s="17">
        <v>30042</v>
      </c>
      <c r="B130" s="59">
        <f>VLOOKUP(Table134[[#This Row],[Date]],database!A:I,8,)</f>
        <v>93.976600000000005</v>
      </c>
      <c r="C130" s="67">
        <f t="shared" si="1"/>
        <v>-2.083535206087328E-2</v>
      </c>
      <c r="D130" s="67">
        <f>(Table134[[#This Row],[Index]]-B118)/B118</f>
        <v>3.0474553002607561E-2</v>
      </c>
    </row>
    <row r="131" spans="1:4" x14ac:dyDescent="0.2">
      <c r="A131" s="17">
        <v>30072</v>
      </c>
      <c r="B131" s="59">
        <f>VLOOKUP(Table134[[#This Row],[Date]],database!A:I,8,)</f>
        <v>92.453800000000001</v>
      </c>
      <c r="C131" s="67">
        <f t="shared" si="1"/>
        <v>-1.6204033770108817E-2</v>
      </c>
      <c r="D131" s="67">
        <f>(Table134[[#This Row],[Index]]-B119)/B119</f>
        <v>7.8158383549458751E-3</v>
      </c>
    </row>
    <row r="132" spans="1:4" x14ac:dyDescent="0.2">
      <c r="A132" s="17">
        <v>30103</v>
      </c>
      <c r="B132" s="59">
        <f>VLOOKUP(Table134[[#This Row],[Date]],database!A:I,8,)</f>
        <v>91.178899999999999</v>
      </c>
      <c r="C132" s="67">
        <f t="shared" si="1"/>
        <v>-1.3789590043892241E-2</v>
      </c>
      <c r="D132" s="67">
        <f>(Table134[[#This Row],[Index]]-B120)/B120</f>
        <v>-4.7175716586218629E-2</v>
      </c>
    </row>
    <row r="133" spans="1:4" x14ac:dyDescent="0.2">
      <c r="A133" s="17">
        <v>30133</v>
      </c>
      <c r="B133" s="59">
        <f>VLOOKUP(Table134[[#This Row],[Date]],database!A:I,8,)</f>
        <v>89.857500000000002</v>
      </c>
      <c r="C133" s="67">
        <f t="shared" si="1"/>
        <v>-1.4492388041531523E-2</v>
      </c>
      <c r="D133" s="67">
        <f>(Table134[[#This Row],[Index]]-B121)/B121</f>
        <v>-8.9978752752116073E-2</v>
      </c>
    </row>
    <row r="134" spans="1:4" x14ac:dyDescent="0.2">
      <c r="A134" s="17">
        <v>30164</v>
      </c>
      <c r="B134" s="59">
        <f>VLOOKUP(Table134[[#This Row],[Date]],database!A:I,8,)</f>
        <v>89.176699999999997</v>
      </c>
      <c r="C134" s="67">
        <f t="shared" si="1"/>
        <v>-7.5764404751968994E-3</v>
      </c>
      <c r="D134" s="67">
        <f>(Table134[[#This Row],[Index]]-B122)/B122</f>
        <v>-9.9820825615375725E-2</v>
      </c>
    </row>
    <row r="135" spans="1:4" x14ac:dyDescent="0.2">
      <c r="A135" s="17">
        <v>30195</v>
      </c>
      <c r="B135" s="59">
        <f>VLOOKUP(Table134[[#This Row],[Date]],database!A:I,8,)</f>
        <v>88.304299999999998</v>
      </c>
      <c r="C135" s="67">
        <f t="shared" si="1"/>
        <v>-9.7828244373250328E-3</v>
      </c>
      <c r="D135" s="67">
        <f>(Table134[[#This Row],[Index]]-B123)/B123</f>
        <v>-0.1031472615330865</v>
      </c>
    </row>
    <row r="136" spans="1:4" x14ac:dyDescent="0.2">
      <c r="A136" s="17">
        <v>30225</v>
      </c>
      <c r="B136" s="59">
        <f>VLOOKUP(Table134[[#This Row],[Date]],database!A:I,8,)</f>
        <v>87.997100000000003</v>
      </c>
      <c r="C136" s="67">
        <f t="shared" ref="C136:C199" si="2">B136/B135-1</f>
        <v>-3.4788792844742122E-3</v>
      </c>
      <c r="D136" s="67">
        <f>(Table134[[#This Row],[Index]]-B124)/B124</f>
        <v>-0.10037580994403739</v>
      </c>
    </row>
    <row r="137" spans="1:4" x14ac:dyDescent="0.2">
      <c r="A137" s="17">
        <v>30256</v>
      </c>
      <c r="B137" s="59">
        <f>VLOOKUP(Table134[[#This Row],[Date]],database!A:I,8,)</f>
        <v>87.756600000000006</v>
      </c>
      <c r="C137" s="67">
        <f t="shared" si="2"/>
        <v>-2.7330446116974327E-3</v>
      </c>
      <c r="D137" s="67">
        <f>(Table134[[#This Row],[Index]]-B125)/B125</f>
        <v>-9.4854207708889846E-2</v>
      </c>
    </row>
    <row r="138" spans="1:4" x14ac:dyDescent="0.2">
      <c r="A138" s="17">
        <v>30286</v>
      </c>
      <c r="B138" s="59">
        <f>VLOOKUP(Table134[[#This Row],[Date]],database!A:I,8,)</f>
        <v>86.704800000000006</v>
      </c>
      <c r="C138" s="67">
        <f t="shared" si="2"/>
        <v>-1.1985423318587984E-2</v>
      </c>
      <c r="D138" s="67">
        <f>(Table134[[#This Row],[Index]]-B126)/B126</f>
        <v>-0.1052505572525385</v>
      </c>
    </row>
    <row r="139" spans="1:4" x14ac:dyDescent="0.2">
      <c r="A139" s="17">
        <v>30317</v>
      </c>
      <c r="B139" s="59">
        <f>VLOOKUP(Table134[[#This Row],[Date]],database!A:I,8,)</f>
        <v>87.543300000000002</v>
      </c>
      <c r="C139" s="67">
        <f t="shared" si="2"/>
        <v>9.6707448722561651E-3</v>
      </c>
      <c r="D139" s="67">
        <f>(Table134[[#This Row],[Index]]-B127)/B127</f>
        <v>-8.5765039820042147E-2</v>
      </c>
    </row>
    <row r="140" spans="1:4" x14ac:dyDescent="0.2">
      <c r="A140" s="17">
        <v>30348</v>
      </c>
      <c r="B140" s="59">
        <f>VLOOKUP(Table134[[#This Row],[Date]],database!A:I,8,)</f>
        <v>85.814899999999994</v>
      </c>
      <c r="C140" s="67">
        <f t="shared" si="2"/>
        <v>-1.9743372708134199E-2</v>
      </c>
      <c r="D140" s="67">
        <f>(Table134[[#This Row],[Index]]-B128)/B128</f>
        <v>-0.11327907846634254</v>
      </c>
    </row>
    <row r="141" spans="1:4" x14ac:dyDescent="0.2">
      <c r="A141" s="17">
        <v>30376</v>
      </c>
      <c r="B141" s="59">
        <f>VLOOKUP(Table134[[#This Row],[Date]],database!A:I,8,)</f>
        <v>84.724900000000005</v>
      </c>
      <c r="C141" s="67">
        <f t="shared" si="2"/>
        <v>-1.2701756921000729E-2</v>
      </c>
      <c r="D141" s="67">
        <f>(Table134[[#This Row],[Index]]-B129)/B129</f>
        <v>-0.11723102474256655</v>
      </c>
    </row>
    <row r="142" spans="1:4" x14ac:dyDescent="0.2">
      <c r="A142" s="17">
        <v>30407</v>
      </c>
      <c r="B142" s="59">
        <f>VLOOKUP(Table134[[#This Row],[Date]],database!A:I,8,)</f>
        <v>85.602599999999995</v>
      </c>
      <c r="C142" s="67">
        <f t="shared" si="2"/>
        <v>1.0359410279622505E-2</v>
      </c>
      <c r="D142" s="67">
        <f>(Table134[[#This Row],[Index]]-B130)/B130</f>
        <v>-8.9107288410093674E-2</v>
      </c>
    </row>
    <row r="143" spans="1:4" x14ac:dyDescent="0.2">
      <c r="A143" s="17">
        <v>30437</v>
      </c>
      <c r="B143" s="59">
        <f>VLOOKUP(Table134[[#This Row],[Date]],database!A:I,8,)</f>
        <v>85.209500000000006</v>
      </c>
      <c r="C143" s="67">
        <f t="shared" si="2"/>
        <v>-4.592150238427184E-3</v>
      </c>
      <c r="D143" s="67">
        <f>(Table134[[#This Row],[Index]]-B131)/B131</f>
        <v>-7.8355892348394504E-2</v>
      </c>
    </row>
    <row r="144" spans="1:4" x14ac:dyDescent="0.2">
      <c r="A144" s="17">
        <v>30468</v>
      </c>
      <c r="B144" s="59">
        <f>VLOOKUP(Table134[[#This Row],[Date]],database!A:I,8,)</f>
        <v>85.443200000000004</v>
      </c>
      <c r="C144" s="67">
        <f t="shared" si="2"/>
        <v>2.7426519343500821E-3</v>
      </c>
      <c r="D144" s="67">
        <f>(Table134[[#This Row],[Index]]-B132)/B132</f>
        <v>-6.290600127880458E-2</v>
      </c>
    </row>
    <row r="145" spans="1:4" x14ac:dyDescent="0.2">
      <c r="A145" s="17">
        <v>30498</v>
      </c>
      <c r="B145" s="59">
        <f>VLOOKUP(Table134[[#This Row],[Date]],database!A:I,8,)</f>
        <v>85.967600000000004</v>
      </c>
      <c r="C145" s="67">
        <f t="shared" si="2"/>
        <v>6.1374105838731818E-3</v>
      </c>
      <c r="D145" s="67">
        <f>(Table134[[#This Row],[Index]]-B133)/B133</f>
        <v>-4.3289653061792249E-2</v>
      </c>
    </row>
    <row r="146" spans="1:4" x14ac:dyDescent="0.2">
      <c r="A146" s="17">
        <v>30529</v>
      </c>
      <c r="B146" s="59">
        <f>VLOOKUP(Table134[[#This Row],[Date]],database!A:I,8,)</f>
        <v>86.742199999999997</v>
      </c>
      <c r="C146" s="67">
        <f t="shared" si="2"/>
        <v>9.0103713492057924E-3</v>
      </c>
      <c r="D146" s="67">
        <f>(Table134[[#This Row],[Index]]-B134)/B134</f>
        <v>-2.7299731880636981E-2</v>
      </c>
    </row>
    <row r="147" spans="1:4" x14ac:dyDescent="0.2">
      <c r="A147" s="17">
        <v>30560</v>
      </c>
      <c r="B147" s="59">
        <f>VLOOKUP(Table134[[#This Row],[Date]],database!A:I,8,)</f>
        <v>87.312600000000003</v>
      </c>
      <c r="C147" s="67">
        <f t="shared" si="2"/>
        <v>6.5758073924804261E-3</v>
      </c>
      <c r="D147" s="67">
        <f>(Table134[[#This Row],[Index]]-B135)/B135</f>
        <v>-1.1230483679730143E-2</v>
      </c>
    </row>
    <row r="148" spans="1:4" x14ac:dyDescent="0.2">
      <c r="A148" s="17">
        <v>30590</v>
      </c>
      <c r="B148" s="59">
        <f>VLOOKUP(Table134[[#This Row],[Date]],database!A:I,8,)</f>
        <v>88.189899999999994</v>
      </c>
      <c r="C148" s="67">
        <f t="shared" si="2"/>
        <v>1.004780524231319E-2</v>
      </c>
      <c r="D148" s="67">
        <f>(Table134[[#This Row],[Index]]-B136)/B136</f>
        <v>2.1909812937016241E-3</v>
      </c>
    </row>
    <row r="149" spans="1:4" x14ac:dyDescent="0.2">
      <c r="A149" s="17">
        <v>30621</v>
      </c>
      <c r="B149" s="59">
        <f>VLOOKUP(Table134[[#This Row],[Date]],database!A:I,8,)</f>
        <v>88.188699999999997</v>
      </c>
      <c r="C149" s="67">
        <f t="shared" si="2"/>
        <v>-1.3607000348025977E-5</v>
      </c>
      <c r="D149" s="67">
        <f>(Table134[[#This Row],[Index]]-B137)/B137</f>
        <v>4.9238461836487654E-3</v>
      </c>
    </row>
    <row r="150" spans="1:4" x14ac:dyDescent="0.2">
      <c r="A150" s="17">
        <v>30651</v>
      </c>
      <c r="B150" s="59">
        <f>VLOOKUP(Table134[[#This Row],[Date]],database!A:I,8,)</f>
        <v>87.206400000000002</v>
      </c>
      <c r="C150" s="67">
        <f t="shared" si="2"/>
        <v>-1.1138615264767449E-2</v>
      </c>
      <c r="D150" s="67">
        <f>(Table134[[#This Row],[Index]]-B138)/B138</f>
        <v>5.7851468430813085E-3</v>
      </c>
    </row>
    <row r="151" spans="1:4" x14ac:dyDescent="0.2">
      <c r="A151" s="17">
        <v>30682</v>
      </c>
      <c r="B151" s="59">
        <f>VLOOKUP(Table134[[#This Row],[Date]],database!A:I,8,)</f>
        <v>91.299700000000001</v>
      </c>
      <c r="C151" s="67">
        <f t="shared" si="2"/>
        <v>4.6938068765595142E-2</v>
      </c>
      <c r="D151" s="67">
        <f>(Table134[[#This Row],[Index]]-B139)/B139</f>
        <v>4.2909051863477835E-2</v>
      </c>
    </row>
    <row r="152" spans="1:4" x14ac:dyDescent="0.2">
      <c r="A152" s="17">
        <v>30713</v>
      </c>
      <c r="B152" s="59">
        <f>VLOOKUP(Table134[[#This Row],[Date]],database!A:I,8,)</f>
        <v>90.296099999999996</v>
      </c>
      <c r="C152" s="67">
        <f t="shared" si="2"/>
        <v>-1.0992369087740816E-2</v>
      </c>
      <c r="D152" s="67">
        <f>(Table134[[#This Row],[Index]]-B140)/B140</f>
        <v>5.2219369829714903E-2</v>
      </c>
    </row>
    <row r="153" spans="1:4" x14ac:dyDescent="0.2">
      <c r="A153" s="17">
        <v>30742</v>
      </c>
      <c r="B153" s="59">
        <f>VLOOKUP(Table134[[#This Row],[Date]],database!A:I,8,)</f>
        <v>89.636300000000006</v>
      </c>
      <c r="C153" s="67">
        <f t="shared" si="2"/>
        <v>-7.3070708480209579E-3</v>
      </c>
      <c r="D153" s="67">
        <f>(Table134[[#This Row],[Index]]-B141)/B141</f>
        <v>5.7968790756908535E-2</v>
      </c>
    </row>
    <row r="154" spans="1:4" x14ac:dyDescent="0.2">
      <c r="A154" s="17">
        <v>30773</v>
      </c>
      <c r="B154" s="59">
        <f>VLOOKUP(Table134[[#This Row],[Date]],database!A:I,8,)</f>
        <v>91.393299999999996</v>
      </c>
      <c r="C154" s="67">
        <f t="shared" si="2"/>
        <v>1.960143379412127E-2</v>
      </c>
      <c r="D154" s="67">
        <f>(Table134[[#This Row],[Index]]-B142)/B142</f>
        <v>6.7646309808346961E-2</v>
      </c>
    </row>
    <row r="155" spans="1:4" x14ac:dyDescent="0.2">
      <c r="A155" s="17">
        <v>30803</v>
      </c>
      <c r="B155" s="59">
        <f>VLOOKUP(Table134[[#This Row],[Date]],database!A:I,8,)</f>
        <v>92.756100000000004</v>
      </c>
      <c r="C155" s="67">
        <f t="shared" si="2"/>
        <v>1.4911377529862824E-2</v>
      </c>
      <c r="D155" s="67">
        <f>(Table134[[#This Row],[Index]]-B143)/B143</f>
        <v>8.8565242138493913E-2</v>
      </c>
    </row>
    <row r="156" spans="1:4" x14ac:dyDescent="0.2">
      <c r="A156" s="17">
        <v>30834</v>
      </c>
      <c r="B156" s="59">
        <f>VLOOKUP(Table134[[#This Row],[Date]],database!A:I,8,)</f>
        <v>93.133099999999999</v>
      </c>
      <c r="C156" s="67">
        <f t="shared" si="2"/>
        <v>4.0644227172119685E-3</v>
      </c>
      <c r="D156" s="67">
        <f>(Table134[[#This Row],[Index]]-B144)/B144</f>
        <v>9.0000140444178048E-2</v>
      </c>
    </row>
    <row r="157" spans="1:4" x14ac:dyDescent="0.2">
      <c r="A157" s="17">
        <v>30864</v>
      </c>
      <c r="B157" s="59">
        <f>VLOOKUP(Table134[[#This Row],[Date]],database!A:I,8,)</f>
        <v>94.707300000000004</v>
      </c>
      <c r="C157" s="67">
        <f t="shared" si="2"/>
        <v>1.6902690880041593E-2</v>
      </c>
      <c r="D157" s="67">
        <f>(Table134[[#This Row],[Index]]-B145)/B145</f>
        <v>0.10166271944313902</v>
      </c>
    </row>
    <row r="158" spans="1:4" x14ac:dyDescent="0.2">
      <c r="A158" s="17">
        <v>30895</v>
      </c>
      <c r="B158" s="59">
        <f>VLOOKUP(Table134[[#This Row],[Date]],database!A:I,8,)</f>
        <v>93.714699999999993</v>
      </c>
      <c r="C158" s="67">
        <f t="shared" si="2"/>
        <v>-1.0480712680015269E-2</v>
      </c>
      <c r="D158" s="67">
        <f>(Table134[[#This Row],[Index]]-B146)/B146</f>
        <v>8.038186718805837E-2</v>
      </c>
    </row>
    <row r="159" spans="1:4" x14ac:dyDescent="0.2">
      <c r="A159" s="17">
        <v>30926</v>
      </c>
      <c r="B159" s="59">
        <f>VLOOKUP(Table134[[#This Row],[Date]],database!A:I,8,)</f>
        <v>94.320599999999999</v>
      </c>
      <c r="C159" s="67">
        <f t="shared" si="2"/>
        <v>6.4653677598072168E-3</v>
      </c>
      <c r="D159" s="67">
        <f>(Table134[[#This Row],[Index]]-B147)/B147</f>
        <v>8.0263329691247262E-2</v>
      </c>
    </row>
    <row r="160" spans="1:4" x14ac:dyDescent="0.2">
      <c r="A160" s="17">
        <v>30956</v>
      </c>
      <c r="B160" s="59">
        <f>VLOOKUP(Table134[[#This Row],[Date]],database!A:I,8,)</f>
        <v>91.242900000000006</v>
      </c>
      <c r="C160" s="67">
        <f t="shared" si="2"/>
        <v>-3.2630199553437933E-2</v>
      </c>
      <c r="D160" s="67">
        <f>(Table134[[#This Row],[Index]]-B148)/B148</f>
        <v>3.4618476718989495E-2</v>
      </c>
    </row>
    <row r="161" spans="1:4" x14ac:dyDescent="0.2">
      <c r="A161" s="17">
        <v>30987</v>
      </c>
      <c r="B161" s="59">
        <f>VLOOKUP(Table134[[#This Row],[Date]],database!A:I,8,)</f>
        <v>91.304900000000004</v>
      </c>
      <c r="C161" s="67">
        <f t="shared" si="2"/>
        <v>6.7950492586277278E-4</v>
      </c>
      <c r="D161" s="67">
        <f>(Table134[[#This Row],[Index]]-B149)/B149</f>
        <v>3.5335592882081338E-2</v>
      </c>
    </row>
    <row r="162" spans="1:4" x14ac:dyDescent="0.2">
      <c r="A162" s="17">
        <v>31017</v>
      </c>
      <c r="B162" s="59">
        <f>VLOOKUP(Table134[[#This Row],[Date]],database!A:I,8,)</f>
        <v>91.437700000000007</v>
      </c>
      <c r="C162" s="67">
        <f t="shared" si="2"/>
        <v>1.4544673944114628E-3</v>
      </c>
      <c r="D162" s="67">
        <f>(Table134[[#This Row],[Index]]-B150)/B150</f>
        <v>4.8520521429619892E-2</v>
      </c>
    </row>
    <row r="163" spans="1:4" x14ac:dyDescent="0.2">
      <c r="A163" s="17">
        <v>31048</v>
      </c>
      <c r="B163" s="59">
        <f>VLOOKUP(Table134[[#This Row],[Date]],database!A:I,8,)</f>
        <v>89.293099999999995</v>
      </c>
      <c r="C163" s="67">
        <f t="shared" si="2"/>
        <v>-2.3454220742647802E-2</v>
      </c>
      <c r="D163" s="67">
        <f>(Table134[[#This Row],[Index]]-B151)/B151</f>
        <v>-2.1978166412376009E-2</v>
      </c>
    </row>
    <row r="164" spans="1:4" x14ac:dyDescent="0.2">
      <c r="A164" s="17">
        <v>31079</v>
      </c>
      <c r="B164" s="59">
        <f>VLOOKUP(Table134[[#This Row],[Date]],database!A:I,8,)</f>
        <v>90.9619</v>
      </c>
      <c r="C164" s="67">
        <f t="shared" si="2"/>
        <v>1.8689014044758201E-2</v>
      </c>
      <c r="D164" s="67">
        <f>(Table134[[#This Row],[Index]]-B152)/B152</f>
        <v>7.3735189005948694E-3</v>
      </c>
    </row>
    <row r="165" spans="1:4" x14ac:dyDescent="0.2">
      <c r="A165" s="17">
        <v>31107</v>
      </c>
      <c r="B165" s="59">
        <f>VLOOKUP(Table134[[#This Row],[Date]],database!A:I,8,)</f>
        <v>91.1982</v>
      </c>
      <c r="C165" s="67">
        <f t="shared" si="2"/>
        <v>2.5977909432410851E-3</v>
      </c>
      <c r="D165" s="67">
        <f>(Table134[[#This Row],[Index]]-B153)/B153</f>
        <v>1.7424860240772926E-2</v>
      </c>
    </row>
    <row r="166" spans="1:4" x14ac:dyDescent="0.2">
      <c r="A166" s="17">
        <v>31138</v>
      </c>
      <c r="B166" s="59">
        <f>VLOOKUP(Table134[[#This Row],[Date]],database!A:I,8,)</f>
        <v>90.949200000000005</v>
      </c>
      <c r="C166" s="67">
        <f t="shared" si="2"/>
        <v>-2.7303170457311232E-3</v>
      </c>
      <c r="D166" s="67">
        <f>(Table134[[#This Row],[Index]]-B154)/B154</f>
        <v>-4.8592183453271933E-3</v>
      </c>
    </row>
    <row r="167" spans="1:4" x14ac:dyDescent="0.2">
      <c r="A167" s="17">
        <v>31168</v>
      </c>
      <c r="B167" s="59">
        <f>VLOOKUP(Table134[[#This Row],[Date]],database!A:I,8,)</f>
        <v>91.122699999999995</v>
      </c>
      <c r="C167" s="67">
        <f t="shared" si="2"/>
        <v>1.9076583411397063E-3</v>
      </c>
      <c r="D167" s="67">
        <f>(Table134[[#This Row],[Index]]-B155)/B155</f>
        <v>-1.7609623518022088E-2</v>
      </c>
    </row>
    <row r="168" spans="1:4" x14ac:dyDescent="0.2">
      <c r="A168" s="17">
        <v>31199</v>
      </c>
      <c r="B168" s="59">
        <f>VLOOKUP(Table134[[#This Row],[Date]],database!A:I,8,)</f>
        <v>91.231700000000004</v>
      </c>
      <c r="C168" s="67">
        <f t="shared" si="2"/>
        <v>1.1961893139691426E-3</v>
      </c>
      <c r="D168" s="67">
        <f>(Table134[[#This Row],[Index]]-B156)/B156</f>
        <v>-2.0415942344880558E-2</v>
      </c>
    </row>
    <row r="169" spans="1:4" x14ac:dyDescent="0.2">
      <c r="A169" s="17">
        <v>31229</v>
      </c>
      <c r="B169" s="59">
        <f>VLOOKUP(Table134[[#This Row],[Date]],database!A:I,8,)</f>
        <v>89.664699999999996</v>
      </c>
      <c r="C169" s="67">
        <f t="shared" si="2"/>
        <v>-1.7176047360731084E-2</v>
      </c>
      <c r="D169" s="67">
        <f>(Table134[[#This Row],[Index]]-B157)/B157</f>
        <v>-5.3244047713323125E-2</v>
      </c>
    </row>
    <row r="170" spans="1:4" x14ac:dyDescent="0.2">
      <c r="A170" s="17">
        <v>31260</v>
      </c>
      <c r="B170" s="59">
        <f>VLOOKUP(Table134[[#This Row],[Date]],database!A:I,8,)</f>
        <v>89.505200000000002</v>
      </c>
      <c r="C170" s="67">
        <f t="shared" si="2"/>
        <v>-1.7788494245783992E-3</v>
      </c>
      <c r="D170" s="67">
        <f>(Table134[[#This Row],[Index]]-B158)/B158</f>
        <v>-4.4918246550434367E-2</v>
      </c>
    </row>
    <row r="171" spans="1:4" x14ac:dyDescent="0.2">
      <c r="A171" s="17">
        <v>31291</v>
      </c>
      <c r="B171" s="59">
        <f>VLOOKUP(Table134[[#This Row],[Date]],database!A:I,8,)</f>
        <v>90.54</v>
      </c>
      <c r="C171" s="67">
        <f t="shared" si="2"/>
        <v>1.1561339452903274E-2</v>
      </c>
      <c r="D171" s="67">
        <f>(Table134[[#This Row],[Index]]-B159)/B159</f>
        <v>-4.00824422236499E-2</v>
      </c>
    </row>
    <row r="172" spans="1:4" x14ac:dyDescent="0.2">
      <c r="A172" s="17">
        <v>31321</v>
      </c>
      <c r="B172" s="59">
        <f>VLOOKUP(Table134[[#This Row],[Date]],database!A:I,8,)</f>
        <v>89.951099999999997</v>
      </c>
      <c r="C172" s="67">
        <f t="shared" si="2"/>
        <v>-6.5043074884030272E-3</v>
      </c>
      <c r="D172" s="67">
        <f>(Table134[[#This Row],[Index]]-B160)/B160</f>
        <v>-1.4157813923056031E-2</v>
      </c>
    </row>
    <row r="173" spans="1:4" x14ac:dyDescent="0.2">
      <c r="A173" s="17">
        <v>31352</v>
      </c>
      <c r="B173" s="59">
        <f>VLOOKUP(Table134[[#This Row],[Date]],database!A:I,8,)</f>
        <v>88.841899999999995</v>
      </c>
      <c r="C173" s="67">
        <f t="shared" si="2"/>
        <v>-1.233114436621674E-2</v>
      </c>
      <c r="D173" s="67">
        <f>(Table134[[#This Row],[Index]]-B161)/B161</f>
        <v>-2.6975551147857432E-2</v>
      </c>
    </row>
    <row r="174" spans="1:4" x14ac:dyDescent="0.2">
      <c r="A174" s="17">
        <v>31382</v>
      </c>
      <c r="B174" s="59">
        <f>VLOOKUP(Table134[[#This Row],[Date]],database!A:I,8,)</f>
        <v>90.679900000000004</v>
      </c>
      <c r="C174" s="67">
        <f t="shared" si="2"/>
        <v>2.0688436424705081E-2</v>
      </c>
      <c r="D174" s="67">
        <f>(Table134[[#This Row],[Index]]-B162)/B162</f>
        <v>-8.2876100339357075E-3</v>
      </c>
    </row>
    <row r="175" spans="1:4" x14ac:dyDescent="0.2">
      <c r="A175" s="17">
        <v>31413</v>
      </c>
      <c r="B175" s="59">
        <f>VLOOKUP(Table134[[#This Row],[Date]],database!A:I,8,)</f>
        <v>90.405199999999994</v>
      </c>
      <c r="C175" s="67">
        <f t="shared" si="2"/>
        <v>-3.0293372621718051E-3</v>
      </c>
      <c r="D175" s="67">
        <f>(Table134[[#This Row],[Index]]-B163)/B163</f>
        <v>1.2454489764606651E-2</v>
      </c>
    </row>
    <row r="176" spans="1:4" x14ac:dyDescent="0.2">
      <c r="A176" s="17">
        <v>31444</v>
      </c>
      <c r="B176" s="59">
        <f>VLOOKUP(Table134[[#This Row],[Date]],database!A:I,8,)</f>
        <v>89.166300000000007</v>
      </c>
      <c r="C176" s="67">
        <f t="shared" si="2"/>
        <v>-1.3703857742696113E-2</v>
      </c>
      <c r="D176" s="67">
        <f>(Table134[[#This Row],[Index]]-B164)/B164</f>
        <v>-1.9740132956765341E-2</v>
      </c>
    </row>
    <row r="177" spans="1:4" x14ac:dyDescent="0.2">
      <c r="A177" s="17">
        <v>31472</v>
      </c>
      <c r="B177" s="59">
        <f>VLOOKUP(Table134[[#This Row],[Date]],database!A:I,8,)</f>
        <v>86.772300000000001</v>
      </c>
      <c r="C177" s="67">
        <f t="shared" si="2"/>
        <v>-2.684870853674548E-2</v>
      </c>
      <c r="D177" s="67">
        <f>(Table134[[#This Row],[Index]]-B165)/B165</f>
        <v>-4.8530563103219126E-2</v>
      </c>
    </row>
    <row r="178" spans="1:4" x14ac:dyDescent="0.2">
      <c r="A178" s="17">
        <v>31503</v>
      </c>
      <c r="B178" s="59">
        <f>VLOOKUP(Table134[[#This Row],[Date]],database!A:I,8,)</f>
        <v>83.902699999999996</v>
      </c>
      <c r="C178" s="67">
        <f t="shared" si="2"/>
        <v>-3.3070461426054187E-2</v>
      </c>
      <c r="D178" s="67">
        <f>(Table134[[#This Row],[Index]]-B166)/B166</f>
        <v>-7.7477317007736274E-2</v>
      </c>
    </row>
    <row r="179" spans="1:4" x14ac:dyDescent="0.2">
      <c r="A179" s="17">
        <v>31533</v>
      </c>
      <c r="B179" s="59">
        <f>VLOOKUP(Table134[[#This Row],[Date]],database!A:I,8,)</f>
        <v>83.398099999999999</v>
      </c>
      <c r="C179" s="67">
        <f t="shared" si="2"/>
        <v>-6.0141092002998775E-3</v>
      </c>
      <c r="D179" s="67">
        <f>(Table134[[#This Row],[Index]]-B167)/B167</f>
        <v>-8.4771412611786043E-2</v>
      </c>
    </row>
    <row r="180" spans="1:4" x14ac:dyDescent="0.2">
      <c r="A180" s="17">
        <v>31564</v>
      </c>
      <c r="B180" s="59">
        <f>VLOOKUP(Table134[[#This Row],[Date]],database!A:I,8,)</f>
        <v>82.269900000000007</v>
      </c>
      <c r="C180" s="67">
        <f t="shared" si="2"/>
        <v>-1.3527886126902033E-2</v>
      </c>
      <c r="D180" s="67">
        <f>(Table134[[#This Row],[Index]]-B168)/B168</f>
        <v>-9.8231206916017083E-2</v>
      </c>
    </row>
    <row r="181" spans="1:4" x14ac:dyDescent="0.2">
      <c r="A181" s="17">
        <v>31594</v>
      </c>
      <c r="B181" s="59">
        <f>VLOOKUP(Table134[[#This Row],[Date]],database!A:I,8,)</f>
        <v>81.926299999999998</v>
      </c>
      <c r="C181" s="67">
        <f t="shared" si="2"/>
        <v>-4.1764971149838015E-3</v>
      </c>
      <c r="D181" s="67">
        <f>(Table134[[#This Row],[Index]]-B169)/B169</f>
        <v>-8.6303751643623403E-2</v>
      </c>
    </row>
    <row r="182" spans="1:4" x14ac:dyDescent="0.2">
      <c r="A182" s="17">
        <v>31625</v>
      </c>
      <c r="B182" s="59">
        <f>VLOOKUP(Table134[[#This Row],[Date]],database!A:I,8,)</f>
        <v>81.172899999999998</v>
      </c>
      <c r="C182" s="67">
        <f t="shared" si="2"/>
        <v>-9.1960701264428568E-3</v>
      </c>
      <c r="D182" s="67">
        <f>(Table134[[#This Row],[Index]]-B170)/B170</f>
        <v>-9.3092915271961896E-2</v>
      </c>
    </row>
    <row r="183" spans="1:4" x14ac:dyDescent="0.2">
      <c r="A183" s="17">
        <v>31656</v>
      </c>
      <c r="B183" s="59">
        <f>VLOOKUP(Table134[[#This Row],[Date]],database!A:I,8,)</f>
        <v>80.534899999999993</v>
      </c>
      <c r="C183" s="67">
        <f t="shared" si="2"/>
        <v>-7.8597660056497487E-3</v>
      </c>
      <c r="D183" s="67">
        <f>(Table134[[#This Row],[Index]]-B171)/B171</f>
        <v>-0.1105047492820854</v>
      </c>
    </row>
    <row r="184" spans="1:4" x14ac:dyDescent="0.2">
      <c r="A184" s="17">
        <v>31686</v>
      </c>
      <c r="B184" s="59">
        <f>VLOOKUP(Table134[[#This Row],[Date]],database!A:I,8,)</f>
        <v>81.063100000000006</v>
      </c>
      <c r="C184" s="67">
        <f t="shared" si="2"/>
        <v>6.558647244859106E-3</v>
      </c>
      <c r="D184" s="67">
        <f>(Table134[[#This Row],[Index]]-B172)/B172</f>
        <v>-9.8809241910326737E-2</v>
      </c>
    </row>
    <row r="185" spans="1:4" x14ac:dyDescent="0.2">
      <c r="A185" s="17">
        <v>31717</v>
      </c>
      <c r="B185" s="59">
        <f>VLOOKUP(Table134[[#This Row],[Date]],database!A:I,8,)</f>
        <v>82.037000000000006</v>
      </c>
      <c r="C185" s="67">
        <f t="shared" si="2"/>
        <v>1.2014097659724277E-2</v>
      </c>
      <c r="D185" s="67">
        <f>(Table134[[#This Row],[Index]]-B173)/B173</f>
        <v>-7.6595615357168065E-2</v>
      </c>
    </row>
    <row r="186" spans="1:4" x14ac:dyDescent="0.2">
      <c r="A186" s="17">
        <v>31747</v>
      </c>
      <c r="B186" s="59">
        <f>VLOOKUP(Table134[[#This Row],[Date]],database!A:I,8,)</f>
        <v>82.091999999999999</v>
      </c>
      <c r="C186" s="67">
        <f t="shared" si="2"/>
        <v>6.7042919658200084E-4</v>
      </c>
      <c r="D186" s="67">
        <f>(Table134[[#This Row],[Index]]-B174)/B174</f>
        <v>-9.4705662445591629E-2</v>
      </c>
    </row>
    <row r="187" spans="1:4" x14ac:dyDescent="0.2">
      <c r="A187" s="17">
        <v>31778</v>
      </c>
      <c r="B187" s="59">
        <f>VLOOKUP(Table134[[#This Row],[Date]],database!A:I,8,)</f>
        <v>82.789100000000005</v>
      </c>
      <c r="C187" s="67">
        <f t="shared" si="2"/>
        <v>8.4916922477220602E-3</v>
      </c>
      <c r="D187" s="67">
        <f>(Table134[[#This Row],[Index]]-B175)/B175</f>
        <v>-8.4244047908748496E-2</v>
      </c>
    </row>
    <row r="188" spans="1:4" x14ac:dyDescent="0.2">
      <c r="A188" s="17">
        <v>31809</v>
      </c>
      <c r="B188" s="59">
        <f>VLOOKUP(Table134[[#This Row],[Date]],database!A:I,8,)</f>
        <v>82.903499999999994</v>
      </c>
      <c r="C188" s="67">
        <f t="shared" si="2"/>
        <v>1.3818244189149897E-3</v>
      </c>
      <c r="D188" s="67">
        <f>(Table134[[#This Row],[Index]]-B176)/B176</f>
        <v>-7.0237298172067392E-2</v>
      </c>
    </row>
    <row r="189" spans="1:4" x14ac:dyDescent="0.2">
      <c r="A189" s="17">
        <v>31837</v>
      </c>
      <c r="B189" s="59">
        <f>VLOOKUP(Table134[[#This Row],[Date]],database!A:I,8,)</f>
        <v>82.504000000000005</v>
      </c>
      <c r="C189" s="67">
        <f t="shared" si="2"/>
        <v>-4.8188556574811914E-3</v>
      </c>
      <c r="D189" s="67">
        <f>(Table134[[#This Row],[Index]]-B177)/B177</f>
        <v>-4.9189660755794146E-2</v>
      </c>
    </row>
    <row r="190" spans="1:4" x14ac:dyDescent="0.2">
      <c r="A190" s="17">
        <v>31868</v>
      </c>
      <c r="B190" s="59">
        <f>VLOOKUP(Table134[[#This Row],[Date]],database!A:I,8,)</f>
        <v>83.109300000000005</v>
      </c>
      <c r="C190" s="67">
        <f t="shared" si="2"/>
        <v>7.3366139823523024E-3</v>
      </c>
      <c r="D190" s="67">
        <f>(Table134[[#This Row],[Index]]-B178)/B178</f>
        <v>-9.4561915170786066E-3</v>
      </c>
    </row>
    <row r="191" spans="1:4" x14ac:dyDescent="0.2">
      <c r="A191" s="17">
        <v>31898</v>
      </c>
      <c r="B191" s="59">
        <f>VLOOKUP(Table134[[#This Row],[Date]],database!A:I,8,)</f>
        <v>82.897300000000001</v>
      </c>
      <c r="C191" s="67">
        <f t="shared" si="2"/>
        <v>-2.5508577259103493E-3</v>
      </c>
      <c r="D191" s="67">
        <f>(Table134[[#This Row],[Index]]-B179)/B179</f>
        <v>-6.0049329660987255E-3</v>
      </c>
    </row>
    <row r="192" spans="1:4" x14ac:dyDescent="0.2">
      <c r="A192" s="17">
        <v>31929</v>
      </c>
      <c r="B192" s="59">
        <f>VLOOKUP(Table134[[#This Row],[Date]],database!A:I,8,)</f>
        <v>83.671999999999997</v>
      </c>
      <c r="C192" s="67">
        <f t="shared" si="2"/>
        <v>9.3452983390289734E-3</v>
      </c>
      <c r="D192" s="67">
        <f>(Table134[[#This Row],[Index]]-B180)/B180</f>
        <v>1.7042685113267307E-2</v>
      </c>
    </row>
    <row r="193" spans="1:4" x14ac:dyDescent="0.2">
      <c r="A193" s="17">
        <v>31959</v>
      </c>
      <c r="B193" s="59">
        <f>VLOOKUP(Table134[[#This Row],[Date]],database!A:I,8,)</f>
        <v>83.966099999999997</v>
      </c>
      <c r="C193" s="67">
        <f t="shared" si="2"/>
        <v>3.5149153838798242E-3</v>
      </c>
      <c r="D193" s="67">
        <f>(Table134[[#This Row],[Index]]-B181)/B181</f>
        <v>2.4897987581521435E-2</v>
      </c>
    </row>
    <row r="194" spans="1:4" x14ac:dyDescent="0.2">
      <c r="A194" s="17">
        <v>31990</v>
      </c>
      <c r="B194" s="59">
        <f>VLOOKUP(Table134[[#This Row],[Date]],database!A:I,8,)</f>
        <v>85.811700000000002</v>
      </c>
      <c r="C194" s="67">
        <f t="shared" si="2"/>
        <v>2.1980299192174035E-2</v>
      </c>
      <c r="D194" s="67">
        <f>(Table134[[#This Row],[Index]]-B182)/B182</f>
        <v>5.7147151327598296E-2</v>
      </c>
    </row>
    <row r="195" spans="1:4" x14ac:dyDescent="0.2">
      <c r="A195" s="17">
        <v>32021</v>
      </c>
      <c r="B195" s="59">
        <f>VLOOKUP(Table134[[#This Row],[Date]],database!A:I,8,)</f>
        <v>86.155600000000007</v>
      </c>
      <c r="C195" s="67">
        <f t="shared" si="2"/>
        <v>4.0076120156109507E-3</v>
      </c>
      <c r="D195" s="67">
        <f>(Table134[[#This Row],[Index]]-B183)/B183</f>
        <v>6.9792102554296506E-2</v>
      </c>
    </row>
    <row r="196" spans="1:4" x14ac:dyDescent="0.2">
      <c r="A196" s="17">
        <v>32051</v>
      </c>
      <c r="B196" s="59">
        <f>VLOOKUP(Table134[[#This Row],[Date]],database!A:I,8,)</f>
        <v>86.899000000000001</v>
      </c>
      <c r="C196" s="67">
        <f t="shared" si="2"/>
        <v>8.6285743468792475E-3</v>
      </c>
      <c r="D196" s="67">
        <f>(Table134[[#This Row],[Index]]-B184)/B184</f>
        <v>7.1992065440379102E-2</v>
      </c>
    </row>
    <row r="197" spans="1:4" x14ac:dyDescent="0.2">
      <c r="A197" s="17">
        <v>32082</v>
      </c>
      <c r="B197" s="59">
        <f>VLOOKUP(Table134[[#This Row],[Date]],database!A:I,8,)</f>
        <v>87.406899999999993</v>
      </c>
      <c r="C197" s="67">
        <f t="shared" si="2"/>
        <v>5.8447162798189733E-3</v>
      </c>
      <c r="D197" s="67">
        <f>(Table134[[#This Row],[Index]]-B185)/B185</f>
        <v>6.5457049867742437E-2</v>
      </c>
    </row>
    <row r="198" spans="1:4" x14ac:dyDescent="0.2">
      <c r="A198" s="17">
        <v>32112</v>
      </c>
      <c r="B198" s="59">
        <f>VLOOKUP(Table134[[#This Row],[Date]],database!A:I,8,)</f>
        <v>87.563999999999993</v>
      </c>
      <c r="C198" s="67">
        <f t="shared" si="2"/>
        <v>1.7973409421909725E-3</v>
      </c>
      <c r="D198" s="67">
        <f>(Table134[[#This Row],[Index]]-B186)/B186</f>
        <v>6.6656921502704219E-2</v>
      </c>
    </row>
    <row r="199" spans="1:4" x14ac:dyDescent="0.2">
      <c r="A199" s="17">
        <v>32143</v>
      </c>
      <c r="B199" s="59">
        <f>VLOOKUP(Table134[[#This Row],[Date]],database!A:I,8,)</f>
        <v>86.316400000000002</v>
      </c>
      <c r="C199" s="67">
        <f t="shared" si="2"/>
        <v>-1.4247864419167589E-2</v>
      </c>
      <c r="D199" s="67">
        <f>(Table134[[#This Row],[Index]]-B187)/B187</f>
        <v>4.2605850287054658E-2</v>
      </c>
    </row>
    <row r="200" spans="1:4" x14ac:dyDescent="0.2">
      <c r="A200" s="17">
        <v>32174</v>
      </c>
      <c r="B200" s="59">
        <f>VLOOKUP(Table134[[#This Row],[Date]],database!A:I,8,)</f>
        <v>86.656700000000001</v>
      </c>
      <c r="C200" s="67">
        <f t="shared" ref="C200:C263" si="3">B200/B199-1</f>
        <v>3.9424721142216068E-3</v>
      </c>
      <c r="D200" s="67">
        <f>(Table134[[#This Row],[Index]]-B188)/B188</f>
        <v>4.5271912524803018E-2</v>
      </c>
    </row>
    <row r="201" spans="1:4" x14ac:dyDescent="0.2">
      <c r="A201" s="17">
        <v>32203</v>
      </c>
      <c r="B201" s="59">
        <f>VLOOKUP(Table134[[#This Row],[Date]],database!A:I,8,)</f>
        <v>87.297899999999998</v>
      </c>
      <c r="C201" s="67">
        <f t="shared" si="3"/>
        <v>7.3993124593942916E-3</v>
      </c>
      <c r="D201" s="67">
        <f>(Table134[[#This Row],[Index]]-B189)/B189</f>
        <v>5.8105061572772149E-2</v>
      </c>
    </row>
    <row r="202" spans="1:4" x14ac:dyDescent="0.2">
      <c r="A202" s="17">
        <v>32234</v>
      </c>
      <c r="B202" s="59">
        <f>VLOOKUP(Table134[[#This Row],[Date]],database!A:I,8,)</f>
        <v>86.928299999999993</v>
      </c>
      <c r="C202" s="67">
        <f t="shared" si="3"/>
        <v>-4.2337788194218851E-3</v>
      </c>
      <c r="D202" s="67">
        <f>(Table134[[#This Row],[Index]]-B190)/B190</f>
        <v>4.5951536109677116E-2</v>
      </c>
    </row>
    <row r="203" spans="1:4" x14ac:dyDescent="0.2">
      <c r="A203" s="17">
        <v>32264</v>
      </c>
      <c r="B203" s="59">
        <f>VLOOKUP(Table134[[#This Row],[Date]],database!A:I,8,)</f>
        <v>87.638099999999994</v>
      </c>
      <c r="C203" s="67">
        <f t="shared" si="3"/>
        <v>8.1653500643634747E-3</v>
      </c>
      <c r="D203" s="67">
        <f>(Table134[[#This Row],[Index]]-B191)/B191</f>
        <v>5.718883485951886E-2</v>
      </c>
    </row>
    <row r="204" spans="1:4" x14ac:dyDescent="0.2">
      <c r="A204" s="17">
        <v>32295</v>
      </c>
      <c r="B204" s="59">
        <f>VLOOKUP(Table134[[#This Row],[Date]],database!A:I,8,)</f>
        <v>87.450699999999998</v>
      </c>
      <c r="C204" s="67">
        <f t="shared" si="3"/>
        <v>-2.138339375226006E-3</v>
      </c>
      <c r="D204" s="67">
        <f>(Table134[[#This Row],[Index]]-B192)/B192</f>
        <v>4.5160866239602263E-2</v>
      </c>
    </row>
    <row r="205" spans="1:4" x14ac:dyDescent="0.2">
      <c r="A205" s="17">
        <v>32325</v>
      </c>
      <c r="B205" s="59">
        <f>VLOOKUP(Table134[[#This Row],[Date]],database!A:I,8,)</f>
        <v>87.184100000000001</v>
      </c>
      <c r="C205" s="67">
        <f t="shared" si="3"/>
        <v>-3.0485747969998256E-3</v>
      </c>
      <c r="D205" s="67">
        <f>(Table134[[#This Row],[Index]]-B193)/B193</f>
        <v>3.8324990680762873E-2</v>
      </c>
    </row>
    <row r="206" spans="1:4" x14ac:dyDescent="0.2">
      <c r="A206" s="17">
        <v>32356</v>
      </c>
      <c r="B206" s="59">
        <f>VLOOKUP(Table134[[#This Row],[Date]],database!A:I,8,)</f>
        <v>87.369399999999999</v>
      </c>
      <c r="C206" s="67">
        <f t="shared" si="3"/>
        <v>2.1253875419944279E-3</v>
      </c>
      <c r="D206" s="67">
        <f>(Table134[[#This Row],[Index]]-B194)/B194</f>
        <v>1.8152536309151281E-2</v>
      </c>
    </row>
    <row r="207" spans="1:4" x14ac:dyDescent="0.2">
      <c r="A207" s="17">
        <v>32387</v>
      </c>
      <c r="B207" s="59">
        <f>VLOOKUP(Table134[[#This Row],[Date]],database!A:I,8,)</f>
        <v>86.264899999999997</v>
      </c>
      <c r="C207" s="67">
        <f t="shared" si="3"/>
        <v>-1.2641725821626371E-2</v>
      </c>
      <c r="D207" s="67">
        <f>(Table134[[#This Row],[Index]]-B195)/B195</f>
        <v>1.2686348885039441E-3</v>
      </c>
    </row>
    <row r="208" spans="1:4" x14ac:dyDescent="0.2">
      <c r="A208" s="17">
        <v>32417</v>
      </c>
      <c r="B208" s="59">
        <f>VLOOKUP(Table134[[#This Row],[Date]],database!A:I,8,)</f>
        <v>86.4315</v>
      </c>
      <c r="C208" s="67">
        <f t="shared" si="3"/>
        <v>1.9312605706376385E-3</v>
      </c>
      <c r="D208" s="67">
        <f>(Table134[[#This Row],[Index]]-B196)/B196</f>
        <v>-5.3798087434838273E-3</v>
      </c>
    </row>
    <row r="209" spans="1:4" x14ac:dyDescent="0.2">
      <c r="A209" s="17">
        <v>32448</v>
      </c>
      <c r="B209" s="59">
        <f>VLOOKUP(Table134[[#This Row],[Date]],database!A:I,8,)</f>
        <v>86.442700000000002</v>
      </c>
      <c r="C209" s="67">
        <f t="shared" si="3"/>
        <v>1.2958238605143002E-4</v>
      </c>
      <c r="D209" s="67">
        <f>(Table134[[#This Row],[Index]]-B197)/B197</f>
        <v>-1.103116573176707E-2</v>
      </c>
    </row>
    <row r="210" spans="1:4" x14ac:dyDescent="0.2">
      <c r="A210" s="17">
        <v>32478</v>
      </c>
      <c r="B210" s="59">
        <f>VLOOKUP(Table134[[#This Row],[Date]],database!A:I,8,)</f>
        <v>86.323700000000002</v>
      </c>
      <c r="C210" s="67">
        <f t="shared" si="3"/>
        <v>-1.3766344642173189E-3</v>
      </c>
      <c r="D210" s="67">
        <f>(Table134[[#This Row],[Index]]-B198)/B198</f>
        <v>-1.4164496825179191E-2</v>
      </c>
    </row>
    <row r="211" spans="1:4" x14ac:dyDescent="0.2">
      <c r="A211" s="17">
        <v>32509</v>
      </c>
      <c r="B211" s="59">
        <f>VLOOKUP(Table134[[#This Row],[Date]],database!A:I,8,)</f>
        <v>86.136200000000002</v>
      </c>
      <c r="C211" s="67">
        <f t="shared" si="3"/>
        <v>-2.1720570364801572E-3</v>
      </c>
      <c r="D211" s="67">
        <f>(Table134[[#This Row],[Index]]-B199)/B199</f>
        <v>-2.08766816039593E-3</v>
      </c>
    </row>
    <row r="212" spans="1:4" x14ac:dyDescent="0.2">
      <c r="A212" s="17">
        <v>32540</v>
      </c>
      <c r="B212" s="59">
        <f>VLOOKUP(Table134[[#This Row],[Date]],database!A:I,8,)</f>
        <v>84.578299999999999</v>
      </c>
      <c r="C212" s="67">
        <f t="shared" si="3"/>
        <v>-1.8086472354248317E-2</v>
      </c>
      <c r="D212" s="67">
        <f>(Table134[[#This Row],[Index]]-B200)/B200</f>
        <v>-2.3984296655653884E-2</v>
      </c>
    </row>
    <row r="213" spans="1:4" x14ac:dyDescent="0.2">
      <c r="A213" s="17">
        <v>32568</v>
      </c>
      <c r="B213" s="59">
        <f>VLOOKUP(Table134[[#This Row],[Date]],database!A:I,8,)</f>
        <v>85.213999999999999</v>
      </c>
      <c r="C213" s="67">
        <f t="shared" si="3"/>
        <v>7.5161122888494081E-3</v>
      </c>
      <c r="D213" s="67">
        <f>(Table134[[#This Row],[Index]]-B201)/B201</f>
        <v>-2.3871135502686776E-2</v>
      </c>
    </row>
    <row r="214" spans="1:4" x14ac:dyDescent="0.2">
      <c r="A214" s="17">
        <v>32599</v>
      </c>
      <c r="B214" s="59">
        <f>VLOOKUP(Table134[[#This Row],[Date]],database!A:I,8,)</f>
        <v>86.948899999999995</v>
      </c>
      <c r="C214" s="67">
        <f t="shared" si="3"/>
        <v>2.0359330626422922E-2</v>
      </c>
      <c r="D214" s="67">
        <f>(Table134[[#This Row],[Index]]-B202)/B202</f>
        <v>2.3697691085643836E-4</v>
      </c>
    </row>
    <row r="215" spans="1:4" x14ac:dyDescent="0.2">
      <c r="A215" s="17">
        <v>32629</v>
      </c>
      <c r="B215" s="59">
        <f>VLOOKUP(Table134[[#This Row],[Date]],database!A:I,8,)</f>
        <v>87.232900000000001</v>
      </c>
      <c r="C215" s="67">
        <f t="shared" si="3"/>
        <v>3.2662862899934808E-3</v>
      </c>
      <c r="D215" s="67">
        <f>(Table134[[#This Row],[Index]]-B203)/B203</f>
        <v>-4.6235598444054997E-3</v>
      </c>
    </row>
    <row r="216" spans="1:4" x14ac:dyDescent="0.2">
      <c r="A216" s="17">
        <v>32660</v>
      </c>
      <c r="B216" s="59">
        <f>VLOOKUP(Table134[[#This Row],[Date]],database!A:I,8,)</f>
        <v>86.095399999999998</v>
      </c>
      <c r="C216" s="67">
        <f t="shared" si="3"/>
        <v>-1.303980493598178E-2</v>
      </c>
      <c r="D216" s="67">
        <f>(Table134[[#This Row],[Index]]-B204)/B204</f>
        <v>-1.5497874802603064E-2</v>
      </c>
    </row>
    <row r="217" spans="1:4" x14ac:dyDescent="0.2">
      <c r="A217" s="17">
        <v>32690</v>
      </c>
      <c r="B217" s="59">
        <f>VLOOKUP(Table134[[#This Row],[Date]],database!A:I,8,)</f>
        <v>85.641800000000003</v>
      </c>
      <c r="C217" s="67">
        <f t="shared" si="3"/>
        <v>-5.2685741630794647E-3</v>
      </c>
      <c r="D217" s="67">
        <f>(Table134[[#This Row],[Index]]-B205)/B205</f>
        <v>-1.7690152218122309E-2</v>
      </c>
    </row>
    <row r="218" spans="1:4" x14ac:dyDescent="0.2">
      <c r="A218" s="17">
        <v>32721</v>
      </c>
      <c r="B218" s="59">
        <f>VLOOKUP(Table134[[#This Row],[Date]],database!A:I,8,)</f>
        <v>86.481800000000007</v>
      </c>
      <c r="C218" s="67">
        <f t="shared" si="3"/>
        <v>9.8082945477560024E-3</v>
      </c>
      <c r="D218" s="67">
        <f>(Table134[[#This Row],[Index]]-B206)/B206</f>
        <v>-1.0159163276845119E-2</v>
      </c>
    </row>
    <row r="219" spans="1:4" x14ac:dyDescent="0.2">
      <c r="A219" s="17">
        <v>32752</v>
      </c>
      <c r="B219" s="59">
        <f>VLOOKUP(Table134[[#This Row],[Date]],database!A:I,8,)</f>
        <v>86.465400000000002</v>
      </c>
      <c r="C219" s="67">
        <f t="shared" si="3"/>
        <v>-1.8963527586157714E-4</v>
      </c>
      <c r="D219" s="67">
        <f>(Table134[[#This Row],[Index]]-B207)/B207</f>
        <v>2.324236160941533E-3</v>
      </c>
    </row>
    <row r="220" spans="1:4" x14ac:dyDescent="0.2">
      <c r="A220" s="17">
        <v>32782</v>
      </c>
      <c r="B220" s="59">
        <f>VLOOKUP(Table134[[#This Row],[Date]],database!A:I,8,)</f>
        <v>85.786799999999999</v>
      </c>
      <c r="C220" s="67">
        <f t="shared" si="3"/>
        <v>-7.8482259956005329E-3</v>
      </c>
      <c r="D220" s="67">
        <f>(Table134[[#This Row],[Index]]-B208)/B208</f>
        <v>-7.4590860970826641E-3</v>
      </c>
    </row>
    <row r="221" spans="1:4" x14ac:dyDescent="0.2">
      <c r="A221" s="17">
        <v>32813</v>
      </c>
      <c r="B221" s="59">
        <f>VLOOKUP(Table134[[#This Row],[Date]],database!A:I,8,)</f>
        <v>86.437799999999996</v>
      </c>
      <c r="C221" s="67">
        <f t="shared" si="3"/>
        <v>7.5885800612680576E-3</v>
      </c>
      <c r="D221" s="67">
        <f>(Table134[[#This Row],[Index]]-B209)/B209</f>
        <v>-5.6684948526669618E-5</v>
      </c>
    </row>
    <row r="222" spans="1:4" x14ac:dyDescent="0.2">
      <c r="A222" s="17">
        <v>32843</v>
      </c>
      <c r="B222" s="59">
        <f>VLOOKUP(Table134[[#This Row],[Date]],database!A:I,8,)</f>
        <v>84.064599999999999</v>
      </c>
      <c r="C222" s="67">
        <f t="shared" si="3"/>
        <v>-2.7455580776003075E-2</v>
      </c>
      <c r="D222" s="67">
        <f>(Table134[[#This Row],[Index]]-B210)/B210</f>
        <v>-2.6170101605932132E-2</v>
      </c>
    </row>
    <row r="223" spans="1:4" x14ac:dyDescent="0.2">
      <c r="A223" s="17">
        <v>32874</v>
      </c>
      <c r="B223" s="59">
        <f>VLOOKUP(Table134[[#This Row],[Date]],database!A:I,8,)</f>
        <v>88.0792</v>
      </c>
      <c r="C223" s="67">
        <f t="shared" si="3"/>
        <v>4.7756130404474684E-2</v>
      </c>
      <c r="D223" s="67">
        <f>(Table134[[#This Row],[Index]]-B211)/B211</f>
        <v>2.2557298789591344E-2</v>
      </c>
    </row>
    <row r="224" spans="1:4" x14ac:dyDescent="0.2">
      <c r="A224" s="17">
        <v>32905</v>
      </c>
      <c r="B224" s="59">
        <f>VLOOKUP(Table134[[#This Row],[Date]],database!A:I,8,)</f>
        <v>87.322199999999995</v>
      </c>
      <c r="C224" s="67">
        <f t="shared" si="3"/>
        <v>-8.5945376433936849E-3</v>
      </c>
      <c r="D224" s="67">
        <f>(Table134[[#This Row],[Index]]-B212)/B212</f>
        <v>3.2442127590646734E-2</v>
      </c>
    </row>
    <row r="225" spans="1:4" x14ac:dyDescent="0.2">
      <c r="A225" s="17">
        <v>32933</v>
      </c>
      <c r="B225" s="59">
        <f>VLOOKUP(Table134[[#This Row],[Date]],database!A:I,8,)</f>
        <v>86.6023</v>
      </c>
      <c r="C225" s="67">
        <f t="shared" si="3"/>
        <v>-8.2441807467058537E-3</v>
      </c>
      <c r="D225" s="67">
        <f>(Table134[[#This Row],[Index]]-B213)/B213</f>
        <v>1.6291923862276163E-2</v>
      </c>
    </row>
    <row r="226" spans="1:4" x14ac:dyDescent="0.2">
      <c r="A226" s="17">
        <v>32964</v>
      </c>
      <c r="B226" s="59">
        <f>VLOOKUP(Table134[[#This Row],[Date]],database!A:I,8,)</f>
        <v>86.960499999999996</v>
      </c>
      <c r="C226" s="67">
        <f t="shared" si="3"/>
        <v>4.1361488089808329E-3</v>
      </c>
      <c r="D226" s="67">
        <f>(Table134[[#This Row],[Index]]-B214)/B214</f>
        <v>1.3341169353495429E-4</v>
      </c>
    </row>
    <row r="227" spans="1:4" x14ac:dyDescent="0.2">
      <c r="A227" s="17">
        <v>32994</v>
      </c>
      <c r="B227" s="59">
        <f>VLOOKUP(Table134[[#This Row],[Date]],database!A:I,8,)</f>
        <v>86.871899999999997</v>
      </c>
      <c r="C227" s="67">
        <f t="shared" si="3"/>
        <v>-1.0188533874575523E-3</v>
      </c>
      <c r="D227" s="67">
        <f>(Table134[[#This Row],[Index]]-B215)/B215</f>
        <v>-4.1383468851775443E-3</v>
      </c>
    </row>
    <row r="228" spans="1:4" x14ac:dyDescent="0.2">
      <c r="A228" s="17">
        <v>33025</v>
      </c>
      <c r="B228" s="59">
        <f>VLOOKUP(Table134[[#This Row],[Date]],database!A:I,8,)</f>
        <v>86.618300000000005</v>
      </c>
      <c r="C228" s="67">
        <f t="shared" si="3"/>
        <v>-2.9192408592421115E-3</v>
      </c>
      <c r="D228" s="67">
        <f>(Table134[[#This Row],[Index]]-B216)/B216</f>
        <v>6.073495215772353E-3</v>
      </c>
    </row>
    <row r="229" spans="1:4" x14ac:dyDescent="0.2">
      <c r="A229" s="17">
        <v>33055</v>
      </c>
      <c r="B229" s="59">
        <f>VLOOKUP(Table134[[#This Row],[Date]],database!A:I,8,)</f>
        <v>87.184899999999999</v>
      </c>
      <c r="C229" s="67">
        <f t="shared" si="3"/>
        <v>6.5413428801996965E-3</v>
      </c>
      <c r="D229" s="67">
        <f>(Table134[[#This Row],[Index]]-B217)/B217</f>
        <v>1.8018070615050074E-2</v>
      </c>
    </row>
    <row r="230" spans="1:4" x14ac:dyDescent="0.2">
      <c r="A230" s="17">
        <v>33086</v>
      </c>
      <c r="B230" s="59">
        <f>VLOOKUP(Table134[[#This Row],[Date]],database!A:I,8,)</f>
        <v>86.820099999999996</v>
      </c>
      <c r="C230" s="67">
        <f t="shared" si="3"/>
        <v>-4.1842107979708221E-3</v>
      </c>
      <c r="D230" s="67">
        <f>(Table134[[#This Row],[Index]]-B218)/B218</f>
        <v>3.9118057209723851E-3</v>
      </c>
    </row>
    <row r="231" spans="1:4" x14ac:dyDescent="0.2">
      <c r="A231" s="17">
        <v>33117</v>
      </c>
      <c r="B231" s="59">
        <f>VLOOKUP(Table134[[#This Row],[Date]],database!A:I,8,)</f>
        <v>87.307900000000004</v>
      </c>
      <c r="C231" s="67">
        <f t="shared" si="3"/>
        <v>5.6185146066407565E-3</v>
      </c>
      <c r="D231" s="67">
        <f>(Table134[[#This Row],[Index]]-B219)/B219</f>
        <v>9.7437819058259264E-3</v>
      </c>
    </row>
    <row r="232" spans="1:4" x14ac:dyDescent="0.2">
      <c r="A232" s="17">
        <v>33147</v>
      </c>
      <c r="B232" s="59">
        <f>VLOOKUP(Table134[[#This Row],[Date]],database!A:I,8,)</f>
        <v>88.165099999999995</v>
      </c>
      <c r="C232" s="67">
        <f t="shared" si="3"/>
        <v>9.8181264238401678E-3</v>
      </c>
      <c r="D232" s="67">
        <f>(Table134[[#This Row],[Index]]-B220)/B220</f>
        <v>2.7723379354399464E-2</v>
      </c>
    </row>
    <row r="233" spans="1:4" x14ac:dyDescent="0.2">
      <c r="A233" s="17">
        <v>33178</v>
      </c>
      <c r="B233" s="59">
        <f>VLOOKUP(Table134[[#This Row],[Date]],database!A:I,8,)</f>
        <v>87.538399999999996</v>
      </c>
      <c r="C233" s="67">
        <f t="shared" si="3"/>
        <v>-7.1082548536779422E-3</v>
      </c>
      <c r="D233" s="67">
        <f>(Table134[[#This Row],[Index]]-B221)/B221</f>
        <v>1.2732855301731419E-2</v>
      </c>
    </row>
    <row r="234" spans="1:4" x14ac:dyDescent="0.2">
      <c r="A234" s="17">
        <v>33208</v>
      </c>
      <c r="B234" s="59">
        <f>VLOOKUP(Table134[[#This Row],[Date]],database!A:I,8,)</f>
        <v>86.162400000000005</v>
      </c>
      <c r="C234" s="67">
        <f t="shared" si="3"/>
        <v>-1.5718815971048072E-2</v>
      </c>
      <c r="D234" s="67">
        <f>(Table134[[#This Row],[Index]]-B222)/B222</f>
        <v>2.4954618234072447E-2</v>
      </c>
    </row>
    <row r="235" spans="1:4" x14ac:dyDescent="0.2">
      <c r="A235" s="17">
        <v>33239</v>
      </c>
      <c r="B235" s="59">
        <f>VLOOKUP(Table134[[#This Row],[Date]],database!A:I,8,)</f>
        <v>86.161000000000001</v>
      </c>
      <c r="C235" s="67">
        <f t="shared" si="3"/>
        <v>-1.6248386767392375E-5</v>
      </c>
      <c r="D235" s="67">
        <f>(Table134[[#This Row],[Index]]-B223)/B223</f>
        <v>-2.1778126958464639E-2</v>
      </c>
    </row>
    <row r="236" spans="1:4" x14ac:dyDescent="0.2">
      <c r="A236" s="17">
        <v>33270</v>
      </c>
      <c r="B236" s="59">
        <f>VLOOKUP(Table134[[#This Row],[Date]],database!A:I,8,)</f>
        <v>87.495699999999999</v>
      </c>
      <c r="C236" s="67">
        <f t="shared" si="3"/>
        <v>1.549076728450216E-2</v>
      </c>
      <c r="D236" s="67">
        <f>(Table134[[#This Row],[Index]]-B224)/B224</f>
        <v>1.9868945125066043E-3</v>
      </c>
    </row>
    <row r="237" spans="1:4" x14ac:dyDescent="0.2">
      <c r="A237" s="17">
        <v>33298</v>
      </c>
      <c r="B237" s="59">
        <f>VLOOKUP(Table134[[#This Row],[Date]],database!A:I,8,)</f>
        <v>86.550700000000006</v>
      </c>
      <c r="C237" s="67">
        <f t="shared" si="3"/>
        <v>-1.0800530768940608E-2</v>
      </c>
      <c r="D237" s="67">
        <f>(Table134[[#This Row],[Index]]-B225)/B225</f>
        <v>-5.9582713161190209E-4</v>
      </c>
    </row>
    <row r="238" spans="1:4" x14ac:dyDescent="0.2">
      <c r="A238" s="17">
        <v>33329</v>
      </c>
      <c r="B238" s="59">
        <f>VLOOKUP(Table134[[#This Row],[Date]],database!A:I,8,)</f>
        <v>85.691900000000004</v>
      </c>
      <c r="C238" s="67">
        <f t="shared" si="3"/>
        <v>-9.9225078480013051E-3</v>
      </c>
      <c r="D238" s="67">
        <f>(Table134[[#This Row],[Index]]-B226)/B226</f>
        <v>-1.4588232588358993E-2</v>
      </c>
    </row>
    <row r="239" spans="1:4" x14ac:dyDescent="0.2">
      <c r="A239" s="17">
        <v>33359</v>
      </c>
      <c r="B239" s="59">
        <f>VLOOKUP(Table134[[#This Row],[Date]],database!A:I,8,)</f>
        <v>85.439099999999996</v>
      </c>
      <c r="C239" s="67">
        <f t="shared" si="3"/>
        <v>-2.9501038021096937E-3</v>
      </c>
      <c r="D239" s="67">
        <f>(Table134[[#This Row],[Index]]-B227)/B227</f>
        <v>-1.6493250406633218E-2</v>
      </c>
    </row>
    <row r="240" spans="1:4" x14ac:dyDescent="0.2">
      <c r="A240" s="17">
        <v>33390</v>
      </c>
      <c r="B240" s="59">
        <f>VLOOKUP(Table134[[#This Row],[Date]],database!A:I,8,)</f>
        <v>85.608099999999993</v>
      </c>
      <c r="C240" s="67">
        <f t="shared" si="3"/>
        <v>1.9780170905356886E-3</v>
      </c>
      <c r="D240" s="67">
        <f>(Table134[[#This Row],[Index]]-B228)/B228</f>
        <v>-1.1662662508961866E-2</v>
      </c>
    </row>
    <row r="241" spans="1:4" x14ac:dyDescent="0.2">
      <c r="A241" s="17">
        <v>33420</v>
      </c>
      <c r="B241" s="59">
        <f>VLOOKUP(Table134[[#This Row],[Date]],database!A:I,8,)</f>
        <v>84.717699999999994</v>
      </c>
      <c r="C241" s="67">
        <f t="shared" si="3"/>
        <v>-1.0400884962988299E-2</v>
      </c>
      <c r="D241" s="67">
        <f>(Table134[[#This Row],[Index]]-B229)/B229</f>
        <v>-2.829847829153908E-2</v>
      </c>
    </row>
    <row r="242" spans="1:4" x14ac:dyDescent="0.2">
      <c r="A242" s="17">
        <v>33451</v>
      </c>
      <c r="B242" s="59">
        <f>VLOOKUP(Table134[[#This Row],[Date]],database!A:I,8,)</f>
        <v>84.579700000000003</v>
      </c>
      <c r="C242" s="67">
        <f t="shared" si="3"/>
        <v>-1.6289394069951557E-3</v>
      </c>
      <c r="D242" s="67">
        <f>(Table134[[#This Row],[Index]]-B230)/B230</f>
        <v>-2.5805084306514205E-2</v>
      </c>
    </row>
    <row r="243" spans="1:4" x14ac:dyDescent="0.2">
      <c r="A243" s="17">
        <v>33482</v>
      </c>
      <c r="B243" s="59">
        <f>VLOOKUP(Table134[[#This Row],[Date]],database!A:I,8,)</f>
        <v>84.683000000000007</v>
      </c>
      <c r="C243" s="67">
        <f t="shared" si="3"/>
        <v>1.2213332513593134E-3</v>
      </c>
      <c r="D243" s="67">
        <f>(Table134[[#This Row],[Index]]-B231)/B231</f>
        <v>-3.0064862400767819E-2</v>
      </c>
    </row>
    <row r="244" spans="1:4" x14ac:dyDescent="0.2">
      <c r="A244" s="17">
        <v>33512</v>
      </c>
      <c r="B244" s="59">
        <f>VLOOKUP(Table134[[#This Row],[Date]],database!A:I,8,)</f>
        <v>84.558199999999999</v>
      </c>
      <c r="C244" s="67">
        <f t="shared" si="3"/>
        <v>-1.4737314455086636E-3</v>
      </c>
      <c r="D244" s="67">
        <f>(Table134[[#This Row],[Index]]-B232)/B232</f>
        <v>-4.0910745862024728E-2</v>
      </c>
    </row>
    <row r="245" spans="1:4" x14ac:dyDescent="0.2">
      <c r="A245" s="17">
        <v>33543</v>
      </c>
      <c r="B245" s="59">
        <f>VLOOKUP(Table134[[#This Row],[Date]],database!A:I,8,)</f>
        <v>83.850700000000003</v>
      </c>
      <c r="C245" s="67">
        <f t="shared" si="3"/>
        <v>-8.3670182194038878E-3</v>
      </c>
      <c r="D245" s="67">
        <f>(Table134[[#This Row],[Index]]-B233)/B233</f>
        <v>-4.2126655273571283E-2</v>
      </c>
    </row>
    <row r="246" spans="1:4" x14ac:dyDescent="0.2">
      <c r="A246" s="17">
        <v>33573</v>
      </c>
      <c r="B246" s="59">
        <f>VLOOKUP(Table134[[#This Row],[Date]],database!A:I,8,)</f>
        <v>84.302800000000005</v>
      </c>
      <c r="C246" s="67">
        <f t="shared" si="3"/>
        <v>5.3917260082503304E-3</v>
      </c>
      <c r="D246" s="67">
        <f>(Table134[[#This Row],[Index]]-B234)/B234</f>
        <v>-2.1582500023211985E-2</v>
      </c>
    </row>
    <row r="247" spans="1:4" x14ac:dyDescent="0.2">
      <c r="A247" s="17">
        <v>33604</v>
      </c>
      <c r="B247" s="59">
        <f>VLOOKUP(Table134[[#This Row],[Date]],database!A:I,8,)</f>
        <v>84.111599999999996</v>
      </c>
      <c r="C247" s="67">
        <f t="shared" si="3"/>
        <v>-2.2680148227580688E-3</v>
      </c>
      <c r="D247" s="67">
        <f>(Table134[[#This Row],[Index]]-B235)/B235</f>
        <v>-2.3785703508548018E-2</v>
      </c>
    </row>
    <row r="248" spans="1:4" x14ac:dyDescent="0.2">
      <c r="A248" s="17">
        <v>33635</v>
      </c>
      <c r="B248" s="59">
        <f>VLOOKUP(Table134[[#This Row],[Date]],database!A:I,8,)</f>
        <v>83.043300000000002</v>
      </c>
      <c r="C248" s="67">
        <f t="shared" si="3"/>
        <v>-1.2700982979755415E-2</v>
      </c>
      <c r="D248" s="67">
        <f>(Table134[[#This Row],[Index]]-B236)/B236</f>
        <v>-5.0887072164689205E-2</v>
      </c>
    </row>
    <row r="249" spans="1:4" x14ac:dyDescent="0.2">
      <c r="A249" s="17">
        <v>33664</v>
      </c>
      <c r="B249" s="59">
        <f>VLOOKUP(Table134[[#This Row],[Date]],database!A:I,8,)</f>
        <v>83.322400000000002</v>
      </c>
      <c r="C249" s="67">
        <f t="shared" si="3"/>
        <v>3.3608972668475179E-3</v>
      </c>
      <c r="D249" s="67">
        <f>(Table134[[#This Row],[Index]]-B237)/B237</f>
        <v>-3.7299525018284131E-2</v>
      </c>
    </row>
    <row r="250" spans="1:4" x14ac:dyDescent="0.2">
      <c r="A250" s="17">
        <v>33695</v>
      </c>
      <c r="B250" s="59">
        <f>VLOOKUP(Table134[[#This Row],[Date]],database!A:I,8,)</f>
        <v>84.277299999999997</v>
      </c>
      <c r="C250" s="67">
        <f t="shared" si="3"/>
        <v>1.1460303591831256E-2</v>
      </c>
      <c r="D250" s="67">
        <f>(Table134[[#This Row],[Index]]-B238)/B238</f>
        <v>-1.6507978000254483E-2</v>
      </c>
    </row>
    <row r="251" spans="1:4" x14ac:dyDescent="0.2">
      <c r="A251" s="17">
        <v>33725</v>
      </c>
      <c r="B251" s="59">
        <f>VLOOKUP(Table134[[#This Row],[Date]],database!A:I,8,)</f>
        <v>84.096400000000003</v>
      </c>
      <c r="C251" s="67">
        <f t="shared" si="3"/>
        <v>-2.1464854711765735E-3</v>
      </c>
      <c r="D251" s="67">
        <f>(Table134[[#This Row],[Index]]-B239)/B239</f>
        <v>-1.5715287263091415E-2</v>
      </c>
    </row>
    <row r="252" spans="1:4" x14ac:dyDescent="0.2">
      <c r="A252" s="17">
        <v>33756</v>
      </c>
      <c r="B252" s="59">
        <f>VLOOKUP(Table134[[#This Row],[Date]],database!A:I,8,)</f>
        <v>83.197800000000001</v>
      </c>
      <c r="C252" s="67">
        <f t="shared" si="3"/>
        <v>-1.0685356329165119E-2</v>
      </c>
      <c r="D252" s="67">
        <f>(Table134[[#This Row],[Index]]-B240)/B240</f>
        <v>-2.8155046076247369E-2</v>
      </c>
    </row>
    <row r="253" spans="1:4" x14ac:dyDescent="0.2">
      <c r="A253" s="17">
        <v>33786</v>
      </c>
      <c r="B253" s="59">
        <f>VLOOKUP(Table134[[#This Row],[Date]],database!A:I,8,)</f>
        <v>84.300700000000006</v>
      </c>
      <c r="C253" s="67">
        <f t="shared" si="3"/>
        <v>1.3256360144138446E-2</v>
      </c>
      <c r="D253" s="67">
        <f>(Table134[[#This Row],[Index]]-B241)/B241</f>
        <v>-4.922229947224575E-3</v>
      </c>
    </row>
    <row r="254" spans="1:4" x14ac:dyDescent="0.2">
      <c r="A254" s="17">
        <v>33817</v>
      </c>
      <c r="B254" s="59">
        <f>VLOOKUP(Table134[[#This Row],[Date]],database!A:I,8,)</f>
        <v>82.903599999999997</v>
      </c>
      <c r="C254" s="67">
        <f t="shared" si="3"/>
        <v>-1.6572816121337208E-2</v>
      </c>
      <c r="D254" s="67">
        <f>(Table134[[#This Row],[Index]]-B242)/B242</f>
        <v>-1.9816811835464125E-2</v>
      </c>
    </row>
    <row r="255" spans="1:4" x14ac:dyDescent="0.2">
      <c r="A255" s="17">
        <v>33848</v>
      </c>
      <c r="B255" s="59">
        <f>VLOOKUP(Table134[[#This Row],[Date]],database!A:I,8,)</f>
        <v>83.454400000000007</v>
      </c>
      <c r="C255" s="67">
        <f t="shared" si="3"/>
        <v>6.6438610627284067E-3</v>
      </c>
      <c r="D255" s="67">
        <f>(Table134[[#This Row],[Index]]-B243)/B243</f>
        <v>-1.4508224791280423E-2</v>
      </c>
    </row>
    <row r="256" spans="1:4" x14ac:dyDescent="0.2">
      <c r="A256" s="17">
        <v>33878</v>
      </c>
      <c r="B256" s="59">
        <f>VLOOKUP(Table134[[#This Row],[Date]],database!A:I,8,)</f>
        <v>83.863100000000003</v>
      </c>
      <c r="C256" s="67">
        <f t="shared" si="3"/>
        <v>4.8972852240265485E-3</v>
      </c>
      <c r="D256" s="67">
        <f>(Table134[[#This Row],[Index]]-B244)/B244</f>
        <v>-8.2203736597987725E-3</v>
      </c>
    </row>
    <row r="257" spans="1:4" x14ac:dyDescent="0.2">
      <c r="A257" s="17">
        <v>33909</v>
      </c>
      <c r="B257" s="59">
        <f>VLOOKUP(Table134[[#This Row],[Date]],database!A:I,8,)</f>
        <v>83.755499999999998</v>
      </c>
      <c r="C257" s="67">
        <f t="shared" si="3"/>
        <v>-1.2830434362670617E-3</v>
      </c>
      <c r="D257" s="67">
        <f>(Table134[[#This Row],[Index]]-B245)/B245</f>
        <v>-1.1353512850817643E-3</v>
      </c>
    </row>
    <row r="258" spans="1:4" x14ac:dyDescent="0.2">
      <c r="A258" s="17">
        <v>33939</v>
      </c>
      <c r="B258" s="59">
        <f>VLOOKUP(Table134[[#This Row],[Date]],database!A:I,8,)</f>
        <v>84.058999999999997</v>
      </c>
      <c r="C258" s="67">
        <f t="shared" si="3"/>
        <v>3.6236426264544264E-3</v>
      </c>
      <c r="D258" s="67">
        <f>(Table134[[#This Row],[Index]]-B246)/B246</f>
        <v>-2.8919561390607111E-3</v>
      </c>
    </row>
    <row r="259" spans="1:4" x14ac:dyDescent="0.2">
      <c r="A259" s="17">
        <v>33970</v>
      </c>
      <c r="B259" s="59">
        <f>VLOOKUP(Table134[[#This Row],[Date]],database!A:I,8,)</f>
        <v>83.631600000000006</v>
      </c>
      <c r="C259" s="67">
        <f t="shared" si="3"/>
        <v>-5.0845239653100061E-3</v>
      </c>
      <c r="D259" s="67">
        <f>(Table134[[#This Row],[Index]]-B247)/B247</f>
        <v>-5.7067039504656884E-3</v>
      </c>
    </row>
    <row r="260" spans="1:4" x14ac:dyDescent="0.2">
      <c r="A260" s="17">
        <v>34001</v>
      </c>
      <c r="B260" s="59">
        <f>VLOOKUP(Table134[[#This Row],[Date]],database!A:I,8,)</f>
        <v>83.215999999999994</v>
      </c>
      <c r="C260" s="67">
        <f t="shared" si="3"/>
        <v>-4.9694134752893415E-3</v>
      </c>
      <c r="D260" s="67">
        <f>(Table134[[#This Row],[Index]]-B248)/B248</f>
        <v>2.079637971997643E-3</v>
      </c>
    </row>
    <row r="261" spans="1:4" x14ac:dyDescent="0.2">
      <c r="A261" s="17">
        <v>34029</v>
      </c>
      <c r="B261" s="59">
        <f>VLOOKUP(Table134[[#This Row],[Date]],database!A:I,8,)</f>
        <v>82.6708</v>
      </c>
      <c r="C261" s="67">
        <f t="shared" si="3"/>
        <v>-6.5516246875599871E-3</v>
      </c>
      <c r="D261" s="67">
        <f>(Table134[[#This Row],[Index]]-B249)/B249</f>
        <v>-7.820226013653014E-3</v>
      </c>
    </row>
    <row r="262" spans="1:4" x14ac:dyDescent="0.2">
      <c r="A262" s="17">
        <v>34060</v>
      </c>
      <c r="B262" s="59">
        <f>VLOOKUP(Table134[[#This Row],[Date]],database!A:I,8,)</f>
        <v>82.782799999999995</v>
      </c>
      <c r="C262" s="67">
        <f t="shared" si="3"/>
        <v>1.3547709711287936E-3</v>
      </c>
      <c r="D262" s="67">
        <f>(Table134[[#This Row],[Index]]-B250)/B250</f>
        <v>-1.7733126239212721E-2</v>
      </c>
    </row>
    <row r="263" spans="1:4" x14ac:dyDescent="0.2">
      <c r="A263" s="17">
        <v>34090</v>
      </c>
      <c r="B263" s="59">
        <f>VLOOKUP(Table134[[#This Row],[Date]],database!A:I,8,)</f>
        <v>82.821899999999999</v>
      </c>
      <c r="C263" s="67">
        <f t="shared" si="3"/>
        <v>4.7232033707489407E-4</v>
      </c>
      <c r="D263" s="67">
        <f>(Table134[[#This Row],[Index]]-B251)/B251</f>
        <v>-1.5155226620877984E-2</v>
      </c>
    </row>
    <row r="264" spans="1:4" x14ac:dyDescent="0.2">
      <c r="A264" s="17">
        <v>34121</v>
      </c>
      <c r="B264" s="59">
        <f>VLOOKUP(Table134[[#This Row],[Date]],database!A:I,8,)</f>
        <v>83.634699999999995</v>
      </c>
      <c r="C264" s="67">
        <f t="shared" ref="C264:C327" si="4">B264/B263-1</f>
        <v>9.8138294340022192E-3</v>
      </c>
      <c r="D264" s="67">
        <f>(Table134[[#This Row],[Index]]-B252)/B252</f>
        <v>5.2513407806455735E-3</v>
      </c>
    </row>
    <row r="265" spans="1:4" x14ac:dyDescent="0.2">
      <c r="A265" s="17">
        <v>34151</v>
      </c>
      <c r="B265" s="59">
        <f>VLOOKUP(Table134[[#This Row],[Date]],database!A:I,8,)</f>
        <v>82.735500000000002</v>
      </c>
      <c r="C265" s="67">
        <f t="shared" si="4"/>
        <v>-1.0751518209546895E-2</v>
      </c>
      <c r="D265" s="67">
        <f>(Table134[[#This Row],[Index]]-B253)/B253</f>
        <v>-1.8566868365268666E-2</v>
      </c>
    </row>
    <row r="266" spans="1:4" x14ac:dyDescent="0.2">
      <c r="A266" s="17">
        <v>34182</v>
      </c>
      <c r="B266" s="59">
        <f>VLOOKUP(Table134[[#This Row],[Date]],database!A:I,8,)</f>
        <v>82.804000000000002</v>
      </c>
      <c r="C266" s="67">
        <f t="shared" si="4"/>
        <v>8.2793963896987677E-4</v>
      </c>
      <c r="D266" s="67">
        <f>(Table134[[#This Row],[Index]]-B254)/B254</f>
        <v>-1.2013953555695441E-3</v>
      </c>
    </row>
    <row r="267" spans="1:4" x14ac:dyDescent="0.2">
      <c r="A267" s="17">
        <v>34213</v>
      </c>
      <c r="B267" s="59">
        <f>VLOOKUP(Table134[[#This Row],[Date]],database!A:I,8,)</f>
        <v>83.507099999999994</v>
      </c>
      <c r="C267" s="67">
        <f t="shared" si="4"/>
        <v>8.4911356939276761E-3</v>
      </c>
      <c r="D267" s="67">
        <f>(Table134[[#This Row],[Index]]-B255)/B255</f>
        <v>6.3148258210456621E-4</v>
      </c>
    </row>
    <row r="268" spans="1:4" x14ac:dyDescent="0.2">
      <c r="A268" s="17">
        <v>34243</v>
      </c>
      <c r="B268" s="59">
        <f>VLOOKUP(Table134[[#This Row],[Date]],database!A:I,8,)</f>
        <v>84.596599999999995</v>
      </c>
      <c r="C268" s="67">
        <f t="shared" si="4"/>
        <v>1.3046794823434293E-2</v>
      </c>
      <c r="D268" s="67">
        <f>(Table134[[#This Row],[Index]]-B256)/B256</f>
        <v>8.7463974024331592E-3</v>
      </c>
    </row>
    <row r="269" spans="1:4" x14ac:dyDescent="0.2">
      <c r="A269" s="17">
        <v>34274</v>
      </c>
      <c r="B269" s="59">
        <f>VLOOKUP(Table134[[#This Row],[Date]],database!A:I,8,)</f>
        <v>84.553100000000001</v>
      </c>
      <c r="C269" s="67">
        <f t="shared" si="4"/>
        <v>-5.1420506261479204E-4</v>
      </c>
      <c r="D269" s="67">
        <f>(Table134[[#This Row],[Index]]-B257)/B257</f>
        <v>9.5229567013509885E-3</v>
      </c>
    </row>
    <row r="270" spans="1:4" x14ac:dyDescent="0.2">
      <c r="A270" s="17">
        <v>34304</v>
      </c>
      <c r="B270" s="59">
        <f>VLOOKUP(Table134[[#This Row],[Date]],database!A:I,8,)</f>
        <v>84.885400000000004</v>
      </c>
      <c r="C270" s="67">
        <f t="shared" si="4"/>
        <v>3.9300747104482614E-3</v>
      </c>
      <c r="D270" s="67">
        <f>(Table134[[#This Row],[Index]]-B258)/B258</f>
        <v>9.8311899975018352E-3</v>
      </c>
    </row>
    <row r="271" spans="1:4" x14ac:dyDescent="0.2">
      <c r="A271" s="17">
        <v>34335</v>
      </c>
      <c r="B271" s="59">
        <f>VLOOKUP(Table134[[#This Row],[Date]],database!A:I,8,)</f>
        <v>83.971599999999995</v>
      </c>
      <c r="C271" s="67">
        <f t="shared" si="4"/>
        <v>-1.0765102125925186E-2</v>
      </c>
      <c r="D271" s="67">
        <f>(Table134[[#This Row],[Index]]-B259)/B259</f>
        <v>4.0654489451354414E-3</v>
      </c>
    </row>
    <row r="272" spans="1:4" x14ac:dyDescent="0.2">
      <c r="A272" s="17">
        <v>34366</v>
      </c>
      <c r="B272" s="59">
        <f>VLOOKUP(Table134[[#This Row],[Date]],database!A:I,8,)</f>
        <v>84.556299999999993</v>
      </c>
      <c r="C272" s="67">
        <f t="shared" si="4"/>
        <v>6.9630684660051401E-3</v>
      </c>
      <c r="D272" s="67">
        <f>(Table134[[#This Row],[Index]]-B260)/B260</f>
        <v>1.6106277638915586E-2</v>
      </c>
    </row>
    <row r="273" spans="1:4" x14ac:dyDescent="0.2">
      <c r="A273" s="17">
        <v>34394</v>
      </c>
      <c r="B273" s="59">
        <f>VLOOKUP(Table134[[#This Row],[Date]],database!A:I,8,)</f>
        <v>85.681899999999999</v>
      </c>
      <c r="C273" s="67">
        <f t="shared" si="4"/>
        <v>1.3311840749890891E-2</v>
      </c>
      <c r="D273" s="67">
        <f>(Table134[[#This Row],[Index]]-B261)/B261</f>
        <v>3.6422775635411762E-2</v>
      </c>
    </row>
    <row r="274" spans="1:4" x14ac:dyDescent="0.2">
      <c r="A274" s="17">
        <v>34425</v>
      </c>
      <c r="B274" s="59">
        <f>VLOOKUP(Table134[[#This Row],[Date]],database!A:I,8,)</f>
        <v>84.964600000000004</v>
      </c>
      <c r="C274" s="67">
        <f t="shared" si="4"/>
        <v>-8.371663093372006E-3</v>
      </c>
      <c r="D274" s="67">
        <f>(Table134[[#This Row],[Index]]-B262)/B262</f>
        <v>2.6355716404857166E-2</v>
      </c>
    </row>
    <row r="275" spans="1:4" x14ac:dyDescent="0.2">
      <c r="A275" s="17">
        <v>34455</v>
      </c>
      <c r="B275" s="59">
        <f>VLOOKUP(Table134[[#This Row],[Date]],database!A:I,8,)</f>
        <v>85.237799999999993</v>
      </c>
      <c r="C275" s="67">
        <f t="shared" si="4"/>
        <v>3.2154567902396014E-3</v>
      </c>
      <c r="D275" s="67">
        <f>(Table134[[#This Row],[Index]]-B263)/B263</f>
        <v>2.9169821025598223E-2</v>
      </c>
    </row>
    <row r="276" spans="1:4" x14ac:dyDescent="0.2">
      <c r="A276" s="17">
        <v>34486</v>
      </c>
      <c r="B276" s="59">
        <f>VLOOKUP(Table134[[#This Row],[Date]],database!A:I,8,)</f>
        <v>85.129599999999996</v>
      </c>
      <c r="C276" s="67">
        <f t="shared" si="4"/>
        <v>-1.2693898716297225E-3</v>
      </c>
      <c r="D276" s="67">
        <f>(Table134[[#This Row],[Index]]-B264)/B264</f>
        <v>1.7874159888180401E-2</v>
      </c>
    </row>
    <row r="277" spans="1:4" x14ac:dyDescent="0.2">
      <c r="A277" s="17">
        <v>34516</v>
      </c>
      <c r="B277" s="59">
        <f>VLOOKUP(Table134[[#This Row],[Date]],database!A:I,8,)</f>
        <v>85.123000000000005</v>
      </c>
      <c r="C277" s="67">
        <f t="shared" si="4"/>
        <v>-7.7528850129571225E-5</v>
      </c>
      <c r="D277" s="67">
        <f>(Table134[[#This Row],[Index]]-B265)/B265</f>
        <v>2.8857020263369445E-2</v>
      </c>
    </row>
    <row r="278" spans="1:4" x14ac:dyDescent="0.2">
      <c r="A278" s="17">
        <v>34547</v>
      </c>
      <c r="B278" s="59">
        <f>VLOOKUP(Table134[[#This Row],[Date]],database!A:I,8,)</f>
        <v>85.085700000000003</v>
      </c>
      <c r="C278" s="67">
        <f t="shared" si="4"/>
        <v>-4.3818944351114997E-4</v>
      </c>
      <c r="D278" s="67">
        <f>(Table134[[#This Row],[Index]]-B266)/B266</f>
        <v>2.7555432104729247E-2</v>
      </c>
    </row>
    <row r="279" spans="1:4" x14ac:dyDescent="0.2">
      <c r="A279" s="17">
        <v>34578</v>
      </c>
      <c r="B279" s="59">
        <f>VLOOKUP(Table134[[#This Row],[Date]],database!A:I,8,)</f>
        <v>84.679100000000005</v>
      </c>
      <c r="C279" s="67">
        <f t="shared" si="4"/>
        <v>-4.7787113463249042E-3</v>
      </c>
      <c r="D279" s="67">
        <f>(Table134[[#This Row],[Index]]-B267)/B267</f>
        <v>1.403473477105553E-2</v>
      </c>
    </row>
    <row r="280" spans="1:4" x14ac:dyDescent="0.2">
      <c r="A280" s="17">
        <v>34608</v>
      </c>
      <c r="B280" s="59">
        <f>VLOOKUP(Table134[[#This Row],[Date]],database!A:I,8,)</f>
        <v>84.435500000000005</v>
      </c>
      <c r="C280" s="67">
        <f t="shared" si="4"/>
        <v>-2.8767429035028158E-3</v>
      </c>
      <c r="D280" s="67">
        <f>(Table134[[#This Row],[Index]]-B268)/B268</f>
        <v>-1.9043318525802512E-3</v>
      </c>
    </row>
    <row r="281" spans="1:4" x14ac:dyDescent="0.2">
      <c r="A281" s="17">
        <v>34639</v>
      </c>
      <c r="B281" s="59">
        <f>VLOOKUP(Table134[[#This Row],[Date]],database!A:I,8,)</f>
        <v>85.111999999999995</v>
      </c>
      <c r="C281" s="67">
        <f t="shared" si="4"/>
        <v>8.0120328534798446E-3</v>
      </c>
      <c r="D281" s="67">
        <f>(Table134[[#This Row],[Index]]-B269)/B269</f>
        <v>6.6100474139918486E-3</v>
      </c>
    </row>
    <row r="282" spans="1:4" x14ac:dyDescent="0.2">
      <c r="A282" s="17">
        <v>34669</v>
      </c>
      <c r="B282" s="59">
        <f>VLOOKUP(Table134[[#This Row],[Date]],database!A:I,8,)</f>
        <v>86.029499999999999</v>
      </c>
      <c r="C282" s="67">
        <f t="shared" si="4"/>
        <v>1.0779913525707396E-2</v>
      </c>
      <c r="D282" s="67">
        <f>(Table134[[#This Row],[Index]]-B270)/B270</f>
        <v>1.3478171746849217E-2</v>
      </c>
    </row>
    <row r="283" spans="1:4" x14ac:dyDescent="0.2">
      <c r="A283" s="17">
        <v>34700</v>
      </c>
      <c r="B283" s="59">
        <f>VLOOKUP(Table134[[#This Row],[Date]],database!A:I,8,)</f>
        <v>85.664699999999996</v>
      </c>
      <c r="C283" s="67">
        <f t="shared" si="4"/>
        <v>-4.2404059072760347E-3</v>
      </c>
      <c r="D283" s="67">
        <f>(Table134[[#This Row],[Index]]-B271)/B271</f>
        <v>2.0162769317245369E-2</v>
      </c>
    </row>
    <row r="284" spans="1:4" x14ac:dyDescent="0.2">
      <c r="A284" s="17">
        <v>34731</v>
      </c>
      <c r="B284" s="59">
        <f>VLOOKUP(Table134[[#This Row],[Date]],database!A:I,8,)</f>
        <v>85.4529</v>
      </c>
      <c r="C284" s="67">
        <f t="shared" si="4"/>
        <v>-2.4724303009290294E-3</v>
      </c>
      <c r="D284" s="67">
        <f>(Table134[[#This Row],[Index]]-B272)/B272</f>
        <v>1.0603586013106138E-2</v>
      </c>
    </row>
    <row r="285" spans="1:4" x14ac:dyDescent="0.2">
      <c r="A285" s="17">
        <v>34759</v>
      </c>
      <c r="B285" s="59">
        <f>VLOOKUP(Table134[[#This Row],[Date]],database!A:I,8,)</f>
        <v>84.302199999999999</v>
      </c>
      <c r="C285" s="67">
        <f t="shared" si="4"/>
        <v>-1.3465897588028075E-2</v>
      </c>
      <c r="D285" s="67">
        <f>(Table134[[#This Row],[Index]]-B273)/B273</f>
        <v>-1.6102584093023144E-2</v>
      </c>
    </row>
    <row r="286" spans="1:4" x14ac:dyDescent="0.2">
      <c r="A286" s="17">
        <v>34790</v>
      </c>
      <c r="B286" s="59">
        <f>VLOOKUP(Table134[[#This Row],[Date]],database!A:I,8,)</f>
        <v>84.656300000000002</v>
      </c>
      <c r="C286" s="67">
        <f t="shared" si="4"/>
        <v>4.2003648777848568E-3</v>
      </c>
      <c r="D286" s="67">
        <f>(Table134[[#This Row],[Index]]-B274)/B274</f>
        <v>-3.6285700162185506E-3</v>
      </c>
    </row>
    <row r="287" spans="1:4" x14ac:dyDescent="0.2">
      <c r="A287" s="17">
        <v>34820</v>
      </c>
      <c r="B287" s="59">
        <f>VLOOKUP(Table134[[#This Row],[Date]],database!A:I,8,)</f>
        <v>84.885599999999997</v>
      </c>
      <c r="C287" s="67">
        <f t="shared" si="4"/>
        <v>2.70859936000023E-3</v>
      </c>
      <c r="D287" s="67">
        <f>(Table134[[#This Row],[Index]]-B275)/B275</f>
        <v>-4.1319696191126042E-3</v>
      </c>
    </row>
    <row r="288" spans="1:4" x14ac:dyDescent="0.2">
      <c r="A288" s="17">
        <v>34851</v>
      </c>
      <c r="B288" s="59">
        <f>VLOOKUP(Table134[[#This Row],[Date]],database!A:I,8,)</f>
        <v>84.8108</v>
      </c>
      <c r="C288" s="67">
        <f t="shared" si="4"/>
        <v>-8.8118597265018916E-4</v>
      </c>
      <c r="D288" s="67">
        <f>(Table134[[#This Row],[Index]]-B276)/B276</f>
        <v>-3.7448783971732041E-3</v>
      </c>
    </row>
    <row r="289" spans="1:4" x14ac:dyDescent="0.2">
      <c r="A289" s="17">
        <v>34881</v>
      </c>
      <c r="B289" s="59">
        <f>VLOOKUP(Table134[[#This Row],[Date]],database!A:I,8,)</f>
        <v>85.430599999999998</v>
      </c>
      <c r="C289" s="67">
        <f t="shared" si="4"/>
        <v>7.3080315242870508E-3</v>
      </c>
      <c r="D289" s="67">
        <f>(Table134[[#This Row],[Index]]-B277)/B277</f>
        <v>3.6135944456844055E-3</v>
      </c>
    </row>
    <row r="290" spans="1:4" x14ac:dyDescent="0.2">
      <c r="A290" s="17">
        <v>34912</v>
      </c>
      <c r="B290" s="59">
        <f>VLOOKUP(Table134[[#This Row],[Date]],database!A:I,8,)</f>
        <v>84.322299999999998</v>
      </c>
      <c r="C290" s="67">
        <f t="shared" si="4"/>
        <v>-1.2973103314269152E-2</v>
      </c>
      <c r="D290" s="67">
        <f>(Table134[[#This Row],[Index]]-B278)/B278</f>
        <v>-8.9721304520031485E-3</v>
      </c>
    </row>
    <row r="291" spans="1:4" x14ac:dyDescent="0.2">
      <c r="A291" s="17">
        <v>34943</v>
      </c>
      <c r="B291" s="59">
        <f>VLOOKUP(Table134[[#This Row],[Date]],database!A:I,8,)</f>
        <v>85.4011</v>
      </c>
      <c r="C291" s="67">
        <f t="shared" si="4"/>
        <v>1.2793768670920969E-2</v>
      </c>
      <c r="D291" s="67">
        <f>(Table134[[#This Row],[Index]]-B279)/B279</f>
        <v>8.5263069635836252E-3</v>
      </c>
    </row>
    <row r="292" spans="1:4" x14ac:dyDescent="0.2">
      <c r="A292" s="17">
        <v>34973</v>
      </c>
      <c r="B292" s="59">
        <f>VLOOKUP(Table134[[#This Row],[Date]],database!A:I,8,)</f>
        <v>84.283299999999997</v>
      </c>
      <c r="C292" s="67">
        <f t="shared" si="4"/>
        <v>-1.3088824382824105E-2</v>
      </c>
      <c r="D292" s="67">
        <f>(Table134[[#This Row],[Index]]-B280)/B280</f>
        <v>-1.8025593500365089E-3</v>
      </c>
    </row>
    <row r="293" spans="1:4" x14ac:dyDescent="0.2">
      <c r="A293" s="17">
        <v>35004</v>
      </c>
      <c r="B293" s="59">
        <f>VLOOKUP(Table134[[#This Row],[Date]],database!A:I,8,)</f>
        <v>85.141599999999997</v>
      </c>
      <c r="C293" s="67">
        <f t="shared" si="4"/>
        <v>1.0183512036192166E-2</v>
      </c>
      <c r="D293" s="67">
        <f>(Table134[[#This Row],[Index]]-B281)/B281</f>
        <v>3.4777704671494112E-4</v>
      </c>
    </row>
    <row r="294" spans="1:4" x14ac:dyDescent="0.2">
      <c r="A294" s="17">
        <v>35034</v>
      </c>
      <c r="B294" s="59">
        <f>VLOOKUP(Table134[[#This Row],[Date]],database!A:I,8,)</f>
        <v>84.915800000000004</v>
      </c>
      <c r="C294" s="67">
        <f t="shared" si="4"/>
        <v>-2.6520525806420503E-3</v>
      </c>
      <c r="D294" s="67">
        <f>(Table134[[#This Row],[Index]]-B282)/B282</f>
        <v>-1.2945559372075793E-2</v>
      </c>
    </row>
    <row r="295" spans="1:4" x14ac:dyDescent="0.2">
      <c r="A295" s="17">
        <v>35065</v>
      </c>
      <c r="B295" s="59">
        <f>VLOOKUP(Table134[[#This Row],[Date]],database!A:I,8,)</f>
        <v>83.611199999999997</v>
      </c>
      <c r="C295" s="67">
        <f t="shared" si="4"/>
        <v>-1.5363454151053224E-2</v>
      </c>
      <c r="D295" s="67">
        <f>(Table134[[#This Row],[Index]]-B283)/B283</f>
        <v>-2.397136743606176E-2</v>
      </c>
    </row>
    <row r="296" spans="1:4" x14ac:dyDescent="0.2">
      <c r="A296" s="17">
        <v>35096</v>
      </c>
      <c r="B296" s="59">
        <f>VLOOKUP(Table134[[#This Row],[Date]],database!A:I,8,)</f>
        <v>84.896500000000003</v>
      </c>
      <c r="C296" s="67">
        <f t="shared" si="4"/>
        <v>1.5372342461297039E-2</v>
      </c>
      <c r="D296" s="67">
        <f>(Table134[[#This Row],[Index]]-B284)/B284</f>
        <v>-6.5111892048133699E-3</v>
      </c>
    </row>
    <row r="297" spans="1:4" x14ac:dyDescent="0.2">
      <c r="A297" s="17">
        <v>35125</v>
      </c>
      <c r="B297" s="59">
        <f>VLOOKUP(Table134[[#This Row],[Date]],database!A:I,8,)</f>
        <v>85.982600000000005</v>
      </c>
      <c r="C297" s="67">
        <f t="shared" si="4"/>
        <v>1.2793224691241667E-2</v>
      </c>
      <c r="D297" s="67">
        <f>(Table134[[#This Row],[Index]]-B285)/B285</f>
        <v>1.9933050383026847E-2</v>
      </c>
    </row>
    <row r="298" spans="1:4" x14ac:dyDescent="0.2">
      <c r="A298" s="17">
        <v>35156</v>
      </c>
      <c r="B298" s="59">
        <f>VLOOKUP(Table134[[#This Row],[Date]],database!A:I,8,)</f>
        <v>86.498999999999995</v>
      </c>
      <c r="C298" s="67">
        <f t="shared" si="4"/>
        <v>6.0058663031821169E-3</v>
      </c>
      <c r="D298" s="67">
        <f>(Table134[[#This Row],[Index]]-B286)/B286</f>
        <v>2.1766838380604794E-2</v>
      </c>
    </row>
    <row r="299" spans="1:4" x14ac:dyDescent="0.2">
      <c r="A299" s="17">
        <v>35186</v>
      </c>
      <c r="B299" s="59">
        <f>VLOOKUP(Table134[[#This Row],[Date]],database!A:I,8,)</f>
        <v>86.174899999999994</v>
      </c>
      <c r="C299" s="67">
        <f t="shared" si="4"/>
        <v>-3.7468641255968826E-3</v>
      </c>
      <c r="D299" s="67">
        <f>(Table134[[#This Row],[Index]]-B287)/B287</f>
        <v>1.518867746708508E-2</v>
      </c>
    </row>
    <row r="300" spans="1:4" x14ac:dyDescent="0.2">
      <c r="A300" s="17">
        <v>35217</v>
      </c>
      <c r="B300" s="59">
        <f>VLOOKUP(Table134[[#This Row],[Date]],database!A:I,8,)</f>
        <v>87.513999999999996</v>
      </c>
      <c r="C300" s="67">
        <f t="shared" si="4"/>
        <v>1.5539327576823414E-2</v>
      </c>
      <c r="D300" s="67">
        <f>(Table134[[#This Row],[Index]]-B288)/B288</f>
        <v>3.1873299155296207E-2</v>
      </c>
    </row>
    <row r="301" spans="1:4" x14ac:dyDescent="0.2">
      <c r="A301" s="17">
        <v>35247</v>
      </c>
      <c r="B301" s="59">
        <f>VLOOKUP(Table134[[#This Row],[Date]],database!A:I,8,)</f>
        <v>87.100899999999996</v>
      </c>
      <c r="C301" s="67">
        <f t="shared" si="4"/>
        <v>-4.7203875951276064E-3</v>
      </c>
      <c r="D301" s="67">
        <f>(Table134[[#This Row],[Index]]-B289)/B289</f>
        <v>1.9551542421567886E-2</v>
      </c>
    </row>
    <row r="302" spans="1:4" x14ac:dyDescent="0.2">
      <c r="A302" s="17">
        <v>35278</v>
      </c>
      <c r="B302" s="59">
        <f>VLOOKUP(Table134[[#This Row],[Date]],database!A:I,8,)</f>
        <v>87.219499999999996</v>
      </c>
      <c r="C302" s="67">
        <f t="shared" si="4"/>
        <v>1.3616392023503288E-3</v>
      </c>
      <c r="D302" s="67">
        <f>(Table134[[#This Row],[Index]]-B290)/B290</f>
        <v>3.4358645340556389E-2</v>
      </c>
    </row>
    <row r="303" spans="1:4" x14ac:dyDescent="0.2">
      <c r="A303" s="17">
        <v>35309</v>
      </c>
      <c r="B303" s="59">
        <f>VLOOKUP(Table134[[#This Row],[Date]],database!A:I,8,)</f>
        <v>87.415499999999994</v>
      </c>
      <c r="C303" s="67">
        <f t="shared" si="4"/>
        <v>2.2472038936247607E-3</v>
      </c>
      <c r="D303" s="67">
        <f>(Table134[[#This Row],[Index]]-B291)/B291</f>
        <v>2.3587518193559507E-2</v>
      </c>
    </row>
    <row r="304" spans="1:4" x14ac:dyDescent="0.2">
      <c r="A304" s="17">
        <v>35339</v>
      </c>
      <c r="B304" s="59">
        <f>VLOOKUP(Table134[[#This Row],[Date]],database!A:I,8,)</f>
        <v>87.027600000000007</v>
      </c>
      <c r="C304" s="67">
        <f t="shared" si="4"/>
        <v>-4.4374281448941177E-3</v>
      </c>
      <c r="D304" s="67">
        <f>(Table134[[#This Row],[Index]]-B292)/B292</f>
        <v>3.2560424188421783E-2</v>
      </c>
    </row>
    <row r="305" spans="1:4" x14ac:dyDescent="0.2">
      <c r="A305" s="17">
        <v>35370</v>
      </c>
      <c r="B305" s="59">
        <f>VLOOKUP(Table134[[#This Row],[Date]],database!A:I,8,)</f>
        <v>86.709299999999999</v>
      </c>
      <c r="C305" s="67">
        <f t="shared" si="4"/>
        <v>-3.6574603918757553E-3</v>
      </c>
      <c r="D305" s="67">
        <f>(Table134[[#This Row],[Index]]-B293)/B293</f>
        <v>1.8412855760286419E-2</v>
      </c>
    </row>
    <row r="306" spans="1:4" x14ac:dyDescent="0.2">
      <c r="A306" s="17">
        <v>35400</v>
      </c>
      <c r="B306" s="59">
        <f>VLOOKUP(Table134[[#This Row],[Date]],database!A:I,8,)</f>
        <v>86.872299999999996</v>
      </c>
      <c r="C306" s="67">
        <f t="shared" si="4"/>
        <v>1.8798444918826096E-3</v>
      </c>
      <c r="D306" s="67">
        <f>(Table134[[#This Row],[Index]]-B294)/B294</f>
        <v>2.3040470678012705E-2</v>
      </c>
    </row>
    <row r="307" spans="1:4" x14ac:dyDescent="0.2">
      <c r="A307" s="17">
        <v>35431</v>
      </c>
      <c r="B307" s="59">
        <f>VLOOKUP(Table134[[#This Row],[Date]],database!A:I,8,)</f>
        <v>86.581400000000002</v>
      </c>
      <c r="C307" s="67">
        <f t="shared" si="4"/>
        <v>-3.3485932800212392E-3</v>
      </c>
      <c r="D307" s="67">
        <f>(Table134[[#This Row],[Index]]-B295)/B295</f>
        <v>3.5523948944639061E-2</v>
      </c>
    </row>
    <row r="308" spans="1:4" x14ac:dyDescent="0.2">
      <c r="A308" s="17">
        <v>35462</v>
      </c>
      <c r="B308" s="59">
        <f>VLOOKUP(Table134[[#This Row],[Date]],database!A:I,8,)</f>
        <v>88.199299999999994</v>
      </c>
      <c r="C308" s="67">
        <f t="shared" si="4"/>
        <v>1.868646152637865E-2</v>
      </c>
      <c r="D308" s="67">
        <f>(Table134[[#This Row],[Index]]-B296)/B296</f>
        <v>3.8903841736702811E-2</v>
      </c>
    </row>
    <row r="309" spans="1:4" x14ac:dyDescent="0.2">
      <c r="A309" s="17">
        <v>35490</v>
      </c>
      <c r="B309" s="59">
        <f>VLOOKUP(Table134[[#This Row],[Date]],database!A:I,8,)</f>
        <v>88.414199999999994</v>
      </c>
      <c r="C309" s="67">
        <f t="shared" si="4"/>
        <v>2.4365272740258792E-3</v>
      </c>
      <c r="D309" s="67">
        <f>(Table134[[#This Row],[Index]]-B297)/B297</f>
        <v>2.8280140400499504E-2</v>
      </c>
    </row>
    <row r="310" spans="1:4" x14ac:dyDescent="0.2">
      <c r="A310" s="17">
        <v>35521</v>
      </c>
      <c r="B310" s="59">
        <f>VLOOKUP(Table134[[#This Row],[Date]],database!A:I,8,)</f>
        <v>87.673199999999994</v>
      </c>
      <c r="C310" s="67">
        <f t="shared" si="4"/>
        <v>-8.3810066708741582E-3</v>
      </c>
      <c r="D310" s="67">
        <f>(Table134[[#This Row],[Index]]-B298)/B298</f>
        <v>1.357472340720701E-2</v>
      </c>
    </row>
    <row r="311" spans="1:4" x14ac:dyDescent="0.2">
      <c r="A311" s="17">
        <v>35551</v>
      </c>
      <c r="B311" s="59">
        <f>VLOOKUP(Table134[[#This Row],[Date]],database!A:I,8,)</f>
        <v>88.758300000000006</v>
      </c>
      <c r="C311" s="67">
        <f t="shared" si="4"/>
        <v>1.2376644174046492E-2</v>
      </c>
      <c r="D311" s="67">
        <f>(Table134[[#This Row],[Index]]-B299)/B299</f>
        <v>2.997856684487028E-2</v>
      </c>
    </row>
    <row r="312" spans="1:4" x14ac:dyDescent="0.2">
      <c r="A312" s="17">
        <v>35582</v>
      </c>
      <c r="B312" s="59">
        <f>VLOOKUP(Table134[[#This Row],[Date]],database!A:I,8,)</f>
        <v>88.229299999999995</v>
      </c>
      <c r="C312" s="67">
        <f t="shared" si="4"/>
        <v>-5.9600059938057504E-3</v>
      </c>
      <c r="D312" s="67">
        <f>(Table134[[#This Row],[Index]]-B300)/B300</f>
        <v>8.1735493749571404E-3</v>
      </c>
    </row>
    <row r="313" spans="1:4" x14ac:dyDescent="0.2">
      <c r="A313" s="17">
        <v>35612</v>
      </c>
      <c r="B313" s="59">
        <f>VLOOKUP(Table134[[#This Row],[Date]],database!A:I,8,)</f>
        <v>88.224100000000007</v>
      </c>
      <c r="C313" s="67">
        <f t="shared" si="4"/>
        <v>-5.8937337143016855E-5</v>
      </c>
      <c r="D313" s="67">
        <f>(Table134[[#This Row],[Index]]-B301)/B301</f>
        <v>1.2895389140640468E-2</v>
      </c>
    </row>
    <row r="314" spans="1:4" x14ac:dyDescent="0.2">
      <c r="A314" s="17">
        <v>35643</v>
      </c>
      <c r="B314" s="59">
        <f>VLOOKUP(Table134[[#This Row],[Date]],database!A:I,8,)</f>
        <v>88.243799999999993</v>
      </c>
      <c r="C314" s="67">
        <f t="shared" si="4"/>
        <v>2.2329499535822528E-4</v>
      </c>
      <c r="D314" s="67">
        <f>(Table134[[#This Row],[Index]]-B302)/B302</f>
        <v>1.1743933409386625E-2</v>
      </c>
    </row>
    <row r="315" spans="1:4" x14ac:dyDescent="0.2">
      <c r="A315" s="17">
        <v>35674</v>
      </c>
      <c r="B315" s="59">
        <f>VLOOKUP(Table134[[#This Row],[Date]],database!A:I,8,)</f>
        <v>88.901399999999995</v>
      </c>
      <c r="C315" s="67">
        <f t="shared" si="4"/>
        <v>7.4520816193319739E-3</v>
      </c>
      <c r="D315" s="67">
        <f>(Table134[[#This Row],[Index]]-B303)/B303</f>
        <v>1.6998129622320994E-2</v>
      </c>
    </row>
    <row r="316" spans="1:4" x14ac:dyDescent="0.2">
      <c r="A316" s="17">
        <v>35704</v>
      </c>
      <c r="B316" s="59">
        <f>VLOOKUP(Table134[[#This Row],[Date]],database!A:I,8,)</f>
        <v>88.084199999999996</v>
      </c>
      <c r="C316" s="67">
        <f t="shared" si="4"/>
        <v>-9.1922061969778035E-3</v>
      </c>
      <c r="D316" s="67">
        <f>(Table134[[#This Row],[Index]]-B304)/B304</f>
        <v>1.2140975966245063E-2</v>
      </c>
    </row>
    <row r="317" spans="1:4" x14ac:dyDescent="0.2">
      <c r="A317" s="17">
        <v>35735</v>
      </c>
      <c r="B317" s="59">
        <f>VLOOKUP(Table134[[#This Row],[Date]],database!A:I,8,)</f>
        <v>87.573400000000007</v>
      </c>
      <c r="C317" s="67">
        <f t="shared" si="4"/>
        <v>-5.7989968689048377E-3</v>
      </c>
      <c r="D317" s="67">
        <f>(Table134[[#This Row],[Index]]-B305)/B305</f>
        <v>9.9654823646368688E-3</v>
      </c>
    </row>
    <row r="318" spans="1:4" x14ac:dyDescent="0.2">
      <c r="A318" s="17">
        <v>35765</v>
      </c>
      <c r="B318" s="59">
        <f>VLOOKUP(Table134[[#This Row],[Date]],database!A:I,8,)</f>
        <v>88.023600000000002</v>
      </c>
      <c r="C318" s="67">
        <f t="shared" si="4"/>
        <v>5.1408304348123934E-3</v>
      </c>
      <c r="D318" s="67">
        <f>(Table134[[#This Row],[Index]]-B306)/B306</f>
        <v>1.3252785985866683E-2</v>
      </c>
    </row>
    <row r="319" spans="1:4" x14ac:dyDescent="0.2">
      <c r="A319" s="17">
        <v>35796</v>
      </c>
      <c r="B319" s="59">
        <f>VLOOKUP(Table134[[#This Row],[Date]],database!A:I,8,)</f>
        <v>90.415599999999998</v>
      </c>
      <c r="C319" s="67">
        <f t="shared" si="4"/>
        <v>2.7174530466829383E-2</v>
      </c>
      <c r="D319" s="67">
        <f>(Table134[[#This Row],[Index]]-B307)/B307</f>
        <v>4.4284338206589356E-2</v>
      </c>
    </row>
    <row r="320" spans="1:4" x14ac:dyDescent="0.2">
      <c r="A320" s="17">
        <v>35827</v>
      </c>
      <c r="B320" s="59">
        <f>VLOOKUP(Table134[[#This Row],[Date]],database!A:I,8,)</f>
        <v>89.139799999999994</v>
      </c>
      <c r="C320" s="67">
        <f t="shared" si="4"/>
        <v>-1.4110396878414866E-2</v>
      </c>
      <c r="D320" s="67">
        <f>(Table134[[#This Row],[Index]]-B308)/B308</f>
        <v>1.0663349935883847E-2</v>
      </c>
    </row>
    <row r="321" spans="1:4" x14ac:dyDescent="0.2">
      <c r="A321" s="17">
        <v>35855</v>
      </c>
      <c r="B321" s="59">
        <f>VLOOKUP(Table134[[#This Row],[Date]],database!A:I,8,)</f>
        <v>87.815200000000004</v>
      </c>
      <c r="C321" s="67">
        <f t="shared" si="4"/>
        <v>-1.4859804486884509E-2</v>
      </c>
      <c r="D321" s="67">
        <f>(Table134[[#This Row],[Index]]-B309)/B309</f>
        <v>-6.7749298189656139E-3</v>
      </c>
    </row>
    <row r="322" spans="1:4" x14ac:dyDescent="0.2">
      <c r="A322" s="17">
        <v>35886</v>
      </c>
      <c r="B322" s="59">
        <f>VLOOKUP(Table134[[#This Row],[Date]],database!A:I,8,)</f>
        <v>88.381600000000006</v>
      </c>
      <c r="C322" s="67">
        <f t="shared" si="4"/>
        <v>6.4499084440963195E-3</v>
      </c>
      <c r="D322" s="67">
        <f>(Table134[[#This Row],[Index]]-B310)/B310</f>
        <v>8.0800062048609119E-3</v>
      </c>
    </row>
    <row r="323" spans="1:4" x14ac:dyDescent="0.2">
      <c r="A323" s="17">
        <v>35916</v>
      </c>
      <c r="B323" s="59">
        <f>VLOOKUP(Table134[[#This Row],[Date]],database!A:I,8,)</f>
        <v>88.623699999999999</v>
      </c>
      <c r="C323" s="67">
        <f t="shared" si="4"/>
        <v>2.7392579450926657E-3</v>
      </c>
      <c r="D323" s="67">
        <f>(Table134[[#This Row],[Index]]-B311)/B311</f>
        <v>-1.5164778955884242E-3</v>
      </c>
    </row>
    <row r="324" spans="1:4" x14ac:dyDescent="0.2">
      <c r="A324" s="17">
        <v>35947</v>
      </c>
      <c r="B324" s="59">
        <f>VLOOKUP(Table134[[#This Row],[Date]],database!A:I,8,)</f>
        <v>86.763300000000001</v>
      </c>
      <c r="C324" s="67">
        <f t="shared" si="4"/>
        <v>-2.0992127388046344E-2</v>
      </c>
      <c r="D324" s="67">
        <f>(Table134[[#This Row],[Index]]-B312)/B312</f>
        <v>-1.6615795433036349E-2</v>
      </c>
    </row>
    <row r="325" spans="1:4" x14ac:dyDescent="0.2">
      <c r="A325" s="17">
        <v>35977</v>
      </c>
      <c r="B325" s="59">
        <f>VLOOKUP(Table134[[#This Row],[Date]],database!A:I,8,)</f>
        <v>85.726600000000005</v>
      </c>
      <c r="C325" s="67">
        <f t="shared" si="4"/>
        <v>-1.1948600387491015E-2</v>
      </c>
      <c r="D325" s="67">
        <f>(Table134[[#This Row],[Index]]-B313)/B313</f>
        <v>-2.8308591416631081E-2</v>
      </c>
    </row>
    <row r="326" spans="1:4" x14ac:dyDescent="0.2">
      <c r="A326" s="17">
        <v>36008</v>
      </c>
      <c r="B326" s="59">
        <f>VLOOKUP(Table134[[#This Row],[Date]],database!A:I,8,)</f>
        <v>86.055300000000003</v>
      </c>
      <c r="C326" s="67">
        <f t="shared" si="4"/>
        <v>3.8342824747510384E-3</v>
      </c>
      <c r="D326" s="67">
        <f>(Table134[[#This Row],[Index]]-B314)/B314</f>
        <v>-2.4800609221270965E-2</v>
      </c>
    </row>
    <row r="327" spans="1:4" x14ac:dyDescent="0.2">
      <c r="A327" s="17">
        <v>36039</v>
      </c>
      <c r="B327" s="59">
        <f>VLOOKUP(Table134[[#This Row],[Date]],database!A:I,8,)</f>
        <v>83.401300000000006</v>
      </c>
      <c r="C327" s="67">
        <f t="shared" si="4"/>
        <v>-3.084063387147562E-2</v>
      </c>
      <c r="D327" s="67">
        <f>(Table134[[#This Row],[Index]]-B315)/B315</f>
        <v>-6.1867417161034464E-2</v>
      </c>
    </row>
    <row r="328" spans="1:4" x14ac:dyDescent="0.2">
      <c r="A328" s="17">
        <v>36069</v>
      </c>
      <c r="B328" s="59">
        <f>VLOOKUP(Table134[[#This Row],[Date]],database!A:I,8,)</f>
        <v>84.224100000000007</v>
      </c>
      <c r="C328" s="67">
        <f t="shared" ref="C328:C391" si="5">B328/B327-1</f>
        <v>9.8655536544394185E-3</v>
      </c>
      <c r="D328" s="67">
        <f>(Table134[[#This Row],[Index]]-B316)/B316</f>
        <v>-4.3822842235043159E-2</v>
      </c>
    </row>
    <row r="329" spans="1:4" x14ac:dyDescent="0.2">
      <c r="A329" s="17">
        <v>36100</v>
      </c>
      <c r="B329" s="59">
        <f>VLOOKUP(Table134[[#This Row],[Date]],database!A:I,8,)</f>
        <v>84.489199999999997</v>
      </c>
      <c r="C329" s="67">
        <f t="shared" si="5"/>
        <v>3.1475551534536628E-3</v>
      </c>
      <c r="D329" s="67">
        <f>(Table134[[#This Row],[Index]]-B317)/B317</f>
        <v>-3.5218456745998321E-2</v>
      </c>
    </row>
    <row r="330" spans="1:4" x14ac:dyDescent="0.2">
      <c r="A330" s="17">
        <v>36130</v>
      </c>
      <c r="B330" s="59">
        <f>VLOOKUP(Table134[[#This Row],[Date]],database!A:I,8,)</f>
        <v>82.532799999999995</v>
      </c>
      <c r="C330" s="67">
        <f t="shared" si="5"/>
        <v>-2.3155622257045927E-2</v>
      </c>
      <c r="D330" s="67">
        <f>(Table134[[#This Row],[Index]]-B318)/B318</f>
        <v>-6.2378725705379091E-2</v>
      </c>
    </row>
    <row r="331" spans="1:4" x14ac:dyDescent="0.2">
      <c r="A331" s="17">
        <v>36161</v>
      </c>
      <c r="B331" s="59">
        <f>VLOOKUP(Table134[[#This Row],[Date]],database!A:I,8,)</f>
        <v>82.465299999999999</v>
      </c>
      <c r="C331" s="67">
        <f t="shared" si="5"/>
        <v>-8.1785665820133246E-4</v>
      </c>
      <c r="D331" s="67">
        <f>(Table134[[#This Row],[Index]]-B319)/B319</f>
        <v>-8.7930622591676638E-2</v>
      </c>
    </row>
    <row r="332" spans="1:4" x14ac:dyDescent="0.2">
      <c r="A332" s="17">
        <v>36192</v>
      </c>
      <c r="B332" s="59">
        <f>VLOOKUP(Table134[[#This Row],[Date]],database!A:I,8,)</f>
        <v>81.841700000000003</v>
      </c>
      <c r="C332" s="67">
        <f t="shared" si="5"/>
        <v>-7.5619684885642746E-3</v>
      </c>
      <c r="D332" s="67">
        <f>(Table134[[#This Row],[Index]]-B320)/B320</f>
        <v>-8.1872519346015943E-2</v>
      </c>
    </row>
    <row r="333" spans="1:4" x14ac:dyDescent="0.2">
      <c r="A333" s="17">
        <v>36220</v>
      </c>
      <c r="B333" s="59">
        <f>VLOOKUP(Table134[[#This Row],[Date]],database!A:I,8,)</f>
        <v>81.200100000000006</v>
      </c>
      <c r="C333" s="67">
        <f t="shared" si="5"/>
        <v>-7.8395243500561929E-3</v>
      </c>
      <c r="D333" s="67">
        <f>(Table134[[#This Row],[Index]]-B321)/B321</f>
        <v>-7.5329783454345003E-2</v>
      </c>
    </row>
    <row r="334" spans="1:4" x14ac:dyDescent="0.2">
      <c r="A334" s="17">
        <v>36251</v>
      </c>
      <c r="B334" s="59">
        <f>VLOOKUP(Table134[[#This Row],[Date]],database!A:I,8,)</f>
        <v>80.941800000000001</v>
      </c>
      <c r="C334" s="67">
        <f t="shared" si="5"/>
        <v>-3.1810305652333337E-3</v>
      </c>
      <c r="D334" s="67">
        <f>(Table134[[#This Row],[Index]]-B322)/B322</f>
        <v>-8.4178154729038682E-2</v>
      </c>
    </row>
    <row r="335" spans="1:4" x14ac:dyDescent="0.2">
      <c r="A335" s="17">
        <v>36281</v>
      </c>
      <c r="B335" s="59">
        <f>VLOOKUP(Table134[[#This Row],[Date]],database!A:I,8,)</f>
        <v>80.948599999999999</v>
      </c>
      <c r="C335" s="67">
        <f t="shared" si="5"/>
        <v>8.4010980729409823E-5</v>
      </c>
      <c r="D335" s="67">
        <f>(Table134[[#This Row],[Index]]-B323)/B323</f>
        <v>-8.660324495592038E-2</v>
      </c>
    </row>
    <row r="336" spans="1:4" x14ac:dyDescent="0.2">
      <c r="A336" s="17">
        <v>36312</v>
      </c>
      <c r="B336" s="59">
        <f>VLOOKUP(Table134[[#This Row],[Date]],database!A:I,8,)</f>
        <v>81.241399999999999</v>
      </c>
      <c r="C336" s="67">
        <f t="shared" si="5"/>
        <v>3.6171101167901121E-3</v>
      </c>
      <c r="D336" s="67">
        <f>(Table134[[#This Row],[Index]]-B324)/B324</f>
        <v>-6.3643268524825616E-2</v>
      </c>
    </row>
    <row r="337" spans="1:4" x14ac:dyDescent="0.2">
      <c r="A337" s="17">
        <v>36342</v>
      </c>
      <c r="B337" s="59">
        <f>VLOOKUP(Table134[[#This Row],[Date]],database!A:I,8,)</f>
        <v>81.996899999999997</v>
      </c>
      <c r="C337" s="67">
        <f t="shared" si="5"/>
        <v>9.2994458490376353E-3</v>
      </c>
      <c r="D337" s="67">
        <f>(Table134[[#This Row],[Index]]-B325)/B325</f>
        <v>-4.3506916173043232E-2</v>
      </c>
    </row>
    <row r="338" spans="1:4" x14ac:dyDescent="0.2">
      <c r="A338" s="17">
        <v>36373</v>
      </c>
      <c r="B338" s="59">
        <f>VLOOKUP(Table134[[#This Row],[Date]],database!A:I,8,)</f>
        <v>82.089699999999993</v>
      </c>
      <c r="C338" s="67">
        <f t="shared" si="5"/>
        <v>1.1317501027476862E-3</v>
      </c>
      <c r="D338" s="67">
        <f>(Table134[[#This Row],[Index]]-B326)/B326</f>
        <v>-4.608199611180263E-2</v>
      </c>
    </row>
    <row r="339" spans="1:4" x14ac:dyDescent="0.2">
      <c r="A339" s="17">
        <v>36404</v>
      </c>
      <c r="B339" s="59">
        <f>VLOOKUP(Table134[[#This Row],[Date]],database!A:I,8,)</f>
        <v>82.013599999999997</v>
      </c>
      <c r="C339" s="67">
        <f t="shared" si="5"/>
        <v>-9.27034694973905E-4</v>
      </c>
      <c r="D339" s="67">
        <f>(Table134[[#This Row],[Index]]-B327)/B327</f>
        <v>-1.6638829370765315E-2</v>
      </c>
    </row>
    <row r="340" spans="1:4" x14ac:dyDescent="0.2">
      <c r="A340" s="17">
        <v>36434</v>
      </c>
      <c r="B340" s="59">
        <f>VLOOKUP(Table134[[#This Row],[Date]],database!A:I,8,)</f>
        <v>82.831299999999999</v>
      </c>
      <c r="C340" s="67">
        <f t="shared" si="5"/>
        <v>9.9702976091771145E-3</v>
      </c>
      <c r="D340" s="67">
        <f>(Table134[[#This Row],[Index]]-B328)/B328</f>
        <v>-1.6536834468994125E-2</v>
      </c>
    </row>
    <row r="341" spans="1:4" x14ac:dyDescent="0.2">
      <c r="A341" s="17">
        <v>36465</v>
      </c>
      <c r="B341" s="59">
        <f>VLOOKUP(Table134[[#This Row],[Date]],database!A:I,8,)</f>
        <v>83.716999999999999</v>
      </c>
      <c r="C341" s="67">
        <f t="shared" si="5"/>
        <v>1.0692817811624344E-2</v>
      </c>
      <c r="D341" s="67">
        <f>(Table134[[#This Row],[Index]]-B329)/B329</f>
        <v>-9.1396296804798494E-3</v>
      </c>
    </row>
    <row r="342" spans="1:4" x14ac:dyDescent="0.2">
      <c r="A342" s="17">
        <v>36495</v>
      </c>
      <c r="B342" s="59">
        <f>VLOOKUP(Table134[[#This Row],[Date]],database!A:I,8,)</f>
        <v>84.385199999999998</v>
      </c>
      <c r="C342" s="67">
        <f t="shared" si="5"/>
        <v>7.9816524720188742E-3</v>
      </c>
      <c r="D342" s="67">
        <f>(Table134[[#This Row],[Index]]-B330)/B330</f>
        <v>2.2444409980032217E-2</v>
      </c>
    </row>
    <row r="343" spans="1:4" x14ac:dyDescent="0.2">
      <c r="A343" s="17">
        <v>36526</v>
      </c>
      <c r="B343" s="59">
        <f>VLOOKUP(Table134[[#This Row],[Date]],database!A:I,8,)</f>
        <v>83.336100000000002</v>
      </c>
      <c r="C343" s="67">
        <f t="shared" si="5"/>
        <v>-1.2432274853884318E-2</v>
      </c>
      <c r="D343" s="67">
        <f>(Table134[[#This Row],[Index]]-B331)/B331</f>
        <v>1.0559592943941303E-2</v>
      </c>
    </row>
    <row r="344" spans="1:4" x14ac:dyDescent="0.2">
      <c r="A344" s="17">
        <v>36557</v>
      </c>
      <c r="B344" s="59">
        <f>VLOOKUP(Table134[[#This Row],[Date]],database!A:I,8,)</f>
        <v>83.787000000000006</v>
      </c>
      <c r="C344" s="67">
        <f t="shared" si="5"/>
        <v>5.4106203674038067E-3</v>
      </c>
      <c r="D344" s="67">
        <f>(Table134[[#This Row],[Index]]-B332)/B332</f>
        <v>2.3769056605617955E-2</v>
      </c>
    </row>
    <row r="345" spans="1:4" x14ac:dyDescent="0.2">
      <c r="A345" s="17">
        <v>36586</v>
      </c>
      <c r="B345" s="59">
        <f>VLOOKUP(Table134[[#This Row],[Date]],database!A:I,8,)</f>
        <v>84.616799999999998</v>
      </c>
      <c r="C345" s="67">
        <f t="shared" si="5"/>
        <v>9.9036843424396004E-3</v>
      </c>
      <c r="D345" s="67">
        <f>(Table134[[#This Row],[Index]]-B333)/B333</f>
        <v>4.2077534387272818E-2</v>
      </c>
    </row>
    <row r="346" spans="1:4" x14ac:dyDescent="0.2">
      <c r="A346" s="17">
        <v>36617</v>
      </c>
      <c r="B346" s="59">
        <f>VLOOKUP(Table134[[#This Row],[Date]],database!A:I,8,)</f>
        <v>83.607500000000002</v>
      </c>
      <c r="C346" s="67">
        <f t="shared" si="5"/>
        <v>-1.1927891387998546E-2</v>
      </c>
      <c r="D346" s="67">
        <f>(Table134[[#This Row],[Index]]-B334)/B334</f>
        <v>3.293353990150949E-2</v>
      </c>
    </row>
    <row r="347" spans="1:4" x14ac:dyDescent="0.2">
      <c r="A347" s="17">
        <v>36647</v>
      </c>
      <c r="B347" s="59">
        <f>VLOOKUP(Table134[[#This Row],[Date]],database!A:I,8,)</f>
        <v>83.3506</v>
      </c>
      <c r="C347" s="67">
        <f t="shared" si="5"/>
        <v>-3.0726908471130354E-3</v>
      </c>
      <c r="D347" s="67">
        <f>(Table134[[#This Row],[Index]]-B335)/B335</f>
        <v>2.9673150616564104E-2</v>
      </c>
    </row>
    <row r="348" spans="1:4" x14ac:dyDescent="0.2">
      <c r="A348" s="17">
        <v>36678</v>
      </c>
      <c r="B348" s="59">
        <f>VLOOKUP(Table134[[#This Row],[Date]],database!A:I,8,)</f>
        <v>83.867699999999999</v>
      </c>
      <c r="C348" s="67">
        <f t="shared" si="5"/>
        <v>6.2039145489054537E-3</v>
      </c>
      <c r="D348" s="67">
        <f>(Table134[[#This Row],[Index]]-B336)/B336</f>
        <v>3.2327114008375048E-2</v>
      </c>
    </row>
    <row r="349" spans="1:4" x14ac:dyDescent="0.2">
      <c r="A349" s="17">
        <v>36708</v>
      </c>
      <c r="B349" s="59">
        <f>VLOOKUP(Table134[[#This Row],[Date]],database!A:I,8,)</f>
        <v>83.818399999999997</v>
      </c>
      <c r="C349" s="67">
        <f t="shared" si="5"/>
        <v>-5.8783059509204261E-4</v>
      </c>
      <c r="D349" s="67">
        <f>(Table134[[#This Row],[Index]]-B337)/B337</f>
        <v>2.2214254441326447E-2</v>
      </c>
    </row>
    <row r="350" spans="1:4" x14ac:dyDescent="0.2">
      <c r="A350" s="17">
        <v>36739</v>
      </c>
      <c r="B350" s="59">
        <f>VLOOKUP(Table134[[#This Row],[Date]],database!A:I,8,)</f>
        <v>84.381500000000003</v>
      </c>
      <c r="C350" s="67">
        <f t="shared" si="5"/>
        <v>6.7180953108147978E-3</v>
      </c>
      <c r="D350" s="67">
        <f>(Table134[[#This Row],[Index]]-B338)/B338</f>
        <v>2.791824065625784E-2</v>
      </c>
    </row>
    <row r="351" spans="1:4" x14ac:dyDescent="0.2">
      <c r="A351" s="17">
        <v>36770</v>
      </c>
      <c r="B351" s="59">
        <f>VLOOKUP(Table134[[#This Row],[Date]],database!A:I,8,)</f>
        <v>84.020099999999999</v>
      </c>
      <c r="C351" s="67">
        <f t="shared" si="5"/>
        <v>-4.2829293150750125E-3</v>
      </c>
      <c r="D351" s="67">
        <f>(Table134[[#This Row],[Index]]-B339)/B339</f>
        <v>2.4465454509983744E-2</v>
      </c>
    </row>
    <row r="352" spans="1:4" x14ac:dyDescent="0.2">
      <c r="A352" s="17">
        <v>36800</v>
      </c>
      <c r="B352" s="59">
        <f>VLOOKUP(Table134[[#This Row],[Date]],database!A:I,8,)</f>
        <v>84.572299999999998</v>
      </c>
      <c r="C352" s="67">
        <f t="shared" si="5"/>
        <v>6.5722368814129517E-3</v>
      </c>
      <c r="D352" s="67">
        <f>(Table134[[#This Row],[Index]]-B340)/B340</f>
        <v>2.1018624602052602E-2</v>
      </c>
    </row>
    <row r="353" spans="1:4" x14ac:dyDescent="0.2">
      <c r="A353" s="17">
        <v>36831</v>
      </c>
      <c r="B353" s="59">
        <f>VLOOKUP(Table134[[#This Row],[Date]],database!A:I,8,)</f>
        <v>83.939899999999994</v>
      </c>
      <c r="C353" s="67">
        <f t="shared" si="5"/>
        <v>-7.4776256528438223E-3</v>
      </c>
      <c r="D353" s="67">
        <f>(Table134[[#This Row],[Index]]-B341)/B341</f>
        <v>2.6625416582055695E-3</v>
      </c>
    </row>
    <row r="354" spans="1:4" x14ac:dyDescent="0.2">
      <c r="A354" s="17">
        <v>36861</v>
      </c>
      <c r="B354" s="59">
        <f>VLOOKUP(Table134[[#This Row],[Date]],database!A:I,8,)</f>
        <v>83.499700000000004</v>
      </c>
      <c r="C354" s="67">
        <f t="shared" si="5"/>
        <v>-5.2442283109700449E-3</v>
      </c>
      <c r="D354" s="67">
        <f>(Table134[[#This Row],[Index]]-B342)/B342</f>
        <v>-1.0493546261666658E-2</v>
      </c>
    </row>
    <row r="355" spans="1:4" x14ac:dyDescent="0.2">
      <c r="A355" s="17">
        <v>36892</v>
      </c>
      <c r="B355" s="59">
        <f>VLOOKUP(Table134[[#This Row],[Date]],database!A:I,8,)</f>
        <v>83.744500000000002</v>
      </c>
      <c r="C355" s="67">
        <f t="shared" si="5"/>
        <v>2.9317470601690765E-3</v>
      </c>
      <c r="D355" s="67">
        <f>(Table134[[#This Row],[Index]]-B343)/B343</f>
        <v>4.9006372988416825E-3</v>
      </c>
    </row>
    <row r="356" spans="1:4" x14ac:dyDescent="0.2">
      <c r="A356" s="17">
        <v>36923</v>
      </c>
      <c r="B356" s="59">
        <f>VLOOKUP(Table134[[#This Row],[Date]],database!A:I,8,)</f>
        <v>84.758700000000005</v>
      </c>
      <c r="C356" s="67">
        <f t="shared" si="5"/>
        <v>1.2110646072279296E-2</v>
      </c>
      <c r="D356" s="67">
        <f>(Table134[[#This Row],[Index]]-B344)/B344</f>
        <v>1.159726449210496E-2</v>
      </c>
    </row>
    <row r="357" spans="1:4" x14ac:dyDescent="0.2">
      <c r="A357" s="17">
        <v>36951</v>
      </c>
      <c r="B357" s="59">
        <f>VLOOKUP(Table134[[#This Row],[Date]],database!A:I,8,)</f>
        <v>84.877799999999993</v>
      </c>
      <c r="C357" s="67">
        <f t="shared" si="5"/>
        <v>1.4051654874365216E-3</v>
      </c>
      <c r="D357" s="67">
        <f>(Table134[[#This Row],[Index]]-B345)/B345</f>
        <v>3.0844938593753922E-3</v>
      </c>
    </row>
    <row r="358" spans="1:4" x14ac:dyDescent="0.2">
      <c r="A358" s="17">
        <v>36982</v>
      </c>
      <c r="B358" s="59">
        <f>VLOOKUP(Table134[[#This Row],[Date]],database!A:I,8,)</f>
        <v>85.131</v>
      </c>
      <c r="C358" s="67">
        <f t="shared" si="5"/>
        <v>2.9831121918806325E-3</v>
      </c>
      <c r="D358" s="67">
        <f>(Table134[[#This Row],[Index]]-B346)/B346</f>
        <v>1.8222049457285512E-2</v>
      </c>
    </row>
    <row r="359" spans="1:4" x14ac:dyDescent="0.2">
      <c r="A359" s="17">
        <v>37012</v>
      </c>
      <c r="B359" s="59">
        <f>VLOOKUP(Table134[[#This Row],[Date]],database!A:I,8,)</f>
        <v>85.207899999999995</v>
      </c>
      <c r="C359" s="67">
        <f t="shared" si="5"/>
        <v>9.0331371650753667E-4</v>
      </c>
      <c r="D359" s="67">
        <f>(Table134[[#This Row],[Index]]-B347)/B347</f>
        <v>2.2282982965929399E-2</v>
      </c>
    </row>
    <row r="360" spans="1:4" x14ac:dyDescent="0.2">
      <c r="A360" s="17">
        <v>37043</v>
      </c>
      <c r="B360" s="59">
        <f>VLOOKUP(Table134[[#This Row],[Date]],database!A:I,8,)</f>
        <v>84.332099999999997</v>
      </c>
      <c r="C360" s="67">
        <f t="shared" si="5"/>
        <v>-1.027838967983008E-2</v>
      </c>
      <c r="D360" s="67">
        <f>(Table134[[#This Row],[Index]]-B348)/B348</f>
        <v>5.5372926645180171E-3</v>
      </c>
    </row>
    <row r="361" spans="1:4" x14ac:dyDescent="0.2">
      <c r="A361" s="17">
        <v>37073</v>
      </c>
      <c r="B361" s="59">
        <f>VLOOKUP(Table134[[#This Row],[Date]],database!A:I,8,)</f>
        <v>84.036100000000005</v>
      </c>
      <c r="C361" s="67">
        <f t="shared" si="5"/>
        <v>-3.5099327539571679E-3</v>
      </c>
      <c r="D361" s="67">
        <f>(Table134[[#This Row],[Index]]-B349)/B349</f>
        <v>2.597281742433735E-3</v>
      </c>
    </row>
    <row r="362" spans="1:4" x14ac:dyDescent="0.2">
      <c r="A362" s="17">
        <v>37104</v>
      </c>
      <c r="B362" s="59">
        <f>VLOOKUP(Table134[[#This Row],[Date]],database!A:I,8,)</f>
        <v>84.022900000000007</v>
      </c>
      <c r="C362" s="67">
        <f t="shared" si="5"/>
        <v>-1.5707535214026791E-4</v>
      </c>
      <c r="D362" s="67">
        <f>(Table134[[#This Row],[Index]]-B350)/B350</f>
        <v>-4.2497466861811601E-3</v>
      </c>
    </row>
    <row r="363" spans="1:4" x14ac:dyDescent="0.2">
      <c r="A363" s="17">
        <v>37135</v>
      </c>
      <c r="B363" s="59">
        <f>VLOOKUP(Table134[[#This Row],[Date]],database!A:I,8,)</f>
        <v>84.092699999999994</v>
      </c>
      <c r="C363" s="67">
        <f t="shared" si="5"/>
        <v>8.3072590924593293E-4</v>
      </c>
      <c r="D363" s="67">
        <f>(Table134[[#This Row],[Index]]-B351)/B351</f>
        <v>8.6407895253628867E-4</v>
      </c>
    </row>
    <row r="364" spans="1:4" x14ac:dyDescent="0.2">
      <c r="A364" s="17">
        <v>37165</v>
      </c>
      <c r="B364" s="59">
        <f>VLOOKUP(Table134[[#This Row],[Date]],database!A:I,8,)</f>
        <v>83.666700000000006</v>
      </c>
      <c r="C364" s="67">
        <f t="shared" si="5"/>
        <v>-5.0658380572866646E-3</v>
      </c>
      <c r="D364" s="67">
        <f>(Table134[[#This Row],[Index]]-B352)/B352</f>
        <v>-1.0707997772320165E-2</v>
      </c>
    </row>
    <row r="365" spans="1:4" x14ac:dyDescent="0.2">
      <c r="A365" s="17">
        <v>37196</v>
      </c>
      <c r="B365" s="59">
        <f>VLOOKUP(Table134[[#This Row],[Date]],database!A:I,8,)</f>
        <v>83.030900000000003</v>
      </c>
      <c r="C365" s="67">
        <f t="shared" si="5"/>
        <v>-7.5992001596812964E-3</v>
      </c>
      <c r="D365" s="67">
        <f>(Table134[[#This Row],[Index]]-B353)/B353</f>
        <v>-1.0829176589440681E-2</v>
      </c>
    </row>
    <row r="366" spans="1:4" x14ac:dyDescent="0.2">
      <c r="A366" s="17">
        <v>37226</v>
      </c>
      <c r="B366" s="59">
        <f>VLOOKUP(Table134[[#This Row],[Date]],database!A:I,8,)</f>
        <v>82.144599999999997</v>
      </c>
      <c r="C366" s="67">
        <f t="shared" si="5"/>
        <v>-1.0674339312232051E-2</v>
      </c>
      <c r="D366" s="67">
        <f>(Table134[[#This Row],[Index]]-B354)/B354</f>
        <v>-1.622880082203897E-2</v>
      </c>
    </row>
    <row r="367" spans="1:4" x14ac:dyDescent="0.2">
      <c r="A367" s="17">
        <v>37257</v>
      </c>
      <c r="B367" s="59">
        <f>VLOOKUP(Table134[[#This Row],[Date]],database!A:I,8,)</f>
        <v>81.502200000000002</v>
      </c>
      <c r="C367" s="67">
        <f t="shared" si="5"/>
        <v>-7.8203558115810257E-3</v>
      </c>
      <c r="D367" s="67">
        <f>(Table134[[#This Row],[Index]]-B355)/B355</f>
        <v>-2.6775489733654151E-2</v>
      </c>
    </row>
    <row r="368" spans="1:4" x14ac:dyDescent="0.2">
      <c r="A368" s="17">
        <v>37288</v>
      </c>
      <c r="B368" s="59">
        <f>VLOOKUP(Table134[[#This Row],[Date]],database!A:I,8,)</f>
        <v>81.090699999999998</v>
      </c>
      <c r="C368" s="67">
        <f t="shared" si="5"/>
        <v>-5.0489434641028952E-3</v>
      </c>
      <c r="D368" s="67">
        <f>(Table134[[#This Row],[Index]]-B356)/B356</f>
        <v>-4.3275793517361709E-2</v>
      </c>
    </row>
    <row r="369" spans="1:4" x14ac:dyDescent="0.2">
      <c r="A369" s="17">
        <v>37316</v>
      </c>
      <c r="B369" s="59">
        <f>VLOOKUP(Table134[[#This Row],[Date]],database!A:I,8,)</f>
        <v>80.018799999999999</v>
      </c>
      <c r="C369" s="67">
        <f t="shared" si="5"/>
        <v>-1.3218531841505898E-2</v>
      </c>
      <c r="D369" s="67">
        <f>(Table134[[#This Row],[Index]]-B357)/B357</f>
        <v>-5.7247006873410895E-2</v>
      </c>
    </row>
    <row r="370" spans="1:4" x14ac:dyDescent="0.2">
      <c r="A370" s="17">
        <v>37347</v>
      </c>
      <c r="B370" s="59">
        <f>VLOOKUP(Table134[[#This Row],[Date]],database!A:I,8,)</f>
        <v>80.179900000000004</v>
      </c>
      <c r="C370" s="67">
        <f t="shared" si="5"/>
        <v>2.0132768799332457E-3</v>
      </c>
      <c r="D370" s="67">
        <f>(Table134[[#This Row],[Index]]-B358)/B358</f>
        <v>-5.8158602624190911E-2</v>
      </c>
    </row>
    <row r="371" spans="1:4" x14ac:dyDescent="0.2">
      <c r="A371" s="17">
        <v>37377</v>
      </c>
      <c r="B371" s="59">
        <f>VLOOKUP(Table134[[#This Row],[Date]],database!A:I,8,)</f>
        <v>80.937600000000003</v>
      </c>
      <c r="C371" s="67">
        <f t="shared" si="5"/>
        <v>9.4499993140424454E-3</v>
      </c>
      <c r="D371" s="67">
        <f>(Table134[[#This Row],[Index]]-B359)/B359</f>
        <v>-5.0116245089950488E-2</v>
      </c>
    </row>
    <row r="372" spans="1:4" x14ac:dyDescent="0.2">
      <c r="A372" s="17">
        <v>37408</v>
      </c>
      <c r="B372" s="59">
        <f>VLOOKUP(Table134[[#This Row],[Date]],database!A:I,8,)</f>
        <v>80.931899999999999</v>
      </c>
      <c r="C372" s="67">
        <f t="shared" si="5"/>
        <v>-7.0424623413667398E-5</v>
      </c>
      <c r="D372" s="67">
        <f>(Table134[[#This Row],[Index]]-B360)/B360</f>
        <v>-4.031916672299158E-2</v>
      </c>
    </row>
    <row r="373" spans="1:4" x14ac:dyDescent="0.2">
      <c r="A373" s="17">
        <v>37438</v>
      </c>
      <c r="B373" s="59">
        <f>VLOOKUP(Table134[[#This Row],[Date]],database!A:I,8,)</f>
        <v>80.403499999999994</v>
      </c>
      <c r="C373" s="67">
        <f t="shared" si="5"/>
        <v>-6.5289459409701989E-3</v>
      </c>
      <c r="D373" s="67">
        <f>(Table134[[#This Row],[Index]]-B361)/B361</f>
        <v>-4.3226660923103413E-2</v>
      </c>
    </row>
    <row r="374" spans="1:4" x14ac:dyDescent="0.2">
      <c r="A374" s="17">
        <v>37469</v>
      </c>
      <c r="B374" s="59">
        <f>VLOOKUP(Table134[[#This Row],[Date]],database!A:I,8,)</f>
        <v>80.763599999999997</v>
      </c>
      <c r="C374" s="67">
        <f t="shared" si="5"/>
        <v>4.4786607548179536E-3</v>
      </c>
      <c r="D374" s="67">
        <f>(Table134[[#This Row],[Index]]-B362)/B362</f>
        <v>-3.8790615415559448E-2</v>
      </c>
    </row>
    <row r="375" spans="1:4" x14ac:dyDescent="0.2">
      <c r="A375" s="17">
        <v>37500</v>
      </c>
      <c r="B375" s="59">
        <f>VLOOKUP(Table134[[#This Row],[Date]],database!A:I,8,)</f>
        <v>79.122299999999996</v>
      </c>
      <c r="C375" s="67">
        <f t="shared" si="5"/>
        <v>-2.0322273895665877E-2</v>
      </c>
      <c r="D375" s="67">
        <f>(Table134[[#This Row],[Index]]-B363)/B363</f>
        <v>-5.910620065713193E-2</v>
      </c>
    </row>
    <row r="376" spans="1:4" x14ac:dyDescent="0.2">
      <c r="A376" s="17">
        <v>37530</v>
      </c>
      <c r="B376" s="59">
        <f>VLOOKUP(Table134[[#This Row],[Date]],database!A:I,8,)</f>
        <v>77.730500000000006</v>
      </c>
      <c r="C376" s="67">
        <f t="shared" si="5"/>
        <v>-1.7590489659678576E-2</v>
      </c>
      <c r="D376" s="67">
        <f>(Table134[[#This Row],[Index]]-B364)/B364</f>
        <v>-7.0950569342402639E-2</v>
      </c>
    </row>
    <row r="377" spans="1:4" x14ac:dyDescent="0.2">
      <c r="A377" s="17">
        <v>37561</v>
      </c>
      <c r="B377" s="59">
        <f>VLOOKUP(Table134[[#This Row],[Date]],database!A:I,8,)</f>
        <v>79.733400000000003</v>
      </c>
      <c r="C377" s="67">
        <f t="shared" si="5"/>
        <v>2.57672342259474E-2</v>
      </c>
      <c r="D377" s="67">
        <f>(Table134[[#This Row],[Index]]-B365)/B365</f>
        <v>-3.9714130522492223E-2</v>
      </c>
    </row>
    <row r="378" spans="1:4" x14ac:dyDescent="0.2">
      <c r="A378" s="17">
        <v>37591</v>
      </c>
      <c r="B378" s="59">
        <f>VLOOKUP(Table134[[#This Row],[Date]],database!A:I,8,)</f>
        <v>80.207599999999999</v>
      </c>
      <c r="C378" s="67">
        <f t="shared" si="5"/>
        <v>5.9473194420405218E-3</v>
      </c>
      <c r="D378" s="67">
        <f>(Table134[[#This Row],[Index]]-B366)/B366</f>
        <v>-2.3580369251295856E-2</v>
      </c>
    </row>
    <row r="379" spans="1:4" x14ac:dyDescent="0.2">
      <c r="A379" s="17">
        <v>37622</v>
      </c>
      <c r="B379" s="59">
        <f>VLOOKUP(Table134[[#This Row],[Date]],database!A:I,8,)</f>
        <v>80.407300000000006</v>
      </c>
      <c r="C379" s="67">
        <f t="shared" si="5"/>
        <v>2.4897889975514786E-3</v>
      </c>
      <c r="D379" s="67">
        <f>(Table134[[#This Row],[Index]]-B367)/B367</f>
        <v>-1.3433993192821734E-2</v>
      </c>
    </row>
    <row r="380" spans="1:4" x14ac:dyDescent="0.2">
      <c r="A380" s="17">
        <v>37653</v>
      </c>
      <c r="B380" s="59">
        <f>VLOOKUP(Table134[[#This Row],[Date]],database!A:I,8,)</f>
        <v>80.492900000000006</v>
      </c>
      <c r="C380" s="67">
        <f t="shared" si="5"/>
        <v>1.0645799572923664E-3</v>
      </c>
      <c r="D380" s="67">
        <f>(Table134[[#This Row],[Index]]-B368)/B368</f>
        <v>-7.3719921026701258E-3</v>
      </c>
    </row>
    <row r="381" spans="1:4" x14ac:dyDescent="0.2">
      <c r="A381" s="17">
        <v>37681</v>
      </c>
      <c r="B381" s="59">
        <f>VLOOKUP(Table134[[#This Row],[Date]],database!A:I,8,)</f>
        <v>80.376199999999997</v>
      </c>
      <c r="C381" s="67">
        <f t="shared" si="5"/>
        <v>-1.4498173130799152E-3</v>
      </c>
      <c r="D381" s="67">
        <f>(Table134[[#This Row],[Index]]-B369)/B369</f>
        <v>4.4664503841597026E-3</v>
      </c>
    </row>
    <row r="382" spans="1:4" x14ac:dyDescent="0.2">
      <c r="A382" s="17">
        <v>37712</v>
      </c>
      <c r="B382" s="59">
        <f>VLOOKUP(Table134[[#This Row],[Date]],database!A:I,8,)</f>
        <v>80.153999999999996</v>
      </c>
      <c r="C382" s="67">
        <f t="shared" si="5"/>
        <v>-2.7644999390367131E-3</v>
      </c>
      <c r="D382" s="67">
        <f>(Table134[[#This Row],[Index]]-B370)/B370</f>
        <v>-3.2302360067806445E-4</v>
      </c>
    </row>
    <row r="383" spans="1:4" x14ac:dyDescent="0.2">
      <c r="A383" s="17">
        <v>37742</v>
      </c>
      <c r="B383" s="59">
        <f>VLOOKUP(Table134[[#This Row],[Date]],database!A:I,8,)</f>
        <v>79.6404</v>
      </c>
      <c r="C383" s="67">
        <f t="shared" si="5"/>
        <v>-6.4076652444045035E-3</v>
      </c>
      <c r="D383" s="67">
        <f>(Table134[[#This Row],[Index]]-B371)/B371</f>
        <v>-1.6027161665282931E-2</v>
      </c>
    </row>
    <row r="384" spans="1:4" x14ac:dyDescent="0.2">
      <c r="A384" s="17">
        <v>37773</v>
      </c>
      <c r="B384" s="59">
        <f>VLOOKUP(Table134[[#This Row],[Date]],database!A:I,8,)</f>
        <v>79.800799999999995</v>
      </c>
      <c r="C384" s="67">
        <f t="shared" si="5"/>
        <v>2.0140531689945007E-3</v>
      </c>
      <c r="D384" s="67">
        <f>(Table134[[#This Row],[Index]]-B372)/B372</f>
        <v>-1.3975947679468833E-2</v>
      </c>
    </row>
    <row r="385" spans="1:4" x14ac:dyDescent="0.2">
      <c r="A385" s="17">
        <v>37803</v>
      </c>
      <c r="B385" s="59">
        <f>VLOOKUP(Table134[[#This Row],[Date]],database!A:I,8,)</f>
        <v>79.480800000000002</v>
      </c>
      <c r="C385" s="67">
        <f t="shared" si="5"/>
        <v>-4.0099848623070811E-3</v>
      </c>
      <c r="D385" s="67">
        <f>(Table134[[#This Row],[Index]]-B373)/B373</f>
        <v>-1.1475868587810132E-2</v>
      </c>
    </row>
    <row r="386" spans="1:4" x14ac:dyDescent="0.2">
      <c r="A386" s="17">
        <v>37834</v>
      </c>
      <c r="B386" s="59">
        <f>VLOOKUP(Table134[[#This Row],[Date]],database!A:I,8,)</f>
        <v>80.560400000000001</v>
      </c>
      <c r="C386" s="67">
        <f t="shared" si="5"/>
        <v>1.3583154673833198E-2</v>
      </c>
      <c r="D386" s="67">
        <f>(Table134[[#This Row],[Index]]-B374)/B374</f>
        <v>-2.5159849239013046E-3</v>
      </c>
    </row>
    <row r="387" spans="1:4" x14ac:dyDescent="0.2">
      <c r="A387" s="17">
        <v>37865</v>
      </c>
      <c r="B387" s="59">
        <f>VLOOKUP(Table134[[#This Row],[Date]],database!A:I,8,)</f>
        <v>81.050700000000006</v>
      </c>
      <c r="C387" s="67">
        <f t="shared" si="5"/>
        <v>6.086116752151316E-3</v>
      </c>
      <c r="D387" s="67">
        <f>(Table134[[#This Row],[Index]]-B375)/B375</f>
        <v>2.437239564572833E-2</v>
      </c>
    </row>
    <row r="388" spans="1:4" x14ac:dyDescent="0.2">
      <c r="A388" s="17">
        <v>37895</v>
      </c>
      <c r="B388" s="59">
        <f>VLOOKUP(Table134[[#This Row],[Date]],database!A:I,8,)</f>
        <v>80.930899999999994</v>
      </c>
      <c r="C388" s="67">
        <f t="shared" si="5"/>
        <v>-1.4780871725970091E-3</v>
      </c>
      <c r="D388" s="67">
        <f>(Table134[[#This Row],[Index]]-B376)/B376</f>
        <v>4.1173027318748591E-2</v>
      </c>
    </row>
    <row r="389" spans="1:4" x14ac:dyDescent="0.2">
      <c r="A389" s="17">
        <v>37926</v>
      </c>
      <c r="B389" s="59">
        <f>VLOOKUP(Table134[[#This Row],[Date]],database!A:I,8,)</f>
        <v>80.502799999999993</v>
      </c>
      <c r="C389" s="67">
        <f t="shared" si="5"/>
        <v>-5.2896977545041635E-3</v>
      </c>
      <c r="D389" s="67">
        <f>(Table134[[#This Row],[Index]]-B377)/B377</f>
        <v>9.6496574835638546E-3</v>
      </c>
    </row>
    <row r="390" spans="1:4" x14ac:dyDescent="0.2">
      <c r="A390" s="17">
        <v>37956</v>
      </c>
      <c r="B390" s="59">
        <f>VLOOKUP(Table134[[#This Row],[Date]],database!A:I,8,)</f>
        <v>80.500500000000002</v>
      </c>
      <c r="C390" s="67">
        <f t="shared" si="5"/>
        <v>-2.8570434817076773E-5</v>
      </c>
      <c r="D390" s="67">
        <f>(Table134[[#This Row],[Index]]-B378)/B378</f>
        <v>3.651773647385074E-3</v>
      </c>
    </row>
    <row r="391" spans="1:4" x14ac:dyDescent="0.2">
      <c r="A391" s="17">
        <v>37987</v>
      </c>
      <c r="B391" s="59">
        <f>VLOOKUP(Table134[[#This Row],[Date]],database!A:I,8,)</f>
        <v>81.11</v>
      </c>
      <c r="C391" s="67">
        <f t="shared" si="5"/>
        <v>7.5713815442139953E-3</v>
      </c>
      <c r="D391" s="67">
        <f>(Table134[[#This Row],[Index]]-B379)/B379</f>
        <v>8.7392562615582533E-3</v>
      </c>
    </row>
    <row r="392" spans="1:4" x14ac:dyDescent="0.2">
      <c r="A392" s="17">
        <v>38018</v>
      </c>
      <c r="B392" s="59">
        <f>VLOOKUP(Table134[[#This Row],[Date]],database!A:I,8,)</f>
        <v>80.23</v>
      </c>
      <c r="C392" s="67">
        <f t="shared" ref="C392:C455" si="6">B392/B391-1</f>
        <v>-1.0849463691283368E-2</v>
      </c>
      <c r="D392" s="67">
        <f>(Table134[[#This Row],[Index]]-B380)/B380</f>
        <v>-3.2661265776236402E-3</v>
      </c>
    </row>
    <row r="393" spans="1:4" x14ac:dyDescent="0.2">
      <c r="A393" s="17">
        <v>38047</v>
      </c>
      <c r="B393" s="59">
        <f>VLOOKUP(Table134[[#This Row],[Date]],database!A:I,8,)</f>
        <v>80.486099999999993</v>
      </c>
      <c r="C393" s="67">
        <f t="shared" si="6"/>
        <v>3.192072790726419E-3</v>
      </c>
      <c r="D393" s="67">
        <f>(Table134[[#This Row],[Index]]-B381)/B381</f>
        <v>1.3673201768682286E-3</v>
      </c>
    </row>
    <row r="394" spans="1:4" x14ac:dyDescent="0.2">
      <c r="A394" s="17">
        <v>38078</v>
      </c>
      <c r="B394" s="59">
        <f>VLOOKUP(Table134[[#This Row],[Date]],database!A:I,8,)</f>
        <v>80.236500000000007</v>
      </c>
      <c r="C394" s="67">
        <f t="shared" si="6"/>
        <v>-3.1011565972259847E-3</v>
      </c>
      <c r="D394" s="67">
        <f>(Table134[[#This Row],[Index]]-B382)/B382</f>
        <v>1.0292686578337979E-3</v>
      </c>
    </row>
    <row r="395" spans="1:4" x14ac:dyDescent="0.2">
      <c r="A395" s="17">
        <v>38108</v>
      </c>
      <c r="B395" s="59">
        <f>VLOOKUP(Table134[[#This Row],[Date]],database!A:I,8,)</f>
        <v>79.898499999999999</v>
      </c>
      <c r="C395" s="67">
        <f t="shared" si="6"/>
        <v>-4.2125466589396643E-3</v>
      </c>
      <c r="D395" s="67">
        <f>(Table134[[#This Row],[Index]]-B383)/B383</f>
        <v>3.2408174745480797E-3</v>
      </c>
    </row>
    <row r="396" spans="1:4" x14ac:dyDescent="0.2">
      <c r="A396" s="17">
        <v>38139</v>
      </c>
      <c r="B396" s="59">
        <f>VLOOKUP(Table134[[#This Row],[Date]],database!A:I,8,)</f>
        <v>79.809700000000007</v>
      </c>
      <c r="C396" s="67">
        <f t="shared" si="6"/>
        <v>-1.1114101015662348E-3</v>
      </c>
      <c r="D396" s="67">
        <f>(Table134[[#This Row],[Index]]-B384)/B384</f>
        <v>1.1152770398305823E-4</v>
      </c>
    </row>
    <row r="397" spans="1:4" x14ac:dyDescent="0.2">
      <c r="A397" s="17">
        <v>38169</v>
      </c>
      <c r="B397" s="59">
        <f>VLOOKUP(Table134[[#This Row],[Date]],database!A:I,8,)</f>
        <v>81.2119</v>
      </c>
      <c r="C397" s="67">
        <f t="shared" si="6"/>
        <v>1.7569292955618154E-2</v>
      </c>
      <c r="D397" s="67">
        <f>(Table134[[#This Row],[Index]]-B385)/B385</f>
        <v>2.1780102867610767E-2</v>
      </c>
    </row>
    <row r="398" spans="1:4" x14ac:dyDescent="0.2">
      <c r="A398" s="17">
        <v>38200</v>
      </c>
      <c r="B398" s="59">
        <f>VLOOKUP(Table134[[#This Row],[Date]],database!A:I,8,)</f>
        <v>80.575900000000004</v>
      </c>
      <c r="C398" s="67">
        <f t="shared" si="6"/>
        <v>-7.8313646152841088E-3</v>
      </c>
      <c r="D398" s="67">
        <f>(Table134[[#This Row],[Index]]-B386)/B386</f>
        <v>1.9240222243190148E-4</v>
      </c>
    </row>
    <row r="399" spans="1:4" x14ac:dyDescent="0.2">
      <c r="A399" s="17">
        <v>38231</v>
      </c>
      <c r="B399" s="59">
        <f>VLOOKUP(Table134[[#This Row],[Date]],database!A:I,8,)</f>
        <v>78.290000000000006</v>
      </c>
      <c r="C399" s="67">
        <f t="shared" si="6"/>
        <v>-2.8369524882750241E-2</v>
      </c>
      <c r="D399" s="67">
        <f>(Table134[[#This Row],[Index]]-B387)/B387</f>
        <v>-3.4061396138466413E-2</v>
      </c>
    </row>
    <row r="400" spans="1:4" x14ac:dyDescent="0.2">
      <c r="A400" s="17">
        <v>38261</v>
      </c>
      <c r="B400" s="59">
        <f>VLOOKUP(Table134[[#This Row],[Date]],database!A:I,8,)</f>
        <v>79.2166</v>
      </c>
      <c r="C400" s="67">
        <f t="shared" si="6"/>
        <v>1.1835483458934704E-2</v>
      </c>
      <c r="D400" s="67">
        <f>(Table134[[#This Row],[Index]]-B388)/B388</f>
        <v>-2.1182267835894504E-2</v>
      </c>
    </row>
    <row r="401" spans="1:4" x14ac:dyDescent="0.2">
      <c r="A401" s="17">
        <v>38292</v>
      </c>
      <c r="B401" s="59">
        <f>VLOOKUP(Table134[[#This Row],[Date]],database!A:I,8,)</f>
        <v>80.901200000000003</v>
      </c>
      <c r="C401" s="67">
        <f t="shared" si="6"/>
        <v>2.1265744806012954E-2</v>
      </c>
      <c r="D401" s="67">
        <f>(Table134[[#This Row],[Index]]-B389)/B389</f>
        <v>4.9488961874619196E-3</v>
      </c>
    </row>
    <row r="402" spans="1:4" x14ac:dyDescent="0.2">
      <c r="A402" s="17">
        <v>38322</v>
      </c>
      <c r="B402" s="59">
        <f>VLOOKUP(Table134[[#This Row],[Date]],database!A:I,8,)</f>
        <v>80.878200000000007</v>
      </c>
      <c r="C402" s="67">
        <f t="shared" si="6"/>
        <v>-2.8429738990265463E-4</v>
      </c>
      <c r="D402" s="67">
        <f>(Table134[[#This Row],[Index]]-B390)/B390</f>
        <v>4.6918963236253731E-3</v>
      </c>
    </row>
    <row r="403" spans="1:4" x14ac:dyDescent="0.2">
      <c r="A403" s="17">
        <v>38353</v>
      </c>
      <c r="B403" s="59">
        <f>VLOOKUP(Table134[[#This Row],[Date]],database!A:I,8,)</f>
        <v>80.798699999999997</v>
      </c>
      <c r="C403" s="67">
        <f t="shared" si="6"/>
        <v>-9.8295956141469798E-4</v>
      </c>
      <c r="D403" s="67">
        <f>(Table134[[#This Row],[Index]]-B391)/B391</f>
        <v>-3.8379977807915522E-3</v>
      </c>
    </row>
    <row r="404" spans="1:4" x14ac:dyDescent="0.2">
      <c r="A404" s="17">
        <v>38384</v>
      </c>
      <c r="B404" s="59">
        <f>VLOOKUP(Table134[[#This Row],[Date]],database!A:I,8,)</f>
        <v>81.843800000000002</v>
      </c>
      <c r="C404" s="67">
        <f t="shared" si="6"/>
        <v>1.2934614047008353E-2</v>
      </c>
      <c r="D404" s="67">
        <f>(Table134[[#This Row],[Index]]-B392)/B392</f>
        <v>2.0114670322821857E-2</v>
      </c>
    </row>
    <row r="405" spans="1:4" x14ac:dyDescent="0.2">
      <c r="A405" s="17">
        <v>38412</v>
      </c>
      <c r="B405" s="59">
        <f>VLOOKUP(Table134[[#This Row],[Date]],database!A:I,8,)</f>
        <v>81.655699999999996</v>
      </c>
      <c r="C405" s="67">
        <f t="shared" si="6"/>
        <v>-2.298280382875717E-3</v>
      </c>
      <c r="D405" s="67">
        <f>(Table134[[#This Row],[Index]]-B393)/B393</f>
        <v>1.4531701747258256E-2</v>
      </c>
    </row>
    <row r="406" spans="1:4" x14ac:dyDescent="0.2">
      <c r="A406" s="17">
        <v>38443</v>
      </c>
      <c r="B406" s="59">
        <f>VLOOKUP(Table134[[#This Row],[Date]],database!A:I,8,)</f>
        <v>81.889200000000002</v>
      </c>
      <c r="C406" s="67">
        <f t="shared" si="6"/>
        <v>2.8595676725569064E-3</v>
      </c>
      <c r="D406" s="67">
        <f>(Table134[[#This Row],[Index]]-B394)/B394</f>
        <v>2.0597857583518668E-2</v>
      </c>
    </row>
    <row r="407" spans="1:4" x14ac:dyDescent="0.2">
      <c r="A407" s="17">
        <v>38473</v>
      </c>
      <c r="B407" s="59">
        <f>VLOOKUP(Table134[[#This Row],[Date]],database!A:I,8,)</f>
        <v>81.038600000000002</v>
      </c>
      <c r="C407" s="67">
        <f t="shared" si="6"/>
        <v>-1.0387206127303705E-2</v>
      </c>
      <c r="D407" s="67">
        <f>(Table134[[#This Row],[Index]]-B395)/B395</f>
        <v>1.4269354243196104E-2</v>
      </c>
    </row>
    <row r="408" spans="1:4" x14ac:dyDescent="0.2">
      <c r="A408" s="17">
        <v>38504</v>
      </c>
      <c r="B408" s="59">
        <f>VLOOKUP(Table134[[#This Row],[Date]],database!A:I,8,)</f>
        <v>81.008499999999998</v>
      </c>
      <c r="C408" s="67">
        <f t="shared" si="6"/>
        <v>-3.7142793681044228E-4</v>
      </c>
      <c r="D408" s="67">
        <f>(Table134[[#This Row],[Index]]-B396)/B396</f>
        <v>1.5020730562826214E-2</v>
      </c>
    </row>
    <row r="409" spans="1:4" x14ac:dyDescent="0.2">
      <c r="A409" s="17">
        <v>38534</v>
      </c>
      <c r="B409" s="59">
        <f>VLOOKUP(Table134[[#This Row],[Date]],database!A:I,8,)</f>
        <v>80.685299999999998</v>
      </c>
      <c r="C409" s="67">
        <f t="shared" si="6"/>
        <v>-3.9897047840659061E-3</v>
      </c>
      <c r="D409" s="67">
        <f>(Table134[[#This Row],[Index]]-B397)/B397</f>
        <v>-6.4842713937243428E-3</v>
      </c>
    </row>
    <row r="410" spans="1:4" x14ac:dyDescent="0.2">
      <c r="A410" s="17">
        <v>38565</v>
      </c>
      <c r="B410" s="59">
        <f>VLOOKUP(Table134[[#This Row],[Date]],database!A:I,8,)</f>
        <v>80.300700000000006</v>
      </c>
      <c r="C410" s="67">
        <f t="shared" si="6"/>
        <v>-4.7666675342347142E-3</v>
      </c>
      <c r="D410" s="67">
        <f>(Table134[[#This Row],[Index]]-B398)/B398</f>
        <v>-3.4154132935530113E-3</v>
      </c>
    </row>
    <row r="411" spans="1:4" x14ac:dyDescent="0.2">
      <c r="A411" s="17">
        <v>38596</v>
      </c>
      <c r="B411" s="59">
        <f>VLOOKUP(Table134[[#This Row],[Date]],database!A:I,8,)</f>
        <v>72.559799999999996</v>
      </c>
      <c r="C411" s="67">
        <f t="shared" si="6"/>
        <v>-9.6398910594801879E-2</v>
      </c>
      <c r="D411" s="67">
        <f>(Table134[[#This Row],[Index]]-B399)/B399</f>
        <v>-7.3191978541320854E-2</v>
      </c>
    </row>
    <row r="412" spans="1:4" x14ac:dyDescent="0.2">
      <c r="A412" s="17">
        <v>38626</v>
      </c>
      <c r="B412" s="59">
        <f>VLOOKUP(Table134[[#This Row],[Date]],database!A:I,8,)</f>
        <v>74.261700000000005</v>
      </c>
      <c r="C412" s="67">
        <f t="shared" si="6"/>
        <v>2.3455136315149838E-2</v>
      </c>
      <c r="D412" s="67">
        <f>(Table134[[#This Row],[Index]]-B400)/B400</f>
        <v>-6.2548758719763217E-2</v>
      </c>
    </row>
    <row r="413" spans="1:4" x14ac:dyDescent="0.2">
      <c r="A413" s="17">
        <v>38657</v>
      </c>
      <c r="B413" s="59">
        <f>VLOOKUP(Table134[[#This Row],[Date]],database!A:I,8,)</f>
        <v>77.391999999999996</v>
      </c>
      <c r="C413" s="67">
        <f t="shared" si="6"/>
        <v>4.2152280381407836E-2</v>
      </c>
      <c r="D413" s="67">
        <f>(Table134[[#This Row],[Index]]-B401)/B401</f>
        <v>-4.3376365245509425E-2</v>
      </c>
    </row>
    <row r="414" spans="1:4" x14ac:dyDescent="0.2">
      <c r="A414" s="17">
        <v>38687</v>
      </c>
      <c r="B414" s="59">
        <f>VLOOKUP(Table134[[#This Row],[Date]],database!A:I,8,)</f>
        <v>78.246899999999997</v>
      </c>
      <c r="C414" s="67">
        <f t="shared" si="6"/>
        <v>1.1046361381021219E-2</v>
      </c>
      <c r="D414" s="67">
        <f>(Table134[[#This Row],[Index]]-B402)/B402</f>
        <v>-3.2534106842140524E-2</v>
      </c>
    </row>
    <row r="415" spans="1:4" x14ac:dyDescent="0.2">
      <c r="A415" s="17">
        <v>38718</v>
      </c>
      <c r="B415" s="59">
        <f>VLOOKUP(Table134[[#This Row],[Date]],database!A:I,8,)</f>
        <v>80.2684</v>
      </c>
      <c r="C415" s="67">
        <f t="shared" si="6"/>
        <v>2.5834889305518915E-2</v>
      </c>
      <c r="D415" s="67">
        <f>(Table134[[#This Row],[Index]]-B403)/B403</f>
        <v>-6.5632244083134615E-3</v>
      </c>
    </row>
    <row r="416" spans="1:4" x14ac:dyDescent="0.2">
      <c r="A416" s="17">
        <v>38749</v>
      </c>
      <c r="B416" s="59">
        <f>VLOOKUP(Table134[[#This Row],[Date]],database!A:I,8,)</f>
        <v>79.805999999999997</v>
      </c>
      <c r="C416" s="67">
        <f t="shared" si="6"/>
        <v>-5.7606729422786662E-3</v>
      </c>
      <c r="D416" s="67">
        <f>(Table134[[#This Row],[Index]]-B404)/B404</f>
        <v>-2.4898648400978499E-2</v>
      </c>
    </row>
    <row r="417" spans="1:4" x14ac:dyDescent="0.2">
      <c r="A417" s="17">
        <v>38777</v>
      </c>
      <c r="B417" s="59">
        <f>VLOOKUP(Table134[[#This Row],[Date]],database!A:I,8,)</f>
        <v>79.884100000000004</v>
      </c>
      <c r="C417" s="67">
        <f t="shared" si="6"/>
        <v>9.7862316116592574E-4</v>
      </c>
      <c r="D417" s="67">
        <f>(Table134[[#This Row],[Index]]-B405)/B405</f>
        <v>-2.169597468394726E-2</v>
      </c>
    </row>
    <row r="418" spans="1:4" x14ac:dyDescent="0.2">
      <c r="A418" s="17">
        <v>38808</v>
      </c>
      <c r="B418" s="59">
        <f>VLOOKUP(Table134[[#This Row],[Date]],database!A:I,8,)</f>
        <v>80.511899999999997</v>
      </c>
      <c r="C418" s="67">
        <f t="shared" si="6"/>
        <v>7.858885560455553E-3</v>
      </c>
      <c r="D418" s="67">
        <f>(Table134[[#This Row],[Index]]-B406)/B406</f>
        <v>-1.6819067715889337E-2</v>
      </c>
    </row>
    <row r="419" spans="1:4" x14ac:dyDescent="0.2">
      <c r="A419" s="17">
        <v>38838</v>
      </c>
      <c r="B419" s="59">
        <f>VLOOKUP(Table134[[#This Row],[Date]],database!A:I,8,)</f>
        <v>81.162199999999999</v>
      </c>
      <c r="C419" s="67">
        <f t="shared" si="6"/>
        <v>8.0770668683760594E-3</v>
      </c>
      <c r="D419" s="67">
        <f>(Table134[[#This Row],[Index]]-B407)/B407</f>
        <v>1.5251991026498009E-3</v>
      </c>
    </row>
    <row r="420" spans="1:4" x14ac:dyDescent="0.2">
      <c r="A420" s="17">
        <v>38869</v>
      </c>
      <c r="B420" s="59">
        <f>VLOOKUP(Table134[[#This Row],[Date]],database!A:I,8,)</f>
        <v>81.580100000000002</v>
      </c>
      <c r="C420" s="67">
        <f t="shared" si="6"/>
        <v>5.1489486485087888E-3</v>
      </c>
      <c r="D420" s="67">
        <f>(Table134[[#This Row],[Index]]-B408)/B408</f>
        <v>7.0560496737997087E-3</v>
      </c>
    </row>
    <row r="421" spans="1:4" x14ac:dyDescent="0.2">
      <c r="A421" s="17">
        <v>38899</v>
      </c>
      <c r="B421" s="59">
        <f>VLOOKUP(Table134[[#This Row],[Date]],database!A:I,8,)</f>
        <v>81.931299999999993</v>
      </c>
      <c r="C421" s="67">
        <f t="shared" si="6"/>
        <v>4.3049714329841393E-3</v>
      </c>
      <c r="D421" s="67">
        <f>(Table134[[#This Row],[Index]]-B409)/B409</f>
        <v>1.5442713852461293E-2</v>
      </c>
    </row>
    <row r="422" spans="1:4" x14ac:dyDescent="0.2">
      <c r="A422" s="17">
        <v>38930</v>
      </c>
      <c r="B422" s="59">
        <f>VLOOKUP(Table134[[#This Row],[Date]],database!A:I,8,)</f>
        <v>81.690799999999996</v>
      </c>
      <c r="C422" s="67">
        <f t="shared" si="6"/>
        <v>-2.9353861100702705E-3</v>
      </c>
      <c r="D422" s="67">
        <f>(Table134[[#This Row],[Index]]-B410)/B410</f>
        <v>1.7311181596175246E-2</v>
      </c>
    </row>
    <row r="423" spans="1:4" x14ac:dyDescent="0.2">
      <c r="A423" s="17">
        <v>38961</v>
      </c>
      <c r="B423" s="59">
        <f>VLOOKUP(Table134[[#This Row],[Date]],database!A:I,8,)</f>
        <v>82.024699999999996</v>
      </c>
      <c r="C423" s="67">
        <f t="shared" si="6"/>
        <v>4.0873635709284262E-3</v>
      </c>
      <c r="D423" s="67">
        <f>(Table134[[#This Row],[Index]]-B411)/B411</f>
        <v>0.13044275204727687</v>
      </c>
    </row>
    <row r="424" spans="1:4" x14ac:dyDescent="0.2">
      <c r="A424" s="17">
        <v>38991</v>
      </c>
      <c r="B424" s="59">
        <f>VLOOKUP(Table134[[#This Row],[Date]],database!A:I,8,)</f>
        <v>82.405799999999999</v>
      </c>
      <c r="C424" s="67">
        <f t="shared" si="6"/>
        <v>4.6461614611208457E-3</v>
      </c>
      <c r="D424" s="67">
        <f>(Table134[[#This Row],[Index]]-B412)/B412</f>
        <v>0.10966756753481262</v>
      </c>
    </row>
    <row r="425" spans="1:4" x14ac:dyDescent="0.2">
      <c r="A425" s="17">
        <v>39022</v>
      </c>
      <c r="B425" s="59">
        <f>VLOOKUP(Table134[[#This Row],[Date]],database!A:I,8,)</f>
        <v>81.284899999999993</v>
      </c>
      <c r="C425" s="67">
        <f t="shared" si="6"/>
        <v>-1.3602197903545665E-2</v>
      </c>
      <c r="D425" s="67">
        <f>(Table134[[#This Row],[Index]]-B413)/B413</f>
        <v>5.030106470953067E-2</v>
      </c>
    </row>
    <row r="426" spans="1:4" x14ac:dyDescent="0.2">
      <c r="A426" s="17">
        <v>39052</v>
      </c>
      <c r="B426" s="59">
        <f>VLOOKUP(Table134[[#This Row],[Date]],database!A:I,8,)</f>
        <v>82.572299999999998</v>
      </c>
      <c r="C426" s="67">
        <f t="shared" si="6"/>
        <v>1.5838119995226663E-2</v>
      </c>
      <c r="D426" s="67">
        <f>(Table134[[#This Row],[Index]]-B414)/B414</f>
        <v>5.5278867277809118E-2</v>
      </c>
    </row>
    <row r="427" spans="1:4" x14ac:dyDescent="0.2">
      <c r="A427" s="17">
        <v>39083</v>
      </c>
      <c r="B427" s="59">
        <f>VLOOKUP(Table134[[#This Row],[Date]],database!A:I,8,)</f>
        <v>80.695099999999996</v>
      </c>
      <c r="C427" s="67">
        <f t="shared" si="6"/>
        <v>-2.2734016128895584E-2</v>
      </c>
      <c r="D427" s="67">
        <f>(Table134[[#This Row],[Index]]-B415)/B415</f>
        <v>5.3159151048232768E-3</v>
      </c>
    </row>
    <row r="428" spans="1:4" x14ac:dyDescent="0.2">
      <c r="A428" s="17">
        <v>39114</v>
      </c>
      <c r="B428" s="59">
        <f>VLOOKUP(Table134[[#This Row],[Date]],database!A:I,8,)</f>
        <v>81.465500000000006</v>
      </c>
      <c r="C428" s="67">
        <f t="shared" si="6"/>
        <v>9.5470480859434215E-3</v>
      </c>
      <c r="D428" s="67">
        <f>(Table134[[#This Row],[Index]]-B416)/B416</f>
        <v>2.079417587650062E-2</v>
      </c>
    </row>
    <row r="429" spans="1:4" x14ac:dyDescent="0.2">
      <c r="A429" s="17">
        <v>39142</v>
      </c>
      <c r="B429" s="59">
        <f>VLOOKUP(Table134[[#This Row],[Date]],database!A:I,8,)</f>
        <v>81.471100000000007</v>
      </c>
      <c r="C429" s="67">
        <f t="shared" si="6"/>
        <v>6.8740755289065092E-5</v>
      </c>
      <c r="D429" s="67">
        <f>(Table134[[#This Row],[Index]]-B417)/B417</f>
        <v>1.9866281274997191E-2</v>
      </c>
    </row>
    <row r="430" spans="1:4" x14ac:dyDescent="0.2">
      <c r="A430" s="17">
        <v>39173</v>
      </c>
      <c r="B430" s="59">
        <f>VLOOKUP(Table134[[#This Row],[Date]],database!A:I,8,)</f>
        <v>81.664100000000005</v>
      </c>
      <c r="C430" s="67">
        <f t="shared" si="6"/>
        <v>2.3689381878972959E-3</v>
      </c>
      <c r="D430" s="67">
        <f>(Table134[[#This Row],[Index]]-B418)/B418</f>
        <v>1.4310927949781432E-2</v>
      </c>
    </row>
    <row r="431" spans="1:4" x14ac:dyDescent="0.2">
      <c r="A431" s="17">
        <v>39203</v>
      </c>
      <c r="B431" s="59">
        <f>VLOOKUP(Table134[[#This Row],[Date]],database!A:I,8,)</f>
        <v>82.290099999999995</v>
      </c>
      <c r="C431" s="67">
        <f t="shared" si="6"/>
        <v>7.6655470396416181E-3</v>
      </c>
      <c r="D431" s="67">
        <f>(Table134[[#This Row],[Index]]-B419)/B419</f>
        <v>1.3896863318145601E-2</v>
      </c>
    </row>
    <row r="432" spans="1:4" x14ac:dyDescent="0.2">
      <c r="A432" s="17">
        <v>39234</v>
      </c>
      <c r="B432" s="59">
        <f>VLOOKUP(Table134[[#This Row],[Date]],database!A:I,8,)</f>
        <v>81.867699999999999</v>
      </c>
      <c r="C432" s="67">
        <f t="shared" si="6"/>
        <v>-5.1330597483779661E-3</v>
      </c>
      <c r="D432" s="67">
        <f>(Table134[[#This Row],[Index]]-B420)/B420</f>
        <v>3.525369544778661E-3</v>
      </c>
    </row>
    <row r="433" spans="1:4" x14ac:dyDescent="0.2">
      <c r="A433" s="17">
        <v>39264</v>
      </c>
      <c r="B433" s="59">
        <f>VLOOKUP(Table134[[#This Row],[Date]],database!A:I,8,)</f>
        <v>81.835300000000004</v>
      </c>
      <c r="C433" s="67">
        <f t="shared" si="6"/>
        <v>-3.9576047696465722E-4</v>
      </c>
      <c r="D433" s="67">
        <f>(Table134[[#This Row],[Index]]-B421)/B421</f>
        <v>-1.1717133744977735E-3</v>
      </c>
    </row>
    <row r="434" spans="1:4" x14ac:dyDescent="0.2">
      <c r="A434" s="17">
        <v>39295</v>
      </c>
      <c r="B434" s="59">
        <f>VLOOKUP(Table134[[#This Row],[Date]],database!A:I,8,)</f>
        <v>81.820099999999996</v>
      </c>
      <c r="C434" s="67">
        <f t="shared" si="6"/>
        <v>-1.8573891706885615E-4</v>
      </c>
      <c r="D434" s="67">
        <f>(Table134[[#This Row],[Index]]-B422)/B422</f>
        <v>1.5827975732885544E-3</v>
      </c>
    </row>
    <row r="435" spans="1:4" x14ac:dyDescent="0.2">
      <c r="A435" s="17">
        <v>39326</v>
      </c>
      <c r="B435" s="59">
        <f>VLOOKUP(Table134[[#This Row],[Date]],database!A:I,8,)</f>
        <v>81.942499999999995</v>
      </c>
      <c r="C435" s="67">
        <f t="shared" si="6"/>
        <v>1.4959649279333576E-3</v>
      </c>
      <c r="D435" s="67">
        <f>(Table134[[#This Row],[Index]]-B423)/B423</f>
        <v>-1.002137161123421E-3</v>
      </c>
    </row>
    <row r="436" spans="1:4" x14ac:dyDescent="0.2">
      <c r="A436" s="17">
        <v>39356</v>
      </c>
      <c r="B436" s="59">
        <f>VLOOKUP(Table134[[#This Row],[Date]],database!A:I,8,)</f>
        <v>81.690100000000001</v>
      </c>
      <c r="C436" s="67">
        <f t="shared" si="6"/>
        <v>-3.0802086829178066E-3</v>
      </c>
      <c r="D436" s="67">
        <f>(Table134[[#This Row],[Index]]-B424)/B424</f>
        <v>-8.6850682840285305E-3</v>
      </c>
    </row>
    <row r="437" spans="1:4" x14ac:dyDescent="0.2">
      <c r="A437" s="17">
        <v>39387</v>
      </c>
      <c r="B437" s="59">
        <f>VLOOKUP(Table134[[#This Row],[Date]],database!A:I,8,)</f>
        <v>82.644499999999994</v>
      </c>
      <c r="C437" s="67">
        <f t="shared" si="6"/>
        <v>1.1683178255382121E-2</v>
      </c>
      <c r="D437" s="67">
        <f>(Table134[[#This Row],[Index]]-B425)/B425</f>
        <v>1.6726353849238918E-2</v>
      </c>
    </row>
    <row r="438" spans="1:4" x14ac:dyDescent="0.2">
      <c r="A438" s="17">
        <v>39417</v>
      </c>
      <c r="B438" s="59">
        <f>VLOOKUP(Table134[[#This Row],[Date]],database!A:I,8,)</f>
        <v>83.313999999999993</v>
      </c>
      <c r="C438" s="67">
        <f t="shared" si="6"/>
        <v>8.100962556492064E-3</v>
      </c>
      <c r="D438" s="67">
        <f>(Table134[[#This Row],[Index]]-B426)/B426</f>
        <v>8.9824311542732183E-3</v>
      </c>
    </row>
    <row r="439" spans="1:4" x14ac:dyDescent="0.2">
      <c r="A439" s="17">
        <v>39448</v>
      </c>
      <c r="B439" s="59">
        <f>VLOOKUP(Table134[[#This Row],[Date]],database!A:I,8,)</f>
        <v>82.909599999999998</v>
      </c>
      <c r="C439" s="67">
        <f t="shared" si="6"/>
        <v>-4.8539261108576648E-3</v>
      </c>
      <c r="D439" s="67">
        <f>(Table134[[#This Row],[Index]]-B427)/B427</f>
        <v>2.7442806316616511E-2</v>
      </c>
    </row>
    <row r="440" spans="1:4" x14ac:dyDescent="0.2">
      <c r="A440" s="17">
        <v>39479</v>
      </c>
      <c r="B440" s="59">
        <f>VLOOKUP(Table134[[#This Row],[Date]],database!A:I,8,)</f>
        <v>83.002499999999998</v>
      </c>
      <c r="C440" s="67">
        <f t="shared" si="6"/>
        <v>1.1204975057170774E-3</v>
      </c>
      <c r="D440" s="67">
        <f>(Table134[[#This Row],[Index]]-B428)/B428</f>
        <v>1.8866882299869169E-2</v>
      </c>
    </row>
    <row r="441" spans="1:4" x14ac:dyDescent="0.2">
      <c r="A441" s="17">
        <v>39508</v>
      </c>
      <c r="B441" s="59">
        <f>VLOOKUP(Table134[[#This Row],[Date]],database!A:I,8,)</f>
        <v>83.430599999999998</v>
      </c>
      <c r="C441" s="67">
        <f t="shared" si="6"/>
        <v>5.1576759736151612E-3</v>
      </c>
      <c r="D441" s="67">
        <f>(Table134[[#This Row],[Index]]-B429)/B429</f>
        <v>2.4051473467278473E-2</v>
      </c>
    </row>
    <row r="442" spans="1:4" x14ac:dyDescent="0.2">
      <c r="A442" s="17">
        <v>39539</v>
      </c>
      <c r="B442" s="59">
        <f>VLOOKUP(Table134[[#This Row],[Date]],database!A:I,8,)</f>
        <v>83.836200000000005</v>
      </c>
      <c r="C442" s="67">
        <f t="shared" si="6"/>
        <v>4.8615256272879215E-3</v>
      </c>
      <c r="D442" s="67">
        <f>(Table134[[#This Row],[Index]]-B430)/B430</f>
        <v>2.6597978793619231E-2</v>
      </c>
    </row>
    <row r="443" spans="1:4" x14ac:dyDescent="0.2">
      <c r="A443" s="17">
        <v>39569</v>
      </c>
      <c r="B443" s="59">
        <f>VLOOKUP(Table134[[#This Row],[Date]],database!A:I,8,)</f>
        <v>83.663700000000006</v>
      </c>
      <c r="C443" s="67">
        <f t="shared" si="6"/>
        <v>-2.0575837168191891E-3</v>
      </c>
      <c r="D443" s="67">
        <f>(Table134[[#This Row],[Index]]-B431)/B431</f>
        <v>1.6692165886297506E-2</v>
      </c>
    </row>
    <row r="444" spans="1:4" x14ac:dyDescent="0.2">
      <c r="A444" s="17">
        <v>39600</v>
      </c>
      <c r="B444" s="59">
        <f>VLOOKUP(Table134[[#This Row],[Date]],database!A:I,8,)</f>
        <v>84.298100000000005</v>
      </c>
      <c r="C444" s="67">
        <f t="shared" si="6"/>
        <v>7.5827389895497532E-3</v>
      </c>
      <c r="D444" s="67">
        <f>(Table134[[#This Row],[Index]]-B432)/B432</f>
        <v>2.9686921704164228E-2</v>
      </c>
    </row>
    <row r="445" spans="1:4" x14ac:dyDescent="0.2">
      <c r="A445" s="17">
        <v>39630</v>
      </c>
      <c r="B445" s="59">
        <f>VLOOKUP(Table134[[#This Row],[Date]],database!A:I,8,)</f>
        <v>86.441900000000004</v>
      </c>
      <c r="C445" s="67">
        <f t="shared" si="6"/>
        <v>2.5431178164157853E-2</v>
      </c>
      <c r="D445" s="67">
        <f>(Table134[[#This Row],[Index]]-B433)/B433</f>
        <v>5.6291111537441665E-2</v>
      </c>
    </row>
    <row r="446" spans="1:4" x14ac:dyDescent="0.2">
      <c r="A446" s="17">
        <v>39661</v>
      </c>
      <c r="B446" s="59">
        <f>VLOOKUP(Table134[[#This Row],[Date]],database!A:I,8,)</f>
        <v>85.057599999999994</v>
      </c>
      <c r="C446" s="67">
        <f t="shared" si="6"/>
        <v>-1.6014224583217329E-2</v>
      </c>
      <c r="D446" s="67">
        <f>(Table134[[#This Row],[Index]]-B434)/B434</f>
        <v>3.9568516782550953E-2</v>
      </c>
    </row>
    <row r="447" spans="1:4" x14ac:dyDescent="0.2">
      <c r="A447" s="17">
        <v>39692</v>
      </c>
      <c r="B447" s="59">
        <f>VLOOKUP(Table134[[#This Row],[Date]],database!A:I,8,)</f>
        <v>75.412000000000006</v>
      </c>
      <c r="C447" s="67">
        <f t="shared" si="6"/>
        <v>-0.11340080133932762</v>
      </c>
      <c r="D447" s="67">
        <f>(Table134[[#This Row],[Index]]-B435)/B435</f>
        <v>-7.969612838270726E-2</v>
      </c>
    </row>
    <row r="448" spans="1:4" x14ac:dyDescent="0.2">
      <c r="A448" s="17">
        <v>39722</v>
      </c>
      <c r="B448" s="59">
        <f>VLOOKUP(Table134[[#This Row],[Date]],database!A:I,8,)</f>
        <v>82.012100000000004</v>
      </c>
      <c r="C448" s="67">
        <f t="shared" si="6"/>
        <v>8.752055375802259E-2</v>
      </c>
      <c r="D448" s="67">
        <f>(Table134[[#This Row],[Index]]-B436)/B436</f>
        <v>3.9417261087941226E-3</v>
      </c>
    </row>
    <row r="449" spans="1:4" x14ac:dyDescent="0.2">
      <c r="A449" s="17">
        <v>39753</v>
      </c>
      <c r="B449" s="59">
        <f>VLOOKUP(Table134[[#This Row],[Date]],database!A:I,8,)</f>
        <v>83.923199999999994</v>
      </c>
      <c r="C449" s="67">
        <f t="shared" si="6"/>
        <v>2.3302658997879533E-2</v>
      </c>
      <c r="D449" s="67">
        <f>(Table134[[#This Row],[Index]]-B437)/B437</f>
        <v>1.5472293982055681E-2</v>
      </c>
    </row>
    <row r="450" spans="1:4" x14ac:dyDescent="0.2">
      <c r="A450" s="17">
        <v>39783</v>
      </c>
      <c r="B450" s="59">
        <f>VLOOKUP(Table134[[#This Row],[Date]],database!A:I,8,)</f>
        <v>82.355199999999996</v>
      </c>
      <c r="C450" s="67">
        <f t="shared" si="6"/>
        <v>-1.8683748951422219E-2</v>
      </c>
      <c r="D450" s="67">
        <f>(Table134[[#This Row],[Index]]-B438)/B438</f>
        <v>-1.150826991862108E-2</v>
      </c>
    </row>
    <row r="451" spans="1:4" x14ac:dyDescent="0.2">
      <c r="A451" s="17">
        <v>39814</v>
      </c>
      <c r="B451" s="59">
        <f>VLOOKUP(Table134[[#This Row],[Date]],database!A:I,8,)</f>
        <v>81.878699999999995</v>
      </c>
      <c r="C451" s="67">
        <f t="shared" si="6"/>
        <v>-5.7859127292508861E-3</v>
      </c>
      <c r="D451" s="67">
        <f>(Table134[[#This Row],[Index]]-B439)/B439</f>
        <v>-1.2434024527919597E-2</v>
      </c>
    </row>
    <row r="452" spans="1:4" x14ac:dyDescent="0.2">
      <c r="A452" s="17">
        <v>39845</v>
      </c>
      <c r="B452" s="59">
        <f>VLOOKUP(Table134[[#This Row],[Date]],database!A:I,8,)</f>
        <v>80.8172</v>
      </c>
      <c r="C452" s="67">
        <f t="shared" si="6"/>
        <v>-1.2964299628596909E-2</v>
      </c>
      <c r="D452" s="67">
        <f>(Table134[[#This Row],[Index]]-B440)/B440</f>
        <v>-2.6328122646908203E-2</v>
      </c>
    </row>
    <row r="453" spans="1:4" x14ac:dyDescent="0.2">
      <c r="A453" s="17">
        <v>39873</v>
      </c>
      <c r="B453" s="59">
        <f>VLOOKUP(Table134[[#This Row],[Date]],database!A:I,8,)</f>
        <v>79.056600000000003</v>
      </c>
      <c r="C453" s="67">
        <f t="shared" si="6"/>
        <v>-2.1784966566522956E-2</v>
      </c>
      <c r="D453" s="67">
        <f>(Table134[[#This Row],[Index]]-B441)/B441</f>
        <v>-5.242680743036722E-2</v>
      </c>
    </row>
    <row r="454" spans="1:4" x14ac:dyDescent="0.2">
      <c r="A454" s="17">
        <v>39904</v>
      </c>
      <c r="B454" s="59">
        <f>VLOOKUP(Table134[[#This Row],[Date]],database!A:I,8,)</f>
        <v>77.805400000000006</v>
      </c>
      <c r="C454" s="67">
        <f t="shared" si="6"/>
        <v>-1.5826635600316719E-2</v>
      </c>
      <c r="D454" s="67">
        <f>(Table134[[#This Row],[Index]]-B442)/B442</f>
        <v>-7.1935512344309491E-2</v>
      </c>
    </row>
    <row r="455" spans="1:4" x14ac:dyDescent="0.2">
      <c r="A455" s="17">
        <v>39934</v>
      </c>
      <c r="B455" s="59">
        <f>VLOOKUP(Table134[[#This Row],[Date]],database!A:I,8,)</f>
        <v>77.594200000000001</v>
      </c>
      <c r="C455" s="67">
        <f t="shared" si="6"/>
        <v>-2.714464548733142E-3</v>
      </c>
      <c r="D455" s="67">
        <f>(Table134[[#This Row],[Index]]-B443)/B443</f>
        <v>-7.2546397063481594E-2</v>
      </c>
    </row>
    <row r="456" spans="1:4" x14ac:dyDescent="0.2">
      <c r="A456" s="17">
        <v>39965</v>
      </c>
      <c r="B456" s="59">
        <f>VLOOKUP(Table134[[#This Row],[Date]],database!A:I,8,)</f>
        <v>77.376800000000003</v>
      </c>
      <c r="C456" s="67">
        <f t="shared" ref="C456:C519" si="7">B456/B455-1</f>
        <v>-2.8017558013356814E-3</v>
      </c>
      <c r="D456" s="67">
        <f>(Table134[[#This Row],[Index]]-B444)/B444</f>
        <v>-8.2105053376054754E-2</v>
      </c>
    </row>
    <row r="457" spans="1:4" x14ac:dyDescent="0.2">
      <c r="A457" s="17">
        <v>39995</v>
      </c>
      <c r="B457" s="59">
        <f>VLOOKUP(Table134[[#This Row],[Date]],database!A:I,8,)</f>
        <v>78.179000000000002</v>
      </c>
      <c r="C457" s="67">
        <f t="shared" si="7"/>
        <v>1.0367448640936194E-2</v>
      </c>
      <c r="D457" s="67">
        <f>(Table134[[#This Row],[Index]]-B445)/B445</f>
        <v>-9.5589060397793219E-2</v>
      </c>
    </row>
    <row r="458" spans="1:4" x14ac:dyDescent="0.2">
      <c r="A458" s="17">
        <v>40026</v>
      </c>
      <c r="B458" s="59">
        <f>VLOOKUP(Table134[[#This Row],[Date]],database!A:I,8,)</f>
        <v>79.051199999999994</v>
      </c>
      <c r="C458" s="67">
        <f t="shared" si="7"/>
        <v>1.1156448662684282E-2</v>
      </c>
      <c r="D458" s="67">
        <f>(Table134[[#This Row],[Index]]-B446)/B446</f>
        <v>-7.0615676906002511E-2</v>
      </c>
    </row>
    <row r="459" spans="1:4" x14ac:dyDescent="0.2">
      <c r="A459" s="17">
        <v>40057</v>
      </c>
      <c r="B459" s="59">
        <f>VLOOKUP(Table134[[#This Row],[Date]],database!A:I,8,)</f>
        <v>78.778499999999994</v>
      </c>
      <c r="C459" s="67">
        <f t="shared" si="7"/>
        <v>-3.4496630032181397E-3</v>
      </c>
      <c r="D459" s="67">
        <f>(Table134[[#This Row],[Index]]-B447)/B447</f>
        <v>4.4641436376173391E-2</v>
      </c>
    </row>
    <row r="460" spans="1:4" x14ac:dyDescent="0.2">
      <c r="A460" s="17">
        <v>40087</v>
      </c>
      <c r="B460" s="59">
        <f>VLOOKUP(Table134[[#This Row],[Date]],database!A:I,8,)</f>
        <v>78.420299999999997</v>
      </c>
      <c r="C460" s="67">
        <f t="shared" si="7"/>
        <v>-4.5469258744453844E-3</v>
      </c>
      <c r="D460" s="67">
        <f>(Table134[[#This Row],[Index]]-B448)/B448</f>
        <v>-4.3795976447377961E-2</v>
      </c>
    </row>
    <row r="461" spans="1:4" x14ac:dyDescent="0.2">
      <c r="A461" s="17">
        <v>40118</v>
      </c>
      <c r="B461" s="59">
        <f>VLOOKUP(Table134[[#This Row],[Date]],database!A:I,8,)</f>
        <v>78.244399999999999</v>
      </c>
      <c r="C461" s="67">
        <f t="shared" si="7"/>
        <v>-2.2430416614065418E-3</v>
      </c>
      <c r="D461" s="67">
        <f>(Table134[[#This Row],[Index]]-B449)/B449</f>
        <v>-6.7666628536566714E-2</v>
      </c>
    </row>
    <row r="462" spans="1:4" x14ac:dyDescent="0.2">
      <c r="A462" s="17">
        <v>40148</v>
      </c>
      <c r="B462" s="59">
        <f>VLOOKUP(Table134[[#This Row],[Date]],database!A:I,8,)</f>
        <v>77.556299999999993</v>
      </c>
      <c r="C462" s="67">
        <f t="shared" si="7"/>
        <v>-8.794239587753272E-3</v>
      </c>
      <c r="D462" s="67">
        <f>(Table134[[#This Row],[Index]]-B450)/B450</f>
        <v>-5.8270758859185617E-2</v>
      </c>
    </row>
    <row r="463" spans="1:4" x14ac:dyDescent="0.2">
      <c r="A463" s="17">
        <v>40179</v>
      </c>
      <c r="B463" s="59">
        <f>VLOOKUP(Table134[[#This Row],[Date]],database!A:I,8,)</f>
        <v>79.062200000000004</v>
      </c>
      <c r="C463" s="67">
        <f t="shared" si="7"/>
        <v>1.9416862330977835E-2</v>
      </c>
      <c r="D463" s="67">
        <f>(Table134[[#This Row],[Index]]-B451)/B451</f>
        <v>-3.4398445505363313E-2</v>
      </c>
    </row>
    <row r="464" spans="1:4" x14ac:dyDescent="0.2">
      <c r="A464" s="17">
        <v>40210</v>
      </c>
      <c r="B464" s="59">
        <f>VLOOKUP(Table134[[#This Row],[Date]],database!A:I,8,)</f>
        <v>80.464200000000005</v>
      </c>
      <c r="C464" s="67">
        <f t="shared" si="7"/>
        <v>1.7732873610903921E-2</v>
      </c>
      <c r="D464" s="67">
        <f>(Table134[[#This Row],[Index]]-B452)/B452</f>
        <v>-4.3678820845066942E-3</v>
      </c>
    </row>
    <row r="465" spans="1:4" x14ac:dyDescent="0.2">
      <c r="A465" s="17">
        <v>40238</v>
      </c>
      <c r="B465" s="59">
        <f>VLOOKUP(Table134[[#This Row],[Date]],database!A:I,8,)</f>
        <v>81.242800000000003</v>
      </c>
      <c r="C465" s="67">
        <f t="shared" si="7"/>
        <v>9.6763529619383615E-3</v>
      </c>
      <c r="D465" s="67">
        <f>(Table134[[#This Row],[Index]]-B453)/B453</f>
        <v>2.7653605138596896E-2</v>
      </c>
    </row>
    <row r="466" spans="1:4" x14ac:dyDescent="0.2">
      <c r="A466" s="17">
        <v>40269</v>
      </c>
      <c r="B466" s="59">
        <f>VLOOKUP(Table134[[#This Row],[Date]],database!A:I,8,)</f>
        <v>81.636799999999994</v>
      </c>
      <c r="C466" s="67">
        <f t="shared" si="7"/>
        <v>4.8496605237631218E-3</v>
      </c>
      <c r="D466" s="67">
        <f>(Table134[[#This Row],[Index]]-B454)/B454</f>
        <v>4.9243368712197193E-2</v>
      </c>
    </row>
    <row r="467" spans="1:4" x14ac:dyDescent="0.2">
      <c r="A467" s="17">
        <v>40299</v>
      </c>
      <c r="B467" s="59">
        <f>VLOOKUP(Table134[[#This Row],[Date]],database!A:I,8,)</f>
        <v>81.573899999999995</v>
      </c>
      <c r="C467" s="67">
        <f t="shared" si="7"/>
        <v>-7.7048585931838165E-4</v>
      </c>
      <c r="D467" s="67">
        <f>(Table134[[#This Row],[Index]]-B455)/B455</f>
        <v>5.1288627242757755E-2</v>
      </c>
    </row>
    <row r="468" spans="1:4" x14ac:dyDescent="0.2">
      <c r="A468" s="17">
        <v>40330</v>
      </c>
      <c r="B468" s="59">
        <f>VLOOKUP(Table134[[#This Row],[Date]],database!A:I,8,)</f>
        <v>81.704599999999999</v>
      </c>
      <c r="C468" s="67">
        <f t="shared" si="7"/>
        <v>1.6022281636651758E-3</v>
      </c>
      <c r="D468" s="67">
        <f>(Table134[[#This Row],[Index]]-B456)/B456</f>
        <v>5.5931493677691457E-2</v>
      </c>
    </row>
    <row r="469" spans="1:4" x14ac:dyDescent="0.2">
      <c r="A469" s="17">
        <v>40360</v>
      </c>
      <c r="B469" s="59">
        <f>VLOOKUP(Table134[[#This Row],[Date]],database!A:I,8,)</f>
        <v>82.181399999999996</v>
      </c>
      <c r="C469" s="67">
        <f t="shared" si="7"/>
        <v>5.8356567439286078E-3</v>
      </c>
      <c r="D469" s="67">
        <f>(Table134[[#This Row],[Index]]-B457)/B457</f>
        <v>5.1195333785287539E-2</v>
      </c>
    </row>
    <row r="470" spans="1:4" x14ac:dyDescent="0.2">
      <c r="A470" s="17">
        <v>40391</v>
      </c>
      <c r="B470" s="59">
        <f>VLOOKUP(Table134[[#This Row],[Date]],database!A:I,8,)</f>
        <v>83.448800000000006</v>
      </c>
      <c r="C470" s="67">
        <f t="shared" si="7"/>
        <v>1.5421981129550177E-2</v>
      </c>
      <c r="D470" s="67">
        <f>(Table134[[#This Row],[Index]]-B458)/B458</f>
        <v>5.5629769061064371E-2</v>
      </c>
    </row>
    <row r="471" spans="1:4" x14ac:dyDescent="0.2">
      <c r="A471" s="17">
        <v>40422</v>
      </c>
      <c r="B471" s="59">
        <f>VLOOKUP(Table134[[#This Row],[Date]],database!A:I,8,)</f>
        <v>84.630099999999999</v>
      </c>
      <c r="C471" s="67">
        <f t="shared" si="7"/>
        <v>1.4155985466537402E-2</v>
      </c>
      <c r="D471" s="67">
        <f>(Table134[[#This Row],[Index]]-B459)/B459</f>
        <v>7.4279149768020525E-2</v>
      </c>
    </row>
    <row r="472" spans="1:4" x14ac:dyDescent="0.2">
      <c r="A472" s="17">
        <v>40452</v>
      </c>
      <c r="B472" s="59">
        <f>VLOOKUP(Table134[[#This Row],[Date]],database!A:I,8,)</f>
        <v>84.751599999999996</v>
      </c>
      <c r="C472" s="67">
        <f t="shared" si="7"/>
        <v>1.4356594166851089E-3</v>
      </c>
      <c r="D472" s="67">
        <f>(Table134[[#This Row],[Index]]-B460)/B460</f>
        <v>8.0735472830376812E-2</v>
      </c>
    </row>
    <row r="473" spans="1:4" x14ac:dyDescent="0.2">
      <c r="A473" s="17">
        <v>40483</v>
      </c>
      <c r="B473" s="59">
        <f>VLOOKUP(Table134[[#This Row],[Date]],database!A:I,8,)</f>
        <v>84.07</v>
      </c>
      <c r="C473" s="67">
        <f t="shared" si="7"/>
        <v>-8.0423260445821043E-3</v>
      </c>
      <c r="D473" s="67">
        <f>(Table134[[#This Row],[Index]]-B461)/B461</f>
        <v>7.4453890629872482E-2</v>
      </c>
    </row>
    <row r="474" spans="1:4" x14ac:dyDescent="0.2">
      <c r="A474" s="17">
        <v>40513</v>
      </c>
      <c r="B474" s="59">
        <f>VLOOKUP(Table134[[#This Row],[Date]],database!A:I,8,)</f>
        <v>84.537599999999998</v>
      </c>
      <c r="C474" s="67">
        <f t="shared" si="7"/>
        <v>5.5620316402997805E-3</v>
      </c>
      <c r="D474" s="67">
        <f>(Table134[[#This Row],[Index]]-B462)/B462</f>
        <v>9.0015898128198546E-2</v>
      </c>
    </row>
    <row r="475" spans="1:4" x14ac:dyDescent="0.2">
      <c r="A475" s="17">
        <v>40544</v>
      </c>
      <c r="B475" s="59">
        <f>VLOOKUP(Table134[[#This Row],[Date]],database!A:I,8,)</f>
        <v>84.398300000000006</v>
      </c>
      <c r="C475" s="67">
        <f t="shared" si="7"/>
        <v>-1.6477874933755743E-3</v>
      </c>
      <c r="D475" s="67">
        <f>(Table134[[#This Row],[Index]]-B463)/B463</f>
        <v>6.7492430010801643E-2</v>
      </c>
    </row>
    <row r="476" spans="1:4" x14ac:dyDescent="0.2">
      <c r="A476" s="17">
        <v>40575</v>
      </c>
      <c r="B476" s="59">
        <f>VLOOKUP(Table134[[#This Row],[Date]],database!A:I,8,)</f>
        <v>82.689400000000006</v>
      </c>
      <c r="C476" s="67">
        <f t="shared" si="7"/>
        <v>-2.0248038171384986E-2</v>
      </c>
      <c r="D476" s="67">
        <f>(Table134[[#This Row],[Index]]-B464)/B464</f>
        <v>2.765453456319706E-2</v>
      </c>
    </row>
    <row r="477" spans="1:4" x14ac:dyDescent="0.2">
      <c r="A477" s="17">
        <v>40603</v>
      </c>
      <c r="B477" s="59">
        <f>VLOOKUP(Table134[[#This Row],[Date]],database!A:I,8,)</f>
        <v>85.716999999999999</v>
      </c>
      <c r="C477" s="67">
        <f t="shared" si="7"/>
        <v>3.6614124664104297E-2</v>
      </c>
      <c r="D477" s="67">
        <f>(Table134[[#This Row],[Index]]-B465)/B465</f>
        <v>5.5071957145740869E-2</v>
      </c>
    </row>
    <row r="478" spans="1:4" x14ac:dyDescent="0.2">
      <c r="A478" s="17">
        <v>40634</v>
      </c>
      <c r="B478" s="59">
        <f>VLOOKUP(Table134[[#This Row],[Date]],database!A:I,8,)</f>
        <v>86.2547</v>
      </c>
      <c r="C478" s="68">
        <f t="shared" si="7"/>
        <v>6.2729680226794038E-3</v>
      </c>
      <c r="D478" s="67">
        <f>(Table134[[#This Row],[Index]]-B466)/B466</f>
        <v>5.6566401426807592E-2</v>
      </c>
    </row>
    <row r="479" spans="1:4" x14ac:dyDescent="0.2">
      <c r="A479" s="17">
        <v>40664</v>
      </c>
      <c r="B479" s="59">
        <f>VLOOKUP(Table134[[#This Row],[Date]],database!A:I,8,)</f>
        <v>87.177400000000006</v>
      </c>
      <c r="C479" s="67">
        <f t="shared" si="7"/>
        <v>1.0697388084359494E-2</v>
      </c>
      <c r="D479" s="67">
        <f>(Table134[[#This Row],[Index]]-B467)/B467</f>
        <v>6.8692314576108429E-2</v>
      </c>
    </row>
    <row r="480" spans="1:4" x14ac:dyDescent="0.2">
      <c r="A480" s="17">
        <v>40695</v>
      </c>
      <c r="B480" s="59">
        <f>VLOOKUP(Table134[[#This Row],[Date]],database!A:I,8,)</f>
        <v>87.634299999999996</v>
      </c>
      <c r="C480" s="67">
        <f t="shared" si="7"/>
        <v>5.2410372413032036E-3</v>
      </c>
      <c r="D480" s="67">
        <f>(Table134[[#This Row],[Index]]-B468)/B468</f>
        <v>7.2574861146128822E-2</v>
      </c>
    </row>
    <row r="481" spans="1:4" x14ac:dyDescent="0.2">
      <c r="A481" s="17">
        <v>40725</v>
      </c>
      <c r="B481" s="59">
        <f>VLOOKUP(Table134[[#This Row],[Date]],database!A:I,8,)</f>
        <v>87.138099999999994</v>
      </c>
      <c r="C481" s="67">
        <f t="shared" si="7"/>
        <v>-5.6621665261205045E-3</v>
      </c>
      <c r="D481" s="67">
        <f>(Table134[[#This Row],[Index]]-B469)/B469</f>
        <v>6.0314134341834018E-2</v>
      </c>
    </row>
    <row r="482" spans="1:4" x14ac:dyDescent="0.2">
      <c r="A482" s="17">
        <v>40756</v>
      </c>
      <c r="B482" s="59">
        <f>VLOOKUP(Table134[[#This Row],[Date]],database!A:I,8,)</f>
        <v>88.742900000000006</v>
      </c>
      <c r="C482" s="67">
        <f t="shared" si="7"/>
        <v>1.8416743077941833E-2</v>
      </c>
      <c r="D482" s="67">
        <f>(Table134[[#This Row],[Index]]-B470)/B470</f>
        <v>6.3441295740621795E-2</v>
      </c>
    </row>
    <row r="483" spans="1:4" x14ac:dyDescent="0.2">
      <c r="A483" s="17">
        <v>40787</v>
      </c>
      <c r="B483" s="59">
        <f>VLOOKUP(Table134[[#This Row],[Date]],database!A:I,8,)</f>
        <v>88.326499999999996</v>
      </c>
      <c r="C483" s="67">
        <f t="shared" si="7"/>
        <v>-4.6922063624246224E-3</v>
      </c>
      <c r="D483" s="67">
        <f>(Table134[[#This Row],[Index]]-B471)/B471</f>
        <v>4.367713142250803E-2</v>
      </c>
    </row>
    <row r="484" spans="1:4" x14ac:dyDescent="0.2">
      <c r="A484" s="17">
        <v>40817</v>
      </c>
      <c r="B484" s="59">
        <f>VLOOKUP(Table134[[#This Row],[Date]],database!A:I,8,)</f>
        <v>90.490099999999998</v>
      </c>
      <c r="C484" s="67">
        <f t="shared" si="7"/>
        <v>2.4495479839006462E-2</v>
      </c>
      <c r="D484" s="67">
        <f>(Table134[[#This Row],[Index]]-B472)/B472</f>
        <v>6.7709636160261308E-2</v>
      </c>
    </row>
    <row r="485" spans="1:4" x14ac:dyDescent="0.2">
      <c r="A485" s="17">
        <v>40848</v>
      </c>
      <c r="B485" s="59">
        <f>VLOOKUP(Table134[[#This Row],[Date]],database!A:I,8,)</f>
        <v>91.536799999999999</v>
      </c>
      <c r="C485" s="67">
        <f t="shared" si="7"/>
        <v>1.1567011197910038E-2</v>
      </c>
      <c r="D485" s="67">
        <f>(Table134[[#This Row],[Index]]-B473)/B473</f>
        <v>8.8816462471749819E-2</v>
      </c>
    </row>
    <row r="486" spans="1:4" x14ac:dyDescent="0.2">
      <c r="A486" s="17">
        <v>40878</v>
      </c>
      <c r="B486" s="59">
        <f>VLOOKUP(Table134[[#This Row],[Date]],database!A:I,8,)</f>
        <v>92.360100000000003</v>
      </c>
      <c r="C486" s="67">
        <f t="shared" si="7"/>
        <v>8.994196869455795E-3</v>
      </c>
      <c r="D486" s="67">
        <f>(Table134[[#This Row],[Index]]-B474)/B474</f>
        <v>9.2532790143084326E-2</v>
      </c>
    </row>
    <row r="487" spans="1:4" x14ac:dyDescent="0.2">
      <c r="A487" s="17">
        <v>40909</v>
      </c>
      <c r="B487" s="59">
        <f>VLOOKUP(Table134[[#This Row],[Date]],database!A:I,8,)</f>
        <v>93.602400000000003</v>
      </c>
      <c r="C487" s="67">
        <f t="shared" si="7"/>
        <v>1.3450613414234036E-2</v>
      </c>
      <c r="D487" s="67">
        <f>(Table134[[#This Row],[Index]]-B475)/B475</f>
        <v>0.10905551415135134</v>
      </c>
    </row>
    <row r="488" spans="1:4" x14ac:dyDescent="0.2">
      <c r="A488" s="17">
        <v>40940</v>
      </c>
      <c r="B488" s="59">
        <f>VLOOKUP(Table134[[#This Row],[Date]],database!A:I,8,)</f>
        <v>93.311700000000002</v>
      </c>
      <c r="C488" s="67">
        <f t="shared" si="7"/>
        <v>-3.1056895977026322E-3</v>
      </c>
      <c r="D488" s="67">
        <f>(Table134[[#This Row],[Index]]-B476)/B476</f>
        <v>0.12846023795069253</v>
      </c>
    </row>
    <row r="489" spans="1:4" x14ac:dyDescent="0.2">
      <c r="A489" s="17">
        <v>40969</v>
      </c>
      <c r="B489" s="59">
        <f>VLOOKUP(Table134[[#This Row],[Date]],database!A:I,8,)</f>
        <v>93.325400000000002</v>
      </c>
      <c r="C489" s="67">
        <f t="shared" si="7"/>
        <v>1.4681974500518891E-4</v>
      </c>
      <c r="D489" s="67">
        <f>(Table134[[#This Row],[Index]]-B477)/B477</f>
        <v>8.8761855874564005E-2</v>
      </c>
    </row>
    <row r="490" spans="1:4" x14ac:dyDescent="0.2">
      <c r="A490" s="17">
        <v>41000</v>
      </c>
      <c r="B490" s="59">
        <f>VLOOKUP(Table134[[#This Row],[Date]],database!A:I,8,)</f>
        <v>93.554400000000001</v>
      </c>
      <c r="C490" s="67">
        <f t="shared" si="7"/>
        <v>2.4537799998713972E-3</v>
      </c>
      <c r="D490" s="67">
        <f>(Table134[[#This Row],[Index]]-B478)/B478</f>
        <v>8.4629591199088292E-2</v>
      </c>
    </row>
    <row r="491" spans="1:4" x14ac:dyDescent="0.2">
      <c r="A491" s="17">
        <v>41030</v>
      </c>
      <c r="B491" s="59">
        <f>VLOOKUP(Table134[[#This Row],[Date]],database!A:I,8,)</f>
        <v>93.860200000000006</v>
      </c>
      <c r="C491" s="67">
        <f t="shared" si="7"/>
        <v>3.2686864540845129E-3</v>
      </c>
      <c r="D491" s="67">
        <f>(Table134[[#This Row],[Index]]-B479)/B479</f>
        <v>7.6657482329135759E-2</v>
      </c>
    </row>
    <row r="492" spans="1:4" x14ac:dyDescent="0.2">
      <c r="A492" s="17">
        <v>41061</v>
      </c>
      <c r="B492" s="59">
        <f>VLOOKUP(Table134[[#This Row],[Date]],database!A:I,8,)</f>
        <v>93.941299999999998</v>
      </c>
      <c r="C492" s="67">
        <f t="shared" si="7"/>
        <v>8.6405100351361064E-4</v>
      </c>
      <c r="D492" s="67">
        <f>(Table134[[#This Row],[Index]]-B480)/B480</f>
        <v>7.1969537042002985E-2</v>
      </c>
    </row>
    <row r="493" spans="1:4" x14ac:dyDescent="0.2">
      <c r="A493" s="17">
        <v>41091</v>
      </c>
      <c r="B493" s="59">
        <f>VLOOKUP(Table134[[#This Row],[Date]],database!A:I,8,)</f>
        <v>95.007900000000006</v>
      </c>
      <c r="C493" s="67">
        <f t="shared" si="7"/>
        <v>1.1353898657991746E-2</v>
      </c>
      <c r="D493" s="67">
        <f>(Table134[[#This Row],[Index]]-B481)/B481</f>
        <v>9.0314110589971699E-2</v>
      </c>
    </row>
    <row r="494" spans="1:4" x14ac:dyDescent="0.2">
      <c r="A494" s="17">
        <v>41122</v>
      </c>
      <c r="B494" s="59">
        <f>VLOOKUP(Table134[[#This Row],[Date]],database!A:I,8,)</f>
        <v>93.897099999999995</v>
      </c>
      <c r="C494" s="67">
        <f t="shared" si="7"/>
        <v>-1.1691659325172021E-2</v>
      </c>
      <c r="D494" s="67">
        <f>(Table134[[#This Row],[Index]]-B482)/B482</f>
        <v>5.8080139368895861E-2</v>
      </c>
    </row>
    <row r="495" spans="1:4" x14ac:dyDescent="0.2">
      <c r="A495" s="17">
        <v>41153</v>
      </c>
      <c r="B495" s="59">
        <f>VLOOKUP(Table134[[#This Row],[Date]],database!A:I,8,)</f>
        <v>95.256500000000003</v>
      </c>
      <c r="C495" s="67">
        <f t="shared" si="7"/>
        <v>1.4477550424880192E-2</v>
      </c>
      <c r="D495" s="67">
        <f>(Table134[[#This Row],[Index]]-B483)/B483</f>
        <v>7.8458899650727776E-2</v>
      </c>
    </row>
    <row r="496" spans="1:4" x14ac:dyDescent="0.2">
      <c r="A496" s="17">
        <v>41183</v>
      </c>
      <c r="B496" s="59">
        <f>VLOOKUP(Table134[[#This Row],[Date]],database!A:I,8,)</f>
        <v>96.7971</v>
      </c>
      <c r="C496" s="67">
        <f t="shared" si="7"/>
        <v>1.6173174534021229E-2</v>
      </c>
      <c r="D496" s="67">
        <f>(Table134[[#This Row],[Index]]-B484)/B484</f>
        <v>6.9698232182305045E-2</v>
      </c>
    </row>
    <row r="497" spans="1:4" x14ac:dyDescent="0.2">
      <c r="A497" s="17">
        <v>41214</v>
      </c>
      <c r="B497" s="59">
        <f>VLOOKUP(Table134[[#This Row],[Date]],database!A:I,8,)</f>
        <v>97.016599999999997</v>
      </c>
      <c r="C497" s="67">
        <f t="shared" si="7"/>
        <v>2.2676299186648041E-3</v>
      </c>
      <c r="D497" s="67">
        <f>(Table134[[#This Row],[Index]]-B485)/B485</f>
        <v>5.9864447959727646E-2</v>
      </c>
    </row>
    <row r="498" spans="1:4" x14ac:dyDescent="0.2">
      <c r="A498" s="17">
        <v>41244</v>
      </c>
      <c r="B498" s="59">
        <f>VLOOKUP(Table134[[#This Row],[Date]],database!A:I,8,)</f>
        <v>97.130099999999999</v>
      </c>
      <c r="C498" s="67">
        <f t="shared" si="7"/>
        <v>1.1699028825995494E-3</v>
      </c>
      <c r="D498" s="67">
        <f>(Table134[[#This Row],[Index]]-B486)/B486</f>
        <v>5.1645678166221086E-2</v>
      </c>
    </row>
    <row r="499" spans="1:4" x14ac:dyDescent="0.2">
      <c r="A499" s="17">
        <v>41275</v>
      </c>
      <c r="B499" s="59">
        <f>VLOOKUP(Table134[[#This Row],[Date]],database!A:I,8,)</f>
        <v>97.372</v>
      </c>
      <c r="C499" s="67">
        <f t="shared" si="7"/>
        <v>2.4904741166744682E-3</v>
      </c>
      <c r="D499" s="67">
        <f>(Table134[[#This Row],[Index]]-B487)/B487</f>
        <v>4.0272471646026139E-2</v>
      </c>
    </row>
    <row r="500" spans="1:4" x14ac:dyDescent="0.2">
      <c r="A500" s="17">
        <v>41306</v>
      </c>
      <c r="B500" s="59">
        <f>VLOOKUP(Table134[[#This Row],[Date]],database!A:I,8,)</f>
        <v>98.056200000000004</v>
      </c>
      <c r="C500" s="67">
        <f t="shared" si="7"/>
        <v>7.0266606416629074E-3</v>
      </c>
      <c r="D500" s="67">
        <f>(Table134[[#This Row],[Index]]-B488)/B488</f>
        <v>5.0845713881538995E-2</v>
      </c>
    </row>
    <row r="501" spans="1:4" x14ac:dyDescent="0.2">
      <c r="A501" s="17">
        <v>41334</v>
      </c>
      <c r="B501" s="59">
        <f>VLOOKUP(Table134[[#This Row],[Date]],database!A:I,8,)</f>
        <v>98.565299999999993</v>
      </c>
      <c r="C501" s="67">
        <f t="shared" si="7"/>
        <v>5.1919205516834932E-3</v>
      </c>
      <c r="D501" s="67">
        <f>(Table134[[#This Row],[Index]]-B489)/B489</f>
        <v>5.614655817173022E-2</v>
      </c>
    </row>
    <row r="502" spans="1:4" x14ac:dyDescent="0.2">
      <c r="A502" s="17">
        <v>41365</v>
      </c>
      <c r="B502" s="59">
        <f>VLOOKUP(Table134[[#This Row],[Date]],database!A:I,8,)</f>
        <v>99.396600000000007</v>
      </c>
      <c r="C502" s="67">
        <f t="shared" si="7"/>
        <v>8.4340026358162845E-3</v>
      </c>
      <c r="D502" s="67">
        <f>(Table134[[#This Row],[Index]]-B490)/B490</f>
        <v>6.2447089607757682E-2</v>
      </c>
    </row>
    <row r="503" spans="1:4" x14ac:dyDescent="0.2">
      <c r="A503" s="17">
        <v>41395</v>
      </c>
      <c r="B503" s="59">
        <f>VLOOKUP(Table134[[#This Row],[Date]],database!A:I,8,)</f>
        <v>99.709800000000001</v>
      </c>
      <c r="C503" s="67">
        <f t="shared" si="7"/>
        <v>3.1510132137315683E-3</v>
      </c>
      <c r="D503" s="67">
        <f>(Table134[[#This Row],[Index]]-B491)/B491</f>
        <v>6.2322475340985797E-2</v>
      </c>
    </row>
    <row r="504" spans="1:4" x14ac:dyDescent="0.2">
      <c r="A504" s="17">
        <v>41426</v>
      </c>
      <c r="B504" s="59">
        <f>VLOOKUP(Table134[[#This Row],[Date]],database!A:I,8,)</f>
        <v>100.3891</v>
      </c>
      <c r="C504" s="67">
        <f t="shared" si="7"/>
        <v>6.8127706604566018E-3</v>
      </c>
      <c r="D504" s="67">
        <f>(Table134[[#This Row],[Index]]-B492)/B492</f>
        <v>6.8636478311456209E-2</v>
      </c>
    </row>
    <row r="505" spans="1:4" x14ac:dyDescent="0.2">
      <c r="A505" s="17">
        <v>41456</v>
      </c>
      <c r="B505" s="59">
        <f>VLOOKUP(Table134[[#This Row],[Date]],database!A:I,8,)</f>
        <v>101.6883</v>
      </c>
      <c r="C505" s="67">
        <f t="shared" si="7"/>
        <v>1.2941644062951063E-2</v>
      </c>
      <c r="D505" s="67">
        <f>(Table134[[#This Row],[Index]]-B493)/B493</f>
        <v>7.0314152823080942E-2</v>
      </c>
    </row>
    <row r="506" spans="1:4" x14ac:dyDescent="0.2">
      <c r="A506" s="17">
        <v>41487</v>
      </c>
      <c r="B506" s="59">
        <f>VLOOKUP(Table134[[#This Row],[Date]],database!A:I,8,)</f>
        <v>101.6709</v>
      </c>
      <c r="C506" s="67">
        <f t="shared" si="7"/>
        <v>-1.7111113077905582E-4</v>
      </c>
      <c r="D506" s="67">
        <f>(Table134[[#This Row],[Index]]-B494)/B494</f>
        <v>8.2790629316560463E-2</v>
      </c>
    </row>
    <row r="507" spans="1:4" x14ac:dyDescent="0.2">
      <c r="A507" s="17">
        <v>41518</v>
      </c>
      <c r="B507" s="59">
        <f>VLOOKUP(Table134[[#This Row],[Date]],database!A:I,8,)</f>
        <v>103.4384</v>
      </c>
      <c r="C507" s="67">
        <f t="shared" si="7"/>
        <v>1.7384522021542059E-2</v>
      </c>
      <c r="D507" s="67">
        <f>(Table134[[#This Row],[Index]]-B495)/B495</f>
        <v>8.5893351109898E-2</v>
      </c>
    </row>
    <row r="508" spans="1:4" x14ac:dyDescent="0.2">
      <c r="A508" s="17">
        <v>41548</v>
      </c>
      <c r="B508" s="59">
        <f>VLOOKUP(Table134[[#This Row],[Date]],database!A:I,8,)</f>
        <v>101.6648</v>
      </c>
      <c r="C508" s="67">
        <f t="shared" si="7"/>
        <v>-1.7146436913177299E-2</v>
      </c>
      <c r="D508" s="67">
        <f>(Table134[[#This Row],[Index]]-B496)/B496</f>
        <v>5.0287663576698054E-2</v>
      </c>
    </row>
    <row r="509" spans="1:4" x14ac:dyDescent="0.2">
      <c r="A509" s="17">
        <v>41579</v>
      </c>
      <c r="B509" s="59">
        <f>VLOOKUP(Table134[[#This Row],[Date]],database!A:I,8,)</f>
        <v>102.46250000000001</v>
      </c>
      <c r="C509" s="67">
        <f t="shared" si="7"/>
        <v>7.8463735727607453E-3</v>
      </c>
      <c r="D509" s="67">
        <f>(Table134[[#This Row],[Index]]-B497)/B497</f>
        <v>5.6133692584568094E-2</v>
      </c>
    </row>
    <row r="510" spans="1:4" x14ac:dyDescent="0.2">
      <c r="A510" s="17">
        <v>41609</v>
      </c>
      <c r="B510" s="59">
        <f>VLOOKUP(Table134[[#This Row],[Date]],database!A:I,8,)</f>
        <v>102.9012</v>
      </c>
      <c r="C510" s="67">
        <f t="shared" si="7"/>
        <v>4.2815664267414899E-3</v>
      </c>
      <c r="D510" s="67">
        <f>(Table134[[#This Row],[Index]]-B498)/B498</f>
        <v>5.9416185096072216E-2</v>
      </c>
    </row>
    <row r="511" spans="1:4" x14ac:dyDescent="0.2">
      <c r="A511" s="17">
        <v>41640</v>
      </c>
      <c r="B511" s="59">
        <f>VLOOKUP(Table134[[#This Row],[Date]],database!A:I,8,)</f>
        <v>104.3058</v>
      </c>
      <c r="C511" s="67">
        <f t="shared" si="7"/>
        <v>1.3649986589077789E-2</v>
      </c>
      <c r="D511" s="67">
        <f>(Table134[[#This Row],[Index]]-B499)/B499</f>
        <v>7.1209382574045979E-2</v>
      </c>
    </row>
    <row r="512" spans="1:4" x14ac:dyDescent="0.2">
      <c r="A512" s="17">
        <v>41671</v>
      </c>
      <c r="B512" s="59">
        <f>VLOOKUP(Table134[[#This Row],[Date]],database!A:I,8,)</f>
        <v>105.3349</v>
      </c>
      <c r="C512" s="67">
        <f t="shared" si="7"/>
        <v>9.8661819381089533E-3</v>
      </c>
      <c r="D512" s="67">
        <f>(Table134[[#This Row],[Index]]-B500)/B500</f>
        <v>7.4229880415516813E-2</v>
      </c>
    </row>
    <row r="513" spans="1:4" x14ac:dyDescent="0.2">
      <c r="A513" s="17">
        <v>41699</v>
      </c>
      <c r="B513" s="59">
        <f>VLOOKUP(Table134[[#This Row],[Date]],database!A:I,8,)</f>
        <v>107.541</v>
      </c>
      <c r="C513" s="67">
        <f t="shared" si="7"/>
        <v>2.0943675837732822E-2</v>
      </c>
      <c r="D513" s="67">
        <f>(Table134[[#This Row],[Index]]-B501)/B501</f>
        <v>9.1063487860332221E-2</v>
      </c>
    </row>
    <row r="514" spans="1:4" x14ac:dyDescent="0.2">
      <c r="A514" s="17">
        <v>41730</v>
      </c>
      <c r="B514" s="59">
        <f>VLOOKUP(Table134[[#This Row],[Date]],database!A:I,8,)</f>
        <v>109.386</v>
      </c>
      <c r="C514" s="67">
        <f t="shared" si="7"/>
        <v>1.7156247384718437E-2</v>
      </c>
      <c r="D514" s="67">
        <f>(Table134[[#This Row],[Index]]-B502)/B502</f>
        <v>0.10050041953145267</v>
      </c>
    </row>
    <row r="515" spans="1:4" x14ac:dyDescent="0.2">
      <c r="A515" s="17">
        <v>41760</v>
      </c>
      <c r="B515" s="59">
        <f>VLOOKUP(Table134[[#This Row],[Date]],database!A:I,8,)</f>
        <v>110.58450000000001</v>
      </c>
      <c r="C515" s="67">
        <f t="shared" si="7"/>
        <v>1.0956612363556717E-2</v>
      </c>
      <c r="D515" s="67">
        <f>(Table134[[#This Row],[Index]]-B503)/B503</f>
        <v>0.10906350228362713</v>
      </c>
    </row>
    <row r="516" spans="1:4" x14ac:dyDescent="0.2">
      <c r="A516" s="17">
        <v>41791</v>
      </c>
      <c r="B516" s="59">
        <f>VLOOKUP(Table134[[#This Row],[Date]],database!A:I,8,)</f>
        <v>112.0368</v>
      </c>
      <c r="C516" s="67">
        <f t="shared" si="7"/>
        <v>1.3132943586126489E-2</v>
      </c>
      <c r="D516" s="67">
        <f>(Table134[[#This Row],[Index]]-B504)/B504</f>
        <v>0.11602554460593829</v>
      </c>
    </row>
    <row r="517" spans="1:4" x14ac:dyDescent="0.2">
      <c r="A517" s="17">
        <v>41821</v>
      </c>
      <c r="B517" s="59">
        <f>VLOOKUP(Table134[[#This Row],[Date]],database!A:I,8,)</f>
        <v>112.71559999999999</v>
      </c>
      <c r="C517" s="67">
        <f t="shared" si="7"/>
        <v>6.058723562258006E-3</v>
      </c>
      <c r="D517" s="67">
        <f>(Table134[[#This Row],[Index]]-B505)/B505</f>
        <v>0.10844217082987911</v>
      </c>
    </row>
    <row r="518" spans="1:4" x14ac:dyDescent="0.2">
      <c r="A518" s="17">
        <v>41852</v>
      </c>
      <c r="B518" s="59">
        <f>VLOOKUP(Table134[[#This Row],[Date]],database!A:I,8,)</f>
        <v>113.6481</v>
      </c>
      <c r="C518" s="67">
        <f t="shared" si="7"/>
        <v>8.2730340786900669E-3</v>
      </c>
      <c r="D518" s="67">
        <f>(Table134[[#This Row],[Index]]-B506)/B506</f>
        <v>0.11780361932470348</v>
      </c>
    </row>
    <row r="519" spans="1:4" x14ac:dyDescent="0.2">
      <c r="A519" s="17">
        <v>41883</v>
      </c>
      <c r="B519" s="59">
        <f>VLOOKUP(Table134[[#This Row],[Date]],database!A:I,8,)</f>
        <v>114.3013</v>
      </c>
      <c r="C519" s="67">
        <f t="shared" si="7"/>
        <v>5.7475663913431063E-3</v>
      </c>
      <c r="D519" s="67">
        <f>(Table134[[#This Row],[Index]]-B507)/B507</f>
        <v>0.1050180590573713</v>
      </c>
    </row>
    <row r="520" spans="1:4" x14ac:dyDescent="0.2">
      <c r="A520" s="17">
        <v>41913</v>
      </c>
      <c r="B520" s="59">
        <f>VLOOKUP(Table134[[#This Row],[Date]],database!A:I,8,)</f>
        <v>114.6057</v>
      </c>
      <c r="C520" s="67">
        <f t="shared" ref="C520:C583" si="8">B520/B519-1</f>
        <v>2.6631368147169709E-3</v>
      </c>
      <c r="D520" s="67">
        <f>(Table134[[#This Row],[Index]]-B508)/B508</f>
        <v>0.12728987810923742</v>
      </c>
    </row>
    <row r="521" spans="1:4" x14ac:dyDescent="0.2">
      <c r="A521" s="17">
        <v>41944</v>
      </c>
      <c r="B521" s="59">
        <f>VLOOKUP(Table134[[#This Row],[Date]],database!A:I,8,)</f>
        <v>113.86069999999999</v>
      </c>
      <c r="C521" s="68">
        <f t="shared" si="8"/>
        <v>-6.500549274599865E-3</v>
      </c>
      <c r="D521" s="67">
        <f>(Table134[[#This Row],[Index]]-B509)/B509</f>
        <v>0.11124264974990838</v>
      </c>
    </row>
    <row r="522" spans="1:4" x14ac:dyDescent="0.2">
      <c r="A522" s="17">
        <v>41974</v>
      </c>
      <c r="B522" s="59">
        <f>VLOOKUP(Table134[[#This Row],[Date]],database!A:I,8,)</f>
        <v>116.68</v>
      </c>
      <c r="C522" s="67">
        <f t="shared" si="8"/>
        <v>2.4760957907337788E-2</v>
      </c>
      <c r="D522" s="67">
        <f>(Table134[[#This Row],[Index]]-B510)/B510</f>
        <v>0.13390320035140507</v>
      </c>
    </row>
    <row r="523" spans="1:4" x14ac:dyDescent="0.2">
      <c r="A523" s="17">
        <v>42005</v>
      </c>
      <c r="B523" s="59">
        <f>VLOOKUP(Table134[[#This Row],[Date]],database!A:I,8,)</f>
        <v>113.7843</v>
      </c>
      <c r="C523" s="68">
        <f t="shared" si="8"/>
        <v>-2.481744943435038E-2</v>
      </c>
      <c r="D523" s="67">
        <f>(Table134[[#This Row],[Index]]-B511)/B511</f>
        <v>9.0872223788130632E-2</v>
      </c>
    </row>
    <row r="524" spans="1:4" x14ac:dyDescent="0.2">
      <c r="A524" s="17">
        <v>42036</v>
      </c>
      <c r="B524" s="59">
        <f>VLOOKUP(Table134[[#This Row],[Date]],database!A:I,8,)</f>
        <v>109.8081</v>
      </c>
      <c r="C524" s="67">
        <f t="shared" si="8"/>
        <v>-3.494506711382861E-2</v>
      </c>
      <c r="D524" s="67">
        <f>(Table134[[#This Row],[Index]]-B512)/B512</f>
        <v>4.2466456986240943E-2</v>
      </c>
    </row>
    <row r="525" spans="1:4" x14ac:dyDescent="0.2">
      <c r="A525" s="17">
        <v>42064</v>
      </c>
      <c r="B525" s="59">
        <f>VLOOKUP(Table134[[#This Row],[Date]],database!A:I,8,)</f>
        <v>107.9909</v>
      </c>
      <c r="C525" s="68">
        <f t="shared" si="8"/>
        <v>-1.654887025638363E-2</v>
      </c>
      <c r="D525" s="67">
        <f>(Table134[[#This Row],[Index]]-B513)/B513</f>
        <v>4.183520703731596E-3</v>
      </c>
    </row>
    <row r="526" spans="1:4" x14ac:dyDescent="0.2">
      <c r="A526" s="17">
        <v>42095</v>
      </c>
      <c r="B526" s="59">
        <f>VLOOKUP(Table134[[#This Row],[Date]],database!A:I,8,)</f>
        <v>106.2953</v>
      </c>
      <c r="C526" s="67">
        <f t="shared" si="8"/>
        <v>-1.570132298184379E-2</v>
      </c>
      <c r="D526" s="67">
        <f>(Table134[[#This Row],[Index]]-B514)/B514</f>
        <v>-2.825498692702904E-2</v>
      </c>
    </row>
    <row r="527" spans="1:4" x14ac:dyDescent="0.2">
      <c r="A527" s="17">
        <v>42125</v>
      </c>
      <c r="B527" s="59">
        <f>VLOOKUP(Table134[[#This Row],[Date]],database!A:I,8,)</f>
        <v>103.7818</v>
      </c>
      <c r="C527" s="67">
        <f t="shared" si="8"/>
        <v>-2.3646388880787739E-2</v>
      </c>
      <c r="D527" s="67">
        <f>(Table134[[#This Row],[Index]]-B515)/B515</f>
        <v>-6.1515854391890376E-2</v>
      </c>
    </row>
    <row r="528" spans="1:4" x14ac:dyDescent="0.2">
      <c r="A528" s="17">
        <v>42156</v>
      </c>
      <c r="B528" s="59">
        <f>VLOOKUP(Table134[[#This Row],[Date]],database!A:I,8,)</f>
        <v>102.979</v>
      </c>
      <c r="C528" s="67">
        <f t="shared" si="8"/>
        <v>-7.7354603601017535E-3</v>
      </c>
      <c r="D528" s="67">
        <f>(Table134[[#This Row],[Index]]-B516)/B516</f>
        <v>-8.0846650386301649E-2</v>
      </c>
    </row>
    <row r="529" spans="1:4" x14ac:dyDescent="0.2">
      <c r="A529" s="17">
        <v>42186</v>
      </c>
      <c r="B529" s="59">
        <f>VLOOKUP(Table134[[#This Row],[Date]],database!A:I,8,)</f>
        <v>104.1902</v>
      </c>
      <c r="C529" s="67">
        <f t="shared" si="8"/>
        <v>1.1761621301430436E-2</v>
      </c>
      <c r="D529" s="67">
        <f>(Table134[[#This Row],[Index]]-B517)/B517</f>
        <v>-7.563638041229423E-2</v>
      </c>
    </row>
    <row r="530" spans="1:4" x14ac:dyDescent="0.2">
      <c r="A530" s="17">
        <v>42217</v>
      </c>
      <c r="B530" s="59">
        <f>VLOOKUP(Table134[[#This Row],[Date]],database!A:I,8,)</f>
        <v>104.65819999999999</v>
      </c>
      <c r="C530" s="67">
        <f t="shared" si="8"/>
        <v>4.4917852158838922E-3</v>
      </c>
      <c r="D530" s="67">
        <f>(Table134[[#This Row],[Index]]-B518)/B518</f>
        <v>-7.9102950247298506E-2</v>
      </c>
    </row>
    <row r="531" spans="1:4" x14ac:dyDescent="0.2">
      <c r="A531" s="17">
        <v>42248</v>
      </c>
      <c r="B531" s="59">
        <f>VLOOKUP(Table134[[#This Row],[Date]],database!A:I,8,)</f>
        <v>103.1339</v>
      </c>
      <c r="C531" s="67">
        <f t="shared" si="8"/>
        <v>-1.4564553947994496E-2</v>
      </c>
      <c r="D531" s="67">
        <f>(Table134[[#This Row],[Index]]-B519)/B519</f>
        <v>-9.770142596803362E-2</v>
      </c>
    </row>
    <row r="532" spans="1:4" x14ac:dyDescent="0.2">
      <c r="A532" s="17">
        <v>42278</v>
      </c>
      <c r="B532" s="59">
        <f>VLOOKUP(Table134[[#This Row],[Date]],database!A:I,8,)</f>
        <v>101.20659999999999</v>
      </c>
      <c r="C532" s="67">
        <f t="shared" si="8"/>
        <v>-1.868735692143908E-2</v>
      </c>
      <c r="D532" s="67">
        <f>(Table134[[#This Row],[Index]]-B520)/B520</f>
        <v>-0.11691477823528851</v>
      </c>
    </row>
    <row r="533" spans="1:4" x14ac:dyDescent="0.2">
      <c r="A533" s="17">
        <v>42309</v>
      </c>
      <c r="B533" s="59">
        <f>VLOOKUP(Table134[[#This Row],[Date]],database!A:I,8,)</f>
        <v>99.033500000000004</v>
      </c>
      <c r="C533" s="67">
        <f t="shared" si="8"/>
        <v>-2.1471919815506002E-2</v>
      </c>
      <c r="D533" s="67">
        <f>(Table134[[#This Row],[Index]]-B521)/B521</f>
        <v>-0.1302222803829591</v>
      </c>
    </row>
    <row r="534" spans="1:4" x14ac:dyDescent="0.2">
      <c r="A534" s="17">
        <v>42339</v>
      </c>
      <c r="B534" s="59">
        <f>VLOOKUP(Table134[[#This Row],[Date]],database!A:I,8,)</f>
        <v>98.3108</v>
      </c>
      <c r="C534" s="67">
        <f t="shared" si="8"/>
        <v>-7.2975306335735235E-3</v>
      </c>
      <c r="D534" s="67">
        <f>(Table134[[#This Row],[Index]]-B522)/B522</f>
        <v>-0.15743229345217694</v>
      </c>
    </row>
    <row r="535" spans="1:4" x14ac:dyDescent="0.2">
      <c r="A535" s="17">
        <v>42370</v>
      </c>
      <c r="B535" s="59">
        <f>VLOOKUP(Table134[[#This Row],[Date]],database!A:I,8,)</f>
        <v>96.282799999999995</v>
      </c>
      <c r="C535" s="67">
        <f t="shared" si="8"/>
        <v>-2.0628455876668728E-2</v>
      </c>
      <c r="D535" s="67">
        <f>(Table134[[#This Row],[Index]]-B523)/B523</f>
        <v>-0.15381296013597665</v>
      </c>
    </row>
    <row r="536" spans="1:4" x14ac:dyDescent="0.2">
      <c r="A536" s="17">
        <v>42401</v>
      </c>
      <c r="B536" s="59">
        <f>VLOOKUP(Table134[[#This Row],[Date]],database!A:I,8,)</f>
        <v>94.243200000000002</v>
      </c>
      <c r="C536" s="67">
        <f t="shared" si="8"/>
        <v>-2.1183430477717646E-2</v>
      </c>
      <c r="D536" s="67">
        <f>(Table134[[#This Row],[Index]]-B524)/B524</f>
        <v>-0.14174637390137881</v>
      </c>
    </row>
    <row r="537" spans="1:4" x14ac:dyDescent="0.2">
      <c r="A537" s="17">
        <v>42430</v>
      </c>
      <c r="B537" s="59">
        <f>VLOOKUP(Table134[[#This Row],[Date]],database!A:I,8,)</f>
        <v>91.919700000000006</v>
      </c>
      <c r="C537" s="67">
        <f t="shared" si="8"/>
        <v>-2.465429866558011E-2</v>
      </c>
      <c r="D537" s="67">
        <f>(Table134[[#This Row],[Index]]-B525)/B525</f>
        <v>-0.14881994686589325</v>
      </c>
    </row>
    <row r="538" spans="1:4" x14ac:dyDescent="0.2">
      <c r="A538" s="17">
        <v>42461</v>
      </c>
      <c r="B538" s="59">
        <f>VLOOKUP(Table134[[#This Row],[Date]],database!A:I,8,)</f>
        <v>89.849400000000003</v>
      </c>
      <c r="C538" s="67">
        <f t="shared" si="8"/>
        <v>-2.2522919461225421E-2</v>
      </c>
      <c r="D538" s="67">
        <f>(Table134[[#This Row],[Index]]-B526)/B526</f>
        <v>-0.15471897628587525</v>
      </c>
    </row>
    <row r="539" spans="1:4" x14ac:dyDescent="0.2">
      <c r="A539" s="17">
        <v>42491</v>
      </c>
      <c r="B539" s="59">
        <f>VLOOKUP(Table134[[#This Row],[Date]],database!A:I,8,)</f>
        <v>89.809600000000003</v>
      </c>
      <c r="C539" s="67">
        <f t="shared" si="8"/>
        <v>-4.4296344772476459E-4</v>
      </c>
      <c r="D539" s="67">
        <f>(Table134[[#This Row],[Index]]-B527)/B527</f>
        <v>-0.13463054215671727</v>
      </c>
    </row>
    <row r="540" spans="1:4" x14ac:dyDescent="0.2">
      <c r="A540" s="17">
        <v>42522</v>
      </c>
      <c r="B540" s="59">
        <f>VLOOKUP(Table134[[#This Row],[Date]],database!A:I,8,)</f>
        <v>89.665400000000005</v>
      </c>
      <c r="C540" s="67">
        <f t="shared" si="8"/>
        <v>-1.605618998414382E-3</v>
      </c>
      <c r="D540" s="67">
        <f>(Table134[[#This Row],[Index]]-B528)/B528</f>
        <v>-0.12928461142563041</v>
      </c>
    </row>
    <row r="541" spans="1:4" x14ac:dyDescent="0.2">
      <c r="A541" s="17">
        <v>42552</v>
      </c>
      <c r="B541" s="59">
        <f>VLOOKUP(Table134[[#This Row],[Date]],database!A:I,8,)</f>
        <v>90.213300000000004</v>
      </c>
      <c r="C541" s="67">
        <f t="shared" si="8"/>
        <v>6.1104952411967783E-3</v>
      </c>
      <c r="D541" s="67">
        <f>(Table134[[#This Row],[Index]]-B529)/B529</f>
        <v>-0.13414793329890912</v>
      </c>
    </row>
    <row r="542" spans="1:4" x14ac:dyDescent="0.2">
      <c r="A542" s="17">
        <v>42583</v>
      </c>
      <c r="B542" s="59">
        <f>VLOOKUP(Table134[[#This Row],[Date]],database!A:I,8,)</f>
        <v>89.859899999999996</v>
      </c>
      <c r="C542" s="67">
        <f t="shared" si="8"/>
        <v>-3.9173824702123383E-3</v>
      </c>
      <c r="D542" s="67">
        <f>(Table134[[#This Row],[Index]]-B530)/B530</f>
        <v>-0.14139646965072969</v>
      </c>
    </row>
    <row r="543" spans="1:4" x14ac:dyDescent="0.2">
      <c r="A543" s="17">
        <v>42614</v>
      </c>
      <c r="B543" s="59">
        <f>VLOOKUP(Table134[[#This Row],[Date]],database!A:I,8,)</f>
        <v>90.008899999999997</v>
      </c>
      <c r="C543" s="67">
        <f t="shared" si="8"/>
        <v>1.6581367217189946E-3</v>
      </c>
      <c r="D543" s="67">
        <f>(Table134[[#This Row],[Index]]-B531)/B531</f>
        <v>-0.12726174419856129</v>
      </c>
    </row>
    <row r="544" spans="1:4" x14ac:dyDescent="0.2">
      <c r="A544" s="17">
        <v>42644</v>
      </c>
      <c r="B544" s="59">
        <f>VLOOKUP(Table134[[#This Row],[Date]],database!A:I,8,)</f>
        <v>92.623900000000006</v>
      </c>
      <c r="C544" s="67">
        <f t="shared" si="8"/>
        <v>2.9052682568057264E-2</v>
      </c>
      <c r="D544" s="67">
        <f>(Table134[[#This Row],[Index]]-B532)/B532</f>
        <v>-8.4803757857689011E-2</v>
      </c>
    </row>
    <row r="545" spans="1:4" x14ac:dyDescent="0.2">
      <c r="A545" s="17">
        <v>42675</v>
      </c>
      <c r="B545" s="59">
        <f>VLOOKUP(Table134[[#This Row],[Date]],database!A:I,8,)</f>
        <v>92.096800000000002</v>
      </c>
      <c r="C545" s="67">
        <f t="shared" si="8"/>
        <v>-5.6907558416349202E-3</v>
      </c>
      <c r="D545" s="67">
        <f>(Table134[[#This Row],[Index]]-B533)/B533</f>
        <v>-7.0043975018554347E-2</v>
      </c>
    </row>
    <row r="546" spans="1:4" x14ac:dyDescent="0.2">
      <c r="A546" s="17">
        <v>42705</v>
      </c>
      <c r="B546" s="59">
        <f>VLOOKUP(Table134[[#This Row],[Date]],database!A:I,8,)</f>
        <v>91.9221</v>
      </c>
      <c r="C546" s="67">
        <f t="shared" si="8"/>
        <v>-1.896917156730793E-3</v>
      </c>
      <c r="D546" s="67">
        <f>(Table134[[#This Row],[Index]]-B534)/B534</f>
        <v>-6.4984721922718564E-2</v>
      </c>
    </row>
    <row r="547" spans="1:4" x14ac:dyDescent="0.2">
      <c r="A547" s="17">
        <v>42736</v>
      </c>
      <c r="B547" s="59">
        <f>VLOOKUP(Table134[[#This Row],[Date]],database!A:I,8,)</f>
        <v>94.077500000000001</v>
      </c>
      <c r="C547" s="67">
        <f t="shared" si="8"/>
        <v>2.3448115306329953E-2</v>
      </c>
      <c r="D547" s="67">
        <f>(Table134[[#This Row],[Index]]-B535)/B535</f>
        <v>-2.2904402447789161E-2</v>
      </c>
    </row>
    <row r="548" spans="1:4" x14ac:dyDescent="0.2">
      <c r="A548" s="17">
        <v>42767</v>
      </c>
      <c r="B548" s="59">
        <f>VLOOKUP(Table134[[#This Row],[Date]],database!A:I,8,)</f>
        <v>96.228499999999997</v>
      </c>
      <c r="C548" s="67">
        <f t="shared" si="8"/>
        <v>2.2864127979591364E-2</v>
      </c>
      <c r="D548" s="67">
        <f>(Table134[[#This Row],[Index]]-B536)/B536</f>
        <v>2.106571084173707E-2</v>
      </c>
    </row>
    <row r="549" spans="1:4" x14ac:dyDescent="0.2">
      <c r="A549" s="17">
        <v>42795</v>
      </c>
      <c r="B549" s="59">
        <f>VLOOKUP(Table134[[#This Row],[Date]],database!A:I,8,)</f>
        <v>97.435000000000002</v>
      </c>
      <c r="C549" s="67">
        <f t="shared" si="8"/>
        <v>1.2537865601147224E-2</v>
      </c>
      <c r="D549" s="67">
        <f>(Table134[[#This Row],[Index]]-B537)/B537</f>
        <v>6.0001283729167916E-2</v>
      </c>
    </row>
    <row r="550" spans="1:4" x14ac:dyDescent="0.2">
      <c r="A550" s="17">
        <v>42826</v>
      </c>
      <c r="B550" s="59">
        <f>VLOOKUP(Table134[[#This Row],[Date]],database!A:I,8,)</f>
        <v>98.568399999999997</v>
      </c>
      <c r="C550" s="67">
        <f t="shared" si="8"/>
        <v>1.1632370298147343E-2</v>
      </c>
      <c r="D550" s="67">
        <f>(Table134[[#This Row],[Index]]-B538)/B538</f>
        <v>9.7040158309348687E-2</v>
      </c>
    </row>
    <row r="551" spans="1:4" x14ac:dyDescent="0.2">
      <c r="A551" s="17">
        <v>42856</v>
      </c>
      <c r="B551" s="59">
        <f>VLOOKUP(Table134[[#This Row],[Date]],database!A:I,8,)</f>
        <v>99.450400000000002</v>
      </c>
      <c r="C551" s="67">
        <f t="shared" si="8"/>
        <v>8.9481010141181372E-3</v>
      </c>
      <c r="D551" s="67">
        <f>(Table134[[#This Row],[Index]]-B539)/B539</f>
        <v>0.10734709875113571</v>
      </c>
    </row>
    <row r="552" spans="1:4" x14ac:dyDescent="0.2">
      <c r="A552" s="17">
        <v>42887</v>
      </c>
      <c r="B552" s="59">
        <f>VLOOKUP(Table134[[#This Row],[Date]],database!A:I,8,)</f>
        <v>100.7711</v>
      </c>
      <c r="C552" s="67">
        <f t="shared" si="8"/>
        <v>1.3279986807493982E-2</v>
      </c>
      <c r="D552" s="67">
        <f>(Table134[[#This Row],[Index]]-B540)/B540</f>
        <v>0.12385713998933812</v>
      </c>
    </row>
    <row r="553" spans="1:4" x14ac:dyDescent="0.2">
      <c r="A553" s="17">
        <v>42917</v>
      </c>
      <c r="B553" s="59">
        <f>VLOOKUP(Table134[[#This Row],[Date]],database!A:I,8,)</f>
        <v>100.7694</v>
      </c>
      <c r="C553" s="67">
        <f t="shared" si="8"/>
        <v>-1.6869916077077995E-5</v>
      </c>
      <c r="D553" s="67">
        <f>(Table134[[#This Row],[Index]]-B541)/B541</f>
        <v>0.11701267994852201</v>
      </c>
    </row>
    <row r="554" spans="1:4" x14ac:dyDescent="0.2">
      <c r="A554" s="17">
        <v>42948</v>
      </c>
      <c r="B554" s="59">
        <f>VLOOKUP(Table134[[#This Row],[Date]],database!A:I,8,)</f>
        <v>100.03149999999999</v>
      </c>
      <c r="C554" s="67">
        <f t="shared" si="8"/>
        <v>-7.3226594581292659E-3</v>
      </c>
      <c r="D554" s="67">
        <f>(Table134[[#This Row],[Index]]-B542)/B542</f>
        <v>0.11319398307810268</v>
      </c>
    </row>
    <row r="555" spans="1:4" x14ac:dyDescent="0.2">
      <c r="A555" s="17">
        <v>42979</v>
      </c>
      <c r="B555" s="59">
        <f>VLOOKUP(Table134[[#This Row],[Date]],database!A:I,8,)</f>
        <v>101.128</v>
      </c>
      <c r="C555" s="67">
        <f t="shared" si="8"/>
        <v>1.096154711265962E-2</v>
      </c>
      <c r="D555" s="67">
        <f>(Table134[[#This Row],[Index]]-B543)/B543</f>
        <v>0.1235333394808736</v>
      </c>
    </row>
    <row r="556" spans="1:4" x14ac:dyDescent="0.2">
      <c r="A556" s="17">
        <v>43009</v>
      </c>
      <c r="B556" s="59">
        <f>VLOOKUP(Table134[[#This Row],[Date]],database!A:I,8,)</f>
        <v>102.6926</v>
      </c>
      <c r="C556" s="67">
        <f t="shared" si="8"/>
        <v>1.5471481686575306E-2</v>
      </c>
      <c r="D556" s="67">
        <f>(Table134[[#This Row],[Index]]-B544)/B544</f>
        <v>0.10870520459622184</v>
      </c>
    </row>
    <row r="557" spans="1:4" x14ac:dyDescent="0.2">
      <c r="A557" s="17">
        <v>43040</v>
      </c>
      <c r="B557" s="59">
        <f>VLOOKUP(Table134[[#This Row],[Date]],database!A:I,8,)</f>
        <v>104.392</v>
      </c>
      <c r="C557" s="67">
        <f t="shared" si="8"/>
        <v>1.6548417315366493E-2</v>
      </c>
      <c r="D557" s="67">
        <f>(Table134[[#This Row],[Index]]-B545)/B545</f>
        <v>0.1335030098765646</v>
      </c>
    </row>
    <row r="558" spans="1:4" x14ac:dyDescent="0.2">
      <c r="A558" s="17">
        <v>43070</v>
      </c>
      <c r="B558" s="59">
        <f>VLOOKUP(Table134[[#This Row],[Date]],database!A:I,8,)</f>
        <v>104.4556</v>
      </c>
      <c r="C558" s="67">
        <f t="shared" si="8"/>
        <v>6.0924208751633735E-4</v>
      </c>
      <c r="D558" s="67">
        <f>(Table134[[#This Row],[Index]]-B546)/B546</f>
        <v>0.13634914781102697</v>
      </c>
    </row>
    <row r="559" spans="1:4" x14ac:dyDescent="0.2">
      <c r="A559" s="17">
        <v>43101</v>
      </c>
      <c r="B559" s="59">
        <f>VLOOKUP(Table134[[#This Row],[Date]],database!A:I,8,)</f>
        <v>104.0635</v>
      </c>
      <c r="C559" s="67">
        <f t="shared" si="8"/>
        <v>-3.7537480039365745E-3</v>
      </c>
      <c r="D559" s="67">
        <f>(Table134[[#This Row],[Index]]-B547)/B547</f>
        <v>0.10614652812840482</v>
      </c>
    </row>
    <row r="560" spans="1:4" x14ac:dyDescent="0.2">
      <c r="A560" s="17">
        <v>43132</v>
      </c>
      <c r="B560" s="59">
        <f>VLOOKUP(Table134[[#This Row],[Date]],database!A:I,8,)</f>
        <v>106.9061</v>
      </c>
      <c r="C560" s="67">
        <f t="shared" si="8"/>
        <v>2.7316013780047665E-2</v>
      </c>
      <c r="D560" s="67">
        <f>(Table134[[#This Row],[Index]]-B548)/B548</f>
        <v>0.11096088996503113</v>
      </c>
    </row>
    <row r="561" spans="1:4" x14ac:dyDescent="0.2">
      <c r="A561" s="17">
        <v>43160</v>
      </c>
      <c r="B561" s="59">
        <f>VLOOKUP(Table134[[#This Row],[Date]],database!A:I,8,)</f>
        <v>108.709</v>
      </c>
      <c r="C561" s="67">
        <f t="shared" si="8"/>
        <v>1.686433234399165E-2</v>
      </c>
      <c r="D561" s="67">
        <f>(Table134[[#This Row],[Index]]-B549)/B549</f>
        <v>0.11570790783599323</v>
      </c>
    </row>
    <row r="562" spans="1:4" x14ac:dyDescent="0.2">
      <c r="A562" s="17">
        <v>43191</v>
      </c>
      <c r="B562" s="59">
        <f>VLOOKUP(Table134[[#This Row],[Date]],database!A:I,8,)</f>
        <v>109.8935</v>
      </c>
      <c r="C562" s="67">
        <f t="shared" si="8"/>
        <v>1.0896061963590942E-2</v>
      </c>
      <c r="D562" s="67">
        <f>(Table134[[#This Row],[Index]]-B550)/B550</f>
        <v>0.11489584897391057</v>
      </c>
    </row>
    <row r="563" spans="1:4" x14ac:dyDescent="0.2">
      <c r="A563" s="17">
        <v>43221</v>
      </c>
      <c r="B563" s="59">
        <f>VLOOKUP(Table134[[#This Row],[Date]],database!A:I,8,)</f>
        <v>110.4678</v>
      </c>
      <c r="C563" s="67">
        <f t="shared" si="8"/>
        <v>5.2259687788631659E-3</v>
      </c>
      <c r="D563" s="67">
        <f>(Table134[[#This Row],[Index]]-B551)/B551</f>
        <v>0.11078286261292056</v>
      </c>
    </row>
    <row r="564" spans="1:4" x14ac:dyDescent="0.2">
      <c r="A564" s="17">
        <v>43252</v>
      </c>
      <c r="B564" s="59">
        <f>VLOOKUP(Table134[[#This Row],[Date]],database!A:I,8,)</f>
        <v>112.93380000000001</v>
      </c>
      <c r="C564" s="67">
        <f t="shared" si="8"/>
        <v>2.2323247136269542E-2</v>
      </c>
      <c r="D564" s="67">
        <f>(Table134[[#This Row],[Index]]-B552)/B552</f>
        <v>0.12069631074782354</v>
      </c>
    </row>
    <row r="565" spans="1:4" x14ac:dyDescent="0.2">
      <c r="A565" s="17">
        <v>43282</v>
      </c>
      <c r="B565" s="59">
        <f>VLOOKUP(Table134[[#This Row],[Date]],database!A:I,8,)</f>
        <v>114.3934</v>
      </c>
      <c r="C565" s="67">
        <f t="shared" si="8"/>
        <v>1.2924385790613613E-2</v>
      </c>
      <c r="D565" s="67">
        <f>(Table134[[#This Row],[Index]]-B553)/B553</f>
        <v>0.13519977294694616</v>
      </c>
    </row>
    <row r="566" spans="1:4" x14ac:dyDescent="0.2">
      <c r="A566" s="17">
        <v>43313</v>
      </c>
      <c r="B566" s="59">
        <f>VLOOKUP(Table134[[#This Row],[Date]],database!A:I,8,)</f>
        <v>117.3459</v>
      </c>
      <c r="C566" s="67">
        <f t="shared" si="8"/>
        <v>2.5810055475228522E-2</v>
      </c>
      <c r="D566" s="67">
        <f>(Table134[[#This Row],[Index]]-B554)/B554</f>
        <v>0.17308947681480341</v>
      </c>
    </row>
    <row r="567" spans="1:4" x14ac:dyDescent="0.2">
      <c r="A567" s="17">
        <v>43344</v>
      </c>
      <c r="B567" s="59">
        <f>VLOOKUP(Table134[[#This Row],[Date]],database!A:I,8,)</f>
        <v>117.749</v>
      </c>
      <c r="C567" s="67">
        <f t="shared" si="8"/>
        <v>3.4351434519654944E-3</v>
      </c>
      <c r="D567" s="67">
        <f>(Table134[[#This Row],[Index]]-B555)/B555</f>
        <v>0.16435606360256305</v>
      </c>
    </row>
    <row r="568" spans="1:4" x14ac:dyDescent="0.2">
      <c r="A568" s="17">
        <v>43374</v>
      </c>
      <c r="B568" s="59">
        <f>VLOOKUP(Table134[[#This Row],[Date]],database!A:I,8,)</f>
        <v>117.8592</v>
      </c>
      <c r="C568" s="67">
        <f t="shared" si="8"/>
        <v>9.3588905213648488E-4</v>
      </c>
      <c r="D568" s="67">
        <f>(Table134[[#This Row],[Index]]-B556)/B556</f>
        <v>0.14768931743864702</v>
      </c>
    </row>
    <row r="569" spans="1:4" x14ac:dyDescent="0.2">
      <c r="A569" s="17">
        <v>43405</v>
      </c>
      <c r="B569" s="59">
        <f>VLOOKUP(Table134[[#This Row],[Date]],database!A:I,8,)</f>
        <v>118.5522</v>
      </c>
      <c r="C569" s="67">
        <f t="shared" si="8"/>
        <v>5.8798973690641354E-3</v>
      </c>
      <c r="D569" s="67">
        <f>(Table134[[#This Row],[Index]]-B557)/B557</f>
        <v>0.13564449383094493</v>
      </c>
    </row>
    <row r="570" spans="1:4" x14ac:dyDescent="0.2">
      <c r="A570" s="17">
        <v>43435</v>
      </c>
      <c r="B570" s="59">
        <f>VLOOKUP(Table134[[#This Row],[Date]],database!A:I,8,)</f>
        <v>120.4772</v>
      </c>
      <c r="C570" s="67">
        <f t="shared" si="8"/>
        <v>1.6237572984727278E-2</v>
      </c>
      <c r="D570" s="67">
        <f>(Table134[[#This Row],[Index]]-B558)/B558</f>
        <v>0.15338191537839993</v>
      </c>
    </row>
    <row r="571" spans="1:4" x14ac:dyDescent="0.2">
      <c r="A571" s="17">
        <v>43466</v>
      </c>
      <c r="B571" s="59">
        <f>VLOOKUP(Table134[[#This Row],[Date]],database!A:I,8,)</f>
        <v>119.6639</v>
      </c>
      <c r="C571" s="67">
        <f t="shared" si="8"/>
        <v>-6.7506548956980383E-3</v>
      </c>
      <c r="D571" s="67">
        <f>(Table134[[#This Row],[Index]]-B559)/B559</f>
        <v>0.1499123131549486</v>
      </c>
    </row>
    <row r="572" spans="1:4" x14ac:dyDescent="0.2">
      <c r="A572" s="17">
        <v>43497</v>
      </c>
      <c r="B572" s="59">
        <f>VLOOKUP(Table134[[#This Row],[Date]],database!A:I,8,)</f>
        <v>118.06950000000001</v>
      </c>
      <c r="C572" s="67">
        <f t="shared" si="8"/>
        <v>-1.3323984927785193E-2</v>
      </c>
      <c r="D572" s="67">
        <f>(Table134[[#This Row],[Index]]-B560)/B560</f>
        <v>0.1044224791662965</v>
      </c>
    </row>
    <row r="573" spans="1:4" x14ac:dyDescent="0.2">
      <c r="A573" s="17">
        <v>43525</v>
      </c>
      <c r="B573" s="59">
        <f>VLOOKUP(Table134[[#This Row],[Date]],database!A:I,8,)</f>
        <v>118.6683</v>
      </c>
      <c r="C573" s="67">
        <f t="shared" si="8"/>
        <v>5.0715891911119471E-3</v>
      </c>
      <c r="D573" s="67">
        <f>(Table134[[#This Row],[Index]]-B561)/B561</f>
        <v>9.1614309762761123E-2</v>
      </c>
    </row>
    <row r="574" spans="1:4" x14ac:dyDescent="0.2">
      <c r="A574" s="17">
        <v>43556</v>
      </c>
      <c r="B574" s="59">
        <f>VLOOKUP(Table134[[#This Row],[Date]],database!A:I,8,)</f>
        <v>120.95489999999999</v>
      </c>
      <c r="C574" s="67">
        <f t="shared" si="8"/>
        <v>1.9268835906472104E-2</v>
      </c>
      <c r="D574" s="67">
        <f>(Table134[[#This Row],[Index]]-B562)/B562</f>
        <v>0.10065563477366715</v>
      </c>
    </row>
    <row r="575" spans="1:4" x14ac:dyDescent="0.2">
      <c r="A575" s="17">
        <v>43586</v>
      </c>
      <c r="B575" s="59">
        <f>VLOOKUP(Table134[[#This Row],[Date]],database!A:I,8,)</f>
        <v>121.1386</v>
      </c>
      <c r="C575" s="67">
        <f t="shared" si="8"/>
        <v>1.5187478969433954E-3</v>
      </c>
      <c r="D575" s="67">
        <f>(Table134[[#This Row],[Index]]-B563)/B563</f>
        <v>9.6596474266709392E-2</v>
      </c>
    </row>
    <row r="576" spans="1:4" x14ac:dyDescent="0.2">
      <c r="A576" s="17">
        <v>43617</v>
      </c>
      <c r="B576" s="59">
        <f>VLOOKUP(Table134[[#This Row],[Date]],database!A:I,8,)</f>
        <v>122.0834</v>
      </c>
      <c r="C576" s="67">
        <f t="shared" si="8"/>
        <v>7.7993306840264953E-3</v>
      </c>
      <c r="D576" s="67">
        <f>(Table134[[#This Row],[Index]]-B564)/B564</f>
        <v>8.1017374780623624E-2</v>
      </c>
    </row>
    <row r="577" spans="1:4" x14ac:dyDescent="0.2">
      <c r="A577" s="17">
        <v>43647</v>
      </c>
      <c r="B577" s="59">
        <f>VLOOKUP(Table134[[#This Row],[Date]],database!A:I,8,)</f>
        <v>120.0346</v>
      </c>
      <c r="C577" s="67">
        <f t="shared" si="8"/>
        <v>-1.6781970357968357E-2</v>
      </c>
      <c r="D577" s="67">
        <f>(Table134[[#This Row],[Index]]-B565)/B565</f>
        <v>4.9314033851603309E-2</v>
      </c>
    </row>
    <row r="578" spans="1:4" x14ac:dyDescent="0.2">
      <c r="A578" s="17">
        <v>43678</v>
      </c>
      <c r="B578" s="59">
        <f>VLOOKUP(Table134[[#This Row],[Date]],database!A:I,8,)</f>
        <v>122.8742</v>
      </c>
      <c r="C578" s="67">
        <f t="shared" si="8"/>
        <v>2.365651237226607E-2</v>
      </c>
      <c r="D578" s="67">
        <f>(Table134[[#This Row],[Index]]-B566)/B566</f>
        <v>4.7111147470853279E-2</v>
      </c>
    </row>
    <row r="579" spans="1:4" x14ac:dyDescent="0.2">
      <c r="A579" s="17">
        <v>43709</v>
      </c>
      <c r="B579" s="59">
        <f>VLOOKUP(Table134[[#This Row],[Date]],database!A:I,8,)</f>
        <v>123.3466</v>
      </c>
      <c r="C579" s="67">
        <f t="shared" si="8"/>
        <v>3.8445825079633789E-3</v>
      </c>
      <c r="D579" s="67">
        <f>(Table134[[#This Row],[Index]]-B567)/B567</f>
        <v>4.7538407969494434E-2</v>
      </c>
    </row>
    <row r="580" spans="1:4" x14ac:dyDescent="0.2">
      <c r="A580" s="17">
        <v>43739</v>
      </c>
      <c r="B580" s="59">
        <f>VLOOKUP(Table134[[#This Row],[Date]],database!A:I,8,)</f>
        <v>122.604</v>
      </c>
      <c r="C580" s="67">
        <f t="shared" si="8"/>
        <v>-6.0204334776960966E-3</v>
      </c>
      <c r="D580" s="67">
        <f>(Table134[[#This Row],[Index]]-B568)/B568</f>
        <v>4.0258206402215509E-2</v>
      </c>
    </row>
    <row r="581" spans="1:4" x14ac:dyDescent="0.2">
      <c r="A581" s="17">
        <v>43770</v>
      </c>
      <c r="B581" s="59">
        <f>VLOOKUP(Table134[[#This Row],[Date]],database!A:I,8,)</f>
        <v>120.12779999999999</v>
      </c>
      <c r="C581" s="67">
        <f t="shared" si="8"/>
        <v>-2.0196730938631724E-2</v>
      </c>
      <c r="D581" s="67">
        <f>(Table134[[#This Row],[Index]]-B569)/B569</f>
        <v>1.3290348049213717E-2</v>
      </c>
    </row>
    <row r="582" spans="1:4" x14ac:dyDescent="0.2">
      <c r="A582" s="17">
        <v>43800</v>
      </c>
      <c r="B582" s="59">
        <f>VLOOKUP(Table134[[#This Row],[Date]],database!A:I,8,)</f>
        <v>120.3918</v>
      </c>
      <c r="C582" s="67">
        <f t="shared" si="8"/>
        <v>2.1976594926405024E-3</v>
      </c>
      <c r="D582" s="67">
        <f>(Table134[[#This Row],[Index]]-B570)/B570</f>
        <v>-7.0884781518820836E-4</v>
      </c>
    </row>
    <row r="583" spans="1:4" x14ac:dyDescent="0.2">
      <c r="A583" s="17">
        <v>43831</v>
      </c>
      <c r="B583" s="59">
        <f>VLOOKUP(Table134[[#This Row],[Date]],database!A:I,8,)</f>
        <v>120.28579999999999</v>
      </c>
      <c r="C583" s="67">
        <f t="shared" si="8"/>
        <v>-8.8045863588726014E-4</v>
      </c>
      <c r="D583" s="67">
        <f>(Table134[[#This Row],[Index]]-B571)/B571</f>
        <v>5.1970560879262386E-3</v>
      </c>
    </row>
    <row r="584" spans="1:4" x14ac:dyDescent="0.2">
      <c r="A584" s="17">
        <v>43862</v>
      </c>
      <c r="B584" s="59">
        <f>VLOOKUP(Table134[[#This Row],[Date]],database!A:I,8,)</f>
        <v>119.0613</v>
      </c>
      <c r="C584" s="67">
        <f t="shared" ref="C584:C647" si="9">B584/B583-1</f>
        <v>-1.0179921486991761E-2</v>
      </c>
      <c r="D584" s="67">
        <f>(Table134[[#This Row],[Index]]-B572)/B572</f>
        <v>8.4001372073227859E-3</v>
      </c>
    </row>
    <row r="585" spans="1:4" x14ac:dyDescent="0.2">
      <c r="A585" s="17">
        <v>43891</v>
      </c>
      <c r="B585" s="59">
        <f>VLOOKUP(Table134[[#This Row],[Date]],database!A:I,8,)</f>
        <v>118.91240000000001</v>
      </c>
      <c r="C585" s="67">
        <f t="shared" si="9"/>
        <v>-1.2506162791772191E-3</v>
      </c>
      <c r="D585" s="67">
        <f>(Table134[[#This Row],[Index]]-B573)/B573</f>
        <v>2.0569941593500799E-3</v>
      </c>
    </row>
    <row r="586" spans="1:4" x14ac:dyDescent="0.2">
      <c r="A586" s="17">
        <v>43922</v>
      </c>
      <c r="B586" s="59">
        <f>VLOOKUP(Table134[[#This Row],[Date]],database!A:I,8,)</f>
        <v>102.9563</v>
      </c>
      <c r="C586" s="67">
        <f t="shared" si="9"/>
        <v>-0.13418365115833175</v>
      </c>
      <c r="D586" s="67">
        <f>(Table134[[#This Row],[Index]]-B574)/B574</f>
        <v>-0.14880422372305707</v>
      </c>
    </row>
    <row r="587" spans="1:4" x14ac:dyDescent="0.2">
      <c r="A587" s="17">
        <v>43952</v>
      </c>
      <c r="B587" s="59">
        <f>VLOOKUP(Table134[[#This Row],[Date]],database!A:I,8,)</f>
        <v>89.588899999999995</v>
      </c>
      <c r="C587" s="67">
        <f t="shared" si="9"/>
        <v>-0.12983566814269742</v>
      </c>
      <c r="D587" s="67">
        <f>(Table134[[#This Row],[Index]]-B575)/B575</f>
        <v>-0.26044299669964821</v>
      </c>
    </row>
    <row r="588" spans="1:4" x14ac:dyDescent="0.2">
      <c r="A588" s="17">
        <v>43983</v>
      </c>
      <c r="B588" s="59">
        <f>VLOOKUP(Table134[[#This Row],[Date]],database!A:I,8,)</f>
        <v>91.824399999999997</v>
      </c>
      <c r="C588" s="67">
        <f t="shared" si="9"/>
        <v>2.4952868045036825E-2</v>
      </c>
      <c r="D588" s="67">
        <f>(Table134[[#This Row],[Index]]-B576)/B576</f>
        <v>-0.2478551547548643</v>
      </c>
    </row>
    <row r="589" spans="1:4" x14ac:dyDescent="0.2">
      <c r="A589" s="17">
        <v>44013</v>
      </c>
      <c r="B589" s="59">
        <f>VLOOKUP(Table134[[#This Row],[Date]],database!A:I,8,)</f>
        <v>96.726900000000001</v>
      </c>
      <c r="C589" s="67">
        <f t="shared" si="9"/>
        <v>5.3389948641102025E-2</v>
      </c>
      <c r="D589" s="67">
        <f>(Table134[[#This Row],[Index]]-B577)/B577</f>
        <v>-0.19417484625266379</v>
      </c>
    </row>
    <row r="590" spans="1:4" x14ac:dyDescent="0.2">
      <c r="A590" s="17">
        <v>44044</v>
      </c>
      <c r="B590" s="59">
        <f>VLOOKUP(Table134[[#This Row],[Date]],database!A:I,8,)</f>
        <v>96.860699999999994</v>
      </c>
      <c r="C590" s="67">
        <f t="shared" si="9"/>
        <v>1.3832760069845129E-3</v>
      </c>
      <c r="D590" s="67">
        <f>(Table134[[#This Row],[Index]]-B578)/B578</f>
        <v>-0.21170839769455269</v>
      </c>
    </row>
    <row r="591" spans="1:4" x14ac:dyDescent="0.2">
      <c r="A591" s="17">
        <v>44075</v>
      </c>
      <c r="B591" s="59">
        <f>VLOOKUP(Table134[[#This Row],[Date]],database!A:I,8,)</f>
        <v>98.024900000000002</v>
      </c>
      <c r="C591" s="67">
        <f t="shared" si="9"/>
        <v>1.2019322594199799E-2</v>
      </c>
      <c r="D591" s="67">
        <f>(Table134[[#This Row],[Index]]-B579)/B579</f>
        <v>-0.20528899864284864</v>
      </c>
    </row>
    <row r="592" spans="1:4" x14ac:dyDescent="0.2">
      <c r="A592" s="17">
        <v>44105</v>
      </c>
      <c r="B592" s="59">
        <f>VLOOKUP(Table134[[#This Row],[Date]],database!A:I,8,)</f>
        <v>96.868600000000001</v>
      </c>
      <c r="C592" s="67">
        <f t="shared" si="9"/>
        <v>-1.1795982449357312E-2</v>
      </c>
      <c r="D592" s="67">
        <f>(Table134[[#This Row],[Index]]-B580)/B580</f>
        <v>-0.20990669146194249</v>
      </c>
    </row>
    <row r="593" spans="1:4" x14ac:dyDescent="0.2">
      <c r="A593" s="17">
        <v>44136</v>
      </c>
      <c r="B593" s="59">
        <f>VLOOKUP(Table134[[#This Row],[Date]],database!A:I,8,)</f>
        <v>100.19410000000001</v>
      </c>
      <c r="C593" s="67">
        <f t="shared" si="9"/>
        <v>3.4330009930978678E-2</v>
      </c>
      <c r="D593" s="67">
        <f>(Table134[[#This Row],[Index]]-B581)/B581</f>
        <v>-0.1659374432895632</v>
      </c>
    </row>
    <row r="594" spans="1:4" x14ac:dyDescent="0.2">
      <c r="A594" s="17">
        <v>44166</v>
      </c>
      <c r="B594" s="59">
        <f>VLOOKUP(Table134[[#This Row],[Date]],database!A:I,8,)</f>
        <v>100.7398</v>
      </c>
      <c r="C594" s="67">
        <f t="shared" si="9"/>
        <v>5.4464284823156905E-3</v>
      </c>
      <c r="D594" s="67">
        <f>(Table134[[#This Row],[Index]]-B582)/B582</f>
        <v>-0.16323370860806136</v>
      </c>
    </row>
    <row r="595" spans="1:4" x14ac:dyDescent="0.2">
      <c r="A595" s="17">
        <v>44197</v>
      </c>
      <c r="B595" s="59">
        <f>VLOOKUP(Table134[[#This Row],[Date]],database!A:I,8,)</f>
        <v>103.065</v>
      </c>
      <c r="C595" s="67">
        <f t="shared" si="9"/>
        <v>2.3081244949860968E-2</v>
      </c>
      <c r="D595" s="67">
        <f>(Table134[[#This Row],[Index]]-B583)/B583</f>
        <v>-0.14316569370615648</v>
      </c>
    </row>
    <row r="596" spans="1:4" x14ac:dyDescent="0.2">
      <c r="A596" s="17">
        <v>44228</v>
      </c>
      <c r="B596" s="59">
        <f>VLOOKUP(Table134[[#This Row],[Date]],database!A:I,8,)</f>
        <v>93.845299999999995</v>
      </c>
      <c r="C596" s="67">
        <f t="shared" si="9"/>
        <v>-8.9455198175908412E-2</v>
      </c>
      <c r="D596" s="67">
        <f>(Table134[[#This Row],[Index]]-B584)/B584</f>
        <v>-0.21179006108618004</v>
      </c>
    </row>
    <row r="597" spans="1:4" x14ac:dyDescent="0.2">
      <c r="A597" s="17">
        <v>44256</v>
      </c>
      <c r="B597" s="59">
        <f>VLOOKUP(Table134[[#This Row],[Date]],database!A:I,8,)</f>
        <v>104.55370000000001</v>
      </c>
      <c r="C597" s="67">
        <f t="shared" si="9"/>
        <v>0.11410693982543618</v>
      </c>
      <c r="D597" s="67">
        <f>(Table134[[#This Row],[Index]]-B585)/B585</f>
        <v>-0.12075023294458777</v>
      </c>
    </row>
    <row r="598" spans="1:4" x14ac:dyDescent="0.2">
      <c r="A598" s="17">
        <v>44287</v>
      </c>
      <c r="B598" s="59">
        <f>VLOOKUP(Table134[[#This Row],[Date]],database!A:I,8,)</f>
        <v>105.06610000000001</v>
      </c>
      <c r="C598" s="67">
        <f t="shared" si="9"/>
        <v>4.9008308649047816E-3</v>
      </c>
      <c r="D598" s="67">
        <f>(Table134[[#This Row],[Index]]-B586)/B586</f>
        <v>2.0492189404630965E-2</v>
      </c>
    </row>
    <row r="599" spans="1:4" x14ac:dyDescent="0.2">
      <c r="A599" s="17">
        <v>44317</v>
      </c>
      <c r="B599" s="59">
        <f>VLOOKUP(Table134[[#This Row],[Date]],database!A:I,8,)</f>
        <v>106.4371</v>
      </c>
      <c r="C599" s="67">
        <f t="shared" si="9"/>
        <v>1.3048928246123026E-2</v>
      </c>
      <c r="D599" s="67">
        <f>(Table134[[#This Row],[Index]]-B587)/B587</f>
        <v>0.18806124419431433</v>
      </c>
    </row>
    <row r="600" spans="1:4" x14ac:dyDescent="0.2">
      <c r="A600" s="17">
        <v>44348</v>
      </c>
      <c r="B600" s="59">
        <f>VLOOKUP(Table134[[#This Row],[Date]],database!A:I,8,)</f>
        <v>106.8877</v>
      </c>
      <c r="C600" s="67">
        <f t="shared" si="9"/>
        <v>4.2334862562019016E-3</v>
      </c>
      <c r="D600" s="67">
        <f>(Table134[[#This Row],[Index]]-B588)/B588</f>
        <v>0.16404463301693231</v>
      </c>
    </row>
    <row r="601" spans="1:4" x14ac:dyDescent="0.2">
      <c r="A601" s="17">
        <v>44378</v>
      </c>
      <c r="B601" s="59">
        <f>VLOOKUP(Table134[[#This Row],[Date]],database!A:I,8,)</f>
        <v>107.60760000000001</v>
      </c>
      <c r="C601" s="67">
        <f t="shared" si="9"/>
        <v>6.7351060973339649E-3</v>
      </c>
      <c r="D601" s="67">
        <f>(Table134[[#This Row],[Index]]-B589)/B589</f>
        <v>0.11248887331238781</v>
      </c>
    </row>
    <row r="602" spans="1:4" x14ac:dyDescent="0.2">
      <c r="A602" s="17">
        <v>44409</v>
      </c>
      <c r="B602" s="59">
        <f>VLOOKUP(Table134[[#This Row],[Date]],database!A:I,8,)</f>
        <v>107.55549999999999</v>
      </c>
      <c r="C602" s="67">
        <f t="shared" si="9"/>
        <v>-4.8416654585747843E-4</v>
      </c>
      <c r="D602" s="67">
        <f>(Table134[[#This Row],[Index]]-B590)/B590</f>
        <v>0.11041423404951649</v>
      </c>
    </row>
    <row r="603" spans="1:4" x14ac:dyDescent="0.2">
      <c r="A603" s="17">
        <v>44440</v>
      </c>
      <c r="B603" s="59">
        <f>VLOOKUP(Table134[[#This Row],[Date]],database!A:I,8,)</f>
        <v>105.8827</v>
      </c>
      <c r="C603" s="67">
        <f t="shared" si="9"/>
        <v>-1.5552900595506514E-2</v>
      </c>
      <c r="D603" s="67">
        <f>(Table134[[#This Row],[Index]]-B591)/B591</f>
        <v>8.016126514793688E-2</v>
      </c>
    </row>
    <row r="604" spans="1:4" x14ac:dyDescent="0.2">
      <c r="A604" s="17">
        <v>44470</v>
      </c>
      <c r="B604" s="59">
        <f>VLOOKUP(Table134[[#This Row],[Date]],database!A:I,8,)</f>
        <v>109.7944</v>
      </c>
      <c r="C604" s="67">
        <f t="shared" si="9"/>
        <v>3.6943712240054216E-2</v>
      </c>
      <c r="D604" s="67">
        <f>(Table134[[#This Row],[Index]]-B592)/B592</f>
        <v>0.13343642831629646</v>
      </c>
    </row>
    <row r="605" spans="1:4" x14ac:dyDescent="0.2">
      <c r="A605" s="17">
        <v>44501</v>
      </c>
      <c r="B605" s="59">
        <f>VLOOKUP(Table134[[#This Row],[Date]],database!A:I,8,)</f>
        <v>110.1619</v>
      </c>
      <c r="C605" s="67">
        <f t="shared" si="9"/>
        <v>3.3471652470435931E-3</v>
      </c>
      <c r="D605" s="67">
        <f>(Table134[[#This Row],[Index]]-B593)/B593</f>
        <v>9.9484899809469785E-2</v>
      </c>
    </row>
    <row r="606" spans="1:4" x14ac:dyDescent="0.2">
      <c r="A606" s="17">
        <v>44531</v>
      </c>
      <c r="B606" s="59">
        <f>VLOOKUP(Table134[[#This Row],[Date]],database!A:I,8,)</f>
        <v>110.31019999999999</v>
      </c>
      <c r="C606" s="67">
        <f t="shared" si="9"/>
        <v>1.3462004558744134E-3</v>
      </c>
      <c r="D606" s="67">
        <f>(Table134[[#This Row],[Index]]-B594)/B594</f>
        <v>9.5001181261030812E-2</v>
      </c>
    </row>
    <row r="607" spans="1:4" x14ac:dyDescent="0.2">
      <c r="A607" s="17">
        <v>44562</v>
      </c>
      <c r="B607" s="59">
        <f>VLOOKUP(Table134[[#This Row],[Date]],database!A:I,8,)</f>
        <v>109.11499999999999</v>
      </c>
      <c r="C607" s="67">
        <f t="shared" si="9"/>
        <v>-1.0834900127096092E-2</v>
      </c>
      <c r="D607" s="67">
        <f>(Table134[[#This Row],[Index]]-B595)/B595</f>
        <v>5.8700819870955198E-2</v>
      </c>
    </row>
    <row r="608" spans="1:4" x14ac:dyDescent="0.2">
      <c r="A608" s="17">
        <v>44593</v>
      </c>
      <c r="B608" s="59">
        <f>VLOOKUP(Table134[[#This Row],[Date]],database!A:I,8,)</f>
        <v>108.5333</v>
      </c>
      <c r="C608" s="67">
        <f t="shared" si="9"/>
        <v>-5.3310727214406217E-3</v>
      </c>
      <c r="D608" s="67">
        <f>(Table134[[#This Row],[Index]]-B596)/B596</f>
        <v>0.15651289942064231</v>
      </c>
    </row>
    <row r="609" spans="1:4" x14ac:dyDescent="0.2">
      <c r="A609" s="17">
        <v>44621</v>
      </c>
      <c r="B609" s="59">
        <f>VLOOKUP(Table134[[#This Row],[Date]],database!A:I,8,)</f>
        <v>111.91</v>
      </c>
      <c r="C609" s="67">
        <f t="shared" si="9"/>
        <v>3.1112110292417228E-2</v>
      </c>
      <c r="D609" s="67">
        <f>(Table134[[#This Row],[Index]]-B597)/B597</f>
        <v>7.0359059507219643E-2</v>
      </c>
    </row>
    <row r="610" spans="1:4" x14ac:dyDescent="0.2">
      <c r="A610" s="17">
        <v>44652</v>
      </c>
      <c r="B610" s="59">
        <f>VLOOKUP(Table134[[#This Row],[Date]],database!A:I,8,)</f>
        <v>112.01600000000001</v>
      </c>
      <c r="C610" s="67">
        <f t="shared" si="9"/>
        <v>9.4718970601381791E-4</v>
      </c>
      <c r="D610" s="67">
        <f>(Table134[[#This Row],[Index]]-B598)/B598</f>
        <v>6.614788214276536E-2</v>
      </c>
    </row>
    <row r="611" spans="1:4" x14ac:dyDescent="0.2">
      <c r="A611" s="17">
        <v>44682</v>
      </c>
      <c r="B611" s="59">
        <f>VLOOKUP(Table134[[#This Row],[Date]],database!A:I,8,)</f>
        <v>113.2068</v>
      </c>
      <c r="C611" s="67">
        <f t="shared" si="9"/>
        <v>1.0630624196543259E-2</v>
      </c>
      <c r="D611" s="67">
        <f>(Table134[[#This Row],[Index]]-B599)/B599</f>
        <v>6.3602822699979619E-2</v>
      </c>
    </row>
    <row r="612" spans="1:4" x14ac:dyDescent="0.2">
      <c r="A612" s="17">
        <v>44713</v>
      </c>
      <c r="B612" s="59">
        <f>VLOOKUP(Table134[[#This Row],[Date]],database!A:I,8,)</f>
        <v>115.4004</v>
      </c>
      <c r="C612" s="67">
        <f t="shared" si="9"/>
        <v>1.9376927887724049E-2</v>
      </c>
      <c r="D612" s="67">
        <f>(Table134[[#This Row],[Index]]-B600)/B600</f>
        <v>7.9641530316397577E-2</v>
      </c>
    </row>
    <row r="613" spans="1:4" x14ac:dyDescent="0.2">
      <c r="A613" s="17">
        <v>44743</v>
      </c>
      <c r="B613" s="59">
        <f>VLOOKUP(Table134[[#This Row],[Date]],database!A:I,8,)</f>
        <v>116.55029999999999</v>
      </c>
      <c r="C613" s="67">
        <f t="shared" si="9"/>
        <v>9.9644368650366744E-3</v>
      </c>
      <c r="D613" s="67">
        <f>(Table134[[#This Row],[Index]]-B601)/B601</f>
        <v>8.3104724945078118E-2</v>
      </c>
    </row>
    <row r="614" spans="1:4" x14ac:dyDescent="0.2">
      <c r="A614" s="17">
        <v>44774</v>
      </c>
      <c r="B614" s="59">
        <f>VLOOKUP(Table134[[#This Row],[Date]],database!A:I,8,)</f>
        <v>116.5504</v>
      </c>
      <c r="C614" s="67">
        <f t="shared" si="9"/>
        <v>8.5799864946167759E-7</v>
      </c>
      <c r="D614" s="67">
        <f>(Table134[[#This Row],[Index]]-B602)/B602</f>
        <v>8.363031179251644E-2</v>
      </c>
    </row>
  </sheetData>
  <conditionalFormatting sqref="D463:D614">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4"/>
  <sheetViews>
    <sheetView zoomScale="160" zoomScaleNormal="160" workbookViewId="0">
      <pane ySplit="6" topLeftCell="A595" activePane="bottomLeft" state="frozen"/>
      <selection activeCell="E1216" sqref="E1216"/>
      <selection pane="bottomLeft" activeCell="E1216" sqref="E121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6" width="9.1640625" style="75" customWidth="1"/>
    <col min="17" max="16384" width="9.1640625" style="75"/>
  </cols>
  <sheetData>
    <row r="1" spans="1:25" x14ac:dyDescent="0.2">
      <c r="A1" s="75" t="s">
        <v>25</v>
      </c>
      <c r="B1" s="75"/>
      <c r="C1" s="75"/>
      <c r="S1" s="20" t="s">
        <v>72</v>
      </c>
      <c r="T1" s="63" t="s">
        <v>64</v>
      </c>
      <c r="U1" s="75" t="str">
        <f>S1&amp;T1</f>
        <v>Industrial Production: Electric and gas utilities since 2010</v>
      </c>
      <c r="Y1" s="61" t="str">
        <f>U2&amp; T1</f>
        <v>Industrial Production: Electric and gas utilities yoy since 2010</v>
      </c>
    </row>
    <row r="2" spans="1:25" x14ac:dyDescent="0.2">
      <c r="A2" s="16"/>
      <c r="B2" s="75"/>
      <c r="C2" s="75"/>
      <c r="S2" s="56"/>
      <c r="T2" s="63"/>
      <c r="U2" s="75"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VLOOKUP(Table1345[[#This Row],[Date]],database!A:I,9,)</f>
        <v>44.073</v>
      </c>
      <c r="C7" s="67"/>
      <c r="D7" s="67"/>
    </row>
    <row r="8" spans="1:25" x14ac:dyDescent="0.2">
      <c r="A8" s="17">
        <v>26330</v>
      </c>
      <c r="B8" s="59">
        <f>VLOOKUP(Table1345[[#This Row],[Date]],database!A:I,9,)</f>
        <v>46.1374</v>
      </c>
      <c r="C8" s="67">
        <f t="shared" ref="C8:C71" si="0">B8/B7-1</f>
        <v>4.6840469221518743E-2</v>
      </c>
      <c r="D8" s="67"/>
    </row>
    <row r="9" spans="1:25" x14ac:dyDescent="0.2">
      <c r="A9" s="17">
        <v>26359</v>
      </c>
      <c r="B9" s="59">
        <f>VLOOKUP(Table1345[[#This Row],[Date]],database!A:I,9,)</f>
        <v>46.343699999999998</v>
      </c>
      <c r="C9" s="67">
        <f t="shared" si="0"/>
        <v>4.4714266516967527E-3</v>
      </c>
      <c r="D9" s="67"/>
    </row>
    <row r="10" spans="1:25" x14ac:dyDescent="0.2">
      <c r="A10" s="17">
        <v>26390</v>
      </c>
      <c r="B10" s="59">
        <f>VLOOKUP(Table1345[[#This Row],[Date]],database!A:I,9,)</f>
        <v>46.217700000000001</v>
      </c>
      <c r="C10" s="67">
        <f t="shared" si="0"/>
        <v>-2.7188161497678776E-3</v>
      </c>
      <c r="D10" s="67"/>
    </row>
    <row r="11" spans="1:25" x14ac:dyDescent="0.2">
      <c r="A11" s="17">
        <v>26420</v>
      </c>
      <c r="B11" s="59">
        <f>VLOOKUP(Table1345[[#This Row],[Date]],database!A:I,9,)</f>
        <v>45.641300000000001</v>
      </c>
      <c r="C11" s="67">
        <f t="shared" si="0"/>
        <v>-1.2471412467517817E-2</v>
      </c>
      <c r="D11" s="67"/>
    </row>
    <row r="12" spans="1:25" x14ac:dyDescent="0.2">
      <c r="A12" s="17">
        <v>26451</v>
      </c>
      <c r="B12" s="59">
        <f>VLOOKUP(Table1345[[#This Row],[Date]],database!A:I,9,)</f>
        <v>45.336399999999998</v>
      </c>
      <c r="C12" s="67">
        <f t="shared" si="0"/>
        <v>-6.6803531012482598E-3</v>
      </c>
      <c r="D12" s="67"/>
    </row>
    <row r="13" spans="1:25" x14ac:dyDescent="0.2">
      <c r="A13" s="17">
        <v>26481</v>
      </c>
      <c r="B13" s="59">
        <f>VLOOKUP(Table1345[[#This Row],[Date]],database!A:I,9,)</f>
        <v>44.8827</v>
      </c>
      <c r="C13" s="67">
        <f t="shared" si="0"/>
        <v>-1.0007411263355692E-2</v>
      </c>
      <c r="D13" s="67"/>
    </row>
    <row r="14" spans="1:25" x14ac:dyDescent="0.2">
      <c r="A14" s="17">
        <v>26512</v>
      </c>
      <c r="B14" s="59">
        <f>VLOOKUP(Table1345[[#This Row],[Date]],database!A:I,9,)</f>
        <v>45.825800000000001</v>
      </c>
      <c r="C14" s="67">
        <f t="shared" si="0"/>
        <v>2.1012550492728765E-2</v>
      </c>
      <c r="D14" s="67"/>
    </row>
    <row r="15" spans="1:25" x14ac:dyDescent="0.2">
      <c r="A15" s="17">
        <v>26543</v>
      </c>
      <c r="B15" s="59">
        <f>VLOOKUP(Table1345[[#This Row],[Date]],database!A:I,9,)</f>
        <v>46.374200000000002</v>
      </c>
      <c r="C15" s="67">
        <f t="shared" si="0"/>
        <v>1.1967057858237151E-2</v>
      </c>
      <c r="D15" s="67"/>
    </row>
    <row r="16" spans="1:25" x14ac:dyDescent="0.2">
      <c r="A16" s="17">
        <v>26573</v>
      </c>
      <c r="B16" s="59">
        <f>VLOOKUP(Table1345[[#This Row],[Date]],database!A:I,9,)</f>
        <v>46.891800000000003</v>
      </c>
      <c r="C16" s="67">
        <f t="shared" si="0"/>
        <v>1.1161378525128329E-2</v>
      </c>
      <c r="D16" s="67"/>
    </row>
    <row r="17" spans="1:4" x14ac:dyDescent="0.2">
      <c r="A17" s="17">
        <v>26604</v>
      </c>
      <c r="B17" s="59">
        <f>VLOOKUP(Table1345[[#This Row],[Date]],database!A:I,9,)</f>
        <v>47.628500000000003</v>
      </c>
      <c r="C17" s="67">
        <f t="shared" si="0"/>
        <v>1.5710635974733211E-2</v>
      </c>
      <c r="D17" s="67"/>
    </row>
    <row r="18" spans="1:4" x14ac:dyDescent="0.2">
      <c r="A18" s="17">
        <v>26634</v>
      </c>
      <c r="B18" s="59">
        <f>VLOOKUP(Table1345[[#This Row],[Date]],database!A:I,9,)</f>
        <v>47.658900000000003</v>
      </c>
      <c r="C18" s="67">
        <f t="shared" si="0"/>
        <v>6.3827330274945915E-4</v>
      </c>
      <c r="D18" s="67"/>
    </row>
    <row r="19" spans="1:4" x14ac:dyDescent="0.2">
      <c r="A19" s="17">
        <v>26665</v>
      </c>
      <c r="B19" s="59">
        <f>VLOOKUP(Table1345[[#This Row],[Date]],database!A:I,9,)</f>
        <v>48.036499999999997</v>
      </c>
      <c r="C19" s="67">
        <f t="shared" si="0"/>
        <v>7.9229692670204077E-3</v>
      </c>
      <c r="D19" s="67"/>
    </row>
    <row r="20" spans="1:4" x14ac:dyDescent="0.2">
      <c r="A20" s="17">
        <v>26696</v>
      </c>
      <c r="B20" s="59">
        <f>VLOOKUP(Table1345[[#This Row],[Date]],database!A:I,9,)</f>
        <v>48.4178</v>
      </c>
      <c r="C20" s="67">
        <f t="shared" si="0"/>
        <v>7.9377140299563553E-3</v>
      </c>
      <c r="D20" s="67">
        <f>(Table1345[[#This Row],[Index]]-B8)/B8</f>
        <v>4.9426278897380438E-2</v>
      </c>
    </row>
    <row r="21" spans="1:4" x14ac:dyDescent="0.2">
      <c r="A21" s="17">
        <v>26724</v>
      </c>
      <c r="B21" s="59">
        <f>VLOOKUP(Table1345[[#This Row],[Date]],database!A:I,9,)</f>
        <v>48.093200000000003</v>
      </c>
      <c r="C21" s="67">
        <f t="shared" si="0"/>
        <v>-6.7041459958939731E-3</v>
      </c>
      <c r="D21" s="67">
        <f>(Table1345[[#This Row],[Index]]-B9)/B9</f>
        <v>3.7750546460468298E-2</v>
      </c>
    </row>
    <row r="22" spans="1:4" x14ac:dyDescent="0.2">
      <c r="A22" s="17">
        <v>26755</v>
      </c>
      <c r="B22" s="59">
        <f>VLOOKUP(Table1345[[#This Row],[Date]],database!A:I,9,)</f>
        <v>48.243499999999997</v>
      </c>
      <c r="C22" s="67">
        <f t="shared" si="0"/>
        <v>3.1251819384028323E-3</v>
      </c>
      <c r="D22" s="67">
        <f>(Table1345[[#This Row],[Index]]-B10)/B10</f>
        <v>4.3831692187192281E-2</v>
      </c>
    </row>
    <row r="23" spans="1:4" x14ac:dyDescent="0.2">
      <c r="A23" s="17">
        <v>26785</v>
      </c>
      <c r="B23" s="59">
        <f>VLOOKUP(Table1345[[#This Row],[Date]],database!A:I,9,)</f>
        <v>48.770299999999999</v>
      </c>
      <c r="C23" s="67">
        <f t="shared" si="0"/>
        <v>1.0919605749997396E-2</v>
      </c>
      <c r="D23" s="67">
        <f>(Table1345[[#This Row],[Index]]-B11)/B11</f>
        <v>6.8556329464761034E-2</v>
      </c>
    </row>
    <row r="24" spans="1:4" x14ac:dyDescent="0.2">
      <c r="A24" s="17">
        <v>26816</v>
      </c>
      <c r="B24" s="59">
        <f>VLOOKUP(Table1345[[#This Row],[Date]],database!A:I,9,)</f>
        <v>49.379399999999997</v>
      </c>
      <c r="C24" s="67">
        <f t="shared" si="0"/>
        <v>1.2489158360723618E-2</v>
      </c>
      <c r="D24" s="67">
        <f>(Table1345[[#This Row],[Index]]-B12)/B12</f>
        <v>8.9177790914144031E-2</v>
      </c>
    </row>
    <row r="25" spans="1:4" x14ac:dyDescent="0.2">
      <c r="A25" s="17">
        <v>26846</v>
      </c>
      <c r="B25" s="59">
        <f>VLOOKUP(Table1345[[#This Row],[Date]],database!A:I,9,)</f>
        <v>48.813899999999997</v>
      </c>
      <c r="C25" s="67">
        <f t="shared" si="0"/>
        <v>-1.1452144011470322E-2</v>
      </c>
      <c r="D25" s="67">
        <f>(Table1345[[#This Row],[Index]]-B13)/B13</f>
        <v>8.7588313537287132E-2</v>
      </c>
    </row>
    <row r="26" spans="1:4" x14ac:dyDescent="0.2">
      <c r="A26" s="17">
        <v>26877</v>
      </c>
      <c r="B26" s="59">
        <f>VLOOKUP(Table1345[[#This Row],[Date]],database!A:I,9,)</f>
        <v>49.259500000000003</v>
      </c>
      <c r="C26" s="67">
        <f t="shared" si="0"/>
        <v>9.1285474014575207E-3</v>
      </c>
      <c r="D26" s="67">
        <f>(Table1345[[#This Row],[Index]]-B14)/B14</f>
        <v>7.492940657882681E-2</v>
      </c>
    </row>
    <row r="27" spans="1:4" x14ac:dyDescent="0.2">
      <c r="A27" s="17">
        <v>26908</v>
      </c>
      <c r="B27" s="59">
        <f>VLOOKUP(Table1345[[#This Row],[Date]],database!A:I,9,)</f>
        <v>50.565399999999997</v>
      </c>
      <c r="C27" s="67">
        <f t="shared" si="0"/>
        <v>2.6510622316507249E-2</v>
      </c>
      <c r="D27" s="67">
        <f>(Table1345[[#This Row],[Index]]-B15)/B15</f>
        <v>9.0377839402081217E-2</v>
      </c>
    </row>
    <row r="28" spans="1:4" x14ac:dyDescent="0.2">
      <c r="A28" s="17">
        <v>26938</v>
      </c>
      <c r="B28" s="59">
        <f>VLOOKUP(Table1345[[#This Row],[Date]],database!A:I,9,)</f>
        <v>50.249299999999998</v>
      </c>
      <c r="C28" s="67">
        <f t="shared" si="0"/>
        <v>-6.2513101844343666E-3</v>
      </c>
      <c r="D28" s="67">
        <f>(Table1345[[#This Row],[Index]]-B16)/B16</f>
        <v>7.1601004866522391E-2</v>
      </c>
    </row>
    <row r="29" spans="1:4" x14ac:dyDescent="0.2">
      <c r="A29" s="17">
        <v>26969</v>
      </c>
      <c r="B29" s="59">
        <f>VLOOKUP(Table1345[[#This Row],[Date]],database!A:I,9,)</f>
        <v>49.472700000000003</v>
      </c>
      <c r="C29" s="67">
        <f t="shared" si="0"/>
        <v>-1.5454941660878796E-2</v>
      </c>
      <c r="D29" s="67">
        <f>(Table1345[[#This Row],[Index]]-B17)/B17</f>
        <v>3.8720513977975386E-2</v>
      </c>
    </row>
    <row r="30" spans="1:4" x14ac:dyDescent="0.2">
      <c r="A30" s="17">
        <v>26999</v>
      </c>
      <c r="B30" s="59">
        <f>VLOOKUP(Table1345[[#This Row],[Date]],database!A:I,9,)</f>
        <v>46.688800000000001</v>
      </c>
      <c r="C30" s="67">
        <f t="shared" si="0"/>
        <v>-5.6271438591384837E-2</v>
      </c>
      <c r="D30" s="67">
        <f>(Table1345[[#This Row],[Index]]-B18)/B18</f>
        <v>-2.0355064846230234E-2</v>
      </c>
    </row>
    <row r="31" spans="1:4" x14ac:dyDescent="0.2">
      <c r="A31" s="17">
        <v>27030</v>
      </c>
      <c r="B31" s="59">
        <f>VLOOKUP(Table1345[[#This Row],[Date]],database!A:I,9,)</f>
        <v>46.861499999999999</v>
      </c>
      <c r="C31" s="67">
        <f t="shared" si="0"/>
        <v>3.69895992186553E-3</v>
      </c>
      <c r="D31" s="67">
        <f>(Table1345[[#This Row],[Index]]-B19)/B19</f>
        <v>-2.4460566444266283E-2</v>
      </c>
    </row>
    <row r="32" spans="1:4" x14ac:dyDescent="0.2">
      <c r="A32" s="17">
        <v>27061</v>
      </c>
      <c r="B32" s="59">
        <f>VLOOKUP(Table1345[[#This Row],[Date]],database!A:I,9,)</f>
        <v>47.063899999999997</v>
      </c>
      <c r="C32" s="67">
        <f t="shared" si="0"/>
        <v>4.3191105705109312E-3</v>
      </c>
      <c r="D32" s="67">
        <f>(Table1345[[#This Row],[Index]]-B20)/B20</f>
        <v>-2.7962856635369699E-2</v>
      </c>
    </row>
    <row r="33" spans="1:4" x14ac:dyDescent="0.2">
      <c r="A33" s="17">
        <v>27089</v>
      </c>
      <c r="B33" s="59">
        <f>VLOOKUP(Table1345[[#This Row],[Date]],database!A:I,9,)</f>
        <v>48.070700000000002</v>
      </c>
      <c r="C33" s="67">
        <f t="shared" si="0"/>
        <v>2.1392192317253977E-2</v>
      </c>
      <c r="D33" s="67">
        <f>(Table1345[[#This Row],[Index]]-B21)/B21</f>
        <v>-4.6784160754536713E-4</v>
      </c>
    </row>
    <row r="34" spans="1:4" x14ac:dyDescent="0.2">
      <c r="A34" s="17">
        <v>27120</v>
      </c>
      <c r="B34" s="59">
        <f>VLOOKUP(Table1345[[#This Row],[Date]],database!A:I,9,)</f>
        <v>48.641100000000002</v>
      </c>
      <c r="C34" s="67">
        <f t="shared" si="0"/>
        <v>1.1865855916389778E-2</v>
      </c>
      <c r="D34" s="67">
        <f>(Table1345[[#This Row],[Index]]-B22)/B22</f>
        <v>8.2415247649943353E-3</v>
      </c>
    </row>
    <row r="35" spans="1:4" x14ac:dyDescent="0.2">
      <c r="A35" s="17">
        <v>27150</v>
      </c>
      <c r="B35" s="59">
        <f>VLOOKUP(Table1345[[#This Row],[Date]],database!A:I,9,)</f>
        <v>49.253700000000002</v>
      </c>
      <c r="C35" s="67">
        <f t="shared" si="0"/>
        <v>1.2594287546951133E-2</v>
      </c>
      <c r="D35" s="67">
        <f>(Table1345[[#This Row],[Index]]-B23)/B23</f>
        <v>9.9117700731798479E-3</v>
      </c>
    </row>
    <row r="36" spans="1:4" x14ac:dyDescent="0.2">
      <c r="A36" s="17">
        <v>27181</v>
      </c>
      <c r="B36" s="59">
        <f>VLOOKUP(Table1345[[#This Row],[Date]],database!A:I,9,)</f>
        <v>48.782400000000003</v>
      </c>
      <c r="C36" s="67">
        <f t="shared" si="0"/>
        <v>-9.5688242710699756E-3</v>
      </c>
      <c r="D36" s="67">
        <f>(Table1345[[#This Row],[Index]]-B24)/B24</f>
        <v>-1.2090061847652954E-2</v>
      </c>
    </row>
    <row r="37" spans="1:4" x14ac:dyDescent="0.2">
      <c r="A37" s="17">
        <v>27211</v>
      </c>
      <c r="B37" s="59">
        <f>VLOOKUP(Table1345[[#This Row],[Date]],database!A:I,9,)</f>
        <v>49.849200000000003</v>
      </c>
      <c r="C37" s="67">
        <f t="shared" si="0"/>
        <v>2.1868542753123998E-2</v>
      </c>
      <c r="D37" s="67">
        <f>(Table1345[[#This Row],[Index]]-B25)/B25</f>
        <v>2.1209122811330514E-2</v>
      </c>
    </row>
    <row r="38" spans="1:4" x14ac:dyDescent="0.2">
      <c r="A38" s="17">
        <v>27242</v>
      </c>
      <c r="B38" s="59">
        <f>VLOOKUP(Table1345[[#This Row],[Date]],database!A:I,9,)</f>
        <v>49.419699999999999</v>
      </c>
      <c r="C38" s="67">
        <f t="shared" si="0"/>
        <v>-8.6159858132127676E-3</v>
      </c>
      <c r="D38" s="67">
        <f>(Table1345[[#This Row],[Index]]-B26)/B26</f>
        <v>3.2521645570904316E-3</v>
      </c>
    </row>
    <row r="39" spans="1:4" x14ac:dyDescent="0.2">
      <c r="A39" s="17">
        <v>27273</v>
      </c>
      <c r="B39" s="59">
        <f>VLOOKUP(Table1345[[#This Row],[Date]],database!A:I,9,)</f>
        <v>48.765700000000002</v>
      </c>
      <c r="C39" s="67">
        <f t="shared" si="0"/>
        <v>-1.323358903433236E-2</v>
      </c>
      <c r="D39" s="67">
        <f>(Table1345[[#This Row],[Index]]-B27)/B27</f>
        <v>-3.5591530967815824E-2</v>
      </c>
    </row>
    <row r="40" spans="1:4" x14ac:dyDescent="0.2">
      <c r="A40" s="17">
        <v>27303</v>
      </c>
      <c r="B40" s="59">
        <f>VLOOKUP(Table1345[[#This Row],[Date]],database!A:I,9,)</f>
        <v>50.011099999999999</v>
      </c>
      <c r="C40" s="67">
        <f t="shared" si="0"/>
        <v>2.5538441978685711E-2</v>
      </c>
      <c r="D40" s="67">
        <f>(Table1345[[#This Row],[Index]]-B28)/B28</f>
        <v>-4.7403645423916172E-3</v>
      </c>
    </row>
    <row r="41" spans="1:4" x14ac:dyDescent="0.2">
      <c r="A41" s="17">
        <v>27334</v>
      </c>
      <c r="B41" s="59">
        <f>VLOOKUP(Table1345[[#This Row],[Date]],database!A:I,9,)</f>
        <v>48.959099999999999</v>
      </c>
      <c r="C41" s="67">
        <f t="shared" si="0"/>
        <v>-2.1035330156705223E-2</v>
      </c>
      <c r="D41" s="67">
        <f>(Table1345[[#This Row],[Index]]-B29)/B29</f>
        <v>-1.038148312099408E-2</v>
      </c>
    </row>
    <row r="42" spans="1:4" x14ac:dyDescent="0.2">
      <c r="A42" s="17">
        <v>27364</v>
      </c>
      <c r="B42" s="59">
        <f>VLOOKUP(Table1345[[#This Row],[Date]],database!A:I,9,)</f>
        <v>48.990099999999998</v>
      </c>
      <c r="C42" s="67">
        <f t="shared" si="0"/>
        <v>6.3318157400771291E-4</v>
      </c>
      <c r="D42" s="67">
        <f>(Table1345[[#This Row],[Index]]-B30)/B30</f>
        <v>4.9290193793800605E-2</v>
      </c>
    </row>
    <row r="43" spans="1:4" x14ac:dyDescent="0.2">
      <c r="A43" s="17">
        <v>27395</v>
      </c>
      <c r="B43" s="59">
        <f>VLOOKUP(Table1345[[#This Row],[Date]],database!A:I,9,)</f>
        <v>48.042900000000003</v>
      </c>
      <c r="C43" s="67">
        <f t="shared" si="0"/>
        <v>-1.933451860682045E-2</v>
      </c>
      <c r="D43" s="67">
        <f>(Table1345[[#This Row],[Index]]-B31)/B31</f>
        <v>2.521046061265652E-2</v>
      </c>
    </row>
    <row r="44" spans="1:4" x14ac:dyDescent="0.2">
      <c r="A44" s="17">
        <v>27426</v>
      </c>
      <c r="B44" s="59">
        <f>VLOOKUP(Table1345[[#This Row],[Date]],database!A:I,9,)</f>
        <v>48.760100000000001</v>
      </c>
      <c r="C44" s="67">
        <f t="shared" si="0"/>
        <v>1.4928324476665589E-2</v>
      </c>
      <c r="D44" s="67">
        <f>(Table1345[[#This Row],[Index]]-B32)/B32</f>
        <v>3.6040362145933605E-2</v>
      </c>
    </row>
    <row r="45" spans="1:4" x14ac:dyDescent="0.2">
      <c r="A45" s="17">
        <v>27454</v>
      </c>
      <c r="B45" s="59">
        <f>VLOOKUP(Table1345[[#This Row],[Date]],database!A:I,9,)</f>
        <v>49.904499999999999</v>
      </c>
      <c r="C45" s="67">
        <f t="shared" si="0"/>
        <v>2.3470009290382787E-2</v>
      </c>
      <c r="D45" s="67">
        <f>(Table1345[[#This Row],[Index]]-B33)/B33</f>
        <v>3.8147977874255973E-2</v>
      </c>
    </row>
    <row r="46" spans="1:4" x14ac:dyDescent="0.2">
      <c r="A46" s="17">
        <v>27485</v>
      </c>
      <c r="B46" s="59">
        <f>VLOOKUP(Table1345[[#This Row],[Date]],database!A:I,9,)</f>
        <v>51.200400000000002</v>
      </c>
      <c r="C46" s="67">
        <f t="shared" si="0"/>
        <v>2.5967598112394796E-2</v>
      </c>
      <c r="D46" s="67">
        <f>(Table1345[[#This Row],[Index]]-B34)/B34</f>
        <v>5.2615997582291525E-2</v>
      </c>
    </row>
    <row r="47" spans="1:4" x14ac:dyDescent="0.2">
      <c r="A47" s="17">
        <v>27515</v>
      </c>
      <c r="B47" s="59">
        <f>VLOOKUP(Table1345[[#This Row],[Date]],database!A:I,9,)</f>
        <v>50.315600000000003</v>
      </c>
      <c r="C47" s="67">
        <f t="shared" si="0"/>
        <v>-1.7281114991289148E-2</v>
      </c>
      <c r="D47" s="67">
        <f>(Table1345[[#This Row],[Index]]-B35)/B35</f>
        <v>2.1559801598661651E-2</v>
      </c>
    </row>
    <row r="48" spans="1:4" x14ac:dyDescent="0.2">
      <c r="A48" s="17">
        <v>27546</v>
      </c>
      <c r="B48" s="59">
        <f>VLOOKUP(Table1345[[#This Row],[Date]],database!A:I,9,)</f>
        <v>49.137300000000003</v>
      </c>
      <c r="C48" s="67">
        <f t="shared" si="0"/>
        <v>-2.3418184419941368E-2</v>
      </c>
      <c r="D48" s="67">
        <f>(Table1345[[#This Row],[Index]]-B36)/B36</f>
        <v>7.2751648135393225E-3</v>
      </c>
    </row>
    <row r="49" spans="1:4" x14ac:dyDescent="0.2">
      <c r="A49" s="17">
        <v>27576</v>
      </c>
      <c r="B49" s="59">
        <f>VLOOKUP(Table1345[[#This Row],[Date]],database!A:I,9,)</f>
        <v>49.845799999999997</v>
      </c>
      <c r="C49" s="67">
        <f t="shared" si="0"/>
        <v>1.4418781658739777E-2</v>
      </c>
      <c r="D49" s="67">
        <f>(Table1345[[#This Row],[Index]]-B37)/B37</f>
        <v>-6.8205708416710535E-5</v>
      </c>
    </row>
    <row r="50" spans="1:4" x14ac:dyDescent="0.2">
      <c r="A50" s="17">
        <v>27607</v>
      </c>
      <c r="B50" s="59">
        <f>VLOOKUP(Table1345[[#This Row],[Date]],database!A:I,9,)</f>
        <v>50.3093</v>
      </c>
      <c r="C50" s="67">
        <f t="shared" si="0"/>
        <v>9.2986771202387963E-3</v>
      </c>
      <c r="D50" s="67">
        <f>(Table1345[[#This Row],[Index]]-B38)/B38</f>
        <v>1.8000918661991099E-2</v>
      </c>
    </row>
    <row r="51" spans="1:4" x14ac:dyDescent="0.2">
      <c r="A51" s="17">
        <v>27638</v>
      </c>
      <c r="B51" s="59">
        <f>VLOOKUP(Table1345[[#This Row],[Date]],database!A:I,9,)</f>
        <v>50.081200000000003</v>
      </c>
      <c r="C51" s="67">
        <f t="shared" si="0"/>
        <v>-4.5339529669464751E-3</v>
      </c>
      <c r="D51" s="67">
        <f>(Table1345[[#This Row],[Index]]-B39)/B39</f>
        <v>2.6975927752498172E-2</v>
      </c>
    </row>
    <row r="52" spans="1:4" x14ac:dyDescent="0.2">
      <c r="A52" s="17">
        <v>27668</v>
      </c>
      <c r="B52" s="59">
        <f>VLOOKUP(Table1345[[#This Row],[Date]],database!A:I,9,)</f>
        <v>49.949199999999998</v>
      </c>
      <c r="C52" s="67">
        <f t="shared" si="0"/>
        <v>-2.6357195913836451E-3</v>
      </c>
      <c r="D52" s="67">
        <f>(Table1345[[#This Row],[Index]]-B40)/B40</f>
        <v>-1.2377252250000779E-3</v>
      </c>
    </row>
    <row r="53" spans="1:4" x14ac:dyDescent="0.2">
      <c r="A53" s="17">
        <v>27699</v>
      </c>
      <c r="B53" s="59">
        <f>VLOOKUP(Table1345[[#This Row],[Date]],database!A:I,9,)</f>
        <v>49.371899999999997</v>
      </c>
      <c r="C53" s="67">
        <f t="shared" si="0"/>
        <v>-1.1557742666549187E-2</v>
      </c>
      <c r="D53" s="67">
        <f>(Table1345[[#This Row],[Index]]-B41)/B41</f>
        <v>8.4315275403346306E-3</v>
      </c>
    </row>
    <row r="54" spans="1:4" x14ac:dyDescent="0.2">
      <c r="A54" s="17">
        <v>27729</v>
      </c>
      <c r="B54" s="59">
        <f>VLOOKUP(Table1345[[#This Row],[Date]],database!A:I,9,)</f>
        <v>50.247</v>
      </c>
      <c r="C54" s="67">
        <f t="shared" si="0"/>
        <v>1.7724657143030731E-2</v>
      </c>
      <c r="D54" s="67">
        <f>(Table1345[[#This Row],[Index]]-B42)/B42</f>
        <v>2.5656204008565033E-2</v>
      </c>
    </row>
    <row r="55" spans="1:4" x14ac:dyDescent="0.2">
      <c r="A55" s="17">
        <v>27760</v>
      </c>
      <c r="B55" s="59">
        <f>VLOOKUP(Table1345[[#This Row],[Date]],database!A:I,9,)</f>
        <v>51.426099999999998</v>
      </c>
      <c r="C55" s="67">
        <f t="shared" si="0"/>
        <v>2.3466077576770772E-2</v>
      </c>
      <c r="D55" s="67">
        <f>(Table1345[[#This Row],[Index]]-B43)/B43</f>
        <v>7.042039510520795E-2</v>
      </c>
    </row>
    <row r="56" spans="1:4" x14ac:dyDescent="0.2">
      <c r="A56" s="17">
        <v>27791</v>
      </c>
      <c r="B56" s="59">
        <f>VLOOKUP(Table1345[[#This Row],[Date]],database!A:I,9,)</f>
        <v>50.377699999999997</v>
      </c>
      <c r="C56" s="67">
        <f t="shared" si="0"/>
        <v>-2.0386535241832426E-2</v>
      </c>
      <c r="D56" s="67">
        <f>(Table1345[[#This Row],[Index]]-B44)/B44</f>
        <v>3.3174665351383525E-2</v>
      </c>
    </row>
    <row r="57" spans="1:4" x14ac:dyDescent="0.2">
      <c r="A57" s="17">
        <v>27820</v>
      </c>
      <c r="B57" s="59">
        <f>VLOOKUP(Table1345[[#This Row],[Date]],database!A:I,9,)</f>
        <v>50.729900000000001</v>
      </c>
      <c r="C57" s="67">
        <f t="shared" si="0"/>
        <v>6.9911885616056324E-3</v>
      </c>
      <c r="D57" s="67">
        <f>(Table1345[[#This Row],[Index]]-B45)/B45</f>
        <v>1.6539590618080573E-2</v>
      </c>
    </row>
    <row r="58" spans="1:4" x14ac:dyDescent="0.2">
      <c r="A58" s="17">
        <v>27851</v>
      </c>
      <c r="B58" s="59">
        <f>VLOOKUP(Table1345[[#This Row],[Date]],database!A:I,9,)</f>
        <v>51.109200000000001</v>
      </c>
      <c r="C58" s="67">
        <f t="shared" si="0"/>
        <v>7.4768529013462537E-3</v>
      </c>
      <c r="D58" s="67">
        <f>(Table1345[[#This Row],[Index]]-B46)/B46</f>
        <v>-1.7812360840931049E-3</v>
      </c>
    </row>
    <row r="59" spans="1:4" x14ac:dyDescent="0.2">
      <c r="A59" s="17">
        <v>27881</v>
      </c>
      <c r="B59" s="59">
        <f>VLOOKUP(Table1345[[#This Row],[Date]],database!A:I,9,)</f>
        <v>50.965400000000002</v>
      </c>
      <c r="C59" s="67">
        <f t="shared" si="0"/>
        <v>-2.8135834644251734E-3</v>
      </c>
      <c r="D59" s="67">
        <f>(Table1345[[#This Row],[Index]]-B47)/B47</f>
        <v>1.2914483778390778E-2</v>
      </c>
    </row>
    <row r="60" spans="1:4" x14ac:dyDescent="0.2">
      <c r="A60" s="17">
        <v>27912</v>
      </c>
      <c r="B60" s="59">
        <f>VLOOKUP(Table1345[[#This Row],[Date]],database!A:I,9,)</f>
        <v>51.417499999999997</v>
      </c>
      <c r="C60" s="67">
        <f t="shared" si="0"/>
        <v>8.8707240598522308E-3</v>
      </c>
      <c r="D60" s="67">
        <f>(Table1345[[#This Row],[Index]]-B48)/B48</f>
        <v>4.6404666109045339E-2</v>
      </c>
    </row>
    <row r="61" spans="1:4" x14ac:dyDescent="0.2">
      <c r="A61" s="17">
        <v>27942</v>
      </c>
      <c r="B61" s="59">
        <f>VLOOKUP(Table1345[[#This Row],[Date]],database!A:I,9,)</f>
        <v>51.618899999999996</v>
      </c>
      <c r="C61" s="67">
        <f t="shared" si="0"/>
        <v>3.9169543443380306E-3</v>
      </c>
      <c r="D61" s="67">
        <f>(Table1345[[#This Row],[Index]]-B49)/B49</f>
        <v>3.5571703132460497E-2</v>
      </c>
    </row>
    <row r="62" spans="1:4" x14ac:dyDescent="0.2">
      <c r="A62" s="17">
        <v>27973</v>
      </c>
      <c r="B62" s="59">
        <f>VLOOKUP(Table1345[[#This Row],[Date]],database!A:I,9,)</f>
        <v>51.815100000000001</v>
      </c>
      <c r="C62" s="67">
        <f t="shared" si="0"/>
        <v>3.8009333790531841E-3</v>
      </c>
      <c r="D62" s="67">
        <f>(Table1345[[#This Row],[Index]]-B50)/B50</f>
        <v>2.9930847775659783E-2</v>
      </c>
    </row>
    <row r="63" spans="1:4" x14ac:dyDescent="0.2">
      <c r="A63" s="17">
        <v>28004</v>
      </c>
      <c r="B63" s="59">
        <f>VLOOKUP(Table1345[[#This Row],[Date]],database!A:I,9,)</f>
        <v>52.241799999999998</v>
      </c>
      <c r="C63" s="67">
        <f t="shared" si="0"/>
        <v>8.2350511723416897E-3</v>
      </c>
      <c r="D63" s="67">
        <f>(Table1345[[#This Row],[Index]]-B51)/B51</f>
        <v>4.3141937493510439E-2</v>
      </c>
    </row>
    <row r="64" spans="1:4" x14ac:dyDescent="0.2">
      <c r="A64" s="17">
        <v>28034</v>
      </c>
      <c r="B64" s="59">
        <f>VLOOKUP(Table1345[[#This Row],[Date]],database!A:I,9,)</f>
        <v>52.782299999999999</v>
      </c>
      <c r="C64" s="67">
        <f t="shared" si="0"/>
        <v>1.0346121305161882E-2</v>
      </c>
      <c r="D64" s="67">
        <f>(Table1345[[#This Row],[Index]]-B52)/B52</f>
        <v>5.6719627141175469E-2</v>
      </c>
    </row>
    <row r="65" spans="1:4" x14ac:dyDescent="0.2">
      <c r="A65" s="17">
        <v>28065</v>
      </c>
      <c r="B65" s="59">
        <f>VLOOKUP(Table1345[[#This Row],[Date]],database!A:I,9,)</f>
        <v>55.2</v>
      </c>
      <c r="C65" s="67">
        <f t="shared" si="0"/>
        <v>4.5805127855360617E-2</v>
      </c>
      <c r="D65" s="67">
        <f>(Table1345[[#This Row],[Index]]-B53)/B53</f>
        <v>0.1180448797797939</v>
      </c>
    </row>
    <row r="66" spans="1:4" x14ac:dyDescent="0.2">
      <c r="A66" s="17">
        <v>28095</v>
      </c>
      <c r="B66" s="59">
        <f>VLOOKUP(Table1345[[#This Row],[Date]],database!A:I,9,)</f>
        <v>55.641100000000002</v>
      </c>
      <c r="C66" s="67">
        <f t="shared" si="0"/>
        <v>7.990942028985426E-3</v>
      </c>
      <c r="D66" s="67">
        <f>(Table1345[[#This Row],[Index]]-B54)/B54</f>
        <v>0.10735168268752367</v>
      </c>
    </row>
    <row r="67" spans="1:4" x14ac:dyDescent="0.2">
      <c r="A67" s="17">
        <v>28126</v>
      </c>
      <c r="B67" s="59">
        <f>VLOOKUP(Table1345[[#This Row],[Date]],database!A:I,9,)</f>
        <v>55.193600000000004</v>
      </c>
      <c r="C67" s="67">
        <f t="shared" si="0"/>
        <v>-8.0426159799140695E-3</v>
      </c>
      <c r="D67" s="67">
        <f>(Table1345[[#This Row],[Index]]-B55)/B55</f>
        <v>7.326046501679119E-2</v>
      </c>
    </row>
    <row r="68" spans="1:4" x14ac:dyDescent="0.2">
      <c r="A68" s="17">
        <v>28157</v>
      </c>
      <c r="B68" s="59">
        <f>VLOOKUP(Table1345[[#This Row],[Date]],database!A:I,9,)</f>
        <v>53.379300000000001</v>
      </c>
      <c r="C68" s="67">
        <f t="shared" si="0"/>
        <v>-3.2871564819109467E-2</v>
      </c>
      <c r="D68" s="67">
        <f>(Table1345[[#This Row],[Index]]-B56)/B56</f>
        <v>5.9581918189992866E-2</v>
      </c>
    </row>
    <row r="69" spans="1:4" x14ac:dyDescent="0.2">
      <c r="A69" s="17">
        <v>28185</v>
      </c>
      <c r="B69" s="59">
        <f>VLOOKUP(Table1345[[#This Row],[Date]],database!A:I,9,)</f>
        <v>52.567599999999999</v>
      </c>
      <c r="C69" s="67">
        <f t="shared" si="0"/>
        <v>-1.5206269096822211E-2</v>
      </c>
      <c r="D69" s="67">
        <f>(Table1345[[#This Row],[Index]]-B57)/B57</f>
        <v>3.6225184752976015E-2</v>
      </c>
    </row>
    <row r="70" spans="1:4" x14ac:dyDescent="0.2">
      <c r="A70" s="17">
        <v>28216</v>
      </c>
      <c r="B70" s="59">
        <f>VLOOKUP(Table1345[[#This Row],[Date]],database!A:I,9,)</f>
        <v>53.251899999999999</v>
      </c>
      <c r="C70" s="67">
        <f t="shared" si="0"/>
        <v>1.3017524102298728E-2</v>
      </c>
      <c r="D70" s="67">
        <f>(Table1345[[#This Row],[Index]]-B58)/B58</f>
        <v>4.1923958895854326E-2</v>
      </c>
    </row>
    <row r="71" spans="1:4" x14ac:dyDescent="0.2">
      <c r="A71" s="17">
        <v>28246</v>
      </c>
      <c r="B71" s="59">
        <f>VLOOKUP(Table1345[[#This Row],[Date]],database!A:I,9,)</f>
        <v>54.098599999999998</v>
      </c>
      <c r="C71" s="67">
        <f t="shared" si="0"/>
        <v>1.5899902163115209E-2</v>
      </c>
      <c r="D71" s="67">
        <f>(Table1345[[#This Row],[Index]]-B59)/B59</f>
        <v>6.1477002044524227E-2</v>
      </c>
    </row>
    <row r="72" spans="1:4" x14ac:dyDescent="0.2">
      <c r="A72" s="17">
        <v>28277</v>
      </c>
      <c r="B72" s="59">
        <f>VLOOKUP(Table1345[[#This Row],[Date]],database!A:I,9,)</f>
        <v>54.817300000000003</v>
      </c>
      <c r="C72" s="67">
        <f t="shared" ref="C72:C135" si="1">B72/B71-1</f>
        <v>1.3285001829991927E-2</v>
      </c>
      <c r="D72" s="67">
        <f>(Table1345[[#This Row],[Index]]-B60)/B60</f>
        <v>6.6121456702484691E-2</v>
      </c>
    </row>
    <row r="73" spans="1:4" x14ac:dyDescent="0.2">
      <c r="A73" s="17">
        <v>28307</v>
      </c>
      <c r="B73" s="59">
        <f>VLOOKUP(Table1345[[#This Row],[Date]],database!A:I,9,)</f>
        <v>55.476300000000002</v>
      </c>
      <c r="C73" s="67">
        <f t="shared" si="1"/>
        <v>1.2021752257042939E-2</v>
      </c>
      <c r="D73" s="67">
        <f>(Table1345[[#This Row],[Index]]-B61)/B61</f>
        <v>7.4728442489088415E-2</v>
      </c>
    </row>
    <row r="74" spans="1:4" x14ac:dyDescent="0.2">
      <c r="A74" s="17">
        <v>28338</v>
      </c>
      <c r="B74" s="59">
        <f>VLOOKUP(Table1345[[#This Row],[Date]],database!A:I,9,)</f>
        <v>54.567799999999998</v>
      </c>
      <c r="C74" s="67">
        <f t="shared" si="1"/>
        <v>-1.6376362518769394E-2</v>
      </c>
      <c r="D74" s="67">
        <f>(Table1345[[#This Row],[Index]]-B62)/B62</f>
        <v>5.3125440267412338E-2</v>
      </c>
    </row>
    <row r="75" spans="1:4" x14ac:dyDescent="0.2">
      <c r="A75" s="17">
        <v>28369</v>
      </c>
      <c r="B75" s="59">
        <f>VLOOKUP(Table1345[[#This Row],[Date]],database!A:I,9,)</f>
        <v>54.772100000000002</v>
      </c>
      <c r="C75" s="67">
        <f t="shared" si="1"/>
        <v>3.7439662218379244E-3</v>
      </c>
      <c r="D75" s="67">
        <f>(Table1345[[#This Row],[Index]]-B63)/B63</f>
        <v>4.8434395445792526E-2</v>
      </c>
    </row>
    <row r="76" spans="1:4" x14ac:dyDescent="0.2">
      <c r="A76" s="17">
        <v>28399</v>
      </c>
      <c r="B76" s="59">
        <f>VLOOKUP(Table1345[[#This Row],[Date]],database!A:I,9,)</f>
        <v>54.7804</v>
      </c>
      <c r="C76" s="67">
        <f t="shared" si="1"/>
        <v>1.5153700515413426E-4</v>
      </c>
      <c r="D76" s="67">
        <f>(Table1345[[#This Row],[Index]]-B64)/B64</f>
        <v>3.7855493224054293E-2</v>
      </c>
    </row>
    <row r="77" spans="1:4" x14ac:dyDescent="0.2">
      <c r="A77" s="17">
        <v>28430</v>
      </c>
      <c r="B77" s="59">
        <f>VLOOKUP(Table1345[[#This Row],[Date]],database!A:I,9,)</f>
        <v>54.055399999999999</v>
      </c>
      <c r="C77" s="67">
        <f t="shared" si="1"/>
        <v>-1.3234660572029489E-2</v>
      </c>
      <c r="D77" s="67">
        <f>(Table1345[[#This Row],[Index]]-B65)/B65</f>
        <v>-2.0735507246376884E-2</v>
      </c>
    </row>
    <row r="78" spans="1:4" x14ac:dyDescent="0.2">
      <c r="A78" s="17">
        <v>28460</v>
      </c>
      <c r="B78" s="59">
        <f>VLOOKUP(Table1345[[#This Row],[Date]],database!A:I,9,)</f>
        <v>54.862200000000001</v>
      </c>
      <c r="C78" s="67">
        <f t="shared" si="1"/>
        <v>1.4925428356833859E-2</v>
      </c>
      <c r="D78" s="67">
        <f>(Table1345[[#This Row],[Index]]-B66)/B66</f>
        <v>-1.3998644886603609E-2</v>
      </c>
    </row>
    <row r="79" spans="1:4" x14ac:dyDescent="0.2">
      <c r="A79" s="17">
        <v>28491</v>
      </c>
      <c r="B79" s="59">
        <f>VLOOKUP(Table1345[[#This Row],[Date]],database!A:I,9,)</f>
        <v>54.942100000000003</v>
      </c>
      <c r="C79" s="67">
        <f t="shared" si="1"/>
        <v>1.4563761569896805E-3</v>
      </c>
      <c r="D79" s="67">
        <f>(Table1345[[#This Row],[Index]]-B67)/B67</f>
        <v>-4.556687731910947E-3</v>
      </c>
    </row>
    <row r="80" spans="1:4" x14ac:dyDescent="0.2">
      <c r="A80" s="17">
        <v>28522</v>
      </c>
      <c r="B80" s="59">
        <f>VLOOKUP(Table1345[[#This Row],[Date]],database!A:I,9,)</f>
        <v>55.822000000000003</v>
      </c>
      <c r="C80" s="67">
        <f t="shared" si="1"/>
        <v>1.6015041288920395E-2</v>
      </c>
      <c r="D80" s="67">
        <f>(Table1345[[#This Row],[Index]]-B68)/B68</f>
        <v>4.5761184579040978E-2</v>
      </c>
    </row>
    <row r="81" spans="1:4" x14ac:dyDescent="0.2">
      <c r="A81" s="17">
        <v>28550</v>
      </c>
      <c r="B81" s="59">
        <f>VLOOKUP(Table1345[[#This Row],[Date]],database!A:I,9,)</f>
        <v>55.701999999999998</v>
      </c>
      <c r="C81" s="67">
        <f t="shared" si="1"/>
        <v>-2.1496900863459123E-3</v>
      </c>
      <c r="D81" s="67">
        <f>(Table1345[[#This Row],[Index]]-B69)/B69</f>
        <v>5.9626081464628396E-2</v>
      </c>
    </row>
    <row r="82" spans="1:4" x14ac:dyDescent="0.2">
      <c r="A82" s="17">
        <v>28581</v>
      </c>
      <c r="B82" s="59">
        <f>VLOOKUP(Table1345[[#This Row],[Date]],database!A:I,9,)</f>
        <v>54.309800000000003</v>
      </c>
      <c r="C82" s="67">
        <f t="shared" si="1"/>
        <v>-2.4993716563139534E-2</v>
      </c>
      <c r="D82" s="67">
        <f>(Table1345[[#This Row],[Index]]-B70)/B70</f>
        <v>1.9865957834368418E-2</v>
      </c>
    </row>
    <row r="83" spans="1:4" x14ac:dyDescent="0.2">
      <c r="A83" s="17">
        <v>28611</v>
      </c>
      <c r="B83" s="59">
        <f>VLOOKUP(Table1345[[#This Row],[Date]],database!A:I,9,)</f>
        <v>55.3566</v>
      </c>
      <c r="C83" s="67">
        <f t="shared" si="1"/>
        <v>1.9274606056365551E-2</v>
      </c>
      <c r="D83" s="67">
        <f>(Table1345[[#This Row],[Index]]-B71)/B71</f>
        <v>2.3253836513329417E-2</v>
      </c>
    </row>
    <row r="84" spans="1:4" x14ac:dyDescent="0.2">
      <c r="A84" s="17">
        <v>28642</v>
      </c>
      <c r="B84" s="59">
        <f>VLOOKUP(Table1345[[#This Row],[Date]],database!A:I,9,)</f>
        <v>55.929600000000001</v>
      </c>
      <c r="C84" s="67">
        <f t="shared" si="1"/>
        <v>1.0351069249195266E-2</v>
      </c>
      <c r="D84" s="67">
        <f>(Table1345[[#This Row],[Index]]-B72)/B72</f>
        <v>2.029103950760066E-2</v>
      </c>
    </row>
    <row r="85" spans="1:4" x14ac:dyDescent="0.2">
      <c r="A85" s="17">
        <v>28672</v>
      </c>
      <c r="B85" s="59">
        <f>VLOOKUP(Table1345[[#This Row],[Date]],database!A:I,9,)</f>
        <v>55.2288</v>
      </c>
      <c r="C85" s="67">
        <f t="shared" si="1"/>
        <v>-1.2530037761757651E-2</v>
      </c>
      <c r="D85" s="67">
        <f>(Table1345[[#This Row],[Index]]-B73)/B73</f>
        <v>-4.4613645827137399E-3</v>
      </c>
    </row>
    <row r="86" spans="1:4" x14ac:dyDescent="0.2">
      <c r="A86" s="17">
        <v>28703</v>
      </c>
      <c r="B86" s="59">
        <f>VLOOKUP(Table1345[[#This Row],[Date]],database!A:I,9,)</f>
        <v>55.994999999999997</v>
      </c>
      <c r="C86" s="67">
        <f t="shared" si="1"/>
        <v>1.3873196593081838E-2</v>
      </c>
      <c r="D86" s="67">
        <f>(Table1345[[#This Row],[Index]]-B74)/B74</f>
        <v>2.6154618657889803E-2</v>
      </c>
    </row>
    <row r="87" spans="1:4" x14ac:dyDescent="0.2">
      <c r="A87" s="17">
        <v>28734</v>
      </c>
      <c r="B87" s="59">
        <f>VLOOKUP(Table1345[[#This Row],[Date]],database!A:I,9,)</f>
        <v>56.447299999999998</v>
      </c>
      <c r="C87" s="67">
        <f t="shared" si="1"/>
        <v>8.0775069202607686E-3</v>
      </c>
      <c r="D87" s="67">
        <f>(Table1345[[#This Row],[Index]]-B75)/B75</f>
        <v>3.05849145824242E-2</v>
      </c>
    </row>
    <row r="88" spans="1:4" x14ac:dyDescent="0.2">
      <c r="A88" s="17">
        <v>28764</v>
      </c>
      <c r="B88" s="59">
        <f>VLOOKUP(Table1345[[#This Row],[Date]],database!A:I,9,)</f>
        <v>56.054900000000004</v>
      </c>
      <c r="C88" s="67">
        <f t="shared" si="1"/>
        <v>-6.9516168178105353E-3</v>
      </c>
      <c r="D88" s="67">
        <f>(Table1345[[#This Row],[Index]]-B76)/B76</f>
        <v>2.3265620550415901E-2</v>
      </c>
    </row>
    <row r="89" spans="1:4" x14ac:dyDescent="0.2">
      <c r="A89" s="17">
        <v>28795</v>
      </c>
      <c r="B89" s="59">
        <f>VLOOKUP(Table1345[[#This Row],[Date]],database!A:I,9,)</f>
        <v>56.251899999999999</v>
      </c>
      <c r="C89" s="67">
        <f t="shared" si="1"/>
        <v>3.5144117641812134E-3</v>
      </c>
      <c r="D89" s="67">
        <f>(Table1345[[#This Row],[Index]]-B77)/B77</f>
        <v>4.0634238207468643E-2</v>
      </c>
    </row>
    <row r="90" spans="1:4" x14ac:dyDescent="0.2">
      <c r="A90" s="17">
        <v>28825</v>
      </c>
      <c r="B90" s="59">
        <f>VLOOKUP(Table1345[[#This Row],[Date]],database!A:I,9,)</f>
        <v>56.167900000000003</v>
      </c>
      <c r="C90" s="67">
        <f t="shared" si="1"/>
        <v>-1.4932828935555476E-3</v>
      </c>
      <c r="D90" s="67">
        <f>(Table1345[[#This Row],[Index]]-B78)/B78</f>
        <v>2.3799628888378548E-2</v>
      </c>
    </row>
    <row r="91" spans="1:4" x14ac:dyDescent="0.2">
      <c r="A91" s="17">
        <v>28856</v>
      </c>
      <c r="B91" s="59">
        <f>VLOOKUP(Table1345[[#This Row],[Date]],database!A:I,9,)</f>
        <v>57.316400000000002</v>
      </c>
      <c r="C91" s="67">
        <f t="shared" si="1"/>
        <v>2.0447622218384476E-2</v>
      </c>
      <c r="D91" s="67">
        <f>(Table1345[[#This Row],[Index]]-B79)/B79</f>
        <v>4.3214584080331804E-2</v>
      </c>
    </row>
    <row r="92" spans="1:4" x14ac:dyDescent="0.2">
      <c r="A92" s="17">
        <v>28887</v>
      </c>
      <c r="B92" s="59">
        <f>VLOOKUP(Table1345[[#This Row],[Date]],database!A:I,9,)</f>
        <v>59.114899999999999</v>
      </c>
      <c r="C92" s="67">
        <f t="shared" si="1"/>
        <v>3.1378453636306425E-2</v>
      </c>
      <c r="D92" s="67">
        <f>(Table1345[[#This Row],[Index]]-B80)/B80</f>
        <v>5.8989287377736302E-2</v>
      </c>
    </row>
    <row r="93" spans="1:4" x14ac:dyDescent="0.2">
      <c r="A93" s="17">
        <v>28915</v>
      </c>
      <c r="B93" s="59">
        <f>VLOOKUP(Table1345[[#This Row],[Date]],database!A:I,9,)</f>
        <v>58.110599999999998</v>
      </c>
      <c r="C93" s="67">
        <f t="shared" si="1"/>
        <v>-1.6988948640697998E-2</v>
      </c>
      <c r="D93" s="67">
        <f>(Table1345[[#This Row],[Index]]-B81)/B81</f>
        <v>4.324081720584539E-2</v>
      </c>
    </row>
    <row r="94" spans="1:4" x14ac:dyDescent="0.2">
      <c r="A94" s="17">
        <v>28946</v>
      </c>
      <c r="B94" s="59">
        <f>VLOOKUP(Table1345[[#This Row],[Date]],database!A:I,9,)</f>
        <v>58.58</v>
      </c>
      <c r="C94" s="67">
        <f t="shared" si="1"/>
        <v>8.0777001097906975E-3</v>
      </c>
      <c r="D94" s="67">
        <f>(Table1345[[#This Row],[Index]]-B82)/B82</f>
        <v>7.8626693524925434E-2</v>
      </c>
    </row>
    <row r="95" spans="1:4" x14ac:dyDescent="0.2">
      <c r="A95" s="17">
        <v>28976</v>
      </c>
      <c r="B95" s="59">
        <f>VLOOKUP(Table1345[[#This Row],[Date]],database!A:I,9,)</f>
        <v>57.071100000000001</v>
      </c>
      <c r="C95" s="67">
        <f t="shared" si="1"/>
        <v>-2.5757937862751712E-2</v>
      </c>
      <c r="D95" s="67">
        <f>(Table1345[[#This Row],[Index]]-B83)/B83</f>
        <v>3.0971916627827594E-2</v>
      </c>
    </row>
    <row r="96" spans="1:4" x14ac:dyDescent="0.2">
      <c r="A96" s="17">
        <v>29007</v>
      </c>
      <c r="B96" s="59">
        <f>VLOOKUP(Table1345[[#This Row],[Date]],database!A:I,9,)</f>
        <v>56.263199999999998</v>
      </c>
      <c r="C96" s="67">
        <f t="shared" si="1"/>
        <v>-1.4156026430189761E-2</v>
      </c>
      <c r="D96" s="67">
        <f>(Table1345[[#This Row],[Index]]-B84)/B84</f>
        <v>5.9646412633023839E-3</v>
      </c>
    </row>
    <row r="97" spans="1:4" x14ac:dyDescent="0.2">
      <c r="A97" s="17">
        <v>29037</v>
      </c>
      <c r="B97" s="59">
        <f>VLOOKUP(Table1345[[#This Row],[Date]],database!A:I,9,)</f>
        <v>55.209699999999998</v>
      </c>
      <c r="C97" s="67">
        <f t="shared" si="1"/>
        <v>-1.8724494874091779E-2</v>
      </c>
      <c r="D97" s="67">
        <f>(Table1345[[#This Row],[Index]]-B85)/B85</f>
        <v>-3.4583405759317008E-4</v>
      </c>
    </row>
    <row r="98" spans="1:4" x14ac:dyDescent="0.2">
      <c r="A98" s="17">
        <v>29068</v>
      </c>
      <c r="B98" s="59">
        <f>VLOOKUP(Table1345[[#This Row],[Date]],database!A:I,9,)</f>
        <v>56.074800000000003</v>
      </c>
      <c r="C98" s="67">
        <f t="shared" si="1"/>
        <v>1.5669347958782609E-2</v>
      </c>
      <c r="D98" s="67">
        <f>(Table1345[[#This Row],[Index]]-B86)/B86</f>
        <v>1.4251272435039891E-3</v>
      </c>
    </row>
    <row r="99" spans="1:4" x14ac:dyDescent="0.2">
      <c r="A99" s="17">
        <v>29099</v>
      </c>
      <c r="B99" s="59">
        <f>VLOOKUP(Table1345[[#This Row],[Date]],database!A:I,9,)</f>
        <v>55.657699999999998</v>
      </c>
      <c r="C99" s="67">
        <f t="shared" si="1"/>
        <v>-7.4382788703660774E-3</v>
      </c>
      <c r="D99" s="67">
        <f>(Table1345[[#This Row],[Index]]-B87)/B87</f>
        <v>-1.3988268703728967E-2</v>
      </c>
    </row>
    <row r="100" spans="1:4" x14ac:dyDescent="0.2">
      <c r="A100" s="17">
        <v>29129</v>
      </c>
      <c r="B100" s="59">
        <f>VLOOKUP(Table1345[[#This Row],[Date]],database!A:I,9,)</f>
        <v>56.478400000000001</v>
      </c>
      <c r="C100" s="67">
        <f t="shared" si="1"/>
        <v>1.4745488944027496E-2</v>
      </c>
      <c r="D100" s="67">
        <f>(Table1345[[#This Row],[Index]]-B88)/B88</f>
        <v>7.5550933103082345E-3</v>
      </c>
    </row>
    <row r="101" spans="1:4" x14ac:dyDescent="0.2">
      <c r="A101" s="17">
        <v>29160</v>
      </c>
      <c r="B101" s="59">
        <f>VLOOKUP(Table1345[[#This Row],[Date]],database!A:I,9,)</f>
        <v>56.860700000000001</v>
      </c>
      <c r="C101" s="67">
        <f t="shared" si="1"/>
        <v>6.7689594606079595E-3</v>
      </c>
      <c r="D101" s="67">
        <f>(Table1345[[#This Row],[Index]]-B89)/B89</f>
        <v>1.082274554281726E-2</v>
      </c>
    </row>
    <row r="102" spans="1:4" x14ac:dyDescent="0.2">
      <c r="A102" s="17">
        <v>29190</v>
      </c>
      <c r="B102" s="59">
        <f>VLOOKUP(Table1345[[#This Row],[Date]],database!A:I,9,)</f>
        <v>55.823799999999999</v>
      </c>
      <c r="C102" s="67">
        <f t="shared" si="1"/>
        <v>-1.8235793790790544E-2</v>
      </c>
      <c r="D102" s="67">
        <f>(Table1345[[#This Row],[Index]]-B90)/B90</f>
        <v>-6.1262749720036617E-3</v>
      </c>
    </row>
    <row r="103" spans="1:4" x14ac:dyDescent="0.2">
      <c r="A103" s="17">
        <v>29221</v>
      </c>
      <c r="B103" s="59">
        <f>VLOOKUP(Table1345[[#This Row],[Date]],database!A:I,9,)</f>
        <v>54.948599999999999</v>
      </c>
      <c r="C103" s="67">
        <f t="shared" si="1"/>
        <v>-1.5677900823663049E-2</v>
      </c>
      <c r="D103" s="67">
        <f>(Table1345[[#This Row],[Index]]-B91)/B91</f>
        <v>-4.1311038376450761E-2</v>
      </c>
    </row>
    <row r="104" spans="1:4" x14ac:dyDescent="0.2">
      <c r="A104" s="17">
        <v>29252</v>
      </c>
      <c r="B104" s="59">
        <f>VLOOKUP(Table1345[[#This Row],[Date]],database!A:I,9,)</f>
        <v>56.978099999999998</v>
      </c>
      <c r="C104" s="67">
        <f t="shared" si="1"/>
        <v>3.6934516984964194E-2</v>
      </c>
      <c r="D104" s="67">
        <f>(Table1345[[#This Row],[Index]]-B92)/B92</f>
        <v>-3.6146555267792063E-2</v>
      </c>
    </row>
    <row r="105" spans="1:4" x14ac:dyDescent="0.2">
      <c r="A105" s="17">
        <v>29281</v>
      </c>
      <c r="B105" s="59">
        <f>VLOOKUP(Table1345[[#This Row],[Date]],database!A:I,9,)</f>
        <v>58.0854</v>
      </c>
      <c r="C105" s="67">
        <f t="shared" si="1"/>
        <v>1.9433782453258441E-2</v>
      </c>
      <c r="D105" s="67">
        <f>(Table1345[[#This Row],[Index]]-B93)/B93</f>
        <v>-4.3365582182937562E-4</v>
      </c>
    </row>
    <row r="106" spans="1:4" x14ac:dyDescent="0.2">
      <c r="A106" s="17">
        <v>29312</v>
      </c>
      <c r="B106" s="59">
        <f>VLOOKUP(Table1345[[#This Row],[Date]],database!A:I,9,)</f>
        <v>56.421199999999999</v>
      </c>
      <c r="C106" s="67">
        <f t="shared" si="1"/>
        <v>-2.8650917442248791E-2</v>
      </c>
      <c r="D106" s="67">
        <f>(Table1345[[#This Row],[Index]]-B94)/B94</f>
        <v>-3.6852167975418224E-2</v>
      </c>
    </row>
    <row r="107" spans="1:4" x14ac:dyDescent="0.2">
      <c r="A107" s="17">
        <v>29342</v>
      </c>
      <c r="B107" s="59">
        <f>VLOOKUP(Table1345[[#This Row],[Date]],database!A:I,9,)</f>
        <v>55.535299999999999</v>
      </c>
      <c r="C107" s="67">
        <f t="shared" si="1"/>
        <v>-1.5701544809397894E-2</v>
      </c>
      <c r="D107" s="67">
        <f>(Table1345[[#This Row],[Index]]-B95)/B95</f>
        <v>-2.6910292599932398E-2</v>
      </c>
    </row>
    <row r="108" spans="1:4" x14ac:dyDescent="0.2">
      <c r="A108" s="17">
        <v>29373</v>
      </c>
      <c r="B108" s="59">
        <f>VLOOKUP(Table1345[[#This Row],[Date]],database!A:I,9,)</f>
        <v>55.543599999999998</v>
      </c>
      <c r="C108" s="67">
        <f t="shared" si="1"/>
        <v>1.494544911073703E-4</v>
      </c>
      <c r="D108" s="67">
        <f>(Table1345[[#This Row],[Index]]-B96)/B96</f>
        <v>-1.2789887528615504E-2</v>
      </c>
    </row>
    <row r="109" spans="1:4" x14ac:dyDescent="0.2">
      <c r="A109" s="17">
        <v>29403</v>
      </c>
      <c r="B109" s="59">
        <f>VLOOKUP(Table1345[[#This Row],[Date]],database!A:I,9,)</f>
        <v>57.664999999999999</v>
      </c>
      <c r="C109" s="67">
        <f t="shared" si="1"/>
        <v>3.8193419223816916E-2</v>
      </c>
      <c r="D109" s="67">
        <f>(Table1345[[#This Row],[Index]]-B97)/B97</f>
        <v>4.4472257592415847E-2</v>
      </c>
    </row>
    <row r="110" spans="1:4" x14ac:dyDescent="0.2">
      <c r="A110" s="17">
        <v>29434</v>
      </c>
      <c r="B110" s="59">
        <f>VLOOKUP(Table1345[[#This Row],[Date]],database!A:I,9,)</f>
        <v>57.962400000000002</v>
      </c>
      <c r="C110" s="67">
        <f t="shared" si="1"/>
        <v>5.1573744905921703E-3</v>
      </c>
      <c r="D110" s="67">
        <f>(Table1345[[#This Row],[Index]]-B98)/B98</f>
        <v>3.3662179802692101E-2</v>
      </c>
    </row>
    <row r="111" spans="1:4" x14ac:dyDescent="0.2">
      <c r="A111" s="17">
        <v>29465</v>
      </c>
      <c r="B111" s="59">
        <f>VLOOKUP(Table1345[[#This Row],[Date]],database!A:I,9,)</f>
        <v>58.706299999999999</v>
      </c>
      <c r="C111" s="67">
        <f t="shared" si="1"/>
        <v>1.2834182159468854E-2</v>
      </c>
      <c r="D111" s="67">
        <f>(Table1345[[#This Row],[Index]]-B99)/B99</f>
        <v>5.4774092353798313E-2</v>
      </c>
    </row>
    <row r="112" spans="1:4" x14ac:dyDescent="0.2">
      <c r="A112" s="17">
        <v>29495</v>
      </c>
      <c r="B112" s="59">
        <f>VLOOKUP(Table1345[[#This Row],[Date]],database!A:I,9,)</f>
        <v>58.228999999999999</v>
      </c>
      <c r="C112" s="67">
        <f t="shared" si="1"/>
        <v>-8.1303028806107847E-3</v>
      </c>
      <c r="D112" s="67">
        <f>(Table1345[[#This Row],[Index]]-B100)/B100</f>
        <v>3.0995920564321912E-2</v>
      </c>
    </row>
    <row r="113" spans="1:4" x14ac:dyDescent="0.2">
      <c r="A113" s="17">
        <v>29526</v>
      </c>
      <c r="B113" s="59">
        <f>VLOOKUP(Table1345[[#This Row],[Date]],database!A:I,9,)</f>
        <v>58.462600000000002</v>
      </c>
      <c r="C113" s="67">
        <f t="shared" si="1"/>
        <v>4.0117467241409521E-3</v>
      </c>
      <c r="D113" s="67">
        <f>(Table1345[[#This Row],[Index]]-B101)/B101</f>
        <v>2.8172358061015791E-2</v>
      </c>
    </row>
    <row r="114" spans="1:4" x14ac:dyDescent="0.2">
      <c r="A114" s="17">
        <v>29556</v>
      </c>
      <c r="B114" s="59">
        <f>VLOOKUP(Table1345[[#This Row],[Date]],database!A:I,9,)</f>
        <v>58.726900000000001</v>
      </c>
      <c r="C114" s="67">
        <f t="shared" si="1"/>
        <v>4.5208389637134694E-3</v>
      </c>
      <c r="D114" s="67">
        <f>(Table1345[[#This Row],[Index]]-B102)/B102</f>
        <v>5.2004700504086107E-2</v>
      </c>
    </row>
    <row r="115" spans="1:4" x14ac:dyDescent="0.2">
      <c r="A115" s="17">
        <v>29587</v>
      </c>
      <c r="B115" s="59">
        <f>VLOOKUP(Table1345[[#This Row],[Date]],database!A:I,9,)</f>
        <v>57.889699999999998</v>
      </c>
      <c r="C115" s="67">
        <f t="shared" si="1"/>
        <v>-1.4255818032281709E-2</v>
      </c>
      <c r="D115" s="67">
        <f>(Table1345[[#This Row],[Index]]-B103)/B103</f>
        <v>5.3524566594963269E-2</v>
      </c>
    </row>
    <row r="116" spans="1:4" x14ac:dyDescent="0.2">
      <c r="A116" s="17">
        <v>29618</v>
      </c>
      <c r="B116" s="59">
        <f>VLOOKUP(Table1345[[#This Row],[Date]],database!A:I,9,)</f>
        <v>56.419400000000003</v>
      </c>
      <c r="C116" s="67">
        <f t="shared" si="1"/>
        <v>-2.5398300561239595E-2</v>
      </c>
      <c r="D116" s="67">
        <f>(Table1345[[#This Row],[Index]]-B104)/B104</f>
        <v>-9.80552177064512E-3</v>
      </c>
    </row>
    <row r="117" spans="1:4" x14ac:dyDescent="0.2">
      <c r="A117" s="17">
        <v>29646</v>
      </c>
      <c r="B117" s="59">
        <f>VLOOKUP(Table1345[[#This Row],[Date]],database!A:I,9,)</f>
        <v>57.346299999999999</v>
      </c>
      <c r="C117" s="67">
        <f t="shared" si="1"/>
        <v>1.6428746140511929E-2</v>
      </c>
      <c r="D117" s="67">
        <f>(Table1345[[#This Row],[Index]]-B105)/B105</f>
        <v>-1.2724367913451582E-2</v>
      </c>
    </row>
    <row r="118" spans="1:4" x14ac:dyDescent="0.2">
      <c r="A118" s="17">
        <v>29677</v>
      </c>
      <c r="B118" s="59">
        <f>VLOOKUP(Table1345[[#This Row],[Date]],database!A:I,9,)</f>
        <v>57.388100000000001</v>
      </c>
      <c r="C118" s="67">
        <f t="shared" si="1"/>
        <v>7.289049162719774E-4</v>
      </c>
      <c r="D118" s="67">
        <f>(Table1345[[#This Row],[Index]]-B106)/B106</f>
        <v>1.7137175387974778E-2</v>
      </c>
    </row>
    <row r="119" spans="1:4" x14ac:dyDescent="0.2">
      <c r="A119" s="17">
        <v>29707</v>
      </c>
      <c r="B119" s="59">
        <f>VLOOKUP(Table1345[[#This Row],[Date]],database!A:I,9,)</f>
        <v>58.208399999999997</v>
      </c>
      <c r="C119" s="67">
        <f t="shared" si="1"/>
        <v>1.4293904136920332E-2</v>
      </c>
      <c r="D119" s="67">
        <f>(Table1345[[#This Row],[Index]]-B107)/B107</f>
        <v>4.8133349419198203E-2</v>
      </c>
    </row>
    <row r="120" spans="1:4" x14ac:dyDescent="0.2">
      <c r="A120" s="17">
        <v>29738</v>
      </c>
      <c r="B120" s="59">
        <f>VLOOKUP(Table1345[[#This Row],[Date]],database!A:I,9,)</f>
        <v>59.655999999999999</v>
      </c>
      <c r="C120" s="67">
        <f t="shared" si="1"/>
        <v>2.4869262855532925E-2</v>
      </c>
      <c r="D120" s="67">
        <f>(Table1345[[#This Row],[Index]]-B108)/B108</f>
        <v>7.403913322146928E-2</v>
      </c>
    </row>
    <row r="121" spans="1:4" x14ac:dyDescent="0.2">
      <c r="A121" s="17">
        <v>29768</v>
      </c>
      <c r="B121" s="59">
        <f>VLOOKUP(Table1345[[#This Row],[Date]],database!A:I,9,)</f>
        <v>59.5047</v>
      </c>
      <c r="C121" s="67">
        <f t="shared" si="1"/>
        <v>-2.5362075901836922E-3</v>
      </c>
      <c r="D121" s="67">
        <f>(Table1345[[#This Row],[Index]]-B109)/B109</f>
        <v>3.1903234197520169E-2</v>
      </c>
    </row>
    <row r="122" spans="1:4" x14ac:dyDescent="0.2">
      <c r="A122" s="17">
        <v>29799</v>
      </c>
      <c r="B122" s="59">
        <f>VLOOKUP(Table1345[[#This Row],[Date]],database!A:I,9,)</f>
        <v>58.290199999999999</v>
      </c>
      <c r="C122" s="67">
        <f t="shared" si="1"/>
        <v>-2.0410152475350718E-2</v>
      </c>
      <c r="D122" s="67">
        <f>(Table1345[[#This Row],[Index]]-B110)/B110</f>
        <v>5.655390391012041E-3</v>
      </c>
    </row>
    <row r="123" spans="1:4" x14ac:dyDescent="0.2">
      <c r="A123" s="17">
        <v>29830</v>
      </c>
      <c r="B123" s="59">
        <f>VLOOKUP(Table1345[[#This Row],[Date]],database!A:I,9,)</f>
        <v>57.462699999999998</v>
      </c>
      <c r="C123" s="67">
        <f t="shared" si="1"/>
        <v>-1.4196211370007372E-2</v>
      </c>
      <c r="D123" s="67">
        <f>(Table1345[[#This Row],[Index]]-B111)/B111</f>
        <v>-2.1183416430604566E-2</v>
      </c>
    </row>
    <row r="124" spans="1:4" x14ac:dyDescent="0.2">
      <c r="A124" s="17">
        <v>29860</v>
      </c>
      <c r="B124" s="59">
        <f>VLOOKUP(Table1345[[#This Row],[Date]],database!A:I,9,)</f>
        <v>58.1755</v>
      </c>
      <c r="C124" s="67">
        <f t="shared" si="1"/>
        <v>1.2404568528802118E-2</v>
      </c>
      <c r="D124" s="67">
        <f>(Table1345[[#This Row],[Index]]-B112)/B112</f>
        <v>-9.1878617183876869E-4</v>
      </c>
    </row>
    <row r="125" spans="1:4" x14ac:dyDescent="0.2">
      <c r="A125" s="17">
        <v>29891</v>
      </c>
      <c r="B125" s="59">
        <f>VLOOKUP(Table1345[[#This Row],[Date]],database!A:I,9,)</f>
        <v>57.662100000000002</v>
      </c>
      <c r="C125" s="67">
        <f t="shared" si="1"/>
        <v>-8.825020842107012E-3</v>
      </c>
      <c r="D125" s="67">
        <f>(Table1345[[#This Row],[Index]]-B113)/B113</f>
        <v>-1.3692514530657198E-2</v>
      </c>
    </row>
    <row r="126" spans="1:4" x14ac:dyDescent="0.2">
      <c r="A126" s="17">
        <v>29921</v>
      </c>
      <c r="B126" s="59">
        <f>VLOOKUP(Table1345[[#This Row],[Date]],database!A:I,9,)</f>
        <v>58.7866</v>
      </c>
      <c r="C126" s="67">
        <f t="shared" si="1"/>
        <v>1.9501544341950838E-2</v>
      </c>
      <c r="D126" s="67">
        <f>(Table1345[[#This Row],[Index]]-B114)/B114</f>
        <v>1.0165699194065994E-3</v>
      </c>
    </row>
    <row r="127" spans="1:4" x14ac:dyDescent="0.2">
      <c r="A127" s="17">
        <v>29952</v>
      </c>
      <c r="B127" s="59">
        <f>VLOOKUP(Table1345[[#This Row],[Date]],database!A:I,9,)</f>
        <v>58.699800000000003</v>
      </c>
      <c r="C127" s="67">
        <f t="shared" si="1"/>
        <v>-1.4765269636276557E-3</v>
      </c>
      <c r="D127" s="67">
        <f>(Table1345[[#This Row],[Index]]-B115)/B115</f>
        <v>1.3993853828919578E-2</v>
      </c>
    </row>
    <row r="128" spans="1:4" x14ac:dyDescent="0.2">
      <c r="A128" s="17">
        <v>29983</v>
      </c>
      <c r="B128" s="59">
        <f>VLOOKUP(Table1345[[#This Row],[Date]],database!A:I,9,)</f>
        <v>57.078400000000002</v>
      </c>
      <c r="C128" s="67">
        <f t="shared" si="1"/>
        <v>-2.7621899904258673E-2</v>
      </c>
      <c r="D128" s="67">
        <f>(Table1345[[#This Row],[Index]]-B116)/B116</f>
        <v>1.168037944395011E-2</v>
      </c>
    </row>
    <row r="129" spans="1:4" x14ac:dyDescent="0.2">
      <c r="A129" s="17">
        <v>30011</v>
      </c>
      <c r="B129" s="59">
        <f>VLOOKUP(Table1345[[#This Row],[Date]],database!A:I,9,)</f>
        <v>57.0869</v>
      </c>
      <c r="C129" s="67">
        <f t="shared" si="1"/>
        <v>1.4891797948091146E-4</v>
      </c>
      <c r="D129" s="67">
        <f>(Table1345[[#This Row],[Index]]-B117)/B117</f>
        <v>-4.5233955808831501E-3</v>
      </c>
    </row>
    <row r="130" spans="1:4" x14ac:dyDescent="0.2">
      <c r="A130" s="17">
        <v>30042</v>
      </c>
      <c r="B130" s="59">
        <f>VLOOKUP(Table1345[[#This Row],[Date]],database!A:I,9,)</f>
        <v>57.1509</v>
      </c>
      <c r="C130" s="67">
        <f t="shared" si="1"/>
        <v>1.1210978350548739E-3</v>
      </c>
      <c r="D130" s="67">
        <f>(Table1345[[#This Row],[Index]]-B118)/B118</f>
        <v>-4.133261076773781E-3</v>
      </c>
    </row>
    <row r="131" spans="1:4" x14ac:dyDescent="0.2">
      <c r="A131" s="17">
        <v>30072</v>
      </c>
      <c r="B131" s="59">
        <f>VLOOKUP(Table1345[[#This Row],[Date]],database!A:I,9,)</f>
        <v>55.6</v>
      </c>
      <c r="C131" s="67">
        <f t="shared" si="1"/>
        <v>-2.7136930477035359E-2</v>
      </c>
      <c r="D131" s="67">
        <f>(Table1345[[#This Row],[Index]]-B119)/B119</f>
        <v>-4.4811401790806761E-2</v>
      </c>
    </row>
    <row r="132" spans="1:4" x14ac:dyDescent="0.2">
      <c r="A132" s="17">
        <v>30103</v>
      </c>
      <c r="B132" s="59">
        <f>VLOOKUP(Table1345[[#This Row],[Date]],database!A:I,9,)</f>
        <v>55.790100000000002</v>
      </c>
      <c r="C132" s="67">
        <f t="shared" si="1"/>
        <v>3.4190647482015279E-3</v>
      </c>
      <c r="D132" s="67">
        <f>(Table1345[[#This Row],[Index]]-B120)/B120</f>
        <v>-6.4803205042242129E-2</v>
      </c>
    </row>
    <row r="133" spans="1:4" x14ac:dyDescent="0.2">
      <c r="A133" s="17">
        <v>30133</v>
      </c>
      <c r="B133" s="59">
        <f>VLOOKUP(Table1345[[#This Row],[Date]],database!A:I,9,)</f>
        <v>55.776600000000002</v>
      </c>
      <c r="C133" s="67">
        <f t="shared" si="1"/>
        <v>-2.4197841552531241E-4</v>
      </c>
      <c r="D133" s="67">
        <f>(Table1345[[#This Row],[Index]]-B121)/B121</f>
        <v>-6.2652193860316882E-2</v>
      </c>
    </row>
    <row r="134" spans="1:4" x14ac:dyDescent="0.2">
      <c r="A134" s="17">
        <v>30164</v>
      </c>
      <c r="B134" s="59">
        <f>VLOOKUP(Table1345[[#This Row],[Date]],database!A:I,9,)</f>
        <v>55.08</v>
      </c>
      <c r="C134" s="67">
        <f t="shared" si="1"/>
        <v>-1.2489108335753785E-2</v>
      </c>
      <c r="D134" s="67">
        <f>(Table1345[[#This Row],[Index]]-B122)/B122</f>
        <v>-5.5072722344407812E-2</v>
      </c>
    </row>
    <row r="135" spans="1:4" x14ac:dyDescent="0.2">
      <c r="A135" s="17">
        <v>30195</v>
      </c>
      <c r="B135" s="59">
        <f>VLOOKUP(Table1345[[#This Row],[Date]],database!A:I,9,)</f>
        <v>55.257100000000001</v>
      </c>
      <c r="C135" s="67">
        <f t="shared" si="1"/>
        <v>3.2153231663036852E-3</v>
      </c>
      <c r="D135" s="67">
        <f>(Table1345[[#This Row],[Index]]-B123)/B123</f>
        <v>-3.8383159858482056E-2</v>
      </c>
    </row>
    <row r="136" spans="1:4" x14ac:dyDescent="0.2">
      <c r="A136" s="17">
        <v>30225</v>
      </c>
      <c r="B136" s="59">
        <f>VLOOKUP(Table1345[[#This Row],[Date]],database!A:I,9,)</f>
        <v>55.417299999999997</v>
      </c>
      <c r="C136" s="67">
        <f t="shared" ref="C136:C199" si="2">B136/B135-1</f>
        <v>2.8991749476536821E-3</v>
      </c>
      <c r="D136" s="67">
        <f>(Table1345[[#This Row],[Index]]-B124)/B124</f>
        <v>-4.7411711115503991E-2</v>
      </c>
    </row>
    <row r="137" spans="1:4" x14ac:dyDescent="0.2">
      <c r="A137" s="17">
        <v>30256</v>
      </c>
      <c r="B137" s="59">
        <f>VLOOKUP(Table1345[[#This Row],[Date]],database!A:I,9,)</f>
        <v>56.1524</v>
      </c>
      <c r="C137" s="67">
        <f t="shared" si="2"/>
        <v>1.3264810808177208E-2</v>
      </c>
      <c r="D137" s="67">
        <f>(Table1345[[#This Row],[Index]]-B125)/B125</f>
        <v>-2.6181842145880953E-2</v>
      </c>
    </row>
    <row r="138" spans="1:4" x14ac:dyDescent="0.2">
      <c r="A138" s="17">
        <v>30286</v>
      </c>
      <c r="B138" s="59">
        <f>VLOOKUP(Table1345[[#This Row],[Date]],database!A:I,9,)</f>
        <v>54.436599999999999</v>
      </c>
      <c r="C138" s="67">
        <f t="shared" si="2"/>
        <v>-3.0556129390729492E-2</v>
      </c>
      <c r="D138" s="67">
        <f>(Table1345[[#This Row],[Index]]-B126)/B126</f>
        <v>-7.3996454974432968E-2</v>
      </c>
    </row>
    <row r="139" spans="1:4" x14ac:dyDescent="0.2">
      <c r="A139" s="17">
        <v>30317</v>
      </c>
      <c r="B139" s="59">
        <f>VLOOKUP(Table1345[[#This Row],[Date]],database!A:I,9,)</f>
        <v>54.318300000000001</v>
      </c>
      <c r="C139" s="67">
        <f t="shared" si="2"/>
        <v>-2.1731702567757694E-3</v>
      </c>
      <c r="D139" s="67">
        <f>(Table1345[[#This Row],[Index]]-B127)/B127</f>
        <v>-7.4642503040896258E-2</v>
      </c>
    </row>
    <row r="140" spans="1:4" x14ac:dyDescent="0.2">
      <c r="A140" s="17">
        <v>30348</v>
      </c>
      <c r="B140" s="59">
        <f>VLOOKUP(Table1345[[#This Row],[Date]],database!A:I,9,)</f>
        <v>52.920200000000001</v>
      </c>
      <c r="C140" s="67">
        <f t="shared" si="2"/>
        <v>-2.573902349668522E-2</v>
      </c>
      <c r="D140" s="67">
        <f>(Table1345[[#This Row],[Index]]-B128)/B128</f>
        <v>-7.2850675562033992E-2</v>
      </c>
    </row>
    <row r="141" spans="1:4" x14ac:dyDescent="0.2">
      <c r="A141" s="17">
        <v>30376</v>
      </c>
      <c r="B141" s="59">
        <f>VLOOKUP(Table1345[[#This Row],[Date]],database!A:I,9,)</f>
        <v>54.8506</v>
      </c>
      <c r="C141" s="67">
        <f t="shared" si="2"/>
        <v>3.6477564332712209E-2</v>
      </c>
      <c r="D141" s="67">
        <f>(Table1345[[#This Row],[Index]]-B129)/B129</f>
        <v>-3.9173610758335101E-2</v>
      </c>
    </row>
    <row r="142" spans="1:4" x14ac:dyDescent="0.2">
      <c r="A142" s="17">
        <v>30407</v>
      </c>
      <c r="B142" s="59">
        <f>VLOOKUP(Table1345[[#This Row],[Date]],database!A:I,9,)</f>
        <v>55.890599999999999</v>
      </c>
      <c r="C142" s="67">
        <f t="shared" si="2"/>
        <v>1.8960594779273032E-2</v>
      </c>
      <c r="D142" s="67">
        <f>(Table1345[[#This Row],[Index]]-B130)/B130</f>
        <v>-2.2052146160427936E-2</v>
      </c>
    </row>
    <row r="143" spans="1:4" x14ac:dyDescent="0.2">
      <c r="A143" s="17">
        <v>30437</v>
      </c>
      <c r="B143" s="59">
        <f>VLOOKUP(Table1345[[#This Row],[Date]],database!A:I,9,)</f>
        <v>54.855600000000003</v>
      </c>
      <c r="C143" s="67">
        <f t="shared" si="2"/>
        <v>-1.8518319717447995E-2</v>
      </c>
      <c r="D143" s="67">
        <f>(Table1345[[#This Row],[Index]]-B131)/B131</f>
        <v>-1.3388489208633073E-2</v>
      </c>
    </row>
    <row r="144" spans="1:4" x14ac:dyDescent="0.2">
      <c r="A144" s="17">
        <v>30468</v>
      </c>
      <c r="B144" s="59">
        <f>VLOOKUP(Table1345[[#This Row],[Date]],database!A:I,9,)</f>
        <v>54.692700000000002</v>
      </c>
      <c r="C144" s="67">
        <f t="shared" si="2"/>
        <v>-2.969614770415463E-3</v>
      </c>
      <c r="D144" s="67">
        <f>(Table1345[[#This Row],[Index]]-B132)/B132</f>
        <v>-1.967015653314836E-2</v>
      </c>
    </row>
    <row r="145" spans="1:4" x14ac:dyDescent="0.2">
      <c r="A145" s="17">
        <v>30498</v>
      </c>
      <c r="B145" s="59">
        <f>VLOOKUP(Table1345[[#This Row],[Date]],database!A:I,9,)</f>
        <v>56.575299999999999</v>
      </c>
      <c r="C145" s="67">
        <f t="shared" si="2"/>
        <v>3.4421412729669587E-2</v>
      </c>
      <c r="D145" s="67">
        <f>(Table1345[[#This Row],[Index]]-B133)/B133</f>
        <v>1.4319625075748551E-2</v>
      </c>
    </row>
    <row r="146" spans="1:4" x14ac:dyDescent="0.2">
      <c r="A146" s="17">
        <v>30529</v>
      </c>
      <c r="B146" s="59">
        <f>VLOOKUP(Table1345[[#This Row],[Date]],database!A:I,9,)</f>
        <v>58.870899999999999</v>
      </c>
      <c r="C146" s="67">
        <f t="shared" si="2"/>
        <v>4.0576011086109975E-2</v>
      </c>
      <c r="D146" s="67">
        <f>(Table1345[[#This Row],[Index]]-B134)/B134</f>
        <v>6.882534495279595E-2</v>
      </c>
    </row>
    <row r="147" spans="1:4" x14ac:dyDescent="0.2">
      <c r="A147" s="17">
        <v>30560</v>
      </c>
      <c r="B147" s="59">
        <f>VLOOKUP(Table1345[[#This Row],[Date]],database!A:I,9,)</f>
        <v>58.7254</v>
      </c>
      <c r="C147" s="67">
        <f t="shared" si="2"/>
        <v>-2.4715096932440561E-3</v>
      </c>
      <c r="D147" s="67">
        <f>(Table1345[[#This Row],[Index]]-B135)/B135</f>
        <v>6.2766594700047584E-2</v>
      </c>
    </row>
    <row r="148" spans="1:4" x14ac:dyDescent="0.2">
      <c r="A148" s="17">
        <v>30590</v>
      </c>
      <c r="B148" s="59">
        <f>VLOOKUP(Table1345[[#This Row],[Date]],database!A:I,9,)</f>
        <v>57.797499999999999</v>
      </c>
      <c r="C148" s="67">
        <f t="shared" si="2"/>
        <v>-1.5800658658774558E-2</v>
      </c>
      <c r="D148" s="67">
        <f>(Table1345[[#This Row],[Index]]-B136)/B136</f>
        <v>4.2950486580905278E-2</v>
      </c>
    </row>
    <row r="149" spans="1:4" x14ac:dyDescent="0.2">
      <c r="A149" s="17">
        <v>30621</v>
      </c>
      <c r="B149" s="59">
        <f>VLOOKUP(Table1345[[#This Row],[Date]],database!A:I,9,)</f>
        <v>58.148299999999999</v>
      </c>
      <c r="C149" s="67">
        <f t="shared" si="2"/>
        <v>6.0694666724339097E-3</v>
      </c>
      <c r="D149" s="67">
        <f>(Table1345[[#This Row],[Index]]-B137)/B137</f>
        <v>3.5544340046017607E-2</v>
      </c>
    </row>
    <row r="150" spans="1:4" x14ac:dyDescent="0.2">
      <c r="A150" s="17">
        <v>30651</v>
      </c>
      <c r="B150" s="59">
        <f>VLOOKUP(Table1345[[#This Row],[Date]],database!A:I,9,)</f>
        <v>60.862499999999997</v>
      </c>
      <c r="C150" s="67">
        <f t="shared" si="2"/>
        <v>4.6677202944884089E-2</v>
      </c>
      <c r="D150" s="67">
        <f>(Table1345[[#This Row],[Index]]-B138)/B138</f>
        <v>0.11804374262903999</v>
      </c>
    </row>
    <row r="151" spans="1:4" x14ac:dyDescent="0.2">
      <c r="A151" s="17">
        <v>30682</v>
      </c>
      <c r="B151" s="59">
        <f>VLOOKUP(Table1345[[#This Row],[Date]],database!A:I,9,)</f>
        <v>60.644199999999998</v>
      </c>
      <c r="C151" s="67">
        <f t="shared" si="2"/>
        <v>-3.5867734647772043E-3</v>
      </c>
      <c r="D151" s="67">
        <f>(Table1345[[#This Row],[Index]]-B139)/B139</f>
        <v>0.11645983029660349</v>
      </c>
    </row>
    <row r="152" spans="1:4" x14ac:dyDescent="0.2">
      <c r="A152" s="17">
        <v>30713</v>
      </c>
      <c r="B152" s="59">
        <f>VLOOKUP(Table1345[[#This Row],[Date]],database!A:I,9,)</f>
        <v>59.357999999999997</v>
      </c>
      <c r="C152" s="67">
        <f t="shared" si="2"/>
        <v>-2.1208953205747672E-2</v>
      </c>
      <c r="D152" s="67">
        <f>(Table1345[[#This Row],[Index]]-B140)/B140</f>
        <v>0.12165108975400689</v>
      </c>
    </row>
    <row r="153" spans="1:4" x14ac:dyDescent="0.2">
      <c r="A153" s="17">
        <v>30742</v>
      </c>
      <c r="B153" s="59">
        <f>VLOOKUP(Table1345[[#This Row],[Date]],database!A:I,9,)</f>
        <v>60.814300000000003</v>
      </c>
      <c r="C153" s="67">
        <f t="shared" si="2"/>
        <v>2.4534182418545214E-2</v>
      </c>
      <c r="D153" s="67">
        <f>(Table1345[[#This Row],[Index]]-B141)/B141</f>
        <v>0.10872624912033785</v>
      </c>
    </row>
    <row r="154" spans="1:4" x14ac:dyDescent="0.2">
      <c r="A154" s="17">
        <v>30773</v>
      </c>
      <c r="B154" s="59">
        <f>VLOOKUP(Table1345[[#This Row],[Date]],database!A:I,9,)</f>
        <v>60.497599999999998</v>
      </c>
      <c r="C154" s="67">
        <f t="shared" si="2"/>
        <v>-5.2076567517838068E-3</v>
      </c>
      <c r="D154" s="67">
        <f>(Table1345[[#This Row],[Index]]-B142)/B142</f>
        <v>8.2428887863075354E-2</v>
      </c>
    </row>
    <row r="155" spans="1:4" x14ac:dyDescent="0.2">
      <c r="A155" s="17">
        <v>30803</v>
      </c>
      <c r="B155" s="59">
        <f>VLOOKUP(Table1345[[#This Row],[Date]],database!A:I,9,)</f>
        <v>61.063000000000002</v>
      </c>
      <c r="C155" s="67">
        <f t="shared" si="2"/>
        <v>9.3458252889371263E-3</v>
      </c>
      <c r="D155" s="67">
        <f>(Table1345[[#This Row],[Index]]-B143)/B143</f>
        <v>0.11315891176105994</v>
      </c>
    </row>
    <row r="156" spans="1:4" x14ac:dyDescent="0.2">
      <c r="A156" s="17">
        <v>30834</v>
      </c>
      <c r="B156" s="59">
        <f>VLOOKUP(Table1345[[#This Row],[Date]],database!A:I,9,)</f>
        <v>60.740299999999998</v>
      </c>
      <c r="C156" s="67">
        <f t="shared" si="2"/>
        <v>-5.2847059594189894E-3</v>
      </c>
      <c r="D156" s="67">
        <f>(Table1345[[#This Row],[Index]]-B144)/B144</f>
        <v>0.11057417169018892</v>
      </c>
    </row>
    <row r="157" spans="1:4" x14ac:dyDescent="0.2">
      <c r="A157" s="17">
        <v>30864</v>
      </c>
      <c r="B157" s="59">
        <f>VLOOKUP(Table1345[[#This Row],[Date]],database!A:I,9,)</f>
        <v>59.097200000000001</v>
      </c>
      <c r="C157" s="67">
        <f t="shared" si="2"/>
        <v>-2.7051232871750708E-2</v>
      </c>
      <c r="D157" s="67">
        <f>(Table1345[[#This Row],[Index]]-B145)/B145</f>
        <v>4.4575989875440383E-2</v>
      </c>
    </row>
    <row r="158" spans="1:4" x14ac:dyDescent="0.2">
      <c r="A158" s="17">
        <v>30895</v>
      </c>
      <c r="B158" s="59">
        <f>VLOOKUP(Table1345[[#This Row],[Date]],database!A:I,9,)</f>
        <v>59.723999999999997</v>
      </c>
      <c r="C158" s="67">
        <f t="shared" si="2"/>
        <v>1.0606255457111358E-2</v>
      </c>
      <c r="D158" s="67">
        <f>(Table1345[[#This Row],[Index]]-B146)/B146</f>
        <v>1.4491030373240392E-2</v>
      </c>
    </row>
    <row r="159" spans="1:4" x14ac:dyDescent="0.2">
      <c r="A159" s="17">
        <v>30926</v>
      </c>
      <c r="B159" s="59">
        <f>VLOOKUP(Table1345[[#This Row],[Date]],database!A:I,9,)</f>
        <v>59.101700000000001</v>
      </c>
      <c r="C159" s="67">
        <f t="shared" si="2"/>
        <v>-1.0419596812001775E-2</v>
      </c>
      <c r="D159" s="67">
        <f>(Table1345[[#This Row],[Index]]-B147)/B147</f>
        <v>6.4077894744012046E-3</v>
      </c>
    </row>
    <row r="160" spans="1:4" x14ac:dyDescent="0.2">
      <c r="A160" s="17">
        <v>30956</v>
      </c>
      <c r="B160" s="59">
        <f>VLOOKUP(Table1345[[#This Row],[Date]],database!A:I,9,)</f>
        <v>59.07</v>
      </c>
      <c r="C160" s="67">
        <f t="shared" si="2"/>
        <v>-5.3636359021824731E-4</v>
      </c>
      <c r="D160" s="67">
        <f>(Table1345[[#This Row],[Index]]-B148)/B148</f>
        <v>2.2016523206021037E-2</v>
      </c>
    </row>
    <row r="161" spans="1:4" x14ac:dyDescent="0.2">
      <c r="A161" s="17">
        <v>30987</v>
      </c>
      <c r="B161" s="59">
        <f>VLOOKUP(Table1345[[#This Row],[Date]],database!A:I,9,)</f>
        <v>59.827800000000003</v>
      </c>
      <c r="C161" s="67">
        <f t="shared" si="2"/>
        <v>1.2828847130523124E-2</v>
      </c>
      <c r="D161" s="67">
        <f>(Table1345[[#This Row],[Index]]-B149)/B149</f>
        <v>2.888304559204662E-2</v>
      </c>
    </row>
    <row r="162" spans="1:4" x14ac:dyDescent="0.2">
      <c r="A162" s="17">
        <v>31017</v>
      </c>
      <c r="B162" s="59">
        <f>VLOOKUP(Table1345[[#This Row],[Date]],database!A:I,9,)</f>
        <v>58.823799999999999</v>
      </c>
      <c r="C162" s="67">
        <f t="shared" si="2"/>
        <v>-1.6781496227506354E-2</v>
      </c>
      <c r="D162" s="67">
        <f>(Table1345[[#This Row],[Index]]-B150)/B150</f>
        <v>-3.3496816594783305E-2</v>
      </c>
    </row>
    <row r="163" spans="1:4" x14ac:dyDescent="0.2">
      <c r="A163" s="17">
        <v>31048</v>
      </c>
      <c r="B163" s="59">
        <f>VLOOKUP(Table1345[[#This Row],[Date]],database!A:I,9,)</f>
        <v>61.299199999999999</v>
      </c>
      <c r="C163" s="67">
        <f t="shared" si="2"/>
        <v>4.2081606424610563E-2</v>
      </c>
      <c r="D163" s="67">
        <f>(Table1345[[#This Row],[Index]]-B151)/B151</f>
        <v>1.0800703117528159E-2</v>
      </c>
    </row>
    <row r="164" spans="1:4" x14ac:dyDescent="0.2">
      <c r="A164" s="17">
        <v>31079</v>
      </c>
      <c r="B164" s="59">
        <f>VLOOKUP(Table1345[[#This Row],[Date]],database!A:I,9,)</f>
        <v>63.43</v>
      </c>
      <c r="C164" s="67">
        <f t="shared" si="2"/>
        <v>3.4760649404886212E-2</v>
      </c>
      <c r="D164" s="67">
        <f>(Table1345[[#This Row],[Index]]-B152)/B152</f>
        <v>6.8600694093466807E-2</v>
      </c>
    </row>
    <row r="165" spans="1:4" x14ac:dyDescent="0.2">
      <c r="A165" s="17">
        <v>31107</v>
      </c>
      <c r="B165" s="59">
        <f>VLOOKUP(Table1345[[#This Row],[Date]],database!A:I,9,)</f>
        <v>60.510199999999998</v>
      </c>
      <c r="C165" s="67">
        <f t="shared" si="2"/>
        <v>-4.6031846129591658E-2</v>
      </c>
      <c r="D165" s="67">
        <f>(Table1345[[#This Row],[Index]]-B153)/B153</f>
        <v>-5.000468639777246E-3</v>
      </c>
    </row>
    <row r="166" spans="1:4" x14ac:dyDescent="0.2">
      <c r="A166" s="17">
        <v>31138</v>
      </c>
      <c r="B166" s="59">
        <f>VLOOKUP(Table1345[[#This Row],[Date]],database!A:I,9,)</f>
        <v>61.102800000000002</v>
      </c>
      <c r="C166" s="67">
        <f t="shared" si="2"/>
        <v>9.7933902052877997E-3</v>
      </c>
      <c r="D166" s="67">
        <f>(Table1345[[#This Row],[Index]]-B154)/B154</f>
        <v>1.0003702626219942E-2</v>
      </c>
    </row>
    <row r="167" spans="1:4" x14ac:dyDescent="0.2">
      <c r="A167" s="17">
        <v>31168</v>
      </c>
      <c r="B167" s="59">
        <f>VLOOKUP(Table1345[[#This Row],[Date]],database!A:I,9,)</f>
        <v>60.967100000000002</v>
      </c>
      <c r="C167" s="67">
        <f t="shared" si="2"/>
        <v>-2.220847489804112E-3</v>
      </c>
      <c r="D167" s="67">
        <f>(Table1345[[#This Row],[Index]]-B155)/B155</f>
        <v>-1.5705091462915402E-3</v>
      </c>
    </row>
    <row r="168" spans="1:4" x14ac:dyDescent="0.2">
      <c r="A168" s="17">
        <v>31199</v>
      </c>
      <c r="B168" s="59">
        <f>VLOOKUP(Table1345[[#This Row],[Date]],database!A:I,9,)</f>
        <v>60.4238</v>
      </c>
      <c r="C168" s="67">
        <f t="shared" si="2"/>
        <v>-8.9113636699138521E-3</v>
      </c>
      <c r="D168" s="67">
        <f>(Table1345[[#This Row],[Index]]-B156)/B156</f>
        <v>-5.2107085411168168E-3</v>
      </c>
    </row>
    <row r="169" spans="1:4" x14ac:dyDescent="0.2">
      <c r="A169" s="17">
        <v>31229</v>
      </c>
      <c r="B169" s="59">
        <f>VLOOKUP(Table1345[[#This Row],[Date]],database!A:I,9,)</f>
        <v>60.637099999999997</v>
      </c>
      <c r="C169" s="67">
        <f t="shared" si="2"/>
        <v>3.5300659673835888E-3</v>
      </c>
      <c r="D169" s="67">
        <f>(Table1345[[#This Row],[Index]]-B157)/B157</f>
        <v>2.6057072077864871E-2</v>
      </c>
    </row>
    <row r="170" spans="1:4" x14ac:dyDescent="0.2">
      <c r="A170" s="17">
        <v>31260</v>
      </c>
      <c r="B170" s="59">
        <f>VLOOKUP(Table1345[[#This Row],[Date]],database!A:I,9,)</f>
        <v>60.5032</v>
      </c>
      <c r="C170" s="67">
        <f t="shared" si="2"/>
        <v>-2.2082190606080854E-3</v>
      </c>
      <c r="D170" s="67">
        <f>(Table1345[[#This Row],[Index]]-B158)/B158</f>
        <v>1.3046681401111832E-2</v>
      </c>
    </row>
    <row r="171" spans="1:4" x14ac:dyDescent="0.2">
      <c r="A171" s="17">
        <v>31291</v>
      </c>
      <c r="B171" s="59">
        <f>VLOOKUP(Table1345[[#This Row],[Date]],database!A:I,9,)</f>
        <v>61.673699999999997</v>
      </c>
      <c r="C171" s="67">
        <f t="shared" si="2"/>
        <v>1.9346084174060252E-2</v>
      </c>
      <c r="D171" s="67">
        <f>(Table1345[[#This Row],[Index]]-B159)/B159</f>
        <v>4.3518206752089963E-2</v>
      </c>
    </row>
    <row r="172" spans="1:4" x14ac:dyDescent="0.2">
      <c r="A172" s="17">
        <v>31321</v>
      </c>
      <c r="B172" s="59">
        <f>VLOOKUP(Table1345[[#This Row],[Date]],database!A:I,9,)</f>
        <v>61.118899999999996</v>
      </c>
      <c r="C172" s="67">
        <f t="shared" si="2"/>
        <v>-8.9957307571947309E-3</v>
      </c>
      <c r="D172" s="67">
        <f>(Table1345[[#This Row],[Index]]-B160)/B160</f>
        <v>3.4685965803284174E-2</v>
      </c>
    </row>
    <row r="173" spans="1:4" x14ac:dyDescent="0.2">
      <c r="A173" s="17">
        <v>31352</v>
      </c>
      <c r="B173" s="59">
        <f>VLOOKUP(Table1345[[#This Row],[Date]],database!A:I,9,)</f>
        <v>61.014200000000002</v>
      </c>
      <c r="C173" s="67">
        <f t="shared" si="2"/>
        <v>-1.7130543907039053E-3</v>
      </c>
      <c r="D173" s="67">
        <f>(Table1345[[#This Row],[Index]]-B161)/B161</f>
        <v>1.9830246139754412E-2</v>
      </c>
    </row>
    <row r="174" spans="1:4" x14ac:dyDescent="0.2">
      <c r="A174" s="17">
        <v>31382</v>
      </c>
      <c r="B174" s="59">
        <f>VLOOKUP(Table1345[[#This Row],[Date]],database!A:I,9,)</f>
        <v>63.918799999999997</v>
      </c>
      <c r="C174" s="67">
        <f t="shared" si="2"/>
        <v>4.76053115504258E-2</v>
      </c>
      <c r="D174" s="67">
        <f>(Table1345[[#This Row],[Index]]-B162)/B162</f>
        <v>8.6614601572832753E-2</v>
      </c>
    </row>
    <row r="175" spans="1:4" x14ac:dyDescent="0.2">
      <c r="A175" s="17">
        <v>31413</v>
      </c>
      <c r="B175" s="59">
        <f>VLOOKUP(Table1345[[#This Row],[Date]],database!A:I,9,)</f>
        <v>61.895899999999997</v>
      </c>
      <c r="C175" s="67">
        <f t="shared" si="2"/>
        <v>-3.1647965856680615E-2</v>
      </c>
      <c r="D175" s="67">
        <f>(Table1345[[#This Row],[Index]]-B163)/B163</f>
        <v>9.7342216537899106E-3</v>
      </c>
    </row>
    <row r="176" spans="1:4" x14ac:dyDescent="0.2">
      <c r="A176" s="17">
        <v>31444</v>
      </c>
      <c r="B176" s="59">
        <f>VLOOKUP(Table1345[[#This Row],[Date]],database!A:I,9,)</f>
        <v>61.363500000000002</v>
      </c>
      <c r="C176" s="67">
        <f t="shared" si="2"/>
        <v>-8.6015390357033761E-3</v>
      </c>
      <c r="D176" s="67">
        <f>(Table1345[[#This Row],[Index]]-B164)/B164</f>
        <v>-3.2579221188711933E-2</v>
      </c>
    </row>
    <row r="177" spans="1:4" x14ac:dyDescent="0.2">
      <c r="A177" s="17">
        <v>31472</v>
      </c>
      <c r="B177" s="59">
        <f>VLOOKUP(Table1345[[#This Row],[Date]],database!A:I,9,)</f>
        <v>60.503399999999999</v>
      </c>
      <c r="C177" s="67">
        <f t="shared" si="2"/>
        <v>-1.401647559216801E-2</v>
      </c>
      <c r="D177" s="67">
        <f>(Table1345[[#This Row],[Index]]-B165)/B165</f>
        <v>-1.123777478838008E-4</v>
      </c>
    </row>
    <row r="178" spans="1:4" x14ac:dyDescent="0.2">
      <c r="A178" s="17">
        <v>31503</v>
      </c>
      <c r="B178" s="59">
        <f>VLOOKUP(Table1345[[#This Row],[Date]],database!A:I,9,)</f>
        <v>60.863</v>
      </c>
      <c r="C178" s="67">
        <f t="shared" si="2"/>
        <v>5.9434676398351094E-3</v>
      </c>
      <c r="D178" s="67">
        <f>(Table1345[[#This Row],[Index]]-B166)/B166</f>
        <v>-3.9245337365882158E-3</v>
      </c>
    </row>
    <row r="179" spans="1:4" x14ac:dyDescent="0.2">
      <c r="A179" s="17">
        <v>31533</v>
      </c>
      <c r="B179" s="59">
        <f>VLOOKUP(Table1345[[#This Row],[Date]],database!A:I,9,)</f>
        <v>61.572600000000001</v>
      </c>
      <c r="C179" s="67">
        <f t="shared" si="2"/>
        <v>1.1658971789100248E-2</v>
      </c>
      <c r="D179" s="67">
        <f>(Table1345[[#This Row],[Index]]-B167)/B167</f>
        <v>9.9315860521494263E-3</v>
      </c>
    </row>
    <row r="180" spans="1:4" x14ac:dyDescent="0.2">
      <c r="A180" s="17">
        <v>31564</v>
      </c>
      <c r="B180" s="59">
        <f>VLOOKUP(Table1345[[#This Row],[Date]],database!A:I,9,)</f>
        <v>61.933700000000002</v>
      </c>
      <c r="C180" s="67">
        <f t="shared" si="2"/>
        <v>5.8646216011668528E-3</v>
      </c>
      <c r="D180" s="67">
        <f>(Table1345[[#This Row],[Index]]-B168)/B168</f>
        <v>2.4988497909764065E-2</v>
      </c>
    </row>
    <row r="181" spans="1:4" x14ac:dyDescent="0.2">
      <c r="A181" s="17">
        <v>31594</v>
      </c>
      <c r="B181" s="59">
        <f>VLOOKUP(Table1345[[#This Row],[Date]],database!A:I,9,)</f>
        <v>63.050800000000002</v>
      </c>
      <c r="C181" s="67">
        <f t="shared" si="2"/>
        <v>1.803702992070555E-2</v>
      </c>
      <c r="D181" s="67">
        <f>(Table1345[[#This Row],[Index]]-B169)/B169</f>
        <v>3.9805663529423503E-2</v>
      </c>
    </row>
    <row r="182" spans="1:4" x14ac:dyDescent="0.2">
      <c r="A182" s="17">
        <v>31625</v>
      </c>
      <c r="B182" s="59">
        <f>VLOOKUP(Table1345[[#This Row],[Date]],database!A:I,9,)</f>
        <v>61.499000000000002</v>
      </c>
      <c r="C182" s="67">
        <f t="shared" si="2"/>
        <v>-2.4611900245516294E-2</v>
      </c>
      <c r="D182" s="67">
        <f>(Table1345[[#This Row],[Index]]-B170)/B170</f>
        <v>1.6458633592933973E-2</v>
      </c>
    </row>
    <row r="183" spans="1:4" x14ac:dyDescent="0.2">
      <c r="A183" s="17">
        <v>31656</v>
      </c>
      <c r="B183" s="59">
        <f>VLOOKUP(Table1345[[#This Row],[Date]],database!A:I,9,)</f>
        <v>62.091999999999999</v>
      </c>
      <c r="C183" s="67">
        <f t="shared" si="2"/>
        <v>9.6424332102960086E-3</v>
      </c>
      <c r="D183" s="67">
        <f>(Table1345[[#This Row],[Index]]-B171)/B171</f>
        <v>6.7824696750803364E-3</v>
      </c>
    </row>
    <row r="184" spans="1:4" x14ac:dyDescent="0.2">
      <c r="A184" s="17">
        <v>31686</v>
      </c>
      <c r="B184" s="59">
        <f>VLOOKUP(Table1345[[#This Row],[Date]],database!A:I,9,)</f>
        <v>62.491799999999998</v>
      </c>
      <c r="C184" s="67">
        <f t="shared" si="2"/>
        <v>6.4388326998647827E-3</v>
      </c>
      <c r="D184" s="67">
        <f>(Table1345[[#This Row],[Index]]-B172)/B172</f>
        <v>2.2462773381065455E-2</v>
      </c>
    </row>
    <row r="185" spans="1:4" x14ac:dyDescent="0.2">
      <c r="A185" s="17">
        <v>31717</v>
      </c>
      <c r="B185" s="59">
        <f>VLOOKUP(Table1345[[#This Row],[Date]],database!A:I,9,)</f>
        <v>62.521500000000003</v>
      </c>
      <c r="C185" s="67">
        <f t="shared" si="2"/>
        <v>4.7526235442107989E-4</v>
      </c>
      <c r="D185" s="67">
        <f>(Table1345[[#This Row],[Index]]-B173)/B173</f>
        <v>2.4704085278508949E-2</v>
      </c>
    </row>
    <row r="186" spans="1:4" x14ac:dyDescent="0.2">
      <c r="A186" s="17">
        <v>31747</v>
      </c>
      <c r="B186" s="59">
        <f>VLOOKUP(Table1345[[#This Row],[Date]],database!A:I,9,)</f>
        <v>63.403199999999998</v>
      </c>
      <c r="C186" s="67">
        <f t="shared" si="2"/>
        <v>1.4102348792015551E-2</v>
      </c>
      <c r="D186" s="67">
        <f>(Table1345[[#This Row],[Index]]-B174)/B174</f>
        <v>-8.0664843520216155E-3</v>
      </c>
    </row>
    <row r="187" spans="1:4" x14ac:dyDescent="0.2">
      <c r="A187" s="17">
        <v>31778</v>
      </c>
      <c r="B187" s="59">
        <f>VLOOKUP(Table1345[[#This Row],[Date]],database!A:I,9,)</f>
        <v>62.491999999999997</v>
      </c>
      <c r="C187" s="67">
        <f t="shared" si="2"/>
        <v>-1.4371514371514404E-2</v>
      </c>
      <c r="D187" s="67">
        <f>(Table1345[[#This Row],[Index]]-B175)/B175</f>
        <v>9.630686362101527E-3</v>
      </c>
    </row>
    <row r="188" spans="1:4" x14ac:dyDescent="0.2">
      <c r="A188" s="17">
        <v>31809</v>
      </c>
      <c r="B188" s="59">
        <f>VLOOKUP(Table1345[[#This Row],[Date]],database!A:I,9,)</f>
        <v>63.094700000000003</v>
      </c>
      <c r="C188" s="67">
        <f t="shared" si="2"/>
        <v>9.6444344876145394E-3</v>
      </c>
      <c r="D188" s="67">
        <f>(Table1345[[#This Row],[Index]]-B176)/B176</f>
        <v>2.8212210841950039E-2</v>
      </c>
    </row>
    <row r="189" spans="1:4" x14ac:dyDescent="0.2">
      <c r="A189" s="17">
        <v>31837</v>
      </c>
      <c r="B189" s="59">
        <f>VLOOKUP(Table1345[[#This Row],[Date]],database!A:I,9,)</f>
        <v>63.766800000000003</v>
      </c>
      <c r="C189" s="67">
        <f t="shared" si="2"/>
        <v>1.0652241788929873E-2</v>
      </c>
      <c r="D189" s="67">
        <f>(Table1345[[#This Row],[Index]]-B177)/B177</f>
        <v>5.3937464671406969E-2</v>
      </c>
    </row>
    <row r="190" spans="1:4" x14ac:dyDescent="0.2">
      <c r="A190" s="17">
        <v>31868</v>
      </c>
      <c r="B190" s="59">
        <f>VLOOKUP(Table1345[[#This Row],[Date]],database!A:I,9,)</f>
        <v>64.386499999999998</v>
      </c>
      <c r="C190" s="67">
        <f t="shared" si="2"/>
        <v>9.7182232760619769E-3</v>
      </c>
      <c r="D190" s="67">
        <f>(Table1345[[#This Row],[Index]]-B178)/B178</f>
        <v>5.7892315528317674E-2</v>
      </c>
    </row>
    <row r="191" spans="1:4" x14ac:dyDescent="0.2">
      <c r="A191" s="17">
        <v>31898</v>
      </c>
      <c r="B191" s="59">
        <f>VLOOKUP(Table1345[[#This Row],[Date]],database!A:I,9,)</f>
        <v>64.854699999999994</v>
      </c>
      <c r="C191" s="67">
        <f t="shared" si="2"/>
        <v>7.2717106846931223E-3</v>
      </c>
      <c r="D191" s="67">
        <f>(Table1345[[#This Row],[Index]]-B179)/B179</f>
        <v>5.3304554298502789E-2</v>
      </c>
    </row>
    <row r="192" spans="1:4" x14ac:dyDescent="0.2">
      <c r="A192" s="17">
        <v>31929</v>
      </c>
      <c r="B192" s="59">
        <f>VLOOKUP(Table1345[[#This Row],[Date]],database!A:I,9,)</f>
        <v>65.587000000000003</v>
      </c>
      <c r="C192" s="67">
        <f t="shared" si="2"/>
        <v>1.1291394455606341E-2</v>
      </c>
      <c r="D192" s="67">
        <f>(Table1345[[#This Row],[Index]]-B180)/B180</f>
        <v>5.8987271872986781E-2</v>
      </c>
    </row>
    <row r="193" spans="1:4" x14ac:dyDescent="0.2">
      <c r="A193" s="17">
        <v>31959</v>
      </c>
      <c r="B193" s="59">
        <f>VLOOKUP(Table1345[[#This Row],[Date]],database!A:I,9,)</f>
        <v>65.703000000000003</v>
      </c>
      <c r="C193" s="67">
        <f t="shared" si="2"/>
        <v>1.7686431762391486E-3</v>
      </c>
      <c r="D193" s="67">
        <f>(Table1345[[#This Row],[Index]]-B181)/B181</f>
        <v>4.2064494027038525E-2</v>
      </c>
    </row>
    <row r="194" spans="1:4" x14ac:dyDescent="0.2">
      <c r="A194" s="17">
        <v>31990</v>
      </c>
      <c r="B194" s="59">
        <f>VLOOKUP(Table1345[[#This Row],[Date]],database!A:I,9,)</f>
        <v>66.573800000000006</v>
      </c>
      <c r="C194" s="67">
        <f t="shared" si="2"/>
        <v>1.3253580506217499E-2</v>
      </c>
      <c r="D194" s="67">
        <f>(Table1345[[#This Row],[Index]]-B182)/B182</f>
        <v>8.2518414933576201E-2</v>
      </c>
    </row>
    <row r="195" spans="1:4" x14ac:dyDescent="0.2">
      <c r="A195" s="17">
        <v>32021</v>
      </c>
      <c r="B195" s="59">
        <f>VLOOKUP(Table1345[[#This Row],[Date]],database!A:I,9,)</f>
        <v>65.163799999999995</v>
      </c>
      <c r="C195" s="67">
        <f t="shared" si="2"/>
        <v>-2.1179503047745629E-2</v>
      </c>
      <c r="D195" s="67">
        <f>(Table1345[[#This Row],[Index]]-B183)/B183</f>
        <v>4.9471751594408232E-2</v>
      </c>
    </row>
    <row r="196" spans="1:4" x14ac:dyDescent="0.2">
      <c r="A196" s="17">
        <v>32051</v>
      </c>
      <c r="B196" s="59">
        <f>VLOOKUP(Table1345[[#This Row],[Date]],database!A:I,9,)</f>
        <v>65.807000000000002</v>
      </c>
      <c r="C196" s="67">
        <f t="shared" si="2"/>
        <v>9.8705109278465208E-3</v>
      </c>
      <c r="D196" s="67">
        <f>(Table1345[[#This Row],[Index]]-B184)/B184</f>
        <v>5.3050160181015819E-2</v>
      </c>
    </row>
    <row r="197" spans="1:4" x14ac:dyDescent="0.2">
      <c r="A197" s="17">
        <v>32082</v>
      </c>
      <c r="B197" s="59">
        <f>VLOOKUP(Table1345[[#This Row],[Date]],database!A:I,9,)</f>
        <v>65.831000000000003</v>
      </c>
      <c r="C197" s="67">
        <f t="shared" si="2"/>
        <v>3.6470284316258983E-4</v>
      </c>
      <c r="D197" s="67">
        <f>(Table1345[[#This Row],[Index]]-B185)/B185</f>
        <v>5.2933790775973058E-2</v>
      </c>
    </row>
    <row r="198" spans="1:4" x14ac:dyDescent="0.2">
      <c r="A198" s="17">
        <v>32112</v>
      </c>
      <c r="B198" s="59">
        <f>VLOOKUP(Table1345[[#This Row],[Date]],database!A:I,9,)</f>
        <v>65.838700000000003</v>
      </c>
      <c r="C198" s="67">
        <f t="shared" si="2"/>
        <v>1.1696617095280359E-4</v>
      </c>
      <c r="D198" s="67">
        <f>(Table1345[[#This Row],[Index]]-B186)/B186</f>
        <v>3.8412887677593634E-2</v>
      </c>
    </row>
    <row r="199" spans="1:4" x14ac:dyDescent="0.2">
      <c r="A199" s="17">
        <v>32143</v>
      </c>
      <c r="B199" s="59">
        <f>VLOOKUP(Table1345[[#This Row],[Date]],database!A:I,9,)</f>
        <v>67.639899999999997</v>
      </c>
      <c r="C199" s="67">
        <f t="shared" si="2"/>
        <v>2.7357769822307976E-2</v>
      </c>
      <c r="D199" s="67">
        <f>(Table1345[[#This Row],[Index]]-B187)/B187</f>
        <v>8.2376944248863854E-2</v>
      </c>
    </row>
    <row r="200" spans="1:4" x14ac:dyDescent="0.2">
      <c r="A200" s="17">
        <v>32174</v>
      </c>
      <c r="B200" s="59">
        <f>VLOOKUP(Table1345[[#This Row],[Date]],database!A:I,9,)</f>
        <v>69.045000000000002</v>
      </c>
      <c r="C200" s="67">
        <f t="shared" ref="C200:C263" si="3">B200/B199-1</f>
        <v>2.0773241829157074E-2</v>
      </c>
      <c r="D200" s="67">
        <f>(Table1345[[#This Row],[Index]]-B188)/B188</f>
        <v>9.4307445791801822E-2</v>
      </c>
    </row>
    <row r="201" spans="1:4" x14ac:dyDescent="0.2">
      <c r="A201" s="17">
        <v>32203</v>
      </c>
      <c r="B201" s="59">
        <f>VLOOKUP(Table1345[[#This Row],[Date]],database!A:I,9,)</f>
        <v>68.786199999999994</v>
      </c>
      <c r="C201" s="67">
        <f t="shared" si="3"/>
        <v>-3.7482801071765381E-3</v>
      </c>
      <c r="D201" s="67">
        <f>(Table1345[[#This Row],[Index]]-B189)/B189</f>
        <v>7.8714942571996557E-2</v>
      </c>
    </row>
    <row r="202" spans="1:4" x14ac:dyDescent="0.2">
      <c r="A202" s="17">
        <v>32234</v>
      </c>
      <c r="B202" s="59">
        <f>VLOOKUP(Table1345[[#This Row],[Date]],database!A:I,9,)</f>
        <v>68.033199999999994</v>
      </c>
      <c r="C202" s="67">
        <f t="shared" si="3"/>
        <v>-1.0946963199013782E-2</v>
      </c>
      <c r="D202" s="67">
        <f>(Table1345[[#This Row],[Index]]-B190)/B190</f>
        <v>5.66376491966483E-2</v>
      </c>
    </row>
    <row r="203" spans="1:4" x14ac:dyDescent="0.2">
      <c r="A203" s="17">
        <v>32264</v>
      </c>
      <c r="B203" s="59">
        <f>VLOOKUP(Table1345[[#This Row],[Date]],database!A:I,9,)</f>
        <v>67.806399999999996</v>
      </c>
      <c r="C203" s="67">
        <f t="shared" si="3"/>
        <v>-3.3336665040009095E-3</v>
      </c>
      <c r="D203" s="67">
        <f>(Table1345[[#This Row],[Index]]-B191)/B191</f>
        <v>4.5512507189147476E-2</v>
      </c>
    </row>
    <row r="204" spans="1:4" x14ac:dyDescent="0.2">
      <c r="A204" s="17">
        <v>32295</v>
      </c>
      <c r="B204" s="59">
        <f>VLOOKUP(Table1345[[#This Row],[Date]],database!A:I,9,)</f>
        <v>68.709400000000002</v>
      </c>
      <c r="C204" s="67">
        <f t="shared" si="3"/>
        <v>1.3317326977984489E-2</v>
      </c>
      <c r="D204" s="67">
        <f>(Table1345[[#This Row],[Index]]-B192)/B192</f>
        <v>4.7606995288700486E-2</v>
      </c>
    </row>
    <row r="205" spans="1:4" x14ac:dyDescent="0.2">
      <c r="A205" s="17">
        <v>32325</v>
      </c>
      <c r="B205" s="59">
        <f>VLOOKUP(Table1345[[#This Row],[Date]],database!A:I,9,)</f>
        <v>69.371600000000001</v>
      </c>
      <c r="C205" s="67">
        <f t="shared" si="3"/>
        <v>9.6376914949045656E-3</v>
      </c>
      <c r="D205" s="67">
        <f>(Table1345[[#This Row],[Index]]-B193)/B193</f>
        <v>5.5836110984277702E-2</v>
      </c>
    </row>
    <row r="206" spans="1:4" x14ac:dyDescent="0.2">
      <c r="A206" s="17">
        <v>32356</v>
      </c>
      <c r="B206" s="59">
        <f>VLOOKUP(Table1345[[#This Row],[Date]],database!A:I,9,)</f>
        <v>71.790099999999995</v>
      </c>
      <c r="C206" s="67">
        <f t="shared" si="3"/>
        <v>3.4862969860865123E-2</v>
      </c>
      <c r="D206" s="67">
        <f>(Table1345[[#This Row],[Index]]-B194)/B194</f>
        <v>7.8353646629755094E-2</v>
      </c>
    </row>
    <row r="207" spans="1:4" x14ac:dyDescent="0.2">
      <c r="A207" s="17">
        <v>32387</v>
      </c>
      <c r="B207" s="59">
        <f>VLOOKUP(Table1345[[#This Row],[Date]],database!A:I,9,)</f>
        <v>68.496300000000005</v>
      </c>
      <c r="C207" s="67">
        <f t="shared" si="3"/>
        <v>-4.5880978017860286E-2</v>
      </c>
      <c r="D207" s="67">
        <f>(Table1345[[#This Row],[Index]]-B195)/B195</f>
        <v>5.1140357069416005E-2</v>
      </c>
    </row>
    <row r="208" spans="1:4" x14ac:dyDescent="0.2">
      <c r="A208" s="17">
        <v>32417</v>
      </c>
      <c r="B208" s="59">
        <f>VLOOKUP(Table1345[[#This Row],[Date]],database!A:I,9,)</f>
        <v>68.964399999999998</v>
      </c>
      <c r="C208" s="67">
        <f t="shared" si="3"/>
        <v>6.8339457751731558E-3</v>
      </c>
      <c r="D208" s="67">
        <f>(Table1345[[#This Row],[Index]]-B196)/B196</f>
        <v>4.797969820839721E-2</v>
      </c>
    </row>
    <row r="209" spans="1:4" x14ac:dyDescent="0.2">
      <c r="A209" s="17">
        <v>32448</v>
      </c>
      <c r="B209" s="59">
        <f>VLOOKUP(Table1345[[#This Row],[Date]],database!A:I,9,)</f>
        <v>68.608699999999999</v>
      </c>
      <c r="C209" s="67">
        <f t="shared" si="3"/>
        <v>-5.1577335552835946E-3</v>
      </c>
      <c r="D209" s="67">
        <f>(Table1345[[#This Row],[Index]]-B197)/B197</f>
        <v>4.2194406890370732E-2</v>
      </c>
    </row>
    <row r="210" spans="1:4" x14ac:dyDescent="0.2">
      <c r="A210" s="17">
        <v>32478</v>
      </c>
      <c r="B210" s="59">
        <f>VLOOKUP(Table1345[[#This Row],[Date]],database!A:I,9,)</f>
        <v>69.022900000000007</v>
      </c>
      <c r="C210" s="67">
        <f t="shared" si="3"/>
        <v>6.0371352321209049E-3</v>
      </c>
      <c r="D210" s="67">
        <f>(Table1345[[#This Row],[Index]]-B198)/B198</f>
        <v>4.8363652380742694E-2</v>
      </c>
    </row>
    <row r="211" spans="1:4" x14ac:dyDescent="0.2">
      <c r="A211" s="17">
        <v>32509</v>
      </c>
      <c r="B211" s="59">
        <f>VLOOKUP(Table1345[[#This Row],[Date]],database!A:I,9,)</f>
        <v>66.712599999999995</v>
      </c>
      <c r="C211" s="67">
        <f t="shared" si="3"/>
        <v>-3.3471500038393276E-2</v>
      </c>
      <c r="D211" s="67">
        <f>(Table1345[[#This Row],[Index]]-B199)/B199</f>
        <v>-1.3709363851809398E-2</v>
      </c>
    </row>
    <row r="212" spans="1:4" x14ac:dyDescent="0.2">
      <c r="A212" s="17">
        <v>32540</v>
      </c>
      <c r="B212" s="59">
        <f>VLOOKUP(Table1345[[#This Row],[Date]],database!A:I,9,)</f>
        <v>70.064300000000003</v>
      </c>
      <c r="C212" s="67">
        <f t="shared" si="3"/>
        <v>5.0240884030902766E-2</v>
      </c>
      <c r="D212" s="67">
        <f>(Table1345[[#This Row],[Index]]-B200)/B200</f>
        <v>1.4762835831703978E-2</v>
      </c>
    </row>
    <row r="213" spans="1:4" x14ac:dyDescent="0.2">
      <c r="A213" s="17">
        <v>32568</v>
      </c>
      <c r="B213" s="59">
        <f>VLOOKUP(Table1345[[#This Row],[Date]],database!A:I,9,)</f>
        <v>71.925600000000003</v>
      </c>
      <c r="C213" s="67">
        <f t="shared" si="3"/>
        <v>2.6565597601060809E-2</v>
      </c>
      <c r="D213" s="67">
        <f>(Table1345[[#This Row],[Index]]-B201)/B201</f>
        <v>4.5639968482050312E-2</v>
      </c>
    </row>
    <row r="214" spans="1:4" x14ac:dyDescent="0.2">
      <c r="A214" s="17">
        <v>32599</v>
      </c>
      <c r="B214" s="59">
        <f>VLOOKUP(Table1345[[#This Row],[Date]],database!A:I,9,)</f>
        <v>69.966999999999999</v>
      </c>
      <c r="C214" s="67">
        <f t="shared" si="3"/>
        <v>-2.7230916391382309E-2</v>
      </c>
      <c r="D214" s="67">
        <f>(Table1345[[#This Row],[Index]]-B202)/B202</f>
        <v>2.8424357519564056E-2</v>
      </c>
    </row>
    <row r="215" spans="1:4" x14ac:dyDescent="0.2">
      <c r="A215" s="17">
        <v>32629</v>
      </c>
      <c r="B215" s="59">
        <f>VLOOKUP(Table1345[[#This Row],[Date]],database!A:I,9,)</f>
        <v>70.298000000000002</v>
      </c>
      <c r="C215" s="67">
        <f t="shared" si="3"/>
        <v>4.7308016636413708E-3</v>
      </c>
      <c r="D215" s="67">
        <f>(Table1345[[#This Row],[Index]]-B203)/B203</f>
        <v>3.674579390735986E-2</v>
      </c>
    </row>
    <row r="216" spans="1:4" x14ac:dyDescent="0.2">
      <c r="A216" s="17">
        <v>32660</v>
      </c>
      <c r="B216" s="59">
        <f>VLOOKUP(Table1345[[#This Row],[Date]],database!A:I,9,)</f>
        <v>70.128100000000003</v>
      </c>
      <c r="C216" s="67">
        <f t="shared" si="3"/>
        <v>-2.4168539645509357E-3</v>
      </c>
      <c r="D216" s="67">
        <f>(Table1345[[#This Row],[Index]]-B204)/B204</f>
        <v>2.0647829845697983E-2</v>
      </c>
    </row>
    <row r="217" spans="1:4" x14ac:dyDescent="0.2">
      <c r="A217" s="17">
        <v>32690</v>
      </c>
      <c r="B217" s="59">
        <f>VLOOKUP(Table1345[[#This Row],[Date]],database!A:I,9,)</f>
        <v>70.494900000000001</v>
      </c>
      <c r="C217" s="67">
        <f t="shared" si="3"/>
        <v>5.230428316181257E-3</v>
      </c>
      <c r="D217" s="67">
        <f>(Table1345[[#This Row],[Index]]-B205)/B205</f>
        <v>1.6192505290349369E-2</v>
      </c>
    </row>
    <row r="218" spans="1:4" x14ac:dyDescent="0.2">
      <c r="A218" s="17">
        <v>32721</v>
      </c>
      <c r="B218" s="59">
        <f>VLOOKUP(Table1345[[#This Row],[Date]],database!A:I,9,)</f>
        <v>71.403800000000004</v>
      </c>
      <c r="C218" s="67">
        <f t="shared" si="3"/>
        <v>1.2893131276163317E-2</v>
      </c>
      <c r="D218" s="67">
        <f>(Table1345[[#This Row],[Index]]-B206)/B206</f>
        <v>-5.3809647848379015E-3</v>
      </c>
    </row>
    <row r="219" spans="1:4" x14ac:dyDescent="0.2">
      <c r="A219" s="17">
        <v>32752</v>
      </c>
      <c r="B219" s="59">
        <f>VLOOKUP(Table1345[[#This Row],[Date]],database!A:I,9,)</f>
        <v>70.462199999999996</v>
      </c>
      <c r="C219" s="67">
        <f t="shared" si="3"/>
        <v>-1.3186973242320543E-2</v>
      </c>
      <c r="D219" s="67">
        <f>(Table1345[[#This Row],[Index]]-B207)/B207</f>
        <v>2.87008203362808E-2</v>
      </c>
    </row>
    <row r="220" spans="1:4" x14ac:dyDescent="0.2">
      <c r="A220" s="17">
        <v>32782</v>
      </c>
      <c r="B220" s="59">
        <f>VLOOKUP(Table1345[[#This Row],[Date]],database!A:I,9,)</f>
        <v>71.375600000000006</v>
      </c>
      <c r="C220" s="67">
        <f t="shared" si="3"/>
        <v>1.2962978731859254E-2</v>
      </c>
      <c r="D220" s="67">
        <f>(Table1345[[#This Row],[Index]]-B208)/B208</f>
        <v>3.4962966400055799E-2</v>
      </c>
    </row>
    <row r="221" spans="1:4" x14ac:dyDescent="0.2">
      <c r="A221" s="17">
        <v>32813</v>
      </c>
      <c r="B221" s="59">
        <f>VLOOKUP(Table1345[[#This Row],[Date]],database!A:I,9,)</f>
        <v>72.044799999999995</v>
      </c>
      <c r="C221" s="67">
        <f t="shared" si="3"/>
        <v>9.3757530584679394E-3</v>
      </c>
      <c r="D221" s="67">
        <f>(Table1345[[#This Row],[Index]]-B209)/B209</f>
        <v>5.0082569703259153E-2</v>
      </c>
    </row>
    <row r="222" spans="1:4" x14ac:dyDescent="0.2">
      <c r="A222" s="17">
        <v>32843</v>
      </c>
      <c r="B222" s="59">
        <f>VLOOKUP(Table1345[[#This Row],[Date]],database!A:I,9,)</f>
        <v>77.233900000000006</v>
      </c>
      <c r="C222" s="67">
        <f t="shared" si="3"/>
        <v>7.2026017144887877E-2</v>
      </c>
      <c r="D222" s="67">
        <f>(Table1345[[#This Row],[Index]]-B210)/B210</f>
        <v>0.11896051890024902</v>
      </c>
    </row>
    <row r="223" spans="1:4" x14ac:dyDescent="0.2">
      <c r="A223" s="17">
        <v>32874</v>
      </c>
      <c r="B223" s="59">
        <f>VLOOKUP(Table1345[[#This Row],[Date]],database!A:I,9,)</f>
        <v>71.405100000000004</v>
      </c>
      <c r="C223" s="67">
        <f t="shared" si="3"/>
        <v>-7.5469450590996967E-2</v>
      </c>
      <c r="D223" s="67">
        <f>(Table1345[[#This Row],[Index]]-B211)/B211</f>
        <v>7.0339036403917851E-2</v>
      </c>
    </row>
    <row r="224" spans="1:4" x14ac:dyDescent="0.2">
      <c r="A224" s="17">
        <v>32905</v>
      </c>
      <c r="B224" s="59">
        <f>VLOOKUP(Table1345[[#This Row],[Date]],database!A:I,9,)</f>
        <v>70.509500000000003</v>
      </c>
      <c r="C224" s="67">
        <f t="shared" si="3"/>
        <v>-1.2542521472555856E-2</v>
      </c>
      <c r="D224" s="67">
        <f>(Table1345[[#This Row],[Index]]-B212)/B212</f>
        <v>6.354163247188651E-3</v>
      </c>
    </row>
    <row r="225" spans="1:4" x14ac:dyDescent="0.2">
      <c r="A225" s="17">
        <v>32933</v>
      </c>
      <c r="B225" s="59">
        <f>VLOOKUP(Table1345[[#This Row],[Date]],database!A:I,9,)</f>
        <v>71.496200000000002</v>
      </c>
      <c r="C225" s="67">
        <f t="shared" si="3"/>
        <v>1.3993858983541108E-2</v>
      </c>
      <c r="D225" s="67">
        <f>(Table1345[[#This Row],[Index]]-B213)/B213</f>
        <v>-5.9700579487692992E-3</v>
      </c>
    </row>
    <row r="226" spans="1:4" x14ac:dyDescent="0.2">
      <c r="A226" s="17">
        <v>32964</v>
      </c>
      <c r="B226" s="59">
        <f>VLOOKUP(Table1345[[#This Row],[Date]],database!A:I,9,)</f>
        <v>71.977999999999994</v>
      </c>
      <c r="C226" s="67">
        <f t="shared" si="3"/>
        <v>6.7388196855215909E-3</v>
      </c>
      <c r="D226" s="67">
        <f>(Table1345[[#This Row],[Index]]-B214)/B214</f>
        <v>2.8742121285748934E-2</v>
      </c>
    </row>
    <row r="227" spans="1:4" x14ac:dyDescent="0.2">
      <c r="A227" s="17">
        <v>32994</v>
      </c>
      <c r="B227" s="59">
        <f>VLOOKUP(Table1345[[#This Row],[Date]],database!A:I,9,)</f>
        <v>72.376400000000004</v>
      </c>
      <c r="C227" s="67">
        <f t="shared" si="3"/>
        <v>5.535024590847426E-3</v>
      </c>
      <c r="D227" s="67">
        <f>(Table1345[[#This Row],[Index]]-B215)/B215</f>
        <v>2.9565563742923014E-2</v>
      </c>
    </row>
    <row r="228" spans="1:4" x14ac:dyDescent="0.2">
      <c r="A228" s="17">
        <v>33025</v>
      </c>
      <c r="B228" s="59">
        <f>VLOOKUP(Table1345[[#This Row],[Date]],database!A:I,9,)</f>
        <v>73.114999999999995</v>
      </c>
      <c r="C228" s="67">
        <f t="shared" si="3"/>
        <v>1.0204983945042656E-2</v>
      </c>
      <c r="D228" s="67">
        <f>(Table1345[[#This Row],[Index]]-B216)/B216</f>
        <v>4.2592056536538012E-2</v>
      </c>
    </row>
    <row r="229" spans="1:4" x14ac:dyDescent="0.2">
      <c r="A229" s="17">
        <v>33055</v>
      </c>
      <c r="B229" s="59">
        <f>VLOOKUP(Table1345[[#This Row],[Date]],database!A:I,9,)</f>
        <v>72.872399999999999</v>
      </c>
      <c r="C229" s="67">
        <f t="shared" si="3"/>
        <v>-3.3180605894822524E-3</v>
      </c>
      <c r="D229" s="67">
        <f>(Table1345[[#This Row],[Index]]-B217)/B217</f>
        <v>3.3725843997225301E-2</v>
      </c>
    </row>
    <row r="230" spans="1:4" x14ac:dyDescent="0.2">
      <c r="A230" s="17">
        <v>33086</v>
      </c>
      <c r="B230" s="59">
        <f>VLOOKUP(Table1345[[#This Row],[Date]],database!A:I,9,)</f>
        <v>73.575900000000004</v>
      </c>
      <c r="C230" s="67">
        <f t="shared" si="3"/>
        <v>9.6538607209315508E-3</v>
      </c>
      <c r="D230" s="67">
        <f>(Table1345[[#This Row],[Index]]-B218)/B218</f>
        <v>3.0419949638534647E-2</v>
      </c>
    </row>
    <row r="231" spans="1:4" x14ac:dyDescent="0.2">
      <c r="A231" s="17">
        <v>33117</v>
      </c>
      <c r="B231" s="59">
        <f>VLOOKUP(Table1345[[#This Row],[Date]],database!A:I,9,)</f>
        <v>74.4452</v>
      </c>
      <c r="C231" s="67">
        <f t="shared" si="3"/>
        <v>1.1815010078028099E-2</v>
      </c>
      <c r="D231" s="67">
        <f>(Table1345[[#This Row],[Index]]-B219)/B219</f>
        <v>5.6526761866646291E-2</v>
      </c>
    </row>
    <row r="232" spans="1:4" x14ac:dyDescent="0.2">
      <c r="A232" s="17">
        <v>33147</v>
      </c>
      <c r="B232" s="59">
        <f>VLOOKUP(Table1345[[#This Row],[Date]],database!A:I,9,)</f>
        <v>73.315100000000001</v>
      </c>
      <c r="C232" s="67">
        <f t="shared" si="3"/>
        <v>-1.5180293692541591E-2</v>
      </c>
      <c r="D232" s="67">
        <f>(Table1345[[#This Row],[Index]]-B220)/B220</f>
        <v>2.717315160923334E-2</v>
      </c>
    </row>
    <row r="233" spans="1:4" x14ac:dyDescent="0.2">
      <c r="A233" s="17">
        <v>33178</v>
      </c>
      <c r="B233" s="59">
        <f>VLOOKUP(Table1345[[#This Row],[Date]],database!A:I,9,)</f>
        <v>71.789599999999993</v>
      </c>
      <c r="C233" s="67">
        <f t="shared" si="3"/>
        <v>-2.0807446215036274E-2</v>
      </c>
      <c r="D233" s="67">
        <f>(Table1345[[#This Row],[Index]]-B221)/B221</f>
        <v>-3.5422403837612445E-3</v>
      </c>
    </row>
    <row r="234" spans="1:4" x14ac:dyDescent="0.2">
      <c r="A234" s="17">
        <v>33208</v>
      </c>
      <c r="B234" s="59">
        <f>VLOOKUP(Table1345[[#This Row],[Date]],database!A:I,9,)</f>
        <v>72.278300000000002</v>
      </c>
      <c r="C234" s="67">
        <f t="shared" si="3"/>
        <v>6.8073927142651147E-3</v>
      </c>
      <c r="D234" s="67">
        <f>(Table1345[[#This Row],[Index]]-B222)/B222</f>
        <v>-6.4163534406523601E-2</v>
      </c>
    </row>
    <row r="235" spans="1:4" x14ac:dyDescent="0.2">
      <c r="A235" s="17">
        <v>33239</v>
      </c>
      <c r="B235" s="59">
        <f>VLOOKUP(Table1345[[#This Row],[Date]],database!A:I,9,)</f>
        <v>73.537400000000005</v>
      </c>
      <c r="C235" s="67">
        <f t="shared" si="3"/>
        <v>1.7420166218629962E-2</v>
      </c>
      <c r="D235" s="67">
        <f>(Table1345[[#This Row],[Index]]-B223)/B223</f>
        <v>2.9862012657359216E-2</v>
      </c>
    </row>
    <row r="236" spans="1:4" x14ac:dyDescent="0.2">
      <c r="A236" s="17">
        <v>33270</v>
      </c>
      <c r="B236" s="59">
        <f>VLOOKUP(Table1345[[#This Row],[Date]],database!A:I,9,)</f>
        <v>71.664900000000003</v>
      </c>
      <c r="C236" s="67">
        <f t="shared" si="3"/>
        <v>-2.5463233674293706E-2</v>
      </c>
      <c r="D236" s="67">
        <f>(Table1345[[#This Row],[Index]]-B224)/B224</f>
        <v>1.6386444379835344E-2</v>
      </c>
    </row>
    <row r="237" spans="1:4" x14ac:dyDescent="0.2">
      <c r="A237" s="17">
        <v>33298</v>
      </c>
      <c r="B237" s="59">
        <f>VLOOKUP(Table1345[[#This Row],[Date]],database!A:I,9,)</f>
        <v>72.638199999999998</v>
      </c>
      <c r="C237" s="67">
        <f t="shared" si="3"/>
        <v>1.3581265026533229E-2</v>
      </c>
      <c r="D237" s="67">
        <f>(Table1345[[#This Row],[Index]]-B225)/B225</f>
        <v>1.5972876880169799E-2</v>
      </c>
    </row>
    <row r="238" spans="1:4" x14ac:dyDescent="0.2">
      <c r="A238" s="17">
        <v>33329</v>
      </c>
      <c r="B238" s="59">
        <f>VLOOKUP(Table1345[[#This Row],[Date]],database!A:I,9,)</f>
        <v>72.563900000000004</v>
      </c>
      <c r="C238" s="67">
        <f t="shared" si="3"/>
        <v>-1.022877769548125E-3</v>
      </c>
      <c r="D238" s="67">
        <f>(Table1345[[#This Row],[Index]]-B226)/B226</f>
        <v>8.1399872183168399E-3</v>
      </c>
    </row>
    <row r="239" spans="1:4" x14ac:dyDescent="0.2">
      <c r="A239" s="17">
        <v>33359</v>
      </c>
      <c r="B239" s="59">
        <f>VLOOKUP(Table1345[[#This Row],[Date]],database!A:I,9,)</f>
        <v>75.726500000000001</v>
      </c>
      <c r="C239" s="67">
        <f t="shared" si="3"/>
        <v>4.3583655233525143E-2</v>
      </c>
      <c r="D239" s="67">
        <f>(Table1345[[#This Row],[Index]]-B227)/B227</f>
        <v>4.6287187536268697E-2</v>
      </c>
    </row>
    <row r="240" spans="1:4" x14ac:dyDescent="0.2">
      <c r="A240" s="17">
        <v>33390</v>
      </c>
      <c r="B240" s="59">
        <f>VLOOKUP(Table1345[[#This Row],[Date]],database!A:I,9,)</f>
        <v>76.002600000000001</v>
      </c>
      <c r="C240" s="67">
        <f t="shared" si="3"/>
        <v>3.6460155955972962E-3</v>
      </c>
      <c r="D240" s="67">
        <f>(Table1345[[#This Row],[Index]]-B228)/B228</f>
        <v>3.9493947890309876E-2</v>
      </c>
    </row>
    <row r="241" spans="1:4" x14ac:dyDescent="0.2">
      <c r="A241" s="17">
        <v>33420</v>
      </c>
      <c r="B241" s="59">
        <f>VLOOKUP(Table1345[[#This Row],[Date]],database!A:I,9,)</f>
        <v>75.412300000000002</v>
      </c>
      <c r="C241" s="67">
        <f t="shared" si="3"/>
        <v>-7.766839555488847E-3</v>
      </c>
      <c r="D241" s="67">
        <f>(Table1345[[#This Row],[Index]]-B229)/B229</f>
        <v>3.4854073695939791E-2</v>
      </c>
    </row>
    <row r="242" spans="1:4" x14ac:dyDescent="0.2">
      <c r="A242" s="17">
        <v>33451</v>
      </c>
      <c r="B242" s="59">
        <f>VLOOKUP(Table1345[[#This Row],[Date]],database!A:I,9,)</f>
        <v>74.873500000000007</v>
      </c>
      <c r="C242" s="67">
        <f t="shared" si="3"/>
        <v>-7.144723075678594E-3</v>
      </c>
      <c r="D242" s="67">
        <f>(Table1345[[#This Row],[Index]]-B230)/B230</f>
        <v>1.7636209682790189E-2</v>
      </c>
    </row>
    <row r="243" spans="1:4" x14ac:dyDescent="0.2">
      <c r="A243" s="17">
        <v>33482</v>
      </c>
      <c r="B243" s="59">
        <f>VLOOKUP(Table1345[[#This Row],[Date]],database!A:I,9,)</f>
        <v>74.746700000000004</v>
      </c>
      <c r="C243" s="67">
        <f t="shared" si="3"/>
        <v>-1.6935230755875663E-3</v>
      </c>
      <c r="D243" s="67">
        <f>(Table1345[[#This Row],[Index]]-B231)/B231</f>
        <v>4.0499588959396213E-3</v>
      </c>
    </row>
    <row r="244" spans="1:4" x14ac:dyDescent="0.2">
      <c r="A244" s="17">
        <v>33512</v>
      </c>
      <c r="B244" s="59">
        <f>VLOOKUP(Table1345[[#This Row],[Date]],database!A:I,9,)</f>
        <v>74.664699999999996</v>
      </c>
      <c r="C244" s="67">
        <f t="shared" si="3"/>
        <v>-1.0970383976818265E-3</v>
      </c>
      <c r="D244" s="67">
        <f>(Table1345[[#This Row],[Index]]-B232)/B232</f>
        <v>1.8408213314855947E-2</v>
      </c>
    </row>
    <row r="245" spans="1:4" x14ac:dyDescent="0.2">
      <c r="A245" s="17">
        <v>33543</v>
      </c>
      <c r="B245" s="59">
        <f>VLOOKUP(Table1345[[#This Row],[Date]],database!A:I,9,)</f>
        <v>75.381699999999995</v>
      </c>
      <c r="C245" s="67">
        <f t="shared" si="3"/>
        <v>9.6029315057852838E-3</v>
      </c>
      <c r="D245" s="67">
        <f>(Table1345[[#This Row],[Index]]-B233)/B233</f>
        <v>5.0036495536958034E-2</v>
      </c>
    </row>
    <row r="246" spans="1:4" x14ac:dyDescent="0.2">
      <c r="A246" s="17">
        <v>33573</v>
      </c>
      <c r="B246" s="59">
        <f>VLOOKUP(Table1345[[#This Row],[Date]],database!A:I,9,)</f>
        <v>73.389499999999998</v>
      </c>
      <c r="C246" s="67">
        <f t="shared" si="3"/>
        <v>-2.642816492597011E-2</v>
      </c>
      <c r="D246" s="67">
        <f>(Table1345[[#This Row],[Index]]-B234)/B234</f>
        <v>1.5373908904885651E-2</v>
      </c>
    </row>
    <row r="247" spans="1:4" x14ac:dyDescent="0.2">
      <c r="A247" s="17">
        <v>33604</v>
      </c>
      <c r="B247" s="59">
        <f>VLOOKUP(Table1345[[#This Row],[Date]],database!A:I,9,)</f>
        <v>73.039100000000005</v>
      </c>
      <c r="C247" s="67">
        <f t="shared" si="3"/>
        <v>-4.7745249661054201E-3</v>
      </c>
      <c r="D247" s="67">
        <f>(Table1345[[#This Row],[Index]]-B235)/B235</f>
        <v>-6.7761438397332561E-3</v>
      </c>
    </row>
    <row r="248" spans="1:4" x14ac:dyDescent="0.2">
      <c r="A248" s="17">
        <v>33635</v>
      </c>
      <c r="B248" s="59">
        <f>VLOOKUP(Table1345[[#This Row],[Date]],database!A:I,9,)</f>
        <v>73.512</v>
      </c>
      <c r="C248" s="67">
        <f t="shared" si="3"/>
        <v>6.4746142819394059E-3</v>
      </c>
      <c r="D248" s="67">
        <f>(Table1345[[#This Row],[Index]]-B236)/B236</f>
        <v>2.5774123734212947E-2</v>
      </c>
    </row>
    <row r="249" spans="1:4" x14ac:dyDescent="0.2">
      <c r="A249" s="17">
        <v>33664</v>
      </c>
      <c r="B249" s="59">
        <f>VLOOKUP(Table1345[[#This Row],[Date]],database!A:I,9,)</f>
        <v>73.250900000000001</v>
      </c>
      <c r="C249" s="67">
        <f t="shared" si="3"/>
        <v>-3.5518010664925548E-3</v>
      </c>
      <c r="D249" s="67">
        <f>(Table1345[[#This Row],[Index]]-B237)/B237</f>
        <v>8.4349557120083352E-3</v>
      </c>
    </row>
    <row r="250" spans="1:4" x14ac:dyDescent="0.2">
      <c r="A250" s="17">
        <v>33695</v>
      </c>
      <c r="B250" s="59">
        <f>VLOOKUP(Table1345[[#This Row],[Date]],database!A:I,9,)</f>
        <v>74.9512</v>
      </c>
      <c r="C250" s="67">
        <f t="shared" si="3"/>
        <v>2.3212001490766632E-2</v>
      </c>
      <c r="D250" s="67">
        <f>(Table1345[[#This Row],[Index]]-B238)/B238</f>
        <v>3.2899279118128934E-2</v>
      </c>
    </row>
    <row r="251" spans="1:4" x14ac:dyDescent="0.2">
      <c r="A251" s="17">
        <v>33725</v>
      </c>
      <c r="B251" s="59">
        <f>VLOOKUP(Table1345[[#This Row],[Date]],database!A:I,9,)</f>
        <v>73.899500000000003</v>
      </c>
      <c r="C251" s="67">
        <f t="shared" si="3"/>
        <v>-1.4031796689045639E-2</v>
      </c>
      <c r="D251" s="67">
        <f>(Table1345[[#This Row],[Index]]-B239)/B239</f>
        <v>-2.4126296606868113E-2</v>
      </c>
    </row>
    <row r="252" spans="1:4" x14ac:dyDescent="0.2">
      <c r="A252" s="17">
        <v>33756</v>
      </c>
      <c r="B252" s="59">
        <f>VLOOKUP(Table1345[[#This Row],[Date]],database!A:I,9,)</f>
        <v>72.819800000000001</v>
      </c>
      <c r="C252" s="67">
        <f t="shared" si="3"/>
        <v>-1.4610383020182804E-2</v>
      </c>
      <c r="D252" s="67">
        <f>(Table1345[[#This Row],[Index]]-B240)/B240</f>
        <v>-4.1877514716601803E-2</v>
      </c>
    </row>
    <row r="253" spans="1:4" x14ac:dyDescent="0.2">
      <c r="A253" s="17">
        <v>33786</v>
      </c>
      <c r="B253" s="59">
        <f>VLOOKUP(Table1345[[#This Row],[Date]],database!A:I,9,)</f>
        <v>73.267300000000006</v>
      </c>
      <c r="C253" s="67">
        <f t="shared" si="3"/>
        <v>6.1453066336354389E-3</v>
      </c>
      <c r="D253" s="67">
        <f>(Table1345[[#This Row],[Index]]-B241)/B241</f>
        <v>-2.8443635852506765E-2</v>
      </c>
    </row>
    <row r="254" spans="1:4" x14ac:dyDescent="0.2">
      <c r="A254" s="17">
        <v>33817</v>
      </c>
      <c r="B254" s="59">
        <f>VLOOKUP(Table1345[[#This Row],[Date]],database!A:I,9,)</f>
        <v>73.040999999999997</v>
      </c>
      <c r="C254" s="67">
        <f t="shared" si="3"/>
        <v>-3.0886903161438939E-3</v>
      </c>
      <c r="D254" s="67">
        <f>(Table1345[[#This Row],[Index]]-B242)/B242</f>
        <v>-2.4474613848691595E-2</v>
      </c>
    </row>
    <row r="255" spans="1:4" x14ac:dyDescent="0.2">
      <c r="A255" s="17">
        <v>33848</v>
      </c>
      <c r="B255" s="59">
        <f>VLOOKUP(Table1345[[#This Row],[Date]],database!A:I,9,)</f>
        <v>74.1357</v>
      </c>
      <c r="C255" s="67">
        <f t="shared" si="3"/>
        <v>1.4987472789255385E-2</v>
      </c>
      <c r="D255" s="67">
        <f>(Table1345[[#This Row],[Index]]-B243)/B243</f>
        <v>-8.1742739144337363E-3</v>
      </c>
    </row>
    <row r="256" spans="1:4" x14ac:dyDescent="0.2">
      <c r="A256" s="17">
        <v>33878</v>
      </c>
      <c r="B256" s="59">
        <f>VLOOKUP(Table1345[[#This Row],[Date]],database!A:I,9,)</f>
        <v>75.379900000000006</v>
      </c>
      <c r="C256" s="67">
        <f t="shared" si="3"/>
        <v>1.6782737601452657E-2</v>
      </c>
      <c r="D256" s="67">
        <f>(Table1345[[#This Row],[Index]]-B244)/B244</f>
        <v>9.5788237279465401E-3</v>
      </c>
    </row>
    <row r="257" spans="1:4" x14ac:dyDescent="0.2">
      <c r="A257" s="17">
        <v>33909</v>
      </c>
      <c r="B257" s="59">
        <f>VLOOKUP(Table1345[[#This Row],[Date]],database!A:I,9,)</f>
        <v>76.027799999999999</v>
      </c>
      <c r="C257" s="67">
        <f t="shared" si="3"/>
        <v>8.595129470853502E-3</v>
      </c>
      <c r="D257" s="67">
        <f>(Table1345[[#This Row],[Index]]-B245)/B245</f>
        <v>8.5710457577900766E-3</v>
      </c>
    </row>
    <row r="258" spans="1:4" x14ac:dyDescent="0.2">
      <c r="A258" s="17">
        <v>33939</v>
      </c>
      <c r="B258" s="59">
        <f>VLOOKUP(Table1345[[#This Row],[Date]],database!A:I,9,)</f>
        <v>77.293499999999995</v>
      </c>
      <c r="C258" s="67">
        <f t="shared" si="3"/>
        <v>1.6647857757293938E-2</v>
      </c>
      <c r="D258" s="67">
        <f>(Table1345[[#This Row],[Index]]-B246)/B246</f>
        <v>5.3195620626928869E-2</v>
      </c>
    </row>
    <row r="259" spans="1:4" x14ac:dyDescent="0.2">
      <c r="A259" s="17">
        <v>33970</v>
      </c>
      <c r="B259" s="59">
        <f>VLOOKUP(Table1345[[#This Row],[Date]],database!A:I,9,)</f>
        <v>74.679900000000004</v>
      </c>
      <c r="C259" s="67">
        <f t="shared" si="3"/>
        <v>-3.3813968833084185E-2</v>
      </c>
      <c r="D259" s="67">
        <f>(Table1345[[#This Row],[Index]]-B247)/B247</f>
        <v>2.2464679876942603E-2</v>
      </c>
    </row>
    <row r="260" spans="1:4" x14ac:dyDescent="0.2">
      <c r="A260" s="17">
        <v>34001</v>
      </c>
      <c r="B260" s="59">
        <f>VLOOKUP(Table1345[[#This Row],[Date]],database!A:I,9,)</f>
        <v>76.7226</v>
      </c>
      <c r="C260" s="67">
        <f t="shared" si="3"/>
        <v>2.7352741500725086E-2</v>
      </c>
      <c r="D260" s="67">
        <f>(Table1345[[#This Row],[Index]]-B248)/B248</f>
        <v>4.3674502122102506E-2</v>
      </c>
    </row>
    <row r="261" spans="1:4" x14ac:dyDescent="0.2">
      <c r="A261" s="17">
        <v>34029</v>
      </c>
      <c r="B261" s="59">
        <f>VLOOKUP(Table1345[[#This Row],[Date]],database!A:I,9,)</f>
        <v>77.495000000000005</v>
      </c>
      <c r="C261" s="67">
        <f t="shared" si="3"/>
        <v>1.0067437756280384E-2</v>
      </c>
      <c r="D261" s="67">
        <f>(Table1345[[#This Row],[Index]]-B249)/B249</f>
        <v>5.7939219859414741E-2</v>
      </c>
    </row>
    <row r="262" spans="1:4" x14ac:dyDescent="0.2">
      <c r="A262" s="17">
        <v>34060</v>
      </c>
      <c r="B262" s="59">
        <f>VLOOKUP(Table1345[[#This Row],[Date]],database!A:I,9,)</f>
        <v>76.601500000000001</v>
      </c>
      <c r="C262" s="67">
        <f t="shared" si="3"/>
        <v>-1.1529776114588053E-2</v>
      </c>
      <c r="D262" s="67">
        <f>(Table1345[[#This Row],[Index]]-B250)/B250</f>
        <v>2.2018326591168674E-2</v>
      </c>
    </row>
    <row r="263" spans="1:4" x14ac:dyDescent="0.2">
      <c r="A263" s="17">
        <v>34090</v>
      </c>
      <c r="B263" s="59">
        <f>VLOOKUP(Table1345[[#This Row],[Date]],database!A:I,9,)</f>
        <v>74.5154</v>
      </c>
      <c r="C263" s="67">
        <f t="shared" si="3"/>
        <v>-2.7233148175949573E-2</v>
      </c>
      <c r="D263" s="67">
        <f>(Table1345[[#This Row],[Index]]-B251)/B251</f>
        <v>8.3342918422992882E-3</v>
      </c>
    </row>
    <row r="264" spans="1:4" x14ac:dyDescent="0.2">
      <c r="A264" s="17">
        <v>34121</v>
      </c>
      <c r="B264" s="59">
        <f>VLOOKUP(Table1345[[#This Row],[Date]],database!A:I,9,)</f>
        <v>76.407499999999999</v>
      </c>
      <c r="C264" s="67">
        <f t="shared" ref="C264:C327" si="4">B264/B263-1</f>
        <v>2.5392066606365837E-2</v>
      </c>
      <c r="D264" s="67">
        <f>(Table1345[[#This Row],[Index]]-B252)/B252</f>
        <v>4.9268193540767731E-2</v>
      </c>
    </row>
    <row r="265" spans="1:4" x14ac:dyDescent="0.2">
      <c r="A265" s="17">
        <v>34151</v>
      </c>
      <c r="B265" s="59">
        <f>VLOOKUP(Table1345[[#This Row],[Date]],database!A:I,9,)</f>
        <v>77.500200000000007</v>
      </c>
      <c r="C265" s="67">
        <f t="shared" si="4"/>
        <v>1.4300952131662603E-2</v>
      </c>
      <c r="D265" s="67">
        <f>(Table1345[[#This Row],[Index]]-B253)/B253</f>
        <v>5.7773385944343524E-2</v>
      </c>
    </row>
    <row r="266" spans="1:4" x14ac:dyDescent="0.2">
      <c r="A266" s="17">
        <v>34182</v>
      </c>
      <c r="B266" s="59">
        <f>VLOOKUP(Table1345[[#This Row],[Date]],database!A:I,9,)</f>
        <v>77.982900000000001</v>
      </c>
      <c r="C266" s="67">
        <f t="shared" si="4"/>
        <v>6.2283710235586653E-3</v>
      </c>
      <c r="D266" s="67">
        <f>(Table1345[[#This Row],[Index]]-B254)/B254</f>
        <v>6.7659259867745569E-2</v>
      </c>
    </row>
    <row r="267" spans="1:4" x14ac:dyDescent="0.2">
      <c r="A267" s="17">
        <v>34213</v>
      </c>
      <c r="B267" s="59">
        <f>VLOOKUP(Table1345[[#This Row],[Date]],database!A:I,9,)</f>
        <v>77.105099999999993</v>
      </c>
      <c r="C267" s="67">
        <f t="shared" si="4"/>
        <v>-1.1256313884197788E-2</v>
      </c>
      <c r="D267" s="67">
        <f>(Table1345[[#This Row],[Index]]-B255)/B255</f>
        <v>4.0053577426260131E-2</v>
      </c>
    </row>
    <row r="268" spans="1:4" x14ac:dyDescent="0.2">
      <c r="A268" s="17">
        <v>34243</v>
      </c>
      <c r="B268" s="59">
        <f>VLOOKUP(Table1345[[#This Row],[Date]],database!A:I,9,)</f>
        <v>76.848200000000006</v>
      </c>
      <c r="C268" s="67">
        <f t="shared" si="4"/>
        <v>-3.3318159239789091E-3</v>
      </c>
      <c r="D268" s="67">
        <f>(Table1345[[#This Row],[Index]]-B256)/B256</f>
        <v>1.947866739011327E-2</v>
      </c>
    </row>
    <row r="269" spans="1:4" x14ac:dyDescent="0.2">
      <c r="A269" s="17">
        <v>34274</v>
      </c>
      <c r="B269" s="59">
        <f>VLOOKUP(Table1345[[#This Row],[Date]],database!A:I,9,)</f>
        <v>77.351200000000006</v>
      </c>
      <c r="C269" s="67">
        <f t="shared" si="4"/>
        <v>6.5453712643888107E-3</v>
      </c>
      <c r="D269" s="67">
        <f>(Table1345[[#This Row],[Index]]-B257)/B257</f>
        <v>1.7406790673937779E-2</v>
      </c>
    </row>
    <row r="270" spans="1:4" x14ac:dyDescent="0.2">
      <c r="A270" s="17">
        <v>34304</v>
      </c>
      <c r="B270" s="59">
        <f>VLOOKUP(Table1345[[#This Row],[Date]],database!A:I,9,)</f>
        <v>77.665400000000005</v>
      </c>
      <c r="C270" s="67">
        <f t="shared" si="4"/>
        <v>4.0619925741294249E-3</v>
      </c>
      <c r="D270" s="67">
        <f>(Table1345[[#This Row],[Index]]-B258)/B258</f>
        <v>4.8115300769147572E-3</v>
      </c>
    </row>
    <row r="271" spans="1:4" x14ac:dyDescent="0.2">
      <c r="A271" s="17">
        <v>34335</v>
      </c>
      <c r="B271" s="59">
        <f>VLOOKUP(Table1345[[#This Row],[Date]],database!A:I,9,)</f>
        <v>79.941100000000006</v>
      </c>
      <c r="C271" s="67">
        <f t="shared" si="4"/>
        <v>2.9301336244968779E-2</v>
      </c>
      <c r="D271" s="67">
        <f>(Table1345[[#This Row],[Index]]-B259)/B259</f>
        <v>7.0450013993055727E-2</v>
      </c>
    </row>
    <row r="272" spans="1:4" x14ac:dyDescent="0.2">
      <c r="A272" s="17">
        <v>34366</v>
      </c>
      <c r="B272" s="59">
        <f>VLOOKUP(Table1345[[#This Row],[Date]],database!A:I,9,)</f>
        <v>79.141599999999997</v>
      </c>
      <c r="C272" s="67">
        <f t="shared" si="4"/>
        <v>-1.0001113319681676E-2</v>
      </c>
      <c r="D272" s="67">
        <f>(Table1345[[#This Row],[Index]]-B260)/B260</f>
        <v>3.1529171326310591E-2</v>
      </c>
    </row>
    <row r="273" spans="1:4" x14ac:dyDescent="0.2">
      <c r="A273" s="17">
        <v>34394</v>
      </c>
      <c r="B273" s="59">
        <f>VLOOKUP(Table1345[[#This Row],[Date]],database!A:I,9,)</f>
        <v>77.846199999999996</v>
      </c>
      <c r="C273" s="67">
        <f t="shared" si="4"/>
        <v>-1.6368130035278594E-2</v>
      </c>
      <c r="D273" s="67">
        <f>(Table1345[[#This Row],[Index]]-B261)/B261</f>
        <v>4.5319052842117749E-3</v>
      </c>
    </row>
    <row r="274" spans="1:4" x14ac:dyDescent="0.2">
      <c r="A274" s="17">
        <v>34425</v>
      </c>
      <c r="B274" s="59">
        <f>VLOOKUP(Table1345[[#This Row],[Date]],database!A:I,9,)</f>
        <v>77.102099999999993</v>
      </c>
      <c r="C274" s="67">
        <f t="shared" si="4"/>
        <v>-9.5585911707958271E-3</v>
      </c>
      <c r="D274" s="67">
        <f>(Table1345[[#This Row],[Index]]-B262)/B262</f>
        <v>6.5351200694502261E-3</v>
      </c>
    </row>
    <row r="275" spans="1:4" x14ac:dyDescent="0.2">
      <c r="A275" s="17">
        <v>34455</v>
      </c>
      <c r="B275" s="59">
        <f>VLOOKUP(Table1345[[#This Row],[Date]],database!A:I,9,)</f>
        <v>76.768299999999996</v>
      </c>
      <c r="C275" s="67">
        <f t="shared" si="4"/>
        <v>-4.3293243634090484E-3</v>
      </c>
      <c r="D275" s="67">
        <f>(Table1345[[#This Row],[Index]]-B263)/B263</f>
        <v>3.0234018739750398E-2</v>
      </c>
    </row>
    <row r="276" spans="1:4" x14ac:dyDescent="0.2">
      <c r="A276" s="17">
        <v>34486</v>
      </c>
      <c r="B276" s="59">
        <f>VLOOKUP(Table1345[[#This Row],[Date]],database!A:I,9,)</f>
        <v>80.061899999999994</v>
      </c>
      <c r="C276" s="67">
        <f t="shared" si="4"/>
        <v>4.2903125378574103E-2</v>
      </c>
      <c r="D276" s="67">
        <f>(Table1345[[#This Row],[Index]]-B264)/B264</f>
        <v>4.782776559892675E-2</v>
      </c>
    </row>
    <row r="277" spans="1:4" x14ac:dyDescent="0.2">
      <c r="A277" s="17">
        <v>34516</v>
      </c>
      <c r="B277" s="59">
        <f>VLOOKUP(Table1345[[#This Row],[Date]],database!A:I,9,)</f>
        <v>78.639099999999999</v>
      </c>
      <c r="C277" s="67">
        <f t="shared" si="4"/>
        <v>-1.7771249495702635E-2</v>
      </c>
      <c r="D277" s="67">
        <f>(Table1345[[#This Row],[Index]]-B265)/B265</f>
        <v>1.4695445947236168E-2</v>
      </c>
    </row>
    <row r="278" spans="1:4" x14ac:dyDescent="0.2">
      <c r="A278" s="17">
        <v>34547</v>
      </c>
      <c r="B278" s="59">
        <f>VLOOKUP(Table1345[[#This Row],[Date]],database!A:I,9,)</f>
        <v>78.093900000000005</v>
      </c>
      <c r="C278" s="67">
        <f t="shared" si="4"/>
        <v>-6.9329379405409508E-3</v>
      </c>
      <c r="D278" s="67">
        <f>(Table1345[[#This Row],[Index]]-B266)/B266</f>
        <v>1.4233889737366038E-3</v>
      </c>
    </row>
    <row r="279" spans="1:4" x14ac:dyDescent="0.2">
      <c r="A279" s="17">
        <v>34578</v>
      </c>
      <c r="B279" s="59">
        <f>VLOOKUP(Table1345[[#This Row],[Date]],database!A:I,9,)</f>
        <v>78.0304</v>
      </c>
      <c r="C279" s="67">
        <f t="shared" si="4"/>
        <v>-8.1312368827790582E-4</v>
      </c>
      <c r="D279" s="67">
        <f>(Table1345[[#This Row],[Index]]-B267)/B267</f>
        <v>1.2000503209256032E-2</v>
      </c>
    </row>
    <row r="280" spans="1:4" x14ac:dyDescent="0.2">
      <c r="A280" s="17">
        <v>34608</v>
      </c>
      <c r="B280" s="59">
        <f>VLOOKUP(Table1345[[#This Row],[Date]],database!A:I,9,)</f>
        <v>78.305499999999995</v>
      </c>
      <c r="C280" s="67">
        <f t="shared" si="4"/>
        <v>3.5255490167933612E-3</v>
      </c>
      <c r="D280" s="67">
        <f>(Table1345[[#This Row],[Index]]-B268)/B268</f>
        <v>1.8963358933585812E-2</v>
      </c>
    </row>
    <row r="281" spans="1:4" x14ac:dyDescent="0.2">
      <c r="A281" s="17">
        <v>34639</v>
      </c>
      <c r="B281" s="59">
        <f>VLOOKUP(Table1345[[#This Row],[Date]],database!A:I,9,)</f>
        <v>77.781999999999996</v>
      </c>
      <c r="C281" s="67">
        <f t="shared" si="4"/>
        <v>-6.6853541577539533E-3</v>
      </c>
      <c r="D281" s="67">
        <f>(Table1345[[#This Row],[Index]]-B269)/B269</f>
        <v>5.5694029310468449E-3</v>
      </c>
    </row>
    <row r="282" spans="1:4" x14ac:dyDescent="0.2">
      <c r="A282" s="17">
        <v>34669</v>
      </c>
      <c r="B282" s="59">
        <f>VLOOKUP(Table1345[[#This Row],[Date]],database!A:I,9,)</f>
        <v>77.872299999999996</v>
      </c>
      <c r="C282" s="67">
        <f t="shared" si="4"/>
        <v>1.1609369777068057E-3</v>
      </c>
      <c r="D282" s="67">
        <f>(Table1345[[#This Row],[Index]]-B270)/B270</f>
        <v>2.6639919449328825E-3</v>
      </c>
    </row>
    <row r="283" spans="1:4" x14ac:dyDescent="0.2">
      <c r="A283" s="17">
        <v>34700</v>
      </c>
      <c r="B283" s="59">
        <f>VLOOKUP(Table1345[[#This Row],[Date]],database!A:I,9,)</f>
        <v>78.490799999999993</v>
      </c>
      <c r="C283" s="67">
        <f t="shared" si="4"/>
        <v>7.9424904619485037E-3</v>
      </c>
      <c r="D283" s="67">
        <f>(Table1345[[#This Row],[Index]]-B271)/B271</f>
        <v>-1.8142107126371949E-2</v>
      </c>
    </row>
    <row r="284" spans="1:4" x14ac:dyDescent="0.2">
      <c r="A284" s="17">
        <v>34731</v>
      </c>
      <c r="B284" s="59">
        <f>VLOOKUP(Table1345[[#This Row],[Date]],database!A:I,9,)</f>
        <v>79.207700000000003</v>
      </c>
      <c r="C284" s="67">
        <f t="shared" si="4"/>
        <v>9.1335545057511514E-3</v>
      </c>
      <c r="D284" s="67">
        <f>(Table1345[[#This Row],[Index]]-B272)/B272</f>
        <v>8.3521182285935366E-4</v>
      </c>
    </row>
    <row r="285" spans="1:4" x14ac:dyDescent="0.2">
      <c r="A285" s="17">
        <v>34759</v>
      </c>
      <c r="B285" s="59">
        <f>VLOOKUP(Table1345[[#This Row],[Date]],database!A:I,9,)</f>
        <v>79.153999999999996</v>
      </c>
      <c r="C285" s="67">
        <f t="shared" si="4"/>
        <v>-6.7796438982581364E-4</v>
      </c>
      <c r="D285" s="67">
        <f>(Table1345[[#This Row],[Index]]-B273)/B273</f>
        <v>1.6799792411190274E-2</v>
      </c>
    </row>
    <row r="286" spans="1:4" x14ac:dyDescent="0.2">
      <c r="A286" s="17">
        <v>34790</v>
      </c>
      <c r="B286" s="59">
        <f>VLOOKUP(Table1345[[#This Row],[Date]],database!A:I,9,)</f>
        <v>79.8964</v>
      </c>
      <c r="C286" s="67">
        <f t="shared" si="4"/>
        <v>9.3791848801072497E-3</v>
      </c>
      <c r="D286" s="67">
        <f>(Table1345[[#This Row],[Index]]-B274)/B274</f>
        <v>3.6241555028981146E-2</v>
      </c>
    </row>
    <row r="287" spans="1:4" x14ac:dyDescent="0.2">
      <c r="A287" s="17">
        <v>34820</v>
      </c>
      <c r="B287" s="59">
        <f>VLOOKUP(Table1345[[#This Row],[Date]],database!A:I,9,)</f>
        <v>81.096900000000005</v>
      </c>
      <c r="C287" s="67">
        <f t="shared" si="4"/>
        <v>1.5025708292238482E-2</v>
      </c>
      <c r="D287" s="67">
        <f>(Table1345[[#This Row],[Index]]-B275)/B275</f>
        <v>5.6385252767092782E-2</v>
      </c>
    </row>
    <row r="288" spans="1:4" x14ac:dyDescent="0.2">
      <c r="A288" s="17">
        <v>34851</v>
      </c>
      <c r="B288" s="59">
        <f>VLOOKUP(Table1345[[#This Row],[Date]],database!A:I,9,)</f>
        <v>80.558000000000007</v>
      </c>
      <c r="C288" s="67">
        <f t="shared" si="4"/>
        <v>-6.64513686713053E-3</v>
      </c>
      <c r="D288" s="67">
        <f>(Table1345[[#This Row],[Index]]-B276)/B276</f>
        <v>6.1964554925627883E-3</v>
      </c>
    </row>
    <row r="289" spans="1:4" x14ac:dyDescent="0.2">
      <c r="A289" s="17">
        <v>34881</v>
      </c>
      <c r="B289" s="59">
        <f>VLOOKUP(Table1345[[#This Row],[Date]],database!A:I,9,)</f>
        <v>81.562200000000004</v>
      </c>
      <c r="C289" s="67">
        <f t="shared" si="4"/>
        <v>1.2465552769433064E-2</v>
      </c>
      <c r="D289" s="67">
        <f>(Table1345[[#This Row],[Index]]-B277)/B277</f>
        <v>3.7171076474679966E-2</v>
      </c>
    </row>
    <row r="290" spans="1:4" x14ac:dyDescent="0.2">
      <c r="A290" s="17">
        <v>34912</v>
      </c>
      <c r="B290" s="59">
        <f>VLOOKUP(Table1345[[#This Row],[Date]],database!A:I,9,)</f>
        <v>84.811499999999995</v>
      </c>
      <c r="C290" s="67">
        <f t="shared" si="4"/>
        <v>3.9838307451245614E-2</v>
      </c>
      <c r="D290" s="67">
        <f>(Table1345[[#This Row],[Index]]-B278)/B278</f>
        <v>8.6019522651577016E-2</v>
      </c>
    </row>
    <row r="291" spans="1:4" x14ac:dyDescent="0.2">
      <c r="A291" s="17">
        <v>34943</v>
      </c>
      <c r="B291" s="59">
        <f>VLOOKUP(Table1345[[#This Row],[Date]],database!A:I,9,)</f>
        <v>81.305199999999999</v>
      </c>
      <c r="C291" s="67">
        <f t="shared" si="4"/>
        <v>-4.1342270800539982E-2</v>
      </c>
      <c r="D291" s="67">
        <f>(Table1345[[#This Row],[Index]]-B279)/B279</f>
        <v>4.1968258524882597E-2</v>
      </c>
    </row>
    <row r="292" spans="1:4" x14ac:dyDescent="0.2">
      <c r="A292" s="17">
        <v>34973</v>
      </c>
      <c r="B292" s="59">
        <f>VLOOKUP(Table1345[[#This Row],[Date]],database!A:I,9,)</f>
        <v>81.391199999999998</v>
      </c>
      <c r="C292" s="67">
        <f t="shared" si="4"/>
        <v>1.0577429241918068E-3</v>
      </c>
      <c r="D292" s="67">
        <f>(Table1345[[#This Row],[Index]]-B280)/B280</f>
        <v>3.9405916570355887E-2</v>
      </c>
    </row>
    <row r="293" spans="1:4" x14ac:dyDescent="0.2">
      <c r="A293" s="17">
        <v>35004</v>
      </c>
      <c r="B293" s="59">
        <f>VLOOKUP(Table1345[[#This Row],[Date]],database!A:I,9,)</f>
        <v>82.418499999999995</v>
      </c>
      <c r="C293" s="67">
        <f t="shared" si="4"/>
        <v>1.2621757634732056E-2</v>
      </c>
      <c r="D293" s="67">
        <f>(Table1345[[#This Row],[Index]]-B281)/B281</f>
        <v>5.9608906945051533E-2</v>
      </c>
    </row>
    <row r="294" spans="1:4" x14ac:dyDescent="0.2">
      <c r="A294" s="17">
        <v>35034</v>
      </c>
      <c r="B294" s="59">
        <f>VLOOKUP(Table1345[[#This Row],[Date]],database!A:I,9,)</f>
        <v>83.054199999999994</v>
      </c>
      <c r="C294" s="67">
        <f t="shared" si="4"/>
        <v>7.7130741277746662E-3</v>
      </c>
      <c r="D294" s="67">
        <f>(Table1345[[#This Row],[Index]]-B282)/B282</f>
        <v>6.6543559134634514E-2</v>
      </c>
    </row>
    <row r="295" spans="1:4" x14ac:dyDescent="0.2">
      <c r="A295" s="17">
        <v>35065</v>
      </c>
      <c r="B295" s="59">
        <f>VLOOKUP(Table1345[[#This Row],[Date]],database!A:I,9,)</f>
        <v>83.820400000000006</v>
      </c>
      <c r="C295" s="67">
        <f t="shared" si="4"/>
        <v>9.2253010684590908E-3</v>
      </c>
      <c r="D295" s="67">
        <f>(Table1345[[#This Row],[Index]]-B283)/B283</f>
        <v>6.7900951449087199E-2</v>
      </c>
    </row>
    <row r="296" spans="1:4" x14ac:dyDescent="0.2">
      <c r="A296" s="17">
        <v>35096</v>
      </c>
      <c r="B296" s="59">
        <f>VLOOKUP(Table1345[[#This Row],[Date]],database!A:I,9,)</f>
        <v>84.903800000000004</v>
      </c>
      <c r="C296" s="67">
        <f t="shared" si="4"/>
        <v>1.2925254472658132E-2</v>
      </c>
      <c r="D296" s="67">
        <f>(Table1345[[#This Row],[Index]]-B284)/B284</f>
        <v>7.1913462958778013E-2</v>
      </c>
    </row>
    <row r="297" spans="1:4" x14ac:dyDescent="0.2">
      <c r="A297" s="17">
        <v>35125</v>
      </c>
      <c r="B297" s="59">
        <f>VLOOKUP(Table1345[[#This Row],[Date]],database!A:I,9,)</f>
        <v>84.669700000000006</v>
      </c>
      <c r="C297" s="67">
        <f t="shared" si="4"/>
        <v>-2.7572381919301892E-3</v>
      </c>
      <c r="D297" s="67">
        <f>(Table1345[[#This Row],[Index]]-B285)/B285</f>
        <v>6.9683149303888747E-2</v>
      </c>
    </row>
    <row r="298" spans="1:4" x14ac:dyDescent="0.2">
      <c r="A298" s="17">
        <v>35156</v>
      </c>
      <c r="B298" s="59">
        <f>VLOOKUP(Table1345[[#This Row],[Date]],database!A:I,9,)</f>
        <v>84.097499999999997</v>
      </c>
      <c r="C298" s="67">
        <f t="shared" si="4"/>
        <v>-6.7580255982956361E-3</v>
      </c>
      <c r="D298" s="67">
        <f>(Table1345[[#This Row],[Index]]-B286)/B286</f>
        <v>5.2581843487316031E-2</v>
      </c>
    </row>
    <row r="299" spans="1:4" x14ac:dyDescent="0.2">
      <c r="A299" s="17">
        <v>35186</v>
      </c>
      <c r="B299" s="59">
        <f>VLOOKUP(Table1345[[#This Row],[Date]],database!A:I,9,)</f>
        <v>84.981099999999998</v>
      </c>
      <c r="C299" s="67">
        <f t="shared" si="4"/>
        <v>1.0506852165641067E-2</v>
      </c>
      <c r="D299" s="67">
        <f>(Table1345[[#This Row],[Index]]-B287)/B287</f>
        <v>4.7895788864925695E-2</v>
      </c>
    </row>
    <row r="300" spans="1:4" x14ac:dyDescent="0.2">
      <c r="A300" s="17">
        <v>35217</v>
      </c>
      <c r="B300" s="59">
        <f>VLOOKUP(Table1345[[#This Row],[Date]],database!A:I,9,)</f>
        <v>83.851699999999994</v>
      </c>
      <c r="C300" s="67">
        <f t="shared" si="4"/>
        <v>-1.3290013897207742E-2</v>
      </c>
      <c r="D300" s="67">
        <f>(Table1345[[#This Row],[Index]]-B288)/B288</f>
        <v>4.0886069664092785E-2</v>
      </c>
    </row>
    <row r="301" spans="1:4" x14ac:dyDescent="0.2">
      <c r="A301" s="17">
        <v>35247</v>
      </c>
      <c r="B301" s="59">
        <f>VLOOKUP(Table1345[[#This Row],[Date]],database!A:I,9,)</f>
        <v>80.9649</v>
      </c>
      <c r="C301" s="67">
        <f t="shared" si="4"/>
        <v>-3.4427447505536501E-2</v>
      </c>
      <c r="D301" s="67">
        <f>(Table1345[[#This Row],[Index]]-B289)/B289</f>
        <v>-7.3232453268794141E-3</v>
      </c>
    </row>
    <row r="302" spans="1:4" x14ac:dyDescent="0.2">
      <c r="A302" s="17">
        <v>35278</v>
      </c>
      <c r="B302" s="59">
        <f>VLOOKUP(Table1345[[#This Row],[Date]],database!A:I,9,)</f>
        <v>82.003900000000002</v>
      </c>
      <c r="C302" s="67">
        <f t="shared" si="4"/>
        <v>1.2832721339741004E-2</v>
      </c>
      <c r="D302" s="67">
        <f>(Table1345[[#This Row],[Index]]-B290)/B290</f>
        <v>-3.3104001226248729E-2</v>
      </c>
    </row>
    <row r="303" spans="1:4" x14ac:dyDescent="0.2">
      <c r="A303" s="17">
        <v>35309</v>
      </c>
      <c r="B303" s="59">
        <f>VLOOKUP(Table1345[[#This Row],[Date]],database!A:I,9,)</f>
        <v>81.660399999999996</v>
      </c>
      <c r="C303" s="67">
        <f t="shared" si="4"/>
        <v>-4.1888251656324593E-3</v>
      </c>
      <c r="D303" s="67">
        <f>(Table1345[[#This Row],[Index]]-B291)/B291</f>
        <v>4.3687242636386899E-3</v>
      </c>
    </row>
    <row r="304" spans="1:4" x14ac:dyDescent="0.2">
      <c r="A304" s="17">
        <v>35339</v>
      </c>
      <c r="B304" s="59">
        <f>VLOOKUP(Table1345[[#This Row],[Date]],database!A:I,9,)</f>
        <v>82.507400000000004</v>
      </c>
      <c r="C304" s="67">
        <f t="shared" si="4"/>
        <v>1.0372224480899028E-2</v>
      </c>
      <c r="D304" s="67">
        <f>(Table1345[[#This Row],[Index]]-B292)/B292</f>
        <v>1.3714013308564149E-2</v>
      </c>
    </row>
    <row r="305" spans="1:4" x14ac:dyDescent="0.2">
      <c r="A305" s="17">
        <v>35370</v>
      </c>
      <c r="B305" s="59">
        <f>VLOOKUP(Table1345[[#This Row],[Date]],database!A:I,9,)</f>
        <v>83.991900000000001</v>
      </c>
      <c r="C305" s="67">
        <f t="shared" si="4"/>
        <v>1.7992325536860809E-2</v>
      </c>
      <c r="D305" s="67">
        <f>(Table1345[[#This Row],[Index]]-B293)/B293</f>
        <v>1.909037412716813E-2</v>
      </c>
    </row>
    <row r="306" spans="1:4" x14ac:dyDescent="0.2">
      <c r="A306" s="17">
        <v>35400</v>
      </c>
      <c r="B306" s="59">
        <f>VLOOKUP(Table1345[[#This Row],[Date]],database!A:I,9,)</f>
        <v>83.047700000000006</v>
      </c>
      <c r="C306" s="67">
        <f t="shared" si="4"/>
        <v>-1.1241560198066658E-2</v>
      </c>
      <c r="D306" s="67">
        <f>(Table1345[[#This Row],[Index]]-B294)/B294</f>
        <v>-7.8262146887073797E-5</v>
      </c>
    </row>
    <row r="307" spans="1:4" x14ac:dyDescent="0.2">
      <c r="A307" s="17">
        <v>35431</v>
      </c>
      <c r="B307" s="59">
        <f>VLOOKUP(Table1345[[#This Row],[Date]],database!A:I,9,)</f>
        <v>83.791799999999995</v>
      </c>
      <c r="C307" s="67">
        <f t="shared" si="4"/>
        <v>8.959910990912423E-3</v>
      </c>
      <c r="D307" s="67">
        <f>(Table1345[[#This Row],[Index]]-B295)/B295</f>
        <v>-3.4120572080318756E-4</v>
      </c>
    </row>
    <row r="308" spans="1:4" x14ac:dyDescent="0.2">
      <c r="A308" s="17">
        <v>35462</v>
      </c>
      <c r="B308" s="59">
        <f>VLOOKUP(Table1345[[#This Row],[Date]],database!A:I,9,)</f>
        <v>82.837599999999995</v>
      </c>
      <c r="C308" s="67">
        <f t="shared" si="4"/>
        <v>-1.138774915922558E-2</v>
      </c>
      <c r="D308" s="67">
        <f>(Table1345[[#This Row],[Index]]-B296)/B296</f>
        <v>-2.433577766837302E-2</v>
      </c>
    </row>
    <row r="309" spans="1:4" x14ac:dyDescent="0.2">
      <c r="A309" s="17">
        <v>35490</v>
      </c>
      <c r="B309" s="59">
        <f>VLOOKUP(Table1345[[#This Row],[Date]],database!A:I,9,)</f>
        <v>81.031400000000005</v>
      </c>
      <c r="C309" s="67">
        <f t="shared" si="4"/>
        <v>-2.1804108279331991E-2</v>
      </c>
      <c r="D309" s="67">
        <f>(Table1345[[#This Row],[Index]]-B297)/B297</f>
        <v>-4.2970507749525516E-2</v>
      </c>
    </row>
    <row r="310" spans="1:4" x14ac:dyDescent="0.2">
      <c r="A310" s="17">
        <v>35521</v>
      </c>
      <c r="B310" s="59">
        <f>VLOOKUP(Table1345[[#This Row],[Date]],database!A:I,9,)</f>
        <v>82.918000000000006</v>
      </c>
      <c r="C310" s="67">
        <f t="shared" si="4"/>
        <v>2.3282332527884364E-2</v>
      </c>
      <c r="D310" s="67">
        <f>(Table1345[[#This Row],[Index]]-B298)/B298</f>
        <v>-1.4025387199381555E-2</v>
      </c>
    </row>
    <row r="311" spans="1:4" x14ac:dyDescent="0.2">
      <c r="A311" s="17">
        <v>35551</v>
      </c>
      <c r="B311" s="59">
        <f>VLOOKUP(Table1345[[#This Row],[Date]],database!A:I,9,)</f>
        <v>81.7898</v>
      </c>
      <c r="C311" s="67">
        <f t="shared" si="4"/>
        <v>-1.3606213367423292E-2</v>
      </c>
      <c r="D311" s="67">
        <f>(Table1345[[#This Row],[Index]]-B299)/B299</f>
        <v>-3.7553055914785735E-2</v>
      </c>
    </row>
    <row r="312" spans="1:4" x14ac:dyDescent="0.2">
      <c r="A312" s="17">
        <v>35582</v>
      </c>
      <c r="B312" s="59">
        <f>VLOOKUP(Table1345[[#This Row],[Date]],database!A:I,9,)</f>
        <v>81.410499999999999</v>
      </c>
      <c r="C312" s="67">
        <f t="shared" si="4"/>
        <v>-4.6374975852734313E-3</v>
      </c>
      <c r="D312" s="67">
        <f>(Table1345[[#This Row],[Index]]-B300)/B300</f>
        <v>-2.9113303606247639E-2</v>
      </c>
    </row>
    <row r="313" spans="1:4" x14ac:dyDescent="0.2">
      <c r="A313" s="17">
        <v>35612</v>
      </c>
      <c r="B313" s="59">
        <f>VLOOKUP(Table1345[[#This Row],[Date]],database!A:I,9,)</f>
        <v>83.15</v>
      </c>
      <c r="C313" s="67">
        <f t="shared" si="4"/>
        <v>2.1367022681349601E-2</v>
      </c>
      <c r="D313" s="67">
        <f>(Table1345[[#This Row],[Index]]-B301)/B301</f>
        <v>2.6988238113058938E-2</v>
      </c>
    </row>
    <row r="314" spans="1:4" x14ac:dyDescent="0.2">
      <c r="A314" s="17">
        <v>35643</v>
      </c>
      <c r="B314" s="59">
        <f>VLOOKUP(Table1345[[#This Row],[Date]],database!A:I,9,)</f>
        <v>82.786799999999999</v>
      </c>
      <c r="C314" s="67">
        <f t="shared" si="4"/>
        <v>-4.3680096211666797E-3</v>
      </c>
      <c r="D314" s="67">
        <f>(Table1345[[#This Row],[Index]]-B302)/B302</f>
        <v>9.5471069058910354E-3</v>
      </c>
    </row>
    <row r="315" spans="1:4" x14ac:dyDescent="0.2">
      <c r="A315" s="17">
        <v>35674</v>
      </c>
      <c r="B315" s="59">
        <f>VLOOKUP(Table1345[[#This Row],[Date]],database!A:I,9,)</f>
        <v>83.736699999999999</v>
      </c>
      <c r="C315" s="67">
        <f t="shared" si="4"/>
        <v>1.1474051418825182E-2</v>
      </c>
      <c r="D315" s="67">
        <f>(Table1345[[#This Row],[Index]]-B303)/B303</f>
        <v>2.5426032691488205E-2</v>
      </c>
    </row>
    <row r="316" spans="1:4" x14ac:dyDescent="0.2">
      <c r="A316" s="17">
        <v>35704</v>
      </c>
      <c r="B316" s="59">
        <f>VLOOKUP(Table1345[[#This Row],[Date]],database!A:I,9,)</f>
        <v>85.244600000000005</v>
      </c>
      <c r="C316" s="67">
        <f t="shared" si="4"/>
        <v>1.8007635839482727E-2</v>
      </c>
      <c r="D316" s="67">
        <f>(Table1345[[#This Row],[Index]]-B304)/B304</f>
        <v>3.3175206102725348E-2</v>
      </c>
    </row>
    <row r="317" spans="1:4" x14ac:dyDescent="0.2">
      <c r="A317" s="17">
        <v>35735</v>
      </c>
      <c r="B317" s="59">
        <f>VLOOKUP(Table1345[[#This Row],[Date]],database!A:I,9,)</f>
        <v>85.168800000000005</v>
      </c>
      <c r="C317" s="67">
        <f t="shared" si="4"/>
        <v>-8.8920588518215382E-4</v>
      </c>
      <c r="D317" s="67">
        <f>(Table1345[[#This Row],[Index]]-B305)/B305</f>
        <v>1.4012065449168352E-2</v>
      </c>
    </row>
    <row r="318" spans="1:4" x14ac:dyDescent="0.2">
      <c r="A318" s="17">
        <v>35765</v>
      </c>
      <c r="B318" s="59">
        <f>VLOOKUP(Table1345[[#This Row],[Date]],database!A:I,9,)</f>
        <v>84.802099999999996</v>
      </c>
      <c r="C318" s="67">
        <f t="shared" si="4"/>
        <v>-4.3055672969445347E-3</v>
      </c>
      <c r="D318" s="67">
        <f>(Table1345[[#This Row],[Index]]-B306)/B306</f>
        <v>2.1125208765564726E-2</v>
      </c>
    </row>
    <row r="319" spans="1:4" x14ac:dyDescent="0.2">
      <c r="A319" s="17">
        <v>35796</v>
      </c>
      <c r="B319" s="59">
        <f>VLOOKUP(Table1345[[#This Row],[Date]],database!A:I,9,)</f>
        <v>81.4268</v>
      </c>
      <c r="C319" s="67">
        <f t="shared" si="4"/>
        <v>-3.9802080373009585E-2</v>
      </c>
      <c r="D319" s="67">
        <f>(Table1345[[#This Row],[Index]]-B307)/B307</f>
        <v>-2.8224718886573567E-2</v>
      </c>
    </row>
    <row r="320" spans="1:4" x14ac:dyDescent="0.2">
      <c r="A320" s="17">
        <v>35827</v>
      </c>
      <c r="B320" s="59">
        <f>VLOOKUP(Table1345[[#This Row],[Date]],database!A:I,9,)</f>
        <v>82.359200000000001</v>
      </c>
      <c r="C320" s="67">
        <f t="shared" si="4"/>
        <v>1.1450775420377646E-2</v>
      </c>
      <c r="D320" s="67">
        <f>(Table1345[[#This Row],[Index]]-B308)/B308</f>
        <v>-5.7751552435125293E-3</v>
      </c>
    </row>
    <row r="321" spans="1:4" x14ac:dyDescent="0.2">
      <c r="A321" s="17">
        <v>35855</v>
      </c>
      <c r="B321" s="59">
        <f>VLOOKUP(Table1345[[#This Row],[Date]],database!A:I,9,)</f>
        <v>84.829099999999997</v>
      </c>
      <c r="C321" s="67">
        <f t="shared" si="4"/>
        <v>2.9989363665504198E-2</v>
      </c>
      <c r="D321" s="67">
        <f>(Table1345[[#This Row],[Index]]-B309)/B309</f>
        <v>4.6867016983539608E-2</v>
      </c>
    </row>
    <row r="322" spans="1:4" x14ac:dyDescent="0.2">
      <c r="A322" s="17">
        <v>35886</v>
      </c>
      <c r="B322" s="59">
        <f>VLOOKUP(Table1345[[#This Row],[Date]],database!A:I,9,)</f>
        <v>84.031499999999994</v>
      </c>
      <c r="C322" s="67">
        <f t="shared" si="4"/>
        <v>-9.4024338346156977E-3</v>
      </c>
      <c r="D322" s="67">
        <f>(Table1345[[#This Row],[Index]]-B310)/B310</f>
        <v>1.3428929786053543E-2</v>
      </c>
    </row>
    <row r="323" spans="1:4" x14ac:dyDescent="0.2">
      <c r="A323" s="17">
        <v>35916</v>
      </c>
      <c r="B323" s="59">
        <f>VLOOKUP(Table1345[[#This Row],[Date]],database!A:I,9,)</f>
        <v>85.697299999999998</v>
      </c>
      <c r="C323" s="67">
        <f t="shared" si="4"/>
        <v>1.9823518561491893E-2</v>
      </c>
      <c r="D323" s="67">
        <f>(Table1345[[#This Row],[Index]]-B311)/B311</f>
        <v>4.7774905917363768E-2</v>
      </c>
    </row>
    <row r="324" spans="1:4" x14ac:dyDescent="0.2">
      <c r="A324" s="17">
        <v>35947</v>
      </c>
      <c r="B324" s="59">
        <f>VLOOKUP(Table1345[[#This Row],[Date]],database!A:I,9,)</f>
        <v>87.102599999999995</v>
      </c>
      <c r="C324" s="67">
        <f t="shared" si="4"/>
        <v>1.6398416286160566E-2</v>
      </c>
      <c r="D324" s="67">
        <f>(Table1345[[#This Row],[Index]]-B312)/B312</f>
        <v>6.9918499456458269E-2</v>
      </c>
    </row>
    <row r="325" spans="1:4" x14ac:dyDescent="0.2">
      <c r="A325" s="17">
        <v>35977</v>
      </c>
      <c r="B325" s="59">
        <f>VLOOKUP(Table1345[[#This Row],[Date]],database!A:I,9,)</f>
        <v>87.366</v>
      </c>
      <c r="C325" s="67">
        <f t="shared" si="4"/>
        <v>3.0240199488880126E-3</v>
      </c>
      <c r="D325" s="67">
        <f>(Table1345[[#This Row],[Index]]-B313)/B313</f>
        <v>5.0703547805171299E-2</v>
      </c>
    </row>
    <row r="326" spans="1:4" x14ac:dyDescent="0.2">
      <c r="A326" s="17">
        <v>36008</v>
      </c>
      <c r="B326" s="59">
        <f>VLOOKUP(Table1345[[#This Row],[Date]],database!A:I,9,)</f>
        <v>86.868200000000002</v>
      </c>
      <c r="C326" s="67">
        <f t="shared" si="4"/>
        <v>-5.6978687361215474E-3</v>
      </c>
      <c r="D326" s="67">
        <f>(Table1345[[#This Row],[Index]]-B314)/B314</f>
        <v>4.9300129972411087E-2</v>
      </c>
    </row>
    <row r="327" spans="1:4" x14ac:dyDescent="0.2">
      <c r="A327" s="17">
        <v>36039</v>
      </c>
      <c r="B327" s="59">
        <f>VLOOKUP(Table1345[[#This Row],[Date]],database!A:I,9,)</f>
        <v>88.317300000000003</v>
      </c>
      <c r="C327" s="67">
        <f t="shared" si="4"/>
        <v>1.668159349451237E-2</v>
      </c>
      <c r="D327" s="67">
        <f>(Table1345[[#This Row],[Index]]-B315)/B315</f>
        <v>5.4702418413909361E-2</v>
      </c>
    </row>
    <row r="328" spans="1:4" x14ac:dyDescent="0.2">
      <c r="A328" s="17">
        <v>36069</v>
      </c>
      <c r="B328" s="59">
        <f>VLOOKUP(Table1345[[#This Row],[Date]],database!A:I,9,)</f>
        <v>87.412499999999994</v>
      </c>
      <c r="C328" s="67">
        <f t="shared" ref="C328:C391" si="5">B328/B327-1</f>
        <v>-1.0244878410005875E-2</v>
      </c>
      <c r="D328" s="67">
        <f>(Table1345[[#This Row],[Index]]-B316)/B316</f>
        <v>2.5431522935176993E-2</v>
      </c>
    </row>
    <row r="329" spans="1:4" x14ac:dyDescent="0.2">
      <c r="A329" s="17">
        <v>36100</v>
      </c>
      <c r="B329" s="59">
        <f>VLOOKUP(Table1345[[#This Row],[Date]],database!A:I,9,)</f>
        <v>85.188400000000001</v>
      </c>
      <c r="C329" s="67">
        <f t="shared" si="5"/>
        <v>-2.5443729443729413E-2</v>
      </c>
      <c r="D329" s="67">
        <f>(Table1345[[#This Row],[Index]]-B317)/B317</f>
        <v>2.3013122176192399E-4</v>
      </c>
    </row>
    <row r="330" spans="1:4" x14ac:dyDescent="0.2">
      <c r="A330" s="17">
        <v>36130</v>
      </c>
      <c r="B330" s="59">
        <f>VLOOKUP(Table1345[[#This Row],[Date]],database!A:I,9,)</f>
        <v>85.385099999999994</v>
      </c>
      <c r="C330" s="67">
        <f t="shared" si="5"/>
        <v>2.3089998168763781E-3</v>
      </c>
      <c r="D330" s="67">
        <f>(Table1345[[#This Row],[Index]]-B318)/B318</f>
        <v>6.8748297506783258E-3</v>
      </c>
    </row>
    <row r="331" spans="1:4" x14ac:dyDescent="0.2">
      <c r="A331" s="17">
        <v>36161</v>
      </c>
      <c r="B331" s="59">
        <f>VLOOKUP(Table1345[[#This Row],[Date]],database!A:I,9,)</f>
        <v>87.359899999999996</v>
      </c>
      <c r="C331" s="67">
        <f t="shared" si="5"/>
        <v>2.3128157020370077E-2</v>
      </c>
      <c r="D331" s="67">
        <f>(Table1345[[#This Row],[Index]]-B319)/B319</f>
        <v>7.2864216695240333E-2</v>
      </c>
    </row>
    <row r="332" spans="1:4" x14ac:dyDescent="0.2">
      <c r="A332" s="17">
        <v>36192</v>
      </c>
      <c r="B332" s="59">
        <f>VLOOKUP(Table1345[[#This Row],[Date]],database!A:I,9,)</f>
        <v>85.936300000000003</v>
      </c>
      <c r="C332" s="67">
        <f t="shared" si="5"/>
        <v>-1.6295806199411733E-2</v>
      </c>
      <c r="D332" s="67">
        <f>(Table1345[[#This Row],[Index]]-B320)/B320</f>
        <v>4.3432913384297098E-2</v>
      </c>
    </row>
    <row r="333" spans="1:4" x14ac:dyDescent="0.2">
      <c r="A333" s="17">
        <v>36220</v>
      </c>
      <c r="B333" s="59">
        <f>VLOOKUP(Table1345[[#This Row],[Date]],database!A:I,9,)</f>
        <v>88.521500000000003</v>
      </c>
      <c r="C333" s="67">
        <f t="shared" si="5"/>
        <v>3.0082747337272009E-2</v>
      </c>
      <c r="D333" s="67">
        <f>(Table1345[[#This Row],[Index]]-B321)/B321</f>
        <v>4.3527515911403122E-2</v>
      </c>
    </row>
    <row r="334" spans="1:4" x14ac:dyDescent="0.2">
      <c r="A334" s="17">
        <v>36251</v>
      </c>
      <c r="B334" s="59">
        <f>VLOOKUP(Table1345[[#This Row],[Date]],database!A:I,9,)</f>
        <v>87.906099999999995</v>
      </c>
      <c r="C334" s="67">
        <f t="shared" si="5"/>
        <v>-6.9519834164581962E-3</v>
      </c>
      <c r="D334" s="67">
        <f>(Table1345[[#This Row],[Index]]-B322)/B322</f>
        <v>4.6108899638825931E-2</v>
      </c>
    </row>
    <row r="335" spans="1:4" x14ac:dyDescent="0.2">
      <c r="A335" s="17">
        <v>36281</v>
      </c>
      <c r="B335" s="59">
        <f>VLOOKUP(Table1345[[#This Row],[Date]],database!A:I,9,)</f>
        <v>87.156499999999994</v>
      </c>
      <c r="C335" s="67">
        <f t="shared" si="5"/>
        <v>-8.5272808144144507E-3</v>
      </c>
      <c r="D335" s="67">
        <f>(Table1345[[#This Row],[Index]]-B323)/B323</f>
        <v>1.7027374257998742E-2</v>
      </c>
    </row>
    <row r="336" spans="1:4" x14ac:dyDescent="0.2">
      <c r="A336" s="17">
        <v>36312</v>
      </c>
      <c r="B336" s="59">
        <f>VLOOKUP(Table1345[[#This Row],[Date]],database!A:I,9,)</f>
        <v>88.414199999999994</v>
      </c>
      <c r="C336" s="67">
        <f t="shared" si="5"/>
        <v>1.4430363770917776E-2</v>
      </c>
      <c r="D336" s="67">
        <f>(Table1345[[#This Row],[Index]]-B324)/B324</f>
        <v>1.5058103891273034E-2</v>
      </c>
    </row>
    <row r="337" spans="1:4" x14ac:dyDescent="0.2">
      <c r="A337" s="17">
        <v>36342</v>
      </c>
      <c r="B337" s="59">
        <f>VLOOKUP(Table1345[[#This Row],[Date]],database!A:I,9,)</f>
        <v>90.321399999999997</v>
      </c>
      <c r="C337" s="67">
        <f t="shared" si="5"/>
        <v>2.1571195577181124E-2</v>
      </c>
      <c r="D337" s="67">
        <f>(Table1345[[#This Row],[Index]]-B325)/B325</f>
        <v>3.3827804866881826E-2</v>
      </c>
    </row>
    <row r="338" spans="1:4" x14ac:dyDescent="0.2">
      <c r="A338" s="17">
        <v>36373</v>
      </c>
      <c r="B338" s="59">
        <f>VLOOKUP(Table1345[[#This Row],[Date]],database!A:I,9,)</f>
        <v>89.2136</v>
      </c>
      <c r="C338" s="67">
        <f t="shared" si="5"/>
        <v>-1.2265088893661957E-2</v>
      </c>
      <c r="D338" s="67">
        <f>(Table1345[[#This Row],[Index]]-B326)/B326</f>
        <v>2.6999523415933539E-2</v>
      </c>
    </row>
    <row r="339" spans="1:4" x14ac:dyDescent="0.2">
      <c r="A339" s="17">
        <v>36404</v>
      </c>
      <c r="B339" s="59">
        <f>VLOOKUP(Table1345[[#This Row],[Date]],database!A:I,9,)</f>
        <v>88.62</v>
      </c>
      <c r="C339" s="67">
        <f t="shared" si="5"/>
        <v>-6.6536940556147783E-3</v>
      </c>
      <c r="D339" s="67">
        <f>(Table1345[[#This Row],[Index]]-B327)/B327</f>
        <v>3.42741456090711E-3</v>
      </c>
    </row>
    <row r="340" spans="1:4" x14ac:dyDescent="0.2">
      <c r="A340" s="17">
        <v>36434</v>
      </c>
      <c r="B340" s="59">
        <f>VLOOKUP(Table1345[[#This Row],[Date]],database!A:I,9,)</f>
        <v>88.335300000000004</v>
      </c>
      <c r="C340" s="67">
        <f t="shared" si="5"/>
        <v>-3.2125930941097058E-3</v>
      </c>
      <c r="D340" s="67">
        <f>(Table1345[[#This Row],[Index]]-B328)/B328</f>
        <v>1.0556842556842664E-2</v>
      </c>
    </row>
    <row r="341" spans="1:4" x14ac:dyDescent="0.2">
      <c r="A341" s="17">
        <v>36465</v>
      </c>
      <c r="B341" s="59">
        <f>VLOOKUP(Table1345[[#This Row],[Date]],database!A:I,9,)</f>
        <v>87.062299999999993</v>
      </c>
      <c r="C341" s="67">
        <f t="shared" si="5"/>
        <v>-1.441099990603989E-2</v>
      </c>
      <c r="D341" s="67">
        <f>(Table1345[[#This Row],[Index]]-B329)/B329</f>
        <v>2.1997126369317794E-2</v>
      </c>
    </row>
    <row r="342" spans="1:4" x14ac:dyDescent="0.2">
      <c r="A342" s="17">
        <v>36495</v>
      </c>
      <c r="B342" s="59">
        <f>VLOOKUP(Table1345[[#This Row],[Date]],database!A:I,9,)</f>
        <v>88.567700000000002</v>
      </c>
      <c r="C342" s="67">
        <f t="shared" si="5"/>
        <v>1.7291066282420831E-2</v>
      </c>
      <c r="D342" s="67">
        <f>(Table1345[[#This Row],[Index]]-B330)/B330</f>
        <v>3.7273482141497852E-2</v>
      </c>
    </row>
    <row r="343" spans="1:4" x14ac:dyDescent="0.2">
      <c r="A343" s="17">
        <v>36526</v>
      </c>
      <c r="B343" s="59">
        <f>VLOOKUP(Table1345[[#This Row],[Date]],database!A:I,9,)</f>
        <v>88.474900000000005</v>
      </c>
      <c r="C343" s="67">
        <f t="shared" si="5"/>
        <v>-1.047786043896326E-3</v>
      </c>
      <c r="D343" s="67">
        <f>(Table1345[[#This Row],[Index]]-B331)/B331</f>
        <v>1.2763292998275057E-2</v>
      </c>
    </row>
    <row r="344" spans="1:4" x14ac:dyDescent="0.2">
      <c r="A344" s="17">
        <v>36557</v>
      </c>
      <c r="B344" s="59">
        <f>VLOOKUP(Table1345[[#This Row],[Date]],database!A:I,9,)</f>
        <v>89.627799999999993</v>
      </c>
      <c r="C344" s="67">
        <f t="shared" si="5"/>
        <v>1.3030814389165535E-2</v>
      </c>
      <c r="D344" s="67">
        <f>(Table1345[[#This Row],[Index]]-B332)/B332</f>
        <v>4.2956236188897948E-2</v>
      </c>
    </row>
    <row r="345" spans="1:4" x14ac:dyDescent="0.2">
      <c r="A345" s="17">
        <v>36586</v>
      </c>
      <c r="B345" s="59">
        <f>VLOOKUP(Table1345[[#This Row],[Date]],database!A:I,9,)</f>
        <v>87.163799999999995</v>
      </c>
      <c r="C345" s="67">
        <f t="shared" si="5"/>
        <v>-2.7491470280426422E-2</v>
      </c>
      <c r="D345" s="67">
        <f>(Table1345[[#This Row],[Index]]-B333)/B333</f>
        <v>-1.5337516874431729E-2</v>
      </c>
    </row>
    <row r="346" spans="1:4" x14ac:dyDescent="0.2">
      <c r="A346" s="17">
        <v>36617</v>
      </c>
      <c r="B346" s="59">
        <f>VLOOKUP(Table1345[[#This Row],[Date]],database!A:I,9,)</f>
        <v>89.031000000000006</v>
      </c>
      <c r="C346" s="67">
        <f t="shared" si="5"/>
        <v>2.1421737005500097E-2</v>
      </c>
      <c r="D346" s="67">
        <f>(Table1345[[#This Row],[Index]]-B334)/B334</f>
        <v>1.2796609109038064E-2</v>
      </c>
    </row>
    <row r="347" spans="1:4" x14ac:dyDescent="0.2">
      <c r="A347" s="17">
        <v>36647</v>
      </c>
      <c r="B347" s="59">
        <f>VLOOKUP(Table1345[[#This Row],[Date]],database!A:I,9,)</f>
        <v>92.330200000000005</v>
      </c>
      <c r="C347" s="67">
        <f t="shared" si="5"/>
        <v>3.7056755512125061E-2</v>
      </c>
      <c r="D347" s="67">
        <f>(Table1345[[#This Row],[Index]]-B335)/B335</f>
        <v>5.9361034460998448E-2</v>
      </c>
    </row>
    <row r="348" spans="1:4" x14ac:dyDescent="0.2">
      <c r="A348" s="17">
        <v>36678</v>
      </c>
      <c r="B348" s="59">
        <f>VLOOKUP(Table1345[[#This Row],[Date]],database!A:I,9,)</f>
        <v>90.976100000000002</v>
      </c>
      <c r="C348" s="67">
        <f t="shared" si="5"/>
        <v>-1.4665840645855854E-2</v>
      </c>
      <c r="D348" s="67">
        <f>(Table1345[[#This Row],[Index]]-B336)/B336</f>
        <v>2.8976114696508126E-2</v>
      </c>
    </row>
    <row r="349" spans="1:4" x14ac:dyDescent="0.2">
      <c r="A349" s="17">
        <v>36708</v>
      </c>
      <c r="B349" s="59">
        <f>VLOOKUP(Table1345[[#This Row],[Date]],database!A:I,9,)</f>
        <v>88.276200000000003</v>
      </c>
      <c r="C349" s="67">
        <f t="shared" si="5"/>
        <v>-2.9677025064824725E-2</v>
      </c>
      <c r="D349" s="67">
        <f>(Table1345[[#This Row],[Index]]-B337)/B337</f>
        <v>-2.2643581698246418E-2</v>
      </c>
    </row>
    <row r="350" spans="1:4" x14ac:dyDescent="0.2">
      <c r="A350" s="17">
        <v>36739</v>
      </c>
      <c r="B350" s="59">
        <f>VLOOKUP(Table1345[[#This Row],[Date]],database!A:I,9,)</f>
        <v>90.867800000000003</v>
      </c>
      <c r="C350" s="67">
        <f t="shared" si="5"/>
        <v>2.9357856364456092E-2</v>
      </c>
      <c r="D350" s="67">
        <f>(Table1345[[#This Row],[Index]]-B338)/B338</f>
        <v>1.8542016015495429E-2</v>
      </c>
    </row>
    <row r="351" spans="1:4" x14ac:dyDescent="0.2">
      <c r="A351" s="17">
        <v>36770</v>
      </c>
      <c r="B351" s="59">
        <f>VLOOKUP(Table1345[[#This Row],[Date]],database!A:I,9,)</f>
        <v>91.303299999999993</v>
      </c>
      <c r="C351" s="67">
        <f t="shared" si="5"/>
        <v>4.7926768338177883E-3</v>
      </c>
      <c r="D351" s="67">
        <f>(Table1345[[#This Row],[Index]]-B339)/B339</f>
        <v>3.0278718122319886E-2</v>
      </c>
    </row>
    <row r="352" spans="1:4" x14ac:dyDescent="0.2">
      <c r="A352" s="17">
        <v>36800</v>
      </c>
      <c r="B352" s="59">
        <f>VLOOKUP(Table1345[[#This Row],[Date]],database!A:I,9,)</f>
        <v>90.394000000000005</v>
      </c>
      <c r="C352" s="67">
        <f t="shared" si="5"/>
        <v>-9.9591142926924725E-3</v>
      </c>
      <c r="D352" s="67">
        <f>(Table1345[[#This Row],[Index]]-B340)/B340</f>
        <v>2.3305518858259402E-2</v>
      </c>
    </row>
    <row r="353" spans="1:4" x14ac:dyDescent="0.2">
      <c r="A353" s="17">
        <v>36831</v>
      </c>
      <c r="B353" s="59">
        <f>VLOOKUP(Table1345[[#This Row],[Date]],database!A:I,9,)</f>
        <v>93.597899999999996</v>
      </c>
      <c r="C353" s="67">
        <f t="shared" si="5"/>
        <v>3.5443724140982624E-2</v>
      </c>
      <c r="D353" s="67">
        <f>(Table1345[[#This Row],[Index]]-B341)/B341</f>
        <v>7.5068083429911711E-2</v>
      </c>
    </row>
    <row r="354" spans="1:4" x14ac:dyDescent="0.2">
      <c r="A354" s="17">
        <v>36861</v>
      </c>
      <c r="B354" s="59">
        <f>VLOOKUP(Table1345[[#This Row],[Date]],database!A:I,9,)</f>
        <v>95.745199999999997</v>
      </c>
      <c r="C354" s="67">
        <f t="shared" si="5"/>
        <v>2.2941754035079809E-2</v>
      </c>
      <c r="D354" s="67">
        <f>(Table1345[[#This Row],[Index]]-B342)/B342</f>
        <v>8.1039701832609348E-2</v>
      </c>
    </row>
    <row r="355" spans="1:4" x14ac:dyDescent="0.2">
      <c r="A355" s="17">
        <v>36892</v>
      </c>
      <c r="B355" s="59">
        <f>VLOOKUP(Table1345[[#This Row],[Date]],database!A:I,9,)</f>
        <v>93.9358</v>
      </c>
      <c r="C355" s="67">
        <f t="shared" si="5"/>
        <v>-1.8898075308213858E-2</v>
      </c>
      <c r="D355" s="67">
        <f>(Table1345[[#This Row],[Index]]-B343)/B343</f>
        <v>6.1722590248759757E-2</v>
      </c>
    </row>
    <row r="356" spans="1:4" x14ac:dyDescent="0.2">
      <c r="A356" s="17">
        <v>36923</v>
      </c>
      <c r="B356" s="59">
        <f>VLOOKUP(Table1345[[#This Row],[Date]],database!A:I,9,)</f>
        <v>92.060599999999994</v>
      </c>
      <c r="C356" s="67">
        <f t="shared" si="5"/>
        <v>-1.9962570180910855E-2</v>
      </c>
      <c r="D356" s="67">
        <f>(Table1345[[#This Row],[Index]]-B344)/B344</f>
        <v>2.7143364000901511E-2</v>
      </c>
    </row>
    <row r="357" spans="1:4" x14ac:dyDescent="0.2">
      <c r="A357" s="17">
        <v>36951</v>
      </c>
      <c r="B357" s="59">
        <f>VLOOKUP(Table1345[[#This Row],[Date]],database!A:I,9,)</f>
        <v>91.402600000000007</v>
      </c>
      <c r="C357" s="67">
        <f t="shared" si="5"/>
        <v>-7.1474659083254899E-3</v>
      </c>
      <c r="D357" s="67">
        <f>(Table1345[[#This Row],[Index]]-B345)/B345</f>
        <v>4.8630280001560423E-2</v>
      </c>
    </row>
    <row r="358" spans="1:4" x14ac:dyDescent="0.2">
      <c r="A358" s="17">
        <v>36982</v>
      </c>
      <c r="B358" s="59">
        <f>VLOOKUP(Table1345[[#This Row],[Date]],database!A:I,9,)</f>
        <v>90.939700000000002</v>
      </c>
      <c r="C358" s="67">
        <f t="shared" si="5"/>
        <v>-5.0644073582152282E-3</v>
      </c>
      <c r="D358" s="67">
        <f>(Table1345[[#This Row],[Index]]-B346)/B346</f>
        <v>2.1438600038188899E-2</v>
      </c>
    </row>
    <row r="359" spans="1:4" x14ac:dyDescent="0.2">
      <c r="A359" s="17">
        <v>37012</v>
      </c>
      <c r="B359" s="59">
        <f>VLOOKUP(Table1345[[#This Row],[Date]],database!A:I,9,)</f>
        <v>90.202799999999996</v>
      </c>
      <c r="C359" s="67">
        <f t="shared" si="5"/>
        <v>-8.1031716621013938E-3</v>
      </c>
      <c r="D359" s="67">
        <f>(Table1345[[#This Row],[Index]]-B347)/B347</f>
        <v>-2.3041215117047386E-2</v>
      </c>
    </row>
    <row r="360" spans="1:4" x14ac:dyDescent="0.2">
      <c r="A360" s="17">
        <v>37043</v>
      </c>
      <c r="B360" s="59">
        <f>VLOOKUP(Table1345[[#This Row],[Date]],database!A:I,9,)</f>
        <v>90.472999999999999</v>
      </c>
      <c r="C360" s="67">
        <f t="shared" si="5"/>
        <v>2.995472424359269E-3</v>
      </c>
      <c r="D360" s="67">
        <f>(Table1345[[#This Row],[Index]]-B348)/B348</f>
        <v>-5.5300238194427266E-3</v>
      </c>
    </row>
    <row r="361" spans="1:4" x14ac:dyDescent="0.2">
      <c r="A361" s="17">
        <v>37073</v>
      </c>
      <c r="B361" s="59">
        <f>VLOOKUP(Table1345[[#This Row],[Date]],database!A:I,9,)</f>
        <v>88.906300000000002</v>
      </c>
      <c r="C361" s="67">
        <f t="shared" si="5"/>
        <v>-1.7316768538680027E-2</v>
      </c>
      <c r="D361" s="67">
        <f>(Table1345[[#This Row],[Index]]-B349)/B349</f>
        <v>7.1378242380165744E-3</v>
      </c>
    </row>
    <row r="362" spans="1:4" x14ac:dyDescent="0.2">
      <c r="A362" s="17">
        <v>37104</v>
      </c>
      <c r="B362" s="59">
        <f>VLOOKUP(Table1345[[#This Row],[Date]],database!A:I,9,)</f>
        <v>91.307299999999998</v>
      </c>
      <c r="C362" s="67">
        <f t="shared" si="5"/>
        <v>2.7005960207544311E-2</v>
      </c>
      <c r="D362" s="67">
        <f>(Table1345[[#This Row],[Index]]-B350)/B350</f>
        <v>4.8366968276990895E-3</v>
      </c>
    </row>
    <row r="363" spans="1:4" x14ac:dyDescent="0.2">
      <c r="A363" s="17">
        <v>37135</v>
      </c>
      <c r="B363" s="59">
        <f>VLOOKUP(Table1345[[#This Row],[Date]],database!A:I,9,)</f>
        <v>89.340599999999995</v>
      </c>
      <c r="C363" s="67">
        <f t="shared" si="5"/>
        <v>-2.1539351180026145E-2</v>
      </c>
      <c r="D363" s="67">
        <f>(Table1345[[#This Row],[Index]]-B351)/B351</f>
        <v>-2.149648479299213E-2</v>
      </c>
    </row>
    <row r="364" spans="1:4" x14ac:dyDescent="0.2">
      <c r="A364" s="17">
        <v>37165</v>
      </c>
      <c r="B364" s="59">
        <f>VLOOKUP(Table1345[[#This Row],[Date]],database!A:I,9,)</f>
        <v>90.163799999999995</v>
      </c>
      <c r="C364" s="67">
        <f t="shared" si="5"/>
        <v>9.2141758618142777E-3</v>
      </c>
      <c r="D364" s="67">
        <f>(Table1345[[#This Row],[Index]]-B352)/B352</f>
        <v>-2.5466292010532846E-3</v>
      </c>
    </row>
    <row r="365" spans="1:4" x14ac:dyDescent="0.2">
      <c r="A365" s="17">
        <v>37196</v>
      </c>
      <c r="B365" s="59">
        <f>VLOOKUP(Table1345[[#This Row],[Date]],database!A:I,9,)</f>
        <v>88.158600000000007</v>
      </c>
      <c r="C365" s="67">
        <f t="shared" si="5"/>
        <v>-2.2239524066199334E-2</v>
      </c>
      <c r="D365" s="67">
        <f>(Table1345[[#This Row],[Index]]-B353)/B353</f>
        <v>-5.8113483315330672E-2</v>
      </c>
    </row>
    <row r="366" spans="1:4" x14ac:dyDescent="0.2">
      <c r="A366" s="17">
        <v>37226</v>
      </c>
      <c r="B366" s="59">
        <f>VLOOKUP(Table1345[[#This Row],[Date]],database!A:I,9,)</f>
        <v>86.987700000000004</v>
      </c>
      <c r="C366" s="67">
        <f t="shared" si="5"/>
        <v>-1.3281744492312786E-2</v>
      </c>
      <c r="D366" s="67">
        <f>(Table1345[[#This Row],[Index]]-B354)/B354</f>
        <v>-9.1466726269306381E-2</v>
      </c>
    </row>
    <row r="367" spans="1:4" x14ac:dyDescent="0.2">
      <c r="A367" s="17">
        <v>37257</v>
      </c>
      <c r="B367" s="59">
        <f>VLOOKUP(Table1345[[#This Row],[Date]],database!A:I,9,)</f>
        <v>88.944000000000003</v>
      </c>
      <c r="C367" s="67">
        <f t="shared" si="5"/>
        <v>2.2489386430495362E-2</v>
      </c>
      <c r="D367" s="67">
        <f>(Table1345[[#This Row],[Index]]-B355)/B355</f>
        <v>-5.3140549183591325E-2</v>
      </c>
    </row>
    <row r="368" spans="1:4" x14ac:dyDescent="0.2">
      <c r="A368" s="17">
        <v>37288</v>
      </c>
      <c r="B368" s="59">
        <f>VLOOKUP(Table1345[[#This Row],[Date]],database!A:I,9,)</f>
        <v>89.384600000000006</v>
      </c>
      <c r="C368" s="67">
        <f t="shared" si="5"/>
        <v>4.9536787191941656E-3</v>
      </c>
      <c r="D368" s="67">
        <f>(Table1345[[#This Row],[Index]]-B356)/B356</f>
        <v>-2.9067809681883324E-2</v>
      </c>
    </row>
    <row r="369" spans="1:4" x14ac:dyDescent="0.2">
      <c r="A369" s="17">
        <v>37316</v>
      </c>
      <c r="B369" s="59">
        <f>VLOOKUP(Table1345[[#This Row],[Date]],database!A:I,9,)</f>
        <v>91.804699999999997</v>
      </c>
      <c r="C369" s="67">
        <f t="shared" si="5"/>
        <v>2.7075133747871405E-2</v>
      </c>
      <c r="D369" s="67">
        <f>(Table1345[[#This Row],[Index]]-B357)/B357</f>
        <v>4.3992184029774872E-3</v>
      </c>
    </row>
    <row r="370" spans="1:4" x14ac:dyDescent="0.2">
      <c r="A370" s="17">
        <v>37347</v>
      </c>
      <c r="B370" s="59">
        <f>VLOOKUP(Table1345[[#This Row],[Date]],database!A:I,9,)</f>
        <v>93.975099999999998</v>
      </c>
      <c r="C370" s="67">
        <f t="shared" si="5"/>
        <v>2.3641491121914271E-2</v>
      </c>
      <c r="D370" s="67">
        <f>(Table1345[[#This Row],[Index]]-B358)/B358</f>
        <v>3.3378161572998326E-2</v>
      </c>
    </row>
    <row r="371" spans="1:4" x14ac:dyDescent="0.2">
      <c r="A371" s="17">
        <v>37377</v>
      </c>
      <c r="B371" s="59">
        <f>VLOOKUP(Table1345[[#This Row],[Date]],database!A:I,9,)</f>
        <v>93.3887</v>
      </c>
      <c r="C371" s="67">
        <f t="shared" si="5"/>
        <v>-6.2399507954766786E-3</v>
      </c>
      <c r="D371" s="67">
        <f>(Table1345[[#This Row],[Index]]-B359)/B359</f>
        <v>3.5319302726744668E-2</v>
      </c>
    </row>
    <row r="372" spans="1:4" x14ac:dyDescent="0.2">
      <c r="A372" s="17">
        <v>37408</v>
      </c>
      <c r="B372" s="59">
        <f>VLOOKUP(Table1345[[#This Row],[Date]],database!A:I,9,)</f>
        <v>93.461600000000004</v>
      </c>
      <c r="C372" s="67">
        <f t="shared" si="5"/>
        <v>7.8060836054039129E-4</v>
      </c>
      <c r="D372" s="67">
        <f>(Table1345[[#This Row],[Index]]-B360)/B360</f>
        <v>3.3033059586838123E-2</v>
      </c>
    </row>
    <row r="373" spans="1:4" x14ac:dyDescent="0.2">
      <c r="A373" s="17">
        <v>37438</v>
      </c>
      <c r="B373" s="59">
        <f>VLOOKUP(Table1345[[#This Row],[Date]],database!A:I,9,)</f>
        <v>94.377099999999999</v>
      </c>
      <c r="C373" s="67">
        <f t="shared" si="5"/>
        <v>9.7954668013386925E-3</v>
      </c>
      <c r="D373" s="67">
        <f>(Table1345[[#This Row],[Index]]-B361)/B361</f>
        <v>6.1534446940205552E-2</v>
      </c>
    </row>
    <row r="374" spans="1:4" x14ac:dyDescent="0.2">
      <c r="A374" s="17">
        <v>37469</v>
      </c>
      <c r="B374" s="59">
        <f>VLOOKUP(Table1345[[#This Row],[Date]],database!A:I,9,)</f>
        <v>92.302000000000007</v>
      </c>
      <c r="C374" s="67">
        <f t="shared" si="5"/>
        <v>-2.1987325315145245E-2</v>
      </c>
      <c r="D374" s="67">
        <f>(Table1345[[#This Row],[Index]]-B362)/B362</f>
        <v>1.0893981094611371E-2</v>
      </c>
    </row>
    <row r="375" spans="1:4" x14ac:dyDescent="0.2">
      <c r="A375" s="17">
        <v>37500</v>
      </c>
      <c r="B375" s="59">
        <f>VLOOKUP(Table1345[[#This Row],[Date]],database!A:I,9,)</f>
        <v>93.989400000000003</v>
      </c>
      <c r="C375" s="67">
        <f t="shared" si="5"/>
        <v>1.8281294013130722E-2</v>
      </c>
      <c r="D375" s="67">
        <f>(Table1345[[#This Row],[Index]]-B363)/B363</f>
        <v>5.2034573307096758E-2</v>
      </c>
    </row>
    <row r="376" spans="1:4" x14ac:dyDescent="0.2">
      <c r="A376" s="17">
        <v>37530</v>
      </c>
      <c r="B376" s="59">
        <f>VLOOKUP(Table1345[[#This Row],[Date]],database!A:I,9,)</f>
        <v>95.145200000000003</v>
      </c>
      <c r="C376" s="67">
        <f t="shared" si="5"/>
        <v>1.2297131378644854E-2</v>
      </c>
      <c r="D376" s="67">
        <f>(Table1345[[#This Row],[Index]]-B364)/B364</f>
        <v>5.5248336915702398E-2</v>
      </c>
    </row>
    <row r="377" spans="1:4" x14ac:dyDescent="0.2">
      <c r="A377" s="17">
        <v>37561</v>
      </c>
      <c r="B377" s="59">
        <f>VLOOKUP(Table1345[[#This Row],[Date]],database!A:I,9,)</f>
        <v>94.827699999999993</v>
      </c>
      <c r="C377" s="67">
        <f t="shared" si="5"/>
        <v>-3.3370049145937664E-3</v>
      </c>
      <c r="D377" s="67">
        <f>(Table1345[[#This Row],[Index]]-B365)/B365</f>
        <v>7.56488873462145E-2</v>
      </c>
    </row>
    <row r="378" spans="1:4" x14ac:dyDescent="0.2">
      <c r="A378" s="17">
        <v>37591</v>
      </c>
      <c r="B378" s="59">
        <f>VLOOKUP(Table1345[[#This Row],[Date]],database!A:I,9,)</f>
        <v>93.858699999999999</v>
      </c>
      <c r="C378" s="67">
        <f t="shared" si="5"/>
        <v>-1.021853319230559E-2</v>
      </c>
      <c r="D378" s="67">
        <f>(Table1345[[#This Row],[Index]]-B366)/B366</f>
        <v>7.8988178788495331E-2</v>
      </c>
    </row>
    <row r="379" spans="1:4" x14ac:dyDescent="0.2">
      <c r="A379" s="17">
        <v>37622</v>
      </c>
      <c r="B379" s="59">
        <f>VLOOKUP(Table1345[[#This Row],[Date]],database!A:I,9,)</f>
        <v>95.274100000000004</v>
      </c>
      <c r="C379" s="67">
        <f t="shared" si="5"/>
        <v>1.5080115109201486E-2</v>
      </c>
      <c r="D379" s="67">
        <f>(Table1345[[#This Row],[Index]]-B367)/B367</f>
        <v>7.1169499910055778E-2</v>
      </c>
    </row>
    <row r="380" spans="1:4" x14ac:dyDescent="0.2">
      <c r="A380" s="17">
        <v>37653</v>
      </c>
      <c r="B380" s="59">
        <f>VLOOKUP(Table1345[[#This Row],[Date]],database!A:I,9,)</f>
        <v>97.330500000000001</v>
      </c>
      <c r="C380" s="67">
        <f t="shared" si="5"/>
        <v>2.158404015361981E-2</v>
      </c>
      <c r="D380" s="67">
        <f>(Table1345[[#This Row],[Index]]-B368)/B368</f>
        <v>8.88956263159425E-2</v>
      </c>
    </row>
    <row r="381" spans="1:4" x14ac:dyDescent="0.2">
      <c r="A381" s="17">
        <v>37681</v>
      </c>
      <c r="B381" s="59">
        <f>VLOOKUP(Table1345[[#This Row],[Date]],database!A:I,9,)</f>
        <v>93.991100000000003</v>
      </c>
      <c r="C381" s="67">
        <f t="shared" si="5"/>
        <v>-3.4309902856761165E-2</v>
      </c>
      <c r="D381" s="67">
        <f>(Table1345[[#This Row],[Index]]-B369)/B369</f>
        <v>2.3815774137925468E-2</v>
      </c>
    </row>
    <row r="382" spans="1:4" x14ac:dyDescent="0.2">
      <c r="A382" s="17">
        <v>37712</v>
      </c>
      <c r="B382" s="59">
        <f>VLOOKUP(Table1345[[#This Row],[Date]],database!A:I,9,)</f>
        <v>94.164699999999996</v>
      </c>
      <c r="C382" s="67">
        <f t="shared" si="5"/>
        <v>1.8469833845968786E-3</v>
      </c>
      <c r="D382" s="67">
        <f>(Table1345[[#This Row],[Index]]-B370)/B370</f>
        <v>2.017555714226414E-3</v>
      </c>
    </row>
    <row r="383" spans="1:4" x14ac:dyDescent="0.2">
      <c r="A383" s="17">
        <v>37742</v>
      </c>
      <c r="B383" s="59">
        <f>VLOOKUP(Table1345[[#This Row],[Date]],database!A:I,9,)</f>
        <v>94.056200000000004</v>
      </c>
      <c r="C383" s="67">
        <f t="shared" si="5"/>
        <v>-1.1522364537878138E-3</v>
      </c>
      <c r="D383" s="67">
        <f>(Table1345[[#This Row],[Index]]-B371)/B371</f>
        <v>7.1475456880757951E-3</v>
      </c>
    </row>
    <row r="384" spans="1:4" x14ac:dyDescent="0.2">
      <c r="A384" s="17">
        <v>37773</v>
      </c>
      <c r="B384" s="59">
        <f>VLOOKUP(Table1345[[#This Row],[Date]],database!A:I,9,)</f>
        <v>91.548199999999994</v>
      </c>
      <c r="C384" s="67">
        <f t="shared" si="5"/>
        <v>-2.6664908852367053E-2</v>
      </c>
      <c r="D384" s="67">
        <f>(Table1345[[#This Row],[Index]]-B372)/B372</f>
        <v>-2.0472579112705218E-2</v>
      </c>
    </row>
    <row r="385" spans="1:4" x14ac:dyDescent="0.2">
      <c r="A385" s="17">
        <v>37803</v>
      </c>
      <c r="B385" s="59">
        <f>VLOOKUP(Table1345[[#This Row],[Date]],database!A:I,9,)</f>
        <v>94.333799999999997</v>
      </c>
      <c r="C385" s="67">
        <f t="shared" si="5"/>
        <v>3.0427687272933879E-2</v>
      </c>
      <c r="D385" s="67">
        <f>(Table1345[[#This Row],[Index]]-B373)/B373</f>
        <v>-4.5879773801062033E-4</v>
      </c>
    </row>
    <row r="386" spans="1:4" x14ac:dyDescent="0.2">
      <c r="A386" s="17">
        <v>37834</v>
      </c>
      <c r="B386" s="59">
        <f>VLOOKUP(Table1345[[#This Row],[Date]],database!A:I,9,)</f>
        <v>94.802700000000002</v>
      </c>
      <c r="C386" s="67">
        <f t="shared" si="5"/>
        <v>4.9706467883199323E-3</v>
      </c>
      <c r="D386" s="67">
        <f>(Table1345[[#This Row],[Index]]-B374)/B374</f>
        <v>2.7092587376221475E-2</v>
      </c>
    </row>
    <row r="387" spans="1:4" x14ac:dyDescent="0.2">
      <c r="A387" s="17">
        <v>37865</v>
      </c>
      <c r="B387" s="59">
        <f>VLOOKUP(Table1345[[#This Row],[Date]],database!A:I,9,)</f>
        <v>93.929599999999994</v>
      </c>
      <c r="C387" s="67">
        <f t="shared" si="5"/>
        <v>-9.2096533115618717E-3</v>
      </c>
      <c r="D387" s="67">
        <f>(Table1345[[#This Row],[Index]]-B375)/B375</f>
        <v>-6.3624195919975918E-4</v>
      </c>
    </row>
    <row r="388" spans="1:4" x14ac:dyDescent="0.2">
      <c r="A388" s="17">
        <v>37895</v>
      </c>
      <c r="B388" s="59">
        <f>VLOOKUP(Table1345[[#This Row],[Date]],database!A:I,9,)</f>
        <v>94.448499999999996</v>
      </c>
      <c r="C388" s="67">
        <f t="shared" si="5"/>
        <v>5.5243501516029081E-3</v>
      </c>
      <c r="D388" s="67">
        <f>(Table1345[[#This Row],[Index]]-B376)/B376</f>
        <v>-7.322492359047088E-3</v>
      </c>
    </row>
    <row r="389" spans="1:4" x14ac:dyDescent="0.2">
      <c r="A389" s="17">
        <v>37926</v>
      </c>
      <c r="B389" s="59">
        <f>VLOOKUP(Table1345[[#This Row],[Date]],database!A:I,9,)</f>
        <v>94.677499999999995</v>
      </c>
      <c r="C389" s="67">
        <f t="shared" si="5"/>
        <v>2.424601767100576E-3</v>
      </c>
      <c r="D389" s="67">
        <f>(Table1345[[#This Row],[Index]]-B377)/B377</f>
        <v>-1.5839253720168066E-3</v>
      </c>
    </row>
    <row r="390" spans="1:4" x14ac:dyDescent="0.2">
      <c r="A390" s="17">
        <v>37956</v>
      </c>
      <c r="B390" s="59">
        <f>VLOOKUP(Table1345[[#This Row],[Date]],database!A:I,9,)</f>
        <v>95.813699999999997</v>
      </c>
      <c r="C390" s="67">
        <f t="shared" si="5"/>
        <v>1.2000739352010736E-2</v>
      </c>
      <c r="D390" s="67">
        <f>(Table1345[[#This Row],[Index]]-B378)/B378</f>
        <v>2.0829182590425804E-2</v>
      </c>
    </row>
    <row r="391" spans="1:4" x14ac:dyDescent="0.2">
      <c r="A391" s="17">
        <v>37987</v>
      </c>
      <c r="B391" s="59">
        <f>VLOOKUP(Table1345[[#This Row],[Date]],database!A:I,9,)</f>
        <v>97.4589</v>
      </c>
      <c r="C391" s="67">
        <f t="shared" si="5"/>
        <v>1.7170822126689744E-2</v>
      </c>
      <c r="D391" s="67">
        <f>(Table1345[[#This Row],[Index]]-B379)/B379</f>
        <v>2.2931730659224235E-2</v>
      </c>
    </row>
    <row r="392" spans="1:4" x14ac:dyDescent="0.2">
      <c r="A392" s="17">
        <v>38018</v>
      </c>
      <c r="B392" s="59">
        <f>VLOOKUP(Table1345[[#This Row],[Date]],database!A:I,9,)</f>
        <v>98.378200000000007</v>
      </c>
      <c r="C392" s="67">
        <f t="shared" ref="C392:C455" si="6">B392/B391-1</f>
        <v>9.432694192115898E-3</v>
      </c>
      <c r="D392" s="67">
        <f>(Table1345[[#This Row],[Index]]-B380)/B380</f>
        <v>1.0764354441824567E-2</v>
      </c>
    </row>
    <row r="393" spans="1:4" x14ac:dyDescent="0.2">
      <c r="A393" s="17">
        <v>38047</v>
      </c>
      <c r="B393" s="59">
        <f>VLOOKUP(Table1345[[#This Row],[Date]],database!A:I,9,)</f>
        <v>94.397300000000001</v>
      </c>
      <c r="C393" s="67">
        <f t="shared" si="6"/>
        <v>-4.0465265678778506E-2</v>
      </c>
      <c r="D393" s="67">
        <f>(Table1345[[#This Row],[Index]]-B381)/B381</f>
        <v>4.3216857766320248E-3</v>
      </c>
    </row>
    <row r="394" spans="1:4" x14ac:dyDescent="0.2">
      <c r="A394" s="17">
        <v>38078</v>
      </c>
      <c r="B394" s="59">
        <f>VLOOKUP(Table1345[[#This Row],[Date]],database!A:I,9,)</f>
        <v>95.876599999999996</v>
      </c>
      <c r="C394" s="67">
        <f t="shared" si="6"/>
        <v>1.5670999064591795E-2</v>
      </c>
      <c r="D394" s="67">
        <f>(Table1345[[#This Row],[Index]]-B382)/B382</f>
        <v>1.8179848711884602E-2</v>
      </c>
    </row>
    <row r="395" spans="1:4" x14ac:dyDescent="0.2">
      <c r="A395" s="17">
        <v>38108</v>
      </c>
      <c r="B395" s="59">
        <f>VLOOKUP(Table1345[[#This Row],[Date]],database!A:I,9,)</f>
        <v>97.784899999999993</v>
      </c>
      <c r="C395" s="67">
        <f t="shared" si="6"/>
        <v>1.9903709559996985E-2</v>
      </c>
      <c r="D395" s="67">
        <f>(Table1345[[#This Row],[Index]]-B383)/B383</f>
        <v>3.9643319632304823E-2</v>
      </c>
    </row>
    <row r="396" spans="1:4" x14ac:dyDescent="0.2">
      <c r="A396" s="17">
        <v>38139</v>
      </c>
      <c r="B396" s="59">
        <f>VLOOKUP(Table1345[[#This Row],[Date]],database!A:I,9,)</f>
        <v>95.539900000000003</v>
      </c>
      <c r="C396" s="67">
        <f t="shared" si="6"/>
        <v>-2.2958554950713195E-2</v>
      </c>
      <c r="D396" s="67">
        <f>(Table1345[[#This Row],[Index]]-B384)/B384</f>
        <v>4.360216803825754E-2</v>
      </c>
    </row>
    <row r="397" spans="1:4" x14ac:dyDescent="0.2">
      <c r="A397" s="17">
        <v>38169</v>
      </c>
      <c r="B397" s="59">
        <f>VLOOKUP(Table1345[[#This Row],[Date]],database!A:I,9,)</f>
        <v>94.094700000000003</v>
      </c>
      <c r="C397" s="67">
        <f t="shared" si="6"/>
        <v>-1.5126664356985953E-2</v>
      </c>
      <c r="D397" s="67">
        <f>(Table1345[[#This Row],[Index]]-B385)/B385</f>
        <v>-2.5346164365263927E-3</v>
      </c>
    </row>
    <row r="398" spans="1:4" x14ac:dyDescent="0.2">
      <c r="A398" s="17">
        <v>38200</v>
      </c>
      <c r="B398" s="59">
        <f>VLOOKUP(Table1345[[#This Row],[Date]],database!A:I,9,)</f>
        <v>91.854399999999998</v>
      </c>
      <c r="C398" s="67">
        <f t="shared" si="6"/>
        <v>-2.3808992429966924E-2</v>
      </c>
      <c r="D398" s="67">
        <f>(Table1345[[#This Row],[Index]]-B386)/B386</f>
        <v>-3.1099325230188626E-2</v>
      </c>
    </row>
    <row r="399" spans="1:4" x14ac:dyDescent="0.2">
      <c r="A399" s="17">
        <v>38231</v>
      </c>
      <c r="B399" s="59">
        <f>VLOOKUP(Table1345[[#This Row],[Date]],database!A:I,9,)</f>
        <v>95.697999999999993</v>
      </c>
      <c r="C399" s="67">
        <f t="shared" si="6"/>
        <v>4.1844484314305985E-2</v>
      </c>
      <c r="D399" s="67">
        <f>(Table1345[[#This Row],[Index]]-B387)/B387</f>
        <v>1.8826866078424691E-2</v>
      </c>
    </row>
    <row r="400" spans="1:4" x14ac:dyDescent="0.2">
      <c r="A400" s="17">
        <v>38261</v>
      </c>
      <c r="B400" s="59">
        <f>VLOOKUP(Table1345[[#This Row],[Date]],database!A:I,9,)</f>
        <v>95.919399999999996</v>
      </c>
      <c r="C400" s="67">
        <f t="shared" si="6"/>
        <v>2.3135279734163294E-3</v>
      </c>
      <c r="D400" s="67">
        <f>(Table1345[[#This Row],[Index]]-B388)/B388</f>
        <v>1.5573566546848286E-2</v>
      </c>
    </row>
    <row r="401" spans="1:4" x14ac:dyDescent="0.2">
      <c r="A401" s="17">
        <v>38292</v>
      </c>
      <c r="B401" s="59">
        <f>VLOOKUP(Table1345[[#This Row],[Date]],database!A:I,9,)</f>
        <v>96.218299999999999</v>
      </c>
      <c r="C401" s="67">
        <f t="shared" si="6"/>
        <v>3.1161579409380025E-3</v>
      </c>
      <c r="D401" s="67">
        <f>(Table1345[[#This Row],[Index]]-B389)/B389</f>
        <v>1.6274193974281159E-2</v>
      </c>
    </row>
    <row r="402" spans="1:4" x14ac:dyDescent="0.2">
      <c r="A402" s="17">
        <v>38322</v>
      </c>
      <c r="B402" s="59">
        <f>VLOOKUP(Table1345[[#This Row],[Date]],database!A:I,9,)</f>
        <v>97.976600000000005</v>
      </c>
      <c r="C402" s="67">
        <f t="shared" si="6"/>
        <v>1.8274070525045705E-2</v>
      </c>
      <c r="D402" s="67">
        <f>(Table1345[[#This Row],[Index]]-B390)/B390</f>
        <v>2.2574016033197839E-2</v>
      </c>
    </row>
    <row r="403" spans="1:4" x14ac:dyDescent="0.2">
      <c r="A403" s="17">
        <v>38353</v>
      </c>
      <c r="B403" s="59">
        <f>VLOOKUP(Table1345[[#This Row],[Date]],database!A:I,9,)</f>
        <v>96.4071</v>
      </c>
      <c r="C403" s="67">
        <f t="shared" si="6"/>
        <v>-1.6019131098650163E-2</v>
      </c>
      <c r="D403" s="67">
        <f>(Table1345[[#This Row],[Index]]-B391)/B391</f>
        <v>-1.0792241652635112E-2</v>
      </c>
    </row>
    <row r="404" spans="1:4" x14ac:dyDescent="0.2">
      <c r="A404" s="17">
        <v>38384</v>
      </c>
      <c r="B404" s="59">
        <f>VLOOKUP(Table1345[[#This Row],[Date]],database!A:I,9,)</f>
        <v>95.250399999999999</v>
      </c>
      <c r="C404" s="67">
        <f t="shared" si="6"/>
        <v>-1.1998078979660209E-2</v>
      </c>
      <c r="D404" s="67">
        <f>(Table1345[[#This Row],[Index]]-B392)/B392</f>
        <v>-3.1793629076360491E-2</v>
      </c>
    </row>
    <row r="405" spans="1:4" x14ac:dyDescent="0.2">
      <c r="A405" s="17">
        <v>38412</v>
      </c>
      <c r="B405" s="59">
        <f>VLOOKUP(Table1345[[#This Row],[Date]],database!A:I,9,)</f>
        <v>98.098799999999997</v>
      </c>
      <c r="C405" s="67">
        <f t="shared" si="6"/>
        <v>2.9904336359742212E-2</v>
      </c>
      <c r="D405" s="67">
        <f>(Table1345[[#This Row],[Index]]-B393)/B393</f>
        <v>3.921192661230772E-2</v>
      </c>
    </row>
    <row r="406" spans="1:4" x14ac:dyDescent="0.2">
      <c r="A406" s="17">
        <v>38443</v>
      </c>
      <c r="B406" s="59">
        <f>VLOOKUP(Table1345[[#This Row],[Date]],database!A:I,9,)</f>
        <v>96.259</v>
      </c>
      <c r="C406" s="67">
        <f t="shared" si="6"/>
        <v>-1.8754561727564401E-2</v>
      </c>
      <c r="D406" s="67">
        <f>(Table1345[[#This Row],[Index]]-B394)/B394</f>
        <v>3.9884601665057381E-3</v>
      </c>
    </row>
    <row r="407" spans="1:4" x14ac:dyDescent="0.2">
      <c r="A407" s="17">
        <v>38473</v>
      </c>
      <c r="B407" s="59">
        <f>VLOOKUP(Table1345[[#This Row],[Date]],database!A:I,9,)</f>
        <v>96.150400000000005</v>
      </c>
      <c r="C407" s="67">
        <f t="shared" si="6"/>
        <v>-1.1282061937065713E-3</v>
      </c>
      <c r="D407" s="67">
        <f>(Table1345[[#This Row],[Index]]-B395)/B395</f>
        <v>-1.6715259718013607E-2</v>
      </c>
    </row>
    <row r="408" spans="1:4" x14ac:dyDescent="0.2">
      <c r="A408" s="17">
        <v>38504</v>
      </c>
      <c r="B408" s="59">
        <f>VLOOKUP(Table1345[[#This Row],[Date]],database!A:I,9,)</f>
        <v>99.268799999999999</v>
      </c>
      <c r="C408" s="67">
        <f t="shared" si="6"/>
        <v>3.2432522381601991E-2</v>
      </c>
      <c r="D408" s="67">
        <f>(Table1345[[#This Row],[Index]]-B396)/B396</f>
        <v>3.902976662106613E-2</v>
      </c>
    </row>
    <row r="409" spans="1:4" x14ac:dyDescent="0.2">
      <c r="A409" s="17">
        <v>38534</v>
      </c>
      <c r="B409" s="59">
        <f>VLOOKUP(Table1345[[#This Row],[Date]],database!A:I,9,)</f>
        <v>99.33</v>
      </c>
      <c r="C409" s="67">
        <f t="shared" si="6"/>
        <v>6.1650790580736192E-4</v>
      </c>
      <c r="D409" s="67">
        <f>(Table1345[[#This Row],[Index]]-B397)/B397</f>
        <v>5.5638627892963102E-2</v>
      </c>
    </row>
    <row r="410" spans="1:4" x14ac:dyDescent="0.2">
      <c r="A410" s="17">
        <v>38565</v>
      </c>
      <c r="B410" s="59">
        <f>VLOOKUP(Table1345[[#This Row],[Date]],database!A:I,9,)</f>
        <v>99.007099999999994</v>
      </c>
      <c r="C410" s="67">
        <f t="shared" si="6"/>
        <v>-3.2507802275244524E-3</v>
      </c>
      <c r="D410" s="67">
        <f>(Table1345[[#This Row],[Index]]-B398)/B398</f>
        <v>7.7869976832900714E-2</v>
      </c>
    </row>
    <row r="411" spans="1:4" x14ac:dyDescent="0.2">
      <c r="A411" s="17">
        <v>38596</v>
      </c>
      <c r="B411" s="59">
        <f>VLOOKUP(Table1345[[#This Row],[Date]],database!A:I,9,)</f>
        <v>100.2611</v>
      </c>
      <c r="C411" s="67">
        <f t="shared" si="6"/>
        <v>1.2665758314302833E-2</v>
      </c>
      <c r="D411" s="67">
        <f>(Table1345[[#This Row],[Index]]-B399)/B399</f>
        <v>4.7682292210913559E-2</v>
      </c>
    </row>
    <row r="412" spans="1:4" x14ac:dyDescent="0.2">
      <c r="A412" s="17">
        <v>38626</v>
      </c>
      <c r="B412" s="59">
        <f>VLOOKUP(Table1345[[#This Row],[Date]],database!A:I,9,)</f>
        <v>98.320599999999999</v>
      </c>
      <c r="C412" s="67">
        <f t="shared" si="6"/>
        <v>-1.9354465490604045E-2</v>
      </c>
      <c r="D412" s="67">
        <f>(Table1345[[#This Row],[Index]]-B400)/B400</f>
        <v>2.5033517724256021E-2</v>
      </c>
    </row>
    <row r="413" spans="1:4" x14ac:dyDescent="0.2">
      <c r="A413" s="17">
        <v>38657</v>
      </c>
      <c r="B413" s="59">
        <f>VLOOKUP(Table1345[[#This Row],[Date]],database!A:I,9,)</f>
        <v>97.448300000000003</v>
      </c>
      <c r="C413" s="67">
        <f t="shared" si="6"/>
        <v>-8.8719963059622486E-3</v>
      </c>
      <c r="D413" s="67">
        <f>(Table1345[[#This Row],[Index]]-B401)/B401</f>
        <v>1.2783431010525067E-2</v>
      </c>
    </row>
    <row r="414" spans="1:4" x14ac:dyDescent="0.2">
      <c r="A414" s="17">
        <v>38687</v>
      </c>
      <c r="B414" s="59">
        <f>VLOOKUP(Table1345[[#This Row],[Date]],database!A:I,9,)</f>
        <v>100.3901</v>
      </c>
      <c r="C414" s="67">
        <f t="shared" si="6"/>
        <v>3.0188315239978447E-2</v>
      </c>
      <c r="D414" s="67">
        <f>(Table1345[[#This Row],[Index]]-B402)/B402</f>
        <v>2.4633432880912371E-2</v>
      </c>
    </row>
    <row r="415" spans="1:4" x14ac:dyDescent="0.2">
      <c r="A415" s="17">
        <v>38718</v>
      </c>
      <c r="B415" s="59">
        <f>VLOOKUP(Table1345[[#This Row],[Date]],database!A:I,9,)</f>
        <v>92.316299999999998</v>
      </c>
      <c r="C415" s="67">
        <f t="shared" si="6"/>
        <v>-8.0424264942459467E-2</v>
      </c>
      <c r="D415" s="67">
        <f>(Table1345[[#This Row],[Index]]-B403)/B403</f>
        <v>-4.243255942767702E-2</v>
      </c>
    </row>
    <row r="416" spans="1:4" x14ac:dyDescent="0.2">
      <c r="A416" s="17">
        <v>38749</v>
      </c>
      <c r="B416" s="59">
        <f>VLOOKUP(Table1345[[#This Row],[Date]],database!A:I,9,)</f>
        <v>95.739199999999997</v>
      </c>
      <c r="C416" s="67">
        <f t="shared" si="6"/>
        <v>3.7077959146976092E-2</v>
      </c>
      <c r="D416" s="67">
        <f>(Table1345[[#This Row],[Index]]-B404)/B404</f>
        <v>5.1317369795822135E-3</v>
      </c>
    </row>
    <row r="417" spans="1:4" x14ac:dyDescent="0.2">
      <c r="A417" s="17">
        <v>38777</v>
      </c>
      <c r="B417" s="59">
        <f>VLOOKUP(Table1345[[#This Row],[Date]],database!A:I,9,)</f>
        <v>98.170500000000004</v>
      </c>
      <c r="C417" s="67">
        <f t="shared" si="6"/>
        <v>2.5395031502247756E-2</v>
      </c>
      <c r="D417" s="67">
        <f>(Table1345[[#This Row],[Index]]-B405)/B405</f>
        <v>7.3089579077427024E-4</v>
      </c>
    </row>
    <row r="418" spans="1:4" x14ac:dyDescent="0.2">
      <c r="A418" s="17">
        <v>38808</v>
      </c>
      <c r="B418" s="59">
        <f>VLOOKUP(Table1345[[#This Row],[Date]],database!A:I,9,)</f>
        <v>97.407899999999998</v>
      </c>
      <c r="C418" s="67">
        <f t="shared" si="6"/>
        <v>-7.7681177135697776E-3</v>
      </c>
      <c r="D418" s="67">
        <f>(Table1345[[#This Row],[Index]]-B406)/B406</f>
        <v>1.1935507329184778E-2</v>
      </c>
    </row>
    <row r="419" spans="1:4" x14ac:dyDescent="0.2">
      <c r="A419" s="17">
        <v>38838</v>
      </c>
      <c r="B419" s="59">
        <f>VLOOKUP(Table1345[[#This Row],[Date]],database!A:I,9,)</f>
        <v>98.631500000000003</v>
      </c>
      <c r="C419" s="67">
        <f t="shared" si="6"/>
        <v>1.2561609479313285E-2</v>
      </c>
      <c r="D419" s="67">
        <f>(Table1345[[#This Row],[Index]]-B407)/B407</f>
        <v>2.5804364828435428E-2</v>
      </c>
    </row>
    <row r="420" spans="1:4" x14ac:dyDescent="0.2">
      <c r="A420" s="17">
        <v>38869</v>
      </c>
      <c r="B420" s="59">
        <f>VLOOKUP(Table1345[[#This Row],[Date]],database!A:I,9,)</f>
        <v>99.1066</v>
      </c>
      <c r="C420" s="67">
        <f t="shared" si="6"/>
        <v>4.8169195439591306E-3</v>
      </c>
      <c r="D420" s="67">
        <f>(Table1345[[#This Row],[Index]]-B408)/B408</f>
        <v>-1.6339474235610642E-3</v>
      </c>
    </row>
    <row r="421" spans="1:4" x14ac:dyDescent="0.2">
      <c r="A421" s="17">
        <v>38899</v>
      </c>
      <c r="B421" s="59">
        <f>VLOOKUP(Table1345[[#This Row],[Date]],database!A:I,9,)</f>
        <v>100.5998</v>
      </c>
      <c r="C421" s="67">
        <f t="shared" si="6"/>
        <v>1.5066605049512294E-2</v>
      </c>
      <c r="D421" s="67">
        <f>(Table1345[[#This Row],[Index]]-B409)/B409</f>
        <v>1.2783650458069099E-2</v>
      </c>
    </row>
    <row r="422" spans="1:4" x14ac:dyDescent="0.2">
      <c r="A422" s="17">
        <v>38930</v>
      </c>
      <c r="B422" s="59">
        <f>VLOOKUP(Table1345[[#This Row],[Date]],database!A:I,9,)</f>
        <v>99.770600000000002</v>
      </c>
      <c r="C422" s="67">
        <f t="shared" si="6"/>
        <v>-8.2425611184118175E-3</v>
      </c>
      <c r="D422" s="67">
        <f>(Table1345[[#This Row],[Index]]-B410)/B410</f>
        <v>7.7115681602633315E-3</v>
      </c>
    </row>
    <row r="423" spans="1:4" x14ac:dyDescent="0.2">
      <c r="A423" s="17">
        <v>38961</v>
      </c>
      <c r="B423" s="59">
        <f>VLOOKUP(Table1345[[#This Row],[Date]],database!A:I,9,)</f>
        <v>96.723299999999995</v>
      </c>
      <c r="C423" s="67">
        <f t="shared" si="6"/>
        <v>-3.0543065792929092E-2</v>
      </c>
      <c r="D423" s="67">
        <f>(Table1345[[#This Row],[Index]]-B411)/B411</f>
        <v>-3.5285868597093033E-2</v>
      </c>
    </row>
    <row r="424" spans="1:4" x14ac:dyDescent="0.2">
      <c r="A424" s="17">
        <v>38991</v>
      </c>
      <c r="B424" s="59">
        <f>VLOOKUP(Table1345[[#This Row],[Date]],database!A:I,9,)</f>
        <v>98.6815</v>
      </c>
      <c r="C424" s="67">
        <f t="shared" si="6"/>
        <v>2.0245380378874689E-2</v>
      </c>
      <c r="D424" s="67">
        <f>(Table1345[[#This Row],[Index]]-B412)/B412</f>
        <v>3.6706448089210285E-3</v>
      </c>
    </row>
    <row r="425" spans="1:4" x14ac:dyDescent="0.2">
      <c r="A425" s="17">
        <v>39022</v>
      </c>
      <c r="B425" s="59">
        <f>VLOOKUP(Table1345[[#This Row],[Date]],database!A:I,9,)</f>
        <v>99.093100000000007</v>
      </c>
      <c r="C425" s="67">
        <f t="shared" si="6"/>
        <v>4.1709945633174872E-3</v>
      </c>
      <c r="D425" s="67">
        <f>(Table1345[[#This Row],[Index]]-B413)/B413</f>
        <v>1.6878693625235162E-2</v>
      </c>
    </row>
    <row r="426" spans="1:4" x14ac:dyDescent="0.2">
      <c r="A426" s="17">
        <v>39052</v>
      </c>
      <c r="B426" s="59">
        <f>VLOOKUP(Table1345[[#This Row],[Date]],database!A:I,9,)</f>
        <v>95.929199999999994</v>
      </c>
      <c r="C426" s="67">
        <f t="shared" si="6"/>
        <v>-3.1928560111652682E-2</v>
      </c>
      <c r="D426" s="67">
        <f>(Table1345[[#This Row],[Index]]-B414)/B414</f>
        <v>-4.4435656503978072E-2</v>
      </c>
    </row>
    <row r="427" spans="1:4" x14ac:dyDescent="0.2">
      <c r="A427" s="17">
        <v>39083</v>
      </c>
      <c r="B427" s="59">
        <f>VLOOKUP(Table1345[[#This Row],[Date]],database!A:I,9,)</f>
        <v>98.005300000000005</v>
      </c>
      <c r="C427" s="67">
        <f t="shared" si="6"/>
        <v>2.1642002643616376E-2</v>
      </c>
      <c r="D427" s="67">
        <f>(Table1345[[#This Row],[Index]]-B415)/B415</f>
        <v>6.1625086793989869E-2</v>
      </c>
    </row>
    <row r="428" spans="1:4" x14ac:dyDescent="0.2">
      <c r="A428" s="17">
        <v>39114</v>
      </c>
      <c r="B428" s="59">
        <f>VLOOKUP(Table1345[[#This Row],[Date]],database!A:I,9,)</f>
        <v>104.0941</v>
      </c>
      <c r="C428" s="67">
        <f t="shared" si="6"/>
        <v>6.2127252301661162E-2</v>
      </c>
      <c r="D428" s="67">
        <f>(Table1345[[#This Row],[Index]]-B416)/B416</f>
        <v>8.7267284456105765E-2</v>
      </c>
    </row>
    <row r="429" spans="1:4" x14ac:dyDescent="0.2">
      <c r="A429" s="17">
        <v>39142</v>
      </c>
      <c r="B429" s="59">
        <f>VLOOKUP(Table1345[[#This Row],[Date]],database!A:I,9,)</f>
        <v>99.237200000000001</v>
      </c>
      <c r="C429" s="67">
        <f t="shared" si="6"/>
        <v>-4.6658744347662373E-2</v>
      </c>
      <c r="D429" s="67">
        <f>(Table1345[[#This Row],[Index]]-B417)/B417</f>
        <v>1.0865789621118333E-2</v>
      </c>
    </row>
    <row r="430" spans="1:4" x14ac:dyDescent="0.2">
      <c r="A430" s="17">
        <v>39173</v>
      </c>
      <c r="B430" s="59">
        <f>VLOOKUP(Table1345[[#This Row],[Date]],database!A:I,9,)</f>
        <v>100.8605</v>
      </c>
      <c r="C430" s="67">
        <f t="shared" si="6"/>
        <v>1.6357777123901185E-2</v>
      </c>
      <c r="D430" s="67">
        <f>(Table1345[[#This Row],[Index]]-B418)/B418</f>
        <v>3.5444763720396434E-2</v>
      </c>
    </row>
    <row r="431" spans="1:4" x14ac:dyDescent="0.2">
      <c r="A431" s="17">
        <v>39203</v>
      </c>
      <c r="B431" s="59">
        <f>VLOOKUP(Table1345[[#This Row],[Date]],database!A:I,9,)</f>
        <v>101.0402</v>
      </c>
      <c r="C431" s="67">
        <f t="shared" si="6"/>
        <v>1.7816687404881293E-3</v>
      </c>
      <c r="D431" s="67">
        <f>(Table1345[[#This Row],[Index]]-B419)/B419</f>
        <v>2.4421204179192205E-2</v>
      </c>
    </row>
    <row r="432" spans="1:4" x14ac:dyDescent="0.2">
      <c r="A432" s="17">
        <v>39234</v>
      </c>
      <c r="B432" s="59">
        <f>VLOOKUP(Table1345[[#This Row],[Date]],database!A:I,9,)</f>
        <v>99.191699999999997</v>
      </c>
      <c r="C432" s="67">
        <f t="shared" si="6"/>
        <v>-1.8294698545727406E-2</v>
      </c>
      <c r="D432" s="67">
        <f>(Table1345[[#This Row],[Index]]-B420)/B420</f>
        <v>8.5867137001972686E-4</v>
      </c>
    </row>
    <row r="433" spans="1:4" x14ac:dyDescent="0.2">
      <c r="A433" s="17">
        <v>39264</v>
      </c>
      <c r="B433" s="59">
        <f>VLOOKUP(Table1345[[#This Row],[Date]],database!A:I,9,)</f>
        <v>98.100300000000004</v>
      </c>
      <c r="C433" s="67">
        <f t="shared" si="6"/>
        <v>-1.1002936737650404E-2</v>
      </c>
      <c r="D433" s="67">
        <f>(Table1345[[#This Row],[Index]]-B421)/B421</f>
        <v>-2.4845973848854546E-2</v>
      </c>
    </row>
    <row r="434" spans="1:4" x14ac:dyDescent="0.2">
      <c r="A434" s="17">
        <v>39295</v>
      </c>
      <c r="B434" s="59">
        <f>VLOOKUP(Table1345[[#This Row],[Date]],database!A:I,9,)</f>
        <v>102.7539</v>
      </c>
      <c r="C434" s="67">
        <f t="shared" si="6"/>
        <v>4.7437163800722271E-2</v>
      </c>
      <c r="D434" s="67">
        <f>(Table1345[[#This Row],[Index]]-B422)/B422</f>
        <v>2.9901594257226074E-2</v>
      </c>
    </row>
    <row r="435" spans="1:4" x14ac:dyDescent="0.2">
      <c r="A435" s="17">
        <v>39326</v>
      </c>
      <c r="B435" s="59">
        <f>VLOOKUP(Table1345[[#This Row],[Date]],database!A:I,9,)</f>
        <v>102.8199</v>
      </c>
      <c r="C435" s="67">
        <f t="shared" si="6"/>
        <v>6.423113867211061E-4</v>
      </c>
      <c r="D435" s="67">
        <f>(Table1345[[#This Row],[Index]]-B423)/B423</f>
        <v>6.3031348186011124E-2</v>
      </c>
    </row>
    <row r="436" spans="1:4" x14ac:dyDescent="0.2">
      <c r="A436" s="17">
        <v>39356</v>
      </c>
      <c r="B436" s="59">
        <f>VLOOKUP(Table1345[[#This Row],[Date]],database!A:I,9,)</f>
        <v>101.56829999999999</v>
      </c>
      <c r="C436" s="67">
        <f t="shared" si="6"/>
        <v>-1.2172740879927035E-2</v>
      </c>
      <c r="D436" s="67">
        <f>(Table1345[[#This Row],[Index]]-B424)/B424</f>
        <v>2.9253710168572568E-2</v>
      </c>
    </row>
    <row r="437" spans="1:4" x14ac:dyDescent="0.2">
      <c r="A437" s="17">
        <v>39387</v>
      </c>
      <c r="B437" s="59">
        <f>VLOOKUP(Table1345[[#This Row],[Date]],database!A:I,9,)</f>
        <v>101.6339</v>
      </c>
      <c r="C437" s="67">
        <f t="shared" si="6"/>
        <v>6.4587080811628894E-4</v>
      </c>
      <c r="D437" s="67">
        <f>(Table1345[[#This Row],[Index]]-B425)/B425</f>
        <v>2.5640534002871945E-2</v>
      </c>
    </row>
    <row r="438" spans="1:4" x14ac:dyDescent="0.2">
      <c r="A438" s="17">
        <v>39417</v>
      </c>
      <c r="B438" s="59">
        <f>VLOOKUP(Table1345[[#This Row],[Date]],database!A:I,9,)</f>
        <v>99.676900000000003</v>
      </c>
      <c r="C438" s="67">
        <f t="shared" si="6"/>
        <v>-1.925538624415668E-2</v>
      </c>
      <c r="D438" s="67">
        <f>(Table1345[[#This Row],[Index]]-B426)/B426</f>
        <v>3.9067353840123852E-2</v>
      </c>
    </row>
    <row r="439" spans="1:4" x14ac:dyDescent="0.2">
      <c r="A439" s="17">
        <v>39448</v>
      </c>
      <c r="B439" s="59">
        <f>VLOOKUP(Table1345[[#This Row],[Date]],database!A:I,9,)</f>
        <v>100.9131</v>
      </c>
      <c r="C439" s="67">
        <f t="shared" si="6"/>
        <v>1.240207109169722E-2</v>
      </c>
      <c r="D439" s="67">
        <f>(Table1345[[#This Row],[Index]]-B427)/B427</f>
        <v>2.9669823978907207E-2</v>
      </c>
    </row>
    <row r="440" spans="1:4" x14ac:dyDescent="0.2">
      <c r="A440" s="17">
        <v>39479</v>
      </c>
      <c r="B440" s="59">
        <f>VLOOKUP(Table1345[[#This Row],[Date]],database!A:I,9,)</f>
        <v>102.3261</v>
      </c>
      <c r="C440" s="67">
        <f t="shared" si="6"/>
        <v>1.4002146401210558E-2</v>
      </c>
      <c r="D440" s="67">
        <f>(Table1345[[#This Row],[Index]]-B428)/B428</f>
        <v>-1.6984632174157813E-2</v>
      </c>
    </row>
    <row r="441" spans="1:4" x14ac:dyDescent="0.2">
      <c r="A441" s="17">
        <v>39508</v>
      </c>
      <c r="B441" s="59">
        <f>VLOOKUP(Table1345[[#This Row],[Date]],database!A:I,9,)</f>
        <v>101.5296</v>
      </c>
      <c r="C441" s="67">
        <f t="shared" si="6"/>
        <v>-7.7839378223151234E-3</v>
      </c>
      <c r="D441" s="67">
        <f>(Table1345[[#This Row],[Index]]-B429)/B429</f>
        <v>2.3100208389595842E-2</v>
      </c>
    </row>
    <row r="442" spans="1:4" x14ac:dyDescent="0.2">
      <c r="A442" s="17">
        <v>39539</v>
      </c>
      <c r="B442" s="59">
        <f>VLOOKUP(Table1345[[#This Row],[Date]],database!A:I,9,)</f>
        <v>101.54859999999999</v>
      </c>
      <c r="C442" s="67">
        <f t="shared" si="6"/>
        <v>1.8713754412491568E-4</v>
      </c>
      <c r="D442" s="67">
        <f>(Table1345[[#This Row],[Index]]-B430)/B430</f>
        <v>6.8222941587637526E-3</v>
      </c>
    </row>
    <row r="443" spans="1:4" x14ac:dyDescent="0.2">
      <c r="A443" s="17">
        <v>39569</v>
      </c>
      <c r="B443" s="59">
        <f>VLOOKUP(Table1345[[#This Row],[Date]],database!A:I,9,)</f>
        <v>100.3322</v>
      </c>
      <c r="C443" s="67">
        <f t="shared" si="6"/>
        <v>-1.1978500934527792E-2</v>
      </c>
      <c r="D443" s="67">
        <f>(Table1345[[#This Row],[Index]]-B431)/B431</f>
        <v>-7.007112020760038E-3</v>
      </c>
    </row>
    <row r="444" spans="1:4" x14ac:dyDescent="0.2">
      <c r="A444" s="17">
        <v>39600</v>
      </c>
      <c r="B444" s="59">
        <f>VLOOKUP(Table1345[[#This Row],[Date]],database!A:I,9,)</f>
        <v>101.804</v>
      </c>
      <c r="C444" s="67">
        <f t="shared" si="6"/>
        <v>1.4669268689413872E-2</v>
      </c>
      <c r="D444" s="67">
        <f>(Table1345[[#This Row],[Index]]-B432)/B432</f>
        <v>2.6335872860330095E-2</v>
      </c>
    </row>
    <row r="445" spans="1:4" x14ac:dyDescent="0.2">
      <c r="A445" s="17">
        <v>39630</v>
      </c>
      <c r="B445" s="59">
        <f>VLOOKUP(Table1345[[#This Row],[Date]],database!A:I,9,)</f>
        <v>100.42659999999999</v>
      </c>
      <c r="C445" s="67">
        <f t="shared" si="6"/>
        <v>-1.3529920238890547E-2</v>
      </c>
      <c r="D445" s="67">
        <f>(Table1345[[#This Row],[Index]]-B433)/B433</f>
        <v>2.3713485075988444E-2</v>
      </c>
    </row>
    <row r="446" spans="1:4" x14ac:dyDescent="0.2">
      <c r="A446" s="17">
        <v>39661</v>
      </c>
      <c r="B446" s="59">
        <f>VLOOKUP(Table1345[[#This Row],[Date]],database!A:I,9,)</f>
        <v>96.780699999999996</v>
      </c>
      <c r="C446" s="67">
        <f t="shared" si="6"/>
        <v>-3.6304126595941733E-2</v>
      </c>
      <c r="D446" s="67">
        <f>(Table1345[[#This Row],[Index]]-B434)/B434</f>
        <v>-5.8131126896400091E-2</v>
      </c>
    </row>
    <row r="447" spans="1:4" x14ac:dyDescent="0.2">
      <c r="A447" s="17">
        <v>39692</v>
      </c>
      <c r="B447" s="59">
        <f>VLOOKUP(Table1345[[#This Row],[Date]],database!A:I,9,)</f>
        <v>98.697000000000003</v>
      </c>
      <c r="C447" s="67">
        <f t="shared" si="6"/>
        <v>1.9800435417392181E-2</v>
      </c>
      <c r="D447" s="67">
        <f>(Table1345[[#This Row],[Index]]-B435)/B435</f>
        <v>-4.0098268914869603E-2</v>
      </c>
    </row>
    <row r="448" spans="1:4" x14ac:dyDescent="0.2">
      <c r="A448" s="17">
        <v>39722</v>
      </c>
      <c r="B448" s="59">
        <f>VLOOKUP(Table1345[[#This Row],[Date]],database!A:I,9,)</f>
        <v>99.389200000000002</v>
      </c>
      <c r="C448" s="67">
        <f t="shared" si="6"/>
        <v>7.0133843987152389E-3</v>
      </c>
      <c r="D448" s="67">
        <f>(Table1345[[#This Row],[Index]]-B436)/B436</f>
        <v>-2.1454528627534292E-2</v>
      </c>
    </row>
    <row r="449" spans="1:4" x14ac:dyDescent="0.2">
      <c r="A449" s="17">
        <v>39753</v>
      </c>
      <c r="B449" s="59">
        <f>VLOOKUP(Table1345[[#This Row],[Date]],database!A:I,9,)</f>
        <v>100.75360000000001</v>
      </c>
      <c r="C449" s="67">
        <f t="shared" si="6"/>
        <v>1.3727849706004269E-2</v>
      </c>
      <c r="D449" s="67">
        <f>(Table1345[[#This Row],[Index]]-B437)/B437</f>
        <v>-8.6614800770214578E-3</v>
      </c>
    </row>
    <row r="450" spans="1:4" x14ac:dyDescent="0.2">
      <c r="A450" s="17">
        <v>39783</v>
      </c>
      <c r="B450" s="59">
        <f>VLOOKUP(Table1345[[#This Row],[Date]],database!A:I,9,)</f>
        <v>100.3211</v>
      </c>
      <c r="C450" s="67">
        <f t="shared" si="6"/>
        <v>-4.2926505851900165E-3</v>
      </c>
      <c r="D450" s="67">
        <f>(Table1345[[#This Row],[Index]]-B438)/B438</f>
        <v>6.4628815703537922E-3</v>
      </c>
    </row>
    <row r="451" spans="1:4" x14ac:dyDescent="0.2">
      <c r="A451" s="17">
        <v>39814</v>
      </c>
      <c r="B451" s="59">
        <f>VLOOKUP(Table1345[[#This Row],[Date]],database!A:I,9,)</f>
        <v>100.2004</v>
      </c>
      <c r="C451" s="67">
        <f t="shared" si="6"/>
        <v>-1.2031367279664584E-3</v>
      </c>
      <c r="D451" s="67">
        <f>(Table1345[[#This Row],[Index]]-B439)/B439</f>
        <v>-7.0625122010918116E-3</v>
      </c>
    </row>
    <row r="452" spans="1:4" x14ac:dyDescent="0.2">
      <c r="A452" s="17">
        <v>39845</v>
      </c>
      <c r="B452" s="59">
        <f>VLOOKUP(Table1345[[#This Row],[Date]],database!A:I,9,)</f>
        <v>97.337599999999995</v>
      </c>
      <c r="C452" s="67">
        <f t="shared" si="6"/>
        <v>-2.8570744228565981E-2</v>
      </c>
      <c r="D452" s="67">
        <f>(Table1345[[#This Row],[Index]]-B440)/B440</f>
        <v>-4.8751002921053395E-2</v>
      </c>
    </row>
    <row r="453" spans="1:4" x14ac:dyDescent="0.2">
      <c r="A453" s="17">
        <v>39873</v>
      </c>
      <c r="B453" s="59">
        <f>VLOOKUP(Table1345[[#This Row],[Date]],database!A:I,9,)</f>
        <v>98.618600000000001</v>
      </c>
      <c r="C453" s="67">
        <f t="shared" si="6"/>
        <v>1.3160382010651617E-2</v>
      </c>
      <c r="D453" s="67">
        <f>(Table1345[[#This Row],[Index]]-B441)/B441</f>
        <v>-2.8671441628845197E-2</v>
      </c>
    </row>
    <row r="454" spans="1:4" x14ac:dyDescent="0.2">
      <c r="A454" s="17">
        <v>39904</v>
      </c>
      <c r="B454" s="59">
        <f>VLOOKUP(Table1345[[#This Row],[Date]],database!A:I,9,)</f>
        <v>98.191199999999995</v>
      </c>
      <c r="C454" s="67">
        <f t="shared" si="6"/>
        <v>-4.3338680532881702E-3</v>
      </c>
      <c r="D454" s="67">
        <f>(Table1345[[#This Row],[Index]]-B442)/B442</f>
        <v>-3.3062001839513286E-2</v>
      </c>
    </row>
    <row r="455" spans="1:4" x14ac:dyDescent="0.2">
      <c r="A455" s="17">
        <v>39934</v>
      </c>
      <c r="B455" s="59">
        <f>VLOOKUP(Table1345[[#This Row],[Date]],database!A:I,9,)</f>
        <v>96.816599999999994</v>
      </c>
      <c r="C455" s="67">
        <f t="shared" si="6"/>
        <v>-1.3999217852516344E-2</v>
      </c>
      <c r="D455" s="67">
        <f>(Table1345[[#This Row],[Index]]-B443)/B443</f>
        <v>-3.5039598453936088E-2</v>
      </c>
    </row>
    <row r="456" spans="1:4" x14ac:dyDescent="0.2">
      <c r="A456" s="17">
        <v>39965</v>
      </c>
      <c r="B456" s="59">
        <f>VLOOKUP(Table1345[[#This Row],[Date]],database!A:I,9,)</f>
        <v>96.004099999999994</v>
      </c>
      <c r="C456" s="67">
        <f t="shared" ref="C456:C519" si="7">B456/B455-1</f>
        <v>-8.3921558906220328E-3</v>
      </c>
      <c r="D456" s="67">
        <f>(Table1345[[#This Row],[Index]]-B444)/B444</f>
        <v>-5.6971238851125768E-2</v>
      </c>
    </row>
    <row r="457" spans="1:4" x14ac:dyDescent="0.2">
      <c r="A457" s="17">
        <v>39995</v>
      </c>
      <c r="B457" s="59">
        <f>VLOOKUP(Table1345[[#This Row],[Date]],database!A:I,9,)</f>
        <v>94.6935</v>
      </c>
      <c r="C457" s="67">
        <f t="shared" si="7"/>
        <v>-1.365150030050799E-2</v>
      </c>
      <c r="D457" s="67">
        <f>(Table1345[[#This Row],[Index]]-B445)/B445</f>
        <v>-5.7087464874843855E-2</v>
      </c>
    </row>
    <row r="458" spans="1:4" x14ac:dyDescent="0.2">
      <c r="A458" s="17">
        <v>40026</v>
      </c>
      <c r="B458" s="59">
        <f>VLOOKUP(Table1345[[#This Row],[Date]],database!A:I,9,)</f>
        <v>95.726299999999995</v>
      </c>
      <c r="C458" s="67">
        <f t="shared" si="7"/>
        <v>1.0906767623965585E-2</v>
      </c>
      <c r="D458" s="67">
        <f>(Table1345[[#This Row],[Index]]-B446)/B446</f>
        <v>-1.0894734177372153E-2</v>
      </c>
    </row>
    <row r="459" spans="1:4" x14ac:dyDescent="0.2">
      <c r="A459" s="17">
        <v>40057</v>
      </c>
      <c r="B459" s="59">
        <f>VLOOKUP(Table1345[[#This Row],[Date]],database!A:I,9,)</f>
        <v>96.807699999999997</v>
      </c>
      <c r="C459" s="67">
        <f t="shared" si="7"/>
        <v>1.1296790955045877E-2</v>
      </c>
      <c r="D459" s="67">
        <f>(Table1345[[#This Row],[Index]]-B447)/B447</f>
        <v>-1.914242580828197E-2</v>
      </c>
    </row>
    <row r="460" spans="1:4" x14ac:dyDescent="0.2">
      <c r="A460" s="17">
        <v>40087</v>
      </c>
      <c r="B460" s="59">
        <f>VLOOKUP(Table1345[[#This Row],[Date]],database!A:I,9,)</f>
        <v>98.962299999999999</v>
      </c>
      <c r="C460" s="67">
        <f t="shared" si="7"/>
        <v>2.2256494059873289E-2</v>
      </c>
      <c r="D460" s="67">
        <f>(Table1345[[#This Row],[Index]]-B448)/B448</f>
        <v>-4.2952352971953028E-3</v>
      </c>
    </row>
    <row r="461" spans="1:4" x14ac:dyDescent="0.2">
      <c r="A461" s="17">
        <v>40118</v>
      </c>
      <c r="B461" s="59">
        <f>VLOOKUP(Table1345[[#This Row],[Date]],database!A:I,9,)</f>
        <v>96.0077</v>
      </c>
      <c r="C461" s="67">
        <f t="shared" si="7"/>
        <v>-2.985581377959079E-2</v>
      </c>
      <c r="D461" s="67">
        <f>(Table1345[[#This Row],[Index]]-B449)/B449</f>
        <v>-4.710402407457407E-2</v>
      </c>
    </row>
    <row r="462" spans="1:4" x14ac:dyDescent="0.2">
      <c r="A462" s="17">
        <v>40148</v>
      </c>
      <c r="B462" s="59">
        <f>VLOOKUP(Table1345[[#This Row],[Date]],database!A:I,9,)</f>
        <v>101.19370000000001</v>
      </c>
      <c r="C462" s="67">
        <f t="shared" si="7"/>
        <v>5.4016500759834996E-2</v>
      </c>
      <c r="D462" s="67">
        <f>(Table1345[[#This Row],[Index]]-B450)/B450</f>
        <v>8.6980704956385602E-3</v>
      </c>
    </row>
    <row r="463" spans="1:4" x14ac:dyDescent="0.2">
      <c r="A463" s="17">
        <v>40179</v>
      </c>
      <c r="B463" s="59">
        <f>VLOOKUP(Table1345[[#This Row],[Date]],database!A:I,9,)</f>
        <v>101.6905</v>
      </c>
      <c r="C463" s="67">
        <f t="shared" si="7"/>
        <v>4.9093965335786915E-3</v>
      </c>
      <c r="D463" s="67">
        <f>(Table1345[[#This Row],[Index]]-B451)/B451</f>
        <v>1.4871198118969567E-2</v>
      </c>
    </row>
    <row r="464" spans="1:4" x14ac:dyDescent="0.2">
      <c r="A464" s="17">
        <v>40210</v>
      </c>
      <c r="B464" s="59">
        <f>VLOOKUP(Table1345[[#This Row],[Date]],database!A:I,9,)</f>
        <v>103.1914</v>
      </c>
      <c r="C464" s="67">
        <f t="shared" si="7"/>
        <v>1.4759490807892517E-2</v>
      </c>
      <c r="D464" s="67">
        <f>(Table1345[[#This Row],[Index]]-B452)/B452</f>
        <v>6.0139144585442901E-2</v>
      </c>
    </row>
    <row r="465" spans="1:4" x14ac:dyDescent="0.2">
      <c r="A465" s="17">
        <v>40238</v>
      </c>
      <c r="B465" s="59">
        <f>VLOOKUP(Table1345[[#This Row],[Date]],database!A:I,9,)</f>
        <v>99.703400000000002</v>
      </c>
      <c r="C465" s="67">
        <f t="shared" si="7"/>
        <v>-3.3801266384601791E-2</v>
      </c>
      <c r="D465" s="67">
        <f>(Table1345[[#This Row],[Index]]-B453)/B453</f>
        <v>1.0999953355655031E-2</v>
      </c>
    </row>
    <row r="466" spans="1:4" x14ac:dyDescent="0.2">
      <c r="A466" s="17">
        <v>40269</v>
      </c>
      <c r="B466" s="59">
        <f>VLOOKUP(Table1345[[#This Row],[Date]],database!A:I,9,)</f>
        <v>96.643000000000001</v>
      </c>
      <c r="C466" s="67">
        <f t="shared" si="7"/>
        <v>-3.0695041493068453E-2</v>
      </c>
      <c r="D466" s="67">
        <f>(Table1345[[#This Row],[Index]]-B454)/B454</f>
        <v>-1.5767197060428981E-2</v>
      </c>
    </row>
    <row r="467" spans="1:4" x14ac:dyDescent="0.2">
      <c r="A467" s="17">
        <v>40299</v>
      </c>
      <c r="B467" s="59">
        <f>VLOOKUP(Table1345[[#This Row],[Date]],database!A:I,9,)</f>
        <v>100.6739</v>
      </c>
      <c r="C467" s="67">
        <f t="shared" si="7"/>
        <v>4.1709177074387149E-2</v>
      </c>
      <c r="D467" s="67">
        <f>(Table1345[[#This Row],[Index]]-B455)/B455</f>
        <v>3.9841308205411152E-2</v>
      </c>
    </row>
    <row r="468" spans="1:4" x14ac:dyDescent="0.2">
      <c r="A468" s="17">
        <v>40330</v>
      </c>
      <c r="B468" s="59">
        <f>VLOOKUP(Table1345[[#This Row],[Date]],database!A:I,9,)</f>
        <v>102.6952</v>
      </c>
      <c r="C468" s="67">
        <f t="shared" si="7"/>
        <v>2.0077696403933754E-2</v>
      </c>
      <c r="D468" s="67">
        <f>(Table1345[[#This Row],[Index]]-B456)/B456</f>
        <v>6.969598173411351E-2</v>
      </c>
    </row>
    <row r="469" spans="1:4" x14ac:dyDescent="0.2">
      <c r="A469" s="17">
        <v>40360</v>
      </c>
      <c r="B469" s="59">
        <f>VLOOKUP(Table1345[[#This Row],[Date]],database!A:I,9,)</f>
        <v>101.8014</v>
      </c>
      <c r="C469" s="67">
        <f t="shared" si="7"/>
        <v>-8.7034252818047886E-3</v>
      </c>
      <c r="D469" s="67">
        <f>(Table1345[[#This Row],[Index]]-B457)/B457</f>
        <v>7.5062174278065552E-2</v>
      </c>
    </row>
    <row r="470" spans="1:4" x14ac:dyDescent="0.2">
      <c r="A470" s="17">
        <v>40391</v>
      </c>
      <c r="B470" s="59">
        <f>VLOOKUP(Table1345[[#This Row],[Date]],database!A:I,9,)</f>
        <v>102.09520000000001</v>
      </c>
      <c r="C470" s="67">
        <f t="shared" si="7"/>
        <v>2.8860113908060203E-3</v>
      </c>
      <c r="D470" s="67">
        <f>(Table1345[[#This Row],[Index]]-B458)/B458</f>
        <v>6.6532394963557673E-2</v>
      </c>
    </row>
    <row r="471" spans="1:4" x14ac:dyDescent="0.2">
      <c r="A471" s="17">
        <v>40422</v>
      </c>
      <c r="B471" s="59">
        <f>VLOOKUP(Table1345[[#This Row],[Date]],database!A:I,9,)</f>
        <v>102.1328</v>
      </c>
      <c r="C471" s="67">
        <f t="shared" si="7"/>
        <v>3.6828371950892169E-4</v>
      </c>
      <c r="D471" s="67">
        <f>(Table1345[[#This Row],[Index]]-B459)/B459</f>
        <v>5.500698808049366E-2</v>
      </c>
    </row>
    <row r="472" spans="1:4" x14ac:dyDescent="0.2">
      <c r="A472" s="17">
        <v>40452</v>
      </c>
      <c r="B472" s="59">
        <f>VLOOKUP(Table1345[[#This Row],[Date]],database!A:I,9,)</f>
        <v>98.753100000000003</v>
      </c>
      <c r="C472" s="67">
        <f t="shared" si="7"/>
        <v>-3.309123024141114E-2</v>
      </c>
      <c r="D472" s="67">
        <f>(Table1345[[#This Row],[Index]]-B460)/B460</f>
        <v>-2.1139363171631584E-3</v>
      </c>
    </row>
    <row r="473" spans="1:4" x14ac:dyDescent="0.2">
      <c r="A473" s="17">
        <v>40483</v>
      </c>
      <c r="B473" s="59">
        <f>VLOOKUP(Table1345[[#This Row],[Date]],database!A:I,9,)</f>
        <v>99.984300000000005</v>
      </c>
      <c r="C473" s="67">
        <f t="shared" si="7"/>
        <v>1.2467456717814462E-2</v>
      </c>
      <c r="D473" s="67">
        <f>(Table1345[[#This Row],[Index]]-B461)/B461</f>
        <v>4.1419594470026931E-2</v>
      </c>
    </row>
    <row r="474" spans="1:4" x14ac:dyDescent="0.2">
      <c r="A474" s="17">
        <v>40513</v>
      </c>
      <c r="B474" s="59">
        <f>VLOOKUP(Table1345[[#This Row],[Date]],database!A:I,9,)</f>
        <v>105.2658</v>
      </c>
      <c r="C474" s="67">
        <f t="shared" si="7"/>
        <v>5.2823293257041382E-2</v>
      </c>
      <c r="D474" s="67">
        <f>(Table1345[[#This Row],[Index]]-B462)/B462</f>
        <v>4.024064739208065E-2</v>
      </c>
    </row>
    <row r="475" spans="1:4" x14ac:dyDescent="0.2">
      <c r="A475" s="17">
        <v>40544</v>
      </c>
      <c r="B475" s="59">
        <f>VLOOKUP(Table1345[[#This Row],[Date]],database!A:I,9,)</f>
        <v>103.0813</v>
      </c>
      <c r="C475" s="67">
        <f t="shared" si="7"/>
        <v>-2.0752229119049059E-2</v>
      </c>
      <c r="D475" s="67">
        <f>(Table1345[[#This Row],[Index]]-B463)/B463</f>
        <v>1.3676793800797506E-2</v>
      </c>
    </row>
    <row r="476" spans="1:4" x14ac:dyDescent="0.2">
      <c r="A476" s="17">
        <v>40575</v>
      </c>
      <c r="B476" s="59">
        <f>VLOOKUP(Table1345[[#This Row],[Date]],database!A:I,9,)</f>
        <v>101.2598</v>
      </c>
      <c r="C476" s="67">
        <f t="shared" si="7"/>
        <v>-1.7670518319035544E-2</v>
      </c>
      <c r="D476" s="67">
        <f>(Table1345[[#This Row],[Index]]-B464)/B464</f>
        <v>-1.8718614148078259E-2</v>
      </c>
    </row>
    <row r="477" spans="1:4" x14ac:dyDescent="0.2">
      <c r="A477" s="17">
        <v>40603</v>
      </c>
      <c r="B477" s="59">
        <f>VLOOKUP(Table1345[[#This Row],[Date]],database!A:I,9,)</f>
        <v>100.9816</v>
      </c>
      <c r="C477" s="67">
        <f t="shared" si="7"/>
        <v>-2.7473884009251437E-3</v>
      </c>
      <c r="D477" s="67">
        <f>(Table1345[[#This Row],[Index]]-B465)/B465</f>
        <v>1.2820024191752721E-2</v>
      </c>
    </row>
    <row r="478" spans="1:4" x14ac:dyDescent="0.2">
      <c r="A478" s="17">
        <v>40634</v>
      </c>
      <c r="B478" s="59">
        <f>VLOOKUP(Table1345[[#This Row],[Date]],database!A:I,9,)</f>
        <v>100.5693</v>
      </c>
      <c r="C478" s="68">
        <f t="shared" si="7"/>
        <v>-4.0829220372821107E-3</v>
      </c>
      <c r="D478" s="67">
        <f>(Table1345[[#This Row],[Index]]-B466)/B466</f>
        <v>4.0626843123661285E-2</v>
      </c>
    </row>
    <row r="479" spans="1:4" x14ac:dyDescent="0.2">
      <c r="A479" s="17">
        <v>40664</v>
      </c>
      <c r="B479" s="59">
        <f>VLOOKUP(Table1345[[#This Row],[Date]],database!A:I,9,)</f>
        <v>100.0181</v>
      </c>
      <c r="C479" s="67">
        <f t="shared" si="7"/>
        <v>-5.4807978180219097E-3</v>
      </c>
      <c r="D479" s="67">
        <f>(Table1345[[#This Row],[Index]]-B467)/B467</f>
        <v>-6.5141014701923664E-3</v>
      </c>
    </row>
    <row r="480" spans="1:4" x14ac:dyDescent="0.2">
      <c r="A480" s="17">
        <v>40695</v>
      </c>
      <c r="B480" s="59">
        <f>VLOOKUP(Table1345[[#This Row],[Date]],database!A:I,9,)</f>
        <v>101.1793</v>
      </c>
      <c r="C480" s="67">
        <f t="shared" si="7"/>
        <v>1.1609898608351932E-2</v>
      </c>
      <c r="D480" s="67">
        <f>(Table1345[[#This Row],[Index]]-B468)/B468</f>
        <v>-1.4761157288753535E-2</v>
      </c>
    </row>
    <row r="481" spans="1:4" x14ac:dyDescent="0.2">
      <c r="A481" s="17">
        <v>40725</v>
      </c>
      <c r="B481" s="59">
        <f>VLOOKUP(Table1345[[#This Row],[Date]],database!A:I,9,)</f>
        <v>102.8909</v>
      </c>
      <c r="C481" s="67">
        <f t="shared" si="7"/>
        <v>1.6916503672193883E-2</v>
      </c>
      <c r="D481" s="67">
        <f>(Table1345[[#This Row],[Index]]-B469)/B469</f>
        <v>1.0702210382175502E-2</v>
      </c>
    </row>
    <row r="482" spans="1:4" x14ac:dyDescent="0.2">
      <c r="A482" s="17">
        <v>40756</v>
      </c>
      <c r="B482" s="59">
        <f>VLOOKUP(Table1345[[#This Row],[Date]],database!A:I,9,)</f>
        <v>102.79179999999999</v>
      </c>
      <c r="C482" s="67">
        <f t="shared" si="7"/>
        <v>-9.6315611973463167E-4</v>
      </c>
      <c r="D482" s="67">
        <f>(Table1345[[#This Row],[Index]]-B470)/B470</f>
        <v>6.8230435906878033E-3</v>
      </c>
    </row>
    <row r="483" spans="1:4" x14ac:dyDescent="0.2">
      <c r="A483" s="17">
        <v>40787</v>
      </c>
      <c r="B483" s="59">
        <f>VLOOKUP(Table1345[[#This Row],[Date]],database!A:I,9,)</f>
        <v>100.9898</v>
      </c>
      <c r="C483" s="67">
        <f t="shared" si="7"/>
        <v>-1.7530581233133335E-2</v>
      </c>
      <c r="D483" s="67">
        <f>(Table1345[[#This Row],[Index]]-B471)/B471</f>
        <v>-1.1191311703977573E-2</v>
      </c>
    </row>
    <row r="484" spans="1:4" x14ac:dyDescent="0.2">
      <c r="A484" s="17">
        <v>40817</v>
      </c>
      <c r="B484" s="59">
        <f>VLOOKUP(Table1345[[#This Row],[Date]],database!A:I,9,)</f>
        <v>99.679400000000001</v>
      </c>
      <c r="C484" s="67">
        <f t="shared" si="7"/>
        <v>-1.2975567829622392E-2</v>
      </c>
      <c r="D484" s="67">
        <f>(Table1345[[#This Row],[Index]]-B472)/B472</f>
        <v>9.3799587050937914E-3</v>
      </c>
    </row>
    <row r="485" spans="1:4" x14ac:dyDescent="0.2">
      <c r="A485" s="17">
        <v>40848</v>
      </c>
      <c r="B485" s="59">
        <f>VLOOKUP(Table1345[[#This Row],[Date]],database!A:I,9,)</f>
        <v>98.964299999999994</v>
      </c>
      <c r="C485" s="67">
        <f t="shared" si="7"/>
        <v>-7.1739998434983132E-3</v>
      </c>
      <c r="D485" s="67">
        <f>(Table1345[[#This Row],[Index]]-B473)/B473</f>
        <v>-1.0201601651459381E-2</v>
      </c>
    </row>
    <row r="486" spans="1:4" x14ac:dyDescent="0.2">
      <c r="A486" s="17">
        <v>40878</v>
      </c>
      <c r="B486" s="59">
        <f>VLOOKUP(Table1345[[#This Row],[Date]],database!A:I,9,)</f>
        <v>97.685400000000001</v>
      </c>
      <c r="C486" s="67">
        <f t="shared" si="7"/>
        <v>-1.2922841873281521E-2</v>
      </c>
      <c r="D486" s="67">
        <f>(Table1345[[#This Row],[Index]]-B474)/B474</f>
        <v>-7.201199249898825E-2</v>
      </c>
    </row>
    <row r="487" spans="1:4" x14ac:dyDescent="0.2">
      <c r="A487" s="17">
        <v>40909</v>
      </c>
      <c r="B487" s="59">
        <f>VLOOKUP(Table1345[[#This Row],[Date]],database!A:I,9,)</f>
        <v>95.034499999999994</v>
      </c>
      <c r="C487" s="67">
        <f t="shared" si="7"/>
        <v>-2.7137115679518153E-2</v>
      </c>
      <c r="D487" s="67">
        <f>(Table1345[[#This Row],[Index]]-B475)/B475</f>
        <v>-7.8062655399184958E-2</v>
      </c>
    </row>
    <row r="488" spans="1:4" x14ac:dyDescent="0.2">
      <c r="A488" s="17">
        <v>40940</v>
      </c>
      <c r="B488" s="59">
        <f>VLOOKUP(Table1345[[#This Row],[Date]],database!A:I,9,)</f>
        <v>95.707700000000003</v>
      </c>
      <c r="C488" s="67">
        <f t="shared" si="7"/>
        <v>7.0837432721801985E-3</v>
      </c>
      <c r="D488" s="67">
        <f>(Table1345[[#This Row],[Index]]-B476)/B476</f>
        <v>-5.4830248529031227E-2</v>
      </c>
    </row>
    <row r="489" spans="1:4" x14ac:dyDescent="0.2">
      <c r="A489" s="17">
        <v>40969</v>
      </c>
      <c r="B489" s="59">
        <f>VLOOKUP(Table1345[[#This Row],[Date]],database!A:I,9,)</f>
        <v>94.389600000000002</v>
      </c>
      <c r="C489" s="67">
        <f t="shared" si="7"/>
        <v>-1.3772141635417068E-2</v>
      </c>
      <c r="D489" s="67">
        <f>(Table1345[[#This Row],[Index]]-B477)/B477</f>
        <v>-6.5279219184485079E-2</v>
      </c>
    </row>
    <row r="490" spans="1:4" x14ac:dyDescent="0.2">
      <c r="A490" s="17">
        <v>41000</v>
      </c>
      <c r="B490" s="59">
        <f>VLOOKUP(Table1345[[#This Row],[Date]],database!A:I,9,)</f>
        <v>97.753100000000003</v>
      </c>
      <c r="C490" s="67">
        <f t="shared" si="7"/>
        <v>3.5634222414333783E-2</v>
      </c>
      <c r="D490" s="67">
        <f>(Table1345[[#This Row],[Index]]-B478)/B478</f>
        <v>-2.8002581304632675E-2</v>
      </c>
    </row>
    <row r="491" spans="1:4" x14ac:dyDescent="0.2">
      <c r="A491" s="17">
        <v>41030</v>
      </c>
      <c r="B491" s="59">
        <f>VLOOKUP(Table1345[[#This Row],[Date]],database!A:I,9,)</f>
        <v>101.964</v>
      </c>
      <c r="C491" s="67">
        <f t="shared" si="7"/>
        <v>4.3076894748094841E-2</v>
      </c>
      <c r="D491" s="67">
        <f>(Table1345[[#This Row],[Index]]-B479)/B479</f>
        <v>1.9455478558380878E-2</v>
      </c>
    </row>
    <row r="492" spans="1:4" x14ac:dyDescent="0.2">
      <c r="A492" s="17">
        <v>41061</v>
      </c>
      <c r="B492" s="59">
        <f>VLOOKUP(Table1345[[#This Row],[Date]],database!A:I,9,)</f>
        <v>99.7774</v>
      </c>
      <c r="C492" s="67">
        <f t="shared" si="7"/>
        <v>-2.1444823663253731E-2</v>
      </c>
      <c r="D492" s="67">
        <f>(Table1345[[#This Row],[Index]]-B480)/B480</f>
        <v>-1.3855600898602756E-2</v>
      </c>
    </row>
    <row r="493" spans="1:4" x14ac:dyDescent="0.2">
      <c r="A493" s="17">
        <v>41091</v>
      </c>
      <c r="B493" s="59">
        <f>VLOOKUP(Table1345[[#This Row],[Date]],database!A:I,9,)</f>
        <v>101.5692</v>
      </c>
      <c r="C493" s="67">
        <f t="shared" si="7"/>
        <v>1.7957974451128234E-2</v>
      </c>
      <c r="D493" s="67">
        <f>(Table1345[[#This Row],[Index]]-B481)/B481</f>
        <v>-1.2845645241707546E-2</v>
      </c>
    </row>
    <row r="494" spans="1:4" x14ac:dyDescent="0.2">
      <c r="A494" s="17">
        <v>41122</v>
      </c>
      <c r="B494" s="59">
        <f>VLOOKUP(Table1345[[#This Row],[Date]],database!A:I,9,)</f>
        <v>100.4208</v>
      </c>
      <c r="C494" s="67">
        <f t="shared" si="7"/>
        <v>-1.1306577190723144E-2</v>
      </c>
      <c r="D494" s="67">
        <f>(Table1345[[#This Row],[Index]]-B482)/B482</f>
        <v>-2.3066042232940714E-2</v>
      </c>
    </row>
    <row r="495" spans="1:4" x14ac:dyDescent="0.2">
      <c r="A495" s="17">
        <v>41153</v>
      </c>
      <c r="B495" s="59">
        <f>VLOOKUP(Table1345[[#This Row],[Date]],database!A:I,9,)</f>
        <v>98.699799999999996</v>
      </c>
      <c r="C495" s="67">
        <f t="shared" si="7"/>
        <v>-1.713788378503267E-2</v>
      </c>
      <c r="D495" s="67">
        <f>(Table1345[[#This Row],[Index]]-B483)/B483</f>
        <v>-2.2675557333512952E-2</v>
      </c>
    </row>
    <row r="496" spans="1:4" x14ac:dyDescent="0.2">
      <c r="A496" s="17">
        <v>41183</v>
      </c>
      <c r="B496" s="59">
        <f>VLOOKUP(Table1345[[#This Row],[Date]],database!A:I,9,)</f>
        <v>100.5003</v>
      </c>
      <c r="C496" s="67">
        <f t="shared" si="7"/>
        <v>1.8242184887912627E-2</v>
      </c>
      <c r="D496" s="67">
        <f>(Table1345[[#This Row],[Index]]-B484)/B484</f>
        <v>8.2354027010595431E-3</v>
      </c>
    </row>
    <row r="497" spans="1:4" x14ac:dyDescent="0.2">
      <c r="A497" s="17">
        <v>41214</v>
      </c>
      <c r="B497" s="59">
        <f>VLOOKUP(Table1345[[#This Row],[Date]],database!A:I,9,)</f>
        <v>99.540099999999995</v>
      </c>
      <c r="C497" s="67">
        <f t="shared" si="7"/>
        <v>-9.5542003357204086E-3</v>
      </c>
      <c r="D497" s="67">
        <f>(Table1345[[#This Row],[Index]]-B485)/B485</f>
        <v>5.8182597158773514E-3</v>
      </c>
    </row>
    <row r="498" spans="1:4" x14ac:dyDescent="0.2">
      <c r="A498" s="17">
        <v>41244</v>
      </c>
      <c r="B498" s="59">
        <f>VLOOKUP(Table1345[[#This Row],[Date]],database!A:I,9,)</f>
        <v>96.674499999999995</v>
      </c>
      <c r="C498" s="67">
        <f t="shared" si="7"/>
        <v>-2.8788397841673863E-2</v>
      </c>
      <c r="D498" s="67">
        <f>(Table1345[[#This Row],[Index]]-B486)/B486</f>
        <v>-1.034852700608286E-2</v>
      </c>
    </row>
    <row r="499" spans="1:4" x14ac:dyDescent="0.2">
      <c r="A499" s="17">
        <v>41275</v>
      </c>
      <c r="B499" s="59">
        <f>VLOOKUP(Table1345[[#This Row],[Date]],database!A:I,9,)</f>
        <v>98.090999999999994</v>
      </c>
      <c r="C499" s="67">
        <f t="shared" si="7"/>
        <v>1.4652260937475736E-2</v>
      </c>
      <c r="D499" s="67">
        <f>(Table1345[[#This Row],[Index]]-B487)/B487</f>
        <v>3.2162004324745225E-2</v>
      </c>
    </row>
    <row r="500" spans="1:4" x14ac:dyDescent="0.2">
      <c r="A500" s="17">
        <v>41306</v>
      </c>
      <c r="B500" s="59">
        <f>VLOOKUP(Table1345[[#This Row],[Date]],database!A:I,9,)</f>
        <v>98.662800000000004</v>
      </c>
      <c r="C500" s="67">
        <f t="shared" si="7"/>
        <v>5.8292809737896523E-3</v>
      </c>
      <c r="D500" s="67">
        <f>(Table1345[[#This Row],[Index]]-B488)/B488</f>
        <v>3.0876303578499971E-2</v>
      </c>
    </row>
    <row r="501" spans="1:4" x14ac:dyDescent="0.2">
      <c r="A501" s="17">
        <v>41334</v>
      </c>
      <c r="B501" s="59">
        <f>VLOOKUP(Table1345[[#This Row],[Date]],database!A:I,9,)</f>
        <v>102.6965</v>
      </c>
      <c r="C501" s="67">
        <f t="shared" si="7"/>
        <v>4.0883696793522883E-2</v>
      </c>
      <c r="D501" s="67">
        <f>(Table1345[[#This Row],[Index]]-B489)/B489</f>
        <v>8.8006517667200607E-2</v>
      </c>
    </row>
    <row r="502" spans="1:4" x14ac:dyDescent="0.2">
      <c r="A502" s="17">
        <v>41365</v>
      </c>
      <c r="B502" s="59">
        <f>VLOOKUP(Table1345[[#This Row],[Date]],database!A:I,9,)</f>
        <v>102.3365</v>
      </c>
      <c r="C502" s="67">
        <f t="shared" si="7"/>
        <v>-3.5054748701269789E-3</v>
      </c>
      <c r="D502" s="67">
        <f>(Table1345[[#This Row],[Index]]-B490)/B490</f>
        <v>4.6887515587740923E-2</v>
      </c>
    </row>
    <row r="503" spans="1:4" x14ac:dyDescent="0.2">
      <c r="A503" s="17">
        <v>41395</v>
      </c>
      <c r="B503" s="59">
        <f>VLOOKUP(Table1345[[#This Row],[Date]],database!A:I,9,)</f>
        <v>100.14239999999999</v>
      </c>
      <c r="C503" s="67">
        <f t="shared" si="7"/>
        <v>-2.1440053157964267E-2</v>
      </c>
      <c r="D503" s="67">
        <f>(Table1345[[#This Row],[Index]]-B491)/B491</f>
        <v>-1.786512886901263E-2</v>
      </c>
    </row>
    <row r="504" spans="1:4" x14ac:dyDescent="0.2">
      <c r="A504" s="17">
        <v>41426</v>
      </c>
      <c r="B504" s="59">
        <f>VLOOKUP(Table1345[[#This Row],[Date]],database!A:I,9,)</f>
        <v>99.072599999999994</v>
      </c>
      <c r="C504" s="67">
        <f t="shared" si="7"/>
        <v>-1.0682787710300512E-2</v>
      </c>
      <c r="D504" s="67">
        <f>(Table1345[[#This Row],[Index]]-B492)/B492</f>
        <v>-7.0637238492885753E-3</v>
      </c>
    </row>
    <row r="505" spans="1:4" x14ac:dyDescent="0.2">
      <c r="A505" s="17">
        <v>41456</v>
      </c>
      <c r="B505" s="59">
        <f>VLOOKUP(Table1345[[#This Row],[Date]],database!A:I,9,)</f>
        <v>98.989400000000003</v>
      </c>
      <c r="C505" s="67">
        <f t="shared" si="7"/>
        <v>-8.3978819572705365E-4</v>
      </c>
      <c r="D505" s="67">
        <f>(Table1345[[#This Row],[Index]]-B493)/B493</f>
        <v>-2.5399432111309253E-2</v>
      </c>
    </row>
    <row r="506" spans="1:4" x14ac:dyDescent="0.2">
      <c r="A506" s="17">
        <v>41487</v>
      </c>
      <c r="B506" s="59">
        <f>VLOOKUP(Table1345[[#This Row],[Date]],database!A:I,9,)</f>
        <v>98.742000000000004</v>
      </c>
      <c r="C506" s="67">
        <f t="shared" si="7"/>
        <v>-2.4992574962571235E-3</v>
      </c>
      <c r="D506" s="67">
        <f>(Table1345[[#This Row],[Index]]-B494)/B494</f>
        <v>-1.6717652119879502E-2</v>
      </c>
    </row>
    <row r="507" spans="1:4" x14ac:dyDescent="0.2">
      <c r="A507" s="17">
        <v>41518</v>
      </c>
      <c r="B507" s="59">
        <f>VLOOKUP(Table1345[[#This Row],[Date]],database!A:I,9,)</f>
        <v>100.0003</v>
      </c>
      <c r="C507" s="67">
        <f t="shared" si="7"/>
        <v>1.274331085049929E-2</v>
      </c>
      <c r="D507" s="67">
        <f>(Table1345[[#This Row],[Index]]-B495)/B495</f>
        <v>1.3176318493046587E-2</v>
      </c>
    </row>
    <row r="508" spans="1:4" x14ac:dyDescent="0.2">
      <c r="A508" s="17">
        <v>41548</v>
      </c>
      <c r="B508" s="59">
        <f>VLOOKUP(Table1345[[#This Row],[Date]],database!A:I,9,)</f>
        <v>101.48860000000001</v>
      </c>
      <c r="C508" s="67">
        <f t="shared" si="7"/>
        <v>1.4882955351134042E-2</v>
      </c>
      <c r="D508" s="67">
        <f>(Table1345[[#This Row],[Index]]-B496)/B496</f>
        <v>9.8338014911399218E-3</v>
      </c>
    </row>
    <row r="509" spans="1:4" x14ac:dyDescent="0.2">
      <c r="A509" s="17">
        <v>41579</v>
      </c>
      <c r="B509" s="59">
        <f>VLOOKUP(Table1345[[#This Row],[Date]],database!A:I,9,)</f>
        <v>102.6978</v>
      </c>
      <c r="C509" s="67">
        <f t="shared" si="7"/>
        <v>1.1914638688483192E-2</v>
      </c>
      <c r="D509" s="67">
        <f>(Table1345[[#This Row],[Index]]-B497)/B497</f>
        <v>3.172289358760947E-2</v>
      </c>
    </row>
    <row r="510" spans="1:4" x14ac:dyDescent="0.2">
      <c r="A510" s="17">
        <v>41609</v>
      </c>
      <c r="B510" s="59">
        <f>VLOOKUP(Table1345[[#This Row],[Date]],database!A:I,9,)</f>
        <v>105.16719999999999</v>
      </c>
      <c r="C510" s="67">
        <f t="shared" si="7"/>
        <v>2.4045305741700274E-2</v>
      </c>
      <c r="D510" s="67">
        <f>(Table1345[[#This Row],[Index]]-B498)/B498</f>
        <v>8.784839849184635E-2</v>
      </c>
    </row>
    <row r="511" spans="1:4" x14ac:dyDescent="0.2">
      <c r="A511" s="17">
        <v>41640</v>
      </c>
      <c r="B511" s="59">
        <f>VLOOKUP(Table1345[[#This Row],[Date]],database!A:I,9,)</f>
        <v>106.21259999999999</v>
      </c>
      <c r="C511" s="67">
        <f t="shared" si="7"/>
        <v>9.9403616336652956E-3</v>
      </c>
      <c r="D511" s="67">
        <f>(Table1345[[#This Row],[Index]]-B499)/B499</f>
        <v>8.2796586842829631E-2</v>
      </c>
    </row>
    <row r="512" spans="1:4" x14ac:dyDescent="0.2">
      <c r="A512" s="17">
        <v>41671</v>
      </c>
      <c r="B512" s="59">
        <f>VLOOKUP(Table1345[[#This Row],[Date]],database!A:I,9,)</f>
        <v>105.239</v>
      </c>
      <c r="C512" s="67">
        <f t="shared" si="7"/>
        <v>-9.1665207329449938E-3</v>
      </c>
      <c r="D512" s="67">
        <f>(Table1345[[#This Row],[Index]]-B500)/B500</f>
        <v>6.665328776397994E-2</v>
      </c>
    </row>
    <row r="513" spans="1:4" x14ac:dyDescent="0.2">
      <c r="A513" s="17">
        <v>41699</v>
      </c>
      <c r="B513" s="59">
        <f>VLOOKUP(Table1345[[#This Row],[Date]],database!A:I,9,)</f>
        <v>104.7718</v>
      </c>
      <c r="C513" s="67">
        <f t="shared" si="7"/>
        <v>-4.4394188466253537E-3</v>
      </c>
      <c r="D513" s="67">
        <f>(Table1345[[#This Row],[Index]]-B501)/B501</f>
        <v>2.0208088883262806E-2</v>
      </c>
    </row>
    <row r="514" spans="1:4" x14ac:dyDescent="0.2">
      <c r="A514" s="17">
        <v>41730</v>
      </c>
      <c r="B514" s="59">
        <f>VLOOKUP(Table1345[[#This Row],[Date]],database!A:I,9,)</f>
        <v>101.86</v>
      </c>
      <c r="C514" s="67">
        <f t="shared" si="7"/>
        <v>-2.7791829480833585E-2</v>
      </c>
      <c r="D514" s="67">
        <f>(Table1345[[#This Row],[Index]]-B502)/B502</f>
        <v>-4.65620770692765E-3</v>
      </c>
    </row>
    <row r="515" spans="1:4" x14ac:dyDescent="0.2">
      <c r="A515" s="17">
        <v>41760</v>
      </c>
      <c r="B515" s="59">
        <f>VLOOKUP(Table1345[[#This Row],[Date]],database!A:I,9,)</f>
        <v>101.6146</v>
      </c>
      <c r="C515" s="67">
        <f t="shared" si="7"/>
        <v>-2.4091890830552076E-3</v>
      </c>
      <c r="D515" s="67">
        <f>(Table1345[[#This Row],[Index]]-B503)/B503</f>
        <v>1.4701065682468175E-2</v>
      </c>
    </row>
    <row r="516" spans="1:4" x14ac:dyDescent="0.2">
      <c r="A516" s="17">
        <v>41791</v>
      </c>
      <c r="B516" s="59">
        <f>VLOOKUP(Table1345[[#This Row],[Date]],database!A:I,9,)</f>
        <v>99.918999999999997</v>
      </c>
      <c r="C516" s="67">
        <f t="shared" si="7"/>
        <v>-1.6686578503482763E-2</v>
      </c>
      <c r="D516" s="67">
        <f>(Table1345[[#This Row],[Index]]-B504)/B504</f>
        <v>8.5432299142245462E-3</v>
      </c>
    </row>
    <row r="517" spans="1:4" x14ac:dyDescent="0.2">
      <c r="A517" s="17">
        <v>41821</v>
      </c>
      <c r="B517" s="59">
        <f>VLOOKUP(Table1345[[#This Row],[Date]],database!A:I,9,)</f>
        <v>97.729299999999995</v>
      </c>
      <c r="C517" s="67">
        <f t="shared" si="7"/>
        <v>-2.1914750948268114E-2</v>
      </c>
      <c r="D517" s="67">
        <f>(Table1345[[#This Row],[Index]]-B505)/B505</f>
        <v>-1.2729645800459528E-2</v>
      </c>
    </row>
    <row r="518" spans="1:4" x14ac:dyDescent="0.2">
      <c r="A518" s="17">
        <v>41852</v>
      </c>
      <c r="B518" s="59">
        <f>VLOOKUP(Table1345[[#This Row],[Date]],database!A:I,9,)</f>
        <v>98.548900000000003</v>
      </c>
      <c r="C518" s="67">
        <f t="shared" si="7"/>
        <v>8.3864306814844802E-3</v>
      </c>
      <c r="D518" s="67">
        <f>(Table1345[[#This Row],[Index]]-B506)/B506</f>
        <v>-1.9556014664479262E-3</v>
      </c>
    </row>
    <row r="519" spans="1:4" x14ac:dyDescent="0.2">
      <c r="A519" s="17">
        <v>41883</v>
      </c>
      <c r="B519" s="59">
        <f>VLOOKUP(Table1345[[#This Row],[Date]],database!A:I,9,)</f>
        <v>100.67019999999999</v>
      </c>
      <c r="C519" s="67">
        <f t="shared" si="7"/>
        <v>2.1525354417958997E-2</v>
      </c>
      <c r="D519" s="67">
        <f>(Table1345[[#This Row],[Index]]-B507)/B507</f>
        <v>6.6989799030602749E-3</v>
      </c>
    </row>
    <row r="520" spans="1:4" x14ac:dyDescent="0.2">
      <c r="A520" s="17">
        <v>41913</v>
      </c>
      <c r="B520" s="59">
        <f>VLOOKUP(Table1345[[#This Row],[Date]],database!A:I,9,)</f>
        <v>101.31529999999999</v>
      </c>
      <c r="C520" s="67">
        <f t="shared" ref="C520:C583" si="8">B520/B519-1</f>
        <v>6.4080532272707824E-3</v>
      </c>
      <c r="D520" s="67">
        <f>(Table1345[[#This Row],[Index]]-B508)/B508</f>
        <v>-1.7075809499787343E-3</v>
      </c>
    </row>
    <row r="521" spans="1:4" x14ac:dyDescent="0.2">
      <c r="A521" s="17">
        <v>41944</v>
      </c>
      <c r="B521" s="59">
        <f>VLOOKUP(Table1345[[#This Row],[Date]],database!A:I,9,)</f>
        <v>104.3845</v>
      </c>
      <c r="C521" s="68">
        <f t="shared" si="8"/>
        <v>3.0293548950652172E-2</v>
      </c>
      <c r="D521" s="67">
        <f>(Table1345[[#This Row],[Index]]-B509)/B509</f>
        <v>1.6423915604813363E-2</v>
      </c>
    </row>
    <row r="522" spans="1:4" x14ac:dyDescent="0.2">
      <c r="A522" s="17">
        <v>41974</v>
      </c>
      <c r="B522" s="59">
        <f>VLOOKUP(Table1345[[#This Row],[Date]],database!A:I,9,)</f>
        <v>101.2255</v>
      </c>
      <c r="C522" s="67">
        <f t="shared" si="8"/>
        <v>-3.0263113776470729E-2</v>
      </c>
      <c r="D522" s="67">
        <f>(Table1345[[#This Row],[Index]]-B510)/B510</f>
        <v>-3.7480317057029165E-2</v>
      </c>
    </row>
    <row r="523" spans="1:4" x14ac:dyDescent="0.2">
      <c r="A523" s="17">
        <v>42005</v>
      </c>
      <c r="B523" s="59">
        <f>VLOOKUP(Table1345[[#This Row],[Date]],database!A:I,9,)</f>
        <v>102.36969999999999</v>
      </c>
      <c r="C523" s="68">
        <f t="shared" si="8"/>
        <v>1.1303475902811E-2</v>
      </c>
      <c r="D523" s="67">
        <f>(Table1345[[#This Row],[Index]]-B511)/B511</f>
        <v>-3.6181206372878548E-2</v>
      </c>
    </row>
    <row r="524" spans="1:4" x14ac:dyDescent="0.2">
      <c r="A524" s="17">
        <v>42036</v>
      </c>
      <c r="B524" s="59">
        <f>VLOOKUP(Table1345[[#This Row],[Date]],database!A:I,9,)</f>
        <v>107.6135</v>
      </c>
      <c r="C524" s="67">
        <f t="shared" si="8"/>
        <v>5.1224141518437571E-2</v>
      </c>
      <c r="D524" s="67">
        <f>(Table1345[[#This Row],[Index]]-B512)/B512</f>
        <v>2.2562928192020045E-2</v>
      </c>
    </row>
    <row r="525" spans="1:4" x14ac:dyDescent="0.2">
      <c r="A525" s="17">
        <v>42064</v>
      </c>
      <c r="B525" s="59">
        <f>VLOOKUP(Table1345[[#This Row],[Date]],database!A:I,9,)</f>
        <v>104.437</v>
      </c>
      <c r="C525" s="68">
        <f t="shared" si="8"/>
        <v>-2.9517672039288789E-2</v>
      </c>
      <c r="D525" s="67">
        <f>(Table1345[[#This Row],[Index]]-B513)/B513</f>
        <v>-3.1955163507737896E-3</v>
      </c>
    </row>
    <row r="526" spans="1:4" x14ac:dyDescent="0.2">
      <c r="A526" s="17">
        <v>42095</v>
      </c>
      <c r="B526" s="59">
        <f>VLOOKUP(Table1345[[#This Row],[Date]],database!A:I,9,)</f>
        <v>101.5466</v>
      </c>
      <c r="C526" s="67">
        <f t="shared" si="8"/>
        <v>-2.7676015205339133E-2</v>
      </c>
      <c r="D526" s="67">
        <f>(Table1345[[#This Row],[Index]]-B514)/B514</f>
        <v>-3.0767720400549916E-3</v>
      </c>
    </row>
    <row r="527" spans="1:4" x14ac:dyDescent="0.2">
      <c r="A527" s="17">
        <v>42125</v>
      </c>
      <c r="B527" s="59">
        <f>VLOOKUP(Table1345[[#This Row],[Date]],database!A:I,9,)</f>
        <v>100.3026</v>
      </c>
      <c r="C527" s="67">
        <f t="shared" si="8"/>
        <v>-1.2250533252713525E-2</v>
      </c>
      <c r="D527" s="67">
        <f>(Table1345[[#This Row],[Index]]-B515)/B515</f>
        <v>-1.2911530429682325E-2</v>
      </c>
    </row>
    <row r="528" spans="1:4" x14ac:dyDescent="0.2">
      <c r="A528" s="17">
        <v>42156</v>
      </c>
      <c r="B528" s="59">
        <f>VLOOKUP(Table1345[[#This Row],[Date]],database!A:I,9,)</f>
        <v>101.1622</v>
      </c>
      <c r="C528" s="67">
        <f t="shared" si="8"/>
        <v>8.5700669773265403E-3</v>
      </c>
      <c r="D528" s="67">
        <f>(Table1345[[#This Row],[Index]]-B516)/B516</f>
        <v>1.2442078083247448E-2</v>
      </c>
    </row>
    <row r="529" spans="1:4" x14ac:dyDescent="0.2">
      <c r="A529" s="17">
        <v>42186</v>
      </c>
      <c r="B529" s="59">
        <f>VLOOKUP(Table1345[[#This Row],[Date]],database!A:I,9,)</f>
        <v>100.53870000000001</v>
      </c>
      <c r="C529" s="67">
        <f t="shared" si="8"/>
        <v>-6.1633693217426622E-3</v>
      </c>
      <c r="D529" s="67">
        <f>(Table1345[[#This Row],[Index]]-B517)/B517</f>
        <v>2.874675250922713E-2</v>
      </c>
    </row>
    <row r="530" spans="1:4" x14ac:dyDescent="0.2">
      <c r="A530" s="17">
        <v>42217</v>
      </c>
      <c r="B530" s="59">
        <f>VLOOKUP(Table1345[[#This Row],[Date]],database!A:I,9,)</f>
        <v>100.8438</v>
      </c>
      <c r="C530" s="67">
        <f t="shared" si="8"/>
        <v>3.0346523279094484E-3</v>
      </c>
      <c r="D530" s="67">
        <f>(Table1345[[#This Row],[Index]]-B518)/B518</f>
        <v>2.3286916444526507E-2</v>
      </c>
    </row>
    <row r="531" spans="1:4" x14ac:dyDescent="0.2">
      <c r="A531" s="17">
        <v>42248</v>
      </c>
      <c r="B531" s="59">
        <f>VLOOKUP(Table1345[[#This Row],[Date]],database!A:I,9,)</f>
        <v>101.82810000000001</v>
      </c>
      <c r="C531" s="67">
        <f t="shared" si="8"/>
        <v>9.7606397220255658E-3</v>
      </c>
      <c r="D531" s="67">
        <f>(Table1345[[#This Row],[Index]]-B519)/B519</f>
        <v>1.1501914171224575E-2</v>
      </c>
    </row>
    <row r="532" spans="1:4" x14ac:dyDescent="0.2">
      <c r="A532" s="17">
        <v>42278</v>
      </c>
      <c r="B532" s="59">
        <f>VLOOKUP(Table1345[[#This Row],[Date]],database!A:I,9,)</f>
        <v>100.4087</v>
      </c>
      <c r="C532" s="67">
        <f t="shared" si="8"/>
        <v>-1.3939177889011112E-2</v>
      </c>
      <c r="D532" s="67">
        <f>(Table1345[[#This Row],[Index]]-B520)/B520</f>
        <v>-8.9483029710221203E-3</v>
      </c>
    </row>
    <row r="533" spans="1:4" x14ac:dyDescent="0.2">
      <c r="A533" s="17">
        <v>42309</v>
      </c>
      <c r="B533" s="59">
        <f>VLOOKUP(Table1345[[#This Row],[Date]],database!A:I,9,)</f>
        <v>97.724400000000003</v>
      </c>
      <c r="C533" s="67">
        <f t="shared" si="8"/>
        <v>-2.6733739207857377E-2</v>
      </c>
      <c r="D533" s="67">
        <f>(Table1345[[#This Row],[Index]]-B521)/B521</f>
        <v>-6.3803534049595489E-2</v>
      </c>
    </row>
    <row r="534" spans="1:4" x14ac:dyDescent="0.2">
      <c r="A534" s="17">
        <v>42339</v>
      </c>
      <c r="B534" s="59">
        <f>VLOOKUP(Table1345[[#This Row],[Date]],database!A:I,9,)</f>
        <v>95.655900000000003</v>
      </c>
      <c r="C534" s="67">
        <f t="shared" si="8"/>
        <v>-2.1166668713238468E-2</v>
      </c>
      <c r="D534" s="67">
        <f>(Table1345[[#This Row],[Index]]-B522)/B522</f>
        <v>-5.5021708956735152E-2</v>
      </c>
    </row>
    <row r="535" spans="1:4" x14ac:dyDescent="0.2">
      <c r="A535" s="17">
        <v>42370</v>
      </c>
      <c r="B535" s="59">
        <f>VLOOKUP(Table1345[[#This Row],[Date]],database!A:I,9,)</f>
        <v>99.796800000000005</v>
      </c>
      <c r="C535" s="67">
        <f t="shared" si="8"/>
        <v>4.3289540948336702E-2</v>
      </c>
      <c r="D535" s="67">
        <f>(Table1345[[#This Row],[Index]]-B523)/B523</f>
        <v>-2.5133413500283679E-2</v>
      </c>
    </row>
    <row r="536" spans="1:4" x14ac:dyDescent="0.2">
      <c r="A536" s="17">
        <v>42401</v>
      </c>
      <c r="B536" s="59">
        <f>VLOOKUP(Table1345[[#This Row],[Date]],database!A:I,9,)</f>
        <v>99.523799999999994</v>
      </c>
      <c r="C536" s="67">
        <f t="shared" si="8"/>
        <v>-2.7355586551874866E-3</v>
      </c>
      <c r="D536" s="67">
        <f>(Table1345[[#This Row],[Index]]-B524)/B524</f>
        <v>-7.5173653863130629E-2</v>
      </c>
    </row>
    <row r="537" spans="1:4" x14ac:dyDescent="0.2">
      <c r="A537" s="17">
        <v>42430</v>
      </c>
      <c r="B537" s="59">
        <f>VLOOKUP(Table1345[[#This Row],[Date]],database!A:I,9,)</f>
        <v>95.404300000000006</v>
      </c>
      <c r="C537" s="67">
        <f t="shared" si="8"/>
        <v>-4.1392109224125173E-2</v>
      </c>
      <c r="D537" s="67">
        <f>(Table1345[[#This Row],[Index]]-B525)/B525</f>
        <v>-8.6489462546798471E-2</v>
      </c>
    </row>
    <row r="538" spans="1:4" x14ac:dyDescent="0.2">
      <c r="A538" s="17">
        <v>42461</v>
      </c>
      <c r="B538" s="59">
        <f>VLOOKUP(Table1345[[#This Row],[Date]],database!A:I,9,)</f>
        <v>101.4188</v>
      </c>
      <c r="C538" s="67">
        <f t="shared" si="8"/>
        <v>6.3042231849088637E-2</v>
      </c>
      <c r="D538" s="67">
        <f>(Table1345[[#This Row],[Index]]-B526)/B526</f>
        <v>-1.2585354901098952E-3</v>
      </c>
    </row>
    <row r="539" spans="1:4" x14ac:dyDescent="0.2">
      <c r="A539" s="17">
        <v>42491</v>
      </c>
      <c r="B539" s="59">
        <f>VLOOKUP(Table1345[[#This Row],[Date]],database!A:I,9,)</f>
        <v>99.861599999999996</v>
      </c>
      <c r="C539" s="67">
        <f t="shared" si="8"/>
        <v>-1.5354155245378642E-2</v>
      </c>
      <c r="D539" s="67">
        <f>(Table1345[[#This Row],[Index]]-B527)/B527</f>
        <v>-4.396695599117097E-3</v>
      </c>
    </row>
    <row r="540" spans="1:4" x14ac:dyDescent="0.2">
      <c r="A540" s="17">
        <v>42522</v>
      </c>
      <c r="B540" s="59">
        <f>VLOOKUP(Table1345[[#This Row],[Date]],database!A:I,9,)</f>
        <v>102.8034</v>
      </c>
      <c r="C540" s="67">
        <f t="shared" si="8"/>
        <v>2.9458770938979528E-2</v>
      </c>
      <c r="D540" s="67">
        <f>(Table1345[[#This Row],[Index]]-B528)/B528</f>
        <v>1.6223451051875087E-2</v>
      </c>
    </row>
    <row r="541" spans="1:4" x14ac:dyDescent="0.2">
      <c r="A541" s="17">
        <v>42552</v>
      </c>
      <c r="B541" s="59">
        <f>VLOOKUP(Table1345[[#This Row],[Date]],database!A:I,9,)</f>
        <v>102.9808</v>
      </c>
      <c r="C541" s="67">
        <f t="shared" si="8"/>
        <v>1.7256238606895291E-3</v>
      </c>
      <c r="D541" s="67">
        <f>(Table1345[[#This Row],[Index]]-B529)/B529</f>
        <v>2.4290148967511974E-2</v>
      </c>
    </row>
    <row r="542" spans="1:4" x14ac:dyDescent="0.2">
      <c r="A542" s="17">
        <v>42583</v>
      </c>
      <c r="B542" s="59">
        <f>VLOOKUP(Table1345[[#This Row],[Date]],database!A:I,9,)</f>
        <v>105.042</v>
      </c>
      <c r="C542" s="67">
        <f t="shared" si="8"/>
        <v>2.00153815080093E-2</v>
      </c>
      <c r="D542" s="67">
        <f>(Table1345[[#This Row],[Index]]-B530)/B530</f>
        <v>4.163071998476852E-2</v>
      </c>
    </row>
    <row r="543" spans="1:4" x14ac:dyDescent="0.2">
      <c r="A543" s="17">
        <v>42614</v>
      </c>
      <c r="B543" s="59">
        <f>VLOOKUP(Table1345[[#This Row],[Date]],database!A:I,9,)</f>
        <v>102.5745</v>
      </c>
      <c r="C543" s="67">
        <f t="shared" si="8"/>
        <v>-2.3490603758496653E-2</v>
      </c>
      <c r="D543" s="67">
        <f>(Table1345[[#This Row],[Index]]-B531)/B531</f>
        <v>7.3300002651526851E-3</v>
      </c>
    </row>
    <row r="544" spans="1:4" x14ac:dyDescent="0.2">
      <c r="A544" s="17">
        <v>42644</v>
      </c>
      <c r="B544" s="59">
        <f>VLOOKUP(Table1345[[#This Row],[Date]],database!A:I,9,)</f>
        <v>99.6173</v>
      </c>
      <c r="C544" s="67">
        <f t="shared" si="8"/>
        <v>-2.8829777381317978E-2</v>
      </c>
      <c r="D544" s="67">
        <f>(Table1345[[#This Row],[Index]]-B532)/B532</f>
        <v>-7.8817871359752288E-3</v>
      </c>
    </row>
    <row r="545" spans="1:4" x14ac:dyDescent="0.2">
      <c r="A545" s="17">
        <v>42675</v>
      </c>
      <c r="B545" s="59">
        <f>VLOOKUP(Table1345[[#This Row],[Date]],database!A:I,9,)</f>
        <v>97.071200000000005</v>
      </c>
      <c r="C545" s="67">
        <f t="shared" si="8"/>
        <v>-2.5558813579569017E-2</v>
      </c>
      <c r="D545" s="67">
        <f>(Table1345[[#This Row],[Index]]-B533)/B533</f>
        <v>-6.6841034582969883E-3</v>
      </c>
    </row>
    <row r="546" spans="1:4" x14ac:dyDescent="0.2">
      <c r="A546" s="17">
        <v>42705</v>
      </c>
      <c r="B546" s="59">
        <f>VLOOKUP(Table1345[[#This Row],[Date]],database!A:I,9,)</f>
        <v>103.077</v>
      </c>
      <c r="C546" s="67">
        <f t="shared" si="8"/>
        <v>6.1870050025136125E-2</v>
      </c>
      <c r="D546" s="67">
        <f>(Table1345[[#This Row],[Index]]-B534)/B534</f>
        <v>7.7581205132145489E-2</v>
      </c>
    </row>
    <row r="547" spans="1:4" x14ac:dyDescent="0.2">
      <c r="A547" s="17">
        <v>42736</v>
      </c>
      <c r="B547" s="59">
        <f>VLOOKUP(Table1345[[#This Row],[Date]],database!A:I,9,)</f>
        <v>97.831100000000006</v>
      </c>
      <c r="C547" s="67">
        <f t="shared" si="8"/>
        <v>-5.0893021721625464E-2</v>
      </c>
      <c r="D547" s="67">
        <f>(Table1345[[#This Row],[Index]]-B535)/B535</f>
        <v>-1.9697024353486265E-2</v>
      </c>
    </row>
    <row r="548" spans="1:4" x14ac:dyDescent="0.2">
      <c r="A548" s="17">
        <v>42767</v>
      </c>
      <c r="B548" s="59">
        <f>VLOOKUP(Table1345[[#This Row],[Date]],database!A:I,9,)</f>
        <v>92.947800000000001</v>
      </c>
      <c r="C548" s="67">
        <f t="shared" si="8"/>
        <v>-4.9915619879568052E-2</v>
      </c>
      <c r="D548" s="67">
        <f>(Table1345[[#This Row],[Index]]-B536)/B536</f>
        <v>-6.6074647471258074E-2</v>
      </c>
    </row>
    <row r="549" spans="1:4" x14ac:dyDescent="0.2">
      <c r="A549" s="17">
        <v>42795</v>
      </c>
      <c r="B549" s="59">
        <f>VLOOKUP(Table1345[[#This Row],[Date]],database!A:I,9,)</f>
        <v>99.710800000000006</v>
      </c>
      <c r="C549" s="67">
        <f t="shared" si="8"/>
        <v>7.2761270304407377E-2</v>
      </c>
      <c r="D549" s="67">
        <f>(Table1345[[#This Row],[Index]]-B537)/B537</f>
        <v>4.5139474845473419E-2</v>
      </c>
    </row>
    <row r="550" spans="1:4" x14ac:dyDescent="0.2">
      <c r="A550" s="17">
        <v>42826</v>
      </c>
      <c r="B550" s="59">
        <f>VLOOKUP(Table1345[[#This Row],[Date]],database!A:I,9,)</f>
        <v>99.642399999999995</v>
      </c>
      <c r="C550" s="67">
        <f t="shared" si="8"/>
        <v>-6.8598386533869071E-4</v>
      </c>
      <c r="D550" s="67">
        <f>(Table1345[[#This Row],[Index]]-B538)/B538</f>
        <v>-1.7515490224692162E-2</v>
      </c>
    </row>
    <row r="551" spans="1:4" x14ac:dyDescent="0.2">
      <c r="A551" s="17">
        <v>42856</v>
      </c>
      <c r="B551" s="59">
        <f>VLOOKUP(Table1345[[#This Row],[Date]],database!A:I,9,)</f>
        <v>100.7774</v>
      </c>
      <c r="C551" s="67">
        <f t="shared" si="8"/>
        <v>1.1390733262145458E-2</v>
      </c>
      <c r="D551" s="67">
        <f>(Table1345[[#This Row],[Index]]-B539)/B539</f>
        <v>9.1706922380575158E-3</v>
      </c>
    </row>
    <row r="552" spans="1:4" x14ac:dyDescent="0.2">
      <c r="A552" s="17">
        <v>42887</v>
      </c>
      <c r="B552" s="59">
        <f>VLOOKUP(Table1345[[#This Row],[Date]],database!A:I,9,)</f>
        <v>100.9515</v>
      </c>
      <c r="C552" s="67">
        <f t="shared" si="8"/>
        <v>1.7275698718164367E-3</v>
      </c>
      <c r="D552" s="67">
        <f>(Table1345[[#This Row],[Index]]-B540)/B540</f>
        <v>-1.8013995646058406E-2</v>
      </c>
    </row>
    <row r="553" spans="1:4" x14ac:dyDescent="0.2">
      <c r="A553" s="17">
        <v>42917</v>
      </c>
      <c r="B553" s="59">
        <f>VLOOKUP(Table1345[[#This Row],[Date]],database!A:I,9,)</f>
        <v>101.5258</v>
      </c>
      <c r="C553" s="67">
        <f t="shared" si="8"/>
        <v>5.6888703981616828E-3</v>
      </c>
      <c r="D553" s="67">
        <f>(Table1345[[#This Row],[Index]]-B541)/B541</f>
        <v>-1.4128847319111895E-2</v>
      </c>
    </row>
    <row r="554" spans="1:4" x14ac:dyDescent="0.2">
      <c r="A554" s="17">
        <v>42948</v>
      </c>
      <c r="B554" s="59">
        <f>VLOOKUP(Table1345[[#This Row],[Date]],database!A:I,9,)</f>
        <v>99.749600000000001</v>
      </c>
      <c r="C554" s="67">
        <f t="shared" si="8"/>
        <v>-1.749506036889148E-2</v>
      </c>
      <c r="D554" s="67">
        <f>(Table1345[[#This Row],[Index]]-B542)/B542</f>
        <v>-5.0383656061384972E-2</v>
      </c>
    </row>
    <row r="555" spans="1:4" x14ac:dyDescent="0.2">
      <c r="A555" s="17">
        <v>42979</v>
      </c>
      <c r="B555" s="59">
        <f>VLOOKUP(Table1345[[#This Row],[Date]],database!A:I,9,)</f>
        <v>99.285700000000006</v>
      </c>
      <c r="C555" s="67">
        <f t="shared" si="8"/>
        <v>-4.6506452156198641E-3</v>
      </c>
      <c r="D555" s="67">
        <f>(Table1345[[#This Row],[Index]]-B543)/B543</f>
        <v>-3.2062549659028265E-2</v>
      </c>
    </row>
    <row r="556" spans="1:4" x14ac:dyDescent="0.2">
      <c r="A556" s="17">
        <v>43009</v>
      </c>
      <c r="B556" s="59">
        <f>VLOOKUP(Table1345[[#This Row],[Date]],database!A:I,9,)</f>
        <v>101.4318</v>
      </c>
      <c r="C556" s="67">
        <f t="shared" si="8"/>
        <v>2.1615398793582541E-2</v>
      </c>
      <c r="D556" s="67">
        <f>(Table1345[[#This Row],[Index]]-B544)/B544</f>
        <v>1.8214707686315484E-2</v>
      </c>
    </row>
    <row r="557" spans="1:4" x14ac:dyDescent="0.2">
      <c r="A557" s="17">
        <v>43040</v>
      </c>
      <c r="B557" s="59">
        <f>VLOOKUP(Table1345[[#This Row],[Date]],database!A:I,9,)</f>
        <v>101.2769</v>
      </c>
      <c r="C557" s="67">
        <f t="shared" si="8"/>
        <v>-1.5271344883951432E-3</v>
      </c>
      <c r="D557" s="67">
        <f>(Table1345[[#This Row],[Index]]-B545)/B545</f>
        <v>4.3325929832947287E-2</v>
      </c>
    </row>
    <row r="558" spans="1:4" x14ac:dyDescent="0.2">
      <c r="A558" s="17">
        <v>43070</v>
      </c>
      <c r="B558" s="59">
        <f>VLOOKUP(Table1345[[#This Row],[Date]],database!A:I,9,)</f>
        <v>104.86920000000001</v>
      </c>
      <c r="C558" s="67">
        <f t="shared" si="8"/>
        <v>3.5470082516348755E-2</v>
      </c>
      <c r="D558" s="67">
        <f>(Table1345[[#This Row],[Index]]-B546)/B546</f>
        <v>1.7387001949998624E-2</v>
      </c>
    </row>
    <row r="559" spans="1:4" x14ac:dyDescent="0.2">
      <c r="A559" s="17">
        <v>43101</v>
      </c>
      <c r="B559" s="59">
        <f>VLOOKUP(Table1345[[#This Row],[Date]],database!A:I,9,)</f>
        <v>107.6914</v>
      </c>
      <c r="C559" s="67">
        <f t="shared" si="8"/>
        <v>2.6911619426867039E-2</v>
      </c>
      <c r="D559" s="67">
        <f>(Table1345[[#This Row],[Index]]-B547)/B547</f>
        <v>0.10078901290080551</v>
      </c>
    </row>
    <row r="560" spans="1:4" x14ac:dyDescent="0.2">
      <c r="A560" s="17">
        <v>43132</v>
      </c>
      <c r="B560" s="59">
        <f>VLOOKUP(Table1345[[#This Row],[Date]],database!A:I,9,)</f>
        <v>100.66249999999999</v>
      </c>
      <c r="C560" s="67">
        <f t="shared" si="8"/>
        <v>-6.5268907266504139E-2</v>
      </c>
      <c r="D560" s="67">
        <f>(Table1345[[#This Row],[Index]]-B548)/B548</f>
        <v>8.3000350734498213E-2</v>
      </c>
    </row>
    <row r="561" spans="1:4" x14ac:dyDescent="0.2">
      <c r="A561" s="17">
        <v>43160</v>
      </c>
      <c r="B561" s="59">
        <f>VLOOKUP(Table1345[[#This Row],[Date]],database!A:I,9,)</f>
        <v>103.3884</v>
      </c>
      <c r="C561" s="67">
        <f t="shared" si="8"/>
        <v>2.7079597665466304E-2</v>
      </c>
      <c r="D561" s="67">
        <f>(Table1345[[#This Row],[Index]]-B549)/B549</f>
        <v>3.6882664666214669E-2</v>
      </c>
    </row>
    <row r="562" spans="1:4" x14ac:dyDescent="0.2">
      <c r="A562" s="17">
        <v>43191</v>
      </c>
      <c r="B562" s="59">
        <f>VLOOKUP(Table1345[[#This Row],[Date]],database!A:I,9,)</f>
        <v>107.8539</v>
      </c>
      <c r="C562" s="67">
        <f t="shared" si="8"/>
        <v>4.3191499239759956E-2</v>
      </c>
      <c r="D562" s="67">
        <f>(Table1345[[#This Row],[Index]]-B550)/B550</f>
        <v>8.240969707674646E-2</v>
      </c>
    </row>
    <row r="563" spans="1:4" x14ac:dyDescent="0.2">
      <c r="A563" s="17">
        <v>43221</v>
      </c>
      <c r="B563" s="59">
        <f>VLOOKUP(Table1345[[#This Row],[Date]],database!A:I,9,)</f>
        <v>104.438</v>
      </c>
      <c r="C563" s="67">
        <f t="shared" si="8"/>
        <v>-3.1671548270391647E-2</v>
      </c>
      <c r="D563" s="67">
        <f>(Table1345[[#This Row],[Index]]-B551)/B551</f>
        <v>3.6323620176746001E-2</v>
      </c>
    </row>
    <row r="564" spans="1:4" x14ac:dyDescent="0.2">
      <c r="A564" s="17">
        <v>43252</v>
      </c>
      <c r="B564" s="59">
        <f>VLOOKUP(Table1345[[#This Row],[Date]],database!A:I,9,)</f>
        <v>104.55929999999999</v>
      </c>
      <c r="C564" s="67">
        <f t="shared" si="8"/>
        <v>1.1614546429459249E-3</v>
      </c>
      <c r="D564" s="67">
        <f>(Table1345[[#This Row],[Index]]-B552)/B552</f>
        <v>3.5737953373649697E-2</v>
      </c>
    </row>
    <row r="565" spans="1:4" x14ac:dyDescent="0.2">
      <c r="A565" s="17">
        <v>43282</v>
      </c>
      <c r="B565" s="59">
        <f>VLOOKUP(Table1345[[#This Row],[Date]],database!A:I,9,)</f>
        <v>103.82510000000001</v>
      </c>
      <c r="C565" s="67">
        <f t="shared" si="8"/>
        <v>-7.0218526711635088E-3</v>
      </c>
      <c r="D565" s="67">
        <f>(Table1345[[#This Row],[Index]]-B553)/B553</f>
        <v>2.2647445279919017E-2</v>
      </c>
    </row>
    <row r="566" spans="1:4" x14ac:dyDescent="0.2">
      <c r="A566" s="17">
        <v>43313</v>
      </c>
      <c r="B566" s="59">
        <f>VLOOKUP(Table1345[[#This Row],[Date]],database!A:I,9,)</f>
        <v>104.7383</v>
      </c>
      <c r="C566" s="67">
        <f t="shared" si="8"/>
        <v>8.7955609963292769E-3</v>
      </c>
      <c r="D566" s="67">
        <f>(Table1345[[#This Row],[Index]]-B554)/B554</f>
        <v>5.0012230625486161E-2</v>
      </c>
    </row>
    <row r="567" spans="1:4" x14ac:dyDescent="0.2">
      <c r="A567" s="17">
        <v>43344</v>
      </c>
      <c r="B567" s="59">
        <f>VLOOKUP(Table1345[[#This Row],[Date]],database!A:I,9,)</f>
        <v>104.3374</v>
      </c>
      <c r="C567" s="67">
        <f t="shared" si="8"/>
        <v>-3.827635163068277E-3</v>
      </c>
      <c r="D567" s="67">
        <f>(Table1345[[#This Row],[Index]]-B555)/B555</f>
        <v>5.0880438975602696E-2</v>
      </c>
    </row>
    <row r="568" spans="1:4" x14ac:dyDescent="0.2">
      <c r="A568" s="17">
        <v>43374</v>
      </c>
      <c r="B568" s="59">
        <f>VLOOKUP(Table1345[[#This Row],[Date]],database!A:I,9,)</f>
        <v>106.0998</v>
      </c>
      <c r="C568" s="67">
        <f t="shared" si="8"/>
        <v>1.6891354394493296E-2</v>
      </c>
      <c r="D568" s="67">
        <f>(Table1345[[#This Row],[Index]]-B556)/B556</f>
        <v>4.6021070315226648E-2</v>
      </c>
    </row>
    <row r="569" spans="1:4" x14ac:dyDescent="0.2">
      <c r="A569" s="17">
        <v>43405</v>
      </c>
      <c r="B569" s="59">
        <f>VLOOKUP(Table1345[[#This Row],[Date]],database!A:I,9,)</f>
        <v>107.48569999999999</v>
      </c>
      <c r="C569" s="67">
        <f t="shared" si="8"/>
        <v>1.3062230089029292E-2</v>
      </c>
      <c r="D569" s="67">
        <f>(Table1345[[#This Row],[Index]]-B557)/B557</f>
        <v>6.130519397809369E-2</v>
      </c>
    </row>
    <row r="570" spans="1:4" x14ac:dyDescent="0.2">
      <c r="A570" s="17">
        <v>43435</v>
      </c>
      <c r="B570" s="59">
        <f>VLOOKUP(Table1345[[#This Row],[Date]],database!A:I,9,)</f>
        <v>103.3369</v>
      </c>
      <c r="C570" s="67">
        <f t="shared" si="8"/>
        <v>-3.8598622886579226E-2</v>
      </c>
      <c r="D570" s="67">
        <f>(Table1345[[#This Row],[Index]]-B558)/B558</f>
        <v>-1.4611535131382773E-2</v>
      </c>
    </row>
    <row r="571" spans="1:4" x14ac:dyDescent="0.2">
      <c r="A571" s="17">
        <v>43466</v>
      </c>
      <c r="B571" s="59">
        <f>VLOOKUP(Table1345[[#This Row],[Date]],database!A:I,9,)</f>
        <v>104.4662</v>
      </c>
      <c r="C571" s="67">
        <f t="shared" si="8"/>
        <v>1.092833247368552E-2</v>
      </c>
      <c r="D571" s="67">
        <f>(Table1345[[#This Row],[Index]]-B559)/B559</f>
        <v>-2.9948538137678598E-2</v>
      </c>
    </row>
    <row r="572" spans="1:4" x14ac:dyDescent="0.2">
      <c r="A572" s="17">
        <v>43497</v>
      </c>
      <c r="B572" s="59">
        <f>VLOOKUP(Table1345[[#This Row],[Date]],database!A:I,9,)</f>
        <v>105.15430000000001</v>
      </c>
      <c r="C572" s="67">
        <f t="shared" si="8"/>
        <v>6.5868194688809556E-3</v>
      </c>
      <c r="D572" s="67">
        <f>(Table1345[[#This Row],[Index]]-B560)/B560</f>
        <v>4.4622376754004843E-2</v>
      </c>
    </row>
    <row r="573" spans="1:4" x14ac:dyDescent="0.2">
      <c r="A573" s="17">
        <v>43525</v>
      </c>
      <c r="B573" s="59">
        <f>VLOOKUP(Table1345[[#This Row],[Date]],database!A:I,9,)</f>
        <v>106.0924</v>
      </c>
      <c r="C573" s="67">
        <f t="shared" si="8"/>
        <v>8.9211758339886593E-3</v>
      </c>
      <c r="D573" s="67">
        <f>(Table1345[[#This Row],[Index]]-B561)/B561</f>
        <v>2.6153804488704666E-2</v>
      </c>
    </row>
    <row r="574" spans="1:4" x14ac:dyDescent="0.2">
      <c r="A574" s="17">
        <v>43556</v>
      </c>
      <c r="B574" s="59">
        <f>VLOOKUP(Table1345[[#This Row],[Date]],database!A:I,9,)</f>
        <v>102.9877</v>
      </c>
      <c r="C574" s="67">
        <f t="shared" si="8"/>
        <v>-2.9264113169275019E-2</v>
      </c>
      <c r="D574" s="67">
        <f>(Table1345[[#This Row],[Index]]-B562)/B562</f>
        <v>-4.511844263397051E-2</v>
      </c>
    </row>
    <row r="575" spans="1:4" x14ac:dyDescent="0.2">
      <c r="A575" s="17">
        <v>43586</v>
      </c>
      <c r="B575" s="59">
        <f>VLOOKUP(Table1345[[#This Row],[Date]],database!A:I,9,)</f>
        <v>104.29470000000001</v>
      </c>
      <c r="C575" s="67">
        <f t="shared" si="8"/>
        <v>1.2690835895937003E-2</v>
      </c>
      <c r="D575" s="67">
        <f>(Table1345[[#This Row],[Index]]-B563)/B563</f>
        <v>-1.3721059384514873E-3</v>
      </c>
    </row>
    <row r="576" spans="1:4" x14ac:dyDescent="0.2">
      <c r="A576" s="17">
        <v>43617</v>
      </c>
      <c r="B576" s="59">
        <f>VLOOKUP(Table1345[[#This Row],[Date]],database!A:I,9,)</f>
        <v>101.07129999999999</v>
      </c>
      <c r="C576" s="67">
        <f t="shared" si="8"/>
        <v>-3.0906652015874392E-2</v>
      </c>
      <c r="D576" s="67">
        <f>(Table1345[[#This Row],[Index]]-B564)/B564</f>
        <v>-3.3359060360962631E-2</v>
      </c>
    </row>
    <row r="577" spans="1:4" x14ac:dyDescent="0.2">
      <c r="A577" s="17">
        <v>43647</v>
      </c>
      <c r="B577" s="59">
        <f>VLOOKUP(Table1345[[#This Row],[Date]],database!A:I,9,)</f>
        <v>104.3182</v>
      </c>
      <c r="C577" s="67">
        <f t="shared" si="8"/>
        <v>3.2124846519239414E-2</v>
      </c>
      <c r="D577" s="67">
        <f>(Table1345[[#This Row],[Index]]-B565)/B565</f>
        <v>4.7493332537122358E-3</v>
      </c>
    </row>
    <row r="578" spans="1:4" x14ac:dyDescent="0.2">
      <c r="A578" s="17">
        <v>43678</v>
      </c>
      <c r="B578" s="59">
        <f>VLOOKUP(Table1345[[#This Row],[Date]],database!A:I,9,)</f>
        <v>103.274</v>
      </c>
      <c r="C578" s="67">
        <f t="shared" si="8"/>
        <v>-1.0009758603963692E-2</v>
      </c>
      <c r="D578" s="67">
        <f>(Table1345[[#This Row],[Index]]-B566)/B566</f>
        <v>-1.3980559165080916E-2</v>
      </c>
    </row>
    <row r="579" spans="1:4" x14ac:dyDescent="0.2">
      <c r="A579" s="17">
        <v>43709</v>
      </c>
      <c r="B579" s="59">
        <f>VLOOKUP(Table1345[[#This Row],[Date]],database!A:I,9,)</f>
        <v>105.05</v>
      </c>
      <c r="C579" s="67">
        <f t="shared" si="8"/>
        <v>1.7196971164087804E-2</v>
      </c>
      <c r="D579" s="67">
        <f>(Table1345[[#This Row],[Index]]-B567)/B567</f>
        <v>6.8297657407602142E-3</v>
      </c>
    </row>
    <row r="580" spans="1:4" x14ac:dyDescent="0.2">
      <c r="A580" s="17">
        <v>43739</v>
      </c>
      <c r="B580" s="59">
        <f>VLOOKUP(Table1345[[#This Row],[Date]],database!A:I,9,)</f>
        <v>103.9808</v>
      </c>
      <c r="C580" s="67">
        <f t="shared" si="8"/>
        <v>-1.0178010471204146E-2</v>
      </c>
      <c r="D580" s="67">
        <f>(Table1345[[#This Row],[Index]]-B568)/B568</f>
        <v>-1.997176243499045E-2</v>
      </c>
    </row>
    <row r="581" spans="1:4" x14ac:dyDescent="0.2">
      <c r="A581" s="17">
        <v>43770</v>
      </c>
      <c r="B581" s="59">
        <f>VLOOKUP(Table1345[[#This Row],[Date]],database!A:I,9,)</f>
        <v>104.9438</v>
      </c>
      <c r="C581" s="67">
        <f t="shared" si="8"/>
        <v>9.2613251677231556E-3</v>
      </c>
      <c r="D581" s="67">
        <f>(Table1345[[#This Row],[Index]]-B569)/B569</f>
        <v>-2.3648727226040285E-2</v>
      </c>
    </row>
    <row r="582" spans="1:4" x14ac:dyDescent="0.2">
      <c r="A582" s="17">
        <v>43800</v>
      </c>
      <c r="B582" s="59">
        <f>VLOOKUP(Table1345[[#This Row],[Date]],database!A:I,9,)</f>
        <v>102.5188</v>
      </c>
      <c r="C582" s="67">
        <f t="shared" si="8"/>
        <v>-2.3107606166348105E-2</v>
      </c>
      <c r="D582" s="67">
        <f>(Table1345[[#This Row],[Index]]-B570)/B570</f>
        <v>-7.9168235160915531E-3</v>
      </c>
    </row>
    <row r="583" spans="1:4" x14ac:dyDescent="0.2">
      <c r="A583" s="17">
        <v>43831</v>
      </c>
      <c r="B583" s="59">
        <f>VLOOKUP(Table1345[[#This Row],[Date]],database!A:I,9,)</f>
        <v>99.0595</v>
      </c>
      <c r="C583" s="67">
        <f t="shared" si="8"/>
        <v>-3.3743079318134805E-2</v>
      </c>
      <c r="D583" s="67">
        <f>(Table1345[[#This Row],[Index]]-B571)/B571</f>
        <v>-5.1755496036038455E-2</v>
      </c>
    </row>
    <row r="584" spans="1:4" x14ac:dyDescent="0.2">
      <c r="A584" s="17">
        <v>43862</v>
      </c>
      <c r="B584" s="59">
        <f>VLOOKUP(Table1345[[#This Row],[Date]],database!A:I,9,)</f>
        <v>102.0314</v>
      </c>
      <c r="C584" s="67">
        <f t="shared" ref="C584:C647" si="9">B584/B583-1</f>
        <v>3.0001160918437852E-2</v>
      </c>
      <c r="D584" s="67">
        <f>(Table1345[[#This Row],[Index]]-B572)/B572</f>
        <v>-2.9698262458121075E-2</v>
      </c>
    </row>
    <row r="585" spans="1:4" x14ac:dyDescent="0.2">
      <c r="A585" s="17">
        <v>43891</v>
      </c>
      <c r="B585" s="59">
        <f>VLOOKUP(Table1345[[#This Row],[Date]],database!A:I,9,)</f>
        <v>98.553700000000006</v>
      </c>
      <c r="C585" s="67">
        <f t="shared" si="9"/>
        <v>-3.4084605327379558E-2</v>
      </c>
      <c r="D585" s="67">
        <f>(Table1345[[#This Row],[Index]]-B573)/B573</f>
        <v>-7.1057870309277502E-2</v>
      </c>
    </row>
    <row r="586" spans="1:4" x14ac:dyDescent="0.2">
      <c r="A586" s="17">
        <v>43922</v>
      </c>
      <c r="B586" s="59">
        <f>VLOOKUP(Table1345[[#This Row],[Date]],database!A:I,9,)</f>
        <v>100.4235</v>
      </c>
      <c r="C586" s="67">
        <f t="shared" si="9"/>
        <v>1.8972397789225548E-2</v>
      </c>
      <c r="D586" s="67">
        <f>(Table1345[[#This Row],[Index]]-B574)/B574</f>
        <v>-2.4898118901577563E-2</v>
      </c>
    </row>
    <row r="587" spans="1:4" x14ac:dyDescent="0.2">
      <c r="A587" s="17">
        <v>43952</v>
      </c>
      <c r="B587" s="59">
        <f>VLOOKUP(Table1345[[#This Row],[Date]],database!A:I,9,)</f>
        <v>98.558199999999999</v>
      </c>
      <c r="C587" s="67">
        <f t="shared" si="9"/>
        <v>-1.8574337679925557E-2</v>
      </c>
      <c r="D587" s="67">
        <f>(Table1345[[#This Row],[Index]]-B575)/B575</f>
        <v>-5.5002794964653108E-2</v>
      </c>
    </row>
    <row r="588" spans="1:4" x14ac:dyDescent="0.2">
      <c r="A588" s="17">
        <v>43983</v>
      </c>
      <c r="B588" s="59">
        <f>VLOOKUP(Table1345[[#This Row],[Date]],database!A:I,9,)</f>
        <v>100.9439</v>
      </c>
      <c r="C588" s="67">
        <f t="shared" si="9"/>
        <v>2.4206002138837723E-2</v>
      </c>
      <c r="D588" s="67">
        <f>(Table1345[[#This Row],[Index]]-B576)/B576</f>
        <v>-1.2604963031047826E-3</v>
      </c>
    </row>
    <row r="589" spans="1:4" x14ac:dyDescent="0.2">
      <c r="A589" s="17">
        <v>44013</v>
      </c>
      <c r="B589" s="59">
        <f>VLOOKUP(Table1345[[#This Row],[Date]],database!A:I,9,)</f>
        <v>105.1296</v>
      </c>
      <c r="C589" s="67">
        <f t="shared" si="9"/>
        <v>4.1465606143610501E-2</v>
      </c>
      <c r="D589" s="67">
        <f>(Table1345[[#This Row],[Index]]-B577)/B577</f>
        <v>7.7781250059912061E-3</v>
      </c>
    </row>
    <row r="590" spans="1:4" x14ac:dyDescent="0.2">
      <c r="A590" s="17">
        <v>44044</v>
      </c>
      <c r="B590" s="59">
        <f>VLOOKUP(Table1345[[#This Row],[Date]],database!A:I,9,)</f>
        <v>102.5446</v>
      </c>
      <c r="C590" s="67">
        <f t="shared" si="9"/>
        <v>-2.458869814020026E-2</v>
      </c>
      <c r="D590" s="67">
        <f>(Table1345[[#This Row],[Index]]-B578)/B578</f>
        <v>-7.0627650715571998E-3</v>
      </c>
    </row>
    <row r="591" spans="1:4" x14ac:dyDescent="0.2">
      <c r="A591" s="17">
        <v>44075</v>
      </c>
      <c r="B591" s="59">
        <f>VLOOKUP(Table1345[[#This Row],[Date]],database!A:I,9,)</f>
        <v>100.7128</v>
      </c>
      <c r="C591" s="67">
        <f t="shared" si="9"/>
        <v>-1.7863446734396549E-2</v>
      </c>
      <c r="D591" s="67">
        <f>(Table1345[[#This Row],[Index]]-B579)/B579</f>
        <v>-4.1287006187529708E-2</v>
      </c>
    </row>
    <row r="592" spans="1:4" x14ac:dyDescent="0.2">
      <c r="A592" s="17">
        <v>44105</v>
      </c>
      <c r="B592" s="59">
        <f>VLOOKUP(Table1345[[#This Row],[Date]],database!A:I,9,)</f>
        <v>101.452</v>
      </c>
      <c r="C592" s="67">
        <f t="shared" si="9"/>
        <v>7.3396827414191623E-3</v>
      </c>
      <c r="D592" s="67">
        <f>(Table1345[[#This Row],[Index]]-B580)/B580</f>
        <v>-2.4319874438357886E-2</v>
      </c>
    </row>
    <row r="593" spans="1:4" x14ac:dyDescent="0.2">
      <c r="A593" s="17">
        <v>44136</v>
      </c>
      <c r="B593" s="59">
        <f>VLOOKUP(Table1345[[#This Row],[Date]],database!A:I,9,)</f>
        <v>97.662800000000004</v>
      </c>
      <c r="C593" s="67">
        <f t="shared" si="9"/>
        <v>-3.7349682608524115E-2</v>
      </c>
      <c r="D593" s="67">
        <f>(Table1345[[#This Row],[Index]]-B581)/B581</f>
        <v>-6.9379991957600085E-2</v>
      </c>
    </row>
    <row r="594" spans="1:4" x14ac:dyDescent="0.2">
      <c r="A594" s="17">
        <v>44166</v>
      </c>
      <c r="B594" s="59">
        <f>VLOOKUP(Table1345[[#This Row],[Date]],database!A:I,9,)</f>
        <v>104.5528</v>
      </c>
      <c r="C594" s="67">
        <f t="shared" si="9"/>
        <v>7.054886814631578E-2</v>
      </c>
      <c r="D594" s="67">
        <f>(Table1345[[#This Row],[Index]]-B582)/B582</f>
        <v>1.9840263444363435E-2</v>
      </c>
    </row>
    <row r="595" spans="1:4" x14ac:dyDescent="0.2">
      <c r="A595" s="17">
        <v>44197</v>
      </c>
      <c r="B595" s="59">
        <f>VLOOKUP(Table1345[[#This Row],[Date]],database!A:I,9,)</f>
        <v>101.7159</v>
      </c>
      <c r="C595" s="67">
        <f t="shared" si="9"/>
        <v>-2.7133658782930725E-2</v>
      </c>
      <c r="D595" s="67">
        <f>(Table1345[[#This Row],[Index]]-B583)/B583</f>
        <v>2.6816206421393252E-2</v>
      </c>
    </row>
    <row r="596" spans="1:4" x14ac:dyDescent="0.2">
      <c r="A596" s="17">
        <v>44228</v>
      </c>
      <c r="B596" s="59">
        <f>VLOOKUP(Table1345[[#This Row],[Date]],database!A:I,9,)</f>
        <v>108.2527</v>
      </c>
      <c r="C596" s="67">
        <f t="shared" si="9"/>
        <v>6.4265272194415912E-2</v>
      </c>
      <c r="D596" s="67">
        <f>(Table1345[[#This Row],[Index]]-B584)/B584</f>
        <v>6.0974366714560413E-2</v>
      </c>
    </row>
    <row r="597" spans="1:4" x14ac:dyDescent="0.2">
      <c r="A597" s="17">
        <v>44256</v>
      </c>
      <c r="B597" s="59">
        <f>VLOOKUP(Table1345[[#This Row],[Date]],database!A:I,9,)</f>
        <v>99.933800000000005</v>
      </c>
      <c r="C597" s="67">
        <f t="shared" si="9"/>
        <v>-7.6847043999826337E-2</v>
      </c>
      <c r="D597" s="67">
        <f>(Table1345[[#This Row],[Index]]-B585)/B585</f>
        <v>1.4003533099213917E-2</v>
      </c>
    </row>
    <row r="598" spans="1:4" x14ac:dyDescent="0.2">
      <c r="A598" s="17">
        <v>44287</v>
      </c>
      <c r="B598" s="59">
        <f>VLOOKUP(Table1345[[#This Row],[Date]],database!A:I,9,)</f>
        <v>102.10599999999999</v>
      </c>
      <c r="C598" s="67">
        <f t="shared" si="9"/>
        <v>2.1736389489842134E-2</v>
      </c>
      <c r="D598" s="67">
        <f>(Table1345[[#This Row],[Index]]-B586)/B586</f>
        <v>1.6754046612595559E-2</v>
      </c>
    </row>
    <row r="599" spans="1:4" x14ac:dyDescent="0.2">
      <c r="A599" s="17">
        <v>44317</v>
      </c>
      <c r="B599" s="59">
        <f>VLOOKUP(Table1345[[#This Row],[Date]],database!A:I,9,)</f>
        <v>101.57940000000001</v>
      </c>
      <c r="C599" s="67">
        <f t="shared" si="9"/>
        <v>-5.1573854621665971E-3</v>
      </c>
      <c r="D599" s="67">
        <f>(Table1345[[#This Row],[Index]]-B587)/B587</f>
        <v>3.0653968923945521E-2</v>
      </c>
    </row>
    <row r="600" spans="1:4" x14ac:dyDescent="0.2">
      <c r="A600" s="17">
        <v>44348</v>
      </c>
      <c r="B600" s="59">
        <f>VLOOKUP(Table1345[[#This Row],[Date]],database!A:I,9,)</f>
        <v>105.8571</v>
      </c>
      <c r="C600" s="67">
        <f t="shared" si="9"/>
        <v>4.211188489004658E-2</v>
      </c>
      <c r="D600" s="67">
        <f>(Table1345[[#This Row],[Index]]-B588)/B588</f>
        <v>4.8672579521892884E-2</v>
      </c>
    </row>
    <row r="601" spans="1:4" x14ac:dyDescent="0.2">
      <c r="A601" s="17">
        <v>44378</v>
      </c>
      <c r="B601" s="59">
        <f>VLOOKUP(Table1345[[#This Row],[Date]],database!A:I,9,)</f>
        <v>103.5836</v>
      </c>
      <c r="C601" s="67">
        <f t="shared" si="9"/>
        <v>-2.1477066724858274E-2</v>
      </c>
      <c r="D601" s="67">
        <f>(Table1345[[#This Row],[Index]]-B589)/B589</f>
        <v>-1.4705658539554915E-2</v>
      </c>
    </row>
    <row r="602" spans="1:4" x14ac:dyDescent="0.2">
      <c r="A602" s="17">
        <v>44409</v>
      </c>
      <c r="B602" s="59">
        <f>VLOOKUP(Table1345[[#This Row],[Date]],database!A:I,9,)</f>
        <v>105.2512</v>
      </c>
      <c r="C602" s="67">
        <f t="shared" si="9"/>
        <v>1.6099073598523361E-2</v>
      </c>
      <c r="D602" s="67">
        <f>(Table1345[[#This Row],[Index]]-B590)/B590</f>
        <v>2.6394368889244235E-2</v>
      </c>
    </row>
    <row r="603" spans="1:4" x14ac:dyDescent="0.2">
      <c r="A603" s="17">
        <v>44440</v>
      </c>
      <c r="B603" s="59">
        <f>VLOOKUP(Table1345[[#This Row],[Date]],database!A:I,9,)</f>
        <v>103.3258</v>
      </c>
      <c r="C603" s="67">
        <f t="shared" si="9"/>
        <v>-1.8293378127755333E-2</v>
      </c>
      <c r="D603" s="67">
        <f>(Table1345[[#This Row],[Index]]-B591)/B591</f>
        <v>2.5945063586753615E-2</v>
      </c>
    </row>
    <row r="604" spans="1:4" x14ac:dyDescent="0.2">
      <c r="A604" s="17">
        <v>44470</v>
      </c>
      <c r="B604" s="59">
        <f>VLOOKUP(Table1345[[#This Row],[Date]],database!A:I,9,)</f>
        <v>100.4297</v>
      </c>
      <c r="C604" s="67">
        <f t="shared" si="9"/>
        <v>-2.8028817584765942E-2</v>
      </c>
      <c r="D604" s="67">
        <f>(Table1345[[#This Row],[Index]]-B592)/B592</f>
        <v>-1.007668651184798E-2</v>
      </c>
    </row>
    <row r="605" spans="1:4" x14ac:dyDescent="0.2">
      <c r="A605" s="17">
        <v>44501</v>
      </c>
      <c r="B605" s="59">
        <f>VLOOKUP(Table1345[[#This Row],[Date]],database!A:I,9,)</f>
        <v>101.8721</v>
      </c>
      <c r="C605" s="67">
        <f t="shared" si="9"/>
        <v>1.4362285260236751E-2</v>
      </c>
      <c r="D605" s="67">
        <f>(Table1345[[#This Row],[Index]]-B593)/B593</f>
        <v>4.310034117391677E-2</v>
      </c>
    </row>
    <row r="606" spans="1:4" x14ac:dyDescent="0.2">
      <c r="A606" s="17">
        <v>44531</v>
      </c>
      <c r="B606" s="59">
        <f>VLOOKUP(Table1345[[#This Row],[Date]],database!A:I,9,)</f>
        <v>100.4218</v>
      </c>
      <c r="C606" s="67">
        <f t="shared" si="9"/>
        <v>-1.4236478878907999E-2</v>
      </c>
      <c r="D606" s="67">
        <f>(Table1345[[#This Row],[Index]]-B594)/B594</f>
        <v>-3.9511136956638181E-2</v>
      </c>
    </row>
    <row r="607" spans="1:4" x14ac:dyDescent="0.2">
      <c r="A607" s="17">
        <v>44562</v>
      </c>
      <c r="B607" s="59">
        <f>VLOOKUP(Table1345[[#This Row],[Date]],database!A:I,9,)</f>
        <v>108.3532</v>
      </c>
      <c r="C607" s="67">
        <f t="shared" si="9"/>
        <v>7.8980858737843773E-2</v>
      </c>
      <c r="D607" s="67">
        <f>(Table1345[[#This Row],[Index]]-B595)/B595</f>
        <v>6.5253318311099803E-2</v>
      </c>
    </row>
    <row r="608" spans="1:4" x14ac:dyDescent="0.2">
      <c r="A608" s="17">
        <v>44593</v>
      </c>
      <c r="B608" s="59">
        <f>VLOOKUP(Table1345[[#This Row],[Date]],database!A:I,9,)</f>
        <v>107.48439999999999</v>
      </c>
      <c r="C608" s="67">
        <f t="shared" si="9"/>
        <v>-8.0182218891551305E-3</v>
      </c>
      <c r="D608" s="67">
        <f>(Table1345[[#This Row],[Index]]-B596)/B596</f>
        <v>-7.0972825620054802E-3</v>
      </c>
    </row>
    <row r="609" spans="1:4" x14ac:dyDescent="0.2">
      <c r="A609" s="17">
        <v>44621</v>
      </c>
      <c r="B609" s="59">
        <f>VLOOKUP(Table1345[[#This Row],[Date]],database!A:I,9,)</f>
        <v>103.10420000000001</v>
      </c>
      <c r="C609" s="67">
        <f t="shared" si="9"/>
        <v>-4.0751960284469035E-2</v>
      </c>
      <c r="D609" s="67">
        <f>(Table1345[[#This Row],[Index]]-B597)/B597</f>
        <v>3.1725001951291763E-2</v>
      </c>
    </row>
    <row r="610" spans="1:4" x14ac:dyDescent="0.2">
      <c r="A610" s="17">
        <v>44652</v>
      </c>
      <c r="B610" s="59">
        <f>VLOOKUP(Table1345[[#This Row],[Date]],database!A:I,9,)</f>
        <v>106.7777</v>
      </c>
      <c r="C610" s="67">
        <f t="shared" si="9"/>
        <v>3.5629004444047707E-2</v>
      </c>
      <c r="D610" s="67">
        <f>(Table1345[[#This Row],[Index]]-B598)/B598</f>
        <v>4.5753432707186667E-2</v>
      </c>
    </row>
    <row r="611" spans="1:4" x14ac:dyDescent="0.2">
      <c r="A611" s="17">
        <v>44682</v>
      </c>
      <c r="B611" s="59">
        <f>VLOOKUP(Table1345[[#This Row],[Date]],database!A:I,9,)</f>
        <v>107.04430000000001</v>
      </c>
      <c r="C611" s="67">
        <f t="shared" si="9"/>
        <v>2.4967760122198701E-3</v>
      </c>
      <c r="D611" s="67">
        <f>(Table1345[[#This Row],[Index]]-B599)/B599</f>
        <v>5.379929395133265E-2</v>
      </c>
    </row>
    <row r="612" spans="1:4" x14ac:dyDescent="0.2">
      <c r="A612" s="17">
        <v>44713</v>
      </c>
      <c r="B612" s="59">
        <f>VLOOKUP(Table1345[[#This Row],[Date]],database!A:I,9,)</f>
        <v>107.36790000000001</v>
      </c>
      <c r="C612" s="67">
        <f t="shared" si="9"/>
        <v>3.0230474672634511E-3</v>
      </c>
      <c r="D612" s="67">
        <f>(Table1345[[#This Row],[Index]]-B600)/B600</f>
        <v>1.4272070555494183E-2</v>
      </c>
    </row>
    <row r="613" spans="1:4" x14ac:dyDescent="0.2">
      <c r="A613" s="17">
        <v>44743</v>
      </c>
      <c r="B613" s="59">
        <f>VLOOKUP(Table1345[[#This Row],[Date]],database!A:I,9,)</f>
        <v>106.0779</v>
      </c>
      <c r="C613" s="67">
        <f t="shared" si="9"/>
        <v>-1.2014764189296812E-2</v>
      </c>
      <c r="D613" s="67">
        <f>(Table1345[[#This Row],[Index]]-B601)/B601</f>
        <v>2.4080066728709906E-2</v>
      </c>
    </row>
    <row r="614" spans="1:4" x14ac:dyDescent="0.2">
      <c r="A614" s="17">
        <v>44774</v>
      </c>
      <c r="B614" s="59">
        <f>VLOOKUP(Table1345[[#This Row],[Date]],database!A:I,9,)</f>
        <v>103.598</v>
      </c>
      <c r="C614" s="67">
        <f t="shared" si="9"/>
        <v>-2.3378102319144722E-2</v>
      </c>
      <c r="D614" s="67">
        <f>(Table1345[[#This Row],[Index]]-B602)/B602</f>
        <v>-1.5707184336140569E-2</v>
      </c>
    </row>
  </sheetData>
  <conditionalFormatting sqref="D463:D61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2022-10-08T02:50:00Z</dcterms:modified>
</cp:coreProperties>
</file>