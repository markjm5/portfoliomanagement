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360" yWindow="640" windowWidth="49400" windowHeight="2754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102.9981</v>
                </pt>
                <pt idx="266">
                  <v>103.7286</v>
                </pt>
                <pt idx="267">
                  <v>104.5224</v>
                </pt>
                <pt idx="268">
                  <v>104.5729</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start'!$B$1099:$B$1248</f>
              <numCache>
                <formatCode>General</formatCode>
                <ptCount val="150"/>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102.9981</v>
                </pt>
                <pt idx="146">
                  <v>103.7286</v>
                </pt>
                <pt idx="147">
                  <v>104.5224</v>
                </pt>
                <pt idx="148">
                  <v>104.5729</v>
                </pt>
                <pt idx="149">
                  <v>104.3648</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start'!$C$1099:$C$1248</f>
              <numCache>
                <formatCode>0.00%</formatCode>
                <ptCount val="150"/>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0.07040928841411252</v>
                </pt>
                <pt idx="146">
                  <v>0.04922513278597159</v>
                </pt>
                <pt idx="147">
                  <v>0.05551953756945242</v>
                </pt>
                <pt idx="148">
                  <v>0.04805043170622941</v>
                </pt>
                <pt idx="149">
                  <v>0.04164491682494562</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'Industrial Production'!$B$8:$B$614</f>
              <numCache>
                <formatCode>0.0</formatCode>
                <ptCount val="607"/>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102.9981</v>
                </pt>
                <pt idx="601">
                  <v>103.7286</v>
                </pt>
                <pt idx="602">
                  <v>104.5224</v>
                </pt>
                <pt idx="603">
                  <v>104.5729</v>
                </pt>
                <pt idx="604">
                  <v>104.3648</v>
                </pt>
              </numCache>
            </numRef>
          </val>
          <smooth val="0"/>
        </ser>
        <dLbls>
          <showLegendKey val="0"/>
          <showVal val="0"/>
          <showCatName val="0"/>
          <showSerName val="0"/>
          <showPercent val="0"/>
          <showBubbleSize val="0"/>
        </dLbls>
        <smooth val="0"/>
        <axId val="489545072"/>
        <axId val="489545464"/>
      </lineChart>
      <dateAx>
        <axId val="489545072"/>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Production'!$A$343:$A$613</f>
              <numCache>
                <formatCode>mmm\-yy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Production'!$B$343:$B$613</f>
              <numCache>
                <formatCode>0.0</formatCode>
                <ptCount val="271"/>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102.9981</v>
                </pt>
                <pt idx="266">
                  <v>103.7286</v>
                </pt>
                <pt idx="267">
                  <v>104.5224</v>
                </pt>
                <pt idx="268">
                  <v>104.5729</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'Industrial Production'!$D$20:$D$614</f>
              <numCache>
                <formatCode>0.0%</formatCode>
                <ptCount val="595"/>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0.07040928841411252</v>
                </pt>
                <pt idx="589">
                  <v>0.04922513278597159</v>
                </pt>
                <pt idx="590">
                  <v>0.05551953756945242</v>
                </pt>
                <pt idx="591">
                  <v>0.04805043170622941</v>
                </pt>
                <pt idx="592">
                  <v>0.04164491682494562</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Production'!$D$343:$D$615</f>
              <numCache>
                <formatCode>0.0%</formatCode>
                <ptCount val="273"/>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0.07040928841411252</v>
                </pt>
                <pt idx="266">
                  <v>0.04922513278597159</v>
                </pt>
                <pt idx="267">
                  <v>0.05551953756945242</v>
                </pt>
                <pt idx="268">
                  <v>0.04805043170622941</v>
                </pt>
                <pt idx="269">
                  <v>0.04164491682494562</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102.9981</v>
                </pt>
                <pt idx="1238">
                  <v>103.7286</v>
                </pt>
                <pt idx="1239">
                  <v>104.5224</v>
                </pt>
                <pt idx="1240">
                  <v>104.5729</v>
                </pt>
                <pt idx="1241">
                  <v>104.3648</v>
                </pt>
              </numCache>
            </numRef>
          </val>
          <smooth val="0"/>
        </ser>
        <dLbls>
          <showLegendKey val="0"/>
          <showVal val="0"/>
          <showCatName val="0"/>
          <showSerName val="0"/>
          <showPercent val="0"/>
          <showBubbleSize val="0"/>
        </dLbls>
        <smooth val="0"/>
        <axId val="699395760"/>
        <axId val="699395432"/>
      </lineChart>
      <dateAx>
        <axId val="699395760"/>
        <scaling>
          <orientation val="minMax"/>
          <max val="4471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Utilization'!$B$6:$B$671</f>
              <numCache>
                <formatCode>0.00</formatCode>
                <ptCount val="666"/>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79.49120000000001</v>
                </pt>
                <pt idx="662">
                  <v>79.9363</v>
                </pt>
                <pt idx="663">
                  <v>80.422</v>
                </pt>
                <pt idx="664">
                  <v>80.3335</v>
                </pt>
                <pt idx="665">
                  <v>80.04900000000001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Utilization'!$C$6:$C$671</f>
              <numCache>
                <formatCode>General</formatCode>
                <ptCount val="666"/>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0.0809728718428437</v>
                </pt>
                <pt idx="663">
                  <formatCode>0.0%</formatCode>
                  <v>0.08586046511627911</v>
                </pt>
                <pt idx="664">
                  <formatCode>0.0%</formatCode>
                  <v>0.08818223866790009</v>
                </pt>
                <pt idx="665">
                  <formatCode>0.0%</formatCode>
                  <v>0.08805236564079014</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0.0809728718428437</v>
                </pt>
                <pt idx="567">
                  <v>0.08586046511627911</v>
                </pt>
                <pt idx="568">
                  <v>0.08818223866790009</v>
                </pt>
                <pt idx="569">
                  <v>0.08805236564079014</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79.49120000000001</v>
                </pt>
                <pt idx="566">
                  <v>79.9363</v>
                </pt>
                <pt idx="567">
                  <v>80.422</v>
                </pt>
                <pt idx="568">
                  <v>80.3335</v>
                </pt>
                <pt idx="569">
                  <v>80.04900000000001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102.4791</v>
                </pt>
                <pt idx="601">
                  <v>103.6036</v>
                </pt>
                <pt idx="602">
                  <v>103.9427</v>
                </pt>
                <pt idx="603">
                  <v>104.4394</v>
                </pt>
                <pt idx="604">
                  <v>104.4942</v>
                </pt>
              </numCache>
            </numRef>
          </val>
          <smooth val="0"/>
        </ser>
        <dLbls>
          <showLegendKey val="0"/>
          <showVal val="0"/>
          <showCatName val="0"/>
          <showSerName val="0"/>
          <showPercent val="0"/>
          <showBubbleSize val="0"/>
        </dLbls>
        <smooth val="0"/>
        <axId val="494113096"/>
        <axId val="494113488"/>
      </lineChart>
      <dateAx>
        <axId val="494113096"/>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Materials!$D$20:$D$612</f>
              <numCache>
                <formatCode>0.0%</formatCode>
                <ptCount val="593"/>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0.08689625182953992</v>
                </pt>
                <pt idx="589">
                  <v>0.05726050463045634</v>
                </pt>
                <pt idx="590">
                  <v>0.04991777844219445</v>
                </pt>
                <pt idx="591">
                  <v>0.04545723000291296</v>
                </pt>
                <pt idx="592">
                  <v>0.03591811728037077</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Materials!$D$463:$D$612</f>
              <numCache>
                <formatCode>0.0%</formatCode>
                <ptCount val="150"/>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0.08689625182953992</v>
                </pt>
                <pt idx="146">
                  <v>0.05726050463045634</v>
                </pt>
                <pt idx="147">
                  <v>0.04991777844219445</v>
                </pt>
                <pt idx="148">
                  <v>0.04545723000291296</v>
                </pt>
                <pt idx="149">
                  <v>0.03591811728037077</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Materials!$B$463:$B$612</f>
              <numCache>
                <formatCode>0.0</formatCode>
                <ptCount val="150"/>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102.4791</v>
                </pt>
                <pt idx="146">
                  <v>103.6036</v>
                </pt>
                <pt idx="147">
                  <v>103.9427</v>
                </pt>
                <pt idx="148">
                  <v>104.4394</v>
                </pt>
                <pt idx="149">
                  <v>104.4942</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Goods'!$B$20:$B$612</f>
              <numCache>
                <formatCode>0.0</formatCode>
                <ptCount val="593"/>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104.4925</v>
                </pt>
                <pt idx="589">
                  <v>104.7319</v>
                </pt>
                <pt idx="590">
                  <v>106.2488</v>
                </pt>
                <pt idx="591">
                  <v>105.5403</v>
                </pt>
                <pt idx="592">
                  <v>104.7529</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Goods'!$B$463:$B$612</f>
              <numCache>
                <formatCode>0.0</formatCode>
                <ptCount val="150"/>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104.4925</v>
                </pt>
                <pt idx="146">
                  <v>104.7319</v>
                </pt>
                <pt idx="147">
                  <v>106.2488</v>
                </pt>
                <pt idx="148">
                  <v>105.5403</v>
                </pt>
                <pt idx="149">
                  <v>104.7529</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Goods'!$D$20:$D$612</f>
              <numCache>
                <formatCode>0.0%</formatCode>
                <ptCount val="593"/>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0.03506599638443829</v>
                </pt>
                <pt idx="589">
                  <v>0.02492440182022796</v>
                </pt>
                <pt idx="590">
                  <v>0.0449988984357789</v>
                </pt>
                <pt idx="591">
                  <v>0.03244453096493287</v>
                </pt>
                <pt idx="592">
                  <v>0.02565988003783331</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Goods'!$D$463:$D$612</f>
              <numCache>
                <formatCode>0.0%</formatCode>
                <ptCount val="150"/>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0.03506599638443829</v>
                </pt>
                <pt idx="146">
                  <v>0.02492440182022796</v>
                </pt>
                <pt idx="147">
                  <v>0.0449988984357789</v>
                </pt>
                <pt idx="148">
                  <v>0.03244453096493287</v>
                </pt>
                <pt idx="149">
                  <v>0.02565988003783331</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Equipment'!$B$20:$B$612</f>
              <numCache>
                <formatCode>0.0</formatCode>
                <ptCount val="593"/>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95.3784</v>
                </pt>
                <pt idx="589">
                  <v>96.5775</v>
                </pt>
                <pt idx="590">
                  <v>97.6619</v>
                </pt>
                <pt idx="591">
                  <v>97.212</v>
                </pt>
                <pt idx="592">
                  <v>97.2719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Equipment'!$B$463:$B$612</f>
              <numCache>
                <formatCode>0.0</formatCode>
                <ptCount val="150"/>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95.3784</v>
                </pt>
                <pt idx="146">
                  <v>96.5775</v>
                </pt>
                <pt idx="147">
                  <v>97.6619</v>
                </pt>
                <pt idx="148">
                  <v>97.212</v>
                </pt>
                <pt idx="149">
                  <v>97.2719</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Equipment'!$D$20:$D$612</f>
              <numCache>
                <formatCode>0.0%</formatCode>
                <ptCount val="593"/>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0.08261398114190564</v>
                </pt>
                <pt idx="589">
                  <v>0.06793706328503643</v>
                </pt>
                <pt idx="590">
                  <v>0.09482016420861948</v>
                </pt>
                <pt idx="591">
                  <v>0.06925779350913044</v>
                </pt>
                <pt idx="592">
                  <v>0.07891318839406232</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Equipment'!$D$463:$D$612</f>
              <numCache>
                <formatCode>0.0%</formatCode>
                <ptCount val="15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0.08261398114190564</v>
                </pt>
                <pt idx="146">
                  <v>0.06793706328503643</v>
                </pt>
                <pt idx="147">
                  <v>0.09482016420861948</v>
                </pt>
                <pt idx="148">
                  <v>0.06925779350913044</v>
                </pt>
                <pt idx="149">
                  <v>0.07891318839406232</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105.7802</v>
                </pt>
                <pt idx="589">
                  <v>105.161</v>
                </pt>
                <pt idx="590">
                  <v>105.3169</v>
                </pt>
                <pt idx="591">
                  <v>105.1942</v>
                </pt>
                <pt idx="592">
                  <v>105.0437</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105.7802</v>
                </pt>
                <pt idx="146">
                  <v>105.161</v>
                </pt>
                <pt idx="147">
                  <v>105.3169</v>
                </pt>
                <pt idx="148">
                  <v>105.1942</v>
                </pt>
                <pt idx="149">
                  <v>105.0437</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Construction!$D$20:$D$614</f>
              <numCache>
                <formatCode>0.0%</formatCode>
                <ptCount val="595"/>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0.0903691456420363</v>
                </pt>
                <pt idx="589">
                  <v>0.04466921771748504</v>
                </pt>
                <pt idx="590">
                  <v>0.05578417740743821</v>
                </pt>
                <pt idx="591">
                  <v>0.05774372432793874</v>
                </pt>
                <pt idx="592">
                  <v>0.06029241802554752</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Construction!$D$463:$D$615</f>
              <numCache>
                <formatCode>0.0%</formatCode>
                <ptCount val="153"/>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0.0903691456420363</v>
                </pt>
                <pt idx="146">
                  <v>0.04466921771748504</v>
                </pt>
                <pt idx="147">
                  <v>0.05578417740743821</v>
                </pt>
                <pt idx="148">
                  <v>0.05774372432793874</v>
                </pt>
                <pt idx="149">
                  <v>0.06029241802554752</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101.7791</v>
                </pt>
                <pt idx="589">
                  <v>102.5495</v>
                </pt>
                <pt idx="590">
                  <v>103.2303</v>
                </pt>
                <pt idx="591">
                  <v>102.6976</v>
                </pt>
                <pt idx="592">
                  <v>102.1467</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0.07422543312945599</v>
                </pt>
                <pt idx="589">
                  <v>0.04938960121977422</v>
                </pt>
                <pt idx="590">
                  <v>0.05692188138305555</v>
                </pt>
                <pt idx="591">
                  <v>0.04144901698909748</v>
                </pt>
                <pt idx="592">
                  <v>0.0362080963790889</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Manu!$B$463:$B$612</f>
              <numCache>
                <formatCode>0.0</formatCode>
                <ptCount val="150"/>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101.7791</v>
                </pt>
                <pt idx="146">
                  <v>102.5495</v>
                </pt>
                <pt idx="147">
                  <v>103.2303</v>
                </pt>
                <pt idx="148">
                  <v>102.6976</v>
                </pt>
                <pt idx="149">
                  <v>102.1467</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Manu!$D$463:$D$612</f>
              <numCache>
                <formatCode>0.0%</formatCode>
                <ptCount val="150"/>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0.07422543312945599</v>
                </pt>
                <pt idx="146">
                  <v>0.04938960121977422</v>
                </pt>
                <pt idx="147">
                  <v>0.05692188138305555</v>
                </pt>
                <pt idx="148">
                  <v>0.04144901698909748</v>
                </pt>
                <pt idx="149">
                  <v>0.0362080963790889</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108.8815</v>
                </pt>
                <pt idx="589">
                  <v>112.3908</v>
                </pt>
                <pt idx="590">
                  <v>112.3818</v>
                </pt>
                <pt idx="591">
                  <v>113.7185</v>
                </pt>
                <pt idx="592">
                  <v>115.6978</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Mining!$D$20:$D$612</f>
              <numCache>
                <formatCode>0.0%</formatCode>
                <ptCount val="593"/>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0.1602232610477031</v>
                </pt>
                <pt idx="589">
                  <v>0.0749576533398626</v>
                </pt>
                <pt idx="590">
                  <v>0.06962949990529764</v>
                </pt>
                <pt idx="591">
                  <v>0.06841035691502309</v>
                </pt>
                <pt idx="592">
                  <v>0.08242388974596708</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Mining!$D$463:$D$612</f>
              <numCache>
                <formatCode>0.0%</formatCode>
                <ptCount val="150"/>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0.1602232610477031</v>
                </pt>
                <pt idx="146">
                  <v>0.0749576533398626</v>
                </pt>
                <pt idx="147">
                  <v>0.06962949990529764</v>
                </pt>
                <pt idx="148">
                  <v>0.06841035691502309</v>
                </pt>
                <pt idx="149">
                  <v>0.08242388974596708</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Mining!$B$463:$B$612</f>
              <numCache>
                <formatCode>0.0</formatCode>
                <ptCount val="150"/>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108.8815</v>
                </pt>
                <pt idx="146">
                  <v>112.3908</v>
                </pt>
                <pt idx="147">
                  <v>112.3818</v>
                </pt>
                <pt idx="148">
                  <v>113.7185</v>
                </pt>
                <pt idx="149">
                  <v>115.6978</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Utilities!$B$20:$B$612</f>
              <numCache>
                <formatCode>0.0</formatCode>
                <ptCount val="593"/>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103.1041</v>
                </pt>
                <pt idx="590">
                  <v>106.7776</v>
                </pt>
                <pt idx="591">
                  <v>108.8351</v>
                </pt>
                <pt idx="592">
                  <v>107.3487</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Utilities!$D$20:$D$612</f>
              <numCache>
                <formatCode>0.0%</formatCode>
                <ptCount val="593"/>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0.03172400128885319</v>
                </pt>
                <pt idx="590">
                  <v>0.04575245333281112</v>
                </pt>
                <pt idx="591">
                  <v>0.07142885270044901</v>
                </pt>
                <pt idx="592">
                  <v>0.01409069396384363</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Utilities!$B$463:$B$612</f>
              <numCache>
                <formatCode>0.0</formatCode>
                <ptCount val="150"/>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103.1041</v>
                </pt>
                <pt idx="147">
                  <v>106.7776</v>
                </pt>
                <pt idx="148">
                  <v>108.8351</v>
                </pt>
                <pt idx="149">
                  <v>107.3487</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Utilities!$D$463:$D$612</f>
              <numCache>
                <formatCode>0.0%</formatCode>
                <ptCount val="150"/>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0.03172400128885319</v>
                </pt>
                <pt idx="147">
                  <v>0.04575245333281112</v>
                </pt>
                <pt idx="148">
                  <v>0.07142885270044901</v>
                </pt>
                <pt idx="149">
                  <v>0.01409069396384363</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478366</colOff>
      <row>652</row>
      <rowOff>73025</rowOff>
    </from>
    <to>
      <col>15</col>
      <colOff>391583</colOff>
      <row>678</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22</col>
      <colOff>531811</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8" headerRowCount="1" totalsRowShown="0" headerRowDxfId="68" dataDxfId="66" headerRowBorderDxfId="67">
  <autoFilter ref="A6:D1248"/>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2" headerRowCount="1" totalsRowShown="0" headerRowDxfId="61" dataDxfId="59" headerRowBorderDxfId="60" tableBorderDxfId="58">
  <autoFilter ref="A6:D612"/>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1" headerRowCount="1" totalsRowShown="0" headerRowDxfId="53" dataDxfId="51" headerRowBorderDxfId="52">
  <autoFilter ref="A5:C671"/>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2" headerRowCount="1" totalsRowShown="0" headerRowDxfId="47" dataDxfId="45" headerRowBorderDxfId="46" tableBorderDxfId="44">
  <autoFilter ref="A6:D612"/>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2" headerRowCount="1" totalsRowShown="0" headerRowBorderDxfId="39" tableBorderDxfId="38">
  <autoFilter ref="A6:D612"/>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2" headerRowCount="1" totalsRowShown="0" headerRowBorderDxfId="33" tableBorderDxfId="32">
  <autoFilter ref="A6:D612"/>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2" headerRowCount="1" totalsRowShown="0" headerRowBorderDxfId="27" tableBorderDxfId="26">
  <autoFilter ref="A6:D612"/>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2" headerRowCount="1" totalsRowShown="0" headerRowBorderDxfId="21" tableBorderDxfId="20">
  <autoFilter ref="A6:D612"/>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2" headerRowCount="1" totalsRowShown="0" headerRowDxfId="15" dataDxfId="13" headerRowBorderDxfId="14" tableBorderDxfId="12">
  <autoFilter ref="A6:D612"/>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2" headerRowCount="1" totalsRowShown="0" headerRowDxfId="7" dataDxfId="5" headerRowBorderDxfId="6" tableBorderDxfId="4">
  <autoFilter ref="A6:D612"/>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H7" zoomScale="150" zoomScaleNormal="150" workbookViewId="0">
      <selection activeCell="U8" sqref="U8"/>
    </sheetView>
  </sheetViews>
  <sheetFormatPr baseColWidth="10" defaultColWidth="9.1640625" defaultRowHeight="15"/>
  <cols>
    <col width="9.1640625" customWidth="1" style="80" min="1" max="1"/>
    <col width="12.83203125" customWidth="1" style="80" min="2" max="10"/>
    <col width="3" customWidth="1" style="80" min="11" max="13"/>
    <col width="19" customWidth="1" style="80" min="14" max="14"/>
    <col width="9.1640625" customWidth="1" style="80" min="15" max="15"/>
    <col width="12.33203125" customWidth="1" style="80" min="16" max="19"/>
    <col width="9.1640625" customWidth="1" style="80" min="20" max="28"/>
    <col width="9.1640625" customWidth="1" style="80" min="29" max="16384"/>
  </cols>
  <sheetData>
    <row r="1">
      <c r="B1" s="87" t="n"/>
    </row>
    <row r="2" ht="16" customHeight="1" s="52" thickBot="1">
      <c r="B2" s="88" t="n"/>
      <c r="C2" s="88" t="n"/>
      <c r="D2" s="88" t="n"/>
      <c r="E2" s="88" t="n"/>
      <c r="F2" s="88" t="n"/>
      <c r="G2" s="88" t="n"/>
      <c r="H2" s="88" t="n"/>
      <c r="I2" s="88" t="n"/>
      <c r="J2" s="88" t="n"/>
    </row>
    <row r="3" ht="16" customHeight="1" s="52" thickBot="1">
      <c r="B3" s="89" t="inlineStr">
        <is>
          <t>Industrial Production and Capacity Utilization</t>
        </is>
      </c>
      <c r="C3" s="90" t="n"/>
      <c r="D3" s="90" t="n"/>
      <c r="E3" s="90" t="n"/>
      <c r="F3" s="90" t="n"/>
      <c r="G3" s="90" t="n"/>
      <c r="H3" s="90" t="n"/>
      <c r="I3" s="90" t="n"/>
      <c r="J3" s="91" t="n"/>
    </row>
    <row r="5">
      <c r="B5" s="82" t="inlineStr">
        <is>
          <t>Definition</t>
        </is>
      </c>
      <c r="C5" s="83" t="n"/>
      <c r="D5" s="83" t="n"/>
      <c r="E5" s="83" t="n"/>
      <c r="F5" s="83" t="n"/>
      <c r="G5" s="83" t="n"/>
      <c r="H5" s="83" t="n"/>
      <c r="I5" s="83" t="n"/>
      <c r="J5" s="84" t="n"/>
    </row>
    <row r="7" ht="245.25" customHeight="1" s="52">
      <c r="B7" s="92"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3"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2" t="inlineStr">
        <is>
          <t>Summary</t>
        </is>
      </c>
      <c r="O10" s="83" t="n"/>
      <c r="P10" s="83" t="n"/>
      <c r="Q10" s="83" t="n"/>
      <c r="R10" s="83" t="n"/>
      <c r="S10" s="84" t="n"/>
    </row>
    <row r="11">
      <c r="B11" s="22" t="n"/>
      <c r="C11" s="22" t="n"/>
      <c r="D11" s="22" t="n"/>
      <c r="E11" s="22" t="n"/>
    </row>
    <row r="12">
      <c r="B12" s="82" t="inlineStr">
        <is>
          <t>Process / TO DO LIST</t>
        </is>
      </c>
      <c r="C12" s="83" t="n"/>
      <c r="D12" s="83" t="n"/>
      <c r="E12" s="83" t="n"/>
      <c r="F12" s="83" t="n"/>
      <c r="G12" s="83" t="n"/>
      <c r="H12" s="83" t="n"/>
      <c r="I12" s="83" t="n"/>
      <c r="J12" s="84" t="n"/>
      <c r="N12" s="40" t="inlineStr">
        <is>
          <t>* To modify</t>
        </is>
      </c>
    </row>
    <row r="13" ht="16" customHeight="1" s="52" thickBot="1"/>
    <row r="14">
      <c r="B14" s="82" t="inlineStr">
        <is>
          <t>TO DO LIST</t>
        </is>
      </c>
      <c r="C14" s="83" t="n"/>
      <c r="D14" s="83" t="n"/>
      <c r="E14" s="83" t="n"/>
      <c r="F14" s="84" t="n"/>
      <c r="G14" s="82" t="inlineStr">
        <is>
          <t>Comments</t>
        </is>
      </c>
      <c r="H14" s="83" t="n"/>
      <c r="I14" s="83" t="n"/>
      <c r="J14" s="84" t="n"/>
      <c r="P14" s="41" t="n">
        <v>44713</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5" t="inlineStr">
        <is>
          <t>Industrial Production Index</t>
        </is>
      </c>
      <c r="O16" s="86"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0" t="inlineStr">
        <is>
          <t>INDPRO</t>
        </is>
      </c>
    </row>
    <row r="17">
      <c r="B17" s="80" t="inlineStr">
        <is>
          <t>Manufacturing</t>
        </is>
      </c>
      <c r="D17" s="80" t="inlineStr">
        <is>
          <t>https://fred.stlouisfed.org/series/IPMAN</t>
        </is>
      </c>
      <c r="I17" s="11" t="n">
        <v>2447752</v>
      </c>
      <c r="J17" s="25" t="n">
        <v>0.725968397007331</v>
      </c>
      <c r="N17" s="94" t="inlineStr">
        <is>
          <t>Manufacturing</t>
        </is>
      </c>
      <c r="O17" s="95"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0" t="inlineStr">
        <is>
          <t>Mining</t>
        </is>
      </c>
      <c r="D18" s="80" t="inlineStr">
        <is>
          <t>https://fred.stlouisfed.org/series/IPMINE</t>
        </is>
      </c>
      <c r="G18" s="81" t="n"/>
      <c r="H18" s="81" t="n"/>
      <c r="I18" s="23" t="n">
        <v>608173</v>
      </c>
      <c r="J18" s="26" t="n">
        <v>0.1803754538503654</v>
      </c>
      <c r="N18" s="94" t="inlineStr">
        <is>
          <t>Mining</t>
        </is>
      </c>
      <c r="O18" s="95"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0" t="inlineStr">
        <is>
          <t>Utilities</t>
        </is>
      </c>
      <c r="D19" s="80" t="inlineStr">
        <is>
          <t>https://fred.stlouisfed.org/series/IPUTIL</t>
        </is>
      </c>
      <c r="G19" s="81" t="n"/>
      <c r="H19" s="81" t="n"/>
      <c r="I19" s="23" t="n">
        <v>315781</v>
      </c>
      <c r="J19" s="26" t="n">
        <v>0.09365614914230364</v>
      </c>
      <c r="N19" s="94" t="inlineStr">
        <is>
          <t>Utilities</t>
        </is>
      </c>
      <c r="O19" s="95"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0" t="inlineStr">
        <is>
          <t>Industrial Production Index</t>
        </is>
      </c>
      <c r="D20" s="80" t="inlineStr">
        <is>
          <t>https://fred.stlouisfed.org/series/INDPRO</t>
        </is>
      </c>
      <c r="G20" s="53" t="n"/>
      <c r="H20" s="53" t="n"/>
      <c r="I20" s="24" t="n">
        <v>3371706</v>
      </c>
      <c r="J20" s="27" t="n">
        <v>1</v>
      </c>
      <c r="N20" s="94" t="inlineStr">
        <is>
          <t>Materials</t>
        </is>
      </c>
      <c r="O20" s="95"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0" t="inlineStr">
        <is>
          <t>IPMAT</t>
        </is>
      </c>
    </row>
    <row r="21" ht="15.75" customHeight="1" s="52">
      <c r="G21" s="81" t="n"/>
      <c r="N21" s="94" t="inlineStr">
        <is>
          <t>Consumer Goods</t>
        </is>
      </c>
      <c r="O21" s="95"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0" t="inlineStr">
        <is>
          <t>IPCONGD</t>
        </is>
      </c>
    </row>
    <row r="22" ht="15.75" customHeight="1" s="52">
      <c r="B22" s="1" t="inlineStr">
        <is>
          <t>Major Market Groups</t>
        </is>
      </c>
      <c r="I22" s="11" t="n"/>
      <c r="J22" s="12" t="inlineStr">
        <is>
          <t>Weight</t>
        </is>
      </c>
      <c r="N22" s="94" t="inlineStr">
        <is>
          <t>Business Equipment</t>
        </is>
      </c>
      <c r="O22" s="95"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0" t="inlineStr">
        <is>
          <t>IPBUSEQ</t>
        </is>
      </c>
    </row>
    <row r="23" ht="17.25" customHeight="1" s="52" thickBot="1">
      <c r="B23" s="80" t="inlineStr">
        <is>
          <t>Industrial Production Index</t>
        </is>
      </c>
      <c r="D23" s="80" t="inlineStr">
        <is>
          <t>https://fred.stlouisfed.org/series/INDPRO</t>
        </is>
      </c>
      <c r="I23" s="11" t="n">
        <v>3371706</v>
      </c>
      <c r="J23" s="25" t="n">
        <v>1</v>
      </c>
      <c r="N23" s="96" t="inlineStr">
        <is>
          <t>Construction supplies</t>
        </is>
      </c>
      <c r="O23" s="97"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0" t="inlineStr">
        <is>
          <t>IPB54100S</t>
        </is>
      </c>
    </row>
    <row r="24" ht="15.75" customHeight="1" s="52">
      <c r="B24" s="80" t="inlineStr">
        <is>
          <t>Materials</t>
        </is>
      </c>
      <c r="D24" s="80" t="inlineStr">
        <is>
          <t>https://fred.stlouisfed.org/series/IPMAT</t>
        </is>
      </c>
      <c r="G24" s="81" t="n"/>
      <c r="H24" s="81" t="n"/>
      <c r="I24" s="23" t="n">
        <v>1624304</v>
      </c>
      <c r="J24" s="26" t="n">
        <v>0.4817</v>
      </c>
    </row>
    <row r="25" ht="15.75" customHeight="1" s="52">
      <c r="B25" s="80" t="inlineStr">
        <is>
          <t>Consumer Goods</t>
        </is>
      </c>
      <c r="D25" s="80" t="inlineStr">
        <is>
          <t>https://fred.stlouisfed.org/series/IPCONGD</t>
        </is>
      </c>
      <c r="G25" s="81" t="n"/>
      <c r="H25" s="81" t="n"/>
      <c r="I25" s="23" t="n">
        <v>850761</v>
      </c>
      <c r="J25" s="26" t="n">
        <v>0.2523</v>
      </c>
    </row>
    <row r="26" ht="15.75" customHeight="1" s="52">
      <c r="B26" s="80" t="inlineStr">
        <is>
          <t>Others</t>
        </is>
      </c>
      <c r="G26" s="53" t="n"/>
      <c r="H26" s="53" t="n"/>
      <c r="I26" s="24" t="n">
        <v>423708</v>
      </c>
      <c r="J26" s="27" t="n">
        <v>0.1258</v>
      </c>
    </row>
    <row r="27" ht="15.75" customHeight="1" s="52" thickBot="1">
      <c r="B27" s="80" t="inlineStr">
        <is>
          <t>Business Equipment</t>
        </is>
      </c>
      <c r="D27" s="80" t="inlineStr">
        <is>
          <t>https://fred.stlouisfed.org/series/IPBUSEQ</t>
        </is>
      </c>
      <c r="G27" s="54" t="n"/>
      <c r="H27" s="54" t="n"/>
      <c r="I27" s="24" t="n">
        <v>333915</v>
      </c>
      <c r="J27" s="27" t="n">
        <v>0.099</v>
      </c>
    </row>
    <row r="28" ht="15.75" customHeight="1" s="52" thickBot="1">
      <c r="B28" s="80" t="inlineStr">
        <is>
          <t>Construction supplies</t>
        </is>
      </c>
      <c r="D28" s="80" t="inlineStr">
        <is>
          <t>https://fred.stlouisfed.org/series/IPB54100S</t>
        </is>
      </c>
      <c r="G28" s="54" t="n"/>
      <c r="H28" s="54" t="n"/>
      <c r="I28" s="24" t="n">
        <v>139018</v>
      </c>
      <c r="J28" s="27" t="n">
        <v>0.0412</v>
      </c>
      <c r="N28" s="42">
        <f>DATE(YEAR($P$14),MONTH($P$14)-1,DAY($P$14))</f>
        <v/>
      </c>
    </row>
    <row r="29" ht="15.75" customHeight="1" s="52" thickBot="1">
      <c r="B29" s="80" t="n"/>
      <c r="G29" s="81" t="inlineStr">
        <is>
          <t xml:space="preserve"> = Final Products + Materials</t>
        </is>
      </c>
      <c r="N29" s="50">
        <f>DATE(YEAR($P$14)-1,MONTH($P$14),DAY($P$14))</f>
        <v/>
      </c>
    </row>
    <row r="30">
      <c r="G30" s="81" t="inlineStr">
        <is>
          <t>Materials = Materials ex. Energy Materials + Energy Materials</t>
        </is>
      </c>
    </row>
    <row r="32">
      <c r="B32" s="1" t="inlineStr">
        <is>
          <t>Capacity Utilization</t>
        </is>
      </c>
      <c r="D32" s="93" t="inlineStr">
        <is>
          <t>https://fred.stlouisfed.org/series/TCU</t>
        </is>
      </c>
    </row>
    <row r="34">
      <c r="B34" s="1" t="n"/>
    </row>
    <row r="35" ht="33.75" customHeight="1" s="52">
      <c r="B35" s="79"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4"/>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9" t="n">
        <v>44621</v>
      </c>
      <c r="B1240" t="n">
        <v>103.6218</v>
      </c>
      <c r="C1240" t="n">
        <v>105.193</v>
      </c>
      <c r="D1240" t="n">
        <v>96.41200000000001</v>
      </c>
      <c r="E1240" t="n">
        <v>104.6939</v>
      </c>
      <c r="F1240" t="n">
        <v>102.4695</v>
      </c>
      <c r="G1240" t="n">
        <v>103.4443</v>
      </c>
      <c r="H1240" t="n">
        <v>112.0842</v>
      </c>
      <c r="I1240" t="n">
        <v>103.1042</v>
      </c>
      <c r="J1240" t="n">
        <v>79.854</v>
      </c>
      <c r="K1240" t="n">
        <v>231.101</v>
      </c>
    </row>
    <row r="1241">
      <c r="A1241" s="99" t="n">
        <v>44652</v>
      </c>
      <c r="B1241" t="n">
        <v>104.3022</v>
      </c>
      <c r="C1241" t="n">
        <v>104.9959</v>
      </c>
      <c r="D1241" t="n">
        <v>97.33710000000001</v>
      </c>
      <c r="E1241" t="n">
        <v>106.0574</v>
      </c>
      <c r="F1241" t="n">
        <v>102.9955</v>
      </c>
      <c r="G1241" t="n">
        <v>103.7109</v>
      </c>
      <c r="H1241" t="n">
        <v>112.0719</v>
      </c>
      <c r="I1241" t="n">
        <v>106.7774</v>
      </c>
      <c r="J1241" t="n">
        <v>80.2525</v>
      </c>
      <c r="K1241" t="n">
        <v>233.489</v>
      </c>
    </row>
    <row r="1242">
      <c r="A1242" s="99" t="n">
        <v>44682</v>
      </c>
      <c r="B1242" t="n">
        <v>104.2103</v>
      </c>
      <c r="C1242" t="n">
        <v>105.1886</v>
      </c>
      <c r="D1242" t="n">
        <v>97.0767</v>
      </c>
      <c r="E1242" t="n">
        <v>105.2218</v>
      </c>
      <c r="F1242" t="n">
        <v>102.5762</v>
      </c>
      <c r="G1242" t="n">
        <v>103.9692</v>
      </c>
      <c r="H1242" t="n">
        <v>113.0912</v>
      </c>
      <c r="I1242" t="n">
        <v>107.0442</v>
      </c>
      <c r="J1242" t="n">
        <v>80.0549</v>
      </c>
      <c r="K1242" t="n">
        <v>235.385</v>
      </c>
    </row>
    <row r="1243">
      <c r="A1243" s="99" t="n">
        <v>44713</v>
      </c>
      <c r="B1243" t="n">
        <v>104.2229</v>
      </c>
      <c r="C1243" t="n">
        <v>104.3362</v>
      </c>
      <c r="D1243" t="n">
        <v>96.8368</v>
      </c>
      <c r="E1243" t="n">
        <v>104.5448</v>
      </c>
      <c r="F1243" t="n">
        <v>102.1133</v>
      </c>
      <c r="G1243" t="n">
        <v>104.5052</v>
      </c>
      <c r="H1243" t="n">
        <v>115.3062</v>
      </c>
      <c r="I1243" t="n">
        <v>106.7457</v>
      </c>
      <c r="J1243" t="n">
        <v>79.9401</v>
      </c>
      <c r="K1243" t="n">
        <v>236.98</v>
      </c>
    </row>
    <row r="1244">
      <c r="A1244" s="99" t="n">
        <v>44743</v>
      </c>
      <c r="B1244" t="n">
        <v>104.8075</v>
      </c>
      <c r="C1244" t="n">
        <v>105.2733</v>
      </c>
      <c r="D1244" t="n">
        <v>97.429</v>
      </c>
      <c r="E1244" t="n">
        <v>105.1478</v>
      </c>
      <c r="F1244" t="n">
        <v>102.8502</v>
      </c>
      <c r="G1244" t="n">
        <v>105.014</v>
      </c>
      <c r="H1244" t="n">
        <v>116.105</v>
      </c>
      <c r="I1244" t="n">
        <v>105.8685</v>
      </c>
      <c r="J1244" t="n">
        <v>80.27030000000001</v>
      </c>
      <c r="K1244" t="n">
        <v>238.257</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48"/>
  <sheetViews>
    <sheetView zoomScale="130" zoomScaleNormal="130" workbookViewId="0">
      <pane ySplit="6" topLeftCell="A1219" activePane="bottomLeft" state="frozen"/>
      <selection pane="bottomLeft" activeCell="S1245" sqref="S1245"/>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0" min="5" max="6"/>
    <col width="10.6640625" bestFit="1" customWidth="1" style="80" min="7" max="7"/>
    <col width="10.6640625" customWidth="1" style="80" min="8" max="8"/>
    <col width="9.1640625" customWidth="1" style="80" min="9" max="15"/>
    <col width="25" customWidth="1" style="80" min="16" max="16"/>
    <col width="9.1640625" customWidth="1" style="80" min="17" max="26"/>
    <col width="18" bestFit="1" customWidth="1" style="80" min="27" max="27"/>
    <col width="9.1640625" customWidth="1" style="80" min="28" max="28"/>
    <col width="9.1640625" customWidth="1" style="80" min="29"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0">
        <f>YEAR(R1188)</f>
        <v/>
      </c>
      <c r="V1188" s="80">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0">
        <f>YEAR(R1189)</f>
        <v/>
      </c>
      <c r="U1189" s="80">
        <f>T1189-T1188</f>
        <v/>
      </c>
      <c r="V1189" s="80">
        <f>VLOOKUP(R1189,A:B,2,)</f>
        <v/>
      </c>
      <c r="W1189" s="80">
        <f>(V1189-V1188)/V1188</f>
        <v/>
      </c>
      <c r="X1189" s="80">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0">
        <f>YEAR(R1192)</f>
        <v/>
      </c>
      <c r="V1192" s="80">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0">
        <f>YEAR(R1193)</f>
        <v/>
      </c>
      <c r="U1193" s="80">
        <f>T1193-T1192</f>
        <v/>
      </c>
      <c r="V1193" s="80">
        <f>VLOOKUP(R1193,A:B,2,)</f>
        <v/>
      </c>
      <c r="W1193" s="80">
        <f>(V1193-V1192)/V1192</f>
        <v/>
      </c>
      <c r="X1193" s="80">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0">
        <f>YEAR(R1196)</f>
        <v/>
      </c>
      <c r="V1196" s="80">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0">
        <f>YEAR(R1197)</f>
        <v/>
      </c>
      <c r="U1197" s="80">
        <f>T1197-T1196</f>
        <v/>
      </c>
      <c r="V1197" s="80">
        <f>VLOOKUP(R1197,A:B,2,)</f>
        <v/>
      </c>
      <c r="W1197" s="80">
        <f>(V1197-V1196)/V1196</f>
        <v/>
      </c>
      <c r="X1197" s="80">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0">
        <f>YEAR(R1200)</f>
        <v/>
      </c>
      <c r="V1200" s="80">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0">
        <f>YEAR(R1201)</f>
        <v/>
      </c>
      <c r="U1201" s="80">
        <f>T1201-T1200</f>
        <v/>
      </c>
      <c r="V1201" s="80">
        <f>VLOOKUP(R1201,A:B,2,)</f>
        <v/>
      </c>
      <c r="W1201" s="80">
        <f>(V1201-V1200)/V1200</f>
        <v/>
      </c>
      <c r="X1201" s="80">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0">
        <f>YEAR(R1204)</f>
        <v/>
      </c>
      <c r="V1204" s="80">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0">
        <f>YEAR(R1205)</f>
        <v/>
      </c>
      <c r="U1205" s="80">
        <f>T1205-T1204</f>
        <v/>
      </c>
      <c r="V1205" s="80">
        <f>VLOOKUP(R1205,A:B,2,)</f>
        <v/>
      </c>
      <c r="W1205" s="80">
        <f>(V1205-V1204)/V1204</f>
        <v/>
      </c>
      <c r="X1205" s="80">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0">
        <f>YEAR(R1208)</f>
        <v/>
      </c>
      <c r="V1208" s="80">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0">
        <f>YEAR(R1209)</f>
        <v/>
      </c>
      <c r="U1209" s="80">
        <f>T1209-T1208</f>
        <v/>
      </c>
      <c r="V1209" s="80">
        <f>VLOOKUP(R1209,A:B,2,)</f>
        <v/>
      </c>
      <c r="W1209" s="80">
        <f>(V1209-V1208)/V1208</f>
        <v/>
      </c>
      <c r="X1209" s="80">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0">
        <f>YEAR(R1212)</f>
        <v/>
      </c>
      <c r="V1212" s="80">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0">
        <f>YEAR(R1213)</f>
        <v/>
      </c>
      <c r="U1213" s="80">
        <f>T1213-T1212</f>
        <v/>
      </c>
      <c r="V1213" s="80">
        <f>VLOOKUP(R1213,A:B,2,)</f>
        <v/>
      </c>
      <c r="W1213" s="80">
        <f>(V1213-V1212)/V1212</f>
        <v/>
      </c>
      <c r="X1213" s="80">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AVERAGE(D20:D1249)</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2"/>
  <sheetViews>
    <sheetView zoomScale="150" zoomScaleNormal="150" workbookViewId="0">
      <pane ySplit="6" topLeftCell="A577" activePane="bottomLeft" state="frozen"/>
      <selection pane="bottomLeft" activeCell="P615" sqref="P615"/>
    </sheetView>
  </sheetViews>
  <sheetFormatPr baseColWidth="10" defaultColWidth="9.1640625" defaultRowHeight="15"/>
  <cols>
    <col width="20.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INDPRO</t>
        </is>
      </c>
      <c r="B1" s="80" t="n"/>
      <c r="C1" s="80" t="n"/>
      <c r="V1" s="55" t="inlineStr">
        <is>
          <t xml:space="preserve">Industrial Production Index </t>
        </is>
      </c>
      <c r="X1" s="80">
        <f>V1&amp;V2</f>
        <v/>
      </c>
      <c r="AB1" s="61">
        <f>X2&amp; V2</f>
        <v/>
      </c>
    </row>
    <row r="2">
      <c r="A2" s="16" t="n"/>
      <c r="B2" s="80" t="n"/>
      <c r="C2" s="63" t="n"/>
      <c r="K2" s="93" t="inlineStr">
        <is>
          <t>https://www.federalreserve.gov/releases/g17/current/default.htm</t>
        </is>
      </c>
      <c r="V2" s="63" t="inlineStr">
        <is>
          <t xml:space="preserve"> since 2000 - </t>
        </is>
      </c>
      <c r="X2" s="80">
        <f>V1&amp;Table1[[#Headers],[yoy]]</f>
        <v/>
      </c>
    </row>
    <row r="3">
      <c r="A3" s="16" t="n"/>
      <c r="B3" s="56" t="n"/>
      <c r="C3" s="63" t="n"/>
      <c r="K3" s="93" t="n"/>
    </row>
    <row r="4">
      <c r="A4" s="16" t="n"/>
      <c r="B4" s="56" t="n"/>
      <c r="C4" s="63" t="n"/>
      <c r="K4" s="93"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sheetData>
  <conditionalFormatting sqref="D463:D612">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1"/>
  <sheetViews>
    <sheetView zoomScale="120" zoomScaleNormal="120" workbookViewId="0">
      <pane ySplit="5" topLeftCell="A630" activePane="bottomLeft" state="frozen"/>
      <selection pane="bottomLeft" activeCell="U669" sqref="U669"/>
    </sheetView>
  </sheetViews>
  <sheetFormatPr baseColWidth="10" defaultColWidth="9.1640625" defaultRowHeight="15"/>
  <cols>
    <col width="9.1640625" customWidth="1" style="80" min="1" max="1"/>
    <col width="18.33203125" customWidth="1" style="12" min="2" max="2"/>
    <col width="13.6640625" customWidth="1" style="12" min="3" max="3"/>
    <col width="9.1640625" customWidth="1" style="80" min="4" max="11"/>
    <col width="9.1640625" customWidth="1" style="80" min="12" max="16384"/>
  </cols>
  <sheetData>
    <row r="1">
      <c r="A1" s="80"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2"/>
  <sheetViews>
    <sheetView zoomScaleNormal="100" workbookViewId="0">
      <pane ySplit="6" topLeftCell="A565" activePane="bottomLeft" state="frozen"/>
      <selection activeCell="A572" sqref="A572:D575"/>
      <selection pane="bottomLeft" activeCell="M562" sqref="M562"/>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IPMAT</t>
        </is>
      </c>
      <c r="B1" s="80" t="n"/>
      <c r="C1" s="80" t="n"/>
      <c r="S1" s="55" t="inlineStr">
        <is>
          <t>Industrial Production: Materials</t>
        </is>
      </c>
      <c r="T1" s="63" t="inlineStr">
        <is>
          <t xml:space="preserve"> since 2010</t>
        </is>
      </c>
      <c r="U1" s="80">
        <f>S1&amp;T1</f>
        <v/>
      </c>
      <c r="Y1" s="61">
        <f>U2&amp; T1</f>
        <v/>
      </c>
    </row>
    <row r="2">
      <c r="A2" s="16" t="n"/>
      <c r="B2" s="80" t="n"/>
      <c r="C2" s="80" t="n"/>
      <c r="S2" s="56" t="n"/>
      <c r="T2" s="63" t="n"/>
      <c r="U2" s="80">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2"/>
  <sheetViews>
    <sheetView zoomScale="150" zoomScaleNormal="150" workbookViewId="0">
      <pane ySplit="6" topLeftCell="A573" activePane="bottomLeft" state="frozen"/>
      <selection activeCell="J582" sqref="J582"/>
      <selection pane="bottomLeft" activeCell="AD602" sqref="AD602"/>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22"/>
    <col width="15.33203125" customWidth="1" style="80" min="23" max="23"/>
    <col width="9.1640625" customWidth="1" style="80" min="24" max="16384"/>
  </cols>
  <sheetData>
    <row r="1">
      <c r="A1" s="15" t="inlineStr">
        <is>
          <t>IPCONGD</t>
        </is>
      </c>
      <c r="B1" s="80" t="n"/>
      <c r="C1" s="80" t="n"/>
      <c r="S1" s="80" t="inlineStr">
        <is>
          <t>Industrial Production: Consumer Goods</t>
        </is>
      </c>
      <c r="T1" s="80" t="inlineStr">
        <is>
          <t xml:space="preserve"> since 2010 </t>
        </is>
      </c>
      <c r="U1" s="80">
        <f>S1&amp;T1</f>
        <v/>
      </c>
      <c r="Y1" s="80">
        <f>U2&amp; T1</f>
        <v/>
      </c>
    </row>
    <row r="2">
      <c r="A2" s="16" t="n"/>
      <c r="B2" s="80" t="n"/>
      <c r="C2" s="80" t="n"/>
      <c r="U2" s="80">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2"/>
  <sheetViews>
    <sheetView zoomScale="150" zoomScaleNormal="150" workbookViewId="0">
      <pane ySplit="6" topLeftCell="A582" activePane="bottomLeft" state="frozen"/>
      <selection activeCell="J582" sqref="J582"/>
      <selection pane="bottomLeft" activeCell="AE606" sqref="AE606"/>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IPBUSEQ</t>
        </is>
      </c>
      <c r="B1" s="80" t="n"/>
      <c r="C1" s="80" t="n"/>
      <c r="S1" s="80" t="inlineStr">
        <is>
          <t>Industrial Production: Business Equipment</t>
        </is>
      </c>
      <c r="T1" s="80" t="inlineStr">
        <is>
          <t xml:space="preserve"> since 2010</t>
        </is>
      </c>
      <c r="U1" s="80">
        <f>S1&amp;T1</f>
        <v/>
      </c>
      <c r="Y1" s="80">
        <f>U2&amp; T1</f>
        <v/>
      </c>
    </row>
    <row r="2">
      <c r="A2" s="16" t="n"/>
      <c r="B2" s="80" t="n"/>
      <c r="C2" s="80" t="n"/>
      <c r="U2" s="80">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2"/>
  <sheetViews>
    <sheetView topLeftCell="B1" zoomScale="150" zoomScaleNormal="150" workbookViewId="0">
      <pane ySplit="6" topLeftCell="A572" activePane="bottomLeft" state="frozen"/>
      <selection pane="bottomLeft" activeCell="W240" sqref="W240"/>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INDPRO</t>
        </is>
      </c>
      <c r="B1" s="80" t="n"/>
      <c r="C1" s="80" t="n"/>
      <c r="U1" s="80" t="inlineStr">
        <is>
          <t>Industrial Production: Construction supplies</t>
        </is>
      </c>
      <c r="V1" s="80" t="inlineStr">
        <is>
          <t xml:space="preserve"> since 2010 </t>
        </is>
      </c>
      <c r="W1" s="80">
        <f>U1&amp;V1</f>
        <v/>
      </c>
      <c r="AA1" s="80">
        <f>W2&amp; V1</f>
        <v/>
      </c>
    </row>
    <row r="2">
      <c r="A2" s="16" t="n"/>
      <c r="B2" s="80" t="n"/>
      <c r="C2" s="80" t="n"/>
      <c r="W2" s="80">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2"/>
  <sheetViews>
    <sheetView zoomScale="160" zoomScaleNormal="160" workbookViewId="0">
      <pane ySplit="6" topLeftCell="A577" activePane="bottomLeft" state="frozen"/>
      <selection activeCell="J582" sqref="J582"/>
      <selection pane="bottomLeft" activeCell="AA603" sqref="AA603"/>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IPMAN</t>
        </is>
      </c>
      <c r="B1" s="80" t="n"/>
      <c r="C1" s="80" t="n"/>
      <c r="S1" s="80" t="inlineStr">
        <is>
          <t>Industrial Production: Manufacturing (NAICS)</t>
        </is>
      </c>
      <c r="T1" s="80" t="inlineStr">
        <is>
          <t xml:space="preserve"> since 2010</t>
        </is>
      </c>
      <c r="U1" s="80">
        <f>S1&amp;T1</f>
        <v/>
      </c>
      <c r="Y1" s="80">
        <f>U2&amp; T1</f>
        <v/>
      </c>
    </row>
    <row r="2">
      <c r="A2" s="16" t="n"/>
      <c r="B2" s="80" t="n"/>
      <c r="C2" s="80" t="n"/>
      <c r="U2" s="80">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2"/>
  <sheetViews>
    <sheetView zoomScale="160" zoomScaleNormal="160" workbookViewId="0">
      <pane ySplit="6" topLeftCell="A574" activePane="bottomLeft" state="frozen"/>
      <selection activeCell="J582" sqref="J582"/>
      <selection pane="bottomLeft" activeCell="X577" sqref="X577"/>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IPMINE</t>
        </is>
      </c>
      <c r="B1" s="80" t="n"/>
      <c r="C1" s="80" t="n"/>
      <c r="S1" s="20" t="inlineStr">
        <is>
          <t>Industrial Production: Mining</t>
        </is>
      </c>
      <c r="T1" s="63" t="inlineStr">
        <is>
          <t xml:space="preserve"> since 2010 </t>
        </is>
      </c>
      <c r="U1" s="80">
        <f>S1&amp;T1</f>
        <v/>
      </c>
      <c r="Y1" s="61">
        <f>U4&amp; T1</f>
        <v/>
      </c>
    </row>
    <row r="2">
      <c r="A2" s="15" t="n"/>
      <c r="B2" s="80" t="n"/>
      <c r="C2" s="80" t="n"/>
      <c r="S2" s="20" t="n"/>
      <c r="T2" s="63" t="n"/>
      <c r="Y2" s="61" t="n"/>
    </row>
    <row r="3">
      <c r="A3" s="15" t="n"/>
      <c r="B3" s="80" t="n"/>
      <c r="C3" s="80" t="n"/>
      <c r="S3" s="20" t="n"/>
      <c r="T3" s="63" t="n"/>
      <c r="Y3" s="61" t="n"/>
    </row>
    <row r="4">
      <c r="A4" s="16" t="n"/>
      <c r="B4" s="80" t="n"/>
      <c r="C4" s="80" t="n"/>
      <c r="S4" s="56" t="n"/>
      <c r="T4" s="63" t="n"/>
      <c r="U4" s="80">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2"/>
  <sheetViews>
    <sheetView tabSelected="1" zoomScale="160" zoomScaleNormal="160" workbookViewId="0">
      <pane ySplit="6" topLeftCell="A577" activePane="bottomLeft" state="frozen"/>
      <selection activeCell="E1216" sqref="E1216"/>
      <selection pane="bottomLeft" activeCell="E1216" sqref="E12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80" t="inlineStr">
        <is>
          <t>IPUTIL</t>
        </is>
      </c>
      <c r="B1" s="80" t="n"/>
      <c r="C1" s="80" t="n"/>
      <c r="S1" s="20" t="inlineStr">
        <is>
          <t>Industrial Production: Electric and gas utilities</t>
        </is>
      </c>
      <c r="T1" s="63" t="inlineStr">
        <is>
          <t xml:space="preserve"> since 2010</t>
        </is>
      </c>
      <c r="U1" s="80">
        <f>S1&amp;T1</f>
        <v/>
      </c>
      <c r="Y1" s="61">
        <f>U2&amp; T1</f>
        <v/>
      </c>
    </row>
    <row r="2">
      <c r="A2" s="16" t="n"/>
      <c r="B2" s="80" t="n"/>
      <c r="C2" s="80" t="n"/>
      <c r="S2" s="56" t="n"/>
      <c r="T2" s="63" t="n"/>
      <c r="U2" s="80">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2022-07-30T16:16:40Z</dcterms:modified>
  <cp:lastModifiedBy>Mark Mukherjee</cp:lastModifiedBy>
</cp:coreProperties>
</file>