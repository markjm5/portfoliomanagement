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9560" yWindow="460" windowWidth="44000" windowHeight="258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Utilization'!$A$6:$A$666</f>
              <numCache>
                <formatCode>mmm\-yy</formatCode>
                <ptCount val="661"/>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numCache>
            </numRef>
          </cat>
          <val>
            <numRef>
              <f>'Capacity Utilization'!$B$6:$B$666</f>
              <numCache>
                <formatCode>0.00</formatCode>
                <ptCount val="661"/>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Utilization'!$A$6:$A$666</f>
              <numCache>
                <formatCode>mmm\-yy</formatCode>
                <ptCount val="661"/>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numCache>
            </numRef>
          </cat>
          <val>
            <numRef>
              <f>'Capacity Utilization'!$C$6:$C$666</f>
              <numCache>
                <formatCode>General</formatCode>
                <ptCount val="661"/>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3" headerRowCount="1" totalsRowShown="0" headerRowDxfId="70" dataDxfId="68" headerRowBorderDxfId="69">
  <autoFilter ref="A6:D1243"/>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7" headerRowCount="1" totalsRowShown="0" headerRowDxfId="63" dataDxfId="61" headerRowBorderDxfId="62" tableBorderDxfId="60">
  <autoFilter ref="A6:D607"/>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6" headerRowCount="1" totalsRowShown="0" headerRowDxfId="55" dataDxfId="53" headerRowBorderDxfId="54">
  <autoFilter ref="A5:C666"/>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7" headerRowCount="1" totalsRowShown="0" headerRowDxfId="49" dataDxfId="47" headerRowBorderDxfId="48" tableBorderDxfId="46">
  <autoFilter ref="A6:D607"/>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7" headerRowCount="1" totalsRowShown="0" headerRowBorderDxfId="41" tableBorderDxfId="40">
  <autoFilter ref="A6:D607"/>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7" headerRowCount="1" totalsRowShown="0" headerRowBorderDxfId="35" tableBorderDxfId="34">
  <autoFilter ref="A6:D607"/>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7" headerRowCount="1" totalsRowShown="0" headerRowBorderDxfId="29" tableBorderDxfId="28">
  <autoFilter ref="A6:D607"/>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7" headerRowCount="1" totalsRowShown="0" headerRowBorderDxfId="23" tableBorderDxfId="22">
  <autoFilter ref="A6:D607"/>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7" headerRowCount="1" totalsRowShown="0" headerRowDxfId="17" dataDxfId="15" headerRowBorderDxfId="16" tableBorderDxfId="14">
  <autoFilter ref="A6:D607"/>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7" headerRowCount="1" totalsRowShown="0" headerRowDxfId="9" dataDxfId="7" headerRowBorderDxfId="8" tableBorderDxfId="6">
  <autoFilter ref="A6:D607"/>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R27" sqref="R27"/>
    </sheetView>
  </sheetViews>
  <sheetFormatPr baseColWidth="10" defaultColWidth="9.1640625" defaultRowHeight="15"/>
  <cols>
    <col width="9.1640625" customWidth="1" style="81" min="1" max="1"/>
    <col width="12.83203125" customWidth="1" style="81" min="2" max="10"/>
    <col width="3" customWidth="1" style="81" min="11" max="13"/>
    <col width="19" customWidth="1" style="81" min="14" max="14"/>
    <col width="9.1640625" customWidth="1" style="81" min="15" max="15"/>
    <col width="12.33203125" customWidth="1" style="81" min="16" max="19"/>
    <col width="9.1640625" customWidth="1" style="81" min="20" max="25"/>
    <col width="9.1640625" customWidth="1" style="81" min="26" max="16384"/>
  </cols>
  <sheetData>
    <row r="1">
      <c r="B1" s="88" t="n"/>
    </row>
    <row r="2" ht="16" customHeight="1" s="54" thickBot="1">
      <c r="B2" s="89" t="n"/>
      <c r="C2" s="89" t="n"/>
      <c r="D2" s="89" t="n"/>
      <c r="E2" s="89" t="n"/>
      <c r="F2" s="89" t="n"/>
      <c r="G2" s="89" t="n"/>
      <c r="H2" s="89" t="n"/>
      <c r="I2" s="89" t="n"/>
      <c r="J2" s="89" t="n"/>
    </row>
    <row r="3" ht="16" customHeight="1" s="54" thickBot="1">
      <c r="B3" s="90" t="inlineStr">
        <is>
          <t>Industrial Production and Capacity Utilization</t>
        </is>
      </c>
      <c r="C3" s="91" t="n"/>
      <c r="D3" s="91" t="n"/>
      <c r="E3" s="91" t="n"/>
      <c r="F3" s="91" t="n"/>
      <c r="G3" s="91" t="n"/>
      <c r="H3" s="91" t="n"/>
      <c r="I3" s="91" t="n"/>
      <c r="J3" s="92" t="n"/>
    </row>
    <row r="5">
      <c r="B5" s="83" t="inlineStr">
        <is>
          <t>Definition</t>
        </is>
      </c>
      <c r="C5" s="84" t="n"/>
      <c r="D5" s="84" t="n"/>
      <c r="E5" s="84" t="n"/>
      <c r="F5" s="84" t="n"/>
      <c r="G5" s="84" t="n"/>
      <c r="H5" s="84" t="n"/>
      <c r="I5" s="84" t="n"/>
      <c r="J5" s="85" t="n"/>
    </row>
    <row r="7" ht="245.25" customHeight="1" s="54">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4"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3" t="inlineStr">
        <is>
          <t>Summary</t>
        </is>
      </c>
      <c r="O10" s="84" t="n"/>
      <c r="P10" s="84" t="n"/>
      <c r="Q10" s="84" t="n"/>
      <c r="R10" s="84" t="n"/>
      <c r="S10" s="85" t="n"/>
    </row>
    <row r="11">
      <c r="B11" s="24" t="n"/>
      <c r="C11" s="24" t="n"/>
      <c r="D11" s="24" t="n"/>
      <c r="E11" s="24" t="n"/>
    </row>
    <row r="12">
      <c r="B12" s="83" t="inlineStr">
        <is>
          <t>Process / TO DO LIST</t>
        </is>
      </c>
      <c r="C12" s="84" t="n"/>
      <c r="D12" s="84" t="n"/>
      <c r="E12" s="84" t="n"/>
      <c r="F12" s="84" t="n"/>
      <c r="G12" s="84" t="n"/>
      <c r="H12" s="84" t="n"/>
      <c r="I12" s="84" t="n"/>
      <c r="J12" s="85" t="n"/>
      <c r="N12" s="42" t="inlineStr">
        <is>
          <t>* To modify</t>
        </is>
      </c>
    </row>
    <row r="13" ht="16" customHeight="1" s="54" thickBot="1"/>
    <row r="14">
      <c r="B14" s="83" t="inlineStr">
        <is>
          <t>TO DO LIST</t>
        </is>
      </c>
      <c r="C14" s="84" t="n"/>
      <c r="D14" s="84" t="n"/>
      <c r="E14" s="84" t="n"/>
      <c r="F14" s="85" t="n"/>
      <c r="G14" s="83" t="inlineStr">
        <is>
          <t>Comments</t>
        </is>
      </c>
      <c r="H14" s="84" t="n"/>
      <c r="I14" s="84" t="n"/>
      <c r="J14" s="85"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6" t="inlineStr">
        <is>
          <t>Industrial Production Index</t>
        </is>
      </c>
      <c r="O16" s="87"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81" t="inlineStr">
        <is>
          <t>INDPRO</t>
        </is>
      </c>
    </row>
    <row r="17">
      <c r="B17" s="81" t="inlineStr">
        <is>
          <t>Manufacturing</t>
        </is>
      </c>
      <c r="D17" s="81" t="inlineStr">
        <is>
          <t>https://fred.stlouisfed.org/series/IPMAN</t>
        </is>
      </c>
      <c r="I17" s="12" t="n">
        <v>2447752</v>
      </c>
      <c r="J17" s="27" t="n">
        <v>0.725968397007331</v>
      </c>
      <c r="N17" s="95" t="inlineStr">
        <is>
          <t>Manufacturing</t>
        </is>
      </c>
      <c r="O17" s="96"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81" t="inlineStr">
        <is>
          <t>Mining</t>
        </is>
      </c>
      <c r="D18" s="81" t="inlineStr">
        <is>
          <t>https://fred.stlouisfed.org/series/IPMINE</t>
        </is>
      </c>
      <c r="G18" s="82" t="n"/>
      <c r="H18" s="82" t="n"/>
      <c r="I18" s="25" t="n">
        <v>608173</v>
      </c>
      <c r="J18" s="28" t="n">
        <v>0.1803754538503654</v>
      </c>
      <c r="N18" s="95" t="inlineStr">
        <is>
          <t>Mining</t>
        </is>
      </c>
      <c r="O18" s="96"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81" t="inlineStr">
        <is>
          <t>Utilities</t>
        </is>
      </c>
      <c r="D19" s="81" t="inlineStr">
        <is>
          <t>https://fred.stlouisfed.org/series/IPUTIL</t>
        </is>
      </c>
      <c r="G19" s="82" t="n"/>
      <c r="H19" s="82" t="n"/>
      <c r="I19" s="25" t="n">
        <v>315781</v>
      </c>
      <c r="J19" s="28" t="n">
        <v>0.09365614914230364</v>
      </c>
      <c r="N19" s="95" t="inlineStr">
        <is>
          <t>Utilities</t>
        </is>
      </c>
      <c r="O19" s="96"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81" t="inlineStr">
        <is>
          <t>Industrial Production Index</t>
        </is>
      </c>
      <c r="D20" s="81" t="inlineStr">
        <is>
          <t>https://fred.stlouisfed.org/series/INDPRO</t>
        </is>
      </c>
      <c r="G20" s="55" t="n"/>
      <c r="H20" s="55" t="n"/>
      <c r="I20" s="26" t="n">
        <v>3371706</v>
      </c>
      <c r="J20" s="29" t="n">
        <v>1</v>
      </c>
      <c r="N20" s="95" t="inlineStr">
        <is>
          <t>Materials</t>
        </is>
      </c>
      <c r="O20" s="96"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81" t="inlineStr">
        <is>
          <t>IPMAT</t>
        </is>
      </c>
    </row>
    <row r="21" ht="15.75" customHeight="1" s="54">
      <c r="G21" s="82" t="n"/>
      <c r="N21" s="95" t="inlineStr">
        <is>
          <t>Consumer Goods</t>
        </is>
      </c>
      <c r="O21" s="96"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81" t="inlineStr">
        <is>
          <t>IPCONGD</t>
        </is>
      </c>
    </row>
    <row r="22" ht="15.75" customHeight="1" s="54">
      <c r="B22" s="1" t="inlineStr">
        <is>
          <t>Major Market Groups</t>
        </is>
      </c>
      <c r="I22" s="12" t="n"/>
      <c r="J22" s="13" t="inlineStr">
        <is>
          <t>Weight</t>
        </is>
      </c>
      <c r="N22" s="95" t="inlineStr">
        <is>
          <t>Business Equipment</t>
        </is>
      </c>
      <c r="O22" s="96"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81" t="inlineStr">
        <is>
          <t>IPBUSEQ</t>
        </is>
      </c>
    </row>
    <row r="23" ht="17.25" customHeight="1" s="54" thickBot="1">
      <c r="B23" s="81" t="inlineStr">
        <is>
          <t>Industrial Production Index</t>
        </is>
      </c>
      <c r="D23" s="81" t="inlineStr">
        <is>
          <t>https://fred.stlouisfed.org/series/INDPRO</t>
        </is>
      </c>
      <c r="I23" s="12" t="n">
        <v>3371706</v>
      </c>
      <c r="J23" s="27" t="n">
        <v>1</v>
      </c>
      <c r="N23" s="97" t="inlineStr">
        <is>
          <t>Construction supplies</t>
        </is>
      </c>
      <c r="O23" s="98"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81" t="inlineStr">
        <is>
          <t>IPB54100S</t>
        </is>
      </c>
    </row>
    <row r="24" ht="15.75" customHeight="1" s="54">
      <c r="B24" s="81" t="inlineStr">
        <is>
          <t>Materials</t>
        </is>
      </c>
      <c r="D24" s="81" t="inlineStr">
        <is>
          <t>https://fred.stlouisfed.org/series/IPMAT</t>
        </is>
      </c>
      <c r="G24" s="82" t="n"/>
      <c r="H24" s="82" t="n"/>
      <c r="I24" s="25" t="n">
        <v>1624304</v>
      </c>
      <c r="J24" s="28" t="n">
        <v>0.4817</v>
      </c>
    </row>
    <row r="25" ht="15.75" customHeight="1" s="54">
      <c r="B25" s="81" t="inlineStr">
        <is>
          <t>Consumer Goods</t>
        </is>
      </c>
      <c r="D25" s="81" t="inlineStr">
        <is>
          <t>https://fred.stlouisfed.org/series/IPCONGD</t>
        </is>
      </c>
      <c r="G25" s="82" t="n"/>
      <c r="H25" s="82" t="n"/>
      <c r="I25" s="25" t="n">
        <v>850761</v>
      </c>
      <c r="J25" s="28" t="n">
        <v>0.2523</v>
      </c>
    </row>
    <row r="26" ht="15.75" customHeight="1" s="54">
      <c r="B26" s="81" t="inlineStr">
        <is>
          <t>Others</t>
        </is>
      </c>
      <c r="G26" s="55" t="n"/>
      <c r="H26" s="55" t="n"/>
      <c r="I26" s="26" t="n">
        <v>423708</v>
      </c>
      <c r="J26" s="29" t="n">
        <v>0.1258</v>
      </c>
    </row>
    <row r="27" ht="15.75" customHeight="1" s="54" thickBot="1">
      <c r="B27" s="81" t="inlineStr">
        <is>
          <t>Business Equipment</t>
        </is>
      </c>
      <c r="D27" s="81" t="inlineStr">
        <is>
          <t>https://fred.stlouisfed.org/series/IPBUSEQ</t>
        </is>
      </c>
      <c r="G27" s="56" t="n"/>
      <c r="H27" s="56" t="n"/>
      <c r="I27" s="26" t="n">
        <v>333915</v>
      </c>
      <c r="J27" s="29" t="n">
        <v>0.099</v>
      </c>
    </row>
    <row r="28" ht="15.75" customHeight="1" s="54" thickBot="1">
      <c r="B28" s="81" t="inlineStr">
        <is>
          <t>Construction supplies</t>
        </is>
      </c>
      <c r="D28" s="81" t="inlineStr">
        <is>
          <t>https://fred.stlouisfed.org/series/IPB54100S</t>
        </is>
      </c>
      <c r="G28" s="56" t="n"/>
      <c r="H28" s="56" t="n"/>
      <c r="I28" s="26" t="n">
        <v>139018</v>
      </c>
      <c r="J28" s="29" t="n">
        <v>0.0412</v>
      </c>
      <c r="N28" s="44">
        <f>DATE(YEAR($P$14),MONTH($P$14)-1,DAY($P$14))</f>
        <v/>
      </c>
    </row>
    <row r="29" ht="15.75" customHeight="1" s="54" thickBot="1">
      <c r="B29" s="81" t="n"/>
      <c r="G29" s="82" t="inlineStr">
        <is>
          <t xml:space="preserve"> = Final Products + Materials</t>
        </is>
      </c>
      <c r="N29" s="52">
        <f>DATE(YEAR($P$14)-1,MONTH($P$14),DAY($P$14))</f>
        <v/>
      </c>
    </row>
    <row r="30">
      <c r="G30" s="82" t="inlineStr">
        <is>
          <t>Materials = Materials ex. Energy Materials + Energy Materials</t>
        </is>
      </c>
    </row>
    <row r="32">
      <c r="B32" s="1" t="inlineStr">
        <is>
          <t>Capacity Utilization</t>
        </is>
      </c>
      <c r="D32" s="94" t="inlineStr">
        <is>
          <t>https://fred.stlouisfed.org/series/TCU</t>
        </is>
      </c>
    </row>
    <row r="34">
      <c r="B34" s="1" t="n"/>
    </row>
    <row r="35" ht="33.75" customHeight="1" s="54">
      <c r="B35" s="80" t="n"/>
    </row>
    <row r="36">
      <c r="B36" s="23"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9"/>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row r="1238">
      <c r="A1238" s="100"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100" t="n">
        <v>44593</v>
      </c>
      <c r="B1239" t="n">
        <v>103.5811</v>
      </c>
      <c r="C1239" t="n">
        <v>105.6331</v>
      </c>
      <c r="D1239" t="n">
        <v>96.9727</v>
      </c>
      <c r="E1239" t="n">
        <v>102.1002</v>
      </c>
      <c r="F1239" t="n">
        <v>102.3567</v>
      </c>
      <c r="G1239" t="n">
        <v>104.4081</v>
      </c>
      <c r="H1239" t="n">
        <v>110.4771</v>
      </c>
      <c r="I1239" t="n">
        <v>106.9336</v>
      </c>
      <c r="J1239" t="n">
        <v>77.62130000000001</v>
      </c>
      <c r="K1239" t="n">
        <v>229.314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3"/>
  <sheetViews>
    <sheetView zoomScale="130" zoomScaleNormal="130" workbookViewId="0">
      <pane ySplit="6" topLeftCell="A1222" activePane="bottomLeft" state="frozen"/>
      <selection pane="bottomLeft" activeCell="O42" sqref="O42"/>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81" min="5" max="6"/>
    <col width="10.6640625" bestFit="1" customWidth="1" style="81" min="7" max="7"/>
    <col width="10.6640625" customWidth="1" style="81" min="8" max="8"/>
    <col width="9.1640625" customWidth="1" style="81" min="9" max="15"/>
    <col width="25" customWidth="1" style="81" min="16" max="16"/>
    <col width="9.1640625" customWidth="1" style="81" min="17" max="22"/>
    <col width="9.1640625" customWidth="1" style="81" min="23"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81">
        <f>YEAR(G13)</f>
        <v/>
      </c>
      <c r="K13" s="81">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81">
        <f>YEAR(G14)</f>
        <v/>
      </c>
      <c r="J14" s="81">
        <f>I14-I13</f>
        <v/>
      </c>
      <c r="K14" s="81">
        <f>VLOOKUP(G14,A:B,2,)</f>
        <v/>
      </c>
      <c r="L14" s="81">
        <f>(K14-K13)/K13</f>
        <v/>
      </c>
      <c r="M14" s="81">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81">
        <f>YEAR(G17)</f>
        <v/>
      </c>
      <c r="K17" s="81">
        <f>VLOOKUP(G17,A:B,2,)</f>
        <v/>
      </c>
    </row>
    <row r="18">
      <c r="A18" s="33" t="n">
        <v>7275</v>
      </c>
      <c r="B18" s="34">
        <f>VLOOKUP(Table10[[#This Row],[Month]],database!A:J,MATCH('IP from start'!$A$1,database!$A$1:$J$1,),)</f>
        <v/>
      </c>
      <c r="C18" s="34" t="n"/>
      <c r="D18" s="34" t="n"/>
      <c r="G18" s="3" t="n">
        <v>16803</v>
      </c>
      <c r="H18" s="3" t="inlineStr">
        <is>
          <t>To</t>
        </is>
      </c>
      <c r="I18" s="81">
        <f>YEAR(G18)</f>
        <v/>
      </c>
      <c r="J18" s="81">
        <f>I18-I17</f>
        <v/>
      </c>
      <c r="K18" s="81">
        <f>VLOOKUP(G18,A:B,2,)</f>
        <v/>
      </c>
      <c r="L18" s="81">
        <f>(K18-K17)/K17</f>
        <v/>
      </c>
      <c r="M18" s="81">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81">
        <f>YEAR(G21)</f>
        <v/>
      </c>
      <c r="K21" s="81">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81">
        <f>YEAR(G22)</f>
        <v/>
      </c>
      <c r="J22" s="81">
        <f>I22-I21</f>
        <v/>
      </c>
      <c r="K22" s="81">
        <f>VLOOKUP(G22,A:B,2,)</f>
        <v/>
      </c>
      <c r="L22" s="81">
        <f>(K22-K21)/K21</f>
        <v/>
      </c>
      <c r="M22" s="81">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81">
        <f>YEAR(G25)</f>
        <v/>
      </c>
      <c r="K25" s="81">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81">
        <f>YEAR(G26)</f>
        <v/>
      </c>
      <c r="J26" s="81">
        <f>I26-I25</f>
        <v/>
      </c>
      <c r="K26" s="81">
        <f>VLOOKUP(G26,A:B,2,)</f>
        <v/>
      </c>
      <c r="L26" s="81">
        <f>(K26-K25)/K25</f>
        <v/>
      </c>
      <c r="M26" s="81">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81">
        <f>YEAR(G29)</f>
        <v/>
      </c>
      <c r="K29" s="81">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81">
        <f>YEAR(G30)</f>
        <v/>
      </c>
      <c r="J30" s="81">
        <f>I30-I29</f>
        <v/>
      </c>
      <c r="K30" s="81">
        <f>VLOOKUP(G30,A:B,2,)</f>
        <v/>
      </c>
      <c r="L30" s="81">
        <f>(K30-K29)/K29</f>
        <v/>
      </c>
      <c r="M30" s="81">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81">
        <f>YEAR(G33)</f>
        <v/>
      </c>
      <c r="K33" s="81">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81">
        <f>YEAR(G34)</f>
        <v/>
      </c>
      <c r="J34" s="81">
        <f>I34-I33</f>
        <v/>
      </c>
      <c r="K34" s="81">
        <f>VLOOKUP(G34,A:B,2,)</f>
        <v/>
      </c>
      <c r="L34" s="81">
        <f>(K34-K33)/K33</f>
        <v/>
      </c>
      <c r="M34" s="81">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AVERAGE(D20:D1244)</f>
        <v/>
      </c>
    </row>
    <row r="41">
      <c r="A41" s="33" t="n">
        <v>7976</v>
      </c>
      <c r="B41" s="34">
        <f>VLOOKUP(Table10[[#This Row],[Month]],database!A:J,MATCH('IP from start'!$A$1,database!$A$1:$J$1,),)</f>
        <v/>
      </c>
      <c r="C41" s="35">
        <f>(Table10[[#This Row],[Industrial Production ]]-B29)/B29</f>
        <v/>
      </c>
      <c r="D41" s="36">
        <f>AVERAGE(C30:C41)</f>
        <v/>
      </c>
      <c r="I41" s="81" t="inlineStr">
        <is>
          <t>Mean</t>
        </is>
      </c>
      <c r="J41" s="81" t="n">
        <v>0.0372993633673819</v>
      </c>
    </row>
    <row r="42">
      <c r="A42" s="33" t="n">
        <v>8006</v>
      </c>
      <c r="B42" s="34">
        <f>VLOOKUP(Table10[[#This Row],[Month]],database!A:J,MATCH('IP from start'!$A$1,database!$A$1:$J$1,),)</f>
        <v/>
      </c>
      <c r="C42" s="35">
        <f>(Table10[[#This Row],[Industrial Production ]]-B30)/B30</f>
        <v/>
      </c>
      <c r="D42" s="36">
        <f>AVERAGE(C31:C42)</f>
        <v/>
      </c>
      <c r="I42" s="81" t="inlineStr">
        <is>
          <t>Standard Error</t>
        </is>
      </c>
      <c r="J42" s="81" t="n">
        <v>0.003157599706327589</v>
      </c>
    </row>
    <row r="43">
      <c r="A43" s="33" t="n">
        <v>8037</v>
      </c>
      <c r="B43" s="34">
        <f>VLOOKUP(Table10[[#This Row],[Month]],database!A:J,MATCH('IP from start'!$A$1,database!$A$1:$J$1,),)</f>
        <v/>
      </c>
      <c r="C43" s="35">
        <f>(Table10[[#This Row],[Industrial Production ]]-B31)/B31</f>
        <v/>
      </c>
      <c r="D43" s="36">
        <f>AVERAGE(C32:C43)</f>
        <v/>
      </c>
      <c r="I43" s="81" t="inlineStr">
        <is>
          <t>Median</t>
        </is>
      </c>
      <c r="J43" s="81" t="n">
        <v>0.0345958353828496</v>
      </c>
    </row>
    <row r="44">
      <c r="A44" s="33" t="n">
        <v>8068</v>
      </c>
      <c r="B44" s="34">
        <f>VLOOKUP(Table10[[#This Row],[Month]],database!A:J,MATCH('IP from start'!$A$1,database!$A$1:$J$1,),)</f>
        <v/>
      </c>
      <c r="C44" s="35">
        <f>(Table10[[#This Row],[Industrial Production ]]-B32)/B32</f>
        <v/>
      </c>
      <c r="D44" s="36">
        <f>AVERAGE(C33:C44)</f>
        <v/>
      </c>
      <c r="I44" s="81" t="inlineStr">
        <is>
          <t>Mode</t>
        </is>
      </c>
      <c r="J44" s="81" t="n">
        <v>0</v>
      </c>
    </row>
    <row r="45">
      <c r="A45" s="33" t="n">
        <v>8096</v>
      </c>
      <c r="B45" s="34">
        <f>VLOOKUP(Table10[[#This Row],[Month]],database!A:J,MATCH('IP from start'!$A$1,database!$A$1:$J$1,),)</f>
        <v/>
      </c>
      <c r="C45" s="35">
        <f>(Table10[[#This Row],[Industrial Production ]]-B33)/B33</f>
        <v/>
      </c>
      <c r="D45" s="36">
        <f>AVERAGE(C34:C45)</f>
        <v/>
      </c>
      <c r="I45" s="81" t="inlineStr">
        <is>
          <t>Standard Deviation</t>
        </is>
      </c>
      <c r="J45" s="81" t="n">
        <v>0.1090629636271741</v>
      </c>
    </row>
    <row r="46">
      <c r="A46" s="33" t="n">
        <v>8127</v>
      </c>
      <c r="B46" s="34">
        <f>VLOOKUP(Table10[[#This Row],[Month]],database!A:J,MATCH('IP from start'!$A$1,database!$A$1:$J$1,),)</f>
        <v/>
      </c>
      <c r="C46" s="35">
        <f>(Table10[[#This Row],[Industrial Production ]]-B34)/B34</f>
        <v/>
      </c>
      <c r="D46" s="36">
        <f>AVERAGE(C35:C46)</f>
        <v/>
      </c>
      <c r="I46" s="81" t="inlineStr">
        <is>
          <t>Sample Variance</t>
        </is>
      </c>
      <c r="J46" s="81" t="n">
        <v>0.01189473003514229</v>
      </c>
    </row>
    <row r="47">
      <c r="A47" s="33" t="n">
        <v>8157</v>
      </c>
      <c r="B47" s="34">
        <f>VLOOKUP(Table10[[#This Row],[Month]],database!A:J,MATCH('IP from start'!$A$1,database!$A$1:$J$1,),)</f>
        <v/>
      </c>
      <c r="C47" s="35">
        <f>(Table10[[#This Row],[Industrial Production ]]-B35)/B35</f>
        <v/>
      </c>
      <c r="D47" s="36">
        <f>AVERAGE(C36:C47)</f>
        <v/>
      </c>
      <c r="I47" s="81" t="inlineStr">
        <is>
          <t>Kurtosis</t>
        </is>
      </c>
      <c r="J47" s="81" t="n">
        <v>2.7408195579333</v>
      </c>
    </row>
    <row r="48">
      <c r="A48" s="33" t="n">
        <v>8188</v>
      </c>
      <c r="B48" s="34">
        <f>VLOOKUP(Table10[[#This Row],[Month]],database!A:J,MATCH('IP from start'!$A$1,database!$A$1:$J$1,),)</f>
        <v/>
      </c>
      <c r="C48" s="35">
        <f>(Table10[[#This Row],[Industrial Production ]]-B36)/B36</f>
        <v/>
      </c>
      <c r="D48" s="36">
        <f>AVERAGE(C37:C48)</f>
        <v/>
      </c>
      <c r="I48" s="81" t="inlineStr">
        <is>
          <t>Skewness</t>
        </is>
      </c>
      <c r="J48" s="81" t="n">
        <v>-0.03174640917564905</v>
      </c>
    </row>
    <row r="49">
      <c r="A49" s="33" t="n">
        <v>8218</v>
      </c>
      <c r="B49" s="34">
        <f>VLOOKUP(Table10[[#This Row],[Month]],database!A:J,MATCH('IP from start'!$A$1,database!$A$1:$J$1,),)</f>
        <v/>
      </c>
      <c r="C49" s="35">
        <f>(Table10[[#This Row],[Industrial Production ]]-B37)/B37</f>
        <v/>
      </c>
      <c r="D49" s="36">
        <f>AVERAGE(C38:C49)</f>
        <v/>
      </c>
      <c r="I49" s="81" t="inlineStr">
        <is>
          <t>Range</t>
        </is>
      </c>
      <c r="J49" s="81" t="n">
        <v>0.9570758856586723</v>
      </c>
    </row>
    <row r="50">
      <c r="A50" s="33" t="n">
        <v>8249</v>
      </c>
      <c r="B50" s="34">
        <f>VLOOKUP(Table10[[#This Row],[Month]],database!A:J,MATCH('IP from start'!$A$1,database!$A$1:$J$1,),)</f>
        <v/>
      </c>
      <c r="C50" s="35">
        <f>(Table10[[#This Row],[Industrial Production ]]-B38)/B38</f>
        <v/>
      </c>
      <c r="D50" s="36">
        <f>AVERAGE(C39:C50)</f>
        <v/>
      </c>
      <c r="I50" s="81" t="inlineStr">
        <is>
          <t>Minimum</t>
        </is>
      </c>
      <c r="J50" s="81" t="n">
        <v>-0.3366325423971207</v>
      </c>
    </row>
    <row r="51">
      <c r="A51" s="33" t="n">
        <v>8280</v>
      </c>
      <c r="B51" s="34">
        <f>VLOOKUP(Table10[[#This Row],[Month]],database!A:J,MATCH('IP from start'!$A$1,database!$A$1:$J$1,),)</f>
        <v/>
      </c>
      <c r="C51" s="35">
        <f>(Table10[[#This Row],[Industrial Production ]]-B39)/B39</f>
        <v/>
      </c>
      <c r="D51" s="36">
        <f>AVERAGE(C40:C51)</f>
        <v/>
      </c>
      <c r="I51" s="81" t="inlineStr">
        <is>
          <t>Maximum</t>
        </is>
      </c>
      <c r="J51" s="81" t="n">
        <v>0.6204433432615516</v>
      </c>
    </row>
    <row r="52">
      <c r="A52" s="33" t="n">
        <v>8310</v>
      </c>
      <c r="B52" s="34">
        <f>VLOOKUP(Table10[[#This Row],[Month]],database!A:J,MATCH('IP from start'!$A$1,database!$A$1:$J$1,),)</f>
        <v/>
      </c>
      <c r="C52" s="35">
        <f>(Table10[[#This Row],[Industrial Production ]]-B40)/B40</f>
        <v/>
      </c>
      <c r="D52" s="36">
        <f>AVERAGE(C41:C52)</f>
        <v/>
      </c>
      <c r="I52" s="81" t="inlineStr">
        <is>
          <t>Sum</t>
        </is>
      </c>
      <c r="J52" s="81"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7"/>
  <sheetViews>
    <sheetView zoomScale="150" zoomScaleNormal="150" workbookViewId="0">
      <pane ySplit="6" topLeftCell="A574" activePane="bottomLeft" state="frozen"/>
      <selection pane="bottomLeft" activeCell="X602" sqref="X602"/>
    </sheetView>
  </sheetViews>
  <sheetFormatPr baseColWidth="10" defaultColWidth="9.1640625" defaultRowHeight="15"/>
  <cols>
    <col width="20.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INDPRO</t>
        </is>
      </c>
      <c r="B1" s="81" t="n"/>
      <c r="C1" s="81" t="n"/>
      <c r="V1" s="57" t="inlineStr">
        <is>
          <t xml:space="preserve">Industrial Production Index </t>
        </is>
      </c>
      <c r="X1" s="81">
        <f>V1&amp;V2</f>
        <v/>
      </c>
      <c r="AB1" s="63">
        <f>X2&amp; V2</f>
        <v/>
      </c>
    </row>
    <row r="2">
      <c r="A2" s="18" t="n"/>
      <c r="B2" s="81" t="n"/>
      <c r="C2" s="67" t="n"/>
      <c r="K2" s="94" t="inlineStr">
        <is>
          <t>https://www.federalreserve.gov/releases/g17/current/default.htm</t>
        </is>
      </c>
      <c r="V2" s="67" t="inlineStr">
        <is>
          <t xml:space="preserve"> since 2000 - </t>
        </is>
      </c>
      <c r="X2" s="81">
        <f>V1&amp;Table1[[#Headers],[yoy]]</f>
        <v/>
      </c>
    </row>
    <row r="3">
      <c r="A3" s="18" t="n"/>
      <c r="B3" s="58" t="n"/>
      <c r="C3" s="67" t="n"/>
      <c r="K3" s="94" t="n"/>
    </row>
    <row r="4">
      <c r="A4" s="18" t="n"/>
      <c r="B4" s="58" t="n"/>
      <c r="C4" s="67" t="n"/>
      <c r="K4" s="94"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sheetData>
  <conditionalFormatting sqref="D463:D607">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6"/>
  <sheetViews>
    <sheetView zoomScale="120" zoomScaleNormal="120" workbookViewId="0">
      <pane ySplit="5" topLeftCell="A628" activePane="bottomLeft" state="frozen"/>
      <selection pane="bottomLeft" activeCell="S667" sqref="S667"/>
    </sheetView>
  </sheetViews>
  <sheetFormatPr baseColWidth="10" defaultColWidth="9.1640625" defaultRowHeight="15"/>
  <cols>
    <col width="9.1640625" customWidth="1" style="81" min="1" max="1"/>
    <col width="18.33203125" customWidth="1" style="13" min="2" max="2"/>
    <col width="13.6640625" customWidth="1" style="13" min="3" max="3"/>
    <col width="9.1640625" customWidth="1" style="81" min="4" max="8"/>
    <col width="9.1640625" customWidth="1" style="81" min="9" max="16384"/>
  </cols>
  <sheetData>
    <row r="1">
      <c r="A1" s="81"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7"/>
  <sheetViews>
    <sheetView zoomScale="150" zoomScaleNormal="150" workbookViewId="0">
      <pane ySplit="6" topLeftCell="A574" activePane="bottomLeft" state="frozen"/>
      <selection activeCell="A572" sqref="A572:D575"/>
      <selection pane="bottomLeft" activeCell="W588" sqref="W588"/>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IPMAT</t>
        </is>
      </c>
      <c r="B1" s="81" t="n"/>
      <c r="C1" s="81" t="n"/>
      <c r="S1" s="57" t="inlineStr">
        <is>
          <t>Industrial Production: Materials</t>
        </is>
      </c>
      <c r="T1" s="67" t="inlineStr">
        <is>
          <t xml:space="preserve"> since 2000 - </t>
        </is>
      </c>
      <c r="U1" s="81">
        <f>S1&amp;T1</f>
        <v/>
      </c>
      <c r="Y1" s="63">
        <f>U2&amp; T1</f>
        <v/>
      </c>
    </row>
    <row r="2">
      <c r="A2" s="18" t="n"/>
      <c r="B2" s="81" t="n"/>
      <c r="C2" s="81" t="n"/>
      <c r="S2" s="58" t="n"/>
      <c r="T2" s="67" t="n"/>
      <c r="U2" s="81">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sheetData>
  <conditionalFormatting sqref="D463:D6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7"/>
  <sheetViews>
    <sheetView zoomScale="150" zoomScaleNormal="150" workbookViewId="0">
      <pane ySplit="6" topLeftCell="A572" activePane="bottomLeft" state="frozen"/>
      <selection activeCell="J582" sqref="J582"/>
      <selection pane="bottomLeft" activeCell="X590" sqref="X590"/>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IPCONGD</t>
        </is>
      </c>
      <c r="B1" s="81" t="n"/>
      <c r="C1" s="81" t="n"/>
      <c r="S1" s="81" t="inlineStr">
        <is>
          <t>Industrial Production: Consumer Goods</t>
        </is>
      </c>
      <c r="T1" s="81" t="inlineStr">
        <is>
          <t xml:space="preserve"> since 2000 - </t>
        </is>
      </c>
      <c r="U1" s="81">
        <f>S1&amp;T1</f>
        <v/>
      </c>
      <c r="Y1" s="81">
        <f>U2&amp; T1</f>
        <v/>
      </c>
    </row>
    <row r="2">
      <c r="A2" s="18" t="n"/>
      <c r="B2" s="81" t="n"/>
      <c r="C2" s="81" t="n"/>
      <c r="U2" s="81">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sheetData>
  <conditionalFormatting sqref="D463:D607">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7"/>
  <sheetViews>
    <sheetView zoomScale="150" zoomScaleNormal="150" workbookViewId="0">
      <pane ySplit="6" topLeftCell="A577" activePane="bottomLeft" state="frozen"/>
      <selection activeCell="J582" sqref="J582"/>
      <selection pane="bottomLeft" activeCell="T613" sqref="T613"/>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IPBUSEQ</t>
        </is>
      </c>
      <c r="B1" s="81" t="n"/>
      <c r="C1" s="81" t="n"/>
      <c r="S1" s="81" t="inlineStr">
        <is>
          <t>Industrial Production: Business Equipment</t>
        </is>
      </c>
      <c r="T1" s="81" t="inlineStr">
        <is>
          <t xml:space="preserve"> since 2000 - </t>
        </is>
      </c>
      <c r="U1" s="81">
        <f>S1&amp;T1</f>
        <v/>
      </c>
      <c r="Y1" s="81">
        <f>U2&amp; T1</f>
        <v/>
      </c>
    </row>
    <row r="2">
      <c r="A2" s="18" t="n"/>
      <c r="B2" s="81" t="n"/>
      <c r="C2" s="81" t="n"/>
      <c r="U2" s="81">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sheetData>
  <conditionalFormatting sqref="D463:D6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7"/>
  <sheetViews>
    <sheetView topLeftCell="A570" zoomScale="150" zoomScaleNormal="150" workbookViewId="0">
      <selection activeCell="O611" sqref="O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INDPRO</t>
        </is>
      </c>
      <c r="B1" s="81" t="n"/>
      <c r="C1" s="81" t="n"/>
      <c r="U1" s="81" t="inlineStr">
        <is>
          <t>Industrial Production: Construction supllies</t>
        </is>
      </c>
      <c r="V1" s="81" t="inlineStr">
        <is>
          <t xml:space="preserve"> since 2000 - </t>
        </is>
      </c>
      <c r="W1" s="81">
        <f>U1&amp;V1</f>
        <v/>
      </c>
      <c r="AA1" s="81">
        <f>W2&amp; V1</f>
        <v/>
      </c>
    </row>
    <row r="2">
      <c r="A2" s="18" t="n"/>
      <c r="B2" s="81" t="n"/>
      <c r="C2" s="81" t="n"/>
      <c r="W2" s="81">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sheetData>
  <conditionalFormatting sqref="D463:D6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7"/>
  <sheetViews>
    <sheetView zoomScale="160" zoomScaleNormal="160" workbookViewId="0">
      <pane ySplit="6" topLeftCell="A583" activePane="bottomLeft" state="frozen"/>
      <selection activeCell="J582" sqref="J582"/>
      <selection pane="bottomLeft" activeCell="R614" sqref="R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IPMAN</t>
        </is>
      </c>
      <c r="B1" s="81" t="n"/>
      <c r="C1" s="81" t="n"/>
      <c r="S1" s="81" t="inlineStr">
        <is>
          <t>Industrial Production: Manufacturing (NAICS)</t>
        </is>
      </c>
      <c r="T1" s="81" t="inlineStr">
        <is>
          <t xml:space="preserve"> since 2000 - </t>
        </is>
      </c>
      <c r="U1" s="81">
        <f>S1&amp;T1</f>
        <v/>
      </c>
      <c r="Y1" s="81">
        <f>U2&amp; T1</f>
        <v/>
      </c>
    </row>
    <row r="2">
      <c r="A2" s="18" t="n"/>
      <c r="B2" s="81" t="n"/>
      <c r="C2" s="81" t="n"/>
      <c r="U2" s="81">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sheetData>
  <conditionalFormatting sqref="D463:D6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7"/>
  <sheetViews>
    <sheetView zoomScale="160" zoomScaleNormal="160" workbookViewId="0">
      <pane ySplit="6" topLeftCell="A575" activePane="bottomLeft" state="frozen"/>
      <selection activeCell="J582" sqref="J582"/>
      <selection pane="bottomLeft" activeCell="Q609" sqref="Q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17" t="inlineStr">
        <is>
          <t>IPMINE</t>
        </is>
      </c>
      <c r="B1" s="81" t="n"/>
      <c r="C1" s="81" t="n"/>
      <c r="S1" s="22" t="inlineStr">
        <is>
          <t>Industrial Production: Mining</t>
        </is>
      </c>
      <c r="T1" s="67" t="inlineStr">
        <is>
          <t xml:space="preserve"> since 2000 - </t>
        </is>
      </c>
      <c r="U1" s="81">
        <f>S1&amp;T1</f>
        <v/>
      </c>
      <c r="Y1" s="63">
        <f>U4&amp; T1</f>
        <v/>
      </c>
    </row>
    <row r="2">
      <c r="A2" s="17" t="n"/>
      <c r="B2" s="81" t="n"/>
      <c r="C2" s="81" t="n"/>
      <c r="S2" s="22" t="n"/>
      <c r="T2" s="67" t="n"/>
      <c r="Y2" s="63" t="n"/>
    </row>
    <row r="3">
      <c r="A3" s="17" t="n"/>
      <c r="B3" s="81" t="n"/>
      <c r="C3" s="81" t="n"/>
      <c r="S3" s="22" t="n"/>
      <c r="T3" s="67" t="n"/>
      <c r="Y3" s="63" t="n"/>
    </row>
    <row r="4">
      <c r="A4" s="18" t="n"/>
      <c r="B4" s="81" t="n"/>
      <c r="C4" s="81" t="n"/>
      <c r="S4" s="58" t="n"/>
      <c r="T4" s="67" t="n"/>
      <c r="U4" s="81">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sheetData>
  <conditionalFormatting sqref="D463:D607">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7"/>
  <sheetViews>
    <sheetView zoomScale="160" zoomScaleNormal="160" workbookViewId="0">
      <pane ySplit="6" topLeftCell="A574" activePane="bottomLeft" state="frozen"/>
      <selection activeCell="A572" sqref="A572:D575"/>
      <selection pane="bottomLeft" activeCell="M608" sqref="M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81" min="4" max="4"/>
    <col width="9.1640625" customWidth="1" style="81" min="5" max="10"/>
    <col width="9.1640625" customWidth="1" style="81" min="11" max="16384"/>
  </cols>
  <sheetData>
    <row r="1">
      <c r="A1" s="81" t="inlineStr">
        <is>
          <t>IPUTIL</t>
        </is>
      </c>
      <c r="B1" s="81" t="n"/>
      <c r="C1" s="81" t="n"/>
      <c r="S1" s="22" t="inlineStr">
        <is>
          <t>Industrial Production: Electric and gas utilities</t>
        </is>
      </c>
      <c r="T1" s="67" t="inlineStr">
        <is>
          <t xml:space="preserve"> since 2000 - </t>
        </is>
      </c>
      <c r="U1" s="81">
        <f>S1&amp;T1</f>
        <v/>
      </c>
      <c r="Y1" s="63">
        <f>U2&amp; T1</f>
        <v/>
      </c>
    </row>
    <row r="2">
      <c r="A2" s="18" t="n"/>
      <c r="B2" s="81" t="n"/>
      <c r="C2" s="81" t="n"/>
      <c r="S2" s="58" t="n"/>
      <c r="T2" s="67" t="n"/>
      <c r="U2" s="81">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sheetData>
  <conditionalFormatting sqref="D463:D6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2022-02-27T01:38:46Z</dcterms:modified>
  <cp:lastModifiedBy>Mark Mukherjee</cp:lastModifiedBy>
</cp:coreProperties>
</file>