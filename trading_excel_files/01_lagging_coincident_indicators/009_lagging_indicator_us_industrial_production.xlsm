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23F0DC3B-04F2-4531-9842-F37CF814F94C}" xr6:coauthVersionLast="47" xr6:coauthVersionMax="47" xr10:uidLastSave="{00000000-0000-0000-0000-000000000000}"/>
  <bookViews>
    <workbookView xWindow="-110" yWindow="-110" windowWidth="19420" windowHeight="115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8" i="12" l="1"/>
  <c r="C618" i="12" s="1"/>
  <c r="B618" i="11"/>
  <c r="D618" i="11" s="1"/>
  <c r="B618" i="10"/>
  <c r="D618" i="10" s="1"/>
  <c r="B618" i="9"/>
  <c r="C618" i="9" s="1"/>
  <c r="B618" i="8"/>
  <c r="B618" i="7"/>
  <c r="D618" i="7" s="1"/>
  <c r="B618" i="6"/>
  <c r="C618" i="6" s="1"/>
  <c r="B677" i="5"/>
  <c r="C677" i="5"/>
  <c r="B618" i="4"/>
  <c r="B1254" i="3"/>
  <c r="B617" i="12"/>
  <c r="B616" i="12"/>
  <c r="B615" i="12"/>
  <c r="B614" i="12"/>
  <c r="B613" i="12"/>
  <c r="B612" i="12"/>
  <c r="B611" i="12"/>
  <c r="B610" i="12"/>
  <c r="B609" i="12"/>
  <c r="B608" i="12"/>
  <c r="C608" i="12" s="1"/>
  <c r="B607" i="12"/>
  <c r="B606" i="12"/>
  <c r="D606" i="12" s="1"/>
  <c r="B605" i="12"/>
  <c r="B604" i="12"/>
  <c r="B603" i="12"/>
  <c r="C603" i="12" s="1"/>
  <c r="B602" i="12"/>
  <c r="B601" i="12"/>
  <c r="C601" i="12" s="1"/>
  <c r="D600" i="12"/>
  <c r="B600" i="12"/>
  <c r="B599" i="12"/>
  <c r="B598" i="12"/>
  <c r="B597" i="12"/>
  <c r="B596" i="12"/>
  <c r="B595" i="12"/>
  <c r="B594" i="12"/>
  <c r="B593" i="12"/>
  <c r="B592" i="12"/>
  <c r="B591" i="12"/>
  <c r="B590" i="12"/>
  <c r="B589" i="12"/>
  <c r="C589" i="12" s="1"/>
  <c r="B588" i="12"/>
  <c r="B587" i="12"/>
  <c r="B586" i="12"/>
  <c r="B585" i="12"/>
  <c r="D584" i="12"/>
  <c r="B584" i="12"/>
  <c r="B583" i="12"/>
  <c r="C582" i="12"/>
  <c r="B582" i="12"/>
  <c r="B581" i="12"/>
  <c r="B580" i="12"/>
  <c r="B579" i="12"/>
  <c r="B578" i="12"/>
  <c r="B577" i="12"/>
  <c r="D589" i="12" s="1"/>
  <c r="B576" i="12"/>
  <c r="B575" i="12"/>
  <c r="D575" i="12" s="1"/>
  <c r="B574" i="12"/>
  <c r="B573" i="12"/>
  <c r="B572" i="12"/>
  <c r="B571" i="12"/>
  <c r="B570" i="12"/>
  <c r="B569" i="12"/>
  <c r="B568" i="12"/>
  <c r="B567" i="12"/>
  <c r="D579" i="12" s="1"/>
  <c r="B566" i="12"/>
  <c r="B565" i="12"/>
  <c r="B564" i="12"/>
  <c r="B563" i="12"/>
  <c r="B562" i="12"/>
  <c r="B561" i="12"/>
  <c r="B560" i="12"/>
  <c r="D560" i="12" s="1"/>
  <c r="B559" i="12"/>
  <c r="B558" i="12"/>
  <c r="C558" i="12" s="1"/>
  <c r="B557" i="12"/>
  <c r="B556" i="12"/>
  <c r="B555" i="12"/>
  <c r="B554" i="12"/>
  <c r="B553" i="12"/>
  <c r="B552" i="12"/>
  <c r="B551" i="12"/>
  <c r="D551" i="12" s="1"/>
  <c r="B550" i="12"/>
  <c r="B549" i="12"/>
  <c r="B548" i="12"/>
  <c r="C549" i="12" s="1"/>
  <c r="B547" i="12"/>
  <c r="B546" i="12"/>
  <c r="B545" i="12"/>
  <c r="B544" i="12"/>
  <c r="C544" i="12" s="1"/>
  <c r="B543" i="12"/>
  <c r="D543" i="12" s="1"/>
  <c r="C542" i="12"/>
  <c r="B542" i="12"/>
  <c r="B541" i="12"/>
  <c r="B540" i="12"/>
  <c r="C540" i="12" s="1"/>
  <c r="B539" i="12"/>
  <c r="C538" i="12"/>
  <c r="B538" i="12"/>
  <c r="B537" i="12"/>
  <c r="B536" i="12"/>
  <c r="D548" i="12" s="1"/>
  <c r="B535" i="12"/>
  <c r="B534" i="12"/>
  <c r="B533" i="12"/>
  <c r="B532" i="12"/>
  <c r="B531" i="12"/>
  <c r="B530" i="12"/>
  <c r="B529" i="12"/>
  <c r="B528" i="12"/>
  <c r="C528" i="12" s="1"/>
  <c r="B527" i="12"/>
  <c r="D527" i="12" s="1"/>
  <c r="B526" i="12"/>
  <c r="B525" i="12"/>
  <c r="B524" i="12"/>
  <c r="B523" i="12"/>
  <c r="B522" i="12"/>
  <c r="B521" i="12"/>
  <c r="B520" i="12"/>
  <c r="B519" i="12"/>
  <c r="C519" i="12" s="1"/>
  <c r="D518" i="12"/>
  <c r="B518" i="12"/>
  <c r="B517" i="12"/>
  <c r="B516" i="12"/>
  <c r="D516" i="12" s="1"/>
  <c r="B515" i="12"/>
  <c r="B514" i="12"/>
  <c r="B513" i="12"/>
  <c r="B512" i="12"/>
  <c r="B511" i="12"/>
  <c r="B510" i="12"/>
  <c r="C510" i="12" s="1"/>
  <c r="B509" i="12"/>
  <c r="B508" i="12"/>
  <c r="B507" i="12"/>
  <c r="B506" i="12"/>
  <c r="B505" i="12"/>
  <c r="B504" i="12"/>
  <c r="B503" i="12"/>
  <c r="D515" i="12" s="1"/>
  <c r="B502" i="12"/>
  <c r="B501" i="12"/>
  <c r="B500" i="12"/>
  <c r="C500" i="12" s="1"/>
  <c r="D499" i="12"/>
  <c r="B499" i="12"/>
  <c r="B498" i="12"/>
  <c r="B497" i="12"/>
  <c r="B496" i="12"/>
  <c r="B495" i="12"/>
  <c r="B494" i="12"/>
  <c r="D494" i="12" s="1"/>
  <c r="B493" i="12"/>
  <c r="C493" i="12" s="1"/>
  <c r="B492" i="12"/>
  <c r="C492" i="12" s="1"/>
  <c r="B491" i="12"/>
  <c r="B490" i="12"/>
  <c r="B489" i="12"/>
  <c r="B488" i="12"/>
  <c r="B487" i="12"/>
  <c r="B486" i="12"/>
  <c r="B485" i="12"/>
  <c r="B484" i="12"/>
  <c r="D496" i="12" s="1"/>
  <c r="C483" i="12"/>
  <c r="B483" i="12"/>
  <c r="B482" i="12"/>
  <c r="B481" i="12"/>
  <c r="B480" i="12"/>
  <c r="B479" i="12"/>
  <c r="B478" i="12"/>
  <c r="B477" i="12"/>
  <c r="D489" i="12" s="1"/>
  <c r="B476" i="12"/>
  <c r="B475" i="12"/>
  <c r="D487" i="12" s="1"/>
  <c r="B474" i="12"/>
  <c r="C474" i="12" s="1"/>
  <c r="C473" i="12"/>
  <c r="B473" i="12"/>
  <c r="B472" i="12"/>
  <c r="C472" i="12" s="1"/>
  <c r="B471" i="12"/>
  <c r="B470" i="12"/>
  <c r="B469" i="12"/>
  <c r="B468" i="12"/>
  <c r="D468" i="12" s="1"/>
  <c r="B467" i="12"/>
  <c r="B466" i="12"/>
  <c r="D478" i="12" s="1"/>
  <c r="B465" i="12"/>
  <c r="B464" i="12"/>
  <c r="C464" i="12" s="1"/>
  <c r="B463" i="12"/>
  <c r="B462" i="12"/>
  <c r="B461" i="12"/>
  <c r="C461" i="12" s="1"/>
  <c r="B460" i="12"/>
  <c r="B459" i="12"/>
  <c r="B458" i="12"/>
  <c r="B457" i="12"/>
  <c r="C457" i="12" s="1"/>
  <c r="B456" i="12"/>
  <c r="B455" i="12"/>
  <c r="D455" i="12" s="1"/>
  <c r="B454" i="12"/>
  <c r="B453" i="12"/>
  <c r="D465" i="12" s="1"/>
  <c r="B452" i="12"/>
  <c r="B451" i="12"/>
  <c r="D451" i="12" s="1"/>
  <c r="B450" i="12"/>
  <c r="C449" i="12"/>
  <c r="B449" i="12"/>
  <c r="B448" i="12"/>
  <c r="B447" i="12"/>
  <c r="B446" i="12"/>
  <c r="B445" i="12"/>
  <c r="B444" i="12"/>
  <c r="B443" i="12"/>
  <c r="B442" i="12"/>
  <c r="B441" i="12"/>
  <c r="D453" i="12" s="1"/>
  <c r="B440" i="12"/>
  <c r="B439" i="12"/>
  <c r="B438" i="12"/>
  <c r="D438" i="12" s="1"/>
  <c r="B437" i="12"/>
  <c r="B436" i="12"/>
  <c r="B435" i="12"/>
  <c r="B434" i="12"/>
  <c r="C434" i="12" s="1"/>
  <c r="B433" i="12"/>
  <c r="B432" i="12"/>
  <c r="B431" i="12"/>
  <c r="B430" i="12"/>
  <c r="C431" i="12" s="1"/>
  <c r="B429" i="12"/>
  <c r="B428" i="12"/>
  <c r="B427" i="12"/>
  <c r="D426" i="12"/>
  <c r="B426" i="12"/>
  <c r="B425" i="12"/>
  <c r="B424" i="12"/>
  <c r="C424" i="12" s="1"/>
  <c r="B423" i="12"/>
  <c r="B422" i="12"/>
  <c r="B421" i="12"/>
  <c r="B420" i="12"/>
  <c r="B419" i="12"/>
  <c r="D431" i="12" s="1"/>
  <c r="B418" i="12"/>
  <c r="B417" i="12"/>
  <c r="B416" i="12"/>
  <c r="D416" i="12" s="1"/>
  <c r="D415" i="12"/>
  <c r="B415" i="12"/>
  <c r="C415" i="12" s="1"/>
  <c r="B414" i="12"/>
  <c r="B413" i="12"/>
  <c r="C414" i="12" s="1"/>
  <c r="B412" i="12"/>
  <c r="B411" i="12"/>
  <c r="B410" i="12"/>
  <c r="B409" i="12"/>
  <c r="B408" i="12"/>
  <c r="B407" i="12"/>
  <c r="D407" i="12" s="1"/>
  <c r="B406" i="12"/>
  <c r="B405" i="12"/>
  <c r="D417" i="12" s="1"/>
  <c r="B404" i="12"/>
  <c r="B403" i="12"/>
  <c r="C404" i="12" s="1"/>
  <c r="B402" i="12"/>
  <c r="B401" i="12"/>
  <c r="D413" i="12" s="1"/>
  <c r="B400" i="12"/>
  <c r="D400" i="12" s="1"/>
  <c r="B399" i="12"/>
  <c r="B398" i="12"/>
  <c r="C397" i="12"/>
  <c r="B397" i="12"/>
  <c r="B396" i="12"/>
  <c r="C396" i="12" s="1"/>
  <c r="B395" i="12"/>
  <c r="B394" i="12"/>
  <c r="C394" i="12" s="1"/>
  <c r="B393" i="12"/>
  <c r="B392" i="12"/>
  <c r="B391" i="12"/>
  <c r="D391" i="12" s="1"/>
  <c r="B390" i="12"/>
  <c r="B389" i="12"/>
  <c r="B388" i="12"/>
  <c r="B387" i="12"/>
  <c r="B386" i="12"/>
  <c r="B385" i="12"/>
  <c r="C385" i="12" s="1"/>
  <c r="B384" i="12"/>
  <c r="D384" i="12" s="1"/>
  <c r="B383" i="12"/>
  <c r="B382" i="12"/>
  <c r="B381" i="12"/>
  <c r="B380" i="12"/>
  <c r="B379" i="12"/>
  <c r="B378" i="12"/>
  <c r="B377" i="12"/>
  <c r="B376" i="12"/>
  <c r="B375" i="12"/>
  <c r="D375" i="12" s="1"/>
  <c r="B374" i="12"/>
  <c r="D386" i="12" s="1"/>
  <c r="B373" i="12"/>
  <c r="B372" i="12"/>
  <c r="B371" i="12"/>
  <c r="B370" i="12"/>
  <c r="B369" i="12"/>
  <c r="C369" i="12" s="1"/>
  <c r="B368" i="12"/>
  <c r="B367" i="12"/>
  <c r="B366" i="12"/>
  <c r="C365" i="12"/>
  <c r="B365" i="12"/>
  <c r="B364" i="12"/>
  <c r="C364" i="12" s="1"/>
  <c r="B363" i="12"/>
  <c r="B362" i="12"/>
  <c r="B361" i="12"/>
  <c r="D373" i="12" s="1"/>
  <c r="B360" i="12"/>
  <c r="D372" i="12" s="1"/>
  <c r="B359" i="12"/>
  <c r="D359" i="12" s="1"/>
  <c r="B358" i="12"/>
  <c r="B357" i="12"/>
  <c r="B356" i="12"/>
  <c r="B355" i="12"/>
  <c r="B354" i="12"/>
  <c r="B353" i="12"/>
  <c r="B352" i="12"/>
  <c r="B351" i="12"/>
  <c r="D363" i="12" s="1"/>
  <c r="B350" i="12"/>
  <c r="C350" i="12" s="1"/>
  <c r="C349" i="12"/>
  <c r="B349" i="12"/>
  <c r="B348" i="12"/>
  <c r="B347" i="12"/>
  <c r="B346" i="12"/>
  <c r="B345" i="12"/>
  <c r="B344" i="12"/>
  <c r="B343" i="12"/>
  <c r="B342" i="12"/>
  <c r="B341" i="12"/>
  <c r="B340" i="12"/>
  <c r="C341" i="12" s="1"/>
  <c r="B339" i="12"/>
  <c r="B338" i="12"/>
  <c r="B337" i="12"/>
  <c r="B336" i="12"/>
  <c r="B335" i="12"/>
  <c r="B334" i="12"/>
  <c r="C334" i="12" s="1"/>
  <c r="B333" i="12"/>
  <c r="B332" i="12"/>
  <c r="B331" i="12"/>
  <c r="B330" i="12"/>
  <c r="B329" i="12"/>
  <c r="B328" i="12"/>
  <c r="D328" i="12" s="1"/>
  <c r="B327" i="12"/>
  <c r="B326" i="12"/>
  <c r="B325" i="12"/>
  <c r="B324" i="12"/>
  <c r="B323" i="12"/>
  <c r="B322" i="12"/>
  <c r="B321" i="12"/>
  <c r="B320" i="12"/>
  <c r="C320" i="12" s="1"/>
  <c r="B319" i="12"/>
  <c r="D319" i="12" s="1"/>
  <c r="B318" i="12"/>
  <c r="D330" i="12" s="1"/>
  <c r="B317" i="12"/>
  <c r="C317" i="12" s="1"/>
  <c r="B316" i="12"/>
  <c r="B315" i="12"/>
  <c r="B314" i="12"/>
  <c r="B313" i="12"/>
  <c r="B312" i="12"/>
  <c r="B311" i="12"/>
  <c r="B310" i="12"/>
  <c r="B309" i="12"/>
  <c r="D321" i="12" s="1"/>
  <c r="D308" i="12"/>
  <c r="C308" i="12"/>
  <c r="B308" i="12"/>
  <c r="B307" i="12"/>
  <c r="B306" i="12"/>
  <c r="C307" i="12" s="1"/>
  <c r="B305" i="12"/>
  <c r="B304" i="12"/>
  <c r="B303" i="12"/>
  <c r="B302" i="12"/>
  <c r="B301" i="12"/>
  <c r="B300" i="12"/>
  <c r="D312" i="12" s="1"/>
  <c r="B299" i="12"/>
  <c r="B298" i="12"/>
  <c r="B297" i="12"/>
  <c r="B296" i="12"/>
  <c r="C297" i="12" s="1"/>
  <c r="B295" i="12"/>
  <c r="D295" i="12" s="1"/>
  <c r="B294" i="12"/>
  <c r="B293" i="12"/>
  <c r="B292" i="12"/>
  <c r="B291" i="12"/>
  <c r="B290" i="12"/>
  <c r="B289" i="12"/>
  <c r="B288" i="12"/>
  <c r="C288" i="12" s="1"/>
  <c r="B287" i="12"/>
  <c r="D299" i="12" s="1"/>
  <c r="B286" i="12"/>
  <c r="B285" i="12"/>
  <c r="D297" i="12" s="1"/>
  <c r="B284" i="12"/>
  <c r="B283" i="12"/>
  <c r="C283" i="12" s="1"/>
  <c r="B282" i="12"/>
  <c r="B281" i="12"/>
  <c r="C281" i="12" s="1"/>
  <c r="B280" i="12"/>
  <c r="D280" i="12" s="1"/>
  <c r="B279" i="12"/>
  <c r="B278" i="12"/>
  <c r="B277" i="12"/>
  <c r="B276" i="12"/>
  <c r="B275" i="12"/>
  <c r="B274" i="12"/>
  <c r="C274" i="12" s="1"/>
  <c r="B273" i="12"/>
  <c r="B272" i="12"/>
  <c r="D284" i="12" s="1"/>
  <c r="B271" i="12"/>
  <c r="B270" i="12"/>
  <c r="C269" i="12"/>
  <c r="B269" i="12"/>
  <c r="B268" i="12"/>
  <c r="B267" i="12"/>
  <c r="B266" i="12"/>
  <c r="B265" i="12"/>
  <c r="C264" i="12"/>
  <c r="B264" i="12"/>
  <c r="B263" i="12"/>
  <c r="B262" i="12"/>
  <c r="B261" i="12"/>
  <c r="D273" i="12" s="1"/>
  <c r="B260" i="12"/>
  <c r="C260" i="12" s="1"/>
  <c r="B259" i="12"/>
  <c r="B258" i="12"/>
  <c r="D258" i="12" s="1"/>
  <c r="B257" i="12"/>
  <c r="D269" i="12" s="1"/>
  <c r="B256" i="12"/>
  <c r="D268" i="12" s="1"/>
  <c r="B255" i="12"/>
  <c r="D255" i="12" s="1"/>
  <c r="B254" i="12"/>
  <c r="D254" i="12" s="1"/>
  <c r="B253" i="12"/>
  <c r="B252" i="12"/>
  <c r="B251" i="12"/>
  <c r="B250" i="12"/>
  <c r="D250" i="12" s="1"/>
  <c r="B249" i="12"/>
  <c r="B248" i="12"/>
  <c r="B247" i="12"/>
  <c r="B246" i="12"/>
  <c r="B245" i="12"/>
  <c r="C245" i="12" s="1"/>
  <c r="B244" i="12"/>
  <c r="B243" i="12"/>
  <c r="B242" i="12"/>
  <c r="B241" i="12"/>
  <c r="C241" i="12" s="1"/>
  <c r="B240" i="12"/>
  <c r="B239" i="12"/>
  <c r="C240" i="12" s="1"/>
  <c r="D238" i="12"/>
  <c r="B238" i="12"/>
  <c r="C238" i="12" s="1"/>
  <c r="B237" i="12"/>
  <c r="B236" i="12"/>
  <c r="B235" i="12"/>
  <c r="B234" i="12"/>
  <c r="B233" i="12"/>
  <c r="D245" i="12" s="1"/>
  <c r="B232" i="12"/>
  <c r="D232" i="12" s="1"/>
  <c r="B231" i="12"/>
  <c r="B230" i="12"/>
  <c r="B229" i="12"/>
  <c r="B228" i="12"/>
  <c r="D228" i="12" s="1"/>
  <c r="B227" i="12"/>
  <c r="D226" i="12"/>
  <c r="B226" i="12"/>
  <c r="B225" i="12"/>
  <c r="B224" i="12"/>
  <c r="B223" i="12"/>
  <c r="B222" i="12"/>
  <c r="C222" i="12" s="1"/>
  <c r="C221" i="12"/>
  <c r="B221" i="12"/>
  <c r="B220" i="12"/>
  <c r="B219" i="12"/>
  <c r="D219" i="12" s="1"/>
  <c r="B218" i="12"/>
  <c r="C218" i="12" s="1"/>
  <c r="B217" i="12"/>
  <c r="D229" i="12" s="1"/>
  <c r="B216" i="12"/>
  <c r="B215" i="12"/>
  <c r="B214" i="12"/>
  <c r="C214" i="12" s="1"/>
  <c r="B213" i="12"/>
  <c r="B212" i="12"/>
  <c r="B211" i="12"/>
  <c r="B210" i="12"/>
  <c r="B209" i="12"/>
  <c r="D208" i="12"/>
  <c r="C208" i="12"/>
  <c r="B208" i="12"/>
  <c r="B207" i="12"/>
  <c r="C207" i="12" s="1"/>
  <c r="B206" i="12"/>
  <c r="C206" i="12" s="1"/>
  <c r="B205" i="12"/>
  <c r="C205" i="12" s="1"/>
  <c r="B204" i="12"/>
  <c r="B203" i="12"/>
  <c r="B202" i="12"/>
  <c r="D214" i="12" s="1"/>
  <c r="B201" i="12"/>
  <c r="D200" i="12"/>
  <c r="B200" i="12"/>
  <c r="B199" i="12"/>
  <c r="B198" i="12"/>
  <c r="D210" i="12" s="1"/>
  <c r="B197" i="12"/>
  <c r="B196" i="12"/>
  <c r="C197" i="12" s="1"/>
  <c r="B195" i="12"/>
  <c r="B194" i="12"/>
  <c r="B193" i="12"/>
  <c r="D205" i="12" s="1"/>
  <c r="B192" i="12"/>
  <c r="B191" i="12"/>
  <c r="C191" i="12" s="1"/>
  <c r="C190" i="12"/>
  <c r="B190" i="12"/>
  <c r="B189" i="12"/>
  <c r="B188" i="12"/>
  <c r="D188" i="12" s="1"/>
  <c r="B187" i="12"/>
  <c r="B186" i="12"/>
  <c r="B185" i="12"/>
  <c r="B184" i="12"/>
  <c r="D184" i="12" s="1"/>
  <c r="B183" i="12"/>
  <c r="C183" i="12" s="1"/>
  <c r="B182" i="12"/>
  <c r="B181" i="12"/>
  <c r="B180" i="12"/>
  <c r="B179" i="12"/>
  <c r="B178" i="12"/>
  <c r="B177" i="12"/>
  <c r="D176" i="12"/>
  <c r="C176" i="12"/>
  <c r="B176" i="12"/>
  <c r="B175" i="12"/>
  <c r="B174" i="12"/>
  <c r="B173" i="12"/>
  <c r="B172" i="12"/>
  <c r="B171" i="12"/>
  <c r="D183" i="12" s="1"/>
  <c r="B170" i="12"/>
  <c r="B169" i="12"/>
  <c r="B168" i="12"/>
  <c r="B167" i="12"/>
  <c r="B166" i="12"/>
  <c r="B165" i="12"/>
  <c r="B164" i="12"/>
  <c r="B163" i="12"/>
  <c r="B162" i="12"/>
  <c r="D162" i="12" s="1"/>
  <c r="B161" i="12"/>
  <c r="D173" i="12" s="1"/>
  <c r="B160" i="12"/>
  <c r="D172" i="12" s="1"/>
  <c r="B159" i="12"/>
  <c r="D159" i="12" s="1"/>
  <c r="B158" i="12"/>
  <c r="B157" i="12"/>
  <c r="B156" i="12"/>
  <c r="B155" i="12"/>
  <c r="D155" i="12" s="1"/>
  <c r="B154" i="12"/>
  <c r="B153" i="12"/>
  <c r="B152" i="12"/>
  <c r="B151" i="12"/>
  <c r="B150" i="12"/>
  <c r="D150" i="12" s="1"/>
  <c r="B149" i="12"/>
  <c r="D148" i="12"/>
  <c r="B148" i="12"/>
  <c r="B147" i="12"/>
  <c r="B146" i="12"/>
  <c r="B145" i="12"/>
  <c r="B144" i="12"/>
  <c r="B143" i="12"/>
  <c r="B142" i="12"/>
  <c r="B141" i="12"/>
  <c r="B140" i="12"/>
  <c r="B139" i="12"/>
  <c r="B138" i="12"/>
  <c r="B137" i="12"/>
  <c r="C137" i="12" s="1"/>
  <c r="B136" i="12"/>
  <c r="C136" i="12" s="1"/>
  <c r="B135" i="12"/>
  <c r="D135" i="12" s="1"/>
  <c r="B134" i="12"/>
  <c r="B133" i="12"/>
  <c r="B132" i="12"/>
  <c r="C132" i="12" s="1"/>
  <c r="B131" i="12"/>
  <c r="B130" i="12"/>
  <c r="B129" i="12"/>
  <c r="B128" i="12"/>
  <c r="B127" i="12"/>
  <c r="B126" i="12"/>
  <c r="B125" i="12"/>
  <c r="B124" i="12"/>
  <c r="D124" i="12" s="1"/>
  <c r="D123" i="12"/>
  <c r="C123" i="12"/>
  <c r="B123" i="12"/>
  <c r="B122" i="12"/>
  <c r="B121" i="12"/>
  <c r="B120" i="12"/>
  <c r="B119" i="12"/>
  <c r="B118" i="12"/>
  <c r="B117" i="12"/>
  <c r="B116" i="12"/>
  <c r="B115" i="12"/>
  <c r="B114" i="12"/>
  <c r="D113" i="12"/>
  <c r="B113" i="12"/>
  <c r="B112" i="12"/>
  <c r="B111" i="12"/>
  <c r="B110" i="12"/>
  <c r="B109" i="12"/>
  <c r="B108" i="12"/>
  <c r="B107" i="12"/>
  <c r="B106" i="12"/>
  <c r="B105" i="12"/>
  <c r="B104" i="12"/>
  <c r="D104" i="12" s="1"/>
  <c r="B103" i="12"/>
  <c r="B102" i="12"/>
  <c r="B101" i="12"/>
  <c r="B100" i="12"/>
  <c r="B99" i="12"/>
  <c r="B98" i="12"/>
  <c r="B97" i="12"/>
  <c r="B96" i="12"/>
  <c r="B95" i="12"/>
  <c r="B94" i="12"/>
  <c r="B93" i="12"/>
  <c r="B92" i="12"/>
  <c r="D92" i="12" s="1"/>
  <c r="B91" i="12"/>
  <c r="C91" i="12" s="1"/>
  <c r="B90" i="12"/>
  <c r="B89" i="12"/>
  <c r="C89" i="12" s="1"/>
  <c r="B88" i="12"/>
  <c r="D87" i="12"/>
  <c r="C87" i="12"/>
  <c r="B87" i="12"/>
  <c r="B86" i="12"/>
  <c r="B85" i="12"/>
  <c r="B84" i="12"/>
  <c r="B83" i="12"/>
  <c r="D95" i="12" s="1"/>
  <c r="B82" i="12"/>
  <c r="D82" i="12" s="1"/>
  <c r="B81" i="12"/>
  <c r="C81" i="12" s="1"/>
  <c r="B80" i="12"/>
  <c r="B79" i="12"/>
  <c r="D78" i="12"/>
  <c r="B78" i="12"/>
  <c r="B77" i="12"/>
  <c r="D77" i="12" s="1"/>
  <c r="B76" i="12"/>
  <c r="D76" i="12" s="1"/>
  <c r="D75" i="12"/>
  <c r="C75" i="12"/>
  <c r="B75" i="12"/>
  <c r="B74" i="12"/>
  <c r="B73" i="12"/>
  <c r="D85" i="12" s="1"/>
  <c r="B72" i="12"/>
  <c r="B71" i="12"/>
  <c r="B70" i="12"/>
  <c r="B69" i="12"/>
  <c r="B68" i="12"/>
  <c r="B67" i="12"/>
  <c r="D67" i="12" s="1"/>
  <c r="B66" i="12"/>
  <c r="B65" i="12"/>
  <c r="C65" i="12" s="1"/>
  <c r="B64" i="12"/>
  <c r="C64" i="12" s="1"/>
  <c r="B63" i="12"/>
  <c r="B62" i="12"/>
  <c r="B61" i="12"/>
  <c r="C60" i="12"/>
  <c r="B60" i="12"/>
  <c r="D72" i="12" s="1"/>
  <c r="B59" i="12"/>
  <c r="B58" i="12"/>
  <c r="B57" i="12"/>
  <c r="B56" i="12"/>
  <c r="B55" i="12"/>
  <c r="D55" i="12" s="1"/>
  <c r="B54" i="12"/>
  <c r="B53" i="12"/>
  <c r="B52" i="12"/>
  <c r="B51" i="12"/>
  <c r="B50" i="12"/>
  <c r="B49" i="12"/>
  <c r="C49" i="12" s="1"/>
  <c r="B48" i="12"/>
  <c r="B47" i="12"/>
  <c r="D59" i="12" s="1"/>
  <c r="B46" i="12"/>
  <c r="B45" i="12"/>
  <c r="B44" i="12"/>
  <c r="C44" i="12" s="1"/>
  <c r="B43" i="12"/>
  <c r="B42" i="12"/>
  <c r="D42" i="12" s="1"/>
  <c r="B41" i="12"/>
  <c r="B40" i="12"/>
  <c r="D40" i="12" s="1"/>
  <c r="B39" i="12"/>
  <c r="B38" i="12"/>
  <c r="B37" i="12"/>
  <c r="B36" i="12"/>
  <c r="B35" i="12"/>
  <c r="D35" i="12" s="1"/>
  <c r="B34" i="12"/>
  <c r="B33" i="12"/>
  <c r="B32" i="12"/>
  <c r="D32" i="12" s="1"/>
  <c r="B31" i="12"/>
  <c r="B30" i="12"/>
  <c r="B29" i="12"/>
  <c r="B28" i="12"/>
  <c r="B27" i="12"/>
  <c r="D27" i="12" s="1"/>
  <c r="B26" i="12"/>
  <c r="D26" i="12" s="1"/>
  <c r="B25" i="12"/>
  <c r="D37" i="12" s="1"/>
  <c r="B24" i="12"/>
  <c r="C23" i="12"/>
  <c r="B23" i="12"/>
  <c r="B22" i="12"/>
  <c r="B21" i="12"/>
  <c r="B20" i="12"/>
  <c r="B19" i="12"/>
  <c r="B18" i="12"/>
  <c r="B17" i="12"/>
  <c r="B16" i="12"/>
  <c r="B15" i="12"/>
  <c r="B14" i="12"/>
  <c r="B13" i="12"/>
  <c r="C13" i="12" s="1"/>
  <c r="B12" i="12"/>
  <c r="B11" i="12"/>
  <c r="B10" i="12"/>
  <c r="B9" i="12"/>
  <c r="B8" i="12"/>
  <c r="C8" i="12" s="1"/>
  <c r="B7" i="12"/>
  <c r="U2" i="12"/>
  <c r="Y1" i="12" s="1"/>
  <c r="U1" i="12"/>
  <c r="B617" i="11"/>
  <c r="C617" i="11" s="1"/>
  <c r="B616" i="11"/>
  <c r="C616" i="11" s="1"/>
  <c r="B615" i="11"/>
  <c r="C615" i="11" s="1"/>
  <c r="B614" i="11"/>
  <c r="B613" i="11"/>
  <c r="B612" i="11"/>
  <c r="B611" i="11"/>
  <c r="C611" i="11" s="1"/>
  <c r="B610" i="11"/>
  <c r="B609" i="11"/>
  <c r="B608" i="11"/>
  <c r="B607" i="11"/>
  <c r="C607" i="11" s="1"/>
  <c r="B606" i="11"/>
  <c r="B605" i="11"/>
  <c r="B604" i="11"/>
  <c r="D616" i="11" s="1"/>
  <c r="B603" i="11"/>
  <c r="D615" i="11" s="1"/>
  <c r="B602" i="11"/>
  <c r="D614" i="11" s="1"/>
  <c r="B601" i="11"/>
  <c r="B600" i="11"/>
  <c r="B599" i="11"/>
  <c r="B598" i="11"/>
  <c r="B597" i="11"/>
  <c r="B596" i="11"/>
  <c r="B595" i="11"/>
  <c r="B594" i="11"/>
  <c r="D594" i="11" s="1"/>
  <c r="B593" i="11"/>
  <c r="D592" i="11"/>
  <c r="B592" i="11"/>
  <c r="B591" i="11"/>
  <c r="B590" i="11"/>
  <c r="B589" i="11"/>
  <c r="B588" i="11"/>
  <c r="B587" i="11"/>
  <c r="B586" i="11"/>
  <c r="B585" i="11"/>
  <c r="B584" i="11"/>
  <c r="B583" i="11"/>
  <c r="C583" i="11" s="1"/>
  <c r="B582" i="11"/>
  <c r="B581" i="11"/>
  <c r="B580" i="11"/>
  <c r="B579" i="11"/>
  <c r="B578" i="11"/>
  <c r="C578" i="11" s="1"/>
  <c r="B577" i="11"/>
  <c r="B576" i="11"/>
  <c r="D576" i="11" s="1"/>
  <c r="B575" i="11"/>
  <c r="D587" i="11" s="1"/>
  <c r="B574" i="11"/>
  <c r="B573" i="11"/>
  <c r="B572" i="11"/>
  <c r="B571" i="11"/>
  <c r="B570" i="11"/>
  <c r="D570" i="11" s="1"/>
  <c r="B569" i="11"/>
  <c r="B568" i="11"/>
  <c r="D567" i="11"/>
  <c r="B567" i="11"/>
  <c r="D579" i="11" s="1"/>
  <c r="B566" i="11"/>
  <c r="B565" i="11"/>
  <c r="B564" i="11"/>
  <c r="B563" i="11"/>
  <c r="C564" i="11" s="1"/>
  <c r="B562" i="11"/>
  <c r="C562" i="11" s="1"/>
  <c r="B561" i="11"/>
  <c r="C561" i="11" s="1"/>
  <c r="B560" i="11"/>
  <c r="D560" i="11" s="1"/>
  <c r="B559" i="11"/>
  <c r="B558" i="11"/>
  <c r="B557" i="11"/>
  <c r="C558" i="11" s="1"/>
  <c r="B556" i="11"/>
  <c r="B555" i="11"/>
  <c r="B554" i="11"/>
  <c r="B553" i="11"/>
  <c r="D552" i="11"/>
  <c r="B552" i="11"/>
  <c r="B551" i="11"/>
  <c r="B550" i="11"/>
  <c r="B549" i="11"/>
  <c r="B548" i="11"/>
  <c r="C549" i="11" s="1"/>
  <c r="B547" i="11"/>
  <c r="B546" i="11"/>
  <c r="B545" i="11"/>
  <c r="D544" i="11"/>
  <c r="B544" i="11"/>
  <c r="B543" i="11"/>
  <c r="B542" i="11"/>
  <c r="B541" i="11"/>
  <c r="B540" i="11"/>
  <c r="C541" i="11" s="1"/>
  <c r="B539" i="11"/>
  <c r="D539" i="11" s="1"/>
  <c r="C538" i="11"/>
  <c r="B538" i="11"/>
  <c r="B537" i="11"/>
  <c r="D549" i="11" s="1"/>
  <c r="B536" i="11"/>
  <c r="C537" i="11" s="1"/>
  <c r="B535" i="11"/>
  <c r="D535" i="11" s="1"/>
  <c r="B534" i="11"/>
  <c r="D546" i="11" s="1"/>
  <c r="B533" i="11"/>
  <c r="C532" i="11"/>
  <c r="B532" i="11"/>
  <c r="B531" i="11"/>
  <c r="B530" i="11"/>
  <c r="B529" i="11"/>
  <c r="B528" i="11"/>
  <c r="B527" i="11"/>
  <c r="B526" i="11"/>
  <c r="B525" i="11"/>
  <c r="C525" i="11" s="1"/>
  <c r="B524" i="11"/>
  <c r="B523" i="11"/>
  <c r="B522" i="11"/>
  <c r="B521" i="11"/>
  <c r="C521" i="11" s="1"/>
  <c r="B520" i="11"/>
  <c r="D532" i="11" s="1"/>
  <c r="B519" i="11"/>
  <c r="B518" i="11"/>
  <c r="B517" i="11"/>
  <c r="B516" i="11"/>
  <c r="D516" i="11" s="1"/>
  <c r="D515" i="11"/>
  <c r="C515" i="11"/>
  <c r="B515" i="11"/>
  <c r="D514" i="11"/>
  <c r="B514" i="11"/>
  <c r="B513" i="11"/>
  <c r="B512" i="11"/>
  <c r="B511" i="11"/>
  <c r="B510" i="11"/>
  <c r="B509" i="11"/>
  <c r="B508" i="11"/>
  <c r="B507" i="11"/>
  <c r="D506" i="11"/>
  <c r="B506" i="11"/>
  <c r="B505" i="11"/>
  <c r="B504" i="11"/>
  <c r="B503" i="11"/>
  <c r="B502" i="11"/>
  <c r="B501" i="11"/>
  <c r="D513" i="11" s="1"/>
  <c r="B500" i="11"/>
  <c r="D500" i="11" s="1"/>
  <c r="B499" i="11"/>
  <c r="B498" i="11"/>
  <c r="C497" i="11"/>
  <c r="B497" i="11"/>
  <c r="B496" i="11"/>
  <c r="B495" i="11"/>
  <c r="C495" i="11" s="1"/>
  <c r="B494" i="11"/>
  <c r="C494" i="11" s="1"/>
  <c r="B493" i="11"/>
  <c r="B492" i="11"/>
  <c r="B491" i="11"/>
  <c r="D491" i="11" s="1"/>
  <c r="D490" i="11"/>
  <c r="B490" i="11"/>
  <c r="B489" i="11"/>
  <c r="B488" i="11"/>
  <c r="C488" i="11" s="1"/>
  <c r="B487" i="11"/>
  <c r="B486" i="11"/>
  <c r="C486" i="11" s="1"/>
  <c r="B485" i="11"/>
  <c r="B484" i="11"/>
  <c r="D496" i="11" s="1"/>
  <c r="B483" i="11"/>
  <c r="B482" i="11"/>
  <c r="C481" i="11"/>
  <c r="B481" i="11"/>
  <c r="B480" i="11"/>
  <c r="B479" i="11"/>
  <c r="C480" i="11" s="1"/>
  <c r="B478" i="11"/>
  <c r="B477" i="11"/>
  <c r="D489" i="11" s="1"/>
  <c r="B476" i="11"/>
  <c r="D488" i="11" s="1"/>
  <c r="B475" i="11"/>
  <c r="B474" i="11"/>
  <c r="C474" i="11" s="1"/>
  <c r="B473" i="11"/>
  <c r="B472" i="11"/>
  <c r="C472" i="11" s="1"/>
  <c r="B471" i="11"/>
  <c r="B470" i="11"/>
  <c r="C471" i="11" s="1"/>
  <c r="B469" i="11"/>
  <c r="B468" i="11"/>
  <c r="B467" i="11"/>
  <c r="B466" i="11"/>
  <c r="C466" i="11" s="1"/>
  <c r="B465" i="11"/>
  <c r="B464" i="11"/>
  <c r="B463" i="11"/>
  <c r="B462" i="11"/>
  <c r="B461" i="11"/>
  <c r="B460" i="11"/>
  <c r="B459" i="11"/>
  <c r="C459" i="11" s="1"/>
  <c r="B458" i="11"/>
  <c r="B457" i="11"/>
  <c r="B456" i="11"/>
  <c r="B455" i="11"/>
  <c r="D467" i="11" s="1"/>
  <c r="B454" i="11"/>
  <c r="B453" i="11"/>
  <c r="B452" i="11"/>
  <c r="B451" i="11"/>
  <c r="B450" i="11"/>
  <c r="B449" i="11"/>
  <c r="C449" i="11" s="1"/>
  <c r="B448" i="11"/>
  <c r="C447" i="11"/>
  <c r="B447" i="11"/>
  <c r="B446" i="11"/>
  <c r="B445" i="11"/>
  <c r="B444" i="11"/>
  <c r="C444" i="11" s="1"/>
  <c r="B443" i="11"/>
  <c r="B442" i="11"/>
  <c r="B441" i="11"/>
  <c r="D453" i="11" s="1"/>
  <c r="B440" i="11"/>
  <c r="B439" i="11"/>
  <c r="B438" i="11"/>
  <c r="C439" i="11" s="1"/>
  <c r="B437" i="11"/>
  <c r="B436" i="11"/>
  <c r="D436" i="11" s="1"/>
  <c r="B435" i="11"/>
  <c r="C436" i="11" s="1"/>
  <c r="B434" i="11"/>
  <c r="B433" i="11"/>
  <c r="B432" i="11"/>
  <c r="B431" i="11"/>
  <c r="C431" i="11" s="1"/>
  <c r="B430" i="11"/>
  <c r="B429" i="11"/>
  <c r="B428" i="11"/>
  <c r="B427" i="11"/>
  <c r="B426" i="11"/>
  <c r="D426" i="11" s="1"/>
  <c r="B425" i="11"/>
  <c r="B424" i="11"/>
  <c r="B423" i="11"/>
  <c r="B422" i="11"/>
  <c r="B421" i="11"/>
  <c r="C420" i="11"/>
  <c r="B420" i="11"/>
  <c r="B419" i="11"/>
  <c r="B418" i="11"/>
  <c r="B417" i="11"/>
  <c r="C417" i="11" s="1"/>
  <c r="B416" i="11"/>
  <c r="C415" i="11"/>
  <c r="B415" i="11"/>
  <c r="D414" i="11"/>
  <c r="C414" i="11"/>
  <c r="B414" i="11"/>
  <c r="C413" i="11"/>
  <c r="B413" i="11"/>
  <c r="B412" i="11"/>
  <c r="B411" i="11"/>
  <c r="B410" i="11"/>
  <c r="B409" i="11"/>
  <c r="B408" i="11"/>
  <c r="D408" i="11" s="1"/>
  <c r="B407" i="11"/>
  <c r="D419" i="11" s="1"/>
  <c r="B406" i="11"/>
  <c r="C406" i="11" s="1"/>
  <c r="B405" i="11"/>
  <c r="B404" i="11"/>
  <c r="B403" i="11"/>
  <c r="C404" i="11" s="1"/>
  <c r="B402" i="11"/>
  <c r="B401" i="11"/>
  <c r="B400" i="11"/>
  <c r="D412" i="11" s="1"/>
  <c r="B399" i="11"/>
  <c r="D398" i="11"/>
  <c r="B398" i="11"/>
  <c r="B397" i="11"/>
  <c r="B396" i="11"/>
  <c r="B395" i="11"/>
  <c r="B394" i="11"/>
  <c r="B393" i="11"/>
  <c r="B392" i="11"/>
  <c r="B391" i="11"/>
  <c r="D391" i="11" s="1"/>
  <c r="B390" i="11"/>
  <c r="B389" i="11"/>
  <c r="B388" i="11"/>
  <c r="B387" i="11"/>
  <c r="B386" i="11"/>
  <c r="B385" i="11"/>
  <c r="B384" i="11"/>
  <c r="B383" i="11"/>
  <c r="D383" i="11" s="1"/>
  <c r="B382" i="11"/>
  <c r="B381" i="11"/>
  <c r="C380" i="11"/>
  <c r="B380" i="11"/>
  <c r="B379" i="11"/>
  <c r="C379" i="11" s="1"/>
  <c r="B378" i="11"/>
  <c r="B377" i="11"/>
  <c r="D389" i="11" s="1"/>
  <c r="B376" i="11"/>
  <c r="B375" i="11"/>
  <c r="B374" i="11"/>
  <c r="D374" i="11" s="1"/>
  <c r="B373" i="11"/>
  <c r="B372" i="11"/>
  <c r="B371" i="11"/>
  <c r="B370" i="11"/>
  <c r="C371" i="11" s="1"/>
  <c r="B369" i="11"/>
  <c r="B368" i="11"/>
  <c r="B367" i="11"/>
  <c r="B366" i="11"/>
  <c r="B365" i="11"/>
  <c r="B364" i="11"/>
  <c r="D364" i="11" s="1"/>
  <c r="B363" i="11"/>
  <c r="B362" i="11"/>
  <c r="B361" i="11"/>
  <c r="D373" i="11" s="1"/>
  <c r="B360" i="11"/>
  <c r="D360" i="11" s="1"/>
  <c r="B359" i="11"/>
  <c r="B358" i="11"/>
  <c r="C358" i="11" s="1"/>
  <c r="B357" i="11"/>
  <c r="C356" i="11"/>
  <c r="B356" i="11"/>
  <c r="D356" i="11" s="1"/>
  <c r="B355" i="11"/>
  <c r="B354" i="11"/>
  <c r="D354" i="11" s="1"/>
  <c r="B353" i="11"/>
  <c r="B352" i="11"/>
  <c r="B351" i="11"/>
  <c r="D363" i="11" s="1"/>
  <c r="B350" i="11"/>
  <c r="B349" i="11"/>
  <c r="C349" i="11" s="1"/>
  <c r="B348" i="11"/>
  <c r="C348" i="11" s="1"/>
  <c r="B347" i="11"/>
  <c r="B346" i="11"/>
  <c r="B345" i="11"/>
  <c r="B344" i="11"/>
  <c r="B343" i="11"/>
  <c r="C342" i="11"/>
  <c r="B342" i="11"/>
  <c r="B341" i="11"/>
  <c r="B340" i="11"/>
  <c r="D340" i="11" s="1"/>
  <c r="B339" i="11"/>
  <c r="B338" i="11"/>
  <c r="B337" i="11"/>
  <c r="B336" i="11"/>
  <c r="D348" i="11" s="1"/>
  <c r="B335" i="11"/>
  <c r="B334" i="11"/>
  <c r="B333" i="11"/>
  <c r="B332" i="11"/>
  <c r="B331" i="11"/>
  <c r="B330" i="11"/>
  <c r="C330" i="11" s="1"/>
  <c r="B329" i="11"/>
  <c r="B328" i="11"/>
  <c r="B327" i="11"/>
  <c r="B326" i="11"/>
  <c r="D326" i="11" s="1"/>
  <c r="B325" i="11"/>
  <c r="B324" i="11"/>
  <c r="B323" i="11"/>
  <c r="C324" i="11" s="1"/>
  <c r="B322" i="11"/>
  <c r="B321" i="11"/>
  <c r="B320" i="11"/>
  <c r="B319" i="11"/>
  <c r="D319" i="11" s="1"/>
  <c r="B318" i="11"/>
  <c r="B317" i="11"/>
  <c r="C317" i="11" s="1"/>
  <c r="B316" i="11"/>
  <c r="B315" i="11"/>
  <c r="B314" i="11"/>
  <c r="B313" i="11"/>
  <c r="B312" i="11"/>
  <c r="B311" i="11"/>
  <c r="B310" i="11"/>
  <c r="B309" i="11"/>
  <c r="B308" i="11"/>
  <c r="B307" i="11"/>
  <c r="B306" i="11"/>
  <c r="B305" i="11"/>
  <c r="B304" i="11"/>
  <c r="D304" i="11" s="1"/>
  <c r="B303" i="11"/>
  <c r="B302" i="11"/>
  <c r="B301" i="11"/>
  <c r="B300" i="11"/>
  <c r="B299" i="11"/>
  <c r="C298" i="11"/>
  <c r="B298" i="11"/>
  <c r="B297" i="11"/>
  <c r="B296" i="11"/>
  <c r="B295" i="11"/>
  <c r="B294" i="11"/>
  <c r="B293" i="11"/>
  <c r="D305" i="11" s="1"/>
  <c r="B292" i="11"/>
  <c r="B291" i="11"/>
  <c r="B290" i="11"/>
  <c r="D290" i="11" s="1"/>
  <c r="B289" i="11"/>
  <c r="D301" i="11" s="1"/>
  <c r="B288" i="11"/>
  <c r="B287" i="11"/>
  <c r="C288" i="11" s="1"/>
  <c r="B286" i="11"/>
  <c r="D298" i="11" s="1"/>
  <c r="B285" i="11"/>
  <c r="C286" i="11" s="1"/>
  <c r="B284" i="11"/>
  <c r="B283" i="11"/>
  <c r="B282" i="11"/>
  <c r="D282" i="11" s="1"/>
  <c r="B281" i="11"/>
  <c r="D293" i="11" s="1"/>
  <c r="B280" i="11"/>
  <c r="B279" i="11"/>
  <c r="B278" i="11"/>
  <c r="B277" i="11"/>
  <c r="B276" i="11"/>
  <c r="D288" i="11" s="1"/>
  <c r="B275" i="11"/>
  <c r="B274" i="11"/>
  <c r="B273" i="11"/>
  <c r="B272" i="11"/>
  <c r="D272" i="11" s="1"/>
  <c r="B271" i="11"/>
  <c r="B270" i="11"/>
  <c r="C270" i="11" s="1"/>
  <c r="B269" i="11"/>
  <c r="B268" i="11"/>
  <c r="B267" i="11"/>
  <c r="C268" i="11" s="1"/>
  <c r="B266" i="11"/>
  <c r="B265" i="11"/>
  <c r="D277" i="11" s="1"/>
  <c r="B264" i="11"/>
  <c r="C265" i="11" s="1"/>
  <c r="B263" i="11"/>
  <c r="B262" i="11"/>
  <c r="D262" i="11" s="1"/>
  <c r="B261" i="11"/>
  <c r="B260" i="11"/>
  <c r="B259" i="11"/>
  <c r="B258" i="11"/>
  <c r="C259" i="11" s="1"/>
  <c r="B257" i="11"/>
  <c r="B256" i="11"/>
  <c r="C256" i="11" s="1"/>
  <c r="B255" i="11"/>
  <c r="B254" i="11"/>
  <c r="D266" i="11" s="1"/>
  <c r="B253" i="11"/>
  <c r="C253" i="11" s="1"/>
  <c r="B252" i="11"/>
  <c r="B251" i="11"/>
  <c r="C251" i="11" s="1"/>
  <c r="B250" i="11"/>
  <c r="B249" i="11"/>
  <c r="B248" i="11"/>
  <c r="B247" i="11"/>
  <c r="D259" i="11" s="1"/>
  <c r="B246" i="11"/>
  <c r="D258" i="11" s="1"/>
  <c r="B245" i="11"/>
  <c r="D257" i="11" s="1"/>
  <c r="B244" i="11"/>
  <c r="B243" i="11"/>
  <c r="B242" i="11"/>
  <c r="B241" i="11"/>
  <c r="B240" i="11"/>
  <c r="B239" i="11"/>
  <c r="C240" i="11" s="1"/>
  <c r="B238" i="11"/>
  <c r="B237" i="11"/>
  <c r="B236" i="11"/>
  <c r="B235" i="11"/>
  <c r="D234" i="11"/>
  <c r="C234" i="11"/>
  <c r="B234" i="11"/>
  <c r="B233" i="11"/>
  <c r="B232" i="11"/>
  <c r="B231" i="11"/>
  <c r="B230" i="11"/>
  <c r="B229" i="11"/>
  <c r="B228" i="11"/>
  <c r="D240" i="11" s="1"/>
  <c r="B227" i="11"/>
  <c r="D239" i="11" s="1"/>
  <c r="B226" i="11"/>
  <c r="B225" i="11"/>
  <c r="B224" i="11"/>
  <c r="B223" i="11"/>
  <c r="C223" i="11" s="1"/>
  <c r="B222" i="11"/>
  <c r="B221" i="11"/>
  <c r="D233" i="11" s="1"/>
  <c r="B220" i="11"/>
  <c r="B219" i="11"/>
  <c r="D219" i="11" s="1"/>
  <c r="B218" i="11"/>
  <c r="C218" i="11" s="1"/>
  <c r="B217" i="11"/>
  <c r="B216" i="11"/>
  <c r="B215" i="11"/>
  <c r="B214" i="11"/>
  <c r="B213" i="11"/>
  <c r="B212" i="11"/>
  <c r="B211" i="11"/>
  <c r="B210" i="11"/>
  <c r="D222" i="11" s="1"/>
  <c r="B209" i="11"/>
  <c r="B208" i="11"/>
  <c r="B207" i="11"/>
  <c r="C207" i="11" s="1"/>
  <c r="B206" i="11"/>
  <c r="B205" i="11"/>
  <c r="B204" i="11"/>
  <c r="B203" i="11"/>
  <c r="D203" i="11" s="1"/>
  <c r="D202" i="11"/>
  <c r="B202" i="11"/>
  <c r="D214" i="11" s="1"/>
  <c r="B201" i="11"/>
  <c r="B200" i="11"/>
  <c r="B199" i="11"/>
  <c r="B198" i="11"/>
  <c r="B197" i="11"/>
  <c r="B196" i="11"/>
  <c r="C197" i="11" s="1"/>
  <c r="B195" i="11"/>
  <c r="D195" i="11" s="1"/>
  <c r="B194" i="11"/>
  <c r="C194" i="11" s="1"/>
  <c r="C193" i="11"/>
  <c r="B193" i="11"/>
  <c r="D205" i="11" s="1"/>
  <c r="B192" i="11"/>
  <c r="C192" i="11" s="1"/>
  <c r="B191" i="11"/>
  <c r="B190" i="11"/>
  <c r="B189" i="11"/>
  <c r="B188" i="11"/>
  <c r="B187" i="11"/>
  <c r="B186" i="11"/>
  <c r="B185" i="11"/>
  <c r="B184" i="11"/>
  <c r="D196" i="11" s="1"/>
  <c r="B183" i="11"/>
  <c r="B182" i="11"/>
  <c r="B181" i="11"/>
  <c r="B180" i="11"/>
  <c r="D180" i="11" s="1"/>
  <c r="B179" i="11"/>
  <c r="D179" i="11" s="1"/>
  <c r="B178" i="11"/>
  <c r="B177" i="11"/>
  <c r="C177" i="11" s="1"/>
  <c r="C176" i="11"/>
  <c r="B176" i="11"/>
  <c r="B175" i="11"/>
  <c r="B174" i="11"/>
  <c r="B173" i="11"/>
  <c r="B172" i="11"/>
  <c r="C173" i="11" s="1"/>
  <c r="B171" i="11"/>
  <c r="B170" i="11"/>
  <c r="D170" i="11" s="1"/>
  <c r="B169" i="11"/>
  <c r="D168" i="11"/>
  <c r="B168" i="11"/>
  <c r="C168" i="11" s="1"/>
  <c r="B167" i="11"/>
  <c r="B166" i="11"/>
  <c r="B165" i="11"/>
  <c r="B164" i="11"/>
  <c r="B163" i="11"/>
  <c r="B162" i="11"/>
  <c r="B161" i="11"/>
  <c r="B160" i="11"/>
  <c r="B159" i="11"/>
  <c r="B158" i="11"/>
  <c r="D158" i="11" s="1"/>
  <c r="B157" i="11"/>
  <c r="C158" i="11" s="1"/>
  <c r="B156" i="11"/>
  <c r="B155" i="11"/>
  <c r="B154" i="11"/>
  <c r="D166" i="11" s="1"/>
  <c r="B153" i="11"/>
  <c r="B152" i="11"/>
  <c r="B151" i="11"/>
  <c r="D150" i="11"/>
  <c r="B150" i="11"/>
  <c r="B149" i="11"/>
  <c r="B148" i="11"/>
  <c r="B147" i="11"/>
  <c r="B146" i="11"/>
  <c r="B145" i="11"/>
  <c r="D157" i="11" s="1"/>
  <c r="B144" i="11"/>
  <c r="D144" i="11" s="1"/>
  <c r="B143" i="11"/>
  <c r="B142" i="11"/>
  <c r="B141" i="11"/>
  <c r="B140" i="11"/>
  <c r="B139" i="11"/>
  <c r="B138" i="11"/>
  <c r="B137" i="11"/>
  <c r="B136" i="11"/>
  <c r="B135" i="11"/>
  <c r="D135" i="11" s="1"/>
  <c r="B134" i="11"/>
  <c r="D134" i="11" s="1"/>
  <c r="C133" i="11"/>
  <c r="B133" i="11"/>
  <c r="B132" i="11"/>
  <c r="C132" i="11" s="1"/>
  <c r="B131" i="11"/>
  <c r="B130" i="11"/>
  <c r="C131" i="11" s="1"/>
  <c r="B129" i="11"/>
  <c r="B128" i="11"/>
  <c r="B127" i="11"/>
  <c r="D127" i="11" s="1"/>
  <c r="B126" i="11"/>
  <c r="B125" i="11"/>
  <c r="B124" i="11"/>
  <c r="B123" i="11"/>
  <c r="D123" i="11" s="1"/>
  <c r="B122" i="11"/>
  <c r="D122" i="11" s="1"/>
  <c r="B121" i="11"/>
  <c r="D133" i="11" s="1"/>
  <c r="B120" i="11"/>
  <c r="C120" i="11" s="1"/>
  <c r="B119" i="11"/>
  <c r="B118" i="11"/>
  <c r="B117" i="11"/>
  <c r="B116" i="11"/>
  <c r="C116" i="11" s="1"/>
  <c r="B115" i="11"/>
  <c r="B114" i="11"/>
  <c r="B113" i="11"/>
  <c r="B112" i="11"/>
  <c r="D112" i="11" s="1"/>
  <c r="C111" i="11"/>
  <c r="B111" i="11"/>
  <c r="D110" i="11"/>
  <c r="B110" i="11"/>
  <c r="B109" i="11"/>
  <c r="B108" i="11"/>
  <c r="B107" i="11"/>
  <c r="B106" i="11"/>
  <c r="B105" i="11"/>
  <c r="B104" i="11"/>
  <c r="B103" i="11"/>
  <c r="D115" i="11" s="1"/>
  <c r="B102" i="11"/>
  <c r="B101" i="11"/>
  <c r="B100" i="11"/>
  <c r="C100" i="11" s="1"/>
  <c r="B99" i="11"/>
  <c r="B98" i="11"/>
  <c r="B97" i="11"/>
  <c r="B96" i="11"/>
  <c r="D96" i="11" s="1"/>
  <c r="B95" i="11"/>
  <c r="C94" i="11"/>
  <c r="B94" i="11"/>
  <c r="B93" i="11"/>
  <c r="B92" i="11"/>
  <c r="B91" i="11"/>
  <c r="C91" i="11" s="1"/>
  <c r="B90" i="11"/>
  <c r="B89" i="11"/>
  <c r="D101" i="11" s="1"/>
  <c r="B88" i="11"/>
  <c r="D88" i="11" s="1"/>
  <c r="B87" i="11"/>
  <c r="B86" i="11"/>
  <c r="D86" i="11" s="1"/>
  <c r="B85" i="11"/>
  <c r="B84" i="11"/>
  <c r="D84" i="11" s="1"/>
  <c r="B83" i="11"/>
  <c r="C84" i="11" s="1"/>
  <c r="B82" i="11"/>
  <c r="B81" i="11"/>
  <c r="B80" i="11"/>
  <c r="B79" i="11"/>
  <c r="B78" i="11"/>
  <c r="D90" i="11" s="1"/>
  <c r="B77" i="11"/>
  <c r="C77" i="11" s="1"/>
  <c r="C76" i="11"/>
  <c r="B76" i="11"/>
  <c r="B75" i="11"/>
  <c r="B74" i="11"/>
  <c r="C74" i="11" s="1"/>
  <c r="B73" i="11"/>
  <c r="B72" i="11"/>
  <c r="B71" i="11"/>
  <c r="B70" i="11"/>
  <c r="B69" i="11"/>
  <c r="B68" i="11"/>
  <c r="B67" i="11"/>
  <c r="D67" i="11" s="1"/>
  <c r="B66" i="11"/>
  <c r="C67" i="11" s="1"/>
  <c r="B65" i="11"/>
  <c r="B64" i="11"/>
  <c r="D76" i="11" s="1"/>
  <c r="B63" i="11"/>
  <c r="B62" i="11"/>
  <c r="D62" i="11" s="1"/>
  <c r="B61" i="11"/>
  <c r="C61" i="11" s="1"/>
  <c r="B60" i="11"/>
  <c r="B59" i="11"/>
  <c r="B58" i="11"/>
  <c r="B57" i="11"/>
  <c r="B56" i="11"/>
  <c r="B55" i="11"/>
  <c r="B54" i="11"/>
  <c r="D54" i="11" s="1"/>
  <c r="B53" i="11"/>
  <c r="D52" i="11"/>
  <c r="B52" i="11"/>
  <c r="B51" i="11"/>
  <c r="C51" i="11" s="1"/>
  <c r="B50" i="11"/>
  <c r="B49" i="11"/>
  <c r="B48" i="11"/>
  <c r="C49" i="11" s="1"/>
  <c r="B47" i="11"/>
  <c r="B46" i="11"/>
  <c r="B45" i="11"/>
  <c r="C45" i="11" s="1"/>
  <c r="B44" i="11"/>
  <c r="B43" i="11"/>
  <c r="B42" i="11"/>
  <c r="C42" i="11" s="1"/>
  <c r="B41" i="11"/>
  <c r="B40" i="11"/>
  <c r="B39" i="11"/>
  <c r="D39" i="11" s="1"/>
  <c r="B38" i="11"/>
  <c r="D50" i="11" s="1"/>
  <c r="B37" i="11"/>
  <c r="D49" i="11" s="1"/>
  <c r="C36" i="11"/>
  <c r="B36" i="11"/>
  <c r="C35" i="11"/>
  <c r="B35" i="11"/>
  <c r="B34" i="11"/>
  <c r="B33" i="11"/>
  <c r="B32" i="11"/>
  <c r="B31" i="11"/>
  <c r="C30" i="11"/>
  <c r="B30" i="11"/>
  <c r="C29" i="11"/>
  <c r="B29" i="11"/>
  <c r="B28" i="11"/>
  <c r="B27" i="11"/>
  <c r="B26" i="11"/>
  <c r="C26" i="11" s="1"/>
  <c r="B25" i="11"/>
  <c r="B24" i="11"/>
  <c r="B23" i="11"/>
  <c r="D23" i="11" s="1"/>
  <c r="B22" i="11"/>
  <c r="B21" i="11"/>
  <c r="B20" i="11"/>
  <c r="B19" i="11"/>
  <c r="B18" i="11"/>
  <c r="C18" i="11" s="1"/>
  <c r="B17" i="11"/>
  <c r="B16" i="11"/>
  <c r="B15" i="11"/>
  <c r="B14" i="11"/>
  <c r="D26" i="11" s="1"/>
  <c r="B13" i="11"/>
  <c r="D25" i="11" s="1"/>
  <c r="B12" i="11"/>
  <c r="C12" i="11" s="1"/>
  <c r="B11" i="11"/>
  <c r="B10" i="11"/>
  <c r="B9" i="11"/>
  <c r="B8" i="11"/>
  <c r="D20" i="11" s="1"/>
  <c r="B7" i="11"/>
  <c r="U4" i="11"/>
  <c r="Y1" i="11"/>
  <c r="U1" i="11"/>
  <c r="B617" i="10"/>
  <c r="D617" i="10" s="1"/>
  <c r="B616" i="10"/>
  <c r="B615" i="10"/>
  <c r="B614" i="10"/>
  <c r="C614" i="10" s="1"/>
  <c r="B613" i="10"/>
  <c r="B612" i="10"/>
  <c r="B611" i="10"/>
  <c r="D611" i="10" s="1"/>
  <c r="B610" i="10"/>
  <c r="D610" i="10" s="1"/>
  <c r="B609" i="10"/>
  <c r="D609" i="10" s="1"/>
  <c r="B608" i="10"/>
  <c r="B607" i="10"/>
  <c r="B606" i="10"/>
  <c r="C607" i="10" s="1"/>
  <c r="B605" i="10"/>
  <c r="D605" i="10" s="1"/>
  <c r="B604" i="10"/>
  <c r="C605" i="10" s="1"/>
  <c r="B603" i="10"/>
  <c r="C603" i="10" s="1"/>
  <c r="B602" i="10"/>
  <c r="B601" i="10"/>
  <c r="D601" i="10" s="1"/>
  <c r="D600" i="10"/>
  <c r="B600" i="10"/>
  <c r="B599" i="10"/>
  <c r="B598" i="10"/>
  <c r="B597" i="10"/>
  <c r="D597" i="10" s="1"/>
  <c r="B596" i="10"/>
  <c r="C596" i="10" s="1"/>
  <c r="B595" i="10"/>
  <c r="B594" i="10"/>
  <c r="D594" i="10" s="1"/>
  <c r="B593" i="10"/>
  <c r="B592" i="10"/>
  <c r="B591" i="10"/>
  <c r="B590" i="10"/>
  <c r="D589" i="10"/>
  <c r="B589" i="10"/>
  <c r="B588" i="10"/>
  <c r="B587" i="10"/>
  <c r="B586" i="10"/>
  <c r="B585" i="10"/>
  <c r="B584" i="10"/>
  <c r="B583" i="10"/>
  <c r="B582" i="10"/>
  <c r="B581" i="10"/>
  <c r="B580" i="10"/>
  <c r="B579" i="10"/>
  <c r="B578" i="10"/>
  <c r="D578" i="10" s="1"/>
  <c r="D577" i="10"/>
  <c r="B577" i="10"/>
  <c r="B576" i="10"/>
  <c r="B575" i="10"/>
  <c r="B574" i="10"/>
  <c r="B573" i="10"/>
  <c r="B572" i="10"/>
  <c r="C573" i="10" s="1"/>
  <c r="C571" i="10"/>
  <c r="B571" i="10"/>
  <c r="B570" i="10"/>
  <c r="D582" i="10" s="1"/>
  <c r="B569" i="10"/>
  <c r="D569" i="10" s="1"/>
  <c r="B568" i="10"/>
  <c r="C568" i="10" s="1"/>
  <c r="B567" i="10"/>
  <c r="B566" i="10"/>
  <c r="B565" i="10"/>
  <c r="D565" i="10" s="1"/>
  <c r="B564" i="10"/>
  <c r="B563" i="10"/>
  <c r="B562" i="10"/>
  <c r="C562" i="10" s="1"/>
  <c r="D561" i="10"/>
  <c r="B561" i="10"/>
  <c r="C560" i="10"/>
  <c r="B560" i="10"/>
  <c r="B559" i="10"/>
  <c r="B558" i="10"/>
  <c r="B557" i="10"/>
  <c r="D557" i="10" s="1"/>
  <c r="B556" i="10"/>
  <c r="B555" i="10"/>
  <c r="D555" i="10" s="1"/>
  <c r="B554" i="10"/>
  <c r="D553" i="10"/>
  <c r="B553" i="10"/>
  <c r="B552" i="10"/>
  <c r="B551" i="10"/>
  <c r="B550" i="10"/>
  <c r="B549" i="10"/>
  <c r="D549" i="10" s="1"/>
  <c r="B548" i="10"/>
  <c r="C549" i="10" s="1"/>
  <c r="B547" i="10"/>
  <c r="B546" i="10"/>
  <c r="C546" i="10" s="1"/>
  <c r="D545" i="10"/>
  <c r="B545" i="10"/>
  <c r="B544" i="10"/>
  <c r="B543" i="10"/>
  <c r="D543" i="10" s="1"/>
  <c r="B542" i="10"/>
  <c r="B541" i="10"/>
  <c r="D541" i="10" s="1"/>
  <c r="B540" i="10"/>
  <c r="D539" i="10"/>
  <c r="C539" i="10"/>
  <c r="B539" i="10"/>
  <c r="B538" i="10"/>
  <c r="C538" i="10" s="1"/>
  <c r="B537" i="10"/>
  <c r="D537" i="10" s="1"/>
  <c r="B536" i="10"/>
  <c r="B535" i="10"/>
  <c r="D535" i="10" s="1"/>
  <c r="B534" i="10"/>
  <c r="C534" i="10" s="1"/>
  <c r="D533" i="10"/>
  <c r="B533" i="10"/>
  <c r="B532" i="10"/>
  <c r="B531" i="10"/>
  <c r="B530" i="10"/>
  <c r="D542" i="10" s="1"/>
  <c r="B529" i="10"/>
  <c r="D529" i="10" s="1"/>
  <c r="B528" i="10"/>
  <c r="C529" i="10" s="1"/>
  <c r="B527" i="10"/>
  <c r="C527" i="10" s="1"/>
  <c r="B526" i="10"/>
  <c r="D538" i="10" s="1"/>
  <c r="B525" i="10"/>
  <c r="B524" i="10"/>
  <c r="C525" i="10" s="1"/>
  <c r="B523" i="10"/>
  <c r="C524" i="10" s="1"/>
  <c r="D522" i="10"/>
  <c r="C522" i="10"/>
  <c r="B522" i="10"/>
  <c r="B521" i="10"/>
  <c r="D521" i="10" s="1"/>
  <c r="B520" i="10"/>
  <c r="B519" i="10"/>
  <c r="B518" i="10"/>
  <c r="B517" i="10"/>
  <c r="D517" i="10" s="1"/>
  <c r="B516" i="10"/>
  <c r="D516" i="10" s="1"/>
  <c r="B515" i="10"/>
  <c r="B514" i="10"/>
  <c r="C514" i="10" s="1"/>
  <c r="D513" i="10"/>
  <c r="B513" i="10"/>
  <c r="D525" i="10" s="1"/>
  <c r="B512" i="10"/>
  <c r="B511" i="10"/>
  <c r="B510" i="10"/>
  <c r="B509" i="10"/>
  <c r="B508" i="10"/>
  <c r="B507" i="10"/>
  <c r="D519" i="10" s="1"/>
  <c r="B506" i="10"/>
  <c r="D505" i="10"/>
  <c r="B505" i="10"/>
  <c r="B504" i="10"/>
  <c r="B503" i="10"/>
  <c r="B502" i="10"/>
  <c r="B501" i="10"/>
  <c r="D501" i="10" s="1"/>
  <c r="B500" i="10"/>
  <c r="B499" i="10"/>
  <c r="D511" i="10" s="1"/>
  <c r="B498" i="10"/>
  <c r="D510" i="10" s="1"/>
  <c r="B497" i="10"/>
  <c r="D497" i="10" s="1"/>
  <c r="B496" i="10"/>
  <c r="B495" i="10"/>
  <c r="B494" i="10"/>
  <c r="B493" i="10"/>
  <c r="B492" i="10"/>
  <c r="B491" i="10"/>
  <c r="D491" i="10" s="1"/>
  <c r="B490" i="10"/>
  <c r="C491" i="10" s="1"/>
  <c r="D489" i="10"/>
  <c r="B489" i="10"/>
  <c r="B488" i="10"/>
  <c r="B487" i="10"/>
  <c r="B486" i="10"/>
  <c r="B485" i="10"/>
  <c r="D485" i="10" s="1"/>
  <c r="B484" i="10"/>
  <c r="D496" i="10" s="1"/>
  <c r="B483" i="10"/>
  <c r="D495" i="10" s="1"/>
  <c r="B482" i="10"/>
  <c r="B481" i="10"/>
  <c r="D481" i="10" s="1"/>
  <c r="B480" i="10"/>
  <c r="B479" i="10"/>
  <c r="B478" i="10"/>
  <c r="B477" i="10"/>
  <c r="D477" i="10" s="1"/>
  <c r="B476" i="10"/>
  <c r="C477" i="10" s="1"/>
  <c r="B475" i="10"/>
  <c r="B474" i="10"/>
  <c r="C474" i="10" s="1"/>
  <c r="D473" i="10"/>
  <c r="B473" i="10"/>
  <c r="B472" i="10"/>
  <c r="B471" i="10"/>
  <c r="B470" i="10"/>
  <c r="D469" i="10"/>
  <c r="B469" i="10"/>
  <c r="B468" i="10"/>
  <c r="C468" i="10" s="1"/>
  <c r="B467" i="10"/>
  <c r="D467" i="10" s="1"/>
  <c r="B466" i="10"/>
  <c r="B465" i="10"/>
  <c r="B464" i="10"/>
  <c r="D463" i="10"/>
  <c r="C463" i="10"/>
  <c r="B463" i="10"/>
  <c r="B462" i="10"/>
  <c r="B461" i="10"/>
  <c r="B460" i="10"/>
  <c r="B459" i="10"/>
  <c r="B458" i="10"/>
  <c r="B457" i="10"/>
  <c r="D457" i="10" s="1"/>
  <c r="B456" i="10"/>
  <c r="C457" i="10" s="1"/>
  <c r="B455" i="10"/>
  <c r="C454" i="10"/>
  <c r="B454" i="10"/>
  <c r="B453" i="10"/>
  <c r="D465" i="10" s="1"/>
  <c r="B452" i="10"/>
  <c r="B451" i="10"/>
  <c r="B450" i="10"/>
  <c r="C450" i="10" s="1"/>
  <c r="B449" i="10"/>
  <c r="D449" i="10" s="1"/>
  <c r="B448" i="10"/>
  <c r="B447" i="10"/>
  <c r="C447" i="10" s="1"/>
  <c r="C446" i="10"/>
  <c r="B446" i="10"/>
  <c r="B445" i="10"/>
  <c r="B444" i="10"/>
  <c r="B443" i="10"/>
  <c r="D443" i="10" s="1"/>
  <c r="B442" i="10"/>
  <c r="D442" i="10" s="1"/>
  <c r="B441" i="10"/>
  <c r="D441" i="10" s="1"/>
  <c r="B440" i="10"/>
  <c r="B439" i="10"/>
  <c r="C439" i="10" s="1"/>
  <c r="B438" i="10"/>
  <c r="B437" i="10"/>
  <c r="D437" i="10" s="1"/>
  <c r="B436" i="10"/>
  <c r="B435" i="10"/>
  <c r="B434" i="10"/>
  <c r="B433" i="10"/>
  <c r="D433" i="10" s="1"/>
  <c r="B432" i="10"/>
  <c r="B431" i="10"/>
  <c r="C432" i="10" s="1"/>
  <c r="B430" i="10"/>
  <c r="B429" i="10"/>
  <c r="D429" i="10" s="1"/>
  <c r="B428" i="10"/>
  <c r="C429" i="10" s="1"/>
  <c r="B427" i="10"/>
  <c r="C426" i="10"/>
  <c r="B426" i="10"/>
  <c r="B425" i="10"/>
  <c r="D425" i="10" s="1"/>
  <c r="B424" i="10"/>
  <c r="B423" i="10"/>
  <c r="B422" i="10"/>
  <c r="B421" i="10"/>
  <c r="D421" i="10" s="1"/>
  <c r="B420" i="10"/>
  <c r="C421" i="10" s="1"/>
  <c r="B419" i="10"/>
  <c r="B418" i="10"/>
  <c r="B417" i="10"/>
  <c r="D417" i="10" s="1"/>
  <c r="B416" i="10"/>
  <c r="B415" i="10"/>
  <c r="D427" i="10" s="1"/>
  <c r="B414" i="10"/>
  <c r="C415" i="10" s="1"/>
  <c r="B413" i="10"/>
  <c r="B412" i="10"/>
  <c r="C413" i="10" s="1"/>
  <c r="B411" i="10"/>
  <c r="B410" i="10"/>
  <c r="B409" i="10"/>
  <c r="D409" i="10" s="1"/>
  <c r="B408" i="10"/>
  <c r="B407" i="10"/>
  <c r="C407" i="10" s="1"/>
  <c r="C406" i="10"/>
  <c r="B406" i="10"/>
  <c r="B405" i="10"/>
  <c r="B404" i="10"/>
  <c r="C405" i="10" s="1"/>
  <c r="B403" i="10"/>
  <c r="B402" i="10"/>
  <c r="B401" i="10"/>
  <c r="D401" i="10" s="1"/>
  <c r="B400" i="10"/>
  <c r="C401" i="10" s="1"/>
  <c r="B399" i="10"/>
  <c r="D398" i="10"/>
  <c r="C398" i="10"/>
  <c r="B398" i="10"/>
  <c r="D410" i="10" s="1"/>
  <c r="B397" i="10"/>
  <c r="B396" i="10"/>
  <c r="B395" i="10"/>
  <c r="B394" i="10"/>
  <c r="B393" i="10"/>
  <c r="D393" i="10" s="1"/>
  <c r="B392" i="10"/>
  <c r="C393" i="10" s="1"/>
  <c r="B391" i="10"/>
  <c r="B390" i="10"/>
  <c r="C391" i="10" s="1"/>
  <c r="D389" i="10"/>
  <c r="B389" i="10"/>
  <c r="B388" i="10"/>
  <c r="B387" i="10"/>
  <c r="B386" i="10"/>
  <c r="B385" i="10"/>
  <c r="D385" i="10" s="1"/>
  <c r="B384" i="10"/>
  <c r="C385" i="10" s="1"/>
  <c r="B383" i="10"/>
  <c r="D383" i="10" s="1"/>
  <c r="B382" i="10"/>
  <c r="D382" i="10" s="1"/>
  <c r="B381" i="10"/>
  <c r="B380" i="10"/>
  <c r="C381" i="10" s="1"/>
  <c r="B379" i="10"/>
  <c r="B378" i="10"/>
  <c r="B377" i="10"/>
  <c r="D377" i="10" s="1"/>
  <c r="B376" i="10"/>
  <c r="B375" i="10"/>
  <c r="B374" i="10"/>
  <c r="C374" i="10" s="1"/>
  <c r="D373" i="10"/>
  <c r="B373" i="10"/>
  <c r="B372" i="10"/>
  <c r="B371" i="10"/>
  <c r="B370" i="10"/>
  <c r="C370" i="10" s="1"/>
  <c r="B369" i="10"/>
  <c r="D381" i="10" s="1"/>
  <c r="B368" i="10"/>
  <c r="D367" i="10"/>
  <c r="B367" i="10"/>
  <c r="C367" i="10" s="1"/>
  <c r="B366" i="10"/>
  <c r="B365" i="10"/>
  <c r="D365" i="10" s="1"/>
  <c r="B364" i="10"/>
  <c r="B363" i="10"/>
  <c r="B362" i="10"/>
  <c r="B361" i="10"/>
  <c r="D361" i="10" s="1"/>
  <c r="B360" i="10"/>
  <c r="B359" i="10"/>
  <c r="C358" i="10"/>
  <c r="B358" i="10"/>
  <c r="B357" i="10"/>
  <c r="B356" i="10"/>
  <c r="D355" i="10"/>
  <c r="C355" i="10"/>
  <c r="B355" i="10"/>
  <c r="B354" i="10"/>
  <c r="D366" i="10" s="1"/>
  <c r="B353" i="10"/>
  <c r="B352" i="10"/>
  <c r="C353" i="10" s="1"/>
  <c r="B351" i="10"/>
  <c r="B350" i="10"/>
  <c r="D349" i="10"/>
  <c r="B349" i="10"/>
  <c r="D348" i="10"/>
  <c r="B348" i="10"/>
  <c r="B347" i="10"/>
  <c r="B346" i="10"/>
  <c r="B345" i="10"/>
  <c r="D357" i="10" s="1"/>
  <c r="B344" i="10"/>
  <c r="B343" i="10"/>
  <c r="B342" i="10"/>
  <c r="B341" i="10"/>
  <c r="D341" i="10" s="1"/>
  <c r="B340" i="10"/>
  <c r="B339" i="10"/>
  <c r="C339" i="10" s="1"/>
  <c r="B338" i="10"/>
  <c r="C338" i="10" s="1"/>
  <c r="B337" i="10"/>
  <c r="B336" i="10"/>
  <c r="B335" i="10"/>
  <c r="D335" i="10" s="1"/>
  <c r="B334" i="10"/>
  <c r="D334" i="10" s="1"/>
  <c r="B333" i="10"/>
  <c r="D333" i="10" s="1"/>
  <c r="B332" i="10"/>
  <c r="C333" i="10" s="1"/>
  <c r="B331" i="10"/>
  <c r="B330" i="10"/>
  <c r="B329" i="10"/>
  <c r="B328" i="10"/>
  <c r="B327" i="10"/>
  <c r="D339" i="10" s="1"/>
  <c r="B326" i="10"/>
  <c r="B325" i="10"/>
  <c r="D337" i="10" s="1"/>
  <c r="B324" i="10"/>
  <c r="B323" i="10"/>
  <c r="B322" i="10"/>
  <c r="B321" i="10"/>
  <c r="D321" i="10" s="1"/>
  <c r="B320" i="10"/>
  <c r="B319" i="10"/>
  <c r="D319" i="10" s="1"/>
  <c r="B318" i="10"/>
  <c r="B317" i="10"/>
  <c r="D317" i="10" s="1"/>
  <c r="B316" i="10"/>
  <c r="B315" i="10"/>
  <c r="B314" i="10"/>
  <c r="B313" i="10"/>
  <c r="D313" i="10" s="1"/>
  <c r="B312" i="10"/>
  <c r="D324" i="10" s="1"/>
  <c r="B311" i="10"/>
  <c r="D323" i="10" s="1"/>
  <c r="B310" i="10"/>
  <c r="C310" i="10" s="1"/>
  <c r="D309" i="10"/>
  <c r="B309" i="10"/>
  <c r="B308" i="10"/>
  <c r="B307" i="10"/>
  <c r="B306" i="10"/>
  <c r="C306" i="10" s="1"/>
  <c r="B305" i="10"/>
  <c r="D305" i="10" s="1"/>
  <c r="B304" i="10"/>
  <c r="C305" i="10" s="1"/>
  <c r="D303" i="10"/>
  <c r="B303" i="10"/>
  <c r="D315" i="10" s="1"/>
  <c r="B302" i="10"/>
  <c r="D302" i="10" s="1"/>
  <c r="B301" i="10"/>
  <c r="D301" i="10" s="1"/>
  <c r="B300" i="10"/>
  <c r="B299" i="10"/>
  <c r="B298" i="10"/>
  <c r="B297" i="10"/>
  <c r="B296" i="10"/>
  <c r="B295" i="10"/>
  <c r="B294" i="10"/>
  <c r="B293" i="10"/>
  <c r="D293" i="10" s="1"/>
  <c r="B292" i="10"/>
  <c r="C291" i="10"/>
  <c r="B291" i="10"/>
  <c r="B290" i="10"/>
  <c r="B289" i="10"/>
  <c r="D289" i="10" s="1"/>
  <c r="B288" i="10"/>
  <c r="C289" i="10" s="1"/>
  <c r="B287" i="10"/>
  <c r="D286" i="10"/>
  <c r="B286" i="10"/>
  <c r="B285" i="10"/>
  <c r="D285" i="10" s="1"/>
  <c r="B284" i="10"/>
  <c r="C285" i="10" s="1"/>
  <c r="B283" i="10"/>
  <c r="B282" i="10"/>
  <c r="B281" i="10"/>
  <c r="B280" i="10"/>
  <c r="B279" i="10"/>
  <c r="B278" i="10"/>
  <c r="B277" i="10"/>
  <c r="D277" i="10" s="1"/>
  <c r="B276" i="10"/>
  <c r="C277" i="10" s="1"/>
  <c r="B275" i="10"/>
  <c r="D274" i="10"/>
  <c r="B274" i="10"/>
  <c r="B273" i="10"/>
  <c r="B272" i="10"/>
  <c r="B271" i="10"/>
  <c r="D271" i="10" s="1"/>
  <c r="B270" i="10"/>
  <c r="C271" i="10" s="1"/>
  <c r="B269" i="10"/>
  <c r="D269" i="10" s="1"/>
  <c r="B268" i="10"/>
  <c r="B267" i="10"/>
  <c r="D279" i="10" s="1"/>
  <c r="B266" i="10"/>
  <c r="C266" i="10" s="1"/>
  <c r="B265" i="10"/>
  <c r="B264" i="10"/>
  <c r="C265" i="10" s="1"/>
  <c r="B263" i="10"/>
  <c r="B262" i="10"/>
  <c r="D262" i="10" s="1"/>
  <c r="B261" i="10"/>
  <c r="D261" i="10" s="1"/>
  <c r="D260" i="10"/>
  <c r="C260" i="10"/>
  <c r="B260" i="10"/>
  <c r="B259" i="10"/>
  <c r="C259" i="10" s="1"/>
  <c r="B258" i="10"/>
  <c r="B257" i="10"/>
  <c r="B256" i="10"/>
  <c r="B255" i="10"/>
  <c r="D255" i="10" s="1"/>
  <c r="B254" i="10"/>
  <c r="B253" i="10"/>
  <c r="D265" i="10" s="1"/>
  <c r="B252" i="10"/>
  <c r="C252" i="10" s="1"/>
  <c r="B251" i="10"/>
  <c r="B250" i="10"/>
  <c r="B249" i="10"/>
  <c r="B248" i="10"/>
  <c r="C249" i="10" s="1"/>
  <c r="B247" i="10"/>
  <c r="C246" i="10"/>
  <c r="B246" i="10"/>
  <c r="B245" i="10"/>
  <c r="D245" i="10" s="1"/>
  <c r="B244" i="10"/>
  <c r="B243" i="10"/>
  <c r="B242" i="10"/>
  <c r="C243" i="10" s="1"/>
  <c r="B241" i="10"/>
  <c r="D241" i="10" s="1"/>
  <c r="B240" i="10"/>
  <c r="C241" i="10" s="1"/>
  <c r="B239" i="10"/>
  <c r="C240" i="10" s="1"/>
  <c r="B238" i="10"/>
  <c r="B237" i="10"/>
  <c r="D237" i="10" s="1"/>
  <c r="D236" i="10"/>
  <c r="C236" i="10"/>
  <c r="B236" i="10"/>
  <c r="B235" i="10"/>
  <c r="B234" i="10"/>
  <c r="B233" i="10"/>
  <c r="D233" i="10" s="1"/>
  <c r="B232" i="10"/>
  <c r="B231" i="10"/>
  <c r="B230" i="10"/>
  <c r="D230" i="10" s="1"/>
  <c r="D229" i="10"/>
  <c r="B229" i="10"/>
  <c r="B228" i="10"/>
  <c r="B227" i="10"/>
  <c r="B226" i="10"/>
  <c r="B225" i="10"/>
  <c r="D225" i="10" s="1"/>
  <c r="B224" i="10"/>
  <c r="C225" i="10" s="1"/>
  <c r="B223" i="10"/>
  <c r="D235" i="10" s="1"/>
  <c r="B222" i="10"/>
  <c r="C222" i="10" s="1"/>
  <c r="D221" i="10"/>
  <c r="B221" i="10"/>
  <c r="B220" i="10"/>
  <c r="B219" i="10"/>
  <c r="C219" i="10" s="1"/>
  <c r="B218" i="10"/>
  <c r="B217" i="10"/>
  <c r="B216" i="10"/>
  <c r="B215" i="10"/>
  <c r="C214" i="10"/>
  <c r="B214" i="10"/>
  <c r="B213" i="10"/>
  <c r="D213" i="10" s="1"/>
  <c r="B212" i="10"/>
  <c r="D211" i="10"/>
  <c r="B211" i="10"/>
  <c r="B210" i="10"/>
  <c r="C210" i="10" s="1"/>
  <c r="B209" i="10"/>
  <c r="D209" i="10" s="1"/>
  <c r="B208" i="10"/>
  <c r="C209" i="10" s="1"/>
  <c r="B207" i="10"/>
  <c r="B206" i="10"/>
  <c r="B205" i="10"/>
  <c r="D205" i="10" s="1"/>
  <c r="B204" i="10"/>
  <c r="C205" i="10" s="1"/>
  <c r="B203" i="10"/>
  <c r="B202" i="10"/>
  <c r="D214" i="10" s="1"/>
  <c r="B201" i="10"/>
  <c r="D201" i="10" s="1"/>
  <c r="B200" i="10"/>
  <c r="B199" i="10"/>
  <c r="B198" i="10"/>
  <c r="B197" i="10"/>
  <c r="D197" i="10" s="1"/>
  <c r="B196" i="10"/>
  <c r="B195" i="10"/>
  <c r="B194" i="10"/>
  <c r="B193" i="10"/>
  <c r="B192" i="10"/>
  <c r="B191" i="10"/>
  <c r="D191" i="10" s="1"/>
  <c r="B190" i="10"/>
  <c r="D189" i="10"/>
  <c r="B189" i="10"/>
  <c r="B188" i="10"/>
  <c r="B187" i="10"/>
  <c r="D199" i="10" s="1"/>
  <c r="C186" i="10"/>
  <c r="B186" i="10"/>
  <c r="B185" i="10"/>
  <c r="D185" i="10" s="1"/>
  <c r="B184" i="10"/>
  <c r="B183" i="10"/>
  <c r="B182" i="10"/>
  <c r="B181" i="10"/>
  <c r="D181" i="10" s="1"/>
  <c r="C180" i="10"/>
  <c r="B180" i="10"/>
  <c r="B179" i="10"/>
  <c r="B178" i="10"/>
  <c r="B177" i="10"/>
  <c r="D177" i="10" s="1"/>
  <c r="B176" i="10"/>
  <c r="C177" i="10" s="1"/>
  <c r="B175" i="10"/>
  <c r="D187" i="10" s="1"/>
  <c r="B174" i="10"/>
  <c r="D186" i="10" s="1"/>
  <c r="D173" i="10"/>
  <c r="B173" i="10"/>
  <c r="B172" i="10"/>
  <c r="B171" i="10"/>
  <c r="B170" i="10"/>
  <c r="B169" i="10"/>
  <c r="D169" i="10" s="1"/>
  <c r="B168" i="10"/>
  <c r="D168" i="10" s="1"/>
  <c r="B167" i="10"/>
  <c r="B166" i="10"/>
  <c r="C166" i="10" s="1"/>
  <c r="D165" i="10"/>
  <c r="B165" i="10"/>
  <c r="B164" i="10"/>
  <c r="B163" i="10"/>
  <c r="B162" i="10"/>
  <c r="B161" i="10"/>
  <c r="D161" i="10" s="1"/>
  <c r="B160" i="10"/>
  <c r="B159" i="10"/>
  <c r="B158" i="10"/>
  <c r="D158" i="10" s="1"/>
  <c r="B157" i="10"/>
  <c r="D157" i="10" s="1"/>
  <c r="B156" i="10"/>
  <c r="B155" i="10"/>
  <c r="B154" i="10"/>
  <c r="D154" i="10" s="1"/>
  <c r="B153" i="10"/>
  <c r="D153" i="10" s="1"/>
  <c r="B152" i="10"/>
  <c r="C153" i="10" s="1"/>
  <c r="B151" i="10"/>
  <c r="B150" i="10"/>
  <c r="D162" i="10" s="1"/>
  <c r="B149" i="10"/>
  <c r="D149" i="10" s="1"/>
  <c r="B148" i="10"/>
  <c r="B147" i="10"/>
  <c r="B146" i="10"/>
  <c r="B145" i="10"/>
  <c r="D145" i="10" s="1"/>
  <c r="B144" i="10"/>
  <c r="C145" i="10" s="1"/>
  <c r="B143" i="10"/>
  <c r="C143" i="10" s="1"/>
  <c r="D142" i="10"/>
  <c r="B142" i="10"/>
  <c r="B141" i="10"/>
  <c r="D141" i="10" s="1"/>
  <c r="D140" i="10"/>
  <c r="B140" i="10"/>
  <c r="C141" i="10" s="1"/>
  <c r="B139" i="10"/>
  <c r="B138" i="10"/>
  <c r="B137" i="10"/>
  <c r="B136" i="10"/>
  <c r="B135" i="10"/>
  <c r="B134" i="10"/>
  <c r="B133" i="10"/>
  <c r="D133" i="10" s="1"/>
  <c r="D132" i="10"/>
  <c r="C132" i="10"/>
  <c r="B132" i="10"/>
  <c r="B131" i="10"/>
  <c r="B130" i="10"/>
  <c r="B129" i="10"/>
  <c r="B128" i="10"/>
  <c r="B127" i="10"/>
  <c r="B126" i="10"/>
  <c r="B125" i="10"/>
  <c r="D125" i="10" s="1"/>
  <c r="B124" i="10"/>
  <c r="D124" i="10" s="1"/>
  <c r="B123" i="10"/>
  <c r="B122" i="10"/>
  <c r="B121" i="10"/>
  <c r="B120" i="10"/>
  <c r="B119" i="10"/>
  <c r="B118" i="10"/>
  <c r="B117" i="10"/>
  <c r="D117" i="10" s="1"/>
  <c r="B116" i="10"/>
  <c r="B115" i="10"/>
  <c r="C115" i="10" s="1"/>
  <c r="B114" i="10"/>
  <c r="B113" i="10"/>
  <c r="B112" i="10"/>
  <c r="B111" i="10"/>
  <c r="B110" i="10"/>
  <c r="C110" i="10" s="1"/>
  <c r="B109" i="10"/>
  <c r="D109" i="10" s="1"/>
  <c r="B108" i="10"/>
  <c r="D107" i="10"/>
  <c r="B107" i="10"/>
  <c r="C107" i="10" s="1"/>
  <c r="B106" i="10"/>
  <c r="B105" i="10"/>
  <c r="B104" i="10"/>
  <c r="B103" i="10"/>
  <c r="B102" i="10"/>
  <c r="D102" i="10" s="1"/>
  <c r="B101" i="10"/>
  <c r="D101" i="10" s="1"/>
  <c r="B100" i="10"/>
  <c r="B99" i="10"/>
  <c r="B98" i="10"/>
  <c r="B97" i="10"/>
  <c r="B96" i="10"/>
  <c r="B95" i="10"/>
  <c r="B94" i="10"/>
  <c r="B93" i="10"/>
  <c r="D93" i="10" s="1"/>
  <c r="B92" i="10"/>
  <c r="C93" i="10" s="1"/>
  <c r="C91" i="10"/>
  <c r="B91" i="10"/>
  <c r="B90" i="10"/>
  <c r="B89" i="10"/>
  <c r="B88" i="10"/>
  <c r="C88" i="10" s="1"/>
  <c r="B87" i="10"/>
  <c r="B86" i="10"/>
  <c r="D85" i="10"/>
  <c r="B85" i="10"/>
  <c r="B84" i="10"/>
  <c r="C85" i="10" s="1"/>
  <c r="B83" i="10"/>
  <c r="B82" i="10"/>
  <c r="D82" i="10" s="1"/>
  <c r="B81" i="10"/>
  <c r="B80" i="10"/>
  <c r="C81" i="10" s="1"/>
  <c r="B79" i="10"/>
  <c r="D79" i="10" s="1"/>
  <c r="B78" i="10"/>
  <c r="B77" i="10"/>
  <c r="D77" i="10" s="1"/>
  <c r="B76" i="10"/>
  <c r="B75" i="10"/>
  <c r="B74" i="10"/>
  <c r="C74" i="10" s="1"/>
  <c r="B73" i="10"/>
  <c r="B72" i="10"/>
  <c r="B71" i="10"/>
  <c r="D70" i="10"/>
  <c r="B70" i="10"/>
  <c r="B69" i="10"/>
  <c r="D69" i="10" s="1"/>
  <c r="B68" i="10"/>
  <c r="D67" i="10"/>
  <c r="B67" i="10"/>
  <c r="C67" i="10" s="1"/>
  <c r="B66" i="10"/>
  <c r="C66" i="10" s="1"/>
  <c r="B65" i="10"/>
  <c r="B64" i="10"/>
  <c r="B63" i="10"/>
  <c r="B62" i="10"/>
  <c r="D62" i="10" s="1"/>
  <c r="B61" i="10"/>
  <c r="D61" i="10" s="1"/>
  <c r="D60" i="10"/>
  <c r="B60" i="10"/>
  <c r="B59" i="10"/>
  <c r="B58" i="10"/>
  <c r="C58" i="10" s="1"/>
  <c r="B57" i="10"/>
  <c r="B56" i="10"/>
  <c r="C56" i="10" s="1"/>
  <c r="B55" i="10"/>
  <c r="D55" i="10" s="1"/>
  <c r="B54" i="10"/>
  <c r="B53" i="10"/>
  <c r="D53" i="10" s="1"/>
  <c r="B52" i="10"/>
  <c r="B51" i="10"/>
  <c r="B50" i="10"/>
  <c r="B49" i="10"/>
  <c r="B48" i="10"/>
  <c r="C49" i="10" s="1"/>
  <c r="B47" i="10"/>
  <c r="B46" i="10"/>
  <c r="B45" i="10"/>
  <c r="D45" i="10" s="1"/>
  <c r="B44" i="10"/>
  <c r="C45" i="10" s="1"/>
  <c r="C43" i="10"/>
  <c r="B43" i="10"/>
  <c r="B42" i="10"/>
  <c r="B41" i="10"/>
  <c r="D41" i="10" s="1"/>
  <c r="B40" i="10"/>
  <c r="B39" i="10"/>
  <c r="C39" i="10" s="1"/>
  <c r="C38" i="10"/>
  <c r="B38" i="10"/>
  <c r="B37" i="10"/>
  <c r="D37" i="10" s="1"/>
  <c r="B36" i="10"/>
  <c r="B35" i="10"/>
  <c r="B34" i="10"/>
  <c r="C35" i="10" s="1"/>
  <c r="B33" i="10"/>
  <c r="D33" i="10" s="1"/>
  <c r="B32" i="10"/>
  <c r="D32" i="10" s="1"/>
  <c r="B31" i="10"/>
  <c r="D43" i="10" s="1"/>
  <c r="B30" i="10"/>
  <c r="C31" i="10" s="1"/>
  <c r="D29" i="10"/>
  <c r="B29" i="10"/>
  <c r="B28" i="10"/>
  <c r="B27" i="10"/>
  <c r="B26" i="10"/>
  <c r="B25" i="10"/>
  <c r="D25" i="10" s="1"/>
  <c r="B24" i="10"/>
  <c r="B23" i="10"/>
  <c r="B22" i="10"/>
  <c r="D22" i="10" s="1"/>
  <c r="B21" i="10"/>
  <c r="D21" i="10" s="1"/>
  <c r="B20" i="10"/>
  <c r="B19" i="10"/>
  <c r="B18" i="10"/>
  <c r="B17" i="10"/>
  <c r="B16" i="10"/>
  <c r="B15" i="10"/>
  <c r="B14" i="10"/>
  <c r="D26" i="10" s="1"/>
  <c r="B13" i="10"/>
  <c r="B12" i="10"/>
  <c r="B11" i="10"/>
  <c r="D23" i="10" s="1"/>
  <c r="B10" i="10"/>
  <c r="C10" i="10" s="1"/>
  <c r="B9" i="10"/>
  <c r="B8" i="10"/>
  <c r="B7" i="10"/>
  <c r="U2" i="10"/>
  <c r="Y1" i="10"/>
  <c r="U1" i="10"/>
  <c r="B617" i="9"/>
  <c r="C617" i="9" s="1"/>
  <c r="B616" i="9"/>
  <c r="C616" i="9" s="1"/>
  <c r="B615" i="9"/>
  <c r="B614" i="9"/>
  <c r="B613" i="9"/>
  <c r="B612" i="9"/>
  <c r="B611" i="9"/>
  <c r="B610" i="9"/>
  <c r="B609" i="9"/>
  <c r="D608" i="9"/>
  <c r="B608" i="9"/>
  <c r="B607" i="9"/>
  <c r="D607" i="9" s="1"/>
  <c r="B606" i="9"/>
  <c r="B605" i="9"/>
  <c r="B604" i="9"/>
  <c r="B603" i="9"/>
  <c r="B602" i="9"/>
  <c r="B601" i="9"/>
  <c r="B600" i="9"/>
  <c r="C599" i="9"/>
  <c r="B599" i="9"/>
  <c r="B598" i="9"/>
  <c r="B597" i="9"/>
  <c r="B596" i="9"/>
  <c r="D596" i="9" s="1"/>
  <c r="B595" i="9"/>
  <c r="B594" i="9"/>
  <c r="D594" i="9" s="1"/>
  <c r="B593" i="9"/>
  <c r="B592" i="9"/>
  <c r="B591" i="9"/>
  <c r="B590" i="9"/>
  <c r="B589" i="9"/>
  <c r="B588" i="9"/>
  <c r="B587" i="9"/>
  <c r="D599" i="9" s="1"/>
  <c r="B586" i="9"/>
  <c r="C586" i="9" s="1"/>
  <c r="B585" i="9"/>
  <c r="B584" i="9"/>
  <c r="B583" i="9"/>
  <c r="B582" i="9"/>
  <c r="C582" i="9" s="1"/>
  <c r="B581" i="9"/>
  <c r="B580" i="9"/>
  <c r="B579" i="9"/>
  <c r="B578" i="9"/>
  <c r="B577" i="9"/>
  <c r="B576" i="9"/>
  <c r="B575" i="9"/>
  <c r="B574" i="9"/>
  <c r="D574" i="9" s="1"/>
  <c r="B573" i="9"/>
  <c r="D573" i="9" s="1"/>
  <c r="B572" i="9"/>
  <c r="B571" i="9"/>
  <c r="B570" i="9"/>
  <c r="D582" i="9" s="1"/>
  <c r="B569" i="9"/>
  <c r="B568" i="9"/>
  <c r="B567" i="9"/>
  <c r="B566" i="9"/>
  <c r="B565" i="9"/>
  <c r="B564" i="9"/>
  <c r="B563" i="9"/>
  <c r="C563" i="9" s="1"/>
  <c r="B562" i="9"/>
  <c r="B561" i="9"/>
  <c r="B560" i="9"/>
  <c r="B559" i="9"/>
  <c r="B558" i="9"/>
  <c r="B557" i="9"/>
  <c r="B556" i="9"/>
  <c r="B555" i="9"/>
  <c r="B554" i="9"/>
  <c r="D553" i="9"/>
  <c r="C553" i="9"/>
  <c r="B553" i="9"/>
  <c r="B552" i="9"/>
  <c r="D552" i="9" s="1"/>
  <c r="B551" i="9"/>
  <c r="B550" i="9"/>
  <c r="D562" i="9" s="1"/>
  <c r="B549" i="9"/>
  <c r="D549" i="9" s="1"/>
  <c r="B548" i="9"/>
  <c r="B547" i="9"/>
  <c r="C547" i="9" s="1"/>
  <c r="C546" i="9"/>
  <c r="B546" i="9"/>
  <c r="B545" i="9"/>
  <c r="B544" i="9"/>
  <c r="B543" i="9"/>
  <c r="B542" i="9"/>
  <c r="B541" i="9"/>
  <c r="C541" i="9" s="1"/>
  <c r="B540" i="9"/>
  <c r="B539" i="9"/>
  <c r="D551" i="9" s="1"/>
  <c r="B538" i="9"/>
  <c r="B537" i="9"/>
  <c r="B536" i="9"/>
  <c r="B535" i="9"/>
  <c r="B534" i="9"/>
  <c r="B533" i="9"/>
  <c r="C533" i="9" s="1"/>
  <c r="B532" i="9"/>
  <c r="B531" i="9"/>
  <c r="B530" i="9"/>
  <c r="C531" i="9" s="1"/>
  <c r="B529" i="9"/>
  <c r="B528" i="9"/>
  <c r="B527" i="9"/>
  <c r="B526" i="9"/>
  <c r="D525" i="9"/>
  <c r="C525" i="9"/>
  <c r="B525" i="9"/>
  <c r="D537" i="9" s="1"/>
  <c r="B524" i="9"/>
  <c r="B523" i="9"/>
  <c r="D523" i="9" s="1"/>
  <c r="B522" i="9"/>
  <c r="B521" i="9"/>
  <c r="B520" i="9"/>
  <c r="D520" i="9" s="1"/>
  <c r="B519" i="9"/>
  <c r="C518" i="9"/>
  <c r="B518" i="9"/>
  <c r="B517" i="9"/>
  <c r="C517" i="9" s="1"/>
  <c r="B516" i="9"/>
  <c r="B515" i="9"/>
  <c r="D515" i="9" s="1"/>
  <c r="C514" i="9"/>
  <c r="B514" i="9"/>
  <c r="D514" i="9" s="1"/>
  <c r="B513" i="9"/>
  <c r="D513" i="9" s="1"/>
  <c r="B512" i="9"/>
  <c r="B511" i="9"/>
  <c r="C511" i="9" s="1"/>
  <c r="B510" i="9"/>
  <c r="B509" i="9"/>
  <c r="B508" i="9"/>
  <c r="B507" i="9"/>
  <c r="B506" i="9"/>
  <c r="C506" i="9" s="1"/>
  <c r="D505" i="9"/>
  <c r="C505" i="9"/>
  <c r="B505" i="9"/>
  <c r="B504" i="9"/>
  <c r="C504" i="9" s="1"/>
  <c r="C503" i="9"/>
  <c r="B503" i="9"/>
  <c r="B502" i="9"/>
  <c r="B501" i="9"/>
  <c r="B500" i="9"/>
  <c r="B499" i="9"/>
  <c r="B498" i="9"/>
  <c r="B497" i="9"/>
  <c r="B496" i="9"/>
  <c r="D496" i="9" s="1"/>
  <c r="C495" i="9"/>
  <c r="B495" i="9"/>
  <c r="B494" i="9"/>
  <c r="C494" i="9" s="1"/>
  <c r="B493" i="9"/>
  <c r="B492" i="9"/>
  <c r="B491" i="9"/>
  <c r="B490" i="9"/>
  <c r="C490" i="9" s="1"/>
  <c r="B489" i="9"/>
  <c r="B488" i="9"/>
  <c r="D488" i="9" s="1"/>
  <c r="B487" i="9"/>
  <c r="B486" i="9"/>
  <c r="B485" i="9"/>
  <c r="C485" i="9" s="1"/>
  <c r="B484" i="9"/>
  <c r="B483" i="9"/>
  <c r="B482" i="9"/>
  <c r="B481" i="9"/>
  <c r="D493" i="9" s="1"/>
  <c r="B480" i="9"/>
  <c r="B479" i="9"/>
  <c r="B478" i="9"/>
  <c r="B477" i="9"/>
  <c r="C477" i="9" s="1"/>
  <c r="B476" i="9"/>
  <c r="D476" i="9" s="1"/>
  <c r="B475" i="9"/>
  <c r="B474" i="9"/>
  <c r="B473" i="9"/>
  <c r="C473" i="9" s="1"/>
  <c r="B472" i="9"/>
  <c r="B471" i="9"/>
  <c r="B470" i="9"/>
  <c r="B469" i="9"/>
  <c r="B468" i="9"/>
  <c r="B467" i="9"/>
  <c r="D467" i="9" s="1"/>
  <c r="D466" i="9"/>
  <c r="B466" i="9"/>
  <c r="D465" i="9"/>
  <c r="C465" i="9"/>
  <c r="B465" i="9"/>
  <c r="B464" i="9"/>
  <c r="B463" i="9"/>
  <c r="B462" i="9"/>
  <c r="B461" i="9"/>
  <c r="B460" i="9"/>
  <c r="B459" i="9"/>
  <c r="B458" i="9"/>
  <c r="B457" i="9"/>
  <c r="B456" i="9"/>
  <c r="B455" i="9"/>
  <c r="B454" i="9"/>
  <c r="B453" i="9"/>
  <c r="B452" i="9"/>
  <c r="B451" i="9"/>
  <c r="D463" i="9" s="1"/>
  <c r="B450" i="9"/>
  <c r="B449" i="9"/>
  <c r="B448" i="9"/>
  <c r="D447" i="9"/>
  <c r="C447" i="9"/>
  <c r="B447" i="9"/>
  <c r="B446" i="9"/>
  <c r="B445" i="9"/>
  <c r="B444" i="9"/>
  <c r="D444" i="9" s="1"/>
  <c r="B443" i="9"/>
  <c r="B442" i="9"/>
  <c r="D454" i="9" s="1"/>
  <c r="B441" i="9"/>
  <c r="B440" i="9"/>
  <c r="B439" i="9"/>
  <c r="B438" i="9"/>
  <c r="C438" i="9" s="1"/>
  <c r="B437" i="9"/>
  <c r="D437" i="9" s="1"/>
  <c r="B436" i="9"/>
  <c r="B435" i="9"/>
  <c r="B434" i="9"/>
  <c r="B433" i="9"/>
  <c r="D445" i="9" s="1"/>
  <c r="B432" i="9"/>
  <c r="B431" i="9"/>
  <c r="D431" i="9" s="1"/>
  <c r="B430" i="9"/>
  <c r="B429" i="9"/>
  <c r="C429" i="9" s="1"/>
  <c r="B428" i="9"/>
  <c r="D428" i="9" s="1"/>
  <c r="B427" i="9"/>
  <c r="B426" i="9"/>
  <c r="B425" i="9"/>
  <c r="B424" i="9"/>
  <c r="B423" i="9"/>
  <c r="B422" i="9"/>
  <c r="C422" i="9" s="1"/>
  <c r="B421" i="9"/>
  <c r="D433" i="9" s="1"/>
  <c r="B420" i="9"/>
  <c r="B419" i="9"/>
  <c r="B418" i="9"/>
  <c r="B417" i="9"/>
  <c r="B416" i="9"/>
  <c r="B415" i="9"/>
  <c r="B414" i="9"/>
  <c r="B413" i="9"/>
  <c r="B412" i="9"/>
  <c r="D412" i="9" s="1"/>
  <c r="B411" i="9"/>
  <c r="C411" i="9" s="1"/>
  <c r="B410" i="9"/>
  <c r="B409" i="9"/>
  <c r="B408" i="9"/>
  <c r="B407" i="9"/>
  <c r="B406" i="9"/>
  <c r="D406" i="9" s="1"/>
  <c r="B405" i="9"/>
  <c r="D404" i="9"/>
  <c r="B404" i="9"/>
  <c r="B403" i="9"/>
  <c r="D415" i="9" s="1"/>
  <c r="B402" i="9"/>
  <c r="C402" i="9" s="1"/>
  <c r="B401" i="9"/>
  <c r="B400" i="9"/>
  <c r="B399" i="9"/>
  <c r="B398" i="9"/>
  <c r="B397" i="9"/>
  <c r="B396" i="9"/>
  <c r="B395" i="9"/>
  <c r="D394" i="9"/>
  <c r="B394" i="9"/>
  <c r="B393" i="9"/>
  <c r="B392" i="9"/>
  <c r="B391" i="9"/>
  <c r="B390" i="9"/>
  <c r="C391" i="9" s="1"/>
  <c r="B389" i="9"/>
  <c r="D389" i="9" s="1"/>
  <c r="B388" i="9"/>
  <c r="B387" i="9"/>
  <c r="B386" i="9"/>
  <c r="B385" i="9"/>
  <c r="B384" i="9"/>
  <c r="B383" i="9"/>
  <c r="B382" i="9"/>
  <c r="B381" i="9"/>
  <c r="B380" i="9"/>
  <c r="D380" i="9" s="1"/>
  <c r="B379" i="9"/>
  <c r="B378" i="9"/>
  <c r="D377" i="9"/>
  <c r="C377" i="9"/>
  <c r="B377" i="9"/>
  <c r="B376" i="9"/>
  <c r="B375" i="9"/>
  <c r="B374" i="9"/>
  <c r="B373" i="9"/>
  <c r="B372" i="9"/>
  <c r="D372" i="9" s="1"/>
  <c r="B371" i="9"/>
  <c r="D370" i="9"/>
  <c r="C370" i="9"/>
  <c r="B370" i="9"/>
  <c r="B369" i="9"/>
  <c r="B368" i="9"/>
  <c r="B367" i="9"/>
  <c r="D367" i="9" s="1"/>
  <c r="B366" i="9"/>
  <c r="B365" i="9"/>
  <c r="D365" i="9" s="1"/>
  <c r="B364" i="9"/>
  <c r="D364" i="9" s="1"/>
  <c r="B363" i="9"/>
  <c r="D375" i="9" s="1"/>
  <c r="B362" i="9"/>
  <c r="B361" i="9"/>
  <c r="B360" i="9"/>
  <c r="B359" i="9"/>
  <c r="D359" i="9" s="1"/>
  <c r="D358" i="9"/>
  <c r="B358" i="9"/>
  <c r="C358" i="9" s="1"/>
  <c r="B357" i="9"/>
  <c r="D357" i="9" s="1"/>
  <c r="B356" i="9"/>
  <c r="C357" i="9" s="1"/>
  <c r="B355" i="9"/>
  <c r="B354" i="9"/>
  <c r="B353" i="9"/>
  <c r="B352" i="9"/>
  <c r="D352" i="9" s="1"/>
  <c r="B351" i="9"/>
  <c r="D363" i="9" s="1"/>
  <c r="B350" i="9"/>
  <c r="B349" i="9"/>
  <c r="D348" i="9"/>
  <c r="B348" i="9"/>
  <c r="C348" i="9" s="1"/>
  <c r="B347" i="9"/>
  <c r="C347" i="9" s="1"/>
  <c r="B346" i="9"/>
  <c r="C346" i="9" s="1"/>
  <c r="B345" i="9"/>
  <c r="D345" i="9" s="1"/>
  <c r="B344" i="9"/>
  <c r="B343" i="9"/>
  <c r="D355" i="9" s="1"/>
  <c r="B342" i="9"/>
  <c r="C342" i="9" s="1"/>
  <c r="B341" i="9"/>
  <c r="C341" i="9" s="1"/>
  <c r="B340" i="9"/>
  <c r="B339" i="9"/>
  <c r="B338" i="9"/>
  <c r="D338" i="9" s="1"/>
  <c r="B337" i="9"/>
  <c r="B336" i="9"/>
  <c r="B335" i="9"/>
  <c r="C334" i="9"/>
  <c r="B334" i="9"/>
  <c r="B333" i="9"/>
  <c r="C333" i="9" s="1"/>
  <c r="B332" i="9"/>
  <c r="B331" i="9"/>
  <c r="C331" i="9" s="1"/>
  <c r="D330" i="9"/>
  <c r="B330" i="9"/>
  <c r="B329" i="9"/>
  <c r="D341" i="9" s="1"/>
  <c r="B328" i="9"/>
  <c r="B327" i="9"/>
  <c r="B326" i="9"/>
  <c r="B325" i="9"/>
  <c r="B324" i="9"/>
  <c r="B323" i="9"/>
  <c r="D323" i="9" s="1"/>
  <c r="B322" i="9"/>
  <c r="D334" i="9" s="1"/>
  <c r="B321" i="9"/>
  <c r="D333" i="9" s="1"/>
  <c r="B320" i="9"/>
  <c r="B319" i="9"/>
  <c r="C319" i="9" s="1"/>
  <c r="B318" i="9"/>
  <c r="B317" i="9"/>
  <c r="B316" i="9"/>
  <c r="B315" i="9"/>
  <c r="B314" i="9"/>
  <c r="B313" i="9"/>
  <c r="C313" i="9" s="1"/>
  <c r="B312" i="9"/>
  <c r="C312" i="9" s="1"/>
  <c r="D311" i="9"/>
  <c r="B311" i="9"/>
  <c r="C311" i="9" s="1"/>
  <c r="B310" i="9"/>
  <c r="B309" i="9"/>
  <c r="B308" i="9"/>
  <c r="B307" i="9"/>
  <c r="B306" i="9"/>
  <c r="D306" i="9" s="1"/>
  <c r="B305" i="9"/>
  <c r="B304" i="9"/>
  <c r="B303" i="9"/>
  <c r="B302" i="9"/>
  <c r="B301" i="9"/>
  <c r="B300" i="9"/>
  <c r="D300" i="9" s="1"/>
  <c r="B299" i="9"/>
  <c r="B298" i="9"/>
  <c r="C298" i="9" s="1"/>
  <c r="B297" i="9"/>
  <c r="D297" i="9" s="1"/>
  <c r="B296" i="9"/>
  <c r="B295" i="9"/>
  <c r="B294" i="9"/>
  <c r="B293" i="9"/>
  <c r="B292" i="9"/>
  <c r="B291" i="9"/>
  <c r="C291" i="9" s="1"/>
  <c r="B290" i="9"/>
  <c r="D290" i="9" s="1"/>
  <c r="B289" i="9"/>
  <c r="C290" i="9" s="1"/>
  <c r="B288" i="9"/>
  <c r="B287" i="9"/>
  <c r="B286" i="9"/>
  <c r="B285" i="9"/>
  <c r="B284" i="9"/>
  <c r="B283" i="9"/>
  <c r="B282" i="9"/>
  <c r="B281" i="9"/>
  <c r="D293" i="9" s="1"/>
  <c r="B280" i="9"/>
  <c r="B279" i="9"/>
  <c r="B278" i="9"/>
  <c r="C278" i="9" s="1"/>
  <c r="B277" i="9"/>
  <c r="B276" i="9"/>
  <c r="B275" i="9"/>
  <c r="B274" i="9"/>
  <c r="D274" i="9" s="1"/>
  <c r="B273" i="9"/>
  <c r="B272" i="9"/>
  <c r="C272" i="9" s="1"/>
  <c r="D271" i="9"/>
  <c r="B271" i="9"/>
  <c r="B270" i="9"/>
  <c r="B269" i="9"/>
  <c r="B268" i="9"/>
  <c r="B267" i="9"/>
  <c r="C267" i="9" s="1"/>
  <c r="B266" i="9"/>
  <c r="B265" i="9"/>
  <c r="D277" i="9" s="1"/>
  <c r="B264" i="9"/>
  <c r="D264" i="9" s="1"/>
  <c r="B263" i="9"/>
  <c r="C263" i="9" s="1"/>
  <c r="B262" i="9"/>
  <c r="B261" i="9"/>
  <c r="B260" i="9"/>
  <c r="B259" i="9"/>
  <c r="B258" i="9"/>
  <c r="D258" i="9" s="1"/>
  <c r="B257" i="9"/>
  <c r="B256" i="9"/>
  <c r="B255" i="9"/>
  <c r="B254" i="9"/>
  <c r="B253" i="9"/>
  <c r="B252" i="9"/>
  <c r="D252" i="9" s="1"/>
  <c r="B251" i="9"/>
  <c r="B250" i="9"/>
  <c r="B249" i="9"/>
  <c r="B248" i="9"/>
  <c r="C248" i="9" s="1"/>
  <c r="C247" i="9"/>
  <c r="B247" i="9"/>
  <c r="B246" i="9"/>
  <c r="C246" i="9" s="1"/>
  <c r="B245" i="9"/>
  <c r="C245" i="9" s="1"/>
  <c r="B244" i="9"/>
  <c r="B243" i="9"/>
  <c r="B242" i="9"/>
  <c r="C241" i="9"/>
  <c r="B241" i="9"/>
  <c r="B240" i="9"/>
  <c r="B239" i="9"/>
  <c r="B238" i="9"/>
  <c r="B237" i="9"/>
  <c r="B236" i="9"/>
  <c r="D236" i="9" s="1"/>
  <c r="B235" i="9"/>
  <c r="D235" i="9" s="1"/>
  <c r="B234" i="9"/>
  <c r="C235" i="9" s="1"/>
  <c r="B233" i="9"/>
  <c r="C233" i="9" s="1"/>
  <c r="B232" i="9"/>
  <c r="B231" i="9"/>
  <c r="B230" i="9"/>
  <c r="B229" i="9"/>
  <c r="B228" i="9"/>
  <c r="D228" i="9" s="1"/>
  <c r="B227" i="9"/>
  <c r="B226" i="9"/>
  <c r="D226" i="9" s="1"/>
  <c r="B225" i="9"/>
  <c r="B224" i="9"/>
  <c r="B223" i="9"/>
  <c r="D223" i="9" s="1"/>
  <c r="B222" i="9"/>
  <c r="B221" i="9"/>
  <c r="C221" i="9" s="1"/>
  <c r="B220" i="9"/>
  <c r="B219" i="9"/>
  <c r="D231" i="9" s="1"/>
  <c r="B218" i="9"/>
  <c r="D217" i="9"/>
  <c r="C217" i="9"/>
  <c r="B217" i="9"/>
  <c r="B216" i="9"/>
  <c r="B215" i="9"/>
  <c r="C215" i="9" s="1"/>
  <c r="B214" i="9"/>
  <c r="B213" i="9"/>
  <c r="B212" i="9"/>
  <c r="C212" i="9" s="1"/>
  <c r="D211" i="9"/>
  <c r="B211" i="9"/>
  <c r="C211" i="9" s="1"/>
  <c r="B210" i="9"/>
  <c r="B209" i="9"/>
  <c r="D208" i="9"/>
  <c r="B208" i="9"/>
  <c r="B207" i="9"/>
  <c r="B206" i="9"/>
  <c r="C206" i="9" s="1"/>
  <c r="B205" i="9"/>
  <c r="B204" i="9"/>
  <c r="B203" i="9"/>
  <c r="B202" i="9"/>
  <c r="D214" i="9" s="1"/>
  <c r="D201" i="9"/>
  <c r="B201" i="9"/>
  <c r="C201" i="9" s="1"/>
  <c r="D200" i="9"/>
  <c r="B200" i="9"/>
  <c r="B199" i="9"/>
  <c r="C199" i="9" s="1"/>
  <c r="B198" i="9"/>
  <c r="B197" i="9"/>
  <c r="C197" i="9" s="1"/>
  <c r="B196" i="9"/>
  <c r="B195" i="9"/>
  <c r="B194" i="9"/>
  <c r="B193" i="9"/>
  <c r="D205" i="9" s="1"/>
  <c r="B192" i="9"/>
  <c r="B191" i="9"/>
  <c r="B190" i="9"/>
  <c r="C190" i="9" s="1"/>
  <c r="B189" i="9"/>
  <c r="B188" i="9"/>
  <c r="B187" i="9"/>
  <c r="C187" i="9" s="1"/>
  <c r="B186" i="9"/>
  <c r="B185" i="9"/>
  <c r="D184" i="9"/>
  <c r="B184" i="9"/>
  <c r="B183" i="9"/>
  <c r="B182" i="9"/>
  <c r="D182" i="9" s="1"/>
  <c r="B181" i="9"/>
  <c r="B180" i="9"/>
  <c r="B179" i="9"/>
  <c r="D191" i="9" s="1"/>
  <c r="B178" i="9"/>
  <c r="B177" i="9"/>
  <c r="B176" i="9"/>
  <c r="C176" i="9" s="1"/>
  <c r="D175" i="9"/>
  <c r="B175" i="9"/>
  <c r="B174" i="9"/>
  <c r="B173" i="9"/>
  <c r="B172" i="9"/>
  <c r="B171" i="9"/>
  <c r="B170" i="9"/>
  <c r="B169" i="9"/>
  <c r="D169" i="9" s="1"/>
  <c r="B168" i="9"/>
  <c r="D168" i="9" s="1"/>
  <c r="B167" i="9"/>
  <c r="B166" i="9"/>
  <c r="B165" i="9"/>
  <c r="B164" i="9"/>
  <c r="B163" i="9"/>
  <c r="B162" i="9"/>
  <c r="B161" i="9"/>
  <c r="B160" i="9"/>
  <c r="B159" i="9"/>
  <c r="D159" i="9" s="1"/>
  <c r="B158" i="9"/>
  <c r="D158" i="9" s="1"/>
  <c r="B157" i="9"/>
  <c r="C157" i="9" s="1"/>
  <c r="B156" i="9"/>
  <c r="D156" i="9" s="1"/>
  <c r="B155" i="9"/>
  <c r="B154" i="9"/>
  <c r="B153" i="9"/>
  <c r="D153" i="9" s="1"/>
  <c r="B152" i="9"/>
  <c r="B151" i="9"/>
  <c r="B150" i="9"/>
  <c r="D162" i="9" s="1"/>
  <c r="C149" i="9"/>
  <c r="B149" i="9"/>
  <c r="B148" i="9"/>
  <c r="B147" i="9"/>
  <c r="C147" i="9" s="1"/>
  <c r="B146" i="9"/>
  <c r="C146" i="9" s="1"/>
  <c r="B145" i="9"/>
  <c r="B144" i="9"/>
  <c r="B143" i="9"/>
  <c r="B142" i="9"/>
  <c r="D142" i="9" s="1"/>
  <c r="D141" i="9"/>
  <c r="C141" i="9"/>
  <c r="B141" i="9"/>
  <c r="B140" i="9"/>
  <c r="D140" i="9" s="1"/>
  <c r="B139" i="9"/>
  <c r="B138" i="9"/>
  <c r="B137" i="9"/>
  <c r="B136" i="9"/>
  <c r="B135" i="9"/>
  <c r="B134" i="9"/>
  <c r="B133" i="9"/>
  <c r="B132" i="9"/>
  <c r="B131" i="9"/>
  <c r="D131" i="9" s="1"/>
  <c r="B130" i="9"/>
  <c r="B129" i="9"/>
  <c r="C129" i="9" s="1"/>
  <c r="B128" i="9"/>
  <c r="B127" i="9"/>
  <c r="B126" i="9"/>
  <c r="D126" i="9" s="1"/>
  <c r="B125" i="9"/>
  <c r="B124" i="9"/>
  <c r="D123" i="9"/>
  <c r="B123" i="9"/>
  <c r="B122" i="9"/>
  <c r="B121" i="9"/>
  <c r="C121" i="9" s="1"/>
  <c r="B120" i="9"/>
  <c r="B119" i="9"/>
  <c r="D119" i="9" s="1"/>
  <c r="B118" i="9"/>
  <c r="B117" i="9"/>
  <c r="D129" i="9" s="1"/>
  <c r="B116" i="9"/>
  <c r="B115" i="9"/>
  <c r="B114" i="9"/>
  <c r="B113" i="9"/>
  <c r="D113" i="9" s="1"/>
  <c r="B112" i="9"/>
  <c r="C112" i="9" s="1"/>
  <c r="D111" i="9"/>
  <c r="B111" i="9"/>
  <c r="C111" i="9" s="1"/>
  <c r="B110" i="9"/>
  <c r="D110" i="9" s="1"/>
  <c r="B109" i="9"/>
  <c r="B108" i="9"/>
  <c r="B107" i="9"/>
  <c r="B106" i="9"/>
  <c r="B105" i="9"/>
  <c r="B104" i="9"/>
  <c r="D104" i="9" s="1"/>
  <c r="B103" i="9"/>
  <c r="B102" i="9"/>
  <c r="D114" i="9" s="1"/>
  <c r="B101" i="9"/>
  <c r="B100" i="9"/>
  <c r="D100" i="9" s="1"/>
  <c r="B99" i="9"/>
  <c r="D99" i="9" s="1"/>
  <c r="B98" i="9"/>
  <c r="D98" i="9" s="1"/>
  <c r="B97" i="9"/>
  <c r="B96" i="9"/>
  <c r="B95" i="9"/>
  <c r="C95" i="9" s="1"/>
  <c r="B94" i="9"/>
  <c r="D94" i="9" s="1"/>
  <c r="B93" i="9"/>
  <c r="B92" i="9"/>
  <c r="C92" i="9" s="1"/>
  <c r="B91" i="9"/>
  <c r="D91" i="9" s="1"/>
  <c r="B90" i="9"/>
  <c r="D102" i="9" s="1"/>
  <c r="B89" i="9"/>
  <c r="D89" i="9" s="1"/>
  <c r="B88" i="9"/>
  <c r="B87" i="9"/>
  <c r="B86" i="9"/>
  <c r="B85" i="9"/>
  <c r="D84" i="9"/>
  <c r="B84" i="9"/>
  <c r="B83" i="9"/>
  <c r="C83" i="9" s="1"/>
  <c r="B82" i="9"/>
  <c r="B81" i="9"/>
  <c r="B80" i="9"/>
  <c r="B79" i="9"/>
  <c r="B78" i="9"/>
  <c r="D78" i="9" s="1"/>
  <c r="B77" i="9"/>
  <c r="C77" i="9" s="1"/>
  <c r="B76" i="9"/>
  <c r="B75" i="9"/>
  <c r="B74" i="9"/>
  <c r="B73" i="9"/>
  <c r="D73" i="9" s="1"/>
  <c r="B72" i="9"/>
  <c r="B71" i="9"/>
  <c r="D71" i="9" s="1"/>
  <c r="B70" i="9"/>
  <c r="C70" i="9" s="1"/>
  <c r="B69" i="9"/>
  <c r="B68" i="9"/>
  <c r="B67" i="9"/>
  <c r="D67" i="9" s="1"/>
  <c r="B66" i="9"/>
  <c r="B65" i="9"/>
  <c r="B64" i="9"/>
  <c r="D64" i="9" s="1"/>
  <c r="B63" i="9"/>
  <c r="B62" i="9"/>
  <c r="D62" i="9" s="1"/>
  <c r="B61" i="9"/>
  <c r="B60" i="9"/>
  <c r="B59" i="9"/>
  <c r="B58" i="9"/>
  <c r="C58" i="9" s="1"/>
  <c r="B57" i="9"/>
  <c r="C57" i="9" s="1"/>
  <c r="D56" i="9"/>
  <c r="C56" i="9"/>
  <c r="B56" i="9"/>
  <c r="B55" i="9"/>
  <c r="B54" i="9"/>
  <c r="B53" i="9"/>
  <c r="C52" i="9"/>
  <c r="B52" i="9"/>
  <c r="D52" i="9" s="1"/>
  <c r="B51" i="9"/>
  <c r="B50" i="9"/>
  <c r="C50" i="9" s="1"/>
  <c r="B49" i="9"/>
  <c r="B48" i="9"/>
  <c r="B47" i="9"/>
  <c r="D47" i="9" s="1"/>
  <c r="B46" i="9"/>
  <c r="B45" i="9"/>
  <c r="C45" i="9" s="1"/>
  <c r="C44" i="9"/>
  <c r="B44" i="9"/>
  <c r="B43" i="9"/>
  <c r="B42" i="9"/>
  <c r="B41" i="9"/>
  <c r="D41" i="9" s="1"/>
  <c r="B40" i="9"/>
  <c r="B39" i="9"/>
  <c r="D39" i="9" s="1"/>
  <c r="B38" i="9"/>
  <c r="B37" i="9"/>
  <c r="D49" i="9" s="1"/>
  <c r="D36" i="9"/>
  <c r="C36" i="9"/>
  <c r="B36" i="9"/>
  <c r="B35" i="9"/>
  <c r="B34" i="9"/>
  <c r="B33" i="9"/>
  <c r="B32" i="9"/>
  <c r="B31" i="9"/>
  <c r="D31" i="9" s="1"/>
  <c r="B30" i="9"/>
  <c r="D30" i="9" s="1"/>
  <c r="B29" i="9"/>
  <c r="B28" i="9"/>
  <c r="B27" i="9"/>
  <c r="B26" i="9"/>
  <c r="B25" i="9"/>
  <c r="B24" i="9"/>
  <c r="B23" i="9"/>
  <c r="D23" i="9" s="1"/>
  <c r="B22" i="9"/>
  <c r="B21" i="9"/>
  <c r="C20" i="9"/>
  <c r="B20" i="9"/>
  <c r="B19" i="9"/>
  <c r="C19" i="9" s="1"/>
  <c r="B18" i="9"/>
  <c r="B17" i="9"/>
  <c r="B16" i="9"/>
  <c r="B15" i="9"/>
  <c r="D27" i="9" s="1"/>
  <c r="B14" i="9"/>
  <c r="C14" i="9" s="1"/>
  <c r="B13" i="9"/>
  <c r="C13" i="9" s="1"/>
  <c r="B12" i="9"/>
  <c r="B11" i="9"/>
  <c r="B10" i="9"/>
  <c r="B9" i="9"/>
  <c r="B8" i="9"/>
  <c r="B7" i="9"/>
  <c r="W2" i="9"/>
  <c r="AA1" i="9"/>
  <c r="W1" i="9"/>
  <c r="B617" i="8"/>
  <c r="C617" i="8" s="1"/>
  <c r="C616" i="8"/>
  <c r="B616" i="8"/>
  <c r="B615" i="8"/>
  <c r="B614" i="8"/>
  <c r="B613" i="8"/>
  <c r="B612" i="8"/>
  <c r="B611" i="8"/>
  <c r="B610" i="8"/>
  <c r="B609" i="8"/>
  <c r="B608" i="8"/>
  <c r="B607" i="8"/>
  <c r="C608" i="8" s="1"/>
  <c r="B606" i="8"/>
  <c r="B605" i="8"/>
  <c r="B604" i="8"/>
  <c r="D616" i="8" s="1"/>
  <c r="B603" i="8"/>
  <c r="B602" i="8"/>
  <c r="B601" i="8"/>
  <c r="B600" i="8"/>
  <c r="D600" i="8" s="1"/>
  <c r="D599" i="8"/>
  <c r="C599" i="8"/>
  <c r="B599" i="8"/>
  <c r="B598" i="8"/>
  <c r="B597" i="8"/>
  <c r="B596" i="8"/>
  <c r="B595" i="8"/>
  <c r="B594" i="8"/>
  <c r="B593" i="8"/>
  <c r="B592" i="8"/>
  <c r="D592" i="8" s="1"/>
  <c r="B591" i="8"/>
  <c r="D603" i="8" s="1"/>
  <c r="B590" i="8"/>
  <c r="B589" i="8"/>
  <c r="B588" i="8"/>
  <c r="B587" i="8"/>
  <c r="C587" i="8" s="1"/>
  <c r="B586" i="8"/>
  <c r="B585" i="8"/>
  <c r="B584" i="8"/>
  <c r="D584" i="8" s="1"/>
  <c r="B583" i="8"/>
  <c r="B582" i="8"/>
  <c r="B581" i="8"/>
  <c r="B580" i="8"/>
  <c r="C580" i="8" s="1"/>
  <c r="B579" i="8"/>
  <c r="B578" i="8"/>
  <c r="B577" i="8"/>
  <c r="B576" i="8"/>
  <c r="C576" i="8" s="1"/>
  <c r="C575" i="8"/>
  <c r="B575" i="8"/>
  <c r="D575" i="8" s="1"/>
  <c r="B574" i="8"/>
  <c r="B573" i="8"/>
  <c r="D572" i="8"/>
  <c r="C572" i="8"/>
  <c r="B572" i="8"/>
  <c r="B571" i="8"/>
  <c r="B570" i="8"/>
  <c r="B569" i="8"/>
  <c r="B568" i="8"/>
  <c r="D580" i="8" s="1"/>
  <c r="B567" i="8"/>
  <c r="B566" i="8"/>
  <c r="B565" i="8"/>
  <c r="B564" i="8"/>
  <c r="C564" i="8" s="1"/>
  <c r="D563" i="8"/>
  <c r="C563" i="8"/>
  <c r="B563" i="8"/>
  <c r="B562" i="8"/>
  <c r="B561" i="8"/>
  <c r="B560" i="8"/>
  <c r="B559" i="8"/>
  <c r="B558" i="8"/>
  <c r="D557" i="8"/>
  <c r="B557" i="8"/>
  <c r="C557" i="8" s="1"/>
  <c r="B556" i="8"/>
  <c r="B555" i="8"/>
  <c r="C555" i="8" s="1"/>
  <c r="B554" i="8"/>
  <c r="B553" i="8"/>
  <c r="B552" i="8"/>
  <c r="B551" i="8"/>
  <c r="C551" i="8" s="1"/>
  <c r="B550" i="8"/>
  <c r="B549" i="8"/>
  <c r="B548" i="8"/>
  <c r="B547" i="8"/>
  <c r="B546" i="8"/>
  <c r="B545" i="8"/>
  <c r="C545" i="8" s="1"/>
  <c r="B544" i="8"/>
  <c r="B543" i="8"/>
  <c r="B542" i="8"/>
  <c r="B541" i="8"/>
  <c r="B540" i="8"/>
  <c r="B539" i="8"/>
  <c r="D539" i="8" s="1"/>
  <c r="B538" i="8"/>
  <c r="B537" i="8"/>
  <c r="D549" i="8" s="1"/>
  <c r="B536" i="8"/>
  <c r="D536" i="8" s="1"/>
  <c r="B535" i="8"/>
  <c r="B534" i="8"/>
  <c r="B533" i="8"/>
  <c r="B532" i="8"/>
  <c r="D544" i="8" s="1"/>
  <c r="B531" i="8"/>
  <c r="B530" i="8"/>
  <c r="B529" i="8"/>
  <c r="B528" i="8"/>
  <c r="D528" i="8" s="1"/>
  <c r="C527" i="8"/>
  <c r="B527" i="8"/>
  <c r="B526" i="8"/>
  <c r="B525" i="8"/>
  <c r="B524" i="8"/>
  <c r="B523" i="8"/>
  <c r="B522" i="8"/>
  <c r="B521" i="8"/>
  <c r="B520" i="8"/>
  <c r="D519" i="8"/>
  <c r="C519" i="8"/>
  <c r="B519" i="8"/>
  <c r="B518" i="8"/>
  <c r="B517" i="8"/>
  <c r="D517" i="8" s="1"/>
  <c r="B516" i="8"/>
  <c r="C517" i="8" s="1"/>
  <c r="B515" i="8"/>
  <c r="B514" i="8"/>
  <c r="B513" i="8"/>
  <c r="B512" i="8"/>
  <c r="D512" i="8" s="1"/>
  <c r="C511" i="8"/>
  <c r="B511" i="8"/>
  <c r="B510" i="8"/>
  <c r="B509" i="8"/>
  <c r="B508" i="8"/>
  <c r="B507" i="8"/>
  <c r="B506" i="8"/>
  <c r="B505" i="8"/>
  <c r="D505" i="8" s="1"/>
  <c r="B504" i="8"/>
  <c r="D516" i="8" s="1"/>
  <c r="B503" i="8"/>
  <c r="D503" i="8" s="1"/>
  <c r="B502" i="8"/>
  <c r="B501" i="8"/>
  <c r="B500" i="8"/>
  <c r="B499" i="8"/>
  <c r="D511" i="8" s="1"/>
  <c r="B498" i="8"/>
  <c r="B497" i="8"/>
  <c r="B496" i="8"/>
  <c r="B495" i="8"/>
  <c r="D495" i="8" s="1"/>
  <c r="B494" i="8"/>
  <c r="D493" i="8"/>
  <c r="B493" i="8"/>
  <c r="C493" i="8" s="1"/>
  <c r="B492" i="8"/>
  <c r="B491" i="8"/>
  <c r="D491" i="8" s="1"/>
  <c r="B490" i="8"/>
  <c r="B489" i="8"/>
  <c r="D488" i="8"/>
  <c r="B488" i="8"/>
  <c r="B487" i="8"/>
  <c r="C488" i="8" s="1"/>
  <c r="B486" i="8"/>
  <c r="B485" i="8"/>
  <c r="B484" i="8"/>
  <c r="B483" i="8"/>
  <c r="B482" i="8"/>
  <c r="B481" i="8"/>
  <c r="D481" i="8" s="1"/>
  <c r="B480" i="8"/>
  <c r="C480" i="8" s="1"/>
  <c r="C479" i="8"/>
  <c r="B479" i="8"/>
  <c r="B478" i="8"/>
  <c r="B477" i="8"/>
  <c r="C477" i="8" s="1"/>
  <c r="B476" i="8"/>
  <c r="C476" i="8" s="1"/>
  <c r="B475" i="8"/>
  <c r="B474" i="8"/>
  <c r="B473" i="8"/>
  <c r="B472" i="8"/>
  <c r="D484" i="8" s="1"/>
  <c r="B471" i="8"/>
  <c r="D483" i="8" s="1"/>
  <c r="B470" i="8"/>
  <c r="D469" i="8"/>
  <c r="B469" i="8"/>
  <c r="B468" i="8"/>
  <c r="C469" i="8" s="1"/>
  <c r="B467" i="8"/>
  <c r="B466" i="8"/>
  <c r="B465" i="8"/>
  <c r="D477" i="8" s="1"/>
  <c r="B464" i="8"/>
  <c r="B463" i="8"/>
  <c r="C464" i="8" s="1"/>
  <c r="B462" i="8"/>
  <c r="B461" i="8"/>
  <c r="B460" i="8"/>
  <c r="D460" i="8" s="1"/>
  <c r="B459" i="8"/>
  <c r="B458" i="8"/>
  <c r="B457" i="8"/>
  <c r="B456" i="8"/>
  <c r="B455" i="8"/>
  <c r="D455" i="8" s="1"/>
  <c r="B454" i="8"/>
  <c r="B453" i="8"/>
  <c r="B452" i="8"/>
  <c r="B451" i="8"/>
  <c r="B450" i="8"/>
  <c r="B449" i="8"/>
  <c r="B448" i="8"/>
  <c r="B447" i="8"/>
  <c r="B446" i="8"/>
  <c r="B445" i="8"/>
  <c r="D445" i="8" s="1"/>
  <c r="B444" i="8"/>
  <c r="C445" i="8" s="1"/>
  <c r="B443" i="8"/>
  <c r="C443" i="8" s="1"/>
  <c r="B442" i="8"/>
  <c r="B441" i="8"/>
  <c r="D441" i="8" s="1"/>
  <c r="B440" i="8"/>
  <c r="D440" i="8" s="1"/>
  <c r="B439" i="8"/>
  <c r="C440" i="8" s="1"/>
  <c r="B438" i="8"/>
  <c r="B437" i="8"/>
  <c r="B436" i="8"/>
  <c r="B435" i="8"/>
  <c r="B434" i="8"/>
  <c r="B433" i="8"/>
  <c r="B432" i="8"/>
  <c r="B431" i="8"/>
  <c r="D443" i="8" s="1"/>
  <c r="B430" i="8"/>
  <c r="C429" i="8"/>
  <c r="B429" i="8"/>
  <c r="B428" i="8"/>
  <c r="B427" i="8"/>
  <c r="B426" i="8"/>
  <c r="B425" i="8"/>
  <c r="B424" i="8"/>
  <c r="B423" i="8"/>
  <c r="D423" i="8" s="1"/>
  <c r="B422" i="8"/>
  <c r="B421" i="8"/>
  <c r="B420" i="8"/>
  <c r="B419" i="8"/>
  <c r="B418" i="8"/>
  <c r="B417" i="8"/>
  <c r="B416" i="8"/>
  <c r="D416" i="8" s="1"/>
  <c r="B415" i="8"/>
  <c r="C416" i="8" s="1"/>
  <c r="B414" i="8"/>
  <c r="B413" i="8"/>
  <c r="C413" i="8" s="1"/>
  <c r="B412" i="8"/>
  <c r="B411" i="8"/>
  <c r="B410" i="8"/>
  <c r="B409" i="8"/>
  <c r="B408" i="8"/>
  <c r="B407" i="8"/>
  <c r="B406" i="8"/>
  <c r="B405" i="8"/>
  <c r="D404" i="8"/>
  <c r="B404" i="8"/>
  <c r="B403" i="8"/>
  <c r="B402" i="8"/>
  <c r="B401" i="8"/>
  <c r="B400" i="8"/>
  <c r="B399" i="8"/>
  <c r="B398" i="8"/>
  <c r="B397" i="8"/>
  <c r="B396" i="8"/>
  <c r="B395" i="8"/>
  <c r="D395" i="8" s="1"/>
  <c r="B394" i="8"/>
  <c r="B393" i="8"/>
  <c r="D393" i="8" s="1"/>
  <c r="B392" i="8"/>
  <c r="B391" i="8"/>
  <c r="B390" i="8"/>
  <c r="B389" i="8"/>
  <c r="B388" i="8"/>
  <c r="D400" i="8" s="1"/>
  <c r="B387" i="8"/>
  <c r="B386" i="8"/>
  <c r="B385" i="8"/>
  <c r="B384" i="8"/>
  <c r="D384" i="8" s="1"/>
  <c r="B383" i="8"/>
  <c r="C383" i="8" s="1"/>
  <c r="B382" i="8"/>
  <c r="B381" i="8"/>
  <c r="B380" i="8"/>
  <c r="B379" i="8"/>
  <c r="B378" i="8"/>
  <c r="B377" i="8"/>
  <c r="C376" i="8"/>
  <c r="B376" i="8"/>
  <c r="B375" i="8"/>
  <c r="B374" i="8"/>
  <c r="B373" i="8"/>
  <c r="B372" i="8"/>
  <c r="C373" i="8" s="1"/>
  <c r="B371" i="8"/>
  <c r="D383" i="8" s="1"/>
  <c r="B370" i="8"/>
  <c r="B369" i="8"/>
  <c r="D381" i="8" s="1"/>
  <c r="B368" i="8"/>
  <c r="B367" i="8"/>
  <c r="B366" i="8"/>
  <c r="D365" i="8"/>
  <c r="B365" i="8"/>
  <c r="B364" i="8"/>
  <c r="B363" i="8"/>
  <c r="B362" i="8"/>
  <c r="B361" i="8"/>
  <c r="B360" i="8"/>
  <c r="D372" i="8" s="1"/>
  <c r="B359" i="8"/>
  <c r="D359" i="8" s="1"/>
  <c r="B358" i="8"/>
  <c r="B357" i="8"/>
  <c r="B356" i="8"/>
  <c r="B355" i="8"/>
  <c r="B354" i="8"/>
  <c r="B353" i="8"/>
  <c r="B352" i="8"/>
  <c r="B351" i="8"/>
  <c r="B350" i="8"/>
  <c r="B349" i="8"/>
  <c r="D349" i="8" s="1"/>
  <c r="B348" i="8"/>
  <c r="B347" i="8"/>
  <c r="D347" i="8" s="1"/>
  <c r="B346" i="8"/>
  <c r="B345" i="8"/>
  <c r="D357" i="8" s="1"/>
  <c r="B344" i="8"/>
  <c r="B343" i="8"/>
  <c r="B342" i="8"/>
  <c r="B341" i="8"/>
  <c r="B340" i="8"/>
  <c r="D340" i="8" s="1"/>
  <c r="B339" i="8"/>
  <c r="B338" i="8"/>
  <c r="B337" i="8"/>
  <c r="B336" i="8"/>
  <c r="C335" i="8"/>
  <c r="B335" i="8"/>
  <c r="B334" i="8"/>
  <c r="B333" i="8"/>
  <c r="D345" i="8" s="1"/>
  <c r="B332" i="8"/>
  <c r="D344" i="8" s="1"/>
  <c r="B331" i="8"/>
  <c r="B330" i="8"/>
  <c r="B329" i="8"/>
  <c r="B328" i="8"/>
  <c r="C328" i="8" s="1"/>
  <c r="B327" i="8"/>
  <c r="D339" i="8" s="1"/>
  <c r="B326" i="8"/>
  <c r="B325" i="8"/>
  <c r="B324" i="8"/>
  <c r="C325" i="8" s="1"/>
  <c r="B323" i="8"/>
  <c r="B322" i="8"/>
  <c r="B321" i="8"/>
  <c r="D333" i="8" s="1"/>
  <c r="B320" i="8"/>
  <c r="B319" i="8"/>
  <c r="D319" i="8" s="1"/>
  <c r="B318" i="8"/>
  <c r="B317" i="8"/>
  <c r="D329" i="8" s="1"/>
  <c r="B316" i="8"/>
  <c r="D328" i="8" s="1"/>
  <c r="B315" i="8"/>
  <c r="B314" i="8"/>
  <c r="B313" i="8"/>
  <c r="C313" i="8" s="1"/>
  <c r="D312" i="8"/>
  <c r="B312" i="8"/>
  <c r="B311" i="8"/>
  <c r="D311" i="8" s="1"/>
  <c r="B310" i="8"/>
  <c r="B309" i="8"/>
  <c r="B308" i="8"/>
  <c r="B307" i="8"/>
  <c r="B306" i="8"/>
  <c r="B305" i="8"/>
  <c r="B304" i="8"/>
  <c r="D304" i="8" s="1"/>
  <c r="B303" i="8"/>
  <c r="B302" i="8"/>
  <c r="B301" i="8"/>
  <c r="B300" i="8"/>
  <c r="C301" i="8" s="1"/>
  <c r="B299" i="8"/>
  <c r="D299" i="8" s="1"/>
  <c r="B298" i="8"/>
  <c r="B297" i="8"/>
  <c r="B296" i="8"/>
  <c r="D296" i="8" s="1"/>
  <c r="B295" i="8"/>
  <c r="B294" i="8"/>
  <c r="B293" i="8"/>
  <c r="D293" i="8" s="1"/>
  <c r="B292" i="8"/>
  <c r="B291" i="8"/>
  <c r="B290" i="8"/>
  <c r="B289" i="8"/>
  <c r="B288" i="8"/>
  <c r="D288" i="8" s="1"/>
  <c r="D287" i="8"/>
  <c r="C287" i="8"/>
  <c r="B287" i="8"/>
  <c r="B286" i="8"/>
  <c r="B285" i="8"/>
  <c r="B284" i="8"/>
  <c r="C285" i="8" s="1"/>
  <c r="B283" i="8"/>
  <c r="B282" i="8"/>
  <c r="B281" i="8"/>
  <c r="B280" i="8"/>
  <c r="D292" i="8" s="1"/>
  <c r="B279" i="8"/>
  <c r="B278" i="8"/>
  <c r="B277" i="8"/>
  <c r="B276" i="8"/>
  <c r="B275" i="8"/>
  <c r="D275" i="8" s="1"/>
  <c r="B274" i="8"/>
  <c r="B273" i="8"/>
  <c r="B272" i="8"/>
  <c r="D272" i="8" s="1"/>
  <c r="B271" i="8"/>
  <c r="B270" i="8"/>
  <c r="D269" i="8"/>
  <c r="C269" i="8"/>
  <c r="B269" i="8"/>
  <c r="B268" i="8"/>
  <c r="B267" i="8"/>
  <c r="B266" i="8"/>
  <c r="B265" i="8"/>
  <c r="B264" i="8"/>
  <c r="D263" i="8"/>
  <c r="C263" i="8"/>
  <c r="B263" i="8"/>
  <c r="B262" i="8"/>
  <c r="B261" i="8"/>
  <c r="B260" i="8"/>
  <c r="B259" i="8"/>
  <c r="B258" i="8"/>
  <c r="B257" i="8"/>
  <c r="B256" i="8"/>
  <c r="B255" i="8"/>
  <c r="B254" i="8"/>
  <c r="B253" i="8"/>
  <c r="C253" i="8" s="1"/>
  <c r="B252" i="8"/>
  <c r="D264" i="8" s="1"/>
  <c r="B251" i="8"/>
  <c r="D251" i="8" s="1"/>
  <c r="B250" i="8"/>
  <c r="B249" i="8"/>
  <c r="B248" i="8"/>
  <c r="D248" i="8" s="1"/>
  <c r="B247" i="8"/>
  <c r="B246" i="8"/>
  <c r="B245" i="8"/>
  <c r="B244" i="8"/>
  <c r="D256" i="8" s="1"/>
  <c r="B243" i="8"/>
  <c r="B242" i="8"/>
  <c r="B241" i="8"/>
  <c r="B240" i="8"/>
  <c r="B239" i="8"/>
  <c r="C239" i="8" s="1"/>
  <c r="B238" i="8"/>
  <c r="B237" i="8"/>
  <c r="D249" i="8" s="1"/>
  <c r="D236" i="8"/>
  <c r="C236" i="8"/>
  <c r="B236" i="8"/>
  <c r="B235" i="8"/>
  <c r="B234" i="8"/>
  <c r="B233" i="8"/>
  <c r="B232" i="8"/>
  <c r="B231" i="8"/>
  <c r="B230" i="8"/>
  <c r="B229" i="8"/>
  <c r="D229" i="8" s="1"/>
  <c r="B228" i="8"/>
  <c r="C229" i="8" s="1"/>
  <c r="B227" i="8"/>
  <c r="B226" i="8"/>
  <c r="B225" i="8"/>
  <c r="B224" i="8"/>
  <c r="D224" i="8" s="1"/>
  <c r="B223" i="8"/>
  <c r="C223" i="8" s="1"/>
  <c r="B222" i="8"/>
  <c r="D234" i="8" s="1"/>
  <c r="B221" i="8"/>
  <c r="D233" i="8" s="1"/>
  <c r="B220" i="8"/>
  <c r="C220" i="8" s="1"/>
  <c r="B219" i="8"/>
  <c r="B218" i="8"/>
  <c r="B217" i="8"/>
  <c r="B216" i="8"/>
  <c r="B215" i="8"/>
  <c r="B214" i="8"/>
  <c r="B213" i="8"/>
  <c r="B212" i="8"/>
  <c r="D212" i="8" s="1"/>
  <c r="B211" i="8"/>
  <c r="B210" i="8"/>
  <c r="B209" i="8"/>
  <c r="B208" i="8"/>
  <c r="B207" i="8"/>
  <c r="B206" i="8"/>
  <c r="B205" i="8"/>
  <c r="D217" i="8" s="1"/>
  <c r="B204" i="8"/>
  <c r="B203" i="8"/>
  <c r="D203" i="8" s="1"/>
  <c r="B202" i="8"/>
  <c r="D201" i="8"/>
  <c r="B201" i="8"/>
  <c r="B200" i="8"/>
  <c r="C201" i="8" s="1"/>
  <c r="B199" i="8"/>
  <c r="B198" i="8"/>
  <c r="B197" i="8"/>
  <c r="B196" i="8"/>
  <c r="B195" i="8"/>
  <c r="B194" i="8"/>
  <c r="D206" i="8" s="1"/>
  <c r="B193" i="8"/>
  <c r="B192" i="8"/>
  <c r="C192" i="8" s="1"/>
  <c r="B191" i="8"/>
  <c r="B190" i="8"/>
  <c r="B189" i="8"/>
  <c r="B188" i="8"/>
  <c r="B187" i="8"/>
  <c r="B186" i="8"/>
  <c r="D198" i="8" s="1"/>
  <c r="B185" i="8"/>
  <c r="D185" i="8" s="1"/>
  <c r="B184" i="8"/>
  <c r="C185" i="8" s="1"/>
  <c r="B183" i="8"/>
  <c r="B182" i="8"/>
  <c r="C182" i="8" s="1"/>
  <c r="B181" i="8"/>
  <c r="B180" i="8"/>
  <c r="B179" i="8"/>
  <c r="B178" i="8"/>
  <c r="D190" i="8" s="1"/>
  <c r="B177" i="8"/>
  <c r="D176" i="8"/>
  <c r="B176" i="8"/>
  <c r="B175" i="8"/>
  <c r="B174" i="8"/>
  <c r="C174" i="8" s="1"/>
  <c r="B173" i="8"/>
  <c r="B172" i="8"/>
  <c r="B171" i="8"/>
  <c r="B170" i="8"/>
  <c r="B169" i="8"/>
  <c r="D169" i="8" s="1"/>
  <c r="B168" i="8"/>
  <c r="D180" i="8" s="1"/>
  <c r="B167" i="8"/>
  <c r="B166" i="8"/>
  <c r="B165" i="8"/>
  <c r="D165" i="8" s="1"/>
  <c r="B164" i="8"/>
  <c r="B163" i="8"/>
  <c r="D163" i="8" s="1"/>
  <c r="B162" i="8"/>
  <c r="B161" i="8"/>
  <c r="D173" i="8" s="1"/>
  <c r="B160" i="8"/>
  <c r="D172" i="8" s="1"/>
  <c r="C159" i="8"/>
  <c r="B159" i="8"/>
  <c r="B158" i="8"/>
  <c r="B157" i="8"/>
  <c r="C157" i="8" s="1"/>
  <c r="B156" i="8"/>
  <c r="B155" i="8"/>
  <c r="C155" i="8" s="1"/>
  <c r="B154" i="8"/>
  <c r="B153" i="8"/>
  <c r="D153" i="8" s="1"/>
  <c r="B152" i="8"/>
  <c r="B151" i="8"/>
  <c r="B150" i="8"/>
  <c r="B149" i="8"/>
  <c r="B148" i="8"/>
  <c r="D148" i="8" s="1"/>
  <c r="B147" i="8"/>
  <c r="D147" i="8" s="1"/>
  <c r="B146" i="8"/>
  <c r="B145" i="8"/>
  <c r="B144" i="8"/>
  <c r="B143" i="8"/>
  <c r="B142" i="8"/>
  <c r="B141" i="8"/>
  <c r="B140" i="8"/>
  <c r="C141" i="8" s="1"/>
  <c r="B139" i="8"/>
  <c r="D139" i="8" s="1"/>
  <c r="B138" i="8"/>
  <c r="D150" i="8" s="1"/>
  <c r="D137" i="8"/>
  <c r="C137" i="8"/>
  <c r="B137" i="8"/>
  <c r="B136" i="8"/>
  <c r="B135" i="8"/>
  <c r="B134" i="8"/>
  <c r="B133" i="8"/>
  <c r="B132" i="8"/>
  <c r="B131" i="8"/>
  <c r="B130" i="8"/>
  <c r="B129" i="8"/>
  <c r="B128" i="8"/>
  <c r="D128" i="8" s="1"/>
  <c r="B127" i="8"/>
  <c r="B126" i="8"/>
  <c r="B125" i="8"/>
  <c r="B124" i="8"/>
  <c r="D136" i="8" s="1"/>
  <c r="B123" i="8"/>
  <c r="B122" i="8"/>
  <c r="C122" i="8" s="1"/>
  <c r="B121" i="8"/>
  <c r="B120" i="8"/>
  <c r="B119" i="8"/>
  <c r="C119" i="8" s="1"/>
  <c r="B118" i="8"/>
  <c r="B117" i="8"/>
  <c r="B116" i="8"/>
  <c r="B115" i="8"/>
  <c r="B114" i="8"/>
  <c r="B113" i="8"/>
  <c r="D113" i="8" s="1"/>
  <c r="B112" i="8"/>
  <c r="C112" i="8" s="1"/>
  <c r="D111" i="8"/>
  <c r="C111" i="8"/>
  <c r="B111" i="8"/>
  <c r="B110" i="8"/>
  <c r="B109" i="8"/>
  <c r="B108" i="8"/>
  <c r="D108" i="8" s="1"/>
  <c r="B107" i="8"/>
  <c r="B106" i="8"/>
  <c r="B105" i="8"/>
  <c r="C105" i="8" s="1"/>
  <c r="B104" i="8"/>
  <c r="C104" i="8" s="1"/>
  <c r="B103" i="8"/>
  <c r="B102" i="8"/>
  <c r="B101" i="8"/>
  <c r="C102" i="8" s="1"/>
  <c r="B100" i="8"/>
  <c r="B99" i="8"/>
  <c r="B98" i="8"/>
  <c r="D110" i="8" s="1"/>
  <c r="B97" i="8"/>
  <c r="B96" i="8"/>
  <c r="D96" i="8" s="1"/>
  <c r="B95" i="8"/>
  <c r="B94" i="8"/>
  <c r="D93" i="8"/>
  <c r="B93" i="8"/>
  <c r="B92" i="8"/>
  <c r="B91" i="8"/>
  <c r="B90" i="8"/>
  <c r="D102" i="8" s="1"/>
  <c r="B89" i="8"/>
  <c r="D101" i="8" s="1"/>
  <c r="B88" i="8"/>
  <c r="C88" i="8" s="1"/>
  <c r="B87" i="8"/>
  <c r="B86" i="8"/>
  <c r="B85" i="8"/>
  <c r="B84" i="8"/>
  <c r="B83" i="8"/>
  <c r="B82" i="8"/>
  <c r="B81" i="8"/>
  <c r="B80" i="8"/>
  <c r="D80" i="8" s="1"/>
  <c r="B79" i="8"/>
  <c r="C80" i="8" s="1"/>
  <c r="B78" i="8"/>
  <c r="B77" i="8"/>
  <c r="B76" i="8"/>
  <c r="B75" i="8"/>
  <c r="C76" i="8" s="1"/>
  <c r="B74" i="8"/>
  <c r="B73" i="8"/>
  <c r="D85" i="8" s="1"/>
  <c r="B72" i="8"/>
  <c r="B71" i="8"/>
  <c r="B70" i="8"/>
  <c r="B69" i="8"/>
  <c r="D81" i="8" s="1"/>
  <c r="C68" i="8"/>
  <c r="B68" i="8"/>
  <c r="B67" i="8"/>
  <c r="B66" i="8"/>
  <c r="B65" i="8"/>
  <c r="B64" i="8"/>
  <c r="B63" i="8"/>
  <c r="B62" i="8"/>
  <c r="B61" i="8"/>
  <c r="B60" i="8"/>
  <c r="B59" i="8"/>
  <c r="D59" i="8" s="1"/>
  <c r="B58" i="8"/>
  <c r="B57" i="8"/>
  <c r="B56" i="8"/>
  <c r="B55" i="8"/>
  <c r="D67" i="8" s="1"/>
  <c r="B54" i="8"/>
  <c r="B53" i="8"/>
  <c r="B52" i="8"/>
  <c r="B51" i="8"/>
  <c r="B50" i="8"/>
  <c r="D62" i="8" s="1"/>
  <c r="B49" i="8"/>
  <c r="B48" i="8"/>
  <c r="B47" i="8"/>
  <c r="C47" i="8" s="1"/>
  <c r="B46" i="8"/>
  <c r="D58" i="8" s="1"/>
  <c r="B45" i="8"/>
  <c r="B44" i="8"/>
  <c r="B43" i="8"/>
  <c r="D55" i="8" s="1"/>
  <c r="B42" i="8"/>
  <c r="B41" i="8"/>
  <c r="D53" i="8" s="1"/>
  <c r="B40" i="8"/>
  <c r="D52" i="8" s="1"/>
  <c r="B39" i="8"/>
  <c r="B38" i="8"/>
  <c r="B37" i="8"/>
  <c r="B36" i="8"/>
  <c r="B35" i="8"/>
  <c r="D47" i="8" s="1"/>
  <c r="B34" i="8"/>
  <c r="B33" i="8"/>
  <c r="D45" i="8" s="1"/>
  <c r="B32" i="8"/>
  <c r="B31" i="8"/>
  <c r="B30" i="8"/>
  <c r="B29" i="8"/>
  <c r="B28" i="8"/>
  <c r="B27" i="8"/>
  <c r="B26" i="8"/>
  <c r="D38" i="8" s="1"/>
  <c r="B25" i="8"/>
  <c r="D25" i="8" s="1"/>
  <c r="B24" i="8"/>
  <c r="B23" i="8"/>
  <c r="B22" i="8"/>
  <c r="B21" i="8"/>
  <c r="B20" i="8"/>
  <c r="B19" i="8"/>
  <c r="B18" i="8"/>
  <c r="D30" i="8" s="1"/>
  <c r="B17" i="8"/>
  <c r="B16" i="8"/>
  <c r="B15" i="8"/>
  <c r="D27" i="8" s="1"/>
  <c r="B14" i="8"/>
  <c r="B13" i="8"/>
  <c r="B12" i="8"/>
  <c r="C13" i="8" s="1"/>
  <c r="B11" i="8"/>
  <c r="B10" i="8"/>
  <c r="B9" i="8"/>
  <c r="B8" i="8"/>
  <c r="B7" i="8"/>
  <c r="U2" i="8"/>
  <c r="Y1" i="8" s="1"/>
  <c r="U1" i="8"/>
  <c r="B617" i="7"/>
  <c r="B616" i="7"/>
  <c r="C616" i="7" s="1"/>
  <c r="B615" i="7"/>
  <c r="C615" i="7" s="1"/>
  <c r="B614" i="7"/>
  <c r="B613" i="7"/>
  <c r="D613" i="7" s="1"/>
  <c r="B612" i="7"/>
  <c r="C612" i="7" s="1"/>
  <c r="B611" i="7"/>
  <c r="C611" i="7" s="1"/>
  <c r="B610" i="7"/>
  <c r="D610" i="7" s="1"/>
  <c r="C609" i="7"/>
  <c r="B609" i="7"/>
  <c r="D609" i="7" s="1"/>
  <c r="B608" i="7"/>
  <c r="D608" i="7" s="1"/>
  <c r="B607" i="7"/>
  <c r="C607" i="7" s="1"/>
  <c r="B606" i="7"/>
  <c r="B605" i="7"/>
  <c r="B604" i="7"/>
  <c r="D616" i="7" s="1"/>
  <c r="B603" i="7"/>
  <c r="D603" i="7" s="1"/>
  <c r="B602" i="7"/>
  <c r="D614" i="7" s="1"/>
  <c r="B601" i="7"/>
  <c r="B600" i="7"/>
  <c r="D612" i="7" s="1"/>
  <c r="B599" i="7"/>
  <c r="B598" i="7"/>
  <c r="B597" i="7"/>
  <c r="B596" i="7"/>
  <c r="B595" i="7"/>
  <c r="B594" i="7"/>
  <c r="D606" i="7" s="1"/>
  <c r="D593" i="7"/>
  <c r="B593" i="7"/>
  <c r="D592" i="7"/>
  <c r="B592" i="7"/>
  <c r="B591" i="7"/>
  <c r="B590" i="7"/>
  <c r="B589" i="7"/>
  <c r="B588" i="7"/>
  <c r="B587" i="7"/>
  <c r="D587" i="7" s="1"/>
  <c r="B586" i="7"/>
  <c r="B585" i="7"/>
  <c r="B584" i="7"/>
  <c r="B583" i="7"/>
  <c r="B582" i="7"/>
  <c r="B581" i="7"/>
  <c r="B580" i="7"/>
  <c r="B579" i="7"/>
  <c r="D591" i="7" s="1"/>
  <c r="B578" i="7"/>
  <c r="B577" i="7"/>
  <c r="C577" i="7" s="1"/>
  <c r="B576" i="7"/>
  <c r="D576" i="7" s="1"/>
  <c r="B575" i="7"/>
  <c r="C576" i="7" s="1"/>
  <c r="B574" i="7"/>
  <c r="D573" i="7"/>
  <c r="C573" i="7"/>
  <c r="B573" i="7"/>
  <c r="B572" i="7"/>
  <c r="B571" i="7"/>
  <c r="B570" i="7"/>
  <c r="B569" i="7"/>
  <c r="B568" i="7"/>
  <c r="B567" i="7"/>
  <c r="D579" i="7" s="1"/>
  <c r="B566" i="7"/>
  <c r="B565" i="7"/>
  <c r="D577" i="7" s="1"/>
  <c r="B564" i="7"/>
  <c r="B563" i="7"/>
  <c r="B562" i="7"/>
  <c r="B561" i="7"/>
  <c r="D561" i="7" s="1"/>
  <c r="B560" i="7"/>
  <c r="C560" i="7" s="1"/>
  <c r="B559" i="7"/>
  <c r="B558" i="7"/>
  <c r="B557" i="7"/>
  <c r="D569" i="7" s="1"/>
  <c r="C556" i="7"/>
  <c r="B556" i="7"/>
  <c r="D555" i="7"/>
  <c r="B555" i="7"/>
  <c r="C555" i="7" s="1"/>
  <c r="B554" i="7"/>
  <c r="B553" i="7"/>
  <c r="C552" i="7"/>
  <c r="B552" i="7"/>
  <c r="B551" i="7"/>
  <c r="D551" i="7" s="1"/>
  <c r="B550" i="7"/>
  <c r="B549" i="7"/>
  <c r="B548" i="7"/>
  <c r="B547" i="7"/>
  <c r="B546" i="7"/>
  <c r="B545" i="7"/>
  <c r="B544" i="7"/>
  <c r="D556" i="7" s="1"/>
  <c r="B543" i="7"/>
  <c r="B542" i="7"/>
  <c r="B541" i="7"/>
  <c r="C541" i="7" s="1"/>
  <c r="B540" i="7"/>
  <c r="D552" i="7" s="1"/>
  <c r="B539" i="7"/>
  <c r="C539" i="7" s="1"/>
  <c r="B538" i="7"/>
  <c r="D537" i="7"/>
  <c r="B537" i="7"/>
  <c r="B536" i="7"/>
  <c r="D536" i="7" s="1"/>
  <c r="D535" i="7"/>
  <c r="C535" i="7"/>
  <c r="B535" i="7"/>
  <c r="B534" i="7"/>
  <c r="B533" i="7"/>
  <c r="B532" i="7"/>
  <c r="C532" i="7" s="1"/>
  <c r="C531" i="7"/>
  <c r="B531" i="7"/>
  <c r="B530" i="7"/>
  <c r="B529" i="7"/>
  <c r="C529" i="7" s="1"/>
  <c r="B528" i="7"/>
  <c r="B527" i="7"/>
  <c r="B526" i="7"/>
  <c r="B525" i="7"/>
  <c r="C525" i="7" s="1"/>
  <c r="D524" i="7"/>
  <c r="B524" i="7"/>
  <c r="C524" i="7" s="1"/>
  <c r="B523" i="7"/>
  <c r="B522" i="7"/>
  <c r="B521" i="7"/>
  <c r="D533" i="7" s="1"/>
  <c r="C520" i="7"/>
  <c r="B520" i="7"/>
  <c r="B519" i="7"/>
  <c r="C519" i="7" s="1"/>
  <c r="B518" i="7"/>
  <c r="B517" i="7"/>
  <c r="C517" i="7" s="1"/>
  <c r="D516" i="7"/>
  <c r="B516" i="7"/>
  <c r="D528" i="7" s="1"/>
  <c r="B515" i="7"/>
  <c r="B514" i="7"/>
  <c r="B513" i="7"/>
  <c r="D513" i="7" s="1"/>
  <c r="B512" i="7"/>
  <c r="C512" i="7" s="1"/>
  <c r="B511" i="7"/>
  <c r="B510" i="7"/>
  <c r="B509" i="7"/>
  <c r="D509" i="7" s="1"/>
  <c r="C508" i="7"/>
  <c r="B508" i="7"/>
  <c r="B507" i="7"/>
  <c r="C507" i="7" s="1"/>
  <c r="B506" i="7"/>
  <c r="B505" i="7"/>
  <c r="C504" i="7"/>
  <c r="B504" i="7"/>
  <c r="D504" i="7" s="1"/>
  <c r="B503" i="7"/>
  <c r="D503" i="7" s="1"/>
  <c r="B502" i="7"/>
  <c r="C503" i="7" s="1"/>
  <c r="B501" i="7"/>
  <c r="C501" i="7" s="1"/>
  <c r="B500" i="7"/>
  <c r="B499" i="7"/>
  <c r="D499" i="7" s="1"/>
  <c r="B498" i="7"/>
  <c r="B497" i="7"/>
  <c r="D497" i="7" s="1"/>
  <c r="B496" i="7"/>
  <c r="B495" i="7"/>
  <c r="B494" i="7"/>
  <c r="B493" i="7"/>
  <c r="D493" i="7" s="1"/>
  <c r="D492" i="7"/>
  <c r="B492" i="7"/>
  <c r="C492" i="7" s="1"/>
  <c r="B491" i="7"/>
  <c r="B490" i="7"/>
  <c r="B489" i="7"/>
  <c r="D489" i="7" s="1"/>
  <c r="B488" i="7"/>
  <c r="B487" i="7"/>
  <c r="D487" i="7" s="1"/>
  <c r="B486" i="7"/>
  <c r="C487" i="7" s="1"/>
  <c r="B485" i="7"/>
  <c r="B484" i="7"/>
  <c r="D496" i="7" s="1"/>
  <c r="B483" i="7"/>
  <c r="B482" i="7"/>
  <c r="B481" i="7"/>
  <c r="D481" i="7" s="1"/>
  <c r="B480" i="7"/>
  <c r="B479" i="7"/>
  <c r="B478" i="7"/>
  <c r="B477" i="7"/>
  <c r="C477" i="7" s="1"/>
  <c r="C476" i="7"/>
  <c r="B476" i="7"/>
  <c r="D476" i="7" s="1"/>
  <c r="B475" i="7"/>
  <c r="B474" i="7"/>
  <c r="C473" i="7"/>
  <c r="B473" i="7"/>
  <c r="B472" i="7"/>
  <c r="D472" i="7" s="1"/>
  <c r="B471" i="7"/>
  <c r="C472" i="7" s="1"/>
  <c r="B470" i="7"/>
  <c r="B469" i="7"/>
  <c r="C468" i="7"/>
  <c r="B468" i="7"/>
  <c r="B467" i="7"/>
  <c r="C467" i="7" s="1"/>
  <c r="B466" i="7"/>
  <c r="B465" i="7"/>
  <c r="B464" i="7"/>
  <c r="B463" i="7"/>
  <c r="B462" i="7"/>
  <c r="B461" i="7"/>
  <c r="C460" i="7"/>
  <c r="B460" i="7"/>
  <c r="B459" i="7"/>
  <c r="C459" i="7" s="1"/>
  <c r="B458" i="7"/>
  <c r="B457" i="7"/>
  <c r="C456" i="7"/>
  <c r="B456" i="7"/>
  <c r="D456" i="7" s="1"/>
  <c r="B455" i="7"/>
  <c r="B454" i="7"/>
  <c r="B453" i="7"/>
  <c r="B452" i="7"/>
  <c r="D452" i="7" s="1"/>
  <c r="B451" i="7"/>
  <c r="B450" i="7"/>
  <c r="C449" i="7"/>
  <c r="B449" i="7"/>
  <c r="B448" i="7"/>
  <c r="B447" i="7"/>
  <c r="B446" i="7"/>
  <c r="B445" i="7"/>
  <c r="D445" i="7" s="1"/>
  <c r="D444" i="7"/>
  <c r="B444" i="7"/>
  <c r="B443" i="7"/>
  <c r="D455" i="7" s="1"/>
  <c r="B442" i="7"/>
  <c r="B441" i="7"/>
  <c r="B440" i="7"/>
  <c r="D440" i="7" s="1"/>
  <c r="B439" i="7"/>
  <c r="B438" i="7"/>
  <c r="B437" i="7"/>
  <c r="B436" i="7"/>
  <c r="D435" i="7"/>
  <c r="B435" i="7"/>
  <c r="B434" i="7"/>
  <c r="B433" i="7"/>
  <c r="C433" i="7" s="1"/>
  <c r="B432" i="7"/>
  <c r="D432" i="7" s="1"/>
  <c r="B431" i="7"/>
  <c r="B430" i="7"/>
  <c r="B429" i="7"/>
  <c r="D441" i="7" s="1"/>
  <c r="B428" i="7"/>
  <c r="B427" i="7"/>
  <c r="B426" i="7"/>
  <c r="B425" i="7"/>
  <c r="C425" i="7" s="1"/>
  <c r="B424" i="7"/>
  <c r="B423" i="7"/>
  <c r="C423" i="7" s="1"/>
  <c r="B422" i="7"/>
  <c r="B421" i="7"/>
  <c r="B420" i="7"/>
  <c r="D420" i="7" s="1"/>
  <c r="D419" i="7"/>
  <c r="B419" i="7"/>
  <c r="D431" i="7" s="1"/>
  <c r="B418" i="7"/>
  <c r="B417" i="7"/>
  <c r="B416" i="7"/>
  <c r="D428" i="7" s="1"/>
  <c r="B415" i="7"/>
  <c r="B414" i="7"/>
  <c r="B413" i="7"/>
  <c r="D413" i="7" s="1"/>
  <c r="B412" i="7"/>
  <c r="B411" i="7"/>
  <c r="B410" i="7"/>
  <c r="B409" i="7"/>
  <c r="B408" i="7"/>
  <c r="D408" i="7" s="1"/>
  <c r="B407" i="7"/>
  <c r="D407" i="7" s="1"/>
  <c r="B406" i="7"/>
  <c r="B405" i="7"/>
  <c r="D417" i="7" s="1"/>
  <c r="B404" i="7"/>
  <c r="B403" i="7"/>
  <c r="D415" i="7" s="1"/>
  <c r="B402" i="7"/>
  <c r="B401" i="7"/>
  <c r="C401" i="7" s="1"/>
  <c r="B400" i="7"/>
  <c r="B399" i="7"/>
  <c r="B398" i="7"/>
  <c r="C397" i="7"/>
  <c r="B397" i="7"/>
  <c r="B396" i="7"/>
  <c r="B395" i="7"/>
  <c r="B394" i="7"/>
  <c r="D393" i="7"/>
  <c r="B393" i="7"/>
  <c r="B392" i="7"/>
  <c r="B391" i="7"/>
  <c r="C391" i="7" s="1"/>
  <c r="B390" i="7"/>
  <c r="B389" i="7"/>
  <c r="B388" i="7"/>
  <c r="D400" i="7" s="1"/>
  <c r="B387" i="7"/>
  <c r="C387" i="7" s="1"/>
  <c r="B386" i="7"/>
  <c r="B385" i="7"/>
  <c r="B384" i="7"/>
  <c r="B383" i="7"/>
  <c r="B382" i="7"/>
  <c r="B381" i="7"/>
  <c r="C381" i="7" s="1"/>
  <c r="B380" i="7"/>
  <c r="B379" i="7"/>
  <c r="B378" i="7"/>
  <c r="D377" i="7"/>
  <c r="B377" i="7"/>
  <c r="C377" i="7" s="1"/>
  <c r="B376" i="7"/>
  <c r="D376" i="7" s="1"/>
  <c r="B375" i="7"/>
  <c r="B374" i="7"/>
  <c r="B373" i="7"/>
  <c r="B372" i="7"/>
  <c r="C373" i="7" s="1"/>
  <c r="B371" i="7"/>
  <c r="B370" i="7"/>
  <c r="B369" i="7"/>
  <c r="B368" i="7"/>
  <c r="B367" i="7"/>
  <c r="B366" i="7"/>
  <c r="D365" i="7"/>
  <c r="C365" i="7"/>
  <c r="B365" i="7"/>
  <c r="B364" i="7"/>
  <c r="B363" i="7"/>
  <c r="C363" i="7" s="1"/>
  <c r="B362" i="7"/>
  <c r="B361" i="7"/>
  <c r="D360" i="7"/>
  <c r="C360" i="7"/>
  <c r="B360" i="7"/>
  <c r="B359" i="7"/>
  <c r="B358" i="7"/>
  <c r="B357" i="7"/>
  <c r="D369" i="7" s="1"/>
  <c r="B356" i="7"/>
  <c r="D368" i="7" s="1"/>
  <c r="B355" i="7"/>
  <c r="B354" i="7"/>
  <c r="B353" i="7"/>
  <c r="B352" i="7"/>
  <c r="D351" i="7"/>
  <c r="C351" i="7"/>
  <c r="B351" i="7"/>
  <c r="D363" i="7" s="1"/>
  <c r="B350" i="7"/>
  <c r="B349" i="7"/>
  <c r="B348" i="7"/>
  <c r="B347" i="7"/>
  <c r="B346" i="7"/>
  <c r="B345" i="7"/>
  <c r="B344" i="7"/>
  <c r="C344" i="7" s="1"/>
  <c r="B343" i="7"/>
  <c r="C343" i="7" s="1"/>
  <c r="B342" i="7"/>
  <c r="B341" i="7"/>
  <c r="B340" i="7"/>
  <c r="C339" i="7"/>
  <c r="B339" i="7"/>
  <c r="D339" i="7" s="1"/>
  <c r="B338" i="7"/>
  <c r="B337" i="7"/>
  <c r="B336" i="7"/>
  <c r="D336" i="7" s="1"/>
  <c r="D335" i="7"/>
  <c r="B335" i="7"/>
  <c r="D347" i="7" s="1"/>
  <c r="B334" i="7"/>
  <c r="B333" i="7"/>
  <c r="B332" i="7"/>
  <c r="B331" i="7"/>
  <c r="B330" i="7"/>
  <c r="B329" i="7"/>
  <c r="B328" i="7"/>
  <c r="C328" i="7" s="1"/>
  <c r="B327" i="7"/>
  <c r="B326" i="7"/>
  <c r="B325" i="7"/>
  <c r="C325" i="7" s="1"/>
  <c r="B324" i="7"/>
  <c r="D324" i="7" s="1"/>
  <c r="B323" i="7"/>
  <c r="C323" i="7" s="1"/>
  <c r="B322" i="7"/>
  <c r="B321" i="7"/>
  <c r="B320" i="7"/>
  <c r="B319" i="7"/>
  <c r="D319" i="7" s="1"/>
  <c r="B318" i="7"/>
  <c r="B317" i="7"/>
  <c r="B316" i="7"/>
  <c r="B315" i="7"/>
  <c r="B314" i="7"/>
  <c r="B313" i="7"/>
  <c r="C313" i="7" s="1"/>
  <c r="B312" i="7"/>
  <c r="D312" i="7" s="1"/>
  <c r="B311" i="7"/>
  <c r="B310" i="7"/>
  <c r="B309" i="7"/>
  <c r="B308" i="7"/>
  <c r="D320" i="7" s="1"/>
  <c r="B307" i="7"/>
  <c r="B306" i="7"/>
  <c r="B305" i="7"/>
  <c r="B304" i="7"/>
  <c r="C304" i="7" s="1"/>
  <c r="C303" i="7"/>
  <c r="B303" i="7"/>
  <c r="B302" i="7"/>
  <c r="B301" i="7"/>
  <c r="D301" i="7" s="1"/>
  <c r="B300" i="7"/>
  <c r="B299" i="7"/>
  <c r="D299" i="7" s="1"/>
  <c r="B298" i="7"/>
  <c r="B297" i="7"/>
  <c r="B296" i="7"/>
  <c r="D296" i="7" s="1"/>
  <c r="B295" i="7"/>
  <c r="B294" i="7"/>
  <c r="B293" i="7"/>
  <c r="B292" i="7"/>
  <c r="D291" i="7"/>
  <c r="C291" i="7"/>
  <c r="B291" i="7"/>
  <c r="B290" i="7"/>
  <c r="B289" i="7"/>
  <c r="C289" i="7" s="1"/>
  <c r="B288" i="7"/>
  <c r="B287" i="7"/>
  <c r="C288" i="7" s="1"/>
  <c r="B286" i="7"/>
  <c r="B285" i="7"/>
  <c r="D285" i="7" s="1"/>
  <c r="B284" i="7"/>
  <c r="B283" i="7"/>
  <c r="B282" i="7"/>
  <c r="B281" i="7"/>
  <c r="D280" i="7"/>
  <c r="B280" i="7"/>
  <c r="B279" i="7"/>
  <c r="B278" i="7"/>
  <c r="B277" i="7"/>
  <c r="B276" i="7"/>
  <c r="B275" i="7"/>
  <c r="C275" i="7" s="1"/>
  <c r="B274" i="7"/>
  <c r="B273" i="7"/>
  <c r="B272" i="7"/>
  <c r="B271" i="7"/>
  <c r="B270" i="7"/>
  <c r="B269" i="7"/>
  <c r="C269" i="7" s="1"/>
  <c r="B268" i="7"/>
  <c r="B267" i="7"/>
  <c r="B266" i="7"/>
  <c r="B265" i="7"/>
  <c r="D277" i="7" s="1"/>
  <c r="B264" i="7"/>
  <c r="B263" i="7"/>
  <c r="B262" i="7"/>
  <c r="B261" i="7"/>
  <c r="B260" i="7"/>
  <c r="B259" i="7"/>
  <c r="B258" i="7"/>
  <c r="B257" i="7"/>
  <c r="B256" i="7"/>
  <c r="D268" i="7" s="1"/>
  <c r="B255" i="7"/>
  <c r="D267" i="7" s="1"/>
  <c r="B254" i="7"/>
  <c r="B253" i="7"/>
  <c r="B252" i="7"/>
  <c r="B251" i="7"/>
  <c r="B250" i="7"/>
  <c r="B249" i="7"/>
  <c r="B248" i="7"/>
  <c r="C247" i="7"/>
  <c r="B247" i="7"/>
  <c r="B246" i="7"/>
  <c r="B245" i="7"/>
  <c r="D245" i="7" s="1"/>
  <c r="B244" i="7"/>
  <c r="D256" i="7" s="1"/>
  <c r="B243" i="7"/>
  <c r="C244" i="7" s="1"/>
  <c r="B242" i="7"/>
  <c r="B241" i="7"/>
  <c r="C240" i="7"/>
  <c r="B240" i="7"/>
  <c r="B239" i="7"/>
  <c r="D239" i="7" s="1"/>
  <c r="B238" i="7"/>
  <c r="B237" i="7"/>
  <c r="C237" i="7" s="1"/>
  <c r="B236" i="7"/>
  <c r="B235" i="7"/>
  <c r="B234" i="7"/>
  <c r="B233" i="7"/>
  <c r="D233" i="7" s="1"/>
  <c r="B232" i="7"/>
  <c r="B231" i="7"/>
  <c r="B230" i="7"/>
  <c r="B229" i="7"/>
  <c r="D228" i="7"/>
  <c r="B228" i="7"/>
  <c r="D240" i="7" s="1"/>
  <c r="B227" i="7"/>
  <c r="C228" i="7" s="1"/>
  <c r="B226" i="7"/>
  <c r="B225" i="7"/>
  <c r="C224" i="7"/>
  <c r="B224" i="7"/>
  <c r="B223" i="7"/>
  <c r="D223" i="7" s="1"/>
  <c r="B222" i="7"/>
  <c r="B221" i="7"/>
  <c r="C221" i="7" s="1"/>
  <c r="B220" i="7"/>
  <c r="D219" i="7"/>
  <c r="B219" i="7"/>
  <c r="B218" i="7"/>
  <c r="C219" i="7" s="1"/>
  <c r="D217" i="7"/>
  <c r="B217" i="7"/>
  <c r="C217" i="7" s="1"/>
  <c r="B216" i="7"/>
  <c r="B215" i="7"/>
  <c r="B214" i="7"/>
  <c r="B213" i="7"/>
  <c r="D213" i="7" s="1"/>
  <c r="B212" i="7"/>
  <c r="D224" i="7" s="1"/>
  <c r="B211" i="7"/>
  <c r="B210" i="7"/>
  <c r="B209" i="7"/>
  <c r="B208" i="7"/>
  <c r="C208" i="7" s="1"/>
  <c r="C207" i="7"/>
  <c r="B207" i="7"/>
  <c r="B206" i="7"/>
  <c r="B205" i="7"/>
  <c r="B204" i="7"/>
  <c r="C204" i="7" s="1"/>
  <c r="B203" i="7"/>
  <c r="B202" i="7"/>
  <c r="D201" i="7"/>
  <c r="B201" i="7"/>
  <c r="B200" i="7"/>
  <c r="C199" i="7"/>
  <c r="B199" i="7"/>
  <c r="B198" i="7"/>
  <c r="B197" i="7"/>
  <c r="B196" i="7"/>
  <c r="B195" i="7"/>
  <c r="C195" i="7" s="1"/>
  <c r="B194" i="7"/>
  <c r="B193" i="7"/>
  <c r="D192" i="7"/>
  <c r="B192" i="7"/>
  <c r="D191" i="7"/>
  <c r="C191" i="7"/>
  <c r="B191" i="7"/>
  <c r="B190" i="7"/>
  <c r="B189" i="7"/>
  <c r="B188" i="7"/>
  <c r="B187" i="7"/>
  <c r="B186" i="7"/>
  <c r="B185" i="7"/>
  <c r="B184" i="7"/>
  <c r="B183" i="7"/>
  <c r="B182" i="7"/>
  <c r="C183" i="7" s="1"/>
  <c r="B181" i="7"/>
  <c r="B180" i="7"/>
  <c r="C180" i="7" s="1"/>
  <c r="B179" i="7"/>
  <c r="B178" i="7"/>
  <c r="B177" i="7"/>
  <c r="B176" i="7"/>
  <c r="D175" i="7"/>
  <c r="B175" i="7"/>
  <c r="B174" i="7"/>
  <c r="C175" i="7" s="1"/>
  <c r="B173" i="7"/>
  <c r="B172" i="7"/>
  <c r="B171" i="7"/>
  <c r="B170" i="7"/>
  <c r="B169" i="7"/>
  <c r="C169" i="7" s="1"/>
  <c r="B168" i="7"/>
  <c r="D180" i="7" s="1"/>
  <c r="B167" i="7"/>
  <c r="B166" i="7"/>
  <c r="B165" i="7"/>
  <c r="B164" i="7"/>
  <c r="C164" i="7" s="1"/>
  <c r="B163" i="7"/>
  <c r="B162" i="7"/>
  <c r="B161" i="7"/>
  <c r="B160" i="7"/>
  <c r="D159" i="7"/>
  <c r="B159" i="7"/>
  <c r="B158" i="7"/>
  <c r="C159" i="7" s="1"/>
  <c r="B157" i="7"/>
  <c r="B156" i="7"/>
  <c r="D156" i="7" s="1"/>
  <c r="B155" i="7"/>
  <c r="B154" i="7"/>
  <c r="B153" i="7"/>
  <c r="B152" i="7"/>
  <c r="D151" i="7"/>
  <c r="B151" i="7"/>
  <c r="B150" i="7"/>
  <c r="B149" i="7"/>
  <c r="D149" i="7" s="1"/>
  <c r="B148" i="7"/>
  <c r="C148" i="7" s="1"/>
  <c r="B147" i="7"/>
  <c r="B146" i="7"/>
  <c r="B145" i="7"/>
  <c r="B144" i="7"/>
  <c r="D144" i="7" s="1"/>
  <c r="B143" i="7"/>
  <c r="B142" i="7"/>
  <c r="B141" i="7"/>
  <c r="D153" i="7" s="1"/>
  <c r="B140" i="7"/>
  <c r="B139" i="7"/>
  <c r="B138" i="7"/>
  <c r="B137" i="7"/>
  <c r="B136" i="7"/>
  <c r="B135" i="7"/>
  <c r="B134" i="7"/>
  <c r="D133" i="7"/>
  <c r="C133" i="7"/>
  <c r="B133" i="7"/>
  <c r="D132" i="7"/>
  <c r="B132" i="7"/>
  <c r="B131" i="7"/>
  <c r="C131" i="7" s="1"/>
  <c r="B130" i="7"/>
  <c r="B129" i="7"/>
  <c r="B128" i="7"/>
  <c r="B127" i="7"/>
  <c r="B126" i="7"/>
  <c r="C127" i="7" s="1"/>
  <c r="B125" i="7"/>
  <c r="B124" i="7"/>
  <c r="B123" i="7"/>
  <c r="B122" i="7"/>
  <c r="B121" i="7"/>
  <c r="C121" i="7" s="1"/>
  <c r="B120" i="7"/>
  <c r="B119" i="7"/>
  <c r="B118" i="7"/>
  <c r="B117" i="7"/>
  <c r="C117" i="7" s="1"/>
  <c r="B116" i="7"/>
  <c r="B115" i="7"/>
  <c r="B114" i="7"/>
  <c r="B113" i="7"/>
  <c r="B112" i="7"/>
  <c r="B111" i="7"/>
  <c r="C111" i="7" s="1"/>
  <c r="B110" i="7"/>
  <c r="B109" i="7"/>
  <c r="B108" i="7"/>
  <c r="D120" i="7" s="1"/>
  <c r="B107" i="7"/>
  <c r="D107" i="7" s="1"/>
  <c r="B106" i="7"/>
  <c r="B105" i="7"/>
  <c r="B104" i="7"/>
  <c r="B103" i="7"/>
  <c r="B102" i="7"/>
  <c r="B101" i="7"/>
  <c r="B100" i="7"/>
  <c r="B99" i="7"/>
  <c r="B98" i="7"/>
  <c r="B97" i="7"/>
  <c r="D109" i="7" s="1"/>
  <c r="B96" i="7"/>
  <c r="B95" i="7"/>
  <c r="C96" i="7" s="1"/>
  <c r="B94" i="7"/>
  <c r="B93" i="7"/>
  <c r="B92" i="7"/>
  <c r="B91" i="7"/>
  <c r="B90" i="7"/>
  <c r="B89" i="7"/>
  <c r="C89" i="7" s="1"/>
  <c r="B88" i="7"/>
  <c r="D87" i="7"/>
  <c r="B87" i="7"/>
  <c r="B86" i="7"/>
  <c r="B85" i="7"/>
  <c r="B84" i="7"/>
  <c r="C83" i="7"/>
  <c r="B83" i="7"/>
  <c r="B82" i="7"/>
  <c r="B81" i="7"/>
  <c r="D81" i="7" s="1"/>
  <c r="B80" i="7"/>
  <c r="D80" i="7" s="1"/>
  <c r="B79" i="7"/>
  <c r="B78" i="7"/>
  <c r="D77" i="7"/>
  <c r="B77" i="7"/>
  <c r="B76" i="7"/>
  <c r="C76" i="7" s="1"/>
  <c r="B75" i="7"/>
  <c r="C75" i="7" s="1"/>
  <c r="B74" i="7"/>
  <c r="B73" i="7"/>
  <c r="B72" i="7"/>
  <c r="B71" i="7"/>
  <c r="B70" i="7"/>
  <c r="B69" i="7"/>
  <c r="D69" i="7" s="1"/>
  <c r="B68" i="7"/>
  <c r="B67" i="7"/>
  <c r="B66" i="7"/>
  <c r="B65" i="7"/>
  <c r="C65" i="7" s="1"/>
  <c r="B64" i="7"/>
  <c r="B63" i="7"/>
  <c r="D63" i="7" s="1"/>
  <c r="B62" i="7"/>
  <c r="D61" i="7"/>
  <c r="B61" i="7"/>
  <c r="B60" i="7"/>
  <c r="B59" i="7"/>
  <c r="C59" i="7" s="1"/>
  <c r="B58" i="7"/>
  <c r="B57" i="7"/>
  <c r="B56" i="7"/>
  <c r="D56" i="7" s="1"/>
  <c r="B55" i="7"/>
  <c r="D67" i="7" s="1"/>
  <c r="B54" i="7"/>
  <c r="D53" i="7"/>
  <c r="B53" i="7"/>
  <c r="B52" i="7"/>
  <c r="D51" i="7"/>
  <c r="C51" i="7"/>
  <c r="B51" i="7"/>
  <c r="B50" i="7"/>
  <c r="B49" i="7"/>
  <c r="B48" i="7"/>
  <c r="D48" i="7" s="1"/>
  <c r="B47" i="7"/>
  <c r="B46" i="7"/>
  <c r="D46" i="7" s="1"/>
  <c r="B45" i="7"/>
  <c r="C44" i="7"/>
  <c r="B44" i="7"/>
  <c r="C45" i="7" s="1"/>
  <c r="B43" i="7"/>
  <c r="B42" i="7"/>
  <c r="B41" i="7"/>
  <c r="D41" i="7" s="1"/>
  <c r="B40" i="7"/>
  <c r="D52" i="7" s="1"/>
  <c r="D39" i="7"/>
  <c r="B39" i="7"/>
  <c r="B38" i="7"/>
  <c r="B37" i="7"/>
  <c r="B36" i="7"/>
  <c r="C36" i="7" s="1"/>
  <c r="B35" i="7"/>
  <c r="D35" i="7" s="1"/>
  <c r="B34" i="7"/>
  <c r="D34" i="7" s="1"/>
  <c r="B33" i="7"/>
  <c r="C33" i="7" s="1"/>
  <c r="B32" i="7"/>
  <c r="C32" i="7" s="1"/>
  <c r="D31" i="7"/>
  <c r="B31" i="7"/>
  <c r="D43" i="7" s="1"/>
  <c r="B30" i="7"/>
  <c r="C31" i="7" s="1"/>
  <c r="B29" i="7"/>
  <c r="B28" i="7"/>
  <c r="D28" i="7" s="1"/>
  <c r="B27" i="7"/>
  <c r="B26" i="7"/>
  <c r="D26" i="7" s="1"/>
  <c r="D25" i="7"/>
  <c r="C25" i="7"/>
  <c r="B25" i="7"/>
  <c r="D37" i="7" s="1"/>
  <c r="D24" i="7"/>
  <c r="B24" i="7"/>
  <c r="B23" i="7"/>
  <c r="D23" i="7" s="1"/>
  <c r="B22" i="7"/>
  <c r="B21" i="7"/>
  <c r="B20" i="7"/>
  <c r="B19" i="7"/>
  <c r="C19" i="7" s="1"/>
  <c r="B18" i="7"/>
  <c r="B17" i="7"/>
  <c r="C17" i="7" s="1"/>
  <c r="B16" i="7"/>
  <c r="B15" i="7"/>
  <c r="B14" i="7"/>
  <c r="C14" i="7" s="1"/>
  <c r="B13" i="7"/>
  <c r="C13" i="7" s="1"/>
  <c r="C12" i="7"/>
  <c r="B12" i="7"/>
  <c r="B11" i="7"/>
  <c r="B10" i="7"/>
  <c r="B9" i="7"/>
  <c r="B8" i="7"/>
  <c r="C8" i="7" s="1"/>
  <c r="B7" i="7"/>
  <c r="U2" i="7"/>
  <c r="Y1" i="7" s="1"/>
  <c r="U1" i="7"/>
  <c r="B617" i="6"/>
  <c r="C617" i="6" s="1"/>
  <c r="B616" i="6"/>
  <c r="B615" i="6"/>
  <c r="B614" i="6"/>
  <c r="B613" i="6"/>
  <c r="B612" i="6"/>
  <c r="B611" i="6"/>
  <c r="C610" i="6"/>
  <c r="B610" i="6"/>
  <c r="B609" i="6"/>
  <c r="C609" i="6" s="1"/>
  <c r="B608" i="6"/>
  <c r="B607" i="6"/>
  <c r="B606" i="6"/>
  <c r="B605" i="6"/>
  <c r="B604" i="6"/>
  <c r="D616" i="6" s="1"/>
  <c r="D603" i="6"/>
  <c r="C603" i="6"/>
  <c r="B603" i="6"/>
  <c r="B602" i="6"/>
  <c r="B601" i="6"/>
  <c r="B600" i="6"/>
  <c r="B599" i="6"/>
  <c r="B598" i="6"/>
  <c r="B597" i="6"/>
  <c r="C597" i="6" s="1"/>
  <c r="B596" i="6"/>
  <c r="B595" i="6"/>
  <c r="B594" i="6"/>
  <c r="B593" i="6"/>
  <c r="B592" i="6"/>
  <c r="B591" i="6"/>
  <c r="B590" i="6"/>
  <c r="D590" i="6" s="1"/>
  <c r="B589" i="6"/>
  <c r="B588" i="6"/>
  <c r="B587" i="6"/>
  <c r="B586" i="6"/>
  <c r="B585" i="6"/>
  <c r="B584" i="6"/>
  <c r="B583" i="6"/>
  <c r="B582" i="6"/>
  <c r="B581" i="6"/>
  <c r="B580" i="6"/>
  <c r="D580" i="6" s="1"/>
  <c r="D579" i="6"/>
  <c r="B579" i="6"/>
  <c r="B578" i="6"/>
  <c r="B577" i="6"/>
  <c r="B576" i="6"/>
  <c r="B575" i="6"/>
  <c r="B574" i="6"/>
  <c r="B573" i="6"/>
  <c r="C573" i="6" s="1"/>
  <c r="B572" i="6"/>
  <c r="B571" i="6"/>
  <c r="C570" i="6"/>
  <c r="B570" i="6"/>
  <c r="B569" i="6"/>
  <c r="B568" i="6"/>
  <c r="C568" i="6" s="1"/>
  <c r="B567" i="6"/>
  <c r="B566" i="6"/>
  <c r="B565" i="6"/>
  <c r="B564" i="6"/>
  <c r="D576" i="6" s="1"/>
  <c r="B563" i="6"/>
  <c r="C563" i="6" s="1"/>
  <c r="B562" i="6"/>
  <c r="B561" i="6"/>
  <c r="B560" i="6"/>
  <c r="B559" i="6"/>
  <c r="B558" i="6"/>
  <c r="C558" i="6" s="1"/>
  <c r="B557" i="6"/>
  <c r="B556" i="6"/>
  <c r="B555" i="6"/>
  <c r="D555" i="6" s="1"/>
  <c r="B554" i="6"/>
  <c r="D566" i="6" s="1"/>
  <c r="B553" i="6"/>
  <c r="C553" i="6" s="1"/>
  <c r="B552" i="6"/>
  <c r="B551" i="6"/>
  <c r="B550" i="6"/>
  <c r="B549" i="6"/>
  <c r="C549" i="6" s="1"/>
  <c r="B548" i="6"/>
  <c r="B547" i="6"/>
  <c r="B546" i="6"/>
  <c r="D558" i="6" s="1"/>
  <c r="B545" i="6"/>
  <c r="C544" i="6"/>
  <c r="B544" i="6"/>
  <c r="B543" i="6"/>
  <c r="B542" i="6"/>
  <c r="B541" i="6"/>
  <c r="B540" i="6"/>
  <c r="B539" i="6"/>
  <c r="D539" i="6" s="1"/>
  <c r="B538" i="6"/>
  <c r="B537" i="6"/>
  <c r="B536" i="6"/>
  <c r="B535" i="6"/>
  <c r="C535" i="6" s="1"/>
  <c r="B534" i="6"/>
  <c r="C534" i="6" s="1"/>
  <c r="B533" i="6"/>
  <c r="B532" i="6"/>
  <c r="D544" i="6" s="1"/>
  <c r="B531" i="6"/>
  <c r="C531" i="6" s="1"/>
  <c r="B530" i="6"/>
  <c r="B529" i="6"/>
  <c r="B528" i="6"/>
  <c r="C528" i="6" s="1"/>
  <c r="B527" i="6"/>
  <c r="B526" i="6"/>
  <c r="B525" i="6"/>
  <c r="D537" i="6" s="1"/>
  <c r="B524" i="6"/>
  <c r="B523" i="6"/>
  <c r="B522" i="6"/>
  <c r="B521" i="6"/>
  <c r="D520" i="6"/>
  <c r="C520" i="6"/>
  <c r="B520" i="6"/>
  <c r="B519" i="6"/>
  <c r="B518" i="6"/>
  <c r="C519" i="6" s="1"/>
  <c r="B517" i="6"/>
  <c r="B516" i="6"/>
  <c r="D528" i="6" s="1"/>
  <c r="B515" i="6"/>
  <c r="C514" i="6"/>
  <c r="B514" i="6"/>
  <c r="D514" i="6" s="1"/>
  <c r="B513" i="6"/>
  <c r="C513" i="6" s="1"/>
  <c r="B512" i="6"/>
  <c r="B511" i="6"/>
  <c r="B510" i="6"/>
  <c r="B509" i="6"/>
  <c r="C509" i="6" s="1"/>
  <c r="B508" i="6"/>
  <c r="B507" i="6"/>
  <c r="B506" i="6"/>
  <c r="B505" i="6"/>
  <c r="C505" i="6" s="1"/>
  <c r="C504" i="6"/>
  <c r="B504" i="6"/>
  <c r="B503" i="6"/>
  <c r="B502" i="6"/>
  <c r="C502" i="6" s="1"/>
  <c r="B501" i="6"/>
  <c r="B500" i="6"/>
  <c r="B499" i="6"/>
  <c r="D499" i="6" s="1"/>
  <c r="B498" i="6"/>
  <c r="B497" i="6"/>
  <c r="B496" i="6"/>
  <c r="B495" i="6"/>
  <c r="B494" i="6"/>
  <c r="B493" i="6"/>
  <c r="B492" i="6"/>
  <c r="B491" i="6"/>
  <c r="D503" i="6" s="1"/>
  <c r="C490" i="6"/>
  <c r="B490" i="6"/>
  <c r="B489" i="6"/>
  <c r="B488" i="6"/>
  <c r="B487" i="6"/>
  <c r="B486" i="6"/>
  <c r="B485" i="6"/>
  <c r="B484" i="6"/>
  <c r="D484" i="6" s="1"/>
  <c r="B483" i="6"/>
  <c r="C482" i="6"/>
  <c r="B482" i="6"/>
  <c r="B481" i="6"/>
  <c r="B480" i="6"/>
  <c r="B479" i="6"/>
  <c r="B478" i="6"/>
  <c r="D490" i="6" s="1"/>
  <c r="B477" i="6"/>
  <c r="B476" i="6"/>
  <c r="B475" i="6"/>
  <c r="D487" i="6" s="1"/>
  <c r="C474" i="6"/>
  <c r="B474" i="6"/>
  <c r="B473" i="6"/>
  <c r="B472" i="6"/>
  <c r="B471" i="6"/>
  <c r="B470" i="6"/>
  <c r="B469" i="6"/>
  <c r="B468" i="6"/>
  <c r="B467" i="6"/>
  <c r="B466" i="6"/>
  <c r="B465" i="6"/>
  <c r="C464" i="6"/>
  <c r="B464" i="6"/>
  <c r="B463" i="6"/>
  <c r="B462" i="6"/>
  <c r="B461" i="6"/>
  <c r="D473" i="6" s="1"/>
  <c r="B460" i="6"/>
  <c r="B459" i="6"/>
  <c r="D459" i="6" s="1"/>
  <c r="B458" i="6"/>
  <c r="B457" i="6"/>
  <c r="D469" i="6" s="1"/>
  <c r="B456" i="6"/>
  <c r="B455" i="6"/>
  <c r="B454" i="6"/>
  <c r="B453" i="6"/>
  <c r="B452" i="6"/>
  <c r="D464" i="6" s="1"/>
  <c r="B451" i="6"/>
  <c r="D451" i="6" s="1"/>
  <c r="B450" i="6"/>
  <c r="B449" i="6"/>
  <c r="B448" i="6"/>
  <c r="B447" i="6"/>
  <c r="B446" i="6"/>
  <c r="C447" i="6" s="1"/>
  <c r="B445" i="6"/>
  <c r="B444" i="6"/>
  <c r="B443" i="6"/>
  <c r="B442" i="6"/>
  <c r="D442" i="6" s="1"/>
  <c r="B441" i="6"/>
  <c r="B440" i="6"/>
  <c r="B439" i="6"/>
  <c r="C440" i="6" s="1"/>
  <c r="B438" i="6"/>
  <c r="B437" i="6"/>
  <c r="B436" i="6"/>
  <c r="B435" i="6"/>
  <c r="B434" i="6"/>
  <c r="C434" i="6" s="1"/>
  <c r="B433" i="6"/>
  <c r="D445" i="6" s="1"/>
  <c r="B432" i="6"/>
  <c r="B431" i="6"/>
  <c r="D431" i="6" s="1"/>
  <c r="B430" i="6"/>
  <c r="B429" i="6"/>
  <c r="B428" i="6"/>
  <c r="B427" i="6"/>
  <c r="D439" i="6" s="1"/>
  <c r="B426" i="6"/>
  <c r="B425" i="6"/>
  <c r="D437" i="6" s="1"/>
  <c r="B424" i="6"/>
  <c r="B423" i="6"/>
  <c r="B422" i="6"/>
  <c r="B421" i="6"/>
  <c r="C421" i="6" s="1"/>
  <c r="B420" i="6"/>
  <c r="B419" i="6"/>
  <c r="B418" i="6"/>
  <c r="B417" i="6"/>
  <c r="B416" i="6"/>
  <c r="B415" i="6"/>
  <c r="B414" i="6"/>
  <c r="B413" i="6"/>
  <c r="B412" i="6"/>
  <c r="B411" i="6"/>
  <c r="C411" i="6" s="1"/>
  <c r="B410" i="6"/>
  <c r="B409" i="6"/>
  <c r="B408" i="6"/>
  <c r="D420" i="6" s="1"/>
  <c r="B407" i="6"/>
  <c r="D419" i="6" s="1"/>
  <c r="B406" i="6"/>
  <c r="B405" i="6"/>
  <c r="C406" i="6" s="1"/>
  <c r="B404" i="6"/>
  <c r="B403" i="6"/>
  <c r="D415" i="6" s="1"/>
  <c r="B402" i="6"/>
  <c r="D402" i="6" s="1"/>
  <c r="B401" i="6"/>
  <c r="D413" i="6" s="1"/>
  <c r="B400" i="6"/>
  <c r="B399" i="6"/>
  <c r="B398" i="6"/>
  <c r="B397" i="6"/>
  <c r="B396" i="6"/>
  <c r="B395" i="6"/>
  <c r="B394" i="6"/>
  <c r="B393" i="6"/>
  <c r="B392" i="6"/>
  <c r="B391" i="6"/>
  <c r="D391" i="6" s="1"/>
  <c r="B390" i="6"/>
  <c r="B389" i="6"/>
  <c r="B388" i="6"/>
  <c r="B387" i="6"/>
  <c r="B386" i="6"/>
  <c r="D398" i="6" s="1"/>
  <c r="B385" i="6"/>
  <c r="B384" i="6"/>
  <c r="D396" i="6" s="1"/>
  <c r="B383" i="6"/>
  <c r="D395" i="6" s="1"/>
  <c r="B382" i="6"/>
  <c r="C382" i="6" s="1"/>
  <c r="B381" i="6"/>
  <c r="B380" i="6"/>
  <c r="B379" i="6"/>
  <c r="B378" i="6"/>
  <c r="B377" i="6"/>
  <c r="B376" i="6"/>
  <c r="B375" i="6"/>
  <c r="C376" i="6" s="1"/>
  <c r="B374" i="6"/>
  <c r="C374" i="6" s="1"/>
  <c r="C373" i="6"/>
  <c r="B373" i="6"/>
  <c r="B372" i="6"/>
  <c r="B371" i="6"/>
  <c r="B370" i="6"/>
  <c r="B369" i="6"/>
  <c r="B368" i="6"/>
  <c r="B367" i="6"/>
  <c r="D379" i="6" s="1"/>
  <c r="B366" i="6"/>
  <c r="B365" i="6"/>
  <c r="D377" i="6" s="1"/>
  <c r="B364" i="6"/>
  <c r="D363" i="6"/>
  <c r="B363" i="6"/>
  <c r="B362" i="6"/>
  <c r="B361" i="6"/>
  <c r="B360" i="6"/>
  <c r="D372" i="6" s="1"/>
  <c r="B359" i="6"/>
  <c r="B358" i="6"/>
  <c r="C358" i="6" s="1"/>
  <c r="B357" i="6"/>
  <c r="B356" i="6"/>
  <c r="D368" i="6" s="1"/>
  <c r="B355" i="6"/>
  <c r="B354" i="6"/>
  <c r="B353" i="6"/>
  <c r="C353" i="6" s="1"/>
  <c r="B352" i="6"/>
  <c r="B351" i="6"/>
  <c r="B350" i="6"/>
  <c r="B349" i="6"/>
  <c r="B348" i="6"/>
  <c r="B347" i="6"/>
  <c r="D359" i="6" s="1"/>
  <c r="B346" i="6"/>
  <c r="B345" i="6"/>
  <c r="C346" i="6" s="1"/>
  <c r="B344" i="6"/>
  <c r="B343" i="6"/>
  <c r="B342" i="6"/>
  <c r="B341" i="6"/>
  <c r="B340" i="6"/>
  <c r="D340" i="6" s="1"/>
  <c r="B339" i="6"/>
  <c r="B338" i="6"/>
  <c r="B337" i="6"/>
  <c r="B336" i="6"/>
  <c r="B335" i="6"/>
  <c r="C335" i="6" s="1"/>
  <c r="B334" i="6"/>
  <c r="B333" i="6"/>
  <c r="B332" i="6"/>
  <c r="B331" i="6"/>
  <c r="D331" i="6" s="1"/>
  <c r="D330" i="6"/>
  <c r="C330" i="6"/>
  <c r="B330" i="6"/>
  <c r="B329" i="6"/>
  <c r="B328" i="6"/>
  <c r="B327" i="6"/>
  <c r="B326" i="6"/>
  <c r="B325" i="6"/>
  <c r="B324" i="6"/>
  <c r="B323" i="6"/>
  <c r="B322" i="6"/>
  <c r="B321" i="6"/>
  <c r="B320" i="6"/>
  <c r="B319" i="6"/>
  <c r="B318" i="6"/>
  <c r="B317" i="6"/>
  <c r="C317" i="6" s="1"/>
  <c r="B316" i="6"/>
  <c r="D328" i="6" s="1"/>
  <c r="B315" i="6"/>
  <c r="D315" i="6" s="1"/>
  <c r="B314" i="6"/>
  <c r="B313" i="6"/>
  <c r="B312" i="6"/>
  <c r="D324" i="6" s="1"/>
  <c r="B311" i="6"/>
  <c r="B310" i="6"/>
  <c r="B309" i="6"/>
  <c r="B308" i="6"/>
  <c r="B307" i="6"/>
  <c r="D306" i="6"/>
  <c r="B306" i="6"/>
  <c r="B305" i="6"/>
  <c r="D317" i="6" s="1"/>
  <c r="B304" i="6"/>
  <c r="B303" i="6"/>
  <c r="B302" i="6"/>
  <c r="B301" i="6"/>
  <c r="B300" i="6"/>
  <c r="C300" i="6" s="1"/>
  <c r="B299" i="6"/>
  <c r="D311" i="6" s="1"/>
  <c r="B298" i="6"/>
  <c r="B297" i="6"/>
  <c r="B296" i="6"/>
  <c r="B295" i="6"/>
  <c r="B294" i="6"/>
  <c r="B293" i="6"/>
  <c r="B292" i="6"/>
  <c r="D304" i="6" s="1"/>
  <c r="B291" i="6"/>
  <c r="D303" i="6" s="1"/>
  <c r="B290" i="6"/>
  <c r="B289" i="6"/>
  <c r="B288" i="6"/>
  <c r="B287" i="6"/>
  <c r="B286" i="6"/>
  <c r="C286" i="6" s="1"/>
  <c r="B285" i="6"/>
  <c r="B284" i="6"/>
  <c r="D296" i="6" s="1"/>
  <c r="B283" i="6"/>
  <c r="D283" i="6" s="1"/>
  <c r="B282" i="6"/>
  <c r="D294" i="6" s="1"/>
  <c r="B281" i="6"/>
  <c r="D293" i="6" s="1"/>
  <c r="B280" i="6"/>
  <c r="B279" i="6"/>
  <c r="B278" i="6"/>
  <c r="B277" i="6"/>
  <c r="C277" i="6" s="1"/>
  <c r="B276" i="6"/>
  <c r="B275" i="6"/>
  <c r="C276" i="6" s="1"/>
  <c r="B274" i="6"/>
  <c r="B273" i="6"/>
  <c r="D285" i="6" s="1"/>
  <c r="B272" i="6"/>
  <c r="D284" i="6" s="1"/>
  <c r="B271" i="6"/>
  <c r="B270" i="6"/>
  <c r="B269" i="6"/>
  <c r="B268" i="6"/>
  <c r="D280" i="6" s="1"/>
  <c r="B267" i="6"/>
  <c r="C267" i="6" s="1"/>
  <c r="B266" i="6"/>
  <c r="B265" i="6"/>
  <c r="B264" i="6"/>
  <c r="D276" i="6" s="1"/>
  <c r="B263" i="6"/>
  <c r="D275" i="6" s="1"/>
  <c r="B262" i="6"/>
  <c r="C262" i="6" s="1"/>
  <c r="B261" i="6"/>
  <c r="B260" i="6"/>
  <c r="B259" i="6"/>
  <c r="B258" i="6"/>
  <c r="B257" i="6"/>
  <c r="B256" i="6"/>
  <c r="B255" i="6"/>
  <c r="D254" i="6"/>
  <c r="B254" i="6"/>
  <c r="B253" i="6"/>
  <c r="B252" i="6"/>
  <c r="B251" i="6"/>
  <c r="B250" i="6"/>
  <c r="B249" i="6"/>
  <c r="B248" i="6"/>
  <c r="C248" i="6" s="1"/>
  <c r="B247" i="6"/>
  <c r="B246" i="6"/>
  <c r="B245" i="6"/>
  <c r="B244" i="6"/>
  <c r="C243" i="6"/>
  <c r="B243" i="6"/>
  <c r="B242" i="6"/>
  <c r="B241" i="6"/>
  <c r="B240" i="6"/>
  <c r="B239" i="6"/>
  <c r="C239" i="6" s="1"/>
  <c r="B238" i="6"/>
  <c r="B237" i="6"/>
  <c r="B236" i="6"/>
  <c r="B235" i="6"/>
  <c r="D247" i="6" s="1"/>
  <c r="D234" i="6"/>
  <c r="B234" i="6"/>
  <c r="B233" i="6"/>
  <c r="B232" i="6"/>
  <c r="C233" i="6" s="1"/>
  <c r="B231" i="6"/>
  <c r="B230" i="6"/>
  <c r="B229" i="6"/>
  <c r="B228" i="6"/>
  <c r="B227" i="6"/>
  <c r="B226" i="6"/>
  <c r="B225" i="6"/>
  <c r="B224" i="6"/>
  <c r="C225" i="6" s="1"/>
  <c r="B223" i="6"/>
  <c r="B222" i="6"/>
  <c r="C222" i="6" s="1"/>
  <c r="B221" i="6"/>
  <c r="D233" i="6" s="1"/>
  <c r="B220" i="6"/>
  <c r="D219" i="6"/>
  <c r="C219" i="6"/>
  <c r="B219" i="6"/>
  <c r="B218" i="6"/>
  <c r="B217" i="6"/>
  <c r="B216" i="6"/>
  <c r="D216" i="6" s="1"/>
  <c r="B215" i="6"/>
  <c r="B214" i="6"/>
  <c r="B213" i="6"/>
  <c r="D225" i="6" s="1"/>
  <c r="B212" i="6"/>
  <c r="C212" i="6" s="1"/>
  <c r="B211" i="6"/>
  <c r="B210" i="6"/>
  <c r="B209" i="6"/>
  <c r="B208" i="6"/>
  <c r="B207" i="6"/>
  <c r="B206" i="6"/>
  <c r="B205" i="6"/>
  <c r="C205" i="6" s="1"/>
  <c r="B204" i="6"/>
  <c r="B203" i="6"/>
  <c r="B202" i="6"/>
  <c r="B201" i="6"/>
  <c r="B200" i="6"/>
  <c r="B199" i="6"/>
  <c r="B198" i="6"/>
  <c r="B197" i="6"/>
  <c r="B196" i="6"/>
  <c r="B195" i="6"/>
  <c r="D207" i="6" s="1"/>
  <c r="B194" i="6"/>
  <c r="D206" i="6" s="1"/>
  <c r="B193" i="6"/>
  <c r="B192" i="6"/>
  <c r="B191" i="6"/>
  <c r="D191" i="6" s="1"/>
  <c r="B190" i="6"/>
  <c r="B189" i="6"/>
  <c r="C190" i="6" s="1"/>
  <c r="B188" i="6"/>
  <c r="B187" i="6"/>
  <c r="D199" i="6" s="1"/>
  <c r="B186" i="6"/>
  <c r="B185" i="6"/>
  <c r="D197" i="6" s="1"/>
  <c r="B184" i="6"/>
  <c r="B183" i="6"/>
  <c r="B182" i="6"/>
  <c r="B181" i="6"/>
  <c r="B180" i="6"/>
  <c r="B179" i="6"/>
  <c r="B178" i="6"/>
  <c r="B177" i="6"/>
  <c r="D189" i="6" s="1"/>
  <c r="B176" i="6"/>
  <c r="D188" i="6" s="1"/>
  <c r="B175" i="6"/>
  <c r="B174" i="6"/>
  <c r="B173" i="6"/>
  <c r="D185" i="6" s="1"/>
  <c r="B172" i="6"/>
  <c r="B171" i="6"/>
  <c r="C171" i="6" s="1"/>
  <c r="B170" i="6"/>
  <c r="D182" i="6" s="1"/>
  <c r="B169" i="6"/>
  <c r="B168" i="6"/>
  <c r="D168" i="6" s="1"/>
  <c r="B167" i="6"/>
  <c r="B166" i="6"/>
  <c r="C166" i="6" s="1"/>
  <c r="B165" i="6"/>
  <c r="B164" i="6"/>
  <c r="B163" i="6"/>
  <c r="B162" i="6"/>
  <c r="D162" i="6" s="1"/>
  <c r="B161" i="6"/>
  <c r="C161" i="6" s="1"/>
  <c r="B160" i="6"/>
  <c r="B159" i="6"/>
  <c r="C159" i="6" s="1"/>
  <c r="B158" i="6"/>
  <c r="B157" i="6"/>
  <c r="C158" i="6" s="1"/>
  <c r="B156" i="6"/>
  <c r="B155" i="6"/>
  <c r="B154" i="6"/>
  <c r="D166" i="6" s="1"/>
  <c r="B153" i="6"/>
  <c r="B152" i="6"/>
  <c r="D164" i="6" s="1"/>
  <c r="B151" i="6"/>
  <c r="B150" i="6"/>
  <c r="C150" i="6" s="1"/>
  <c r="B149" i="6"/>
  <c r="B148" i="6"/>
  <c r="B147" i="6"/>
  <c r="B146" i="6"/>
  <c r="B145" i="6"/>
  <c r="D157" i="6" s="1"/>
  <c r="B144" i="6"/>
  <c r="C144" i="6" s="1"/>
  <c r="B143" i="6"/>
  <c r="B142" i="6"/>
  <c r="B141" i="6"/>
  <c r="B140" i="6"/>
  <c r="B139" i="6"/>
  <c r="B138" i="6"/>
  <c r="D150" i="6" s="1"/>
  <c r="B137" i="6"/>
  <c r="B136" i="6"/>
  <c r="B135" i="6"/>
  <c r="C135" i="6" s="1"/>
  <c r="D134" i="6"/>
  <c r="C134" i="6"/>
  <c r="B134" i="6"/>
  <c r="B133" i="6"/>
  <c r="B132" i="6"/>
  <c r="C133" i="6" s="1"/>
  <c r="B131" i="6"/>
  <c r="B130" i="6"/>
  <c r="D142" i="6" s="1"/>
  <c r="B129" i="6"/>
  <c r="B128" i="6"/>
  <c r="B127" i="6"/>
  <c r="B126" i="6"/>
  <c r="B125" i="6"/>
  <c r="B124" i="6"/>
  <c r="B123" i="6"/>
  <c r="C123" i="6" s="1"/>
  <c r="B122" i="6"/>
  <c r="B121" i="6"/>
  <c r="D133" i="6" s="1"/>
  <c r="B120" i="6"/>
  <c r="D132" i="6" s="1"/>
  <c r="B119" i="6"/>
  <c r="D119" i="6" s="1"/>
  <c r="B118" i="6"/>
  <c r="B117" i="6"/>
  <c r="C117" i="6" s="1"/>
  <c r="B116" i="6"/>
  <c r="B115" i="6"/>
  <c r="B114" i="6"/>
  <c r="B113" i="6"/>
  <c r="B112" i="6"/>
  <c r="C112" i="6" s="1"/>
  <c r="B111" i="6"/>
  <c r="D123" i="6" s="1"/>
  <c r="B110" i="6"/>
  <c r="D110" i="6" s="1"/>
  <c r="B109" i="6"/>
  <c r="B108" i="6"/>
  <c r="B107" i="6"/>
  <c r="B106" i="6"/>
  <c r="B105" i="6"/>
  <c r="B104" i="6"/>
  <c r="B103" i="6"/>
  <c r="D103" i="6" s="1"/>
  <c r="B102" i="6"/>
  <c r="B101" i="6"/>
  <c r="B100" i="6"/>
  <c r="C100" i="6" s="1"/>
  <c r="B99" i="6"/>
  <c r="B98" i="6"/>
  <c r="B97" i="6"/>
  <c r="B96" i="6"/>
  <c r="B95" i="6"/>
  <c r="B94" i="6"/>
  <c r="D106" i="6" s="1"/>
  <c r="B93" i="6"/>
  <c r="D105" i="6" s="1"/>
  <c r="B92" i="6"/>
  <c r="B91" i="6"/>
  <c r="C91" i="6" s="1"/>
  <c r="B90" i="6"/>
  <c r="B89" i="6"/>
  <c r="B88" i="6"/>
  <c r="D88" i="6" s="1"/>
  <c r="D87" i="6"/>
  <c r="B87" i="6"/>
  <c r="B86" i="6"/>
  <c r="C87" i="6" s="1"/>
  <c r="B85" i="6"/>
  <c r="D97" i="6" s="1"/>
  <c r="B84" i="6"/>
  <c r="B83" i="6"/>
  <c r="C84" i="6" s="1"/>
  <c r="B82" i="6"/>
  <c r="B81" i="6"/>
  <c r="B80" i="6"/>
  <c r="B79" i="6"/>
  <c r="B78" i="6"/>
  <c r="C78" i="6" s="1"/>
  <c r="B77" i="6"/>
  <c r="B76" i="6"/>
  <c r="C76" i="6" s="1"/>
  <c r="B75" i="6"/>
  <c r="D75" i="6" s="1"/>
  <c r="B74" i="6"/>
  <c r="B73" i="6"/>
  <c r="B72" i="6"/>
  <c r="B71" i="6"/>
  <c r="D83" i="6" s="1"/>
  <c r="B70" i="6"/>
  <c r="C69" i="6"/>
  <c r="B69" i="6"/>
  <c r="B68" i="6"/>
  <c r="B67" i="6"/>
  <c r="B66" i="6"/>
  <c r="B65" i="6"/>
  <c r="B64" i="6"/>
  <c r="B63" i="6"/>
  <c r="B62" i="6"/>
  <c r="C62" i="6" s="1"/>
  <c r="B61" i="6"/>
  <c r="D73" i="6" s="1"/>
  <c r="B60" i="6"/>
  <c r="B59" i="6"/>
  <c r="B58" i="6"/>
  <c r="B57" i="6"/>
  <c r="B56" i="6"/>
  <c r="B55" i="6"/>
  <c r="D67" i="6" s="1"/>
  <c r="B54" i="6"/>
  <c r="C54" i="6" s="1"/>
  <c r="B53" i="6"/>
  <c r="B52" i="6"/>
  <c r="B51" i="6"/>
  <c r="C51" i="6" s="1"/>
  <c r="B50" i="6"/>
  <c r="B49" i="6"/>
  <c r="C49" i="6" s="1"/>
  <c r="B48" i="6"/>
  <c r="B47" i="6"/>
  <c r="B46" i="6"/>
  <c r="D58" i="6" s="1"/>
  <c r="B45" i="6"/>
  <c r="B44" i="6"/>
  <c r="B43" i="6"/>
  <c r="B42" i="6"/>
  <c r="B41" i="6"/>
  <c r="B40" i="6"/>
  <c r="B39" i="6"/>
  <c r="B38" i="6"/>
  <c r="B37" i="6"/>
  <c r="D49" i="6" s="1"/>
  <c r="B36" i="6"/>
  <c r="C35" i="6"/>
  <c r="B35" i="6"/>
  <c r="B34" i="6"/>
  <c r="C34" i="6" s="1"/>
  <c r="B33" i="6"/>
  <c r="B32" i="6"/>
  <c r="B31" i="6"/>
  <c r="B30" i="6"/>
  <c r="D42" i="6" s="1"/>
  <c r="B29" i="6"/>
  <c r="D41" i="6" s="1"/>
  <c r="B28" i="6"/>
  <c r="D40" i="6" s="1"/>
  <c r="B27" i="6"/>
  <c r="B26" i="6"/>
  <c r="B25" i="6"/>
  <c r="B24" i="6"/>
  <c r="B23" i="6"/>
  <c r="B22" i="6"/>
  <c r="B21" i="6"/>
  <c r="D33" i="6" s="1"/>
  <c r="B20" i="6"/>
  <c r="D32" i="6" s="1"/>
  <c r="B19" i="6"/>
  <c r="C19" i="6" s="1"/>
  <c r="B18" i="6"/>
  <c r="C18" i="6" s="1"/>
  <c r="B17" i="6"/>
  <c r="B16" i="6"/>
  <c r="B15" i="6"/>
  <c r="B14" i="6"/>
  <c r="D26" i="6" s="1"/>
  <c r="B13" i="6"/>
  <c r="B12" i="6"/>
  <c r="B11" i="6"/>
  <c r="C11" i="6" s="1"/>
  <c r="B10" i="6"/>
  <c r="B9" i="6"/>
  <c r="B8" i="6"/>
  <c r="B7" i="6"/>
  <c r="U2" i="6"/>
  <c r="Y1" i="6" s="1"/>
  <c r="U1" i="6"/>
  <c r="C676" i="5"/>
  <c r="B676" i="5"/>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17" i="4"/>
  <c r="B616" i="4"/>
  <c r="C616" i="4" s="1"/>
  <c r="B615" i="4"/>
  <c r="B614" i="4"/>
  <c r="B613" i="4"/>
  <c r="D613" i="4" s="1"/>
  <c r="B612" i="4"/>
  <c r="B611" i="4"/>
  <c r="B610" i="4"/>
  <c r="B609" i="4"/>
  <c r="B608" i="4"/>
  <c r="C608" i="4" s="1"/>
  <c r="B607" i="4"/>
  <c r="B606" i="4"/>
  <c r="B605" i="4"/>
  <c r="B604" i="4"/>
  <c r="B603" i="4"/>
  <c r="B602" i="4"/>
  <c r="B601" i="4"/>
  <c r="D601" i="4" s="1"/>
  <c r="B600" i="4"/>
  <c r="D612" i="4" s="1"/>
  <c r="D599" i="4"/>
  <c r="C599" i="4"/>
  <c r="B599" i="4"/>
  <c r="B598" i="4"/>
  <c r="B597" i="4"/>
  <c r="B596" i="4"/>
  <c r="B595" i="4"/>
  <c r="D607" i="4" s="1"/>
  <c r="B594" i="4"/>
  <c r="D594" i="4" s="1"/>
  <c r="B593" i="4"/>
  <c r="D593" i="4" s="1"/>
  <c r="B592" i="4"/>
  <c r="D604" i="4" s="1"/>
  <c r="B591" i="4"/>
  <c r="B590" i="4"/>
  <c r="B589" i="4"/>
  <c r="B588" i="4"/>
  <c r="B587" i="4"/>
  <c r="D587" i="4" s="1"/>
  <c r="B586" i="4"/>
  <c r="D598" i="4" s="1"/>
  <c r="B585" i="4"/>
  <c r="B584" i="4"/>
  <c r="B583" i="4"/>
  <c r="C583" i="4" s="1"/>
  <c r="B582" i="4"/>
  <c r="D582" i="4" s="1"/>
  <c r="B581" i="4"/>
  <c r="C582" i="4" s="1"/>
  <c r="B580" i="4"/>
  <c r="B579" i="4"/>
  <c r="B578" i="4"/>
  <c r="C578" i="4" s="1"/>
  <c r="D577" i="4"/>
  <c r="C577" i="4"/>
  <c r="B577" i="4"/>
  <c r="D589" i="4" s="1"/>
  <c r="B576" i="4"/>
  <c r="B575" i="4"/>
  <c r="B574" i="4"/>
  <c r="B573" i="4"/>
  <c r="D573" i="4" s="1"/>
  <c r="B572" i="4"/>
  <c r="B571" i="4"/>
  <c r="D571" i="4" s="1"/>
  <c r="B570" i="4"/>
  <c r="D570" i="4" s="1"/>
  <c r="B569" i="4"/>
  <c r="B568" i="4"/>
  <c r="B567" i="4"/>
  <c r="B566" i="4"/>
  <c r="B565" i="4"/>
  <c r="B564" i="4"/>
  <c r="D576" i="4" s="1"/>
  <c r="B563" i="4"/>
  <c r="D563" i="4" s="1"/>
  <c r="B562" i="4"/>
  <c r="D561" i="4"/>
  <c r="C561" i="4"/>
  <c r="B561" i="4"/>
  <c r="B560" i="4"/>
  <c r="B559" i="4"/>
  <c r="C559" i="4" s="1"/>
  <c r="B558" i="4"/>
  <c r="B557" i="4"/>
  <c r="B556" i="4"/>
  <c r="B555" i="4"/>
  <c r="B554" i="4"/>
  <c r="B553" i="4"/>
  <c r="D553" i="4" s="1"/>
  <c r="B552" i="4"/>
  <c r="B551" i="4"/>
  <c r="B550" i="4"/>
  <c r="B549" i="4"/>
  <c r="B548" i="4"/>
  <c r="C548" i="4" s="1"/>
  <c r="B547" i="4"/>
  <c r="D559" i="4" s="1"/>
  <c r="B546" i="4"/>
  <c r="D558" i="4" s="1"/>
  <c r="B545" i="4"/>
  <c r="C545" i="4" s="1"/>
  <c r="B544" i="4"/>
  <c r="D543" i="4"/>
  <c r="B543" i="4"/>
  <c r="C543" i="4" s="1"/>
  <c r="B542" i="4"/>
  <c r="B541" i="4"/>
  <c r="C541" i="4" s="1"/>
  <c r="B540" i="4"/>
  <c r="B539" i="4"/>
  <c r="B538" i="4"/>
  <c r="D550" i="4" s="1"/>
  <c r="B537" i="4"/>
  <c r="C537" i="4" s="1"/>
  <c r="B536" i="4"/>
  <c r="B535" i="4"/>
  <c r="B534" i="4"/>
  <c r="C534" i="4" s="1"/>
  <c r="B533" i="4"/>
  <c r="B532" i="4"/>
  <c r="C533" i="4" s="1"/>
  <c r="B531" i="4"/>
  <c r="B530" i="4"/>
  <c r="B529" i="4"/>
  <c r="B528" i="4"/>
  <c r="B527" i="4"/>
  <c r="D526" i="4"/>
  <c r="B526" i="4"/>
  <c r="B525" i="4"/>
  <c r="B524" i="4"/>
  <c r="C524" i="4" s="1"/>
  <c r="B523" i="4"/>
  <c r="B522" i="4"/>
  <c r="D522" i="4" s="1"/>
  <c r="B521" i="4"/>
  <c r="D521" i="4" s="1"/>
  <c r="B520" i="4"/>
  <c r="D532" i="4" s="1"/>
  <c r="B519" i="4"/>
  <c r="B518" i="4"/>
  <c r="C517" i="4"/>
  <c r="B517" i="4"/>
  <c r="D517" i="4" s="1"/>
  <c r="B516" i="4"/>
  <c r="B515" i="4"/>
  <c r="C516" i="4" s="1"/>
  <c r="B514" i="4"/>
  <c r="B513" i="4"/>
  <c r="B512" i="4"/>
  <c r="D511" i="4"/>
  <c r="C511" i="4"/>
  <c r="B511" i="4"/>
  <c r="D523" i="4" s="1"/>
  <c r="B510" i="4"/>
  <c r="C510" i="4" s="1"/>
  <c r="B509" i="4"/>
  <c r="B508" i="4"/>
  <c r="B507" i="4"/>
  <c r="B506" i="4"/>
  <c r="B505" i="4"/>
  <c r="B504" i="4"/>
  <c r="B503" i="4"/>
  <c r="D515" i="4" s="1"/>
  <c r="B502" i="4"/>
  <c r="B501" i="4"/>
  <c r="B500" i="4"/>
  <c r="B499" i="4"/>
  <c r="B498" i="4"/>
  <c r="D510" i="4" s="1"/>
  <c r="B497" i="4"/>
  <c r="B496" i="4"/>
  <c r="B495" i="4"/>
  <c r="D507" i="4" s="1"/>
  <c r="B494" i="4"/>
  <c r="B493" i="4"/>
  <c r="B492" i="4"/>
  <c r="B491" i="4"/>
  <c r="B490" i="4"/>
  <c r="B489" i="4"/>
  <c r="D489" i="4" s="1"/>
  <c r="B488" i="4"/>
  <c r="B487" i="4"/>
  <c r="D487" i="4" s="1"/>
  <c r="B486" i="4"/>
  <c r="D485" i="4"/>
  <c r="C485" i="4"/>
  <c r="B485" i="4"/>
  <c r="B484" i="4"/>
  <c r="B483" i="4"/>
  <c r="D483" i="4" s="1"/>
  <c r="B482" i="4"/>
  <c r="D482" i="4" s="1"/>
  <c r="B481" i="4"/>
  <c r="B480" i="4"/>
  <c r="B479" i="4"/>
  <c r="B478" i="4"/>
  <c r="D478" i="4" s="1"/>
  <c r="C477" i="4"/>
  <c r="B477" i="4"/>
  <c r="B476" i="4"/>
  <c r="B475" i="4"/>
  <c r="C476" i="4" s="1"/>
  <c r="B474" i="4"/>
  <c r="D474" i="4" s="1"/>
  <c r="B473" i="4"/>
  <c r="D473" i="4" s="1"/>
  <c r="B472" i="4"/>
  <c r="B471" i="4"/>
  <c r="B470" i="4"/>
  <c r="B469" i="4"/>
  <c r="B468" i="4"/>
  <c r="B467" i="4"/>
  <c r="C468" i="4" s="1"/>
  <c r="B466" i="4"/>
  <c r="B465" i="4"/>
  <c r="B464" i="4"/>
  <c r="D476" i="4" s="1"/>
  <c r="D463" i="4"/>
  <c r="C463" i="4"/>
  <c r="B463" i="4"/>
  <c r="B462" i="4"/>
  <c r="B461" i="4"/>
  <c r="B460" i="4"/>
  <c r="C460" i="4" s="1"/>
  <c r="B459" i="4"/>
  <c r="D471" i="4" s="1"/>
  <c r="B458" i="4"/>
  <c r="B457" i="4"/>
  <c r="B456" i="4"/>
  <c r="D455" i="4"/>
  <c r="B455" i="4"/>
  <c r="B454" i="4"/>
  <c r="B453" i="4"/>
  <c r="B452" i="4"/>
  <c r="B451" i="4"/>
  <c r="C451" i="4" s="1"/>
  <c r="B450" i="4"/>
  <c r="B449" i="4"/>
  <c r="B448" i="4"/>
  <c r="D460" i="4" s="1"/>
  <c r="B447" i="4"/>
  <c r="B446" i="4"/>
  <c r="B445" i="4"/>
  <c r="B444" i="4"/>
  <c r="B443" i="4"/>
  <c r="C443" i="4" s="1"/>
  <c r="B442" i="4"/>
  <c r="D454" i="4" s="1"/>
  <c r="B441" i="4"/>
  <c r="B440" i="4"/>
  <c r="B439" i="4"/>
  <c r="B438" i="4"/>
  <c r="B437" i="4"/>
  <c r="B436" i="4"/>
  <c r="B435" i="4"/>
  <c r="B434" i="4"/>
  <c r="D446" i="4" s="1"/>
  <c r="D433" i="4"/>
  <c r="B433" i="4"/>
  <c r="B432" i="4"/>
  <c r="B431" i="4"/>
  <c r="B430" i="4"/>
  <c r="B429" i="4"/>
  <c r="D429" i="4" s="1"/>
  <c r="B428" i="4"/>
  <c r="C428" i="4" s="1"/>
  <c r="B427" i="4"/>
  <c r="B426" i="4"/>
  <c r="D426" i="4" s="1"/>
  <c r="B425" i="4"/>
  <c r="B424" i="4"/>
  <c r="B423" i="4"/>
  <c r="C424" i="4" s="1"/>
  <c r="B422" i="4"/>
  <c r="B421" i="4"/>
  <c r="B420" i="4"/>
  <c r="D432" i="4" s="1"/>
  <c r="D419" i="4"/>
  <c r="B419" i="4"/>
  <c r="B418" i="4"/>
  <c r="D417" i="4"/>
  <c r="B417" i="4"/>
  <c r="B416" i="4"/>
  <c r="B415" i="4"/>
  <c r="C415" i="4" s="1"/>
  <c r="B414" i="4"/>
  <c r="B413" i="4"/>
  <c r="D413" i="4" s="1"/>
  <c r="B412" i="4"/>
  <c r="C412" i="4" s="1"/>
  <c r="B411" i="4"/>
  <c r="B410" i="4"/>
  <c r="B409" i="4"/>
  <c r="D409" i="4" s="1"/>
  <c r="B408" i="4"/>
  <c r="B407" i="4"/>
  <c r="B406" i="4"/>
  <c r="D406" i="4" s="1"/>
  <c r="B405" i="4"/>
  <c r="B404" i="4"/>
  <c r="B403" i="4"/>
  <c r="D402" i="4"/>
  <c r="C402" i="4"/>
  <c r="B402" i="4"/>
  <c r="D414" i="4" s="1"/>
  <c r="B401" i="4"/>
  <c r="B400" i="4"/>
  <c r="C400" i="4" s="1"/>
  <c r="B399" i="4"/>
  <c r="D399" i="4" s="1"/>
  <c r="B398" i="4"/>
  <c r="B397" i="4"/>
  <c r="B396" i="4"/>
  <c r="B395" i="4"/>
  <c r="C395" i="4" s="1"/>
  <c r="D394" i="4"/>
  <c r="C394" i="4"/>
  <c r="B394" i="4"/>
  <c r="B393" i="4"/>
  <c r="B392" i="4"/>
  <c r="B391" i="4"/>
  <c r="B390" i="4"/>
  <c r="B389" i="4"/>
  <c r="D401" i="4" s="1"/>
  <c r="B388" i="4"/>
  <c r="B387" i="4"/>
  <c r="D387" i="4" s="1"/>
  <c r="B386" i="4"/>
  <c r="D398" i="4" s="1"/>
  <c r="D385" i="4"/>
  <c r="B385" i="4"/>
  <c r="B384" i="4"/>
  <c r="B383" i="4"/>
  <c r="B382" i="4"/>
  <c r="B381" i="4"/>
  <c r="B380" i="4"/>
  <c r="B379" i="4"/>
  <c r="D378" i="4"/>
  <c r="B378" i="4"/>
  <c r="D390" i="4" s="1"/>
  <c r="B377" i="4"/>
  <c r="D377" i="4" s="1"/>
  <c r="B376" i="4"/>
  <c r="B375" i="4"/>
  <c r="C375" i="4" s="1"/>
  <c r="B374" i="4"/>
  <c r="B373" i="4"/>
  <c r="D373" i="4" s="1"/>
  <c r="B372" i="4"/>
  <c r="B371" i="4"/>
  <c r="B370" i="4"/>
  <c r="D382" i="4" s="1"/>
  <c r="B369" i="4"/>
  <c r="C369" i="4" s="1"/>
  <c r="B368" i="4"/>
  <c r="B367" i="4"/>
  <c r="B366" i="4"/>
  <c r="C366" i="4" s="1"/>
  <c r="B365" i="4"/>
  <c r="B364" i="4"/>
  <c r="D376" i="4" s="1"/>
  <c r="B363" i="4"/>
  <c r="B362" i="4"/>
  <c r="C361" i="4"/>
  <c r="B361" i="4"/>
  <c r="D361" i="4" s="1"/>
  <c r="B360" i="4"/>
  <c r="C360" i="4" s="1"/>
  <c r="B359" i="4"/>
  <c r="B358" i="4"/>
  <c r="B357" i="4"/>
  <c r="B356" i="4"/>
  <c r="B355" i="4"/>
  <c r="B354" i="4"/>
  <c r="D366" i="4" s="1"/>
  <c r="B353" i="4"/>
  <c r="B352" i="4"/>
  <c r="B351" i="4"/>
  <c r="C351" i="4" s="1"/>
  <c r="D350" i="4"/>
  <c r="C350" i="4"/>
  <c r="B350" i="4"/>
  <c r="B349" i="4"/>
  <c r="B348" i="4"/>
  <c r="B347" i="4"/>
  <c r="B346" i="4"/>
  <c r="B345" i="4"/>
  <c r="B344" i="4"/>
  <c r="B343" i="4"/>
  <c r="D343" i="4" s="1"/>
  <c r="B342" i="4"/>
  <c r="B341" i="4"/>
  <c r="B340" i="4"/>
  <c r="B339" i="4"/>
  <c r="B338" i="4"/>
  <c r="B337" i="4"/>
  <c r="D349" i="4" s="1"/>
  <c r="B336" i="4"/>
  <c r="B335" i="4"/>
  <c r="B334" i="4"/>
  <c r="B333" i="4"/>
  <c r="D333" i="4" s="1"/>
  <c r="B332" i="4"/>
  <c r="C332" i="4" s="1"/>
  <c r="B331" i="4"/>
  <c r="B330" i="4"/>
  <c r="B329" i="4"/>
  <c r="B328" i="4"/>
  <c r="D340" i="4" s="1"/>
  <c r="B327" i="4"/>
  <c r="B326" i="4"/>
  <c r="D326" i="4" s="1"/>
  <c r="B325" i="4"/>
  <c r="B324" i="4"/>
  <c r="B323" i="4"/>
  <c r="B322" i="4"/>
  <c r="B321" i="4"/>
  <c r="D321" i="4" s="1"/>
  <c r="B320" i="4"/>
  <c r="C319" i="4"/>
  <c r="B319" i="4"/>
  <c r="D331" i="4" s="1"/>
  <c r="B318" i="4"/>
  <c r="B317" i="4"/>
  <c r="B316" i="4"/>
  <c r="B315" i="4"/>
  <c r="B314" i="4"/>
  <c r="B313" i="4"/>
  <c r="B312" i="4"/>
  <c r="B311" i="4"/>
  <c r="B310" i="4"/>
  <c r="B309" i="4"/>
  <c r="B308" i="4"/>
  <c r="D320" i="4" s="1"/>
  <c r="B307" i="4"/>
  <c r="D319" i="4" s="1"/>
  <c r="B306" i="4"/>
  <c r="B305" i="4"/>
  <c r="C305" i="4" s="1"/>
  <c r="B304" i="4"/>
  <c r="D316" i="4" s="1"/>
  <c r="B303" i="4"/>
  <c r="B302" i="4"/>
  <c r="B301" i="4"/>
  <c r="B300" i="4"/>
  <c r="B299" i="4"/>
  <c r="D299" i="4" s="1"/>
  <c r="B298" i="4"/>
  <c r="B297" i="4"/>
  <c r="B296" i="4"/>
  <c r="B295" i="4"/>
  <c r="B294" i="4"/>
  <c r="B293" i="4"/>
  <c r="D305" i="4" s="1"/>
  <c r="B292" i="4"/>
  <c r="B291" i="4"/>
  <c r="B290" i="4"/>
  <c r="C290" i="4" s="1"/>
  <c r="D289" i="4"/>
  <c r="B289" i="4"/>
  <c r="B288" i="4"/>
  <c r="B287" i="4"/>
  <c r="B286" i="4"/>
  <c r="B285" i="4"/>
  <c r="B284" i="4"/>
  <c r="C284" i="4" s="1"/>
  <c r="B283" i="4"/>
  <c r="B282" i="4"/>
  <c r="D282" i="4" s="1"/>
  <c r="D281" i="4"/>
  <c r="C281" i="4"/>
  <c r="B281" i="4"/>
  <c r="B280" i="4"/>
  <c r="B279" i="4"/>
  <c r="B278" i="4"/>
  <c r="B277" i="4"/>
  <c r="D277" i="4" s="1"/>
  <c r="B276" i="4"/>
  <c r="B275" i="4"/>
  <c r="D275" i="4" s="1"/>
  <c r="B274" i="4"/>
  <c r="B273" i="4"/>
  <c r="D285" i="4" s="1"/>
  <c r="B272" i="4"/>
  <c r="B271" i="4"/>
  <c r="B270" i="4"/>
  <c r="B269" i="4"/>
  <c r="B268" i="4"/>
  <c r="B267" i="4"/>
  <c r="D279" i="4" s="1"/>
  <c r="B266" i="4"/>
  <c r="B265" i="4"/>
  <c r="D265" i="4" s="1"/>
  <c r="B264" i="4"/>
  <c r="D276" i="4" s="1"/>
  <c r="B263" i="4"/>
  <c r="B262" i="4"/>
  <c r="D262" i="4" s="1"/>
  <c r="B261" i="4"/>
  <c r="B260" i="4"/>
  <c r="C260" i="4" s="1"/>
  <c r="B259" i="4"/>
  <c r="B258" i="4"/>
  <c r="C258" i="4" s="1"/>
  <c r="B257" i="4"/>
  <c r="B256" i="4"/>
  <c r="B255" i="4"/>
  <c r="D255" i="4" s="1"/>
  <c r="B254" i="4"/>
  <c r="B253" i="4"/>
  <c r="C253" i="4" s="1"/>
  <c r="B252" i="4"/>
  <c r="B251" i="4"/>
  <c r="B250" i="4"/>
  <c r="B249" i="4"/>
  <c r="B248" i="4"/>
  <c r="D247" i="4"/>
  <c r="C247" i="4"/>
  <c r="B247" i="4"/>
  <c r="B246" i="4"/>
  <c r="C246" i="4" s="1"/>
  <c r="B245" i="4"/>
  <c r="C245" i="4" s="1"/>
  <c r="B244" i="4"/>
  <c r="B243" i="4"/>
  <c r="B242" i="4"/>
  <c r="D254" i="4" s="1"/>
  <c r="B241" i="4"/>
  <c r="D241" i="4" s="1"/>
  <c r="B240" i="4"/>
  <c r="B239" i="4"/>
  <c r="B238" i="4"/>
  <c r="D238" i="4" s="1"/>
  <c r="B237" i="4"/>
  <c r="B236" i="4"/>
  <c r="C236" i="4" s="1"/>
  <c r="B235" i="4"/>
  <c r="B234" i="4"/>
  <c r="B233" i="4"/>
  <c r="D233" i="4" s="1"/>
  <c r="B232" i="4"/>
  <c r="B231" i="4"/>
  <c r="B230" i="4"/>
  <c r="B229" i="4"/>
  <c r="C229" i="4" s="1"/>
  <c r="B228" i="4"/>
  <c r="B227" i="4"/>
  <c r="C228" i="4" s="1"/>
  <c r="B226" i="4"/>
  <c r="C225" i="4"/>
  <c r="B225" i="4"/>
  <c r="D225" i="4" s="1"/>
  <c r="B224" i="4"/>
  <c r="D236" i="4" s="1"/>
  <c r="C223" i="4"/>
  <c r="B223" i="4"/>
  <c r="B222" i="4"/>
  <c r="B221" i="4"/>
  <c r="B220" i="4"/>
  <c r="B219" i="4"/>
  <c r="B218" i="4"/>
  <c r="B217" i="4"/>
  <c r="B216" i="4"/>
  <c r="C216" i="4" s="1"/>
  <c r="B215" i="4"/>
  <c r="B214" i="4"/>
  <c r="B213" i="4"/>
  <c r="B212" i="4"/>
  <c r="B211" i="4"/>
  <c r="D223" i="4" s="1"/>
  <c r="B210" i="4"/>
  <c r="D222" i="4" s="1"/>
  <c r="B209" i="4"/>
  <c r="B208" i="4"/>
  <c r="B207" i="4"/>
  <c r="C208" i="4" s="1"/>
  <c r="B206" i="4"/>
  <c r="D218" i="4" s="1"/>
  <c r="B205" i="4"/>
  <c r="B204" i="4"/>
  <c r="B203" i="4"/>
  <c r="B202" i="4"/>
  <c r="B201" i="4"/>
  <c r="B200" i="4"/>
  <c r="B199" i="4"/>
  <c r="B198" i="4"/>
  <c r="D210" i="4" s="1"/>
  <c r="B197" i="4"/>
  <c r="D209" i="4" s="1"/>
  <c r="B196" i="4"/>
  <c r="B195" i="4"/>
  <c r="B194" i="4"/>
  <c r="D194" i="4" s="1"/>
  <c r="B193" i="4"/>
  <c r="B192" i="4"/>
  <c r="B191" i="4"/>
  <c r="B190" i="4"/>
  <c r="B189" i="4"/>
  <c r="D201" i="4" s="1"/>
  <c r="C188" i="4"/>
  <c r="B188" i="4"/>
  <c r="B187" i="4"/>
  <c r="B186" i="4"/>
  <c r="D186" i="4" s="1"/>
  <c r="B185" i="4"/>
  <c r="B184" i="4"/>
  <c r="B183" i="4"/>
  <c r="B182" i="4"/>
  <c r="D182" i="4" s="1"/>
  <c r="D181" i="4"/>
  <c r="B181" i="4"/>
  <c r="C181" i="4" s="1"/>
  <c r="C180" i="4"/>
  <c r="B180" i="4"/>
  <c r="B179" i="4"/>
  <c r="B178" i="4"/>
  <c r="B177" i="4"/>
  <c r="B176" i="4"/>
  <c r="B175" i="4"/>
  <c r="B174" i="4"/>
  <c r="C175" i="4" s="1"/>
  <c r="B173" i="4"/>
  <c r="B172" i="4"/>
  <c r="C172" i="4" s="1"/>
  <c r="B171" i="4"/>
  <c r="B170" i="4"/>
  <c r="C170" i="4" s="1"/>
  <c r="B169" i="4"/>
  <c r="B168" i="4"/>
  <c r="B167" i="4"/>
  <c r="B166" i="4"/>
  <c r="B165" i="4"/>
  <c r="C164" i="4"/>
  <c r="B164" i="4"/>
  <c r="B163" i="4"/>
  <c r="D163" i="4" s="1"/>
  <c r="B162" i="4"/>
  <c r="D162" i="4" s="1"/>
  <c r="B161" i="4"/>
  <c r="B160" i="4"/>
  <c r="D172" i="4" s="1"/>
  <c r="B159" i="4"/>
  <c r="D171" i="4" s="1"/>
  <c r="B158" i="4"/>
  <c r="B157" i="4"/>
  <c r="B156" i="4"/>
  <c r="B155" i="4"/>
  <c r="D155" i="4" s="1"/>
  <c r="B154" i="4"/>
  <c r="B153" i="4"/>
  <c r="B152" i="4"/>
  <c r="B151" i="4"/>
  <c r="D151" i="4" s="1"/>
  <c r="D150" i="4"/>
  <c r="B150" i="4"/>
  <c r="C150" i="4" s="1"/>
  <c r="C149" i="4"/>
  <c r="B149" i="4"/>
  <c r="B148" i="4"/>
  <c r="B147" i="4"/>
  <c r="B146" i="4"/>
  <c r="B145" i="4"/>
  <c r="B144" i="4"/>
  <c r="B143" i="4"/>
  <c r="D142" i="4"/>
  <c r="B142" i="4"/>
  <c r="B141" i="4"/>
  <c r="B140" i="4"/>
  <c r="C140" i="4" s="1"/>
  <c r="B139" i="4"/>
  <c r="B138" i="4"/>
  <c r="B137" i="4"/>
  <c r="D149" i="4" s="1"/>
  <c r="B136" i="4"/>
  <c r="B135" i="4"/>
  <c r="B134" i="4"/>
  <c r="D134" i="4" s="1"/>
  <c r="D133" i="4"/>
  <c r="B133" i="4"/>
  <c r="B132" i="4"/>
  <c r="B131" i="4"/>
  <c r="B130" i="4"/>
  <c r="B129" i="4"/>
  <c r="B128" i="4"/>
  <c r="B127" i="4"/>
  <c r="D139" i="4" s="1"/>
  <c r="B126" i="4"/>
  <c r="B125" i="4"/>
  <c r="C125" i="4" s="1"/>
  <c r="C124" i="4"/>
  <c r="B124" i="4"/>
  <c r="B123" i="4"/>
  <c r="B122" i="4"/>
  <c r="B121" i="4"/>
  <c r="B120" i="4"/>
  <c r="B119" i="4"/>
  <c r="D131" i="4" s="1"/>
  <c r="B118" i="4"/>
  <c r="B117" i="4"/>
  <c r="B116" i="4"/>
  <c r="B115" i="4"/>
  <c r="D114" i="4"/>
  <c r="C114" i="4"/>
  <c r="B114" i="4"/>
  <c r="B113" i="4"/>
  <c r="B112" i="4"/>
  <c r="D124" i="4" s="1"/>
  <c r="B111" i="4"/>
  <c r="B110" i="4"/>
  <c r="B109" i="4"/>
  <c r="B108" i="4"/>
  <c r="B107" i="4"/>
  <c r="B106" i="4"/>
  <c r="D118" i="4" s="1"/>
  <c r="B105" i="4"/>
  <c r="B104" i="4"/>
  <c r="B103" i="4"/>
  <c r="B102" i="4"/>
  <c r="B101" i="4"/>
  <c r="D113" i="4" s="1"/>
  <c r="B100" i="4"/>
  <c r="B99" i="4"/>
  <c r="D99" i="4" s="1"/>
  <c r="B98" i="4"/>
  <c r="D110" i="4" s="1"/>
  <c r="B97" i="4"/>
  <c r="C97" i="4" s="1"/>
  <c r="B96" i="4"/>
  <c r="B95" i="4"/>
  <c r="B94" i="4"/>
  <c r="B93" i="4"/>
  <c r="B92" i="4"/>
  <c r="C92" i="4" s="1"/>
  <c r="B91" i="4"/>
  <c r="B90" i="4"/>
  <c r="D89" i="4"/>
  <c r="B89" i="4"/>
  <c r="B88" i="4"/>
  <c r="B87" i="4"/>
  <c r="C87" i="4" s="1"/>
  <c r="B86" i="4"/>
  <c r="B85" i="4"/>
  <c r="C86" i="4" s="1"/>
  <c r="B84" i="4"/>
  <c r="B83" i="4"/>
  <c r="B82" i="4"/>
  <c r="D94" i="4" s="1"/>
  <c r="B81" i="4"/>
  <c r="C81" i="4" s="1"/>
  <c r="B80" i="4"/>
  <c r="B79" i="4"/>
  <c r="B78" i="4"/>
  <c r="C78" i="4" s="1"/>
  <c r="B77" i="4"/>
  <c r="B76" i="4"/>
  <c r="B75" i="4"/>
  <c r="C76" i="4" s="1"/>
  <c r="B74" i="4"/>
  <c r="B73" i="4"/>
  <c r="D73" i="4" s="1"/>
  <c r="B72" i="4"/>
  <c r="C72" i="4" s="1"/>
  <c r="B71" i="4"/>
  <c r="B70" i="4"/>
  <c r="B69" i="4"/>
  <c r="B68" i="4"/>
  <c r="B67" i="4"/>
  <c r="B66" i="4"/>
  <c r="D78" i="4" s="1"/>
  <c r="B65" i="4"/>
  <c r="B64" i="4"/>
  <c r="B63" i="4"/>
  <c r="D63" i="4" s="1"/>
  <c r="B62" i="4"/>
  <c r="C62" i="4" s="1"/>
  <c r="B61" i="4"/>
  <c r="B60" i="4"/>
  <c r="B59" i="4"/>
  <c r="B58" i="4"/>
  <c r="B57" i="4"/>
  <c r="D57" i="4" s="1"/>
  <c r="B56" i="4"/>
  <c r="B55" i="4"/>
  <c r="B54" i="4"/>
  <c r="D66" i="4" s="1"/>
  <c r="C53" i="4"/>
  <c r="B53" i="4"/>
  <c r="B52" i="4"/>
  <c r="B51" i="4"/>
  <c r="B50" i="4"/>
  <c r="D50" i="4" s="1"/>
  <c r="B49" i="4"/>
  <c r="D61" i="4" s="1"/>
  <c r="B48" i="4"/>
  <c r="B47" i="4"/>
  <c r="B46" i="4"/>
  <c r="D45" i="4"/>
  <c r="C45" i="4"/>
  <c r="B45" i="4"/>
  <c r="B44" i="4"/>
  <c r="C44" i="4" s="1"/>
  <c r="B43" i="4"/>
  <c r="B42" i="4"/>
  <c r="B41" i="4"/>
  <c r="B40" i="4"/>
  <c r="D52" i="4" s="1"/>
  <c r="B39" i="4"/>
  <c r="B38" i="4"/>
  <c r="D38" i="4" s="1"/>
  <c r="B37" i="4"/>
  <c r="D37" i="4" s="1"/>
  <c r="B36" i="4"/>
  <c r="B35" i="4"/>
  <c r="C36" i="4" s="1"/>
  <c r="B34" i="4"/>
  <c r="B33" i="4"/>
  <c r="B32" i="4"/>
  <c r="B31" i="4"/>
  <c r="C31" i="4" s="1"/>
  <c r="B30" i="4"/>
  <c r="C30" i="4" s="1"/>
  <c r="B29" i="4"/>
  <c r="D29" i="4" s="1"/>
  <c r="B28" i="4"/>
  <c r="B27" i="4"/>
  <c r="B26" i="4"/>
  <c r="B25" i="4"/>
  <c r="B24" i="4"/>
  <c r="B23" i="4"/>
  <c r="B22" i="4"/>
  <c r="B21" i="4"/>
  <c r="B20" i="4"/>
  <c r="D32" i="4" s="1"/>
  <c r="B19" i="4"/>
  <c r="B18" i="4"/>
  <c r="D30" i="4" s="1"/>
  <c r="B17" i="4"/>
  <c r="C17" i="4" s="1"/>
  <c r="B16" i="4"/>
  <c r="B15" i="4"/>
  <c r="B14" i="4"/>
  <c r="B13" i="4"/>
  <c r="D25" i="4" s="1"/>
  <c r="B12" i="4"/>
  <c r="B11" i="4"/>
  <c r="C11" i="4" s="1"/>
  <c r="B10" i="4"/>
  <c r="B9" i="4"/>
  <c r="B8" i="4"/>
  <c r="C8" i="4" s="1"/>
  <c r="B7" i="4"/>
  <c r="X2" i="4"/>
  <c r="AB1" i="4" s="1"/>
  <c r="X1" i="4"/>
  <c r="B1253" i="3"/>
  <c r="B1252" i="3"/>
  <c r="B1251" i="3"/>
  <c r="B1250" i="3"/>
  <c r="B1249" i="3"/>
  <c r="B1248" i="3"/>
  <c r="C1248" i="3" s="1"/>
  <c r="B1247" i="3"/>
  <c r="B1246" i="3"/>
  <c r="B1245" i="3"/>
  <c r="B1244" i="3"/>
  <c r="B1243" i="3"/>
  <c r="B1242" i="3"/>
  <c r="B1241" i="3"/>
  <c r="B1240" i="3"/>
  <c r="B1239" i="3"/>
  <c r="B1238" i="3"/>
  <c r="C1250" i="3" s="1"/>
  <c r="B1237" i="3"/>
  <c r="B1236" i="3"/>
  <c r="B1235" i="3"/>
  <c r="B1234" i="3"/>
  <c r="C1246" i="3" s="1"/>
  <c r="B1233" i="3"/>
  <c r="C1245" i="3" s="1"/>
  <c r="B1232" i="3"/>
  <c r="B1231" i="3"/>
  <c r="B1230" i="3"/>
  <c r="B1229" i="3"/>
  <c r="C1241" i="3" s="1"/>
  <c r="B1228" i="3"/>
  <c r="C1240" i="3" s="1"/>
  <c r="B1227" i="3"/>
  <c r="C1239" i="3" s="1"/>
  <c r="B1226" i="3"/>
  <c r="B1225" i="3"/>
  <c r="C1237" i="3" s="1"/>
  <c r="B1224" i="3"/>
  <c r="B1223" i="3"/>
  <c r="B1222" i="3"/>
  <c r="B1221" i="3"/>
  <c r="C1233" i="3" s="1"/>
  <c r="B1220" i="3"/>
  <c r="C1232" i="3" s="1"/>
  <c r="B1219" i="3"/>
  <c r="B1218" i="3"/>
  <c r="C1230" i="3" s="1"/>
  <c r="B1217" i="3"/>
  <c r="C1229" i="3" s="1"/>
  <c r="B1216" i="3"/>
  <c r="B1215" i="3"/>
  <c r="B1214" i="3"/>
  <c r="T1213" i="3"/>
  <c r="AH1189" i="3" s="1"/>
  <c r="B1213" i="3"/>
  <c r="C1225" i="3" s="1"/>
  <c r="T1212" i="3"/>
  <c r="B1212" i="3"/>
  <c r="B1211" i="3"/>
  <c r="B1210" i="3"/>
  <c r="U1209" i="3"/>
  <c r="T1209" i="3"/>
  <c r="AG1189" i="3" s="1"/>
  <c r="B1209" i="3"/>
  <c r="T1208" i="3"/>
  <c r="B1208" i="3"/>
  <c r="B1207" i="3"/>
  <c r="V1209" i="3" s="1"/>
  <c r="B1206" i="3"/>
  <c r="T1205" i="3"/>
  <c r="AF1189" i="3" s="1"/>
  <c r="B1205" i="3"/>
  <c r="T1204" i="3"/>
  <c r="AF1188" i="3" s="1"/>
  <c r="B1204" i="3"/>
  <c r="B1203" i="3"/>
  <c r="B1202" i="3"/>
  <c r="T1201" i="3"/>
  <c r="B1201" i="3"/>
  <c r="T1200" i="3"/>
  <c r="AE1188" i="3" s="1"/>
  <c r="B1200" i="3"/>
  <c r="C1212" i="3" s="1"/>
  <c r="B1199" i="3"/>
  <c r="B1198" i="3"/>
  <c r="T1197" i="3"/>
  <c r="AD1189" i="3" s="1"/>
  <c r="B1197" i="3"/>
  <c r="T1196" i="3"/>
  <c r="AD1188" i="3" s="1"/>
  <c r="B1196" i="3"/>
  <c r="B1195" i="3"/>
  <c r="B1194" i="3"/>
  <c r="T1193" i="3"/>
  <c r="B1193" i="3"/>
  <c r="C1193" i="3" s="1"/>
  <c r="T1192" i="3"/>
  <c r="AC1188" i="3" s="1"/>
  <c r="B1192" i="3"/>
  <c r="C1204" i="3" s="1"/>
  <c r="B1191" i="3"/>
  <c r="C1203" i="3" s="1"/>
  <c r="B1190" i="3"/>
  <c r="AE1189" i="3"/>
  <c r="AC1189" i="3"/>
  <c r="AB1189" i="3"/>
  <c r="AA1189" i="3"/>
  <c r="T1189" i="3"/>
  <c r="B1189" i="3"/>
  <c r="AH1188" i="3"/>
  <c r="AG1188" i="3"/>
  <c r="AA1188" i="3"/>
  <c r="T1188" i="3"/>
  <c r="B1188" i="3"/>
  <c r="B1187" i="3"/>
  <c r="C1199" i="3" s="1"/>
  <c r="B1186" i="3"/>
  <c r="C1186" i="3" s="1"/>
  <c r="B1185" i="3"/>
  <c r="C1197" i="3" s="1"/>
  <c r="B1184" i="3"/>
  <c r="B1183" i="3"/>
  <c r="C1183" i="3" s="1"/>
  <c r="B1182" i="3"/>
  <c r="B1181" i="3"/>
  <c r="B1180" i="3"/>
  <c r="B1179" i="3"/>
  <c r="B1178" i="3"/>
  <c r="B1177" i="3"/>
  <c r="B1176" i="3"/>
  <c r="C1175" i="3"/>
  <c r="B1175" i="3"/>
  <c r="B1174" i="3"/>
  <c r="C1174" i="3" s="1"/>
  <c r="B1173" i="3"/>
  <c r="B1172" i="3"/>
  <c r="B1171" i="3"/>
  <c r="B1170" i="3"/>
  <c r="B1169" i="3"/>
  <c r="C1181" i="3" s="1"/>
  <c r="B1168" i="3"/>
  <c r="B1167" i="3"/>
  <c r="B1166" i="3"/>
  <c r="B1165" i="3"/>
  <c r="C1177" i="3" s="1"/>
  <c r="B1164" i="3"/>
  <c r="B1163" i="3"/>
  <c r="B1162" i="3"/>
  <c r="B1161" i="3"/>
  <c r="B1160" i="3"/>
  <c r="B1159" i="3"/>
  <c r="B1158" i="3"/>
  <c r="B1157" i="3"/>
  <c r="C1169" i="3" s="1"/>
  <c r="B1156" i="3"/>
  <c r="B1155" i="3"/>
  <c r="B1154" i="3"/>
  <c r="B1153" i="3"/>
  <c r="B1152" i="3"/>
  <c r="B1151" i="3"/>
  <c r="C1151" i="3" s="1"/>
  <c r="B1150" i="3"/>
  <c r="B1149" i="3"/>
  <c r="B1148" i="3"/>
  <c r="B1147" i="3"/>
  <c r="C1159" i="3" s="1"/>
  <c r="B1146" i="3"/>
  <c r="B1145" i="3"/>
  <c r="C1157" i="3" s="1"/>
  <c r="B1144" i="3"/>
  <c r="B1143" i="3"/>
  <c r="B1142" i="3"/>
  <c r="B1141" i="3"/>
  <c r="B1140" i="3"/>
  <c r="B1139" i="3"/>
  <c r="B1138" i="3"/>
  <c r="B1137" i="3"/>
  <c r="B1136" i="3"/>
  <c r="B1135" i="3"/>
  <c r="C1147" i="3" s="1"/>
  <c r="B1134" i="3"/>
  <c r="B1133" i="3"/>
  <c r="B1132" i="3"/>
  <c r="B1131" i="3"/>
  <c r="C1131" i="3" s="1"/>
  <c r="B1130" i="3"/>
  <c r="B1129" i="3"/>
  <c r="B1128" i="3"/>
  <c r="B1127" i="3"/>
  <c r="B1126" i="3"/>
  <c r="C1138" i="3" s="1"/>
  <c r="B1125" i="3"/>
  <c r="B1124" i="3"/>
  <c r="B1123" i="3"/>
  <c r="B1122" i="3"/>
  <c r="C1122" i="3" s="1"/>
  <c r="B1121" i="3"/>
  <c r="B1120" i="3"/>
  <c r="B1119" i="3"/>
  <c r="B1118" i="3"/>
  <c r="B1117" i="3"/>
  <c r="C1129" i="3" s="1"/>
  <c r="B1116" i="3"/>
  <c r="B1115" i="3"/>
  <c r="B1114" i="3"/>
  <c r="B1113" i="3"/>
  <c r="B1112" i="3"/>
  <c r="C1124" i="3" s="1"/>
  <c r="B1111" i="3"/>
  <c r="B1110" i="3"/>
  <c r="B1109" i="3"/>
  <c r="C1121" i="3" s="1"/>
  <c r="B1108" i="3"/>
  <c r="C1120" i="3" s="1"/>
  <c r="B1107" i="3"/>
  <c r="B1106" i="3"/>
  <c r="B1105" i="3"/>
  <c r="C1117" i="3" s="1"/>
  <c r="B1104" i="3"/>
  <c r="B1103" i="3"/>
  <c r="B1102" i="3"/>
  <c r="B1101" i="3"/>
  <c r="C1113" i="3" s="1"/>
  <c r="B1100" i="3"/>
  <c r="B1099" i="3"/>
  <c r="C1111" i="3" s="1"/>
  <c r="B1098" i="3"/>
  <c r="B1097" i="3"/>
  <c r="B1096" i="3"/>
  <c r="B1095" i="3"/>
  <c r="C1107" i="3" s="1"/>
  <c r="B1094" i="3"/>
  <c r="B1093" i="3"/>
  <c r="B1092" i="3"/>
  <c r="C1104" i="3" s="1"/>
  <c r="B1091" i="3"/>
  <c r="C1103" i="3" s="1"/>
  <c r="B1090" i="3"/>
  <c r="B1089" i="3"/>
  <c r="B1088" i="3"/>
  <c r="B1087" i="3"/>
  <c r="B1086" i="3"/>
  <c r="B1085" i="3"/>
  <c r="B1084" i="3"/>
  <c r="B1083" i="3"/>
  <c r="C1083" i="3" s="1"/>
  <c r="B1082" i="3"/>
  <c r="C1094" i="3" s="1"/>
  <c r="B1081" i="3"/>
  <c r="B1080" i="3"/>
  <c r="B1079" i="3"/>
  <c r="B1078" i="3"/>
  <c r="B1077" i="3"/>
  <c r="B1076" i="3"/>
  <c r="B1075" i="3"/>
  <c r="B1074" i="3"/>
  <c r="B1073" i="3"/>
  <c r="C1085" i="3" s="1"/>
  <c r="B1072" i="3"/>
  <c r="C1071" i="3"/>
  <c r="B1071" i="3"/>
  <c r="B1070" i="3"/>
  <c r="B1069" i="3"/>
  <c r="B1068" i="3"/>
  <c r="B1067" i="3"/>
  <c r="B1066" i="3"/>
  <c r="B1065" i="3"/>
  <c r="B1064" i="3"/>
  <c r="C1076" i="3" s="1"/>
  <c r="B1063" i="3"/>
  <c r="B1062" i="3"/>
  <c r="B1061" i="3"/>
  <c r="B1060" i="3"/>
  <c r="B1059" i="3"/>
  <c r="B1058" i="3"/>
  <c r="B1057" i="3"/>
  <c r="B1056" i="3"/>
  <c r="C1068" i="3" s="1"/>
  <c r="B1055" i="3"/>
  <c r="B1054" i="3"/>
  <c r="B1053" i="3"/>
  <c r="B1052" i="3"/>
  <c r="B1051" i="3"/>
  <c r="B1050" i="3"/>
  <c r="B1049" i="3"/>
  <c r="C1061" i="3" s="1"/>
  <c r="B1048" i="3"/>
  <c r="B1047" i="3"/>
  <c r="B1046" i="3"/>
  <c r="C1058" i="3" s="1"/>
  <c r="B1045" i="3"/>
  <c r="B1044" i="3"/>
  <c r="B1043" i="3"/>
  <c r="C1055" i="3" s="1"/>
  <c r="B1042" i="3"/>
  <c r="B1041" i="3"/>
  <c r="B1040" i="3"/>
  <c r="C1052" i="3" s="1"/>
  <c r="B1039" i="3"/>
  <c r="B1038" i="3"/>
  <c r="C1050" i="3" s="1"/>
  <c r="B1037" i="3"/>
  <c r="B1036" i="3"/>
  <c r="C1048" i="3" s="1"/>
  <c r="B1035" i="3"/>
  <c r="B1034" i="3"/>
  <c r="C1046" i="3" s="1"/>
  <c r="B1033" i="3"/>
  <c r="B1032" i="3"/>
  <c r="B1031" i="3"/>
  <c r="C1043" i="3" s="1"/>
  <c r="B1030" i="3"/>
  <c r="C1042" i="3" s="1"/>
  <c r="B1029" i="3"/>
  <c r="C1029" i="3" s="1"/>
  <c r="B1028" i="3"/>
  <c r="B1027" i="3"/>
  <c r="B1026" i="3"/>
  <c r="B1025" i="3"/>
  <c r="B1024" i="3"/>
  <c r="B1023" i="3"/>
  <c r="B1022" i="3"/>
  <c r="B1021" i="3"/>
  <c r="C1033" i="3" s="1"/>
  <c r="B1020" i="3"/>
  <c r="B1019" i="3"/>
  <c r="B1018" i="3"/>
  <c r="B1017" i="3"/>
  <c r="B1016" i="3"/>
  <c r="B1015" i="3"/>
  <c r="B1014" i="3"/>
  <c r="B1013" i="3"/>
  <c r="B1012" i="3"/>
  <c r="B1011" i="3"/>
  <c r="B1010" i="3"/>
  <c r="B1009" i="3"/>
  <c r="B1008" i="3"/>
  <c r="C1020" i="3" s="1"/>
  <c r="B1007" i="3"/>
  <c r="B1006" i="3"/>
  <c r="B1005" i="3"/>
  <c r="B1004" i="3"/>
  <c r="B1003" i="3"/>
  <c r="B1002" i="3"/>
  <c r="C1002" i="3" s="1"/>
  <c r="B1001" i="3"/>
  <c r="B1000" i="3"/>
  <c r="B999" i="3"/>
  <c r="B998" i="3"/>
  <c r="B997" i="3"/>
  <c r="B996" i="3"/>
  <c r="B995" i="3"/>
  <c r="B994" i="3"/>
  <c r="B993" i="3"/>
  <c r="C1005" i="3" s="1"/>
  <c r="B992" i="3"/>
  <c r="C1004" i="3" s="1"/>
  <c r="B991" i="3"/>
  <c r="B990" i="3"/>
  <c r="B989" i="3"/>
  <c r="C1001" i="3" s="1"/>
  <c r="B988" i="3"/>
  <c r="B987" i="3"/>
  <c r="B986" i="3"/>
  <c r="B985" i="3"/>
  <c r="B984" i="3"/>
  <c r="B983" i="3"/>
  <c r="B982" i="3"/>
  <c r="C994" i="3" s="1"/>
  <c r="B981" i="3"/>
  <c r="C993" i="3" s="1"/>
  <c r="B980" i="3"/>
  <c r="C992" i="3" s="1"/>
  <c r="B979" i="3"/>
  <c r="B978" i="3"/>
  <c r="B977" i="3"/>
  <c r="C989" i="3" s="1"/>
  <c r="B976" i="3"/>
  <c r="C988" i="3" s="1"/>
  <c r="B975" i="3"/>
  <c r="C987" i="3" s="1"/>
  <c r="B974" i="3"/>
  <c r="B973" i="3"/>
  <c r="B972" i="3"/>
  <c r="C984" i="3" s="1"/>
  <c r="B971" i="3"/>
  <c r="B970" i="3"/>
  <c r="B969" i="3"/>
  <c r="B968" i="3"/>
  <c r="B967" i="3"/>
  <c r="C979" i="3" s="1"/>
  <c r="B966" i="3"/>
  <c r="C978" i="3" s="1"/>
  <c r="B965" i="3"/>
  <c r="C977" i="3" s="1"/>
  <c r="B964" i="3"/>
  <c r="B963" i="3"/>
  <c r="B962" i="3"/>
  <c r="B961" i="3"/>
  <c r="C973" i="3" s="1"/>
  <c r="B960" i="3"/>
  <c r="C972" i="3" s="1"/>
  <c r="B959" i="3"/>
  <c r="C959" i="3" s="1"/>
  <c r="B958" i="3"/>
  <c r="B957" i="3"/>
  <c r="B956" i="3"/>
  <c r="C968" i="3" s="1"/>
  <c r="B955" i="3"/>
  <c r="B954" i="3"/>
  <c r="B953" i="3"/>
  <c r="B952" i="3"/>
  <c r="B951" i="3"/>
  <c r="C963" i="3" s="1"/>
  <c r="B950" i="3"/>
  <c r="B949" i="3"/>
  <c r="B948" i="3"/>
  <c r="C960" i="3" s="1"/>
  <c r="B947" i="3"/>
  <c r="B946" i="3"/>
  <c r="C958" i="3" s="1"/>
  <c r="B945" i="3"/>
  <c r="C957" i="3" s="1"/>
  <c r="B944" i="3"/>
  <c r="B943" i="3"/>
  <c r="B942" i="3"/>
  <c r="B941" i="3"/>
  <c r="C953" i="3" s="1"/>
  <c r="B940" i="3"/>
  <c r="C952" i="3" s="1"/>
  <c r="B939" i="3"/>
  <c r="C951" i="3" s="1"/>
  <c r="B938" i="3"/>
  <c r="B937" i="3"/>
  <c r="C949" i="3" s="1"/>
  <c r="B936" i="3"/>
  <c r="B935" i="3"/>
  <c r="C947" i="3" s="1"/>
  <c r="B934" i="3"/>
  <c r="C946" i="3" s="1"/>
  <c r="B933" i="3"/>
  <c r="C945" i="3" s="1"/>
  <c r="B932" i="3"/>
  <c r="C944" i="3" s="1"/>
  <c r="B931" i="3"/>
  <c r="C930" i="3"/>
  <c r="B930" i="3"/>
  <c r="B929" i="3"/>
  <c r="B928" i="3"/>
  <c r="B927" i="3"/>
  <c r="B926" i="3"/>
  <c r="B925" i="3"/>
  <c r="C937" i="3" s="1"/>
  <c r="B924" i="3"/>
  <c r="B923" i="3"/>
  <c r="B922" i="3"/>
  <c r="B921" i="3"/>
  <c r="C933" i="3" s="1"/>
  <c r="B920" i="3"/>
  <c r="B919" i="3"/>
  <c r="B918" i="3"/>
  <c r="B917" i="3"/>
  <c r="C929" i="3" s="1"/>
  <c r="B916" i="3"/>
  <c r="B915" i="3"/>
  <c r="B914" i="3"/>
  <c r="C926" i="3" s="1"/>
  <c r="B913" i="3"/>
  <c r="B912" i="3"/>
  <c r="B911" i="3"/>
  <c r="B910" i="3"/>
  <c r="B909" i="3"/>
  <c r="C921" i="3" s="1"/>
  <c r="B908" i="3"/>
  <c r="B907" i="3"/>
  <c r="B906" i="3"/>
  <c r="B905" i="3"/>
  <c r="C917" i="3" s="1"/>
  <c r="B904" i="3"/>
  <c r="B903" i="3"/>
  <c r="C915" i="3" s="1"/>
  <c r="B902" i="3"/>
  <c r="B901" i="3"/>
  <c r="C913" i="3" s="1"/>
  <c r="B900" i="3"/>
  <c r="B899" i="3"/>
  <c r="B898" i="3"/>
  <c r="C910" i="3" s="1"/>
  <c r="B897" i="3"/>
  <c r="B896" i="3"/>
  <c r="B895" i="3"/>
  <c r="C907" i="3" s="1"/>
  <c r="B894" i="3"/>
  <c r="B893" i="3"/>
  <c r="B892" i="3"/>
  <c r="B891" i="3"/>
  <c r="B890" i="3"/>
  <c r="B889" i="3"/>
  <c r="B888" i="3"/>
  <c r="B887" i="3"/>
  <c r="B886" i="3"/>
  <c r="B885" i="3"/>
  <c r="C897" i="3" s="1"/>
  <c r="B884" i="3"/>
  <c r="B883" i="3"/>
  <c r="B882" i="3"/>
  <c r="B881" i="3"/>
  <c r="B880" i="3"/>
  <c r="B879" i="3"/>
  <c r="B878" i="3"/>
  <c r="C890" i="3" s="1"/>
  <c r="B877" i="3"/>
  <c r="B876" i="3"/>
  <c r="B875" i="3"/>
  <c r="B874" i="3"/>
  <c r="B873" i="3"/>
  <c r="C885" i="3" s="1"/>
  <c r="B872" i="3"/>
  <c r="C884" i="3" s="1"/>
  <c r="B871" i="3"/>
  <c r="B870" i="3"/>
  <c r="B869" i="3"/>
  <c r="C881" i="3" s="1"/>
  <c r="B868" i="3"/>
  <c r="C880" i="3" s="1"/>
  <c r="B867" i="3"/>
  <c r="C879" i="3" s="1"/>
  <c r="B866" i="3"/>
  <c r="B865" i="3"/>
  <c r="C877" i="3" s="1"/>
  <c r="B864" i="3"/>
  <c r="C876" i="3" s="1"/>
  <c r="B863" i="3"/>
  <c r="C875" i="3" s="1"/>
  <c r="B862" i="3"/>
  <c r="C874" i="3" s="1"/>
  <c r="B861" i="3"/>
  <c r="C873" i="3" s="1"/>
  <c r="B860" i="3"/>
  <c r="B859" i="3"/>
  <c r="B858" i="3"/>
  <c r="C858" i="3" s="1"/>
  <c r="B857" i="3"/>
  <c r="C869" i="3" s="1"/>
  <c r="B856" i="3"/>
  <c r="B855" i="3"/>
  <c r="B854" i="3"/>
  <c r="B853" i="3"/>
  <c r="C865" i="3" s="1"/>
  <c r="B852" i="3"/>
  <c r="C864" i="3" s="1"/>
  <c r="B851" i="3"/>
  <c r="B850" i="3"/>
  <c r="B849" i="3"/>
  <c r="C861" i="3" s="1"/>
  <c r="B848" i="3"/>
  <c r="B847" i="3"/>
  <c r="B846" i="3"/>
  <c r="B845" i="3"/>
  <c r="C857" i="3" s="1"/>
  <c r="B844" i="3"/>
  <c r="C856" i="3" s="1"/>
  <c r="B843" i="3"/>
  <c r="B842" i="3"/>
  <c r="B841" i="3"/>
  <c r="C853" i="3" s="1"/>
  <c r="B840" i="3"/>
  <c r="B839" i="3"/>
  <c r="B838" i="3"/>
  <c r="B837" i="3"/>
  <c r="B836" i="3"/>
  <c r="B835" i="3"/>
  <c r="B834" i="3"/>
  <c r="B833" i="3"/>
  <c r="B832" i="3"/>
  <c r="B831" i="3"/>
  <c r="C843" i="3" s="1"/>
  <c r="B830" i="3"/>
  <c r="B829" i="3"/>
  <c r="C841" i="3" s="1"/>
  <c r="B828" i="3"/>
  <c r="C840" i="3" s="1"/>
  <c r="B827" i="3"/>
  <c r="B826" i="3"/>
  <c r="C838" i="3" s="1"/>
  <c r="B825" i="3"/>
  <c r="C837" i="3" s="1"/>
  <c r="C824" i="3"/>
  <c r="B824" i="3"/>
  <c r="B823" i="3"/>
  <c r="B822" i="3"/>
  <c r="B821" i="3"/>
  <c r="C833" i="3" s="1"/>
  <c r="B820" i="3"/>
  <c r="B819" i="3"/>
  <c r="B818" i="3"/>
  <c r="B817" i="3"/>
  <c r="C829" i="3" s="1"/>
  <c r="B816" i="3"/>
  <c r="B815" i="3"/>
  <c r="B814" i="3"/>
  <c r="B813" i="3"/>
  <c r="B812" i="3"/>
  <c r="B811" i="3"/>
  <c r="B810" i="3"/>
  <c r="B809" i="3"/>
  <c r="C821" i="3" s="1"/>
  <c r="B808" i="3"/>
  <c r="B807" i="3"/>
  <c r="C819" i="3" s="1"/>
  <c r="B806" i="3"/>
  <c r="C806" i="3" s="1"/>
  <c r="B805" i="3"/>
  <c r="B804" i="3"/>
  <c r="B803" i="3"/>
  <c r="B802" i="3"/>
  <c r="B801" i="3"/>
  <c r="B800" i="3"/>
  <c r="C812" i="3" s="1"/>
  <c r="B799" i="3"/>
  <c r="B798" i="3"/>
  <c r="B797" i="3"/>
  <c r="B796" i="3"/>
  <c r="B795" i="3"/>
  <c r="C807" i="3" s="1"/>
  <c r="B794" i="3"/>
  <c r="B793" i="3"/>
  <c r="C805" i="3" s="1"/>
  <c r="B792" i="3"/>
  <c r="B791" i="3"/>
  <c r="C803" i="3" s="1"/>
  <c r="B790" i="3"/>
  <c r="C802" i="3" s="1"/>
  <c r="B789" i="3"/>
  <c r="C801" i="3" s="1"/>
  <c r="B788" i="3"/>
  <c r="B787" i="3"/>
  <c r="B786" i="3"/>
  <c r="C798" i="3" s="1"/>
  <c r="B785" i="3"/>
  <c r="C797" i="3" s="1"/>
  <c r="B784" i="3"/>
  <c r="C784" i="3" s="1"/>
  <c r="B783" i="3"/>
  <c r="B782" i="3"/>
  <c r="B781" i="3"/>
  <c r="C793" i="3" s="1"/>
  <c r="B780" i="3"/>
  <c r="B779" i="3"/>
  <c r="B778" i="3"/>
  <c r="B777" i="3"/>
  <c r="C789" i="3" s="1"/>
  <c r="B776" i="3"/>
  <c r="B775" i="3"/>
  <c r="C787" i="3" s="1"/>
  <c r="B774" i="3"/>
  <c r="B773" i="3"/>
  <c r="C785" i="3" s="1"/>
  <c r="B772" i="3"/>
  <c r="C772" i="3" s="1"/>
  <c r="B771" i="3"/>
  <c r="B770" i="3"/>
  <c r="B769" i="3"/>
  <c r="C781" i="3" s="1"/>
  <c r="B768" i="3"/>
  <c r="C780" i="3" s="1"/>
  <c r="B767" i="3"/>
  <c r="B766" i="3"/>
  <c r="B765" i="3"/>
  <c r="C777" i="3" s="1"/>
  <c r="B764" i="3"/>
  <c r="B763" i="3"/>
  <c r="B762" i="3"/>
  <c r="B761" i="3"/>
  <c r="B760" i="3"/>
  <c r="B759" i="3"/>
  <c r="C771" i="3" s="1"/>
  <c r="B758" i="3"/>
  <c r="C770" i="3" s="1"/>
  <c r="B757" i="3"/>
  <c r="C769" i="3" s="1"/>
  <c r="B756" i="3"/>
  <c r="B755" i="3"/>
  <c r="B754" i="3"/>
  <c r="C766" i="3" s="1"/>
  <c r="B753" i="3"/>
  <c r="C765" i="3" s="1"/>
  <c r="B752" i="3"/>
  <c r="C764" i="3" s="1"/>
  <c r="B751" i="3"/>
  <c r="B750" i="3"/>
  <c r="B749" i="3"/>
  <c r="C761" i="3" s="1"/>
  <c r="B748" i="3"/>
  <c r="B747" i="3"/>
  <c r="B746" i="3"/>
  <c r="C746" i="3" s="1"/>
  <c r="B745" i="3"/>
  <c r="B744" i="3"/>
  <c r="B743" i="3"/>
  <c r="B742" i="3"/>
  <c r="B741" i="3"/>
  <c r="C753" i="3" s="1"/>
  <c r="B740" i="3"/>
  <c r="B739" i="3"/>
  <c r="B738" i="3"/>
  <c r="B737" i="3"/>
  <c r="C749" i="3" s="1"/>
  <c r="B736" i="3"/>
  <c r="C736" i="3" s="1"/>
  <c r="B735" i="3"/>
  <c r="C747" i="3" s="1"/>
  <c r="B734" i="3"/>
  <c r="B733" i="3"/>
  <c r="C745" i="3" s="1"/>
  <c r="B732" i="3"/>
  <c r="B731" i="3"/>
  <c r="B730" i="3"/>
  <c r="B729" i="3"/>
  <c r="B728" i="3"/>
  <c r="B727" i="3"/>
  <c r="B726" i="3"/>
  <c r="B725" i="3"/>
  <c r="C737" i="3" s="1"/>
  <c r="B724" i="3"/>
  <c r="B723" i="3"/>
  <c r="B722" i="3"/>
  <c r="B721" i="3"/>
  <c r="C733" i="3" s="1"/>
  <c r="B720" i="3"/>
  <c r="C732" i="3" s="1"/>
  <c r="B719" i="3"/>
  <c r="B718" i="3"/>
  <c r="B717" i="3"/>
  <c r="C729" i="3" s="1"/>
  <c r="B716" i="3"/>
  <c r="B715" i="3"/>
  <c r="C727" i="3" s="1"/>
  <c r="B714" i="3"/>
  <c r="C726" i="3" s="1"/>
  <c r="B713" i="3"/>
  <c r="C725" i="3" s="1"/>
  <c r="B712" i="3"/>
  <c r="B711" i="3"/>
  <c r="C723" i="3" s="1"/>
  <c r="B710" i="3"/>
  <c r="B709" i="3"/>
  <c r="C721" i="3" s="1"/>
  <c r="B708" i="3"/>
  <c r="B707" i="3"/>
  <c r="B706" i="3"/>
  <c r="B705" i="3"/>
  <c r="C717" i="3" s="1"/>
  <c r="B704" i="3"/>
  <c r="B703" i="3"/>
  <c r="C715" i="3" s="1"/>
  <c r="B702" i="3"/>
  <c r="B701" i="3"/>
  <c r="C713" i="3" s="1"/>
  <c r="B700" i="3"/>
  <c r="B699" i="3"/>
  <c r="C711" i="3" s="1"/>
  <c r="B698" i="3"/>
  <c r="B697" i="3"/>
  <c r="B696" i="3"/>
  <c r="B695" i="3"/>
  <c r="C707" i="3" s="1"/>
  <c r="B694" i="3"/>
  <c r="C706" i="3" s="1"/>
  <c r="B693" i="3"/>
  <c r="C705" i="3" s="1"/>
  <c r="B692" i="3"/>
  <c r="B691" i="3"/>
  <c r="C703" i="3" s="1"/>
  <c r="B690" i="3"/>
  <c r="C702" i="3" s="1"/>
  <c r="B689" i="3"/>
  <c r="C701" i="3" s="1"/>
  <c r="B688" i="3"/>
  <c r="B687" i="3"/>
  <c r="C699" i="3" s="1"/>
  <c r="B686" i="3"/>
  <c r="C686" i="3" s="1"/>
  <c r="B685" i="3"/>
  <c r="C697" i="3" s="1"/>
  <c r="B684" i="3"/>
  <c r="B683" i="3"/>
  <c r="B682" i="3"/>
  <c r="C694" i="3" s="1"/>
  <c r="B681" i="3"/>
  <c r="C693" i="3" s="1"/>
  <c r="B680" i="3"/>
  <c r="B679" i="3"/>
  <c r="C691" i="3" s="1"/>
  <c r="B678" i="3"/>
  <c r="B677" i="3"/>
  <c r="B676" i="3"/>
  <c r="B675" i="3"/>
  <c r="B674" i="3"/>
  <c r="B673" i="3"/>
  <c r="C685" i="3" s="1"/>
  <c r="B672" i="3"/>
  <c r="B671" i="3"/>
  <c r="B670" i="3"/>
  <c r="C682" i="3" s="1"/>
  <c r="B669" i="3"/>
  <c r="C681" i="3" s="1"/>
  <c r="B668" i="3"/>
  <c r="B667" i="3"/>
  <c r="C679" i="3" s="1"/>
  <c r="C666" i="3"/>
  <c r="B666" i="3"/>
  <c r="B665" i="3"/>
  <c r="B664" i="3"/>
  <c r="B663" i="3"/>
  <c r="B662" i="3"/>
  <c r="C674" i="3" s="1"/>
  <c r="B661" i="3"/>
  <c r="B660" i="3"/>
  <c r="B659" i="3"/>
  <c r="B658" i="3"/>
  <c r="C670" i="3" s="1"/>
  <c r="B657" i="3"/>
  <c r="B656" i="3"/>
  <c r="B655" i="3"/>
  <c r="B654" i="3"/>
  <c r="B653" i="3"/>
  <c r="C665" i="3" s="1"/>
  <c r="B652" i="3"/>
  <c r="B651" i="3"/>
  <c r="C663" i="3" s="1"/>
  <c r="B650" i="3"/>
  <c r="B649" i="3"/>
  <c r="C661" i="3" s="1"/>
  <c r="B648" i="3"/>
  <c r="B647" i="3"/>
  <c r="C659" i="3" s="1"/>
  <c r="B646" i="3"/>
  <c r="B645" i="3"/>
  <c r="B644" i="3"/>
  <c r="B643" i="3"/>
  <c r="B642" i="3"/>
  <c r="C654" i="3" s="1"/>
  <c r="B641" i="3"/>
  <c r="C653" i="3" s="1"/>
  <c r="B640" i="3"/>
  <c r="B639" i="3"/>
  <c r="C651" i="3" s="1"/>
  <c r="B638" i="3"/>
  <c r="C650" i="3" s="1"/>
  <c r="B637" i="3"/>
  <c r="C649" i="3" s="1"/>
  <c r="B636" i="3"/>
  <c r="B635" i="3"/>
  <c r="B634" i="3"/>
  <c r="C646" i="3" s="1"/>
  <c r="B633" i="3"/>
  <c r="B632" i="3"/>
  <c r="C644" i="3" s="1"/>
  <c r="B631" i="3"/>
  <c r="C643" i="3" s="1"/>
  <c r="B630" i="3"/>
  <c r="B629" i="3"/>
  <c r="C641" i="3" s="1"/>
  <c r="B628" i="3"/>
  <c r="B627" i="3"/>
  <c r="B626" i="3"/>
  <c r="B625" i="3"/>
  <c r="B624" i="3"/>
  <c r="B623" i="3"/>
  <c r="B622" i="3"/>
  <c r="C634" i="3" s="1"/>
  <c r="B621" i="3"/>
  <c r="C633" i="3" s="1"/>
  <c r="B620" i="3"/>
  <c r="B619" i="3"/>
  <c r="C631" i="3" s="1"/>
  <c r="B618" i="3"/>
  <c r="C630" i="3" s="1"/>
  <c r="B617" i="3"/>
  <c r="C629" i="3" s="1"/>
  <c r="B616" i="3"/>
  <c r="B615" i="3"/>
  <c r="C627" i="3" s="1"/>
  <c r="B614" i="3"/>
  <c r="C614" i="3" s="1"/>
  <c r="B613" i="3"/>
  <c r="C625" i="3" s="1"/>
  <c r="B612" i="3"/>
  <c r="B611" i="3"/>
  <c r="B610" i="3"/>
  <c r="C622" i="3" s="1"/>
  <c r="B609" i="3"/>
  <c r="C621" i="3" s="1"/>
  <c r="B608" i="3"/>
  <c r="C620" i="3" s="1"/>
  <c r="B607" i="3"/>
  <c r="B606" i="3"/>
  <c r="B605" i="3"/>
  <c r="B604" i="3"/>
  <c r="B603" i="3"/>
  <c r="B602" i="3"/>
  <c r="B601" i="3"/>
  <c r="B600" i="3"/>
  <c r="C612" i="3" s="1"/>
  <c r="B599" i="3"/>
  <c r="C611" i="3" s="1"/>
  <c r="B598" i="3"/>
  <c r="C610" i="3" s="1"/>
  <c r="B597" i="3"/>
  <c r="C609" i="3" s="1"/>
  <c r="B596" i="3"/>
  <c r="B595" i="3"/>
  <c r="C607" i="3" s="1"/>
  <c r="B594" i="3"/>
  <c r="B593" i="3"/>
  <c r="C605" i="3" s="1"/>
  <c r="B592" i="3"/>
  <c r="B591" i="3"/>
  <c r="B590" i="3"/>
  <c r="C602" i="3" s="1"/>
  <c r="B589" i="3"/>
  <c r="C601" i="3" s="1"/>
  <c r="B588" i="3"/>
  <c r="B587" i="3"/>
  <c r="B586" i="3"/>
  <c r="C598" i="3" s="1"/>
  <c r="B585" i="3"/>
  <c r="B584" i="3"/>
  <c r="C596" i="3" s="1"/>
  <c r="B583" i="3"/>
  <c r="B582" i="3"/>
  <c r="B581" i="3"/>
  <c r="B580" i="3"/>
  <c r="B579" i="3"/>
  <c r="C591" i="3" s="1"/>
  <c r="B578" i="3"/>
  <c r="B577" i="3"/>
  <c r="C589" i="3" s="1"/>
  <c r="B576" i="3"/>
  <c r="B575" i="3"/>
  <c r="B574" i="3"/>
  <c r="C586" i="3" s="1"/>
  <c r="B573" i="3"/>
  <c r="C585" i="3" s="1"/>
  <c r="B572" i="3"/>
  <c r="B571" i="3"/>
  <c r="C583" i="3" s="1"/>
  <c r="B570" i="3"/>
  <c r="B569" i="3"/>
  <c r="C581" i="3" s="1"/>
  <c r="B568" i="3"/>
  <c r="B567" i="3"/>
  <c r="C579" i="3" s="1"/>
  <c r="B566" i="3"/>
  <c r="C578" i="3" s="1"/>
  <c r="B565" i="3"/>
  <c r="B564" i="3"/>
  <c r="B563" i="3"/>
  <c r="B562" i="3"/>
  <c r="B561" i="3"/>
  <c r="B560" i="3"/>
  <c r="C572" i="3" s="1"/>
  <c r="B559" i="3"/>
  <c r="C571" i="3" s="1"/>
  <c r="B558" i="3"/>
  <c r="B557" i="3"/>
  <c r="C569" i="3" s="1"/>
  <c r="B556" i="3"/>
  <c r="B555" i="3"/>
  <c r="B554" i="3"/>
  <c r="B553" i="3"/>
  <c r="C565" i="3" s="1"/>
  <c r="B552" i="3"/>
  <c r="B551" i="3"/>
  <c r="B550" i="3"/>
  <c r="C562" i="3" s="1"/>
  <c r="B549" i="3"/>
  <c r="B548" i="3"/>
  <c r="B547" i="3"/>
  <c r="C559" i="3" s="1"/>
  <c r="B546" i="3"/>
  <c r="C558" i="3" s="1"/>
  <c r="B545" i="3"/>
  <c r="C557" i="3" s="1"/>
  <c r="B544" i="3"/>
  <c r="B543" i="3"/>
  <c r="B542" i="3"/>
  <c r="B541" i="3"/>
  <c r="C553" i="3" s="1"/>
  <c r="B540" i="3"/>
  <c r="B539" i="3"/>
  <c r="B538" i="3"/>
  <c r="C550" i="3" s="1"/>
  <c r="B537" i="3"/>
  <c r="C549" i="3" s="1"/>
  <c r="B536" i="3"/>
  <c r="C548" i="3" s="1"/>
  <c r="B535" i="3"/>
  <c r="C547" i="3" s="1"/>
  <c r="B534" i="3"/>
  <c r="B533" i="3"/>
  <c r="C545" i="3" s="1"/>
  <c r="B532" i="3"/>
  <c r="C544" i="3" s="1"/>
  <c r="B531" i="3"/>
  <c r="C543" i="3" s="1"/>
  <c r="B530" i="3"/>
  <c r="B529" i="3"/>
  <c r="B528" i="3"/>
  <c r="B527" i="3"/>
  <c r="C539" i="3" s="1"/>
  <c r="B526" i="3"/>
  <c r="C538" i="3" s="1"/>
  <c r="B525" i="3"/>
  <c r="C537" i="3" s="1"/>
  <c r="B524" i="3"/>
  <c r="B523" i="3"/>
  <c r="B522" i="3"/>
  <c r="B521" i="3"/>
  <c r="C533" i="3" s="1"/>
  <c r="B520" i="3"/>
  <c r="B519" i="3"/>
  <c r="B518" i="3"/>
  <c r="C530" i="3" s="1"/>
  <c r="B517" i="3"/>
  <c r="C529" i="3" s="1"/>
  <c r="B516" i="3"/>
  <c r="C516" i="3" s="1"/>
  <c r="B515" i="3"/>
  <c r="B514" i="3"/>
  <c r="B513" i="3"/>
  <c r="C525" i="3" s="1"/>
  <c r="B512" i="3"/>
  <c r="C524" i="3" s="1"/>
  <c r="B511" i="3"/>
  <c r="B510" i="3"/>
  <c r="B509" i="3"/>
  <c r="B508" i="3"/>
  <c r="B507" i="3"/>
  <c r="B506" i="3"/>
  <c r="B505" i="3"/>
  <c r="C517" i="3" s="1"/>
  <c r="B504" i="3"/>
  <c r="B503" i="3"/>
  <c r="C515" i="3" s="1"/>
  <c r="B502" i="3"/>
  <c r="C514" i="3" s="1"/>
  <c r="B501" i="3"/>
  <c r="C513" i="3" s="1"/>
  <c r="B500" i="3"/>
  <c r="B499" i="3"/>
  <c r="C511" i="3" s="1"/>
  <c r="B498" i="3"/>
  <c r="B497" i="3"/>
  <c r="C509" i="3" s="1"/>
  <c r="B496" i="3"/>
  <c r="B495" i="3"/>
  <c r="C507" i="3" s="1"/>
  <c r="B494" i="3"/>
  <c r="B493" i="3"/>
  <c r="C505" i="3" s="1"/>
  <c r="B492" i="3"/>
  <c r="C504" i="3" s="1"/>
  <c r="B491" i="3"/>
  <c r="B490" i="3"/>
  <c r="B489" i="3"/>
  <c r="B488" i="3"/>
  <c r="C500" i="3" s="1"/>
  <c r="B487" i="3"/>
  <c r="C499" i="3" s="1"/>
  <c r="B486" i="3"/>
  <c r="B485" i="3"/>
  <c r="C497" i="3" s="1"/>
  <c r="B484" i="3"/>
  <c r="B483" i="3"/>
  <c r="B482" i="3"/>
  <c r="B481" i="3"/>
  <c r="C493" i="3" s="1"/>
  <c r="B480" i="3"/>
  <c r="B479" i="3"/>
  <c r="B478" i="3"/>
  <c r="B477" i="3"/>
  <c r="C489" i="3" s="1"/>
  <c r="B476" i="3"/>
  <c r="B475" i="3"/>
  <c r="C487" i="3" s="1"/>
  <c r="B474" i="3"/>
  <c r="C486" i="3" s="1"/>
  <c r="B473" i="3"/>
  <c r="C485" i="3" s="1"/>
  <c r="B472" i="3"/>
  <c r="B471" i="3"/>
  <c r="C483" i="3" s="1"/>
  <c r="B470" i="3"/>
  <c r="C470" i="3" s="1"/>
  <c r="B469" i="3"/>
  <c r="B468" i="3"/>
  <c r="B467" i="3"/>
  <c r="B466" i="3"/>
  <c r="C478" i="3" s="1"/>
  <c r="B465" i="3"/>
  <c r="C477" i="3" s="1"/>
  <c r="B464" i="3"/>
  <c r="C476" i="3" s="1"/>
  <c r="B463" i="3"/>
  <c r="B462" i="3"/>
  <c r="B461" i="3"/>
  <c r="C473" i="3" s="1"/>
  <c r="B460" i="3"/>
  <c r="C472" i="3" s="1"/>
  <c r="B459" i="3"/>
  <c r="B458" i="3"/>
  <c r="B457" i="3"/>
  <c r="B456" i="3"/>
  <c r="B455" i="3"/>
  <c r="C467" i="3" s="1"/>
  <c r="B454" i="3"/>
  <c r="C466" i="3" s="1"/>
  <c r="B453" i="3"/>
  <c r="C465" i="3" s="1"/>
  <c r="B452" i="3"/>
  <c r="B451" i="3"/>
  <c r="C463" i="3" s="1"/>
  <c r="B450" i="3"/>
  <c r="C462" i="3" s="1"/>
  <c r="B449" i="3"/>
  <c r="B448" i="3"/>
  <c r="B447" i="3"/>
  <c r="B446" i="3"/>
  <c r="C458" i="3" s="1"/>
  <c r="B445" i="3"/>
  <c r="C457" i="3" s="1"/>
  <c r="B444" i="3"/>
  <c r="B443" i="3"/>
  <c r="B442" i="3"/>
  <c r="C454" i="3" s="1"/>
  <c r="B441" i="3"/>
  <c r="C453" i="3" s="1"/>
  <c r="B440" i="3"/>
  <c r="C452" i="3" s="1"/>
  <c r="B439" i="3"/>
  <c r="B438" i="3"/>
  <c r="B437" i="3"/>
  <c r="C449" i="3" s="1"/>
  <c r="B436" i="3"/>
  <c r="B435" i="3"/>
  <c r="C447" i="3" s="1"/>
  <c r="B434" i="3"/>
  <c r="B433" i="3"/>
  <c r="C445" i="3" s="1"/>
  <c r="B432" i="3"/>
  <c r="B431" i="3"/>
  <c r="C443" i="3" s="1"/>
  <c r="B430" i="3"/>
  <c r="B429" i="3"/>
  <c r="C441" i="3" s="1"/>
  <c r="B428" i="3"/>
  <c r="B427" i="3"/>
  <c r="C439" i="3" s="1"/>
  <c r="B426" i="3"/>
  <c r="C438" i="3" s="1"/>
  <c r="B425" i="3"/>
  <c r="C437" i="3" s="1"/>
  <c r="B424" i="3"/>
  <c r="C424" i="3" s="1"/>
  <c r="B423" i="3"/>
  <c r="C435" i="3" s="1"/>
  <c r="B422" i="3"/>
  <c r="B421" i="3"/>
  <c r="C433" i="3" s="1"/>
  <c r="B420" i="3"/>
  <c r="B419" i="3"/>
  <c r="B418" i="3"/>
  <c r="C430" i="3" s="1"/>
  <c r="B417" i="3"/>
  <c r="B416" i="3"/>
  <c r="B415" i="3"/>
  <c r="C427" i="3" s="1"/>
  <c r="B414" i="3"/>
  <c r="B413" i="3"/>
  <c r="C425" i="3" s="1"/>
  <c r="B412" i="3"/>
  <c r="B411" i="3"/>
  <c r="B410" i="3"/>
  <c r="B409" i="3"/>
  <c r="C421" i="3" s="1"/>
  <c r="B408" i="3"/>
  <c r="B407" i="3"/>
  <c r="B406" i="3"/>
  <c r="B405" i="3"/>
  <c r="B404" i="3"/>
  <c r="C416" i="3" s="1"/>
  <c r="B403" i="3"/>
  <c r="C415" i="3" s="1"/>
  <c r="B402" i="3"/>
  <c r="C414" i="3" s="1"/>
  <c r="B401" i="3"/>
  <c r="B400" i="3"/>
  <c r="B399" i="3"/>
  <c r="C411" i="3" s="1"/>
  <c r="B398" i="3"/>
  <c r="B397" i="3"/>
  <c r="C409" i="3" s="1"/>
  <c r="B396" i="3"/>
  <c r="B395" i="3"/>
  <c r="B394" i="3"/>
  <c r="C406" i="3" s="1"/>
  <c r="B393" i="3"/>
  <c r="C405" i="3" s="1"/>
  <c r="B392" i="3"/>
  <c r="B391" i="3"/>
  <c r="C403" i="3" s="1"/>
  <c r="B390" i="3"/>
  <c r="B389" i="3"/>
  <c r="C401" i="3" s="1"/>
  <c r="B388" i="3"/>
  <c r="C400" i="3" s="1"/>
  <c r="B387" i="3"/>
  <c r="C399" i="3" s="1"/>
  <c r="B386" i="3"/>
  <c r="B385" i="3"/>
  <c r="B384" i="3"/>
  <c r="C396" i="3" s="1"/>
  <c r="B383" i="3"/>
  <c r="C395" i="3" s="1"/>
  <c r="B382" i="3"/>
  <c r="C394" i="3" s="1"/>
  <c r="B381" i="3"/>
  <c r="B380" i="3"/>
  <c r="C392" i="3" s="1"/>
  <c r="B379" i="3"/>
  <c r="C391" i="3" s="1"/>
  <c r="B378" i="3"/>
  <c r="B377" i="3"/>
  <c r="C389" i="3" s="1"/>
  <c r="B376" i="3"/>
  <c r="B375" i="3"/>
  <c r="B374" i="3"/>
  <c r="C386" i="3" s="1"/>
  <c r="B373" i="3"/>
  <c r="B372" i="3"/>
  <c r="B371" i="3"/>
  <c r="B370" i="3"/>
  <c r="C382" i="3" s="1"/>
  <c r="B369" i="3"/>
  <c r="C381" i="3" s="1"/>
  <c r="B368" i="3"/>
  <c r="C380" i="3" s="1"/>
  <c r="B367" i="3"/>
  <c r="B366" i="3"/>
  <c r="B365" i="3"/>
  <c r="B364" i="3"/>
  <c r="B363" i="3"/>
  <c r="C375" i="3" s="1"/>
  <c r="B362" i="3"/>
  <c r="B361" i="3"/>
  <c r="B360" i="3"/>
  <c r="C372" i="3" s="1"/>
  <c r="B359" i="3"/>
  <c r="C371" i="3" s="1"/>
  <c r="B358" i="3"/>
  <c r="C370" i="3" s="1"/>
  <c r="B357" i="3"/>
  <c r="C369" i="3" s="1"/>
  <c r="B356" i="3"/>
  <c r="B355" i="3"/>
  <c r="C367" i="3" s="1"/>
  <c r="B354" i="3"/>
  <c r="B353" i="3"/>
  <c r="C365" i="3" s="1"/>
  <c r="B352" i="3"/>
  <c r="C352" i="3" s="1"/>
  <c r="B351" i="3"/>
  <c r="B350" i="3"/>
  <c r="C362" i="3" s="1"/>
  <c r="B349" i="3"/>
  <c r="C361" i="3" s="1"/>
  <c r="B348" i="3"/>
  <c r="B347" i="3"/>
  <c r="B346" i="3"/>
  <c r="B345" i="3"/>
  <c r="B344" i="3"/>
  <c r="C356" i="3" s="1"/>
  <c r="B343" i="3"/>
  <c r="C355" i="3" s="1"/>
  <c r="B342" i="3"/>
  <c r="B341" i="3"/>
  <c r="B340" i="3"/>
  <c r="B339" i="3"/>
  <c r="B338" i="3"/>
  <c r="B337" i="3"/>
  <c r="C349" i="3" s="1"/>
  <c r="B336" i="3"/>
  <c r="B335" i="3"/>
  <c r="B334" i="3"/>
  <c r="B333" i="3"/>
  <c r="C345" i="3" s="1"/>
  <c r="B332" i="3"/>
  <c r="B331" i="3"/>
  <c r="B330" i="3"/>
  <c r="B329" i="3"/>
  <c r="C341" i="3" s="1"/>
  <c r="B328" i="3"/>
  <c r="B327" i="3"/>
  <c r="C339" i="3" s="1"/>
  <c r="B326" i="3"/>
  <c r="B325" i="3"/>
  <c r="B324" i="3"/>
  <c r="B323" i="3"/>
  <c r="B322" i="3"/>
  <c r="C334" i="3" s="1"/>
  <c r="B321" i="3"/>
  <c r="C333" i="3" s="1"/>
  <c r="B320" i="3"/>
  <c r="B319" i="3"/>
  <c r="C331" i="3" s="1"/>
  <c r="B318" i="3"/>
  <c r="B317" i="3"/>
  <c r="C329" i="3" s="1"/>
  <c r="B316" i="3"/>
  <c r="C328" i="3" s="1"/>
  <c r="B315" i="3"/>
  <c r="C327" i="3" s="1"/>
  <c r="B314" i="3"/>
  <c r="B313" i="3"/>
  <c r="C325" i="3" s="1"/>
  <c r="B312" i="3"/>
  <c r="C324" i="3" s="1"/>
  <c r="B311" i="3"/>
  <c r="C323" i="3" s="1"/>
  <c r="B310" i="3"/>
  <c r="B309" i="3"/>
  <c r="C321" i="3" s="1"/>
  <c r="B308" i="3"/>
  <c r="B307" i="3"/>
  <c r="C319" i="3" s="1"/>
  <c r="B306" i="3"/>
  <c r="B305" i="3"/>
  <c r="C317" i="3" s="1"/>
  <c r="B304" i="3"/>
  <c r="B303" i="3"/>
  <c r="B302" i="3"/>
  <c r="C314" i="3" s="1"/>
  <c r="B301" i="3"/>
  <c r="B300" i="3"/>
  <c r="B299" i="3"/>
  <c r="B298" i="3"/>
  <c r="C310" i="3" s="1"/>
  <c r="B297" i="3"/>
  <c r="C309" i="3" s="1"/>
  <c r="B296" i="3"/>
  <c r="B295" i="3"/>
  <c r="C307" i="3" s="1"/>
  <c r="B294" i="3"/>
  <c r="B293" i="3"/>
  <c r="B292" i="3"/>
  <c r="B291" i="3"/>
  <c r="C303" i="3" s="1"/>
  <c r="B290" i="3"/>
  <c r="B289" i="3"/>
  <c r="C301" i="3" s="1"/>
  <c r="B288" i="3"/>
  <c r="B287" i="3"/>
  <c r="C299" i="3" s="1"/>
  <c r="B286" i="3"/>
  <c r="C298" i="3" s="1"/>
  <c r="B285" i="3"/>
  <c r="C297" i="3" s="1"/>
  <c r="B284" i="3"/>
  <c r="B283" i="3"/>
  <c r="B282" i="3"/>
  <c r="B281" i="3"/>
  <c r="B280" i="3"/>
  <c r="B279" i="3"/>
  <c r="C291" i="3" s="1"/>
  <c r="B278" i="3"/>
  <c r="C290" i="3" s="1"/>
  <c r="B277" i="3"/>
  <c r="C289" i="3" s="1"/>
  <c r="B276" i="3"/>
  <c r="B275" i="3"/>
  <c r="B274" i="3"/>
  <c r="C286" i="3" s="1"/>
  <c r="B273" i="3"/>
  <c r="B272" i="3"/>
  <c r="B271" i="3"/>
  <c r="C283" i="3" s="1"/>
  <c r="B270" i="3"/>
  <c r="B269" i="3"/>
  <c r="C281" i="3" s="1"/>
  <c r="B268" i="3"/>
  <c r="C280" i="3" s="1"/>
  <c r="B267" i="3"/>
  <c r="B266" i="3"/>
  <c r="B265" i="3"/>
  <c r="C277" i="3" s="1"/>
  <c r="B264" i="3"/>
  <c r="B263" i="3"/>
  <c r="B262" i="3"/>
  <c r="B261" i="3"/>
  <c r="B260" i="3"/>
  <c r="C272" i="3" s="1"/>
  <c r="B259" i="3"/>
  <c r="B258" i="3"/>
  <c r="C270" i="3" s="1"/>
  <c r="B257" i="3"/>
  <c r="C269" i="3" s="1"/>
  <c r="B256" i="3"/>
  <c r="B255" i="3"/>
  <c r="C267" i="3" s="1"/>
  <c r="B254" i="3"/>
  <c r="B253" i="3"/>
  <c r="B252" i="3"/>
  <c r="B251" i="3"/>
  <c r="B250" i="3"/>
  <c r="B249" i="3"/>
  <c r="B248" i="3"/>
  <c r="B247" i="3"/>
  <c r="B246" i="3"/>
  <c r="B245" i="3"/>
  <c r="C257" i="3" s="1"/>
  <c r="B244" i="3"/>
  <c r="B243" i="3"/>
  <c r="C255" i="3" s="1"/>
  <c r="B242" i="3"/>
  <c r="B241" i="3"/>
  <c r="B240" i="3"/>
  <c r="B239" i="3"/>
  <c r="B238" i="3"/>
  <c r="C250" i="3" s="1"/>
  <c r="B237" i="3"/>
  <c r="C249" i="3" s="1"/>
  <c r="B236" i="3"/>
  <c r="B235" i="3"/>
  <c r="C247" i="3" s="1"/>
  <c r="B234" i="3"/>
  <c r="B233" i="3"/>
  <c r="C245" i="3" s="1"/>
  <c r="B232" i="3"/>
  <c r="B231" i="3"/>
  <c r="B230" i="3"/>
  <c r="C242" i="3" s="1"/>
  <c r="B229" i="3"/>
  <c r="B228" i="3"/>
  <c r="B227" i="3"/>
  <c r="B226" i="3"/>
  <c r="C238" i="3" s="1"/>
  <c r="B225" i="3"/>
  <c r="C237" i="3" s="1"/>
  <c r="B224" i="3"/>
  <c r="C236" i="3" s="1"/>
  <c r="B223" i="3"/>
  <c r="B222" i="3"/>
  <c r="B221" i="3"/>
  <c r="B220" i="3"/>
  <c r="C232" i="3" s="1"/>
  <c r="B219" i="3"/>
  <c r="B218" i="3"/>
  <c r="B217" i="3"/>
  <c r="C229" i="3" s="1"/>
  <c r="B216" i="3"/>
  <c r="B215" i="3"/>
  <c r="C227" i="3" s="1"/>
  <c r="B214" i="3"/>
  <c r="C226" i="3" s="1"/>
  <c r="B213" i="3"/>
  <c r="C225" i="3" s="1"/>
  <c r="B212" i="3"/>
  <c r="B211" i="3"/>
  <c r="C223" i="3" s="1"/>
  <c r="B210" i="3"/>
  <c r="B209" i="3"/>
  <c r="C221" i="3" s="1"/>
  <c r="B208" i="3"/>
  <c r="B207" i="3"/>
  <c r="C219" i="3" s="1"/>
  <c r="B206" i="3"/>
  <c r="C218" i="3" s="1"/>
  <c r="B205" i="3"/>
  <c r="C217" i="3" s="1"/>
  <c r="B204" i="3"/>
  <c r="B203" i="3"/>
  <c r="B202" i="3"/>
  <c r="C214" i="3" s="1"/>
  <c r="B201" i="3"/>
  <c r="B200" i="3"/>
  <c r="C200" i="3" s="1"/>
  <c r="B199" i="3"/>
  <c r="B198" i="3"/>
  <c r="B197" i="3"/>
  <c r="C209" i="3" s="1"/>
  <c r="B196" i="3"/>
  <c r="B195" i="3"/>
  <c r="B194" i="3"/>
  <c r="B193" i="3"/>
  <c r="B192" i="3"/>
  <c r="C204" i="3" s="1"/>
  <c r="B191" i="3"/>
  <c r="B190" i="3"/>
  <c r="B189" i="3"/>
  <c r="B188" i="3"/>
  <c r="B187" i="3"/>
  <c r="C199" i="3" s="1"/>
  <c r="B186" i="3"/>
  <c r="C198" i="3" s="1"/>
  <c r="B185" i="3"/>
  <c r="C197" i="3" s="1"/>
  <c r="B184" i="3"/>
  <c r="B183" i="3"/>
  <c r="C195" i="3" s="1"/>
  <c r="B182" i="3"/>
  <c r="B181" i="3"/>
  <c r="C193" i="3" s="1"/>
  <c r="B180" i="3"/>
  <c r="B179" i="3"/>
  <c r="B178" i="3"/>
  <c r="B177" i="3"/>
  <c r="C189" i="3" s="1"/>
  <c r="B176" i="3"/>
  <c r="C188" i="3" s="1"/>
  <c r="B175" i="3"/>
  <c r="C187" i="3" s="1"/>
  <c r="B174" i="3"/>
  <c r="B173" i="3"/>
  <c r="C185" i="3" s="1"/>
  <c r="B172" i="3"/>
  <c r="B171" i="3"/>
  <c r="C183" i="3" s="1"/>
  <c r="B170" i="3"/>
  <c r="B169" i="3"/>
  <c r="B168" i="3"/>
  <c r="B167" i="3"/>
  <c r="C179" i="3" s="1"/>
  <c r="B166" i="3"/>
  <c r="C178" i="3" s="1"/>
  <c r="B165" i="3"/>
  <c r="C177" i="3" s="1"/>
  <c r="B164" i="3"/>
  <c r="B163" i="3"/>
  <c r="C175" i="3" s="1"/>
  <c r="B162" i="3"/>
  <c r="B161" i="3"/>
  <c r="C173" i="3" s="1"/>
  <c r="B160" i="3"/>
  <c r="B159" i="3"/>
  <c r="B158" i="3"/>
  <c r="B157" i="3"/>
  <c r="C169" i="3" s="1"/>
  <c r="B156" i="3"/>
  <c r="C156" i="3" s="1"/>
  <c r="B155" i="3"/>
  <c r="B154" i="3"/>
  <c r="C166" i="3" s="1"/>
  <c r="B153" i="3"/>
  <c r="B152" i="3"/>
  <c r="C164" i="3" s="1"/>
  <c r="B151" i="3"/>
  <c r="B150" i="3"/>
  <c r="B149" i="3"/>
  <c r="B148" i="3"/>
  <c r="B147" i="3"/>
  <c r="C159" i="3" s="1"/>
  <c r="B146" i="3"/>
  <c r="C158" i="3" s="1"/>
  <c r="B145" i="3"/>
  <c r="C157" i="3" s="1"/>
  <c r="B144" i="3"/>
  <c r="B143" i="3"/>
  <c r="C155" i="3" s="1"/>
  <c r="B142" i="3"/>
  <c r="C154" i="3" s="1"/>
  <c r="B141" i="3"/>
  <c r="C153" i="3" s="1"/>
  <c r="B140" i="3"/>
  <c r="B139" i="3"/>
  <c r="C151" i="3" s="1"/>
  <c r="B138" i="3"/>
  <c r="B137" i="3"/>
  <c r="B136" i="3"/>
  <c r="B135" i="3"/>
  <c r="C147" i="3" s="1"/>
  <c r="B134" i="3"/>
  <c r="C146" i="3" s="1"/>
  <c r="B133" i="3"/>
  <c r="C145" i="3" s="1"/>
  <c r="B132" i="3"/>
  <c r="B131" i="3"/>
  <c r="B130" i="3"/>
  <c r="B129" i="3"/>
  <c r="B128" i="3"/>
  <c r="B127" i="3"/>
  <c r="C139" i="3" s="1"/>
  <c r="B126" i="3"/>
  <c r="B125" i="3"/>
  <c r="C137" i="3" s="1"/>
  <c r="B124" i="3"/>
  <c r="B123" i="3"/>
  <c r="B122" i="3"/>
  <c r="B121" i="3"/>
  <c r="C133" i="3" s="1"/>
  <c r="B120" i="3"/>
  <c r="B119" i="3"/>
  <c r="B118" i="3"/>
  <c r="B117" i="3"/>
  <c r="B116" i="3"/>
  <c r="C128" i="3" s="1"/>
  <c r="B115" i="3"/>
  <c r="C127" i="3" s="1"/>
  <c r="B114" i="3"/>
  <c r="C126" i="3" s="1"/>
  <c r="B113" i="3"/>
  <c r="C125" i="3" s="1"/>
  <c r="B112" i="3"/>
  <c r="B111" i="3"/>
  <c r="C123" i="3" s="1"/>
  <c r="B110" i="3"/>
  <c r="B109" i="3"/>
  <c r="B108" i="3"/>
  <c r="B107" i="3"/>
  <c r="B106" i="3"/>
  <c r="C118" i="3" s="1"/>
  <c r="B105" i="3"/>
  <c r="C117" i="3" s="1"/>
  <c r="B104" i="3"/>
  <c r="C116" i="3" s="1"/>
  <c r="B103" i="3"/>
  <c r="C115" i="3" s="1"/>
  <c r="B102" i="3"/>
  <c r="B101" i="3"/>
  <c r="C113" i="3" s="1"/>
  <c r="B100" i="3"/>
  <c r="C112" i="3" s="1"/>
  <c r="B99" i="3"/>
  <c r="B98" i="3"/>
  <c r="B97" i="3"/>
  <c r="B96" i="3"/>
  <c r="C108" i="3" s="1"/>
  <c r="B95" i="3"/>
  <c r="C107" i="3" s="1"/>
  <c r="B94" i="3"/>
  <c r="C106" i="3" s="1"/>
  <c r="B93" i="3"/>
  <c r="C105" i="3" s="1"/>
  <c r="B92" i="3"/>
  <c r="B91" i="3"/>
  <c r="C103" i="3" s="1"/>
  <c r="B90" i="3"/>
  <c r="C102" i="3" s="1"/>
  <c r="B89" i="3"/>
  <c r="C101" i="3" s="1"/>
  <c r="B88" i="3"/>
  <c r="B87" i="3"/>
  <c r="B86" i="3"/>
  <c r="B85" i="3"/>
  <c r="C97" i="3" s="1"/>
  <c r="B84" i="3"/>
  <c r="B83" i="3"/>
  <c r="B82" i="3"/>
  <c r="C94" i="3" s="1"/>
  <c r="B81" i="3"/>
  <c r="C93" i="3" s="1"/>
  <c r="B80" i="3"/>
  <c r="C92" i="3" s="1"/>
  <c r="B79" i="3"/>
  <c r="C91" i="3" s="1"/>
  <c r="B78" i="3"/>
  <c r="B77" i="3"/>
  <c r="B76" i="3"/>
  <c r="B75" i="3"/>
  <c r="C87" i="3" s="1"/>
  <c r="B74" i="3"/>
  <c r="B73" i="3"/>
  <c r="C85" i="3" s="1"/>
  <c r="B72" i="3"/>
  <c r="B71" i="3"/>
  <c r="C83" i="3" s="1"/>
  <c r="B70" i="3"/>
  <c r="C82" i="3" s="1"/>
  <c r="B69" i="3"/>
  <c r="B68" i="3"/>
  <c r="B67" i="3"/>
  <c r="B66" i="3"/>
  <c r="B65" i="3"/>
  <c r="C77" i="3" s="1"/>
  <c r="B64" i="3"/>
  <c r="B63" i="3"/>
  <c r="C75" i="3" s="1"/>
  <c r="B62" i="3"/>
  <c r="C74" i="3" s="1"/>
  <c r="B61" i="3"/>
  <c r="C73" i="3" s="1"/>
  <c r="B60" i="3"/>
  <c r="B59" i="3"/>
  <c r="B58" i="3"/>
  <c r="C70" i="3" s="1"/>
  <c r="B57" i="3"/>
  <c r="B56" i="3"/>
  <c r="B55" i="3"/>
  <c r="B54" i="3"/>
  <c r="B53" i="3"/>
  <c r="C65" i="3" s="1"/>
  <c r="B52" i="3"/>
  <c r="B51" i="3"/>
  <c r="B50" i="3"/>
  <c r="B49" i="3"/>
  <c r="C61" i="3" s="1"/>
  <c r="B48" i="3"/>
  <c r="C60" i="3" s="1"/>
  <c r="B47" i="3"/>
  <c r="C59" i="3" s="1"/>
  <c r="B46" i="3"/>
  <c r="B45" i="3"/>
  <c r="B44" i="3"/>
  <c r="B43" i="3"/>
  <c r="C55" i="3" s="1"/>
  <c r="B42" i="3"/>
  <c r="C54" i="3" s="1"/>
  <c r="B41" i="3"/>
  <c r="C53" i="3" s="1"/>
  <c r="B40" i="3"/>
  <c r="B39" i="3"/>
  <c r="C51" i="3" s="1"/>
  <c r="B38" i="3"/>
  <c r="B37" i="3"/>
  <c r="C49" i="3" s="1"/>
  <c r="C36" i="3"/>
  <c r="B36" i="3"/>
  <c r="B35" i="3"/>
  <c r="B34" i="3"/>
  <c r="C46" i="3" s="1"/>
  <c r="B33" i="3"/>
  <c r="C45" i="3" s="1"/>
  <c r="B32" i="3"/>
  <c r="C44" i="3" s="1"/>
  <c r="B31" i="3"/>
  <c r="C43" i="3" s="1"/>
  <c r="B30" i="3"/>
  <c r="B29" i="3"/>
  <c r="C41" i="3" s="1"/>
  <c r="B28" i="3"/>
  <c r="B27" i="3"/>
  <c r="B26" i="3"/>
  <c r="B25" i="3"/>
  <c r="B24" i="3"/>
  <c r="B23" i="3"/>
  <c r="C35" i="3" s="1"/>
  <c r="B22" i="3"/>
  <c r="B21" i="3"/>
  <c r="C33" i="3" s="1"/>
  <c r="B20" i="3"/>
  <c r="B19" i="3"/>
  <c r="C31" i="3" s="1"/>
  <c r="B18" i="3"/>
  <c r="C30" i="3" s="1"/>
  <c r="B17" i="3"/>
  <c r="B16" i="3"/>
  <c r="B15" i="3"/>
  <c r="B14" i="3"/>
  <c r="B13" i="3"/>
  <c r="B12" i="3"/>
  <c r="C24" i="3" s="1"/>
  <c r="B11" i="3"/>
  <c r="C23" i="3" s="1"/>
  <c r="B10" i="3"/>
  <c r="B9" i="3"/>
  <c r="C21" i="3" s="1"/>
  <c r="B8" i="3"/>
  <c r="B7" i="3"/>
  <c r="N29" i="1"/>
  <c r="Q19" i="1" s="1"/>
  <c r="N28" i="1"/>
  <c r="P20" i="1" s="1"/>
  <c r="P21" i="1"/>
  <c r="P18" i="1" l="1"/>
  <c r="P19" i="1"/>
  <c r="D145" i="12"/>
  <c r="D133" i="12"/>
  <c r="D294" i="12"/>
  <c r="C294" i="12"/>
  <c r="C436" i="12"/>
  <c r="D436" i="12"/>
  <c r="C178" i="12"/>
  <c r="D190" i="12"/>
  <c r="D360" i="12"/>
  <c r="D531" i="12"/>
  <c r="C51" i="12"/>
  <c r="C179" i="12"/>
  <c r="C427" i="12"/>
  <c r="D439" i="12"/>
  <c r="D182" i="12"/>
  <c r="C170" i="12"/>
  <c r="D500" i="12"/>
  <c r="C41" i="12"/>
  <c r="C330" i="12"/>
  <c r="C343" i="12"/>
  <c r="D342" i="12"/>
  <c r="D512" i="12"/>
  <c r="C567" i="12"/>
  <c r="D300" i="12"/>
  <c r="D484" i="12"/>
  <c r="D558" i="12"/>
  <c r="C399" i="12"/>
  <c r="D466" i="12"/>
  <c r="C485" i="12"/>
  <c r="D88" i="12"/>
  <c r="D197" i="12"/>
  <c r="C185" i="12"/>
  <c r="D370" i="12"/>
  <c r="C370" i="12"/>
  <c r="C124" i="12"/>
  <c r="C361" i="12"/>
  <c r="C371" i="12"/>
  <c r="D428" i="12"/>
  <c r="C116" i="12"/>
  <c r="D116" i="12"/>
  <c r="C428" i="12"/>
  <c r="D160" i="12"/>
  <c r="C342" i="12"/>
  <c r="D587" i="12"/>
  <c r="D277" i="12"/>
  <c r="C265" i="12"/>
  <c r="D474" i="12"/>
  <c r="C484" i="12"/>
  <c r="D567" i="12"/>
  <c r="C33" i="12"/>
  <c r="D33" i="12"/>
  <c r="D128" i="12"/>
  <c r="D202" i="12"/>
  <c r="D580" i="12"/>
  <c r="D568" i="12"/>
  <c r="C184" i="12"/>
  <c r="D144" i="12"/>
  <c r="C286" i="12"/>
  <c r="C467" i="12"/>
  <c r="C16" i="12"/>
  <c r="D64" i="12"/>
  <c r="D52" i="12"/>
  <c r="C117" i="12"/>
  <c r="C250" i="12"/>
  <c r="D259" i="12"/>
  <c r="C144" i="12"/>
  <c r="D192" i="12"/>
  <c r="D334" i="12"/>
  <c r="C400" i="12"/>
  <c r="C611" i="12"/>
  <c r="D136" i="12"/>
  <c r="D180" i="12"/>
  <c r="C287" i="12"/>
  <c r="C479" i="12"/>
  <c r="C543" i="12"/>
  <c r="C27" i="12"/>
  <c r="C35" i="12"/>
  <c r="D110" i="12"/>
  <c r="C261" i="12"/>
  <c r="D346" i="12"/>
  <c r="C346" i="12"/>
  <c r="C441" i="12"/>
  <c r="D470" i="12"/>
  <c r="C602" i="12"/>
  <c r="D20" i="12"/>
  <c r="C73" i="12"/>
  <c r="C164" i="12"/>
  <c r="C233" i="12"/>
  <c r="C375" i="12"/>
  <c r="D572" i="12"/>
  <c r="C9" i="12"/>
  <c r="C20" i="12"/>
  <c r="D65" i="12"/>
  <c r="D101" i="12"/>
  <c r="C129" i="12"/>
  <c r="C138" i="12"/>
  <c r="C216" i="12"/>
  <c r="D234" i="12"/>
  <c r="D272" i="12"/>
  <c r="C289" i="12"/>
  <c r="D530" i="12"/>
  <c r="D544" i="12"/>
  <c r="D555" i="12"/>
  <c r="C594" i="12"/>
  <c r="D615" i="12"/>
  <c r="D191" i="12"/>
  <c r="C313" i="12"/>
  <c r="D362" i="12"/>
  <c r="D419" i="12"/>
  <c r="C161" i="12"/>
  <c r="C279" i="12"/>
  <c r="D291" i="12"/>
  <c r="D286" i="12"/>
  <c r="C314" i="12"/>
  <c r="D323" i="12"/>
  <c r="D503" i="12"/>
  <c r="C34" i="12"/>
  <c r="C52" i="12"/>
  <c r="D63" i="12"/>
  <c r="D171" i="12"/>
  <c r="D279" i="12"/>
  <c r="D355" i="12"/>
  <c r="D570" i="12"/>
  <c r="D127" i="12"/>
  <c r="C172" i="12"/>
  <c r="C251" i="12"/>
  <c r="D251" i="12"/>
  <c r="C295" i="12"/>
  <c r="C562" i="12"/>
  <c r="C145" i="12"/>
  <c r="C155" i="12"/>
  <c r="C280" i="12"/>
  <c r="C563" i="12"/>
  <c r="C613" i="12"/>
  <c r="D198" i="12"/>
  <c r="C243" i="12"/>
  <c r="D243" i="12"/>
  <c r="C452" i="12"/>
  <c r="C536" i="12"/>
  <c r="D21" i="12"/>
  <c r="C21" i="12"/>
  <c r="C76" i="12"/>
  <c r="C90" i="12"/>
  <c r="D102" i="12"/>
  <c r="D129" i="12"/>
  <c r="D138" i="12"/>
  <c r="D157" i="12"/>
  <c r="D216" i="12"/>
  <c r="D235" i="12"/>
  <c r="D318" i="12"/>
  <c r="D388" i="12"/>
  <c r="C376" i="12"/>
  <c r="C386" i="12"/>
  <c r="C444" i="12"/>
  <c r="C453" i="12"/>
  <c r="C518" i="12"/>
  <c r="D538" i="12"/>
  <c r="C556" i="12"/>
  <c r="D604" i="12"/>
  <c r="D457" i="12"/>
  <c r="C462" i="12"/>
  <c r="D486" i="12"/>
  <c r="C598" i="12"/>
  <c r="C141" i="12"/>
  <c r="C174" i="12"/>
  <c r="C463" i="12"/>
  <c r="C487" i="12"/>
  <c r="C522" i="12"/>
  <c r="C531" i="12"/>
  <c r="D611" i="12"/>
  <c r="C53" i="12"/>
  <c r="D132" i="12"/>
  <c r="D174" i="12"/>
  <c r="D264" i="12"/>
  <c r="C347" i="12"/>
  <c r="D369" i="12"/>
  <c r="C455" i="12"/>
  <c r="C488" i="12"/>
  <c r="C506" i="12"/>
  <c r="C580" i="12"/>
  <c r="C599" i="12"/>
  <c r="D618" i="12"/>
  <c r="D49" i="12"/>
  <c r="D53" i="12"/>
  <c r="C63" i="12"/>
  <c r="C92" i="12"/>
  <c r="D120" i="12"/>
  <c r="C127" i="12"/>
  <c r="D178" i="12"/>
  <c r="D196" i="12"/>
  <c r="C220" i="12"/>
  <c r="D252" i="12"/>
  <c r="C268" i="12"/>
  <c r="D289" i="12"/>
  <c r="C284" i="12"/>
  <c r="D303" i="12"/>
  <c r="D307" i="12"/>
  <c r="C323" i="12"/>
  <c r="C357" i="12"/>
  <c r="C379" i="12"/>
  <c r="D396" i="12"/>
  <c r="D403" i="12"/>
  <c r="D443" i="12"/>
  <c r="C516" i="12"/>
  <c r="C532" i="12"/>
  <c r="D561" i="12"/>
  <c r="D563" i="12"/>
  <c r="D593" i="12"/>
  <c r="D599" i="12"/>
  <c r="C454" i="12"/>
  <c r="C12" i="12"/>
  <c r="D48" i="12"/>
  <c r="C210" i="12"/>
  <c r="C259" i="12"/>
  <c r="C322" i="12"/>
  <c r="C340" i="12"/>
  <c r="D467" i="12"/>
  <c r="D483" i="12"/>
  <c r="D556" i="12"/>
  <c r="D25" i="12"/>
  <c r="C36" i="12"/>
  <c r="C134" i="12"/>
  <c r="D141" i="12"/>
  <c r="C196" i="12"/>
  <c r="D296" i="12"/>
  <c r="D306" i="12"/>
  <c r="D340" i="12"/>
  <c r="D376" i="12"/>
  <c r="C413" i="12"/>
  <c r="D509" i="12"/>
  <c r="D522" i="12"/>
  <c r="D601" i="12"/>
  <c r="C177" i="12"/>
  <c r="D225" i="12"/>
  <c r="D409" i="12"/>
  <c r="C439" i="12"/>
  <c r="D461" i="12"/>
  <c r="D482" i="12"/>
  <c r="D536" i="12"/>
  <c r="C557" i="12"/>
  <c r="C326" i="11"/>
  <c r="D338" i="11"/>
  <c r="D442" i="11"/>
  <c r="C610" i="11"/>
  <c r="D583" i="11"/>
  <c r="C98" i="11"/>
  <c r="D138" i="11"/>
  <c r="D528" i="11"/>
  <c r="D559" i="11"/>
  <c r="D547" i="11"/>
  <c r="D558" i="11"/>
  <c r="D343" i="11"/>
  <c r="D355" i="11"/>
  <c r="C23" i="11"/>
  <c r="D103" i="11"/>
  <c r="D184" i="11"/>
  <c r="D438" i="11"/>
  <c r="C104" i="11"/>
  <c r="C227" i="11"/>
  <c r="C15" i="11"/>
  <c r="C63" i="11"/>
  <c r="C106" i="11"/>
  <c r="D218" i="11"/>
  <c r="C282" i="11"/>
  <c r="C127" i="11"/>
  <c r="D27" i="11"/>
  <c r="D59" i="11"/>
  <c r="D47" i="11"/>
  <c r="C171" i="11"/>
  <c r="D275" i="11"/>
  <c r="D263" i="11"/>
  <c r="C423" i="11"/>
  <c r="D423" i="11"/>
  <c r="C601" i="11"/>
  <c r="C22" i="11"/>
  <c r="D34" i="11"/>
  <c r="C375" i="11"/>
  <c r="D375" i="11"/>
  <c r="C153" i="11"/>
  <c r="C184" i="11"/>
  <c r="C144" i="11"/>
  <c r="C236" i="11"/>
  <c r="D378" i="11"/>
  <c r="C14" i="11"/>
  <c r="C400" i="11"/>
  <c r="D484" i="11"/>
  <c r="C555" i="11"/>
  <c r="C170" i="11"/>
  <c r="D182" i="11"/>
  <c r="C37" i="11"/>
  <c r="D212" i="11"/>
  <c r="C212" i="11"/>
  <c r="C319" i="11"/>
  <c r="D323" i="11"/>
  <c r="D311" i="11"/>
  <c r="C343" i="11"/>
  <c r="C72" i="11"/>
  <c r="C62" i="11"/>
  <c r="C584" i="11"/>
  <c r="D596" i="11"/>
  <c r="C368" i="11"/>
  <c r="D575" i="11"/>
  <c r="C392" i="11"/>
  <c r="D404" i="11"/>
  <c r="D392" i="11"/>
  <c r="C163" i="11"/>
  <c r="C202" i="11"/>
  <c r="C254" i="11"/>
  <c r="C560" i="11"/>
  <c r="D571" i="11"/>
  <c r="C320" i="11"/>
  <c r="C344" i="11"/>
  <c r="C376" i="11"/>
  <c r="D421" i="11"/>
  <c r="C56" i="11"/>
  <c r="C203" i="11"/>
  <c r="C354" i="11"/>
  <c r="C403" i="11"/>
  <c r="C511" i="11"/>
  <c r="D554" i="11"/>
  <c r="C548" i="11"/>
  <c r="C40" i="11"/>
  <c r="C48" i="11"/>
  <c r="D72" i="11"/>
  <c r="D98" i="11"/>
  <c r="D106" i="11"/>
  <c r="C122" i="11"/>
  <c r="C145" i="11"/>
  <c r="C221" i="11"/>
  <c r="D228" i="11"/>
  <c r="C294" i="11"/>
  <c r="C314" i="11"/>
  <c r="C328" i="11"/>
  <c r="C370" i="11"/>
  <c r="C377" i="11"/>
  <c r="D397" i="11"/>
  <c r="D403" i="11"/>
  <c r="D430" i="11"/>
  <c r="C442" i="11"/>
  <c r="D459" i="11"/>
  <c r="D486" i="11"/>
  <c r="C501" i="11"/>
  <c r="D511" i="11"/>
  <c r="C528" i="11"/>
  <c r="C542" i="11"/>
  <c r="D548" i="11"/>
  <c r="D568" i="11"/>
  <c r="C586" i="11"/>
  <c r="C99" i="11"/>
  <c r="D143" i="11"/>
  <c r="C138" i="11"/>
  <c r="D209" i="11"/>
  <c r="D226" i="11"/>
  <c r="D294" i="11"/>
  <c r="D314" i="11"/>
  <c r="C323" i="11"/>
  <c r="C329" i="11"/>
  <c r="D339" i="11"/>
  <c r="D367" i="11"/>
  <c r="C363" i="11"/>
  <c r="C386" i="11"/>
  <c r="D418" i="11"/>
  <c r="C426" i="11"/>
  <c r="D435" i="11"/>
  <c r="D483" i="11"/>
  <c r="D520" i="11"/>
  <c r="C536" i="11"/>
  <c r="C556" i="11"/>
  <c r="C571" i="11"/>
  <c r="C604" i="11"/>
  <c r="C419" i="11"/>
  <c r="C487" i="11"/>
  <c r="D541" i="11"/>
  <c r="D536" i="11"/>
  <c r="C543" i="11"/>
  <c r="C593" i="11"/>
  <c r="C55" i="11"/>
  <c r="C128" i="11"/>
  <c r="C302" i="11"/>
  <c r="C327" i="11"/>
  <c r="C384" i="11"/>
  <c r="C535" i="11"/>
  <c r="D37" i="11"/>
  <c r="D327" i="11"/>
  <c r="D555" i="11"/>
  <c r="D612" i="11"/>
  <c r="C107" i="11"/>
  <c r="D289" i="11"/>
  <c r="C295" i="11"/>
  <c r="C20" i="11"/>
  <c r="D35" i="11"/>
  <c r="C50" i="11"/>
  <c r="D71" i="11"/>
  <c r="D74" i="11"/>
  <c r="D100" i="11"/>
  <c r="D120" i="11"/>
  <c r="D131" i="11"/>
  <c r="C167" i="11"/>
  <c r="C191" i="11"/>
  <c r="C206" i="11"/>
  <c r="C239" i="11"/>
  <c r="D280" i="11"/>
  <c r="C277" i="11"/>
  <c r="D286" i="11"/>
  <c r="D336" i="11"/>
  <c r="C364" i="11"/>
  <c r="C372" i="11"/>
  <c r="C398" i="11"/>
  <c r="D465" i="11"/>
  <c r="C514" i="11"/>
  <c r="D45" i="11"/>
  <c r="D417" i="11"/>
  <c r="D444" i="11"/>
  <c r="C453" i="11"/>
  <c r="D517" i="11"/>
  <c r="D601" i="11"/>
  <c r="D610" i="11"/>
  <c r="D606" i="11"/>
  <c r="C312" i="11"/>
  <c r="C228" i="11"/>
  <c r="D320" i="11"/>
  <c r="D382" i="11"/>
  <c r="D384" i="11"/>
  <c r="D38" i="11"/>
  <c r="C33" i="11"/>
  <c r="D56" i="11"/>
  <c r="D247" i="11"/>
  <c r="D128" i="11"/>
  <c r="D235" i="11"/>
  <c r="C315" i="11"/>
  <c r="C378" i="11"/>
  <c r="D55" i="11"/>
  <c r="D116" i="11"/>
  <c r="D175" i="11"/>
  <c r="D211" i="11"/>
  <c r="D223" i="11"/>
  <c r="D309" i="11"/>
  <c r="D372" i="11"/>
  <c r="D33" i="11"/>
  <c r="D114" i="11"/>
  <c r="D153" i="11"/>
  <c r="D162" i="11"/>
  <c r="C183" i="11"/>
  <c r="D245" i="11"/>
  <c r="D310" i="11"/>
  <c r="D324" i="11"/>
  <c r="C405" i="11"/>
  <c r="D494" i="11"/>
  <c r="C489" i="11"/>
  <c r="D509" i="11"/>
  <c r="D527" i="11"/>
  <c r="C523" i="11"/>
  <c r="D550" i="11"/>
  <c r="D598" i="11"/>
  <c r="C618" i="11"/>
  <c r="D456" i="10"/>
  <c r="D40" i="10"/>
  <c r="C40" i="10"/>
  <c r="C127" i="10"/>
  <c r="C126" i="10"/>
  <c r="C230" i="10"/>
  <c r="C441" i="10"/>
  <c r="D452" i="10"/>
  <c r="D562" i="10"/>
  <c r="D573" i="10"/>
  <c r="D585" i="10"/>
  <c r="C22" i="10"/>
  <c r="D31" i="10"/>
  <c r="C191" i="10"/>
  <c r="C334" i="10"/>
  <c r="C184" i="10"/>
  <c r="C276" i="10"/>
  <c r="D353" i="10"/>
  <c r="D400" i="10"/>
  <c r="D507" i="10"/>
  <c r="C118" i="10"/>
  <c r="D138" i="10"/>
  <c r="C167" i="10"/>
  <c r="D179" i="10"/>
  <c r="D325" i="10"/>
  <c r="D546" i="10"/>
  <c r="C24" i="10"/>
  <c r="C71" i="10"/>
  <c r="D71" i="10"/>
  <c r="D129" i="10"/>
  <c r="C326" i="10"/>
  <c r="C335" i="10"/>
  <c r="D215" i="10"/>
  <c r="C215" i="10"/>
  <c r="D121" i="10"/>
  <c r="C386" i="10"/>
  <c r="D424" i="10"/>
  <c r="C424" i="10"/>
  <c r="D493" i="10"/>
  <c r="C17" i="10"/>
  <c r="D92" i="10"/>
  <c r="C150" i="10"/>
  <c r="D217" i="10"/>
  <c r="D253" i="10"/>
  <c r="D376" i="10"/>
  <c r="D405" i="10"/>
  <c r="C414" i="10"/>
  <c r="D435" i="10"/>
  <c r="C435" i="10"/>
  <c r="C590" i="10"/>
  <c r="D590" i="10"/>
  <c r="C313" i="10"/>
  <c r="D312" i="10"/>
  <c r="C312" i="10"/>
  <c r="D259" i="10"/>
  <c r="C247" i="10"/>
  <c r="D247" i="10"/>
  <c r="C350" i="10"/>
  <c r="D350" i="10"/>
  <c r="C466" i="10"/>
  <c r="D466" i="10"/>
  <c r="D514" i="10"/>
  <c r="C182" i="10"/>
  <c r="C284" i="10"/>
  <c r="C304" i="10"/>
  <c r="C515" i="10"/>
  <c r="C295" i="10"/>
  <c r="C400" i="10"/>
  <c r="D419" i="10"/>
  <c r="C498" i="10"/>
  <c r="C507" i="10"/>
  <c r="C563" i="10"/>
  <c r="C12" i="10"/>
  <c r="D51" i="10"/>
  <c r="C70" i="10"/>
  <c r="D127" i="10"/>
  <c r="D137" i="10"/>
  <c r="D175" i="10"/>
  <c r="D267" i="10"/>
  <c r="C286" i="10"/>
  <c r="D498" i="10"/>
  <c r="C23" i="10"/>
  <c r="D81" i="10"/>
  <c r="D193" i="10"/>
  <c r="D276" i="10"/>
  <c r="D297" i="10"/>
  <c r="C176" i="10"/>
  <c r="D194" i="10"/>
  <c r="D461" i="10"/>
  <c r="C72" i="10"/>
  <c r="D413" i="10"/>
  <c r="C16" i="10"/>
  <c r="C44" i="10"/>
  <c r="D73" i="10"/>
  <c r="D83" i="10"/>
  <c r="C92" i="10"/>
  <c r="C434" i="10"/>
  <c r="D446" i="10"/>
  <c r="D540" i="10"/>
  <c r="C540" i="10"/>
  <c r="D65" i="10"/>
  <c r="C162" i="10"/>
  <c r="D188" i="10"/>
  <c r="C262" i="10"/>
  <c r="D281" i="10"/>
  <c r="C144" i="10"/>
  <c r="D143" i="10"/>
  <c r="C13" i="10"/>
  <c r="D206" i="10"/>
  <c r="C206" i="10"/>
  <c r="D113" i="10"/>
  <c r="D273" i="10"/>
  <c r="D455" i="10"/>
  <c r="C465" i="10"/>
  <c r="D464" i="10"/>
  <c r="C464" i="10"/>
  <c r="C572" i="10"/>
  <c r="D581" i="10"/>
  <c r="D593" i="10"/>
  <c r="C59" i="10"/>
  <c r="C80" i="10"/>
  <c r="C97" i="10"/>
  <c r="D96" i="10"/>
  <c r="D118" i="10"/>
  <c r="C122" i="10"/>
  <c r="C163" i="10"/>
  <c r="D249" i="10"/>
  <c r="D338" i="10"/>
  <c r="C346" i="10"/>
  <c r="C354" i="10"/>
  <c r="D397" i="10"/>
  <c r="D412" i="10"/>
  <c r="C499" i="10"/>
  <c r="D57" i="10"/>
  <c r="C445" i="10"/>
  <c r="D444" i="10"/>
  <c r="C451" i="10"/>
  <c r="D483" i="10"/>
  <c r="C501" i="10"/>
  <c r="C500" i="10"/>
  <c r="D509" i="10"/>
  <c r="D534" i="10"/>
  <c r="D49" i="10"/>
  <c r="C104" i="10"/>
  <c r="C360" i="10"/>
  <c r="D547" i="10"/>
  <c r="C594" i="10"/>
  <c r="D105" i="10"/>
  <c r="D222" i="10"/>
  <c r="D257" i="10"/>
  <c r="D288" i="10"/>
  <c r="D345" i="10"/>
  <c r="D369" i="10"/>
  <c r="D445" i="10"/>
  <c r="D527" i="10"/>
  <c r="C535" i="10"/>
  <c r="C19" i="10"/>
  <c r="D35" i="10"/>
  <c r="C61" i="10"/>
  <c r="D89" i="10"/>
  <c r="D97" i="10"/>
  <c r="D126" i="10"/>
  <c r="D135" i="10"/>
  <c r="C146" i="10"/>
  <c r="C194" i="10"/>
  <c r="C202" i="10"/>
  <c r="D223" i="10"/>
  <c r="C234" i="10"/>
  <c r="C275" i="10"/>
  <c r="C307" i="10"/>
  <c r="D354" i="10"/>
  <c r="C430" i="10"/>
  <c r="D453" i="10"/>
  <c r="D474" i="10"/>
  <c r="C505" i="10"/>
  <c r="D512" i="10"/>
  <c r="D560" i="10"/>
  <c r="C578" i="10"/>
  <c r="D613" i="10"/>
  <c r="C547" i="10"/>
  <c r="C610" i="10"/>
  <c r="C86" i="10"/>
  <c r="D329" i="10"/>
  <c r="C359" i="10"/>
  <c r="D406" i="10"/>
  <c r="C467" i="10"/>
  <c r="C492" i="10"/>
  <c r="D112" i="10"/>
  <c r="C232" i="10"/>
  <c r="C272" i="10"/>
  <c r="D386" i="10"/>
  <c r="C444" i="10"/>
  <c r="C611" i="10"/>
  <c r="D78" i="10"/>
  <c r="D166" i="10"/>
  <c r="D178" i="10"/>
  <c r="C178" i="10"/>
  <c r="D476" i="10"/>
  <c r="C21" i="10"/>
  <c r="D20" i="10"/>
  <c r="C60" i="10"/>
  <c r="C114" i="10"/>
  <c r="C123" i="10"/>
  <c r="C147" i="10"/>
  <c r="C181" i="10"/>
  <c r="D192" i="10"/>
  <c r="C189" i="10"/>
  <c r="C203" i="10"/>
  <c r="C211" i="10"/>
  <c r="C218" i="10"/>
  <c r="D227" i="10"/>
  <c r="C235" i="10"/>
  <c r="C261" i="10"/>
  <c r="C274" i="10"/>
  <c r="D282" i="10"/>
  <c r="C290" i="10"/>
  <c r="C349" i="10"/>
  <c r="D371" i="10"/>
  <c r="D430" i="10"/>
  <c r="D475" i="10"/>
  <c r="D478" i="10"/>
  <c r="C478" i="10"/>
  <c r="D414" i="10"/>
  <c r="D506" i="10"/>
  <c r="C323" i="10"/>
  <c r="C402" i="10"/>
  <c r="C494" i="10"/>
  <c r="C523" i="10"/>
  <c r="C530" i="10"/>
  <c r="C550" i="10"/>
  <c r="C50" i="10"/>
  <c r="C77" i="10"/>
  <c r="C90" i="10"/>
  <c r="C164" i="10"/>
  <c r="C173" i="10"/>
  <c r="C193" i="10"/>
  <c r="D220" i="10"/>
  <c r="C250" i="10"/>
  <c r="D270" i="10"/>
  <c r="D327" i="10"/>
  <c r="C322" i="10"/>
  <c r="D342" i="10"/>
  <c r="C337" i="10"/>
  <c r="D402" i="10"/>
  <c r="C433" i="10"/>
  <c r="C453" i="10"/>
  <c r="D499" i="10"/>
  <c r="C495" i="10"/>
  <c r="D550" i="10"/>
  <c r="D571" i="10"/>
  <c r="C566" i="10"/>
  <c r="C591" i="10"/>
  <c r="C598" i="10"/>
  <c r="C486" i="10"/>
  <c r="D554" i="10"/>
  <c r="C342" i="10"/>
  <c r="D399" i="10"/>
  <c r="D431" i="10"/>
  <c r="D486" i="10"/>
  <c r="C582" i="10"/>
  <c r="D36" i="10"/>
  <c r="D50" i="10"/>
  <c r="C65" i="10"/>
  <c r="D76" i="10"/>
  <c r="D103" i="10"/>
  <c r="D146" i="10"/>
  <c r="C142" i="10"/>
  <c r="D219" i="10"/>
  <c r="C237" i="10"/>
  <c r="D263" i="10"/>
  <c r="C258" i="10"/>
  <c r="C315" i="10"/>
  <c r="D322" i="10"/>
  <c r="C330" i="10"/>
  <c r="C366" i="10"/>
  <c r="D432" i="10"/>
  <c r="C452" i="10"/>
  <c r="C481" i="10"/>
  <c r="C502" i="10"/>
  <c r="C511" i="10"/>
  <c r="C577" i="10"/>
  <c r="D599" i="10"/>
  <c r="D523" i="10"/>
  <c r="C553" i="10"/>
  <c r="C601" i="10"/>
  <c r="C609" i="10"/>
  <c r="C618" i="10"/>
  <c r="D178" i="9"/>
  <c r="C592" i="9"/>
  <c r="C78" i="9"/>
  <c r="C222" i="9"/>
  <c r="D45" i="9"/>
  <c r="D284" i="9"/>
  <c r="D58" i="9"/>
  <c r="C46" i="9"/>
  <c r="D46" i="9"/>
  <c r="C79" i="9"/>
  <c r="C194" i="9"/>
  <c r="C273" i="9"/>
  <c r="D410" i="9"/>
  <c r="D398" i="9"/>
  <c r="D469" i="9"/>
  <c r="C63" i="9"/>
  <c r="C499" i="9"/>
  <c r="D511" i="9"/>
  <c r="D588" i="9"/>
  <c r="C72" i="9"/>
  <c r="C611" i="9"/>
  <c r="D611" i="9"/>
  <c r="D72" i="9"/>
  <c r="C226" i="9"/>
  <c r="D494" i="9"/>
  <c r="D482" i="9"/>
  <c r="C90" i="9"/>
  <c r="C177" i="9"/>
  <c r="D237" i="9"/>
  <c r="D335" i="9"/>
  <c r="D347" i="9"/>
  <c r="C127" i="9"/>
  <c r="D127" i="9"/>
  <c r="D188" i="9"/>
  <c r="D247" i="9"/>
  <c r="C289" i="9"/>
  <c r="D453" i="9"/>
  <c r="C529" i="9"/>
  <c r="D529" i="9"/>
  <c r="C548" i="9"/>
  <c r="C15" i="9"/>
  <c r="D43" i="9"/>
  <c r="C51" i="9"/>
  <c r="D75" i="9"/>
  <c r="D83" i="9"/>
  <c r="C128" i="9"/>
  <c r="D259" i="9"/>
  <c r="C259" i="9"/>
  <c r="D269" i="9"/>
  <c r="D289" i="9"/>
  <c r="C329" i="9"/>
  <c r="C365" i="9"/>
  <c r="C403" i="9"/>
  <c r="D539" i="9"/>
  <c r="C543" i="9"/>
  <c r="D193" i="9"/>
  <c r="D243" i="9"/>
  <c r="D255" i="9"/>
  <c r="D272" i="9"/>
  <c r="C387" i="9"/>
  <c r="D546" i="9"/>
  <c r="D534" i="9"/>
  <c r="C133" i="9"/>
  <c r="D285" i="9"/>
  <c r="D479" i="9"/>
  <c r="D79" i="9"/>
  <c r="C325" i="9"/>
  <c r="C31" i="9"/>
  <c r="D450" i="9"/>
  <c r="C343" i="9"/>
  <c r="D44" i="9"/>
  <c r="C32" i="9"/>
  <c r="D82" i="9"/>
  <c r="C117" i="9"/>
  <c r="D51" i="9"/>
  <c r="C159" i="9"/>
  <c r="D180" i="9"/>
  <c r="D310" i="9"/>
  <c r="D329" i="9"/>
  <c r="D383" i="9"/>
  <c r="D403" i="9"/>
  <c r="C549" i="9"/>
  <c r="D559" i="9"/>
  <c r="C103" i="9"/>
  <c r="D115" i="9"/>
  <c r="D103" i="9"/>
  <c r="C458" i="9"/>
  <c r="C104" i="9"/>
  <c r="C152" i="9"/>
  <c r="D598" i="9"/>
  <c r="C30" i="9"/>
  <c r="C37" i="9"/>
  <c r="D95" i="9"/>
  <c r="D163" i="9"/>
  <c r="D233" i="9"/>
  <c r="D324" i="9"/>
  <c r="D387" i="9"/>
  <c r="C489" i="9"/>
  <c r="C534" i="9"/>
  <c r="C314" i="9"/>
  <c r="C577" i="9"/>
  <c r="D63" i="9"/>
  <c r="C80" i="9"/>
  <c r="C135" i="9"/>
  <c r="D275" i="9"/>
  <c r="D500" i="9"/>
  <c r="D107" i="9"/>
  <c r="C297" i="9"/>
  <c r="D354" i="9"/>
  <c r="C441" i="9"/>
  <c r="D518" i="9"/>
  <c r="C98" i="9"/>
  <c r="C126" i="9"/>
  <c r="C167" i="9"/>
  <c r="C482" i="9"/>
  <c r="C24" i="9"/>
  <c r="D50" i="9"/>
  <c r="D90" i="9"/>
  <c r="C118" i="9"/>
  <c r="C227" i="9"/>
  <c r="D227" i="9"/>
  <c r="D308" i="9"/>
  <c r="C335" i="9"/>
  <c r="C443" i="9"/>
  <c r="C84" i="9"/>
  <c r="D132" i="9"/>
  <c r="D120" i="9"/>
  <c r="C120" i="9"/>
  <c r="C142" i="9"/>
  <c r="C404" i="9"/>
  <c r="C59" i="9"/>
  <c r="D105" i="9"/>
  <c r="D263" i="9"/>
  <c r="C595" i="9"/>
  <c r="D38" i="9"/>
  <c r="C93" i="9"/>
  <c r="C359" i="9"/>
  <c r="D382" i="9"/>
  <c r="D547" i="9"/>
  <c r="C587" i="9"/>
  <c r="C81" i="9"/>
  <c r="D93" i="9"/>
  <c r="C260" i="9"/>
  <c r="D318" i="9"/>
  <c r="D501" i="9"/>
  <c r="C535" i="9"/>
  <c r="D543" i="9"/>
  <c r="D587" i="9"/>
  <c r="C35" i="9"/>
  <c r="C55" i="9"/>
  <c r="C62" i="9"/>
  <c r="C88" i="9"/>
  <c r="C115" i="9"/>
  <c r="C163" i="9"/>
  <c r="C182" i="9"/>
  <c r="D206" i="9"/>
  <c r="D245" i="9"/>
  <c r="C253" i="9"/>
  <c r="D273" i="9"/>
  <c r="C301" i="9"/>
  <c r="C318" i="9"/>
  <c r="D325" i="9"/>
  <c r="C368" i="9"/>
  <c r="C383" i="9"/>
  <c r="C392" i="9"/>
  <c r="D401" i="9"/>
  <c r="C407" i="9"/>
  <c r="C416" i="9"/>
  <c r="C426" i="9"/>
  <c r="C502" i="9"/>
  <c r="C523" i="9"/>
  <c r="C530" i="9"/>
  <c r="D535" i="9"/>
  <c r="C570" i="9"/>
  <c r="D597" i="9"/>
  <c r="C16" i="9"/>
  <c r="D92" i="9"/>
  <c r="D118" i="9"/>
  <c r="D371" i="9"/>
  <c r="D533" i="9"/>
  <c r="C578" i="9"/>
  <c r="C612" i="9"/>
  <c r="C33" i="9"/>
  <c r="C87" i="9"/>
  <c r="D106" i="9"/>
  <c r="D321" i="9"/>
  <c r="D386" i="9"/>
  <c r="D473" i="9"/>
  <c r="D613" i="9"/>
  <c r="D26" i="9"/>
  <c r="C47" i="9"/>
  <c r="C67" i="9"/>
  <c r="D87" i="9"/>
  <c r="C107" i="9"/>
  <c r="C189" i="9"/>
  <c r="C285" i="9"/>
  <c r="D489" i="9"/>
  <c r="D606" i="9"/>
  <c r="C82" i="9"/>
  <c r="C108" i="9"/>
  <c r="C207" i="9"/>
  <c r="C216" i="9"/>
  <c r="C223" i="9"/>
  <c r="C238" i="9"/>
  <c r="C261" i="9"/>
  <c r="C326" i="9"/>
  <c r="D381" i="9"/>
  <c r="C393" i="9"/>
  <c r="C401" i="9"/>
  <c r="D416" i="9"/>
  <c r="C445" i="9"/>
  <c r="C453" i="9"/>
  <c r="C470" i="9"/>
  <c r="D477" i="9"/>
  <c r="D502" i="9"/>
  <c r="D530" i="9"/>
  <c r="C545" i="9"/>
  <c r="C607" i="9"/>
  <c r="C25" i="9"/>
  <c r="D77" i="9"/>
  <c r="C299" i="9"/>
  <c r="C381" i="9"/>
  <c r="C40" i="9"/>
  <c r="D59" i="9"/>
  <c r="D249" i="9"/>
  <c r="D279" i="9"/>
  <c r="C522" i="9"/>
  <c r="C60" i="9"/>
  <c r="C237" i="9"/>
  <c r="C275" i="9"/>
  <c r="D374" i="9"/>
  <c r="D461" i="9"/>
  <c r="D563" i="9"/>
  <c r="D35" i="9"/>
  <c r="D55" i="9"/>
  <c r="C61" i="9"/>
  <c r="C94" i="9"/>
  <c r="D32" i="9"/>
  <c r="D61" i="9"/>
  <c r="D81" i="9"/>
  <c r="D108" i="9"/>
  <c r="C231" i="9"/>
  <c r="D238" i="9"/>
  <c r="D261" i="9"/>
  <c r="C294" i="9"/>
  <c r="C355" i="9"/>
  <c r="D369" i="9"/>
  <c r="D393" i="9"/>
  <c r="D421" i="9"/>
  <c r="C464" i="9"/>
  <c r="D470" i="9"/>
  <c r="D507" i="9"/>
  <c r="D618" i="9"/>
  <c r="D232" i="9"/>
  <c r="C394" i="9"/>
  <c r="D409" i="9"/>
  <c r="D430" i="9"/>
  <c r="D499" i="9"/>
  <c r="D175" i="8"/>
  <c r="C196" i="8"/>
  <c r="D208" i="8"/>
  <c r="D548" i="8"/>
  <c r="D79" i="8"/>
  <c r="C304" i="8"/>
  <c r="C528" i="8"/>
  <c r="C359" i="8"/>
  <c r="C431" i="8"/>
  <c r="C247" i="8"/>
  <c r="D431" i="8"/>
  <c r="D541" i="8"/>
  <c r="D529" i="8"/>
  <c r="D607" i="8"/>
  <c r="C131" i="8"/>
  <c r="C189" i="8"/>
  <c r="D188" i="8"/>
  <c r="C432" i="8"/>
  <c r="C529" i="8"/>
  <c r="C19" i="8"/>
  <c r="C179" i="8"/>
  <c r="D413" i="8"/>
  <c r="C424" i="8"/>
  <c r="D424" i="8"/>
  <c r="D463" i="8"/>
  <c r="C503" i="8"/>
  <c r="C609" i="8"/>
  <c r="C288" i="8"/>
  <c r="C513" i="8"/>
  <c r="C592" i="8"/>
  <c r="D41" i="8"/>
  <c r="D64" i="8"/>
  <c r="C64" i="8"/>
  <c r="D159" i="8"/>
  <c r="D613" i="8"/>
  <c r="D601" i="8"/>
  <c r="C147" i="8"/>
  <c r="C244" i="8"/>
  <c r="D336" i="8"/>
  <c r="D196" i="8"/>
  <c r="D91" i="8"/>
  <c r="C129" i="8"/>
  <c r="C315" i="8"/>
  <c r="C607" i="8"/>
  <c r="D40" i="8"/>
  <c r="C28" i="8"/>
  <c r="D28" i="8"/>
  <c r="D92" i="8"/>
  <c r="C148" i="8"/>
  <c r="C29" i="8"/>
  <c r="D39" i="8"/>
  <c r="C121" i="8"/>
  <c r="D452" i="8"/>
  <c r="C50" i="8"/>
  <c r="D141" i="8"/>
  <c r="D168" i="8"/>
  <c r="C297" i="8"/>
  <c r="C8" i="8"/>
  <c r="C74" i="8"/>
  <c r="D133" i="8"/>
  <c r="D179" i="8"/>
  <c r="D352" i="8"/>
  <c r="C352" i="8"/>
  <c r="C395" i="8"/>
  <c r="D31" i="8"/>
  <c r="D240" i="8"/>
  <c r="D524" i="8"/>
  <c r="C113" i="8"/>
  <c r="D152" i="8"/>
  <c r="C181" i="8"/>
  <c r="C212" i="8"/>
  <c r="C221" i="8"/>
  <c r="C281" i="8"/>
  <c r="C396" i="8"/>
  <c r="D407" i="8"/>
  <c r="C455" i="8"/>
  <c r="C54" i="8"/>
  <c r="D76" i="8"/>
  <c r="D184" i="8"/>
  <c r="C407" i="8"/>
  <c r="D417" i="8"/>
  <c r="D436" i="8"/>
  <c r="D487" i="8"/>
  <c r="C496" i="8"/>
  <c r="C33" i="8"/>
  <c r="C252" i="8"/>
  <c r="D457" i="8"/>
  <c r="C536" i="8"/>
  <c r="C618" i="8"/>
  <c r="C610" i="8"/>
  <c r="C173" i="8"/>
  <c r="C231" i="8"/>
  <c r="C273" i="8"/>
  <c r="C336" i="8"/>
  <c r="C425" i="8"/>
  <c r="C481" i="8"/>
  <c r="C497" i="8"/>
  <c r="C524" i="8"/>
  <c r="D124" i="8"/>
  <c r="C240" i="8"/>
  <c r="C353" i="8"/>
  <c r="D421" i="8"/>
  <c r="D433" i="8"/>
  <c r="C441" i="8"/>
  <c r="C465" i="8"/>
  <c r="C507" i="8"/>
  <c r="D33" i="8"/>
  <c r="D146" i="8"/>
  <c r="D284" i="8"/>
  <c r="D337" i="8"/>
  <c r="C364" i="8"/>
  <c r="C457" i="8"/>
  <c r="D551" i="8"/>
  <c r="D476" i="8"/>
  <c r="D504" i="8"/>
  <c r="D499" i="8"/>
  <c r="C532" i="8"/>
  <c r="D587" i="8"/>
  <c r="D604" i="8"/>
  <c r="C614" i="8"/>
  <c r="D618" i="8"/>
  <c r="C381" i="8"/>
  <c r="C585" i="8"/>
  <c r="C299" i="8"/>
  <c r="D316" i="8"/>
  <c r="C81" i="8"/>
  <c r="C91" i="8"/>
  <c r="C108" i="8"/>
  <c r="D277" i="8"/>
  <c r="C363" i="8"/>
  <c r="C569" i="8"/>
  <c r="C603" i="8"/>
  <c r="D112" i="8"/>
  <c r="C125" i="8"/>
  <c r="D202" i="8"/>
  <c r="C292" i="8"/>
  <c r="C401" i="8"/>
  <c r="D409" i="8"/>
  <c r="C433" i="8"/>
  <c r="C561" i="8"/>
  <c r="C116" i="8"/>
  <c r="D125" i="8"/>
  <c r="D157" i="8"/>
  <c r="D253" i="8"/>
  <c r="C257" i="8"/>
  <c r="C267" i="8"/>
  <c r="C275" i="8"/>
  <c r="C329" i="8"/>
  <c r="C337" i="8"/>
  <c r="C347" i="8"/>
  <c r="D367" i="8"/>
  <c r="D364" i="8"/>
  <c r="C393" i="8"/>
  <c r="C428" i="8"/>
  <c r="C22" i="8"/>
  <c r="C39" i="8"/>
  <c r="C58" i="8"/>
  <c r="D88" i="8"/>
  <c r="D156" i="8"/>
  <c r="C217" i="8"/>
  <c r="C241" i="8"/>
  <c r="C311" i="8"/>
  <c r="D387" i="8"/>
  <c r="C384" i="8"/>
  <c r="C411" i="8"/>
  <c r="D419" i="8"/>
  <c r="D428" i="8"/>
  <c r="D464" i="8"/>
  <c r="D500" i="8"/>
  <c r="D531" i="8"/>
  <c r="D553" i="8"/>
  <c r="C573" i="8"/>
  <c r="C589" i="8"/>
  <c r="C36" i="8"/>
  <c r="D193" i="8"/>
  <c r="C213" i="8"/>
  <c r="C164" i="8"/>
  <c r="D219" i="8"/>
  <c r="C55" i="8"/>
  <c r="D181" i="8"/>
  <c r="C207" i="8"/>
  <c r="C21" i="8"/>
  <c r="C75" i="8"/>
  <c r="C151" i="8"/>
  <c r="C190" i="8"/>
  <c r="D200" i="8"/>
  <c r="D207" i="8"/>
  <c r="D97" i="8"/>
  <c r="D103" i="8"/>
  <c r="D130" i="8"/>
  <c r="D149" i="8"/>
  <c r="C152" i="8"/>
  <c r="D171" i="8"/>
  <c r="D241" i="8"/>
  <c r="D315" i="8"/>
  <c r="D360" i="8"/>
  <c r="C365" i="8"/>
  <c r="C421" i="8"/>
  <c r="C452" i="8"/>
  <c r="D404" i="7"/>
  <c r="C40" i="7"/>
  <c r="C97" i="7"/>
  <c r="C107" i="7"/>
  <c r="C116" i="7"/>
  <c r="C143" i="7"/>
  <c r="C212" i="7"/>
  <c r="C317" i="7"/>
  <c r="C375" i="7"/>
  <c r="C383" i="7"/>
  <c r="C419" i="7"/>
  <c r="C451" i="7"/>
  <c r="D512" i="7"/>
  <c r="C594" i="7"/>
  <c r="D40" i="7"/>
  <c r="C73" i="7"/>
  <c r="D89" i="7"/>
  <c r="C144" i="7"/>
  <c r="D169" i="7"/>
  <c r="C196" i="7"/>
  <c r="C376" i="7"/>
  <c r="D32" i="7"/>
  <c r="C56" i="7"/>
  <c r="C108" i="7"/>
  <c r="D117" i="7"/>
  <c r="D140" i="7"/>
  <c r="D172" i="7"/>
  <c r="D200" i="7"/>
  <c r="D288" i="7"/>
  <c r="C292" i="7"/>
  <c r="C336" i="7"/>
  <c r="D373" i="7"/>
  <c r="D380" i="7"/>
  <c r="C405" i="7"/>
  <c r="C413" i="7"/>
  <c r="C420" i="7"/>
  <c r="C428" i="7"/>
  <c r="D449" i="7"/>
  <c r="C445" i="7"/>
  <c r="D477" i="7"/>
  <c r="C509" i="7"/>
  <c r="D540" i="7"/>
  <c r="C557" i="7"/>
  <c r="D580" i="7"/>
  <c r="C187" i="7"/>
  <c r="D265" i="7"/>
  <c r="C327" i="7"/>
  <c r="C49" i="7"/>
  <c r="C101" i="7"/>
  <c r="D108" i="7"/>
  <c r="C128" i="7"/>
  <c r="C223" i="7"/>
  <c r="D475" i="7"/>
  <c r="D568" i="7"/>
  <c r="C213" i="7"/>
  <c r="C41" i="7"/>
  <c r="D275" i="7"/>
  <c r="C301" i="7"/>
  <c r="C385" i="7"/>
  <c r="C471" i="7"/>
  <c r="C493" i="7"/>
  <c r="C604" i="7"/>
  <c r="C153" i="7"/>
  <c r="C20" i="7"/>
  <c r="D147" i="7"/>
  <c r="D183" i="7"/>
  <c r="D189" i="7"/>
  <c r="D215" i="7"/>
  <c r="C239" i="7"/>
  <c r="C276" i="7"/>
  <c r="C353" i="7"/>
  <c r="C361" i="7"/>
  <c r="D396" i="7"/>
  <c r="D405" i="7"/>
  <c r="D20" i="7"/>
  <c r="C27" i="7"/>
  <c r="C57" i="7"/>
  <c r="D95" i="7"/>
  <c r="D121" i="7"/>
  <c r="D128" i="7"/>
  <c r="C155" i="7"/>
  <c r="D171" i="7"/>
  <c r="D211" i="7"/>
  <c r="D276" i="7"/>
  <c r="C329" i="7"/>
  <c r="C347" i="7"/>
  <c r="D361" i="7"/>
  <c r="D397" i="7"/>
  <c r="C415" i="7"/>
  <c r="D433" i="7"/>
  <c r="C439" i="7"/>
  <c r="C464" i="7"/>
  <c r="C536" i="7"/>
  <c r="D581" i="7"/>
  <c r="C598" i="7"/>
  <c r="C549" i="7"/>
  <c r="D33" i="7"/>
  <c r="D75" i="7"/>
  <c r="D155" i="7"/>
  <c r="D329" i="7"/>
  <c r="D359" i="7"/>
  <c r="D387" i="7"/>
  <c r="D459" i="7"/>
  <c r="D485" i="7"/>
  <c r="D508" i="7"/>
  <c r="D541" i="7"/>
  <c r="D68" i="7"/>
  <c r="D84" i="7"/>
  <c r="D116" i="7"/>
  <c r="D181" i="7"/>
  <c r="D199" i="7"/>
  <c r="C440" i="7"/>
  <c r="D447" i="7"/>
  <c r="D44" i="7"/>
  <c r="C104" i="7"/>
  <c r="C156" i="7"/>
  <c r="D164" i="7"/>
  <c r="D212" i="7"/>
  <c r="C233" i="7"/>
  <c r="C249" i="7"/>
  <c r="C260" i="7"/>
  <c r="D283" i="7"/>
  <c r="C279" i="7"/>
  <c r="D287" i="7"/>
  <c r="D327" i="7"/>
  <c r="D348" i="7"/>
  <c r="C372" i="7"/>
  <c r="D411" i="7"/>
  <c r="C408" i="7"/>
  <c r="D423" i="7"/>
  <c r="C432" i="7"/>
  <c r="D460" i="7"/>
  <c r="C481" i="7"/>
  <c r="C497" i="7"/>
  <c r="D521" i="7"/>
  <c r="D572" i="7"/>
  <c r="C608" i="7"/>
  <c r="C39" i="7"/>
  <c r="C52" i="7"/>
  <c r="C69" i="7"/>
  <c r="C77" i="7"/>
  <c r="C123" i="7"/>
  <c r="D152" i="7"/>
  <c r="C149" i="7"/>
  <c r="D195" i="7"/>
  <c r="D253" i="7"/>
  <c r="D249" i="7"/>
  <c r="D273" i="7"/>
  <c r="C315" i="7"/>
  <c r="C324" i="7"/>
  <c r="C357" i="7"/>
  <c r="D385" i="7"/>
  <c r="C380" i="7"/>
  <c r="D412" i="7"/>
  <c r="D469" i="7"/>
  <c r="D585" i="7"/>
  <c r="C580" i="7"/>
  <c r="C591" i="7"/>
  <c r="C24" i="7"/>
  <c r="D96" i="7"/>
  <c r="D123" i="7"/>
  <c r="C272" i="7"/>
  <c r="C280" i="7"/>
  <c r="D315" i="7"/>
  <c r="C349" i="7"/>
  <c r="C424" i="7"/>
  <c r="D529" i="7"/>
  <c r="C610" i="7"/>
  <c r="C618" i="7"/>
  <c r="C308" i="6"/>
  <c r="D319" i="6"/>
  <c r="D307" i="6"/>
  <c r="C206" i="6"/>
  <c r="D543" i="6"/>
  <c r="C86" i="6"/>
  <c r="C185" i="6"/>
  <c r="C207" i="6"/>
  <c r="C426" i="6"/>
  <c r="D186" i="6"/>
  <c r="D350" i="6"/>
  <c r="C392" i="6"/>
  <c r="D68" i="6"/>
  <c r="C56" i="6"/>
  <c r="D56" i="6"/>
  <c r="C79" i="6"/>
  <c r="D91" i="6"/>
  <c r="C298" i="6"/>
  <c r="D92" i="6"/>
  <c r="D80" i="6"/>
  <c r="C80" i="6"/>
  <c r="C484" i="6"/>
  <c r="D494" i="6"/>
  <c r="C494" i="6"/>
  <c r="D611" i="6"/>
  <c r="C599" i="6"/>
  <c r="D599" i="6"/>
  <c r="D46" i="6"/>
  <c r="C145" i="6"/>
  <c r="C331" i="6"/>
  <c r="D343" i="6"/>
  <c r="D475" i="6"/>
  <c r="D495" i="6"/>
  <c r="D506" i="6"/>
  <c r="C146" i="6"/>
  <c r="D158" i="6"/>
  <c r="C485" i="6"/>
  <c r="C580" i="6"/>
  <c r="C590" i="6"/>
  <c r="C38" i="6"/>
  <c r="D147" i="6"/>
  <c r="C147" i="6"/>
  <c r="C235" i="6"/>
  <c r="C301" i="6"/>
  <c r="D552" i="6"/>
  <c r="D540" i="6"/>
  <c r="D39" i="6"/>
  <c r="C148" i="6"/>
  <c r="D235" i="6"/>
  <c r="C246" i="6"/>
  <c r="C257" i="6"/>
  <c r="C291" i="6"/>
  <c r="C581" i="6"/>
  <c r="C29" i="6"/>
  <c r="C39" i="6"/>
  <c r="D141" i="6"/>
  <c r="C129" i="6"/>
  <c r="D258" i="6"/>
  <c r="C281" i="6"/>
  <c r="C435" i="6"/>
  <c r="D447" i="6"/>
  <c r="D592" i="6"/>
  <c r="D531" i="6"/>
  <c r="D241" i="6"/>
  <c r="C229" i="6"/>
  <c r="C381" i="6"/>
  <c r="D86" i="6"/>
  <c r="D98" i="6"/>
  <c r="C186" i="6"/>
  <c r="C350" i="6"/>
  <c r="D416" i="6"/>
  <c r="C416" i="6"/>
  <c r="C436" i="6"/>
  <c r="D436" i="6"/>
  <c r="D574" i="6"/>
  <c r="C40" i="6"/>
  <c r="D302" i="6"/>
  <c r="C323" i="6"/>
  <c r="C230" i="6"/>
  <c r="D230" i="6"/>
  <c r="C293" i="6"/>
  <c r="C324" i="6"/>
  <c r="D375" i="6"/>
  <c r="C427" i="6"/>
  <c r="D479" i="6"/>
  <c r="C555" i="6"/>
  <c r="C613" i="6"/>
  <c r="C21" i="6"/>
  <c r="C32" i="6"/>
  <c r="D71" i="6"/>
  <c r="D120" i="6"/>
  <c r="D180" i="6"/>
  <c r="C357" i="6"/>
  <c r="D387" i="6"/>
  <c r="C408" i="6"/>
  <c r="C428" i="6"/>
  <c r="D428" i="6"/>
  <c r="D519" i="6"/>
  <c r="C507" i="6"/>
  <c r="C604" i="6"/>
  <c r="C12" i="6"/>
  <c r="C63" i="6"/>
  <c r="C274" i="6"/>
  <c r="C368" i="6"/>
  <c r="D408" i="6"/>
  <c r="C460" i="6"/>
  <c r="C499" i="6"/>
  <c r="C547" i="6"/>
  <c r="D604" i="6"/>
  <c r="C615" i="6"/>
  <c r="C44" i="6"/>
  <c r="D64" i="6"/>
  <c r="D122" i="6"/>
  <c r="C152" i="6"/>
  <c r="D242" i="6"/>
  <c r="C305" i="6"/>
  <c r="C315" i="6"/>
  <c r="D378" i="6"/>
  <c r="D440" i="6"/>
  <c r="D472" i="6"/>
  <c r="C539" i="6"/>
  <c r="C548" i="6"/>
  <c r="D24" i="6"/>
  <c r="D44" i="6"/>
  <c r="C64" i="6"/>
  <c r="D74" i="6"/>
  <c r="C103" i="6"/>
  <c r="D146" i="6"/>
  <c r="D152" i="6"/>
  <c r="C214" i="6"/>
  <c r="C359" i="6"/>
  <c r="D500" i="6"/>
  <c r="C500" i="6"/>
  <c r="C22" i="6"/>
  <c r="D125" i="6"/>
  <c r="C247" i="6"/>
  <c r="C479" i="6"/>
  <c r="C508" i="6"/>
  <c r="D516" i="6"/>
  <c r="C582" i="6"/>
  <c r="D93" i="6"/>
  <c r="C88" i="6"/>
  <c r="C130" i="6"/>
  <c r="D175" i="6"/>
  <c r="C238" i="6"/>
  <c r="D338" i="6"/>
  <c r="C360" i="6"/>
  <c r="C607" i="6"/>
  <c r="D127" i="6"/>
  <c r="C294" i="6"/>
  <c r="D334" i="6"/>
  <c r="C370" i="6"/>
  <c r="C396" i="6"/>
  <c r="C438" i="6"/>
  <c r="C525" i="6"/>
  <c r="D608" i="6"/>
  <c r="D53" i="6"/>
  <c r="D79" i="6"/>
  <c r="D111" i="6"/>
  <c r="C115" i="6"/>
  <c r="C157" i="6"/>
  <c r="D163" i="6"/>
  <c r="D193" i="6"/>
  <c r="C199" i="6"/>
  <c r="C208" i="6"/>
  <c r="D229" i="6"/>
  <c r="D224" i="6"/>
  <c r="D290" i="6"/>
  <c r="D299" i="6"/>
  <c r="C295" i="6"/>
  <c r="C302" i="6"/>
  <c r="D322" i="6"/>
  <c r="C318" i="6"/>
  <c r="D339" i="6"/>
  <c r="C387" i="6"/>
  <c r="C431" i="6"/>
  <c r="C454" i="6"/>
  <c r="D463" i="6"/>
  <c r="D485" i="6"/>
  <c r="D493" i="6"/>
  <c r="D522" i="6"/>
  <c r="C543" i="6"/>
  <c r="D589" i="6"/>
  <c r="C602" i="6"/>
  <c r="D618" i="6"/>
  <c r="C470" i="6"/>
  <c r="C591" i="6"/>
  <c r="C47" i="6"/>
  <c r="D196" i="6"/>
  <c r="D266" i="6"/>
  <c r="C351" i="6"/>
  <c r="C403" i="6"/>
  <c r="C452" i="6"/>
  <c r="C74" i="6"/>
  <c r="C352" i="6"/>
  <c r="C461" i="6"/>
  <c r="D151" i="6"/>
  <c r="C163" i="6"/>
  <c r="C231" i="6"/>
  <c r="C404" i="6"/>
  <c r="D446" i="6"/>
  <c r="D492" i="6"/>
  <c r="D37" i="6"/>
  <c r="C41" i="6"/>
  <c r="C75" i="6"/>
  <c r="D96" i="6"/>
  <c r="D102" i="6"/>
  <c r="C99" i="6"/>
  <c r="D115" i="6"/>
  <c r="C141" i="6"/>
  <c r="C165" i="6"/>
  <c r="D218" i="6"/>
  <c r="D245" i="6"/>
  <c r="C240" i="6"/>
  <c r="D281" i="6"/>
  <c r="C287" i="6"/>
  <c r="D295" i="6"/>
  <c r="D323" i="6"/>
  <c r="D358" i="6"/>
  <c r="C363" i="6"/>
  <c r="C379" i="6"/>
  <c r="D467" i="6"/>
  <c r="D508" i="6"/>
  <c r="C503" i="6"/>
  <c r="D548" i="6"/>
  <c r="D563" i="6"/>
  <c r="C578" i="6"/>
  <c r="D598" i="6"/>
  <c r="D594" i="6"/>
  <c r="D602" i="6"/>
  <c r="D389" i="6"/>
  <c r="C445" i="6"/>
  <c r="D498" i="6"/>
  <c r="C98" i="6"/>
  <c r="C122" i="6"/>
  <c r="D381" i="6"/>
  <c r="C377" i="6"/>
  <c r="D403" i="6"/>
  <c r="D452" i="6"/>
  <c r="D507" i="6"/>
  <c r="C592" i="6"/>
  <c r="C82" i="6"/>
  <c r="D170" i="6"/>
  <c r="C224" i="6"/>
  <c r="C326" i="6"/>
  <c r="D360" i="6"/>
  <c r="C488" i="6"/>
  <c r="C495" i="6"/>
  <c r="D54" i="6"/>
  <c r="D99" i="6"/>
  <c r="D108" i="6"/>
  <c r="C116" i="6"/>
  <c r="C164" i="6"/>
  <c r="C209" i="6"/>
  <c r="C269" i="6"/>
  <c r="D287" i="6"/>
  <c r="C303" i="6"/>
  <c r="D341" i="6"/>
  <c r="D348" i="6"/>
  <c r="D367" i="6"/>
  <c r="D524" i="6"/>
  <c r="D572" i="6"/>
  <c r="D582" i="6"/>
  <c r="D591" i="6"/>
  <c r="D407" i="4"/>
  <c r="D157" i="4"/>
  <c r="D145" i="4"/>
  <c r="C145" i="4"/>
  <c r="C19" i="4"/>
  <c r="C93" i="4"/>
  <c r="D539" i="4"/>
  <c r="C572" i="4"/>
  <c r="D125" i="4"/>
  <c r="D167" i="4"/>
  <c r="C167" i="4"/>
  <c r="C435" i="4"/>
  <c r="D583" i="4"/>
  <c r="D605" i="4"/>
  <c r="D33" i="4"/>
  <c r="C197" i="4"/>
  <c r="C345" i="4"/>
  <c r="D345" i="4"/>
  <c r="C427" i="4"/>
  <c r="C292" i="4"/>
  <c r="C478" i="4"/>
  <c r="C585" i="4"/>
  <c r="D585" i="4"/>
  <c r="C12" i="4"/>
  <c r="C54" i="4"/>
  <c r="C189" i="4"/>
  <c r="C198" i="4"/>
  <c r="D438" i="4"/>
  <c r="C449" i="4"/>
  <c r="D567" i="4"/>
  <c r="D555" i="4"/>
  <c r="C55" i="4"/>
  <c r="D55" i="4"/>
  <c r="D98" i="4"/>
  <c r="D189" i="4"/>
  <c r="C283" i="4"/>
  <c r="D294" i="4"/>
  <c r="C337" i="4"/>
  <c r="C378" i="4"/>
  <c r="D462" i="4"/>
  <c r="D450" i="4"/>
  <c r="C450" i="4"/>
  <c r="D43" i="4"/>
  <c r="D31" i="4"/>
  <c r="D146" i="4"/>
  <c r="D177" i="4"/>
  <c r="D270" i="4"/>
  <c r="D258" i="4"/>
  <c r="D148" i="4"/>
  <c r="C136" i="4"/>
  <c r="C434" i="4"/>
  <c r="C10" i="4"/>
  <c r="C126" i="4"/>
  <c r="D179" i="4"/>
  <c r="C457" i="4"/>
  <c r="C617" i="4"/>
  <c r="D22" i="4"/>
  <c r="D439" i="4"/>
  <c r="D524" i="4"/>
  <c r="C512" i="4"/>
  <c r="D610" i="4"/>
  <c r="C610" i="4"/>
  <c r="C264" i="4"/>
  <c r="D90" i="4"/>
  <c r="D102" i="4"/>
  <c r="D187" i="4"/>
  <c r="D175" i="4"/>
  <c r="C307" i="4"/>
  <c r="C380" i="4"/>
  <c r="D421" i="4"/>
  <c r="C441" i="4"/>
  <c r="C473" i="4"/>
  <c r="C504" i="4"/>
  <c r="D111" i="4"/>
  <c r="D557" i="4"/>
  <c r="D92" i="4"/>
  <c r="D307" i="4"/>
  <c r="C618" i="4"/>
  <c r="C465" i="4"/>
  <c r="C109" i="4"/>
  <c r="D217" i="4"/>
  <c r="C250" i="4"/>
  <c r="C338" i="4"/>
  <c r="D465" i="4"/>
  <c r="D505" i="4"/>
  <c r="C546" i="4"/>
  <c r="C127" i="4"/>
  <c r="C217" i="4"/>
  <c r="C302" i="4"/>
  <c r="D531" i="4"/>
  <c r="C41" i="4"/>
  <c r="D101" i="4"/>
  <c r="C162" i="4"/>
  <c r="D311" i="4"/>
  <c r="D449" i="4"/>
  <c r="D443" i="4"/>
  <c r="C506" i="4"/>
  <c r="C565" i="4"/>
  <c r="C573" i="4"/>
  <c r="C581" i="4"/>
  <c r="C587" i="4"/>
  <c r="C612" i="4"/>
  <c r="D54" i="4"/>
  <c r="C66" i="4"/>
  <c r="D77" i="4"/>
  <c r="D86" i="4"/>
  <c r="C94" i="4"/>
  <c r="C111" i="4"/>
  <c r="C139" i="4"/>
  <c r="C146" i="4"/>
  <c r="D169" i="4"/>
  <c r="C186" i="4"/>
  <c r="D205" i="4"/>
  <c r="D231" i="4"/>
  <c r="D240" i="4"/>
  <c r="C294" i="4"/>
  <c r="C355" i="4"/>
  <c r="D365" i="4"/>
  <c r="C390" i="4"/>
  <c r="C399" i="4"/>
  <c r="D422" i="4"/>
  <c r="C437" i="4"/>
  <c r="D480" i="4"/>
  <c r="C498" i="4"/>
  <c r="D528" i="4"/>
  <c r="D545" i="4"/>
  <c r="D565" i="4"/>
  <c r="C595" i="4"/>
  <c r="D616" i="4"/>
  <c r="C461" i="4"/>
  <c r="D502" i="4"/>
  <c r="D499" i="4"/>
  <c r="C566" i="4"/>
  <c r="D586" i="4"/>
  <c r="C613" i="4"/>
  <c r="C161" i="4"/>
  <c r="C199" i="4"/>
  <c r="D538" i="4"/>
  <c r="C594" i="4"/>
  <c r="D105" i="4"/>
  <c r="C101" i="4"/>
  <c r="D174" i="4"/>
  <c r="C293" i="4"/>
  <c r="C436" i="4"/>
  <c r="C33" i="4"/>
  <c r="C85" i="4"/>
  <c r="D138" i="4"/>
  <c r="C200" i="4"/>
  <c r="C210" i="4"/>
  <c r="D257" i="4"/>
  <c r="C285" i="4"/>
  <c r="D389" i="4"/>
  <c r="D51" i="4"/>
  <c r="D249" i="4"/>
  <c r="D283" i="4"/>
  <c r="D353" i="4"/>
  <c r="C26" i="4"/>
  <c r="C51" i="4"/>
  <c r="D91" i="4"/>
  <c r="C163" i="4"/>
  <c r="D211" i="4"/>
  <c r="D221" i="4"/>
  <c r="C271" i="4"/>
  <c r="D292" i="4"/>
  <c r="D295" i="4"/>
  <c r="D318" i="4"/>
  <c r="D336" i="4"/>
  <c r="C333" i="4"/>
  <c r="C341" i="4"/>
  <c r="D379" i="4"/>
  <c r="C407" i="4"/>
  <c r="D436" i="4"/>
  <c r="C438" i="4"/>
  <c r="D458" i="4"/>
  <c r="D461" i="4"/>
  <c r="C483" i="4"/>
  <c r="C490" i="4"/>
  <c r="D512" i="4"/>
  <c r="D509" i="4"/>
  <c r="D533" i="4"/>
  <c r="D554" i="4"/>
  <c r="D609" i="4"/>
  <c r="D618" i="4"/>
  <c r="C190" i="4"/>
  <c r="D243" i="4"/>
  <c r="D250" i="4"/>
  <c r="C346" i="4"/>
  <c r="C522" i="4"/>
  <c r="C177" i="4"/>
  <c r="C218" i="4"/>
  <c r="D346" i="4"/>
  <c r="C489" i="4"/>
  <c r="C58" i="4"/>
  <c r="D121" i="4"/>
  <c r="C211" i="4"/>
  <c r="D48" i="4"/>
  <c r="C52" i="4"/>
  <c r="C79" i="4"/>
  <c r="C113" i="4"/>
  <c r="C141" i="4"/>
  <c r="C187" i="4"/>
  <c r="D195" i="4"/>
  <c r="D224" i="4"/>
  <c r="C222" i="4"/>
  <c r="D284" i="4"/>
  <c r="C280" i="4"/>
  <c r="D301" i="4"/>
  <c r="C306" i="4"/>
  <c r="D337" i="4"/>
  <c r="D341" i="4"/>
  <c r="C367" i="4"/>
  <c r="C393" i="4"/>
  <c r="D445" i="4"/>
  <c r="D467" i="4"/>
  <c r="C462" i="4"/>
  <c r="D470" i="4"/>
  <c r="C484" i="4"/>
  <c r="D490" i="4"/>
  <c r="C500" i="4"/>
  <c r="D551" i="4"/>
  <c r="D580" i="4"/>
  <c r="D602" i="4"/>
  <c r="C521" i="4"/>
  <c r="C151" i="4"/>
  <c r="C209" i="4"/>
  <c r="C301" i="4"/>
  <c r="D441" i="4"/>
  <c r="C40" i="4"/>
  <c r="D199" i="4"/>
  <c r="D338" i="4"/>
  <c r="C389" i="4"/>
  <c r="C421" i="4"/>
  <c r="C429" i="4"/>
  <c r="C505" i="4"/>
  <c r="C23" i="4"/>
  <c r="C354" i="4"/>
  <c r="D67" i="4"/>
  <c r="C102" i="4"/>
  <c r="D198" i="4"/>
  <c r="D232" i="4"/>
  <c r="D245" i="4"/>
  <c r="C347" i="4"/>
  <c r="D427" i="4"/>
  <c r="D65" i="4"/>
  <c r="D79" i="4"/>
  <c r="D126" i="4"/>
  <c r="D136" i="4"/>
  <c r="D161" i="4"/>
  <c r="D192" i="4"/>
  <c r="D235" i="4"/>
  <c r="D259" i="4"/>
  <c r="C263" i="4"/>
  <c r="C272" i="4"/>
  <c r="D293" i="4"/>
  <c r="C289" i="4"/>
  <c r="C297" i="4"/>
  <c r="D306" i="4"/>
  <c r="C325" i="4"/>
  <c r="C334" i="4"/>
  <c r="D354" i="4"/>
  <c r="D362" i="4"/>
  <c r="D397" i="4"/>
  <c r="C401" i="4"/>
  <c r="D420" i="4"/>
  <c r="D437" i="4"/>
  <c r="C433" i="4"/>
  <c r="D451" i="4"/>
  <c r="C455" i="4"/>
  <c r="D475" i="4"/>
  <c r="D477" i="4"/>
  <c r="D497" i="4"/>
  <c r="D534" i="4"/>
  <c r="C568" i="4"/>
  <c r="C590" i="4"/>
  <c r="D611" i="4"/>
  <c r="C757" i="3"/>
  <c r="C1026" i="3"/>
  <c r="C1176" i="3"/>
  <c r="C484" i="3"/>
  <c r="C604" i="3"/>
  <c r="C909" i="3"/>
  <c r="C1236" i="3"/>
  <c r="C64" i="3"/>
  <c r="C136" i="3"/>
  <c r="C172" i="3"/>
  <c r="C542" i="3"/>
  <c r="C883" i="3"/>
  <c r="C244" i="3"/>
  <c r="C519" i="3"/>
  <c r="C1037" i="3"/>
  <c r="C496" i="3"/>
  <c r="C568" i="3"/>
  <c r="C850" i="3"/>
  <c r="C1166" i="3"/>
  <c r="C20" i="3"/>
  <c r="C294" i="3"/>
  <c r="C735" i="3"/>
  <c r="C816" i="3"/>
  <c r="C922" i="3"/>
  <c r="C1144" i="3"/>
  <c r="C1190" i="3"/>
  <c r="V1213" i="3"/>
  <c r="W1213" i="3" s="1"/>
  <c r="X1213" i="3" s="1"/>
  <c r="X1214" i="3" s="1"/>
  <c r="T1214" i="3" s="1"/>
  <c r="AH1190" i="3" s="1"/>
  <c r="C712" i="3"/>
  <c r="C1191" i="3"/>
  <c r="C81" i="3"/>
  <c r="C165" i="3"/>
  <c r="C619" i="3"/>
  <c r="C970" i="3"/>
  <c r="C1065" i="3"/>
  <c r="C1123" i="3"/>
  <c r="C1146" i="3"/>
  <c r="C440" i="3"/>
  <c r="C796" i="3"/>
  <c r="C854" i="3"/>
  <c r="C971" i="3"/>
  <c r="C1007" i="3"/>
  <c r="C1158" i="3"/>
  <c r="C442" i="3"/>
  <c r="D449" i="3" s="1"/>
  <c r="C669" i="3"/>
  <c r="C692" i="3"/>
  <c r="C751" i="3"/>
  <c r="C809" i="3"/>
  <c r="D820" i="3" s="1"/>
  <c r="C961" i="3"/>
  <c r="C1090" i="3"/>
  <c r="C1126" i="3"/>
  <c r="C1137" i="3"/>
  <c r="C1160" i="3"/>
  <c r="C1206" i="3"/>
  <c r="C1253" i="3"/>
  <c r="C1252" i="3"/>
  <c r="C756" i="3"/>
  <c r="C292" i="3"/>
  <c r="D300" i="3" s="1"/>
  <c r="C640" i="3"/>
  <c r="C698" i="3"/>
  <c r="C734" i="3"/>
  <c r="C1074" i="3"/>
  <c r="C1132" i="3"/>
  <c r="C689" i="3"/>
  <c r="C1017" i="3"/>
  <c r="C260" i="3"/>
  <c r="C523" i="3"/>
  <c r="C818" i="3"/>
  <c r="C1041" i="3"/>
  <c r="C180" i="3"/>
  <c r="C444" i="3"/>
  <c r="D455" i="3" s="1"/>
  <c r="C1211" i="3"/>
  <c r="C1244" i="3"/>
  <c r="D1251" i="3" s="1"/>
  <c r="C888" i="3"/>
  <c r="C1088" i="3"/>
  <c r="C84" i="3"/>
  <c r="C1009" i="3"/>
  <c r="C1215" i="3"/>
  <c r="C26" i="3"/>
  <c r="C205" i="3"/>
  <c r="C216" i="3"/>
  <c r="C228" i="3"/>
  <c r="D237" i="3" s="1"/>
  <c r="C240" i="3"/>
  <c r="C252" i="3"/>
  <c r="C264" i="3"/>
  <c r="C288" i="3"/>
  <c r="C336" i="3"/>
  <c r="C408" i="3"/>
  <c r="C986" i="3"/>
  <c r="C1045" i="3"/>
  <c r="C1057" i="3"/>
  <c r="C1243" i="3"/>
  <c r="C27" i="3"/>
  <c r="C110" i="3"/>
  <c r="C182" i="3"/>
  <c r="C265" i="3"/>
  <c r="C313" i="3"/>
  <c r="C385" i="3"/>
  <c r="C456" i="3"/>
  <c r="C480" i="3"/>
  <c r="C528" i="3"/>
  <c r="C540" i="3"/>
  <c r="C552" i="3"/>
  <c r="C588" i="3"/>
  <c r="C624" i="3"/>
  <c r="C648" i="3"/>
  <c r="C660" i="3"/>
  <c r="C683" i="3"/>
  <c r="C718" i="3"/>
  <c r="C905" i="3"/>
  <c r="C1081" i="3"/>
  <c r="C1162" i="3"/>
  <c r="C254" i="3"/>
  <c r="C326" i="3"/>
  <c r="C398" i="3"/>
  <c r="C673" i="3"/>
  <c r="C672" i="3"/>
  <c r="C684" i="3"/>
  <c r="C779" i="3"/>
  <c r="C813" i="3"/>
  <c r="C918" i="3"/>
  <c r="C1130" i="3"/>
  <c r="C1152" i="3"/>
  <c r="C1163" i="3"/>
  <c r="C1205" i="3"/>
  <c r="C1224" i="3"/>
  <c r="C410" i="3"/>
  <c r="C72" i="3"/>
  <c r="C246" i="3"/>
  <c r="C234" i="3"/>
  <c r="C808" i="3"/>
  <c r="D819" i="3" s="1"/>
  <c r="C1188" i="3"/>
  <c r="C224" i="3"/>
  <c r="D228" i="3" s="1"/>
  <c r="C390" i="3"/>
  <c r="C378" i="3"/>
  <c r="C903" i="3"/>
  <c r="D914" i="3" s="1"/>
  <c r="C1134" i="3"/>
  <c r="C29" i="3"/>
  <c r="C450" i="3"/>
  <c r="C122" i="3"/>
  <c r="C710" i="3"/>
  <c r="C1025" i="3"/>
  <c r="C1013" i="3"/>
  <c r="C174" i="3"/>
  <c r="C162" i="3"/>
  <c r="C318" i="3"/>
  <c r="C306" i="3"/>
  <c r="C1168" i="3"/>
  <c r="C1156" i="3"/>
  <c r="C144" i="3"/>
  <c r="C368" i="3"/>
  <c r="C626" i="3"/>
  <c r="C1021" i="3"/>
  <c r="V1200" i="3"/>
  <c r="V1197" i="3"/>
  <c r="C1136" i="3"/>
  <c r="C194" i="3"/>
  <c r="C606" i="3"/>
  <c r="C594" i="3"/>
  <c r="C722" i="3"/>
  <c r="C266" i="3"/>
  <c r="C512" i="3"/>
  <c r="C851" i="3"/>
  <c r="C839" i="3"/>
  <c r="V1201" i="3"/>
  <c r="V1204" i="3"/>
  <c r="C152" i="3"/>
  <c r="C576" i="3"/>
  <c r="D587" i="3" s="1"/>
  <c r="C494" i="3"/>
  <c r="D500" i="3" s="1"/>
  <c r="C482" i="3"/>
  <c r="C1053" i="3"/>
  <c r="C50" i="3"/>
  <c r="C308" i="3"/>
  <c r="C296" i="3"/>
  <c r="C40" i="3"/>
  <c r="C1102" i="3"/>
  <c r="C534" i="3"/>
  <c r="C522" i="3"/>
  <c r="D533" i="3" s="1"/>
  <c r="C90" i="3"/>
  <c r="C80" i="3"/>
  <c r="D91" i="3" s="1"/>
  <c r="C338" i="3"/>
  <c r="C584" i="3"/>
  <c r="C991" i="3"/>
  <c r="C1015" i="3"/>
  <c r="C1003" i="3"/>
  <c r="C134" i="3"/>
  <c r="C680" i="3"/>
  <c r="C1178" i="3"/>
  <c r="C206" i="3"/>
  <c r="C52" i="3"/>
  <c r="D61" i="3" s="1"/>
  <c r="C1098" i="3"/>
  <c r="C1086" i="3"/>
  <c r="C927" i="3"/>
  <c r="D934" i="3" s="1"/>
  <c r="C950" i="3"/>
  <c r="C638" i="3"/>
  <c r="C700" i="3"/>
  <c r="C744" i="3"/>
  <c r="C786" i="3"/>
  <c r="C1115" i="3"/>
  <c r="C124" i="3"/>
  <c r="C350" i="3"/>
  <c r="C799" i="3"/>
  <c r="C724" i="3"/>
  <c r="C536" i="3"/>
  <c r="C768" i="3"/>
  <c r="C866" i="3"/>
  <c r="C954" i="3"/>
  <c r="C1106" i="3"/>
  <c r="C652" i="3"/>
  <c r="D660" i="3" s="1"/>
  <c r="C662" i="3"/>
  <c r="C943" i="3"/>
  <c r="C1139" i="3"/>
  <c r="C37" i="3"/>
  <c r="C364" i="3"/>
  <c r="C508" i="3"/>
  <c r="C580" i="3"/>
  <c r="C632" i="3"/>
  <c r="D636" i="3" s="1"/>
  <c r="C1030" i="3"/>
  <c r="C1096" i="3"/>
  <c r="C1200" i="3"/>
  <c r="C25" i="3"/>
  <c r="C67" i="3"/>
  <c r="C76" i="3"/>
  <c r="C98" i="3"/>
  <c r="C86" i="3"/>
  <c r="C109" i="3"/>
  <c r="C130" i="3"/>
  <c r="C150" i="3"/>
  <c r="C161" i="3"/>
  <c r="D164" i="3" s="1"/>
  <c r="C168" i="3"/>
  <c r="C201" i="3"/>
  <c r="C212" i="3"/>
  <c r="D223" i="3" s="1"/>
  <c r="C222" i="3"/>
  <c r="C233" i="3"/>
  <c r="C230" i="3"/>
  <c r="C273" i="3"/>
  <c r="C284" i="3"/>
  <c r="C293" i="3"/>
  <c r="C302" i="3"/>
  <c r="C312" i="3"/>
  <c r="C346" i="3"/>
  <c r="C344" i="3"/>
  <c r="C366" i="3"/>
  <c r="C377" i="3"/>
  <c r="C374" i="3"/>
  <c r="C384" i="3"/>
  <c r="C417" i="3"/>
  <c r="C428" i="3"/>
  <c r="C469" i="3"/>
  <c r="C490" i="3"/>
  <c r="C488" i="3"/>
  <c r="C510" i="3"/>
  <c r="C521" i="3"/>
  <c r="C518" i="3"/>
  <c r="C561" i="3"/>
  <c r="C560" i="3"/>
  <c r="C582" i="3"/>
  <c r="C593" i="3"/>
  <c r="C590" i="3"/>
  <c r="C613" i="3"/>
  <c r="C635" i="3"/>
  <c r="C645" i="3"/>
  <c r="C655" i="3"/>
  <c r="C825" i="3"/>
  <c r="C836" i="3"/>
  <c r="C847" i="3"/>
  <c r="C870" i="3"/>
  <c r="C868" i="3"/>
  <c r="C901" i="3"/>
  <c r="C923" i="3"/>
  <c r="C969" i="3"/>
  <c r="C967" i="3"/>
  <c r="C990" i="3"/>
  <c r="C1000" i="3"/>
  <c r="C1011" i="3"/>
  <c r="C1018" i="3"/>
  <c r="C1077" i="3"/>
  <c r="C554" i="3"/>
  <c r="C938" i="3"/>
  <c r="C432" i="3"/>
  <c r="C628" i="3"/>
  <c r="C340" i="3"/>
  <c r="C434" i="3"/>
  <c r="C422" i="3"/>
  <c r="C830" i="3"/>
  <c r="C895" i="3"/>
  <c r="C1073" i="3"/>
  <c r="C1092" i="3"/>
  <c r="C1116" i="3"/>
  <c r="C1127" i="3"/>
  <c r="C22" i="3"/>
  <c r="C62" i="3"/>
  <c r="C196" i="3"/>
  <c r="D206" i="3" s="1"/>
  <c r="C278" i="3"/>
  <c r="C778" i="3"/>
  <c r="C1217" i="3"/>
  <c r="C32" i="3"/>
  <c r="C300" i="3"/>
  <c r="C800" i="3"/>
  <c r="C208" i="3"/>
  <c r="C436" i="3"/>
  <c r="D446" i="3" s="1"/>
  <c r="C955" i="3"/>
  <c r="C1231" i="3"/>
  <c r="C446" i="3"/>
  <c r="D456" i="3" s="1"/>
  <c r="C600" i="3"/>
  <c r="C57" i="3"/>
  <c r="C68" i="3"/>
  <c r="C56" i="3"/>
  <c r="C131" i="3"/>
  <c r="C141" i="3"/>
  <c r="C181" i="3"/>
  <c r="C202" i="3"/>
  <c r="D209" i="3" s="1"/>
  <c r="C253" i="3"/>
  <c r="C274" i="3"/>
  <c r="C305" i="3"/>
  <c r="C347" i="3"/>
  <c r="C357" i="3"/>
  <c r="C397" i="3"/>
  <c r="C418" i="3"/>
  <c r="C451" i="3"/>
  <c r="C468" i="3"/>
  <c r="D476" i="3" s="1"/>
  <c r="C491" i="3"/>
  <c r="C501" i="3"/>
  <c r="D510" i="3" s="1"/>
  <c r="C541" i="3"/>
  <c r="D549" i="3" s="1"/>
  <c r="C573" i="3"/>
  <c r="C667" i="3"/>
  <c r="C677" i="3"/>
  <c r="C826" i="3"/>
  <c r="C1022" i="3"/>
  <c r="C1040" i="3"/>
  <c r="C1069" i="3"/>
  <c r="C1165" i="3"/>
  <c r="C1189" i="3"/>
  <c r="C1222" i="3"/>
  <c r="C1167" i="3"/>
  <c r="C360" i="3"/>
  <c r="C556" i="3"/>
  <c r="C566" i="3"/>
  <c r="C104" i="3"/>
  <c r="D113" i="3" s="1"/>
  <c r="C268" i="3"/>
  <c r="C332" i="3"/>
  <c r="C320" i="3"/>
  <c r="C464" i="3"/>
  <c r="C608" i="3"/>
  <c r="C896" i="3"/>
  <c r="C1128" i="3"/>
  <c r="D1138" i="3" s="1"/>
  <c r="C1198" i="3"/>
  <c r="C1251" i="3"/>
  <c r="C176" i="3"/>
  <c r="C248" i="3"/>
  <c r="C1242" i="3"/>
  <c r="C1254" i="3"/>
  <c r="C811" i="3"/>
  <c r="C96" i="3"/>
  <c r="C28" i="3"/>
  <c r="C69" i="3"/>
  <c r="C79" i="3"/>
  <c r="C111" i="3"/>
  <c r="C121" i="3"/>
  <c r="C132" i="3"/>
  <c r="C142" i="3"/>
  <c r="C163" i="3"/>
  <c r="C203" i="3"/>
  <c r="C213" i="3"/>
  <c r="D224" i="3" s="1"/>
  <c r="C235" i="3"/>
  <c r="C275" i="3"/>
  <c r="C285" i="3"/>
  <c r="C295" i="3"/>
  <c r="C337" i="3"/>
  <c r="C358" i="3"/>
  <c r="D366" i="3" s="1"/>
  <c r="C379" i="3"/>
  <c r="C419" i="3"/>
  <c r="C429" i="3"/>
  <c r="C461" i="3"/>
  <c r="C471" i="3"/>
  <c r="C481" i="3"/>
  <c r="C502" i="3"/>
  <c r="C563" i="3"/>
  <c r="C574" i="3"/>
  <c r="C595" i="3"/>
  <c r="C615" i="3"/>
  <c r="C637" i="3"/>
  <c r="C657" i="3"/>
  <c r="D662" i="3" s="1"/>
  <c r="C668" i="3"/>
  <c r="C656" i="3"/>
  <c r="C731" i="3"/>
  <c r="C742" i="3"/>
  <c r="C774" i="3"/>
  <c r="C817" i="3"/>
  <c r="C849" i="3"/>
  <c r="C871" i="3"/>
  <c r="C893" i="3"/>
  <c r="C902" i="3"/>
  <c r="C925" i="3"/>
  <c r="C936" i="3"/>
  <c r="C981" i="3"/>
  <c r="C1049" i="3"/>
  <c r="C1155" i="3"/>
  <c r="C1154" i="3"/>
  <c r="C1196" i="3"/>
  <c r="C1201" i="3"/>
  <c r="C1220" i="3"/>
  <c r="C1208" i="3"/>
  <c r="C696" i="3"/>
  <c r="C740" i="3"/>
  <c r="C782" i="3"/>
  <c r="C995" i="3"/>
  <c r="C1035" i="3"/>
  <c r="C1044" i="3"/>
  <c r="C1062" i="3"/>
  <c r="C1072" i="3"/>
  <c r="C1119" i="3"/>
  <c r="C1142" i="3"/>
  <c r="C1150" i="3"/>
  <c r="U1189" i="3"/>
  <c r="C1209" i="3"/>
  <c r="U1201" i="3"/>
  <c r="C687" i="3"/>
  <c r="C804" i="3"/>
  <c r="C845" i="3"/>
  <c r="C867" i="3"/>
  <c r="C906" i="3"/>
  <c r="C974" i="3"/>
  <c r="C1016" i="3"/>
  <c r="C58" i="3"/>
  <c r="C78" i="3"/>
  <c r="C89" i="3"/>
  <c r="C129" i="3"/>
  <c r="C140" i="3"/>
  <c r="C149" i="3"/>
  <c r="C148" i="3"/>
  <c r="C170" i="3"/>
  <c r="C190" i="3"/>
  <c r="C211" i="3"/>
  <c r="C231" i="3"/>
  <c r="C241" i="3"/>
  <c r="C251" i="3"/>
  <c r="C261" i="3"/>
  <c r="C322" i="3"/>
  <c r="C342" i="3"/>
  <c r="C353" i="3"/>
  <c r="C363" i="3"/>
  <c r="C373" i="3"/>
  <c r="D383" i="3" s="1"/>
  <c r="C393" i="3"/>
  <c r="D403" i="3" s="1"/>
  <c r="C404" i="3"/>
  <c r="C413" i="3"/>
  <c r="C412" i="3"/>
  <c r="C475" i="3"/>
  <c r="C506" i="3"/>
  <c r="C526" i="3"/>
  <c r="C535" i="3"/>
  <c r="C555" i="3"/>
  <c r="D560" i="3" s="1"/>
  <c r="C577" i="3"/>
  <c r="C587" i="3"/>
  <c r="D589" i="3" s="1"/>
  <c r="C597" i="3"/>
  <c r="D606" i="3" s="1"/>
  <c r="C617" i="3"/>
  <c r="C658" i="3"/>
  <c r="C678" i="3"/>
  <c r="C676" i="3"/>
  <c r="C709" i="3"/>
  <c r="C741" i="3"/>
  <c r="C739" i="3"/>
  <c r="C773" i="3"/>
  <c r="C795" i="3"/>
  <c r="C792" i="3"/>
  <c r="C835" i="3"/>
  <c r="C846" i="3"/>
  <c r="C844" i="3"/>
  <c r="C889" i="3"/>
  <c r="C941" i="3"/>
  <c r="C985" i="3"/>
  <c r="C1006" i="3"/>
  <c r="C1036" i="3"/>
  <c r="C1054" i="3"/>
  <c r="C1082" i="3"/>
  <c r="C1099" i="3"/>
  <c r="C1143" i="3"/>
  <c r="C1172" i="3"/>
  <c r="C1171" i="3"/>
  <c r="C920" i="3"/>
  <c r="C931" i="3"/>
  <c r="C942" i="3"/>
  <c r="C965" i="3"/>
  <c r="C997" i="3"/>
  <c r="C1091" i="3"/>
  <c r="C1133" i="3"/>
  <c r="C1194" i="3"/>
  <c r="C1221" i="3"/>
  <c r="C1247" i="3"/>
  <c r="C1110" i="3"/>
  <c r="D1115" i="3" s="1"/>
  <c r="C1164" i="3"/>
  <c r="C1185" i="3"/>
  <c r="U1197" i="3"/>
  <c r="C1216" i="3"/>
  <c r="C1249" i="3"/>
  <c r="D703" i="3"/>
  <c r="D849" i="3"/>
  <c r="D371" i="3"/>
  <c r="D445" i="3"/>
  <c r="C832" i="3"/>
  <c r="C820" i="3"/>
  <c r="D246" i="4"/>
  <c r="C234" i="4"/>
  <c r="D498" i="4"/>
  <c r="C486" i="4"/>
  <c r="D568" i="4"/>
  <c r="C556" i="4"/>
  <c r="D606" i="4"/>
  <c r="C607" i="4"/>
  <c r="D82" i="6"/>
  <c r="C70" i="6"/>
  <c r="C280" i="6"/>
  <c r="D279" i="6"/>
  <c r="D291" i="6"/>
  <c r="C279" i="6"/>
  <c r="C423" i="6"/>
  <c r="D435" i="6"/>
  <c r="C424" i="6"/>
  <c r="C462" i="6"/>
  <c r="D474" i="6"/>
  <c r="D243" i="7"/>
  <c r="C231" i="7"/>
  <c r="C281" i="7"/>
  <c r="D281" i="7"/>
  <c r="D293" i="7"/>
  <c r="D494" i="7"/>
  <c r="C482" i="7"/>
  <c r="C560" i="8"/>
  <c r="D571" i="8"/>
  <c r="C559" i="8"/>
  <c r="C482" i="10"/>
  <c r="D494" i="10"/>
  <c r="D119" i="12"/>
  <c r="D107" i="12"/>
  <c r="C107" i="12"/>
  <c r="D462" i="12"/>
  <c r="C450" i="12"/>
  <c r="D450" i="12"/>
  <c r="C763" i="3"/>
  <c r="C1038" i="3"/>
  <c r="C1195" i="3"/>
  <c r="C1207" i="3"/>
  <c r="D317" i="4"/>
  <c r="C317" i="4"/>
  <c r="D537" i="4"/>
  <c r="C525" i="4"/>
  <c r="D25" i="6"/>
  <c r="C13" i="6"/>
  <c r="D179" i="6"/>
  <c r="C167" i="6"/>
  <c r="C400" i="6"/>
  <c r="D399" i="6"/>
  <c r="C399" i="6"/>
  <c r="D110" i="7"/>
  <c r="C98" i="7"/>
  <c r="D321" i="7"/>
  <c r="C309" i="7"/>
  <c r="C459" i="8"/>
  <c r="D471" i="8"/>
  <c r="C460" i="9"/>
  <c r="D472" i="9"/>
  <c r="D75" i="10"/>
  <c r="C63" i="10"/>
  <c r="D167" i="10"/>
  <c r="C155" i="10"/>
  <c r="D155" i="10"/>
  <c r="C490" i="10"/>
  <c r="C178" i="11"/>
  <c r="C179" i="11"/>
  <c r="D190" i="11"/>
  <c r="D303" i="11"/>
  <c r="C291" i="11"/>
  <c r="D291" i="11"/>
  <c r="C455" i="11"/>
  <c r="C505" i="11"/>
  <c r="D584" i="11"/>
  <c r="C572" i="11"/>
  <c r="C573" i="11"/>
  <c r="D364" i="12"/>
  <c r="D352" i="12"/>
  <c r="C352" i="12"/>
  <c r="C171" i="3"/>
  <c r="C207" i="3"/>
  <c r="C315" i="3"/>
  <c r="C387" i="3"/>
  <c r="C423" i="3"/>
  <c r="C495" i="3"/>
  <c r="C567" i="3"/>
  <c r="C639" i="3"/>
  <c r="C1024" i="3"/>
  <c r="C1108" i="3"/>
  <c r="C73" i="4"/>
  <c r="C118" i="4"/>
  <c r="D117" i="4"/>
  <c r="C117" i="4"/>
  <c r="C206" i="4"/>
  <c r="D219" i="4"/>
  <c r="C235" i="4"/>
  <c r="C242" i="4"/>
  <c r="D428" i="4"/>
  <c r="C417" i="4"/>
  <c r="C423" i="4"/>
  <c r="C495" i="4"/>
  <c r="D579" i="4"/>
  <c r="D591" i="4"/>
  <c r="D121" i="6"/>
  <c r="C110" i="6"/>
  <c r="C154" i="6"/>
  <c r="C264" i="6"/>
  <c r="D330" i="7"/>
  <c r="C318" i="7"/>
  <c r="C319" i="7"/>
  <c r="D448" i="7"/>
  <c r="C437" i="7"/>
  <c r="C436" i="7"/>
  <c r="D54" i="8"/>
  <c r="C42" i="8"/>
  <c r="D449" i="8"/>
  <c r="C437" i="8"/>
  <c r="C501" i="8"/>
  <c r="D513" i="8"/>
  <c r="C268" i="9"/>
  <c r="C269" i="9"/>
  <c r="D280" i="9"/>
  <c r="D475" i="9"/>
  <c r="D487" i="9"/>
  <c r="C475" i="9"/>
  <c r="D565" i="9"/>
  <c r="D577" i="9"/>
  <c r="C565" i="9"/>
  <c r="C170" i="10"/>
  <c r="D182" i="10"/>
  <c r="D310" i="10"/>
  <c r="D298" i="10"/>
  <c r="D557" i="11"/>
  <c r="C545" i="11"/>
  <c r="C546" i="11"/>
  <c r="D316" i="12"/>
  <c r="D304" i="12"/>
  <c r="C344" i="12"/>
  <c r="D356" i="12"/>
  <c r="V1188" i="3"/>
  <c r="C19" i="3"/>
  <c r="C790" i="3"/>
  <c r="C872" i="3"/>
  <c r="C924" i="3"/>
  <c r="C919" i="3"/>
  <c r="C1227" i="3"/>
  <c r="D196" i="4"/>
  <c r="C184" i="4"/>
  <c r="D206" i="4"/>
  <c r="C212" i="4"/>
  <c r="C416" i="4"/>
  <c r="C467" i="4"/>
  <c r="D547" i="4"/>
  <c r="D535" i="4"/>
  <c r="C535" i="4"/>
  <c r="C579" i="4"/>
  <c r="D200" i="6"/>
  <c r="C200" i="6"/>
  <c r="D212" i="6"/>
  <c r="C217" i="6"/>
  <c r="D264" i="6"/>
  <c r="C448" i="6"/>
  <c r="D460" i="6"/>
  <c r="D533" i="6"/>
  <c r="C521" i="6"/>
  <c r="D583" i="6"/>
  <c r="C571" i="6"/>
  <c r="D473" i="7"/>
  <c r="D461" i="7"/>
  <c r="D69" i="8"/>
  <c r="D437" i="8"/>
  <c r="D286" i="9"/>
  <c r="C286" i="9"/>
  <c r="D298" i="9"/>
  <c r="D110" i="10"/>
  <c r="D98" i="10"/>
  <c r="C98" i="10"/>
  <c r="D183" i="10"/>
  <c r="C171" i="10"/>
  <c r="C387" i="10"/>
  <c r="D394" i="10"/>
  <c r="D131" i="12"/>
  <c r="C119" i="12"/>
  <c r="C304" i="12"/>
  <c r="C304" i="3"/>
  <c r="C316" i="3"/>
  <c r="C376" i="3"/>
  <c r="C388" i="3"/>
  <c r="C448" i="3"/>
  <c r="C532" i="3"/>
  <c r="C891" i="3"/>
  <c r="C1079" i="3"/>
  <c r="D36" i="4"/>
  <c r="C24" i="4"/>
  <c r="C59" i="4"/>
  <c r="C67" i="4"/>
  <c r="D141" i="4"/>
  <c r="D456" i="4"/>
  <c r="C444" i="4"/>
  <c r="C482" i="4"/>
  <c r="C600" i="4"/>
  <c r="C179" i="6"/>
  <c r="D190" i="6"/>
  <c r="D178" i="6"/>
  <c r="C178" i="6"/>
  <c r="D301" i="6"/>
  <c r="C290" i="6"/>
  <c r="C289" i="6"/>
  <c r="D349" i="6"/>
  <c r="C337" i="6"/>
  <c r="C515" i="6"/>
  <c r="D527" i="6"/>
  <c r="C516" i="6"/>
  <c r="D104" i="7"/>
  <c r="D92" i="7"/>
  <c r="D205" i="7"/>
  <c r="D193" i="7"/>
  <c r="C193" i="7"/>
  <c r="C429" i="7"/>
  <c r="D601" i="7"/>
  <c r="C589" i="7"/>
  <c r="C43" i="8"/>
  <c r="D608" i="8"/>
  <c r="D596" i="8"/>
  <c r="C186" i="9"/>
  <c r="D197" i="9"/>
  <c r="C185" i="9"/>
  <c r="C436" i="9"/>
  <c r="D448" i="9"/>
  <c r="D593" i="9"/>
  <c r="D605" i="9"/>
  <c r="C593" i="9"/>
  <c r="C594" i="9"/>
  <c r="C299" i="10"/>
  <c r="D311" i="10"/>
  <c r="C382" i="10"/>
  <c r="D387" i="10"/>
  <c r="D333" i="11"/>
  <c r="C321" i="11"/>
  <c r="D545" i="11"/>
  <c r="C533" i="11"/>
  <c r="D177" i="12"/>
  <c r="C165" i="12"/>
  <c r="C166" i="12"/>
  <c r="D278" i="12"/>
  <c r="D266" i="12"/>
  <c r="C266" i="12"/>
  <c r="C267" i="12"/>
  <c r="C552" i="12"/>
  <c r="D564" i="12"/>
  <c r="C220" i="3"/>
  <c r="C720" i="3"/>
  <c r="C752" i="3"/>
  <c r="C823" i="3"/>
  <c r="C912" i="3"/>
  <c r="C1067" i="3"/>
  <c r="C1118" i="3"/>
  <c r="C46" i="4"/>
  <c r="D58" i="4"/>
  <c r="C75" i="4"/>
  <c r="C135" i="4"/>
  <c r="C207" i="4"/>
  <c r="D267" i="4"/>
  <c r="C328" i="4"/>
  <c r="D395" i="4"/>
  <c r="C551" i="4"/>
  <c r="C601" i="4"/>
  <c r="D214" i="6"/>
  <c r="C202" i="6"/>
  <c r="D202" i="6"/>
  <c r="D261" i="6"/>
  <c r="C249" i="6"/>
  <c r="C355" i="6"/>
  <c r="D373" i="6"/>
  <c r="C361" i="6"/>
  <c r="D429" i="6"/>
  <c r="C417" i="6"/>
  <c r="D478" i="6"/>
  <c r="D466" i="6"/>
  <c r="C564" i="6"/>
  <c r="C92" i="7"/>
  <c r="D114" i="7"/>
  <c r="C102" i="7"/>
  <c r="D131" i="7"/>
  <c r="C120" i="7"/>
  <c r="D119" i="7"/>
  <c r="D176" i="7"/>
  <c r="D188" i="7"/>
  <c r="C176" i="7"/>
  <c r="D378" i="7"/>
  <c r="C366" i="7"/>
  <c r="C392" i="7"/>
  <c r="D589" i="7"/>
  <c r="D294" i="8"/>
  <c r="C282" i="8"/>
  <c r="C305" i="8"/>
  <c r="D317" i="8"/>
  <c r="D313" i="8"/>
  <c r="C348" i="8"/>
  <c r="C355" i="8"/>
  <c r="C596" i="8"/>
  <c r="C53" i="9"/>
  <c r="C54" i="9"/>
  <c r="D65" i="9"/>
  <c r="C137" i="9"/>
  <c r="D149" i="9"/>
  <c r="C304" i="9"/>
  <c r="D316" i="9"/>
  <c r="D462" i="9"/>
  <c r="D474" i="9"/>
  <c r="C463" i="9"/>
  <c r="C568" i="9"/>
  <c r="D580" i="9"/>
  <c r="D568" i="9"/>
  <c r="C129" i="10"/>
  <c r="C128" i="10"/>
  <c r="C229" i="10"/>
  <c r="C228" i="10"/>
  <c r="D240" i="10"/>
  <c r="C242" i="10"/>
  <c r="D299" i="10"/>
  <c r="C369" i="10"/>
  <c r="D380" i="10"/>
  <c r="C368" i="10"/>
  <c r="D598" i="10"/>
  <c r="C587" i="10"/>
  <c r="D177" i="11"/>
  <c r="C165" i="11"/>
  <c r="C166" i="11"/>
  <c r="D216" i="11"/>
  <c r="C205" i="11"/>
  <c r="C204" i="11"/>
  <c r="C248" i="11"/>
  <c r="D260" i="11"/>
  <c r="D462" i="11"/>
  <c r="D450" i="11"/>
  <c r="C47" i="3"/>
  <c r="C71" i="3"/>
  <c r="C95" i="3"/>
  <c r="C119" i="3"/>
  <c r="C143" i="3"/>
  <c r="C167" i="3"/>
  <c r="C191" i="3"/>
  <c r="D200" i="3" s="1"/>
  <c r="C215" i="3"/>
  <c r="C239" i="3"/>
  <c r="C263" i="3"/>
  <c r="C287" i="3"/>
  <c r="C311" i="3"/>
  <c r="C335" i="3"/>
  <c r="C359" i="3"/>
  <c r="C383" i="3"/>
  <c r="C407" i="3"/>
  <c r="C431" i="3"/>
  <c r="D440" i="3" s="1"/>
  <c r="C455" i="3"/>
  <c r="C479" i="3"/>
  <c r="D480" i="3" s="1"/>
  <c r="C503" i="3"/>
  <c r="C527" i="3"/>
  <c r="C551" i="3"/>
  <c r="C575" i="3"/>
  <c r="C599" i="3"/>
  <c r="C623" i="3"/>
  <c r="C647" i="3"/>
  <c r="C671" i="3"/>
  <c r="C695" i="3"/>
  <c r="C791" i="3"/>
  <c r="D796" i="3" s="1"/>
  <c r="C822" i="3"/>
  <c r="C810" i="3"/>
  <c r="C842" i="3"/>
  <c r="C862" i="3"/>
  <c r="C886" i="3"/>
  <c r="C899" i="3"/>
  <c r="C887" i="3"/>
  <c r="C940" i="3"/>
  <c r="C999" i="3"/>
  <c r="C1039" i="3"/>
  <c r="D1046" i="3" s="1"/>
  <c r="C1027" i="3"/>
  <c r="C1140" i="3"/>
  <c r="D46" i="4"/>
  <c r="D53" i="4"/>
  <c r="D80" i="4"/>
  <c r="C68" i="4"/>
  <c r="C90" i="4"/>
  <c r="D119" i="4"/>
  <c r="D140" i="4"/>
  <c r="C129" i="4"/>
  <c r="C157" i="4"/>
  <c r="C193" i="4"/>
  <c r="C237" i="4"/>
  <c r="C311" i="4"/>
  <c r="C321" i="4"/>
  <c r="C329" i="4"/>
  <c r="C357" i="4"/>
  <c r="D357" i="4"/>
  <c r="D369" i="4"/>
  <c r="D393" i="4"/>
  <c r="C381" i="4"/>
  <c r="D418" i="4"/>
  <c r="C418" i="4"/>
  <c r="D430" i="4"/>
  <c r="C425" i="4"/>
  <c r="D481" i="4"/>
  <c r="D525" i="4"/>
  <c r="D541" i="4"/>
  <c r="D529" i="4"/>
  <c r="C529" i="4"/>
  <c r="D556" i="4"/>
  <c r="C8" i="6"/>
  <c r="D20" i="6"/>
  <c r="D69" i="6"/>
  <c r="C57" i="6"/>
  <c r="D77" i="6"/>
  <c r="C65" i="6"/>
  <c r="C211" i="6"/>
  <c r="D223" i="6"/>
  <c r="D211" i="6"/>
  <c r="D226" i="6"/>
  <c r="D238" i="6"/>
  <c r="C226" i="6"/>
  <c r="C283" i="6"/>
  <c r="C339" i="6"/>
  <c r="D351" i="6"/>
  <c r="D355" i="6"/>
  <c r="D406" i="6"/>
  <c r="D394" i="6"/>
  <c r="C394" i="6"/>
  <c r="C466" i="6"/>
  <c r="C556" i="6"/>
  <c r="D568" i="6"/>
  <c r="D564" i="6"/>
  <c r="D85" i="7"/>
  <c r="D97" i="7"/>
  <c r="C93" i="7"/>
  <c r="D115" i="7"/>
  <c r="C103" i="7"/>
  <c r="C119" i="7"/>
  <c r="C135" i="7"/>
  <c r="D263" i="7"/>
  <c r="D251" i="7"/>
  <c r="D260" i="7"/>
  <c r="C345" i="7"/>
  <c r="D357" i="7"/>
  <c r="D379" i="7"/>
  <c r="C367" i="7"/>
  <c r="D392" i="7"/>
  <c r="C400" i="7"/>
  <c r="D490" i="7"/>
  <c r="C478" i="7"/>
  <c r="C479" i="7"/>
  <c r="D22" i="8"/>
  <c r="C10" i="8"/>
  <c r="C20" i="8"/>
  <c r="D32" i="8"/>
  <c r="D20" i="8"/>
  <c r="D84" i="8"/>
  <c r="C73" i="8"/>
  <c r="C72" i="8"/>
  <c r="C265" i="8"/>
  <c r="C283" i="8"/>
  <c r="D295" i="8"/>
  <c r="D353" i="8"/>
  <c r="C341" i="8"/>
  <c r="D356" i="8"/>
  <c r="D368" i="8"/>
  <c r="C356" i="8"/>
  <c r="C372" i="8"/>
  <c r="D458" i="8"/>
  <c r="C446" i="8"/>
  <c r="D547" i="8"/>
  <c r="D559" i="8"/>
  <c r="C588" i="8"/>
  <c r="D40" i="9"/>
  <c r="C28" i="9"/>
  <c r="D54" i="9"/>
  <c r="D42" i="9"/>
  <c r="D74" i="9"/>
  <c r="D86" i="9"/>
  <c r="C74" i="9"/>
  <c r="D150" i="9"/>
  <c r="D138" i="9"/>
  <c r="C138" i="9"/>
  <c r="D219" i="9"/>
  <c r="C437" i="9"/>
  <c r="C462" i="9"/>
  <c r="C293" i="10"/>
  <c r="C292" i="10"/>
  <c r="D304" i="10"/>
  <c r="C301" i="10"/>
  <c r="C300" i="10"/>
  <c r="D300" i="10"/>
  <c r="C586" i="10"/>
  <c r="C92" i="11"/>
  <c r="D104" i="11"/>
  <c r="D178" i="11"/>
  <c r="C450" i="11"/>
  <c r="D389" i="12"/>
  <c r="C378" i="12"/>
  <c r="C377" i="12"/>
  <c r="D526" i="12"/>
  <c r="C515" i="12"/>
  <c r="C514" i="12"/>
  <c r="C596" i="12"/>
  <c r="D596" i="12"/>
  <c r="D608" i="12"/>
  <c r="C597" i="12"/>
  <c r="Q18" i="1"/>
  <c r="C42" i="3"/>
  <c r="C66" i="3"/>
  <c r="C114" i="3"/>
  <c r="C138" i="3"/>
  <c r="C186" i="3"/>
  <c r="C210" i="3"/>
  <c r="C258" i="3"/>
  <c r="C282" i="3"/>
  <c r="C330" i="3"/>
  <c r="C354" i="3"/>
  <c r="C402" i="3"/>
  <c r="C426" i="3"/>
  <c r="C474" i="3"/>
  <c r="C498" i="3"/>
  <c r="C546" i="3"/>
  <c r="D554" i="3" s="1"/>
  <c r="C570" i="3"/>
  <c r="D580" i="3" s="1"/>
  <c r="C618" i="3"/>
  <c r="C642" i="3"/>
  <c r="C690" i="3"/>
  <c r="C708" i="3"/>
  <c r="C759" i="3"/>
  <c r="C900" i="3"/>
  <c r="C914" i="3"/>
  <c r="C934" i="3"/>
  <c r="C976" i="3"/>
  <c r="C983" i="3"/>
  <c r="C1014" i="3"/>
  <c r="V1208" i="3"/>
  <c r="W1209" i="3" s="1"/>
  <c r="X1209" i="3" s="1"/>
  <c r="X1210" i="3" s="1"/>
  <c r="T1210" i="3" s="1"/>
  <c r="AG1190" i="3" s="1"/>
  <c r="C1087" i="3"/>
  <c r="C1075" i="3"/>
  <c r="V1205" i="3"/>
  <c r="C1170" i="3"/>
  <c r="C1214" i="3"/>
  <c r="C1226" i="3"/>
  <c r="D39" i="4"/>
  <c r="D27" i="4"/>
  <c r="C27" i="4"/>
  <c r="C28" i="4"/>
  <c r="C35" i="4"/>
  <c r="D34" i="4"/>
  <c r="C34" i="4"/>
  <c r="D41" i="4"/>
  <c r="C48" i="4"/>
  <c r="C47" i="4"/>
  <c r="D47" i="4"/>
  <c r="D59" i="4"/>
  <c r="D74" i="4"/>
  <c r="D62" i="4"/>
  <c r="D96" i="4"/>
  <c r="C84" i="4"/>
  <c r="C98" i="4"/>
  <c r="C112" i="4"/>
  <c r="D132" i="4"/>
  <c r="C120" i="4"/>
  <c r="C128" i="4"/>
  <c r="C194" i="4"/>
  <c r="D230" i="4"/>
  <c r="D242" i="4"/>
  <c r="C230" i="4"/>
  <c r="C262" i="4"/>
  <c r="D261" i="4"/>
  <c r="C261" i="4"/>
  <c r="D273" i="4"/>
  <c r="C268" i="4"/>
  <c r="C291" i="4"/>
  <c r="D297" i="4"/>
  <c r="D329" i="4"/>
  <c r="C358" i="4"/>
  <c r="D374" i="4"/>
  <c r="C374" i="4"/>
  <c r="D386" i="4"/>
  <c r="C382" i="4"/>
  <c r="D424" i="4"/>
  <c r="C413" i="4"/>
  <c r="C469" i="4"/>
  <c r="C513" i="4"/>
  <c r="D542" i="4"/>
  <c r="C530" i="4"/>
  <c r="C538" i="4"/>
  <c r="C544" i="4"/>
  <c r="D572" i="4"/>
  <c r="C560" i="4"/>
  <c r="D34" i="6"/>
  <c r="C58" i="6"/>
  <c r="C66" i="6"/>
  <c r="D78" i="6"/>
  <c r="D66" i="6"/>
  <c r="D271" i="6"/>
  <c r="D259" i="6"/>
  <c r="C259" i="6"/>
  <c r="D361" i="6"/>
  <c r="C349" i="6"/>
  <c r="D455" i="6"/>
  <c r="C443" i="6"/>
  <c r="D82" i="7"/>
  <c r="C70" i="7"/>
  <c r="C85" i="7"/>
  <c r="C129" i="7"/>
  <c r="D141" i="7"/>
  <c r="D129" i="7"/>
  <c r="C251" i="7"/>
  <c r="D316" i="7"/>
  <c r="D304" i="7"/>
  <c r="C337" i="7"/>
  <c r="D349" i="7"/>
  <c r="D345" i="7"/>
  <c r="D364" i="7"/>
  <c r="C352" i="7"/>
  <c r="D548" i="7"/>
  <c r="C548" i="7"/>
  <c r="D560" i="7"/>
  <c r="D594" i="7"/>
  <c r="C582" i="7"/>
  <c r="C602" i="7"/>
  <c r="C601" i="7"/>
  <c r="C11" i="8"/>
  <c r="C202" i="8"/>
  <c r="D213" i="8"/>
  <c r="C208" i="8"/>
  <c r="D220" i="8"/>
  <c r="D265" i="8"/>
  <c r="D283" i="8"/>
  <c r="D289" i="8"/>
  <c r="D301" i="8"/>
  <c r="C289" i="8"/>
  <c r="D341" i="8"/>
  <c r="C349" i="8"/>
  <c r="C392" i="8"/>
  <c r="D403" i="8"/>
  <c r="C391" i="8"/>
  <c r="D411" i="8"/>
  <c r="D399" i="8"/>
  <c r="C399" i="8"/>
  <c r="C400" i="8"/>
  <c r="C537" i="8"/>
  <c r="C547" i="8"/>
  <c r="C565" i="8"/>
  <c r="D576" i="8"/>
  <c r="D593" i="8"/>
  <c r="C581" i="8"/>
  <c r="D581" i="8"/>
  <c r="C42" i="9"/>
  <c r="C195" i="9"/>
  <c r="D207" i="9"/>
  <c r="D390" i="9"/>
  <c r="C378" i="9"/>
  <c r="C395" i="9"/>
  <c r="D407" i="9"/>
  <c r="D419" i="9"/>
  <c r="C560" i="9"/>
  <c r="D560" i="9"/>
  <c r="C33" i="10"/>
  <c r="C32" i="10"/>
  <c r="D44" i="10"/>
  <c r="C151" i="10"/>
  <c r="D163" i="10"/>
  <c r="D171" i="10"/>
  <c r="D159" i="10"/>
  <c r="C159" i="10"/>
  <c r="C273" i="10"/>
  <c r="D284" i="10"/>
  <c r="D272" i="10"/>
  <c r="C557" i="10"/>
  <c r="D568" i="10"/>
  <c r="C556" i="10"/>
  <c r="D42" i="11"/>
  <c r="D30" i="11"/>
  <c r="D105" i="11"/>
  <c r="C93" i="11"/>
  <c r="D210" i="11"/>
  <c r="C198" i="11"/>
  <c r="C32" i="12"/>
  <c r="D44" i="12"/>
  <c r="C46" i="12"/>
  <c r="D58" i="12"/>
  <c r="D46" i="12"/>
  <c r="C93" i="12"/>
  <c r="D105" i="12"/>
  <c r="D93" i="12"/>
  <c r="C246" i="12"/>
  <c r="D246" i="12"/>
  <c r="D433" i="12"/>
  <c r="C421" i="12"/>
  <c r="C422" i="12"/>
  <c r="D514" i="12"/>
  <c r="C38" i="3"/>
  <c r="C775" i="3"/>
  <c r="C1063" i="3"/>
  <c r="C1051" i="3"/>
  <c r="D144" i="4"/>
  <c r="C132" i="4"/>
  <c r="D506" i="4"/>
  <c r="D494" i="4"/>
  <c r="C494" i="4"/>
  <c r="D590" i="4"/>
  <c r="D165" i="6"/>
  <c r="C153" i="6"/>
  <c r="D255" i="6"/>
  <c r="D267" i="6"/>
  <c r="D483" i="6"/>
  <c r="D471" i="6"/>
  <c r="C472" i="6"/>
  <c r="C600" i="6"/>
  <c r="D612" i="6"/>
  <c r="D136" i="7"/>
  <c r="C124" i="7"/>
  <c r="C173" i="7"/>
  <c r="D185" i="7"/>
  <c r="D220" i="7"/>
  <c r="C209" i="7"/>
  <c r="D208" i="7"/>
  <c r="D255" i="7"/>
  <c r="C255" i="7"/>
  <c r="D314" i="8"/>
  <c r="C302" i="8"/>
  <c r="C229" i="9"/>
  <c r="D241" i="9"/>
  <c r="C230" i="9"/>
  <c r="C564" i="9"/>
  <c r="D576" i="9"/>
  <c r="D87" i="10"/>
  <c r="C76" i="10"/>
  <c r="C75" i="10"/>
  <c r="D502" i="10"/>
  <c r="C300" i="11"/>
  <c r="C301" i="11"/>
  <c r="D312" i="11"/>
  <c r="D617" i="11"/>
  <c r="C605" i="11"/>
  <c r="C606" i="11"/>
  <c r="D62" i="3"/>
  <c r="C852" i="3"/>
  <c r="C859" i="3"/>
  <c r="C13" i="4"/>
  <c r="D180" i="4"/>
  <c r="C168" i="4"/>
  <c r="C219" i="4"/>
  <c r="D314" i="4"/>
  <c r="C303" i="4"/>
  <c r="D501" i="4"/>
  <c r="C501" i="4"/>
  <c r="D513" i="4"/>
  <c r="C614" i="4"/>
  <c r="D614" i="4"/>
  <c r="C255" i="6"/>
  <c r="C328" i="6"/>
  <c r="D327" i="6"/>
  <c r="C327" i="6"/>
  <c r="D423" i="6"/>
  <c r="C141" i="7"/>
  <c r="D278" i="7"/>
  <c r="C266" i="7"/>
  <c r="C267" i="7"/>
  <c r="C595" i="7"/>
  <c r="D607" i="7"/>
  <c r="C100" i="8"/>
  <c r="C593" i="8"/>
  <c r="D605" i="8"/>
  <c r="C183" i="9"/>
  <c r="D195" i="9"/>
  <c r="D530" i="10"/>
  <c r="C518" i="10"/>
  <c r="C585" i="10"/>
  <c r="D596" i="10"/>
  <c r="D413" i="11"/>
  <c r="C401" i="11"/>
  <c r="D464" i="11"/>
  <c r="C464" i="11"/>
  <c r="D476" i="11"/>
  <c r="C465" i="11"/>
  <c r="D600" i="11"/>
  <c r="C588" i="11"/>
  <c r="C135" i="3"/>
  <c r="C279" i="3"/>
  <c r="C351" i="3"/>
  <c r="C459" i="3"/>
  <c r="C603" i="3"/>
  <c r="C675" i="3"/>
  <c r="D685" i="3" s="1"/>
  <c r="C982" i="3"/>
  <c r="C1031" i="3"/>
  <c r="C1179" i="3"/>
  <c r="D100" i="4"/>
  <c r="C88" i="4"/>
  <c r="C308" i="4"/>
  <c r="D466" i="4"/>
  <c r="C466" i="4"/>
  <c r="C557" i="4"/>
  <c r="C615" i="4"/>
  <c r="D136" i="6"/>
  <c r="D124" i="6"/>
  <c r="C176" i="6"/>
  <c r="C455" i="6"/>
  <c r="D557" i="6"/>
  <c r="C545" i="6"/>
  <c r="D162" i="7"/>
  <c r="C150" i="7"/>
  <c r="D269" i="7"/>
  <c r="C257" i="7"/>
  <c r="C499" i="7"/>
  <c r="C500" i="7"/>
  <c r="D511" i="7"/>
  <c r="D63" i="8"/>
  <c r="D51" i="8"/>
  <c r="C51" i="8"/>
  <c r="C69" i="8"/>
  <c r="C134" i="8"/>
  <c r="D434" i="8"/>
  <c r="C422" i="8"/>
  <c r="D564" i="8"/>
  <c r="D552" i="8"/>
  <c r="C552" i="8"/>
  <c r="C318" i="10"/>
  <c r="D330" i="10"/>
  <c r="C422" i="10"/>
  <c r="D434" i="10"/>
  <c r="C584" i="10"/>
  <c r="D455" i="11"/>
  <c r="D578" i="11"/>
  <c r="D566" i="11"/>
  <c r="C567" i="11"/>
  <c r="D349" i="12"/>
  <c r="C337" i="12"/>
  <c r="C34" i="3"/>
  <c r="C184" i="3"/>
  <c r="C616" i="3"/>
  <c r="C719" i="3"/>
  <c r="C814" i="3"/>
  <c r="D23" i="4"/>
  <c r="C74" i="4"/>
  <c r="C273" i="4"/>
  <c r="D384" i="4"/>
  <c r="C372" i="4"/>
  <c r="C408" i="4"/>
  <c r="D493" i="4"/>
  <c r="C481" i="4"/>
  <c r="D518" i="4"/>
  <c r="D530" i="4"/>
  <c r="C518" i="4"/>
  <c r="C124" i="6"/>
  <c r="D139" i="6"/>
  <c r="D154" i="6"/>
  <c r="D468" i="6"/>
  <c r="D456" i="6"/>
  <c r="C456" i="6"/>
  <c r="D574" i="7"/>
  <c r="C562" i="7"/>
  <c r="D46" i="8"/>
  <c r="C34" i="8"/>
  <c r="D243" i="8"/>
  <c r="D231" i="8"/>
  <c r="C371" i="8"/>
  <c r="C276" i="9"/>
  <c r="D288" i="9"/>
  <c r="D276" i="9"/>
  <c r="D503" i="9"/>
  <c r="C491" i="9"/>
  <c r="D198" i="10"/>
  <c r="C198" i="10"/>
  <c r="D210" i="10"/>
  <c r="C298" i="10"/>
  <c r="C566" i="11"/>
  <c r="C88" i="3"/>
  <c r="C100" i="3"/>
  <c r="C160" i="3"/>
  <c r="D238" i="3"/>
  <c r="C460" i="3"/>
  <c r="C520" i="3"/>
  <c r="C664" i="3"/>
  <c r="C758" i="3"/>
  <c r="C1010" i="3"/>
  <c r="C998" i="3"/>
  <c r="C1213" i="3"/>
  <c r="C134" i="4"/>
  <c r="D197" i="4"/>
  <c r="C185" i="4"/>
  <c r="C220" i="4"/>
  <c r="C267" i="4"/>
  <c r="D355" i="4"/>
  <c r="C580" i="4"/>
  <c r="C94" i="6"/>
  <c r="D213" i="6"/>
  <c r="C201" i="6"/>
  <c r="C312" i="6"/>
  <c r="D453" i="6"/>
  <c r="C441" i="6"/>
  <c r="C442" i="6"/>
  <c r="C384" i="7"/>
  <c r="D395" i="7"/>
  <c r="C453" i="7"/>
  <c r="D465" i="7"/>
  <c r="C461" i="7"/>
  <c r="D575" i="7"/>
  <c r="C563" i="7"/>
  <c r="D371" i="8"/>
  <c r="C388" i="8"/>
  <c r="C553" i="8"/>
  <c r="D53" i="9"/>
  <c r="C41" i="9"/>
  <c r="C169" i="9"/>
  <c r="D181" i="9"/>
  <c r="C417" i="9"/>
  <c r="D429" i="9"/>
  <c r="D491" i="9"/>
  <c r="C134" i="10"/>
  <c r="D254" i="10"/>
  <c r="D242" i="10"/>
  <c r="C361" i="10"/>
  <c r="D360" i="10"/>
  <c r="D372" i="10"/>
  <c r="C395" i="10"/>
  <c r="D407" i="10"/>
  <c r="C493" i="10"/>
  <c r="D504" i="10"/>
  <c r="D492" i="10"/>
  <c r="D406" i="11"/>
  <c r="D394" i="11"/>
  <c r="C394" i="11"/>
  <c r="C158" i="12"/>
  <c r="C159" i="12"/>
  <c r="D456" i="12"/>
  <c r="C445" i="12"/>
  <c r="C714" i="3"/>
  <c r="C860" i="3"/>
  <c r="C848" i="3"/>
  <c r="C119" i="4"/>
  <c r="C251" i="4"/>
  <c r="D263" i="4"/>
  <c r="D332" i="4"/>
  <c r="C320" i="4"/>
  <c r="C373" i="4"/>
  <c r="C496" i="4"/>
  <c r="D94" i="6"/>
  <c r="D252" i="6"/>
  <c r="C241" i="6"/>
  <c r="C282" i="6"/>
  <c r="C338" i="6"/>
  <c r="D370" i="6"/>
  <c r="D382" i="6"/>
  <c r="D421" i="6"/>
  <c r="C409" i="6"/>
  <c r="V1189" i="3"/>
  <c r="V1192" i="3"/>
  <c r="C276" i="3"/>
  <c r="C564" i="3"/>
  <c r="C956" i="3"/>
  <c r="C1125" i="3"/>
  <c r="U1193" i="3"/>
  <c r="C1219" i="3"/>
  <c r="V1212" i="3"/>
  <c r="D313" i="4"/>
  <c r="D325" i="4"/>
  <c r="D342" i="4"/>
  <c r="D330" i="4"/>
  <c r="C330" i="4"/>
  <c r="D403" i="4"/>
  <c r="C391" i="4"/>
  <c r="C284" i="6"/>
  <c r="C285" i="6"/>
  <c r="C467" i="6"/>
  <c r="C71" i="7"/>
  <c r="D83" i="7"/>
  <c r="C72" i="7"/>
  <c r="D173" i="7"/>
  <c r="C197" i="7"/>
  <c r="D209" i="7"/>
  <c r="D342" i="7"/>
  <c r="C330" i="7"/>
  <c r="D500" i="7"/>
  <c r="D488" i="7"/>
  <c r="C583" i="7"/>
  <c r="D595" i="7"/>
  <c r="D270" i="8"/>
  <c r="C258" i="8"/>
  <c r="D325" i="8"/>
  <c r="D501" i="8"/>
  <c r="C489" i="8"/>
  <c r="D602" i="8"/>
  <c r="C590" i="8"/>
  <c r="D167" i="9"/>
  <c r="C155" i="9"/>
  <c r="D213" i="9"/>
  <c r="C213" i="9"/>
  <c r="D225" i="9"/>
  <c r="C251" i="9"/>
  <c r="D262" i="9"/>
  <c r="C606" i="9"/>
  <c r="C605" i="9"/>
  <c r="D617" i="9"/>
  <c r="C117" i="10"/>
  <c r="D128" i="10"/>
  <c r="C458" i="10"/>
  <c r="D470" i="10"/>
  <c r="D97" i="11"/>
  <c r="C85" i="11"/>
  <c r="D129" i="11"/>
  <c r="C117" i="11"/>
  <c r="D161" i="11"/>
  <c r="C149" i="11"/>
  <c r="C150" i="11"/>
  <c r="D36" i="12"/>
  <c r="D24" i="12"/>
  <c r="C24" i="12"/>
  <c r="C48" i="3"/>
  <c r="D56" i="3" s="1"/>
  <c r="C120" i="3"/>
  <c r="C192" i="3"/>
  <c r="C271" i="3"/>
  <c r="V1193" i="3"/>
  <c r="V1196" i="3"/>
  <c r="W1197" i="3" s="1"/>
  <c r="X1197" i="3" s="1"/>
  <c r="X1198" i="3" s="1"/>
  <c r="T1198" i="3" s="1"/>
  <c r="AD1190" i="3" s="1"/>
  <c r="C343" i="3"/>
  <c r="C728" i="3"/>
  <c r="C767" i="3"/>
  <c r="C894" i="3"/>
  <c r="C882" i="3"/>
  <c r="C1135" i="3"/>
  <c r="D35" i="4"/>
  <c r="C42" i="4"/>
  <c r="D70" i="4"/>
  <c r="D129" i="4"/>
  <c r="C137" i="4"/>
  <c r="C159" i="4"/>
  <c r="D202" i="4"/>
  <c r="C240" i="4"/>
  <c r="D239" i="4"/>
  <c r="C239" i="4"/>
  <c r="D251" i="4"/>
  <c r="C313" i="4"/>
  <c r="D367" i="4"/>
  <c r="C383" i="4"/>
  <c r="D383" i="4"/>
  <c r="D391" i="4"/>
  <c r="C406" i="4"/>
  <c r="D519" i="4"/>
  <c r="C507" i="4"/>
  <c r="D59" i="6"/>
  <c r="C83" i="6"/>
  <c r="D101" i="6"/>
  <c r="C89" i="6"/>
  <c r="D116" i="6"/>
  <c r="C104" i="6"/>
  <c r="D104" i="6"/>
  <c r="D184" i="6"/>
  <c r="D172" i="6"/>
  <c r="C172" i="6"/>
  <c r="C181" i="6"/>
  <c r="C187" i="6"/>
  <c r="C195" i="6"/>
  <c r="D265" i="6"/>
  <c r="C254" i="6"/>
  <c r="C253" i="6"/>
  <c r="D376" i="6"/>
  <c r="D364" i="6"/>
  <c r="C364" i="6"/>
  <c r="D409" i="6"/>
  <c r="C398" i="6"/>
  <c r="D411" i="6"/>
  <c r="D441" i="6"/>
  <c r="C429" i="6"/>
  <c r="C476" i="6"/>
  <c r="D488" i="6"/>
  <c r="C496" i="6"/>
  <c r="C510" i="6"/>
  <c r="D538" i="6"/>
  <c r="D526" i="6"/>
  <c r="C526" i="6"/>
  <c r="D562" i="6"/>
  <c r="C550" i="6"/>
  <c r="C575" i="6"/>
  <c r="D587" i="6"/>
  <c r="D575" i="6"/>
  <c r="C48" i="7"/>
  <c r="D47" i="7"/>
  <c r="C47" i="7"/>
  <c r="D59" i="7"/>
  <c r="D71" i="7"/>
  <c r="D150" i="7"/>
  <c r="C138" i="7"/>
  <c r="C161" i="7"/>
  <c r="C252" i="7"/>
  <c r="C297" i="7"/>
  <c r="D297" i="7"/>
  <c r="C331" i="7"/>
  <c r="D343" i="7"/>
  <c r="C488" i="7"/>
  <c r="C567" i="7"/>
  <c r="C160" i="8"/>
  <c r="C209" i="8"/>
  <c r="D221" i="8"/>
  <c r="C259" i="8"/>
  <c r="D271" i="8"/>
  <c r="C284" i="8"/>
  <c r="C584" i="8"/>
  <c r="C583" i="8"/>
  <c r="D583" i="8"/>
  <c r="D595" i="8"/>
  <c r="D33" i="9"/>
  <c r="D21" i="9"/>
  <c r="C21" i="9"/>
  <c r="C250" i="9"/>
  <c r="D319" i="9"/>
  <c r="C307" i="9"/>
  <c r="C116" i="10"/>
  <c r="D375" i="10"/>
  <c r="C363" i="10"/>
  <c r="D390" i="10"/>
  <c r="D378" i="10"/>
  <c r="D130" i="11"/>
  <c r="D118" i="11"/>
  <c r="C119" i="11"/>
  <c r="D137" i="11"/>
  <c r="C125" i="11"/>
  <c r="D253" i="11"/>
  <c r="C241" i="11"/>
  <c r="C40" i="12"/>
  <c r="D336" i="12"/>
  <c r="D324" i="12"/>
  <c r="C358" i="12"/>
  <c r="D358" i="12"/>
  <c r="C359" i="12"/>
  <c r="D510" i="12"/>
  <c r="C499" i="12"/>
  <c r="C498" i="12"/>
  <c r="C259" i="3"/>
  <c r="C754" i="3"/>
  <c r="C762" i="3"/>
  <c r="C831" i="3"/>
  <c r="C908" i="3"/>
  <c r="C935" i="3"/>
  <c r="C966" i="3"/>
  <c r="C1114" i="3"/>
  <c r="C1184" i="3"/>
  <c r="C20" i="4"/>
  <c r="C29" i="4"/>
  <c r="D42" i="4"/>
  <c r="C49" i="4"/>
  <c r="D85" i="4"/>
  <c r="D106" i="4"/>
  <c r="C130" i="4"/>
  <c r="D130" i="4"/>
  <c r="C174" i="4"/>
  <c r="D193" i="4"/>
  <c r="D215" i="4"/>
  <c r="C203" i="4"/>
  <c r="D237" i="4"/>
  <c r="C233" i="4"/>
  <c r="D278" i="4"/>
  <c r="D290" i="4"/>
  <c r="C278" i="4"/>
  <c r="C314" i="4"/>
  <c r="D323" i="4"/>
  <c r="D380" i="4"/>
  <c r="C368" i="4"/>
  <c r="C377" i="4"/>
  <c r="D434" i="4"/>
  <c r="D468" i="4"/>
  <c r="C456" i="4"/>
  <c r="D484" i="4"/>
  <c r="C472" i="4"/>
  <c r="C499" i="4"/>
  <c r="D520" i="4"/>
  <c r="C508" i="4"/>
  <c r="C539" i="4"/>
  <c r="D581" i="4"/>
  <c r="C569" i="4"/>
  <c r="C605" i="4"/>
  <c r="D617" i="4"/>
  <c r="C20" i="6"/>
  <c r="C53" i="6"/>
  <c r="D52" i="6"/>
  <c r="C52" i="6"/>
  <c r="D194" i="6"/>
  <c r="C183" i="6"/>
  <c r="D187" i="6"/>
  <c r="D195" i="6"/>
  <c r="C278" i="6"/>
  <c r="D337" i="6"/>
  <c r="C325" i="6"/>
  <c r="C397" i="6"/>
  <c r="D476" i="6"/>
  <c r="C491" i="6"/>
  <c r="D509" i="6"/>
  <c r="C497" i="6"/>
  <c r="C527" i="6"/>
  <c r="C559" i="6"/>
  <c r="D571" i="6"/>
  <c r="D559" i="6"/>
  <c r="C34" i="7"/>
  <c r="C35" i="7"/>
  <c r="D76" i="7"/>
  <c r="D64" i="7"/>
  <c r="C64" i="7"/>
  <c r="D272" i="7"/>
  <c r="D331" i="7"/>
  <c r="D437" i="7"/>
  <c r="D425" i="7"/>
  <c r="D479" i="7"/>
  <c r="D467" i="7"/>
  <c r="D532" i="7"/>
  <c r="C521" i="7"/>
  <c r="D539" i="7"/>
  <c r="C528" i="7"/>
  <c r="C527" i="7"/>
  <c r="D567" i="7"/>
  <c r="C584" i="7"/>
  <c r="C98" i="8"/>
  <c r="D160" i="8"/>
  <c r="D167" i="8"/>
  <c r="C156" i="8"/>
  <c r="C169" i="8"/>
  <c r="D189" i="8"/>
  <c r="C177" i="8"/>
  <c r="D239" i="8"/>
  <c r="C227" i="8"/>
  <c r="D260" i="8"/>
  <c r="C260" i="8"/>
  <c r="D376" i="8"/>
  <c r="D388" i="8"/>
  <c r="D565" i="8"/>
  <c r="D147" i="9"/>
  <c r="D250" i="9"/>
  <c r="D550" i="9"/>
  <c r="C538" i="9"/>
  <c r="D115" i="10"/>
  <c r="C103" i="10"/>
  <c r="C288" i="10"/>
  <c r="D287" i="10"/>
  <c r="C287" i="10"/>
  <c r="C357" i="10"/>
  <c r="C356" i="10"/>
  <c r="D368" i="10"/>
  <c r="C378" i="10"/>
  <c r="C597" i="10"/>
  <c r="D608" i="10"/>
  <c r="C78" i="11"/>
  <c r="C86" i="11"/>
  <c r="C95" i="11"/>
  <c r="D107" i="11"/>
  <c r="D111" i="11"/>
  <c r="C112" i="11"/>
  <c r="C118" i="11"/>
  <c r="C143" i="11"/>
  <c r="D154" i="11"/>
  <c r="C142" i="11"/>
  <c r="D237" i="11"/>
  <c r="C225" i="11"/>
  <c r="C226" i="11"/>
  <c r="D242" i="11"/>
  <c r="D254" i="11"/>
  <c r="C242" i="11"/>
  <c r="D362" i="11"/>
  <c r="C350" i="11"/>
  <c r="D350" i="11"/>
  <c r="D377" i="11"/>
  <c r="C365" i="11"/>
  <c r="C612" i="11"/>
  <c r="C19" i="12"/>
  <c r="C18" i="12"/>
  <c r="D30" i="12"/>
  <c r="C324" i="12"/>
  <c r="C755" i="3"/>
  <c r="C743" i="3"/>
  <c r="D126" i="8"/>
  <c r="C115" i="8"/>
  <c r="C114" i="8"/>
  <c r="D585" i="9"/>
  <c r="C573" i="9"/>
  <c r="D454" i="10"/>
  <c r="C442" i="10"/>
  <c r="D587" i="10"/>
  <c r="D575" i="10"/>
  <c r="C575" i="10"/>
  <c r="C730" i="3"/>
  <c r="C834" i="3"/>
  <c r="C939" i="3"/>
  <c r="C1100" i="3"/>
  <c r="C1112" i="3"/>
  <c r="C133" i="4"/>
  <c r="D234" i="4"/>
  <c r="C422" i="4"/>
  <c r="C606" i="4"/>
  <c r="C471" i="6"/>
  <c r="C586" i="6"/>
  <c r="D600" i="6"/>
  <c r="C505" i="7"/>
  <c r="D517" i="7"/>
  <c r="D497" i="9"/>
  <c r="C498" i="9"/>
  <c r="D509" i="9"/>
  <c r="C497" i="9"/>
  <c r="D564" i="9"/>
  <c r="C449" i="10"/>
  <c r="D460" i="10"/>
  <c r="C448" i="10"/>
  <c r="C569" i="10"/>
  <c r="D580" i="10"/>
  <c r="D197" i="11"/>
  <c r="C185" i="11"/>
  <c r="D577" i="11"/>
  <c r="C565" i="11"/>
  <c r="Q22" i="1"/>
  <c r="Q16" i="1"/>
  <c r="Q21" i="1"/>
  <c r="Q23" i="1"/>
  <c r="C63" i="3"/>
  <c r="C99" i="3"/>
  <c r="C243" i="3"/>
  <c r="C531" i="3"/>
  <c r="C788" i="3"/>
  <c r="C776" i="3"/>
  <c r="C878" i="3"/>
  <c r="D885" i="3" s="1"/>
  <c r="C80" i="4"/>
  <c r="D153" i="4"/>
  <c r="C142" i="4"/>
  <c r="D166" i="4"/>
  <c r="C154" i="4"/>
  <c r="C155" i="4"/>
  <c r="D375" i="4"/>
  <c r="C363" i="4"/>
  <c r="D442" i="4"/>
  <c r="C430" i="4"/>
  <c r="C502" i="4"/>
  <c r="C14" i="6"/>
  <c r="C71" i="6"/>
  <c r="C139" i="6"/>
  <c r="C168" i="6"/>
  <c r="D243" i="6"/>
  <c r="C232" i="6"/>
  <c r="D231" i="6"/>
  <c r="C272" i="6"/>
  <c r="C594" i="6"/>
  <c r="D606" i="6"/>
  <c r="D165" i="7"/>
  <c r="C165" i="7"/>
  <c r="D177" i="7"/>
  <c r="D309" i="7"/>
  <c r="D426" i="7"/>
  <c r="C414" i="7"/>
  <c r="D505" i="7"/>
  <c r="C18" i="8"/>
  <c r="C17" i="8"/>
  <c r="D29" i="8"/>
  <c r="D154" i="8"/>
  <c r="C142" i="8"/>
  <c r="C143" i="8"/>
  <c r="C379" i="8"/>
  <c r="D391" i="8"/>
  <c r="D472" i="8"/>
  <c r="C460" i="8"/>
  <c r="D555" i="8"/>
  <c r="C544" i="8"/>
  <c r="C543" i="8"/>
  <c r="D177" i="9"/>
  <c r="D189" i="9"/>
  <c r="C292" i="9"/>
  <c r="C293" i="9"/>
  <c r="D304" i="9"/>
  <c r="C149" i="10"/>
  <c r="C148" i="10"/>
  <c r="D160" i="10"/>
  <c r="D358" i="10"/>
  <c r="D346" i="10"/>
  <c r="C394" i="10"/>
  <c r="C262" i="3"/>
  <c r="C256" i="3"/>
  <c r="C688" i="3"/>
  <c r="D694" i="3" s="1"/>
  <c r="C750" i="3"/>
  <c r="C738" i="3"/>
  <c r="C827" i="3"/>
  <c r="C815" i="3"/>
  <c r="C828" i="3"/>
  <c r="C904" i="3"/>
  <c r="C892" i="3"/>
  <c r="C975" i="3"/>
  <c r="C1019" i="3"/>
  <c r="C1078" i="3"/>
  <c r="C1066" i="3"/>
  <c r="C1234" i="3"/>
  <c r="D93" i="4"/>
  <c r="D81" i="4"/>
  <c r="D147" i="4"/>
  <c r="D159" i="4"/>
  <c r="C147" i="4"/>
  <c r="C169" i="4"/>
  <c r="C295" i="4"/>
  <c r="D302" i="4"/>
  <c r="D495" i="4"/>
  <c r="C109" i="6"/>
  <c r="C288" i="6"/>
  <c r="D300" i="6"/>
  <c r="D404" i="6"/>
  <c r="D392" i="6"/>
  <c r="C589" i="6"/>
  <c r="D588" i="6"/>
  <c r="C225" i="7"/>
  <c r="D237" i="7"/>
  <c r="D600" i="7"/>
  <c r="D588" i="7"/>
  <c r="C588" i="7"/>
  <c r="C77" i="8"/>
  <c r="D89" i="8"/>
  <c r="D366" i="8"/>
  <c r="C354" i="8"/>
  <c r="C453" i="8"/>
  <c r="D465" i="8"/>
  <c r="C461" i="9"/>
  <c r="C600" i="9"/>
  <c r="D612" i="9"/>
  <c r="C601" i="9"/>
  <c r="C14" i="10"/>
  <c r="C165" i="10"/>
  <c r="D176" i="10"/>
  <c r="D164" i="10"/>
  <c r="C592" i="3"/>
  <c r="C898" i="3"/>
  <c r="C962" i="3"/>
  <c r="D87" i="4"/>
  <c r="D75" i="4"/>
  <c r="D109" i="4"/>
  <c r="D97" i="4"/>
  <c r="C214" i="4"/>
  <c r="D213" i="4"/>
  <c r="C213" i="4"/>
  <c r="C275" i="4"/>
  <c r="D274" i="4"/>
  <c r="C274" i="4"/>
  <c r="D286" i="4"/>
  <c r="D334" i="4"/>
  <c r="C364" i="4"/>
  <c r="D464" i="4"/>
  <c r="C452" i="4"/>
  <c r="C73" i="6"/>
  <c r="D84" i="6"/>
  <c r="C72" i="6"/>
  <c r="D332" i="6"/>
  <c r="D320" i="6"/>
  <c r="C320" i="6"/>
  <c r="C369" i="6"/>
  <c r="C384" i="6"/>
  <c r="C588" i="6"/>
  <c r="C151" i="7"/>
  <c r="D225" i="7"/>
  <c r="C399" i="7"/>
  <c r="C421" i="7"/>
  <c r="C515" i="7"/>
  <c r="C516" i="7"/>
  <c r="D515" i="7"/>
  <c r="C380" i="8"/>
  <c r="C613" i="8"/>
  <c r="C612" i="8"/>
  <c r="C160" i="9"/>
  <c r="D172" i="9"/>
  <c r="D190" i="9"/>
  <c r="C178" i="9"/>
  <c r="C483" i="9"/>
  <c r="D495" i="9"/>
  <c r="C221" i="10"/>
  <c r="D232" i="10"/>
  <c r="C220" i="10"/>
  <c r="C319" i="10"/>
  <c r="C409" i="10"/>
  <c r="C408" i="10"/>
  <c r="D420" i="10"/>
  <c r="C361" i="11"/>
  <c r="D41" i="12"/>
  <c r="C29" i="12"/>
  <c r="D287" i="12"/>
  <c r="C275" i="12"/>
  <c r="D540" i="12"/>
  <c r="D528" i="12"/>
  <c r="Q17" i="1"/>
  <c r="C1059" i="3"/>
  <c r="C1047" i="3"/>
  <c r="C1095" i="3"/>
  <c r="D168" i="4"/>
  <c r="C156" i="4"/>
  <c r="D335" i="4"/>
  <c r="C335" i="4"/>
  <c r="D347" i="4"/>
  <c r="C342" i="4"/>
  <c r="D566" i="4"/>
  <c r="D578" i="4"/>
  <c r="C348" i="3"/>
  <c r="C420" i="3"/>
  <c r="D420" i="3" s="1"/>
  <c r="C492" i="3"/>
  <c r="C636" i="3"/>
  <c r="C173" i="4"/>
  <c r="D185" i="4"/>
  <c r="D266" i="4"/>
  <c r="C254" i="4"/>
  <c r="C255" i="4"/>
  <c r="D269" i="4"/>
  <c r="C269" i="4"/>
  <c r="D310" i="4"/>
  <c r="C298" i="4"/>
  <c r="C299" i="4"/>
  <c r="C322" i="4"/>
  <c r="D322" i="4"/>
  <c r="D363" i="4"/>
  <c r="D405" i="4"/>
  <c r="C405" i="4"/>
  <c r="C447" i="4"/>
  <c r="D459" i="4"/>
  <c r="D600" i="4"/>
  <c r="C588" i="4"/>
  <c r="D63" i="6"/>
  <c r="D51" i="6"/>
  <c r="D260" i="6"/>
  <c r="C260" i="6"/>
  <c r="D272" i="6"/>
  <c r="C356" i="6"/>
  <c r="D66" i="7"/>
  <c r="C54" i="7"/>
  <c r="D124" i="7"/>
  <c r="D112" i="7"/>
  <c r="C112" i="7"/>
  <c r="D182" i="7"/>
  <c r="C170" i="7"/>
  <c r="C171" i="7"/>
  <c r="D274" i="7"/>
  <c r="C262" i="7"/>
  <c r="D358" i="7"/>
  <c r="C346" i="7"/>
  <c r="D507" i="7"/>
  <c r="C495" i="7"/>
  <c r="D586" i="7"/>
  <c r="C574" i="7"/>
  <c r="C225" i="8"/>
  <c r="D225" i="8"/>
  <c r="D237" i="8"/>
  <c r="D302" i="8"/>
  <c r="C290" i="8"/>
  <c r="D594" i="8"/>
  <c r="C582" i="8"/>
  <c r="C579" i="9"/>
  <c r="D591" i="9"/>
  <c r="D58" i="10"/>
  <c r="D46" i="10"/>
  <c r="C47" i="10"/>
  <c r="C46" i="10"/>
  <c r="C124" i="11"/>
  <c r="D136" i="11"/>
  <c r="C39" i="12"/>
  <c r="D51" i="12"/>
  <c r="D480" i="12"/>
  <c r="D492" i="12"/>
  <c r="C480" i="12"/>
  <c r="C481" i="12"/>
  <c r="C748" i="3"/>
  <c r="C760" i="3"/>
  <c r="C863" i="3"/>
  <c r="C928" i="3"/>
  <c r="C1210" i="3"/>
  <c r="C106" i="4"/>
  <c r="D173" i="4"/>
  <c r="D244" i="4"/>
  <c r="C232" i="4"/>
  <c r="C270" i="4"/>
  <c r="D388" i="4"/>
  <c r="C376" i="4"/>
  <c r="Q20" i="1"/>
  <c r="C716" i="3"/>
  <c r="C704" i="3"/>
  <c r="C794" i="3"/>
  <c r="D804" i="3" s="1"/>
  <c r="C1173" i="3"/>
  <c r="C1182" i="3"/>
  <c r="D76" i="4"/>
  <c r="C64" i="4"/>
  <c r="C107" i="4"/>
  <c r="D253" i="4"/>
  <c r="C241" i="4"/>
  <c r="D268" i="4"/>
  <c r="C256" i="4"/>
  <c r="D312" i="4"/>
  <c r="C300" i="4"/>
  <c r="D327" i="4"/>
  <c r="C315" i="4"/>
  <c r="C316" i="4"/>
  <c r="D339" i="4"/>
  <c r="D351" i="4"/>
  <c r="C339" i="4"/>
  <c r="C352" i="4"/>
  <c r="D381" i="4"/>
  <c r="D435" i="4"/>
  <c r="D447" i="4"/>
  <c r="D457" i="4"/>
  <c r="D469" i="4"/>
  <c r="D118" i="6"/>
  <c r="C106" i="6"/>
  <c r="D159" i="6"/>
  <c r="D171" i="6"/>
  <c r="C182" i="6"/>
  <c r="D227" i="6"/>
  <c r="C216" i="6"/>
  <c r="C215" i="6"/>
  <c r="C270" i="6"/>
  <c r="D282" i="6"/>
  <c r="D278" i="6"/>
  <c r="D386" i="6"/>
  <c r="D374" i="6"/>
  <c r="D489" i="6"/>
  <c r="C477" i="6"/>
  <c r="D491" i="6"/>
  <c r="D597" i="6"/>
  <c r="C585" i="6"/>
  <c r="D617" i="6"/>
  <c r="C605" i="6"/>
  <c r="C192" i="7"/>
  <c r="D203" i="7"/>
  <c r="D384" i="7"/>
  <c r="D372" i="7"/>
  <c r="D390" i="7"/>
  <c r="C378" i="7"/>
  <c r="D446" i="7"/>
  <c r="C434" i="7"/>
  <c r="C435" i="7"/>
  <c r="D454" i="7"/>
  <c r="C442" i="7"/>
  <c r="D527" i="7"/>
  <c r="D26" i="8"/>
  <c r="C14" i="8"/>
  <c r="D94" i="8"/>
  <c r="C82" i="8"/>
  <c r="D145" i="8"/>
  <c r="C133" i="8"/>
  <c r="D330" i="8"/>
  <c r="C318" i="8"/>
  <c r="D494" i="8"/>
  <c r="C482" i="8"/>
  <c r="D520" i="8"/>
  <c r="D508" i="8"/>
  <c r="C508" i="8"/>
  <c r="D202" i="9"/>
  <c r="C191" i="9"/>
  <c r="D210" i="9"/>
  <c r="D198" i="9"/>
  <c r="C198" i="9"/>
  <c r="D331" i="9"/>
  <c r="D343" i="9"/>
  <c r="C338" i="9"/>
  <c r="D350" i="9"/>
  <c r="D366" i="9"/>
  <c r="C366" i="9"/>
  <c r="D378" i="9"/>
  <c r="C367" i="9"/>
  <c r="C512" i="9"/>
  <c r="C513" i="9"/>
  <c r="D512" i="9"/>
  <c r="D524" i="9"/>
  <c r="D572" i="9"/>
  <c r="D151" i="10"/>
  <c r="C139" i="10"/>
  <c r="C140" i="10"/>
  <c r="C345" i="10"/>
  <c r="D356" i="10"/>
  <c r="C344" i="10"/>
  <c r="C497" i="10"/>
  <c r="C496" i="10"/>
  <c r="D508" i="10"/>
  <c r="C613" i="10"/>
  <c r="D612" i="10"/>
  <c r="C612" i="10"/>
  <c r="D78" i="11"/>
  <c r="D346" i="11"/>
  <c r="C334" i="11"/>
  <c r="C613" i="11"/>
  <c r="D170" i="12"/>
  <c r="D313" i="12"/>
  <c r="C301" i="12"/>
  <c r="D583" i="12"/>
  <c r="C571" i="12"/>
  <c r="C572" i="12"/>
  <c r="D49" i="4"/>
  <c r="C43" i="4"/>
  <c r="C50" i="4"/>
  <c r="C89" i="4"/>
  <c r="C96" i="4"/>
  <c r="D95" i="4"/>
  <c r="C95" i="4"/>
  <c r="D107" i="4"/>
  <c r="D135" i="4"/>
  <c r="C123" i="4"/>
  <c r="D207" i="4"/>
  <c r="D288" i="4"/>
  <c r="C276" i="4"/>
  <c r="D368" i="4"/>
  <c r="D408" i="4"/>
  <c r="C396" i="4"/>
  <c r="D415" i="4"/>
  <c r="C403" i="4"/>
  <c r="C404" i="4"/>
  <c r="D423" i="4"/>
  <c r="C411" i="4"/>
  <c r="C458" i="4"/>
  <c r="C491" i="4"/>
  <c r="D503" i="4"/>
  <c r="C519" i="4"/>
  <c r="D546" i="4"/>
  <c r="C567" i="4"/>
  <c r="D72" i="6"/>
  <c r="D60" i="6"/>
  <c r="D107" i="6"/>
  <c r="C96" i="6"/>
  <c r="D95" i="6"/>
  <c r="C95" i="6"/>
  <c r="C125" i="6"/>
  <c r="C220" i="6"/>
  <c r="D232" i="6"/>
  <c r="D220" i="6"/>
  <c r="D262" i="6"/>
  <c r="C250" i="6"/>
  <c r="D250" i="6"/>
  <c r="D277" i="6"/>
  <c r="C265" i="6"/>
  <c r="C342" i="6"/>
  <c r="D354" i="6"/>
  <c r="D430" i="6"/>
  <c r="C418" i="6"/>
  <c r="C450" i="6"/>
  <c r="D462" i="6"/>
  <c r="C451" i="6"/>
  <c r="D541" i="6"/>
  <c r="C529" i="6"/>
  <c r="D586" i="6"/>
  <c r="D607" i="6"/>
  <c r="C595" i="6"/>
  <c r="D135" i="7"/>
  <c r="C185" i="7"/>
  <c r="D197" i="7"/>
  <c r="D238" i="7"/>
  <c r="C226" i="7"/>
  <c r="D294" i="7"/>
  <c r="C282" i="7"/>
  <c r="C332" i="7"/>
  <c r="D344" i="7"/>
  <c r="D82" i="8"/>
  <c r="C70" i="8"/>
  <c r="D98" i="8"/>
  <c r="D129" i="8"/>
  <c r="C117" i="8"/>
  <c r="C198" i="8"/>
  <c r="D209" i="8"/>
  <c r="D216" i="8"/>
  <c r="C204" i="8"/>
  <c r="D338" i="8"/>
  <c r="C326" i="8"/>
  <c r="C344" i="8"/>
  <c r="D355" i="8"/>
  <c r="D343" i="8"/>
  <c r="D420" i="8"/>
  <c r="C408" i="8"/>
  <c r="D459" i="8"/>
  <c r="C447" i="8"/>
  <c r="C448" i="8"/>
  <c r="D447" i="8"/>
  <c r="D506" i="8"/>
  <c r="C494" i="8"/>
  <c r="D578" i="8"/>
  <c r="C566" i="8"/>
  <c r="C110" i="9"/>
  <c r="C109" i="9"/>
  <c r="C116" i="9"/>
  <c r="D128" i="9"/>
  <c r="D121" i="9"/>
  <c r="D166" i="9"/>
  <c r="D154" i="9"/>
  <c r="C170" i="9"/>
  <c r="C218" i="9"/>
  <c r="D230" i="9"/>
  <c r="C219" i="9"/>
  <c r="D239" i="9"/>
  <c r="C239" i="9"/>
  <c r="D251" i="9"/>
  <c r="C379" i="9"/>
  <c r="D558" i="9"/>
  <c r="C558" i="9"/>
  <c r="D570" i="9"/>
  <c r="C559" i="9"/>
  <c r="D39" i="10"/>
  <c r="C27" i="10"/>
  <c r="D134" i="10"/>
  <c r="C190" i="10"/>
  <c r="D202" i="10"/>
  <c r="C197" i="10"/>
  <c r="C196" i="10"/>
  <c r="D208" i="10"/>
  <c r="C217" i="10"/>
  <c r="D228" i="10"/>
  <c r="C216" i="10"/>
  <c r="D290" i="10"/>
  <c r="D278" i="10"/>
  <c r="C278" i="10"/>
  <c r="C438" i="10"/>
  <c r="D450" i="10"/>
  <c r="D482" i="10"/>
  <c r="C470" i="10"/>
  <c r="C593" i="10"/>
  <c r="D604" i="10"/>
  <c r="D53" i="11"/>
  <c r="C41" i="11"/>
  <c r="D69" i="11"/>
  <c r="C57" i="11"/>
  <c r="C58" i="11"/>
  <c r="D77" i="11"/>
  <c r="C65" i="11"/>
  <c r="D85" i="11"/>
  <c r="C79" i="11"/>
  <c r="D91" i="11"/>
  <c r="D273" i="11"/>
  <c r="C261" i="11"/>
  <c r="C262" i="11"/>
  <c r="D344" i="11"/>
  <c r="C332" i="11"/>
  <c r="D353" i="11"/>
  <c r="C341" i="11"/>
  <c r="C389" i="11"/>
  <c r="D400" i="11"/>
  <c r="C526" i="11"/>
  <c r="C527" i="11"/>
  <c r="D538" i="11"/>
  <c r="D565" i="11"/>
  <c r="C553" i="11"/>
  <c r="C599" i="11"/>
  <c r="D599" i="11"/>
  <c r="C99" i="12"/>
  <c r="D111" i="12"/>
  <c r="D139" i="12"/>
  <c r="C139" i="12"/>
  <c r="D151" i="12"/>
  <c r="D168" i="12"/>
  <c r="D156" i="12"/>
  <c r="C156" i="12"/>
  <c r="C302" i="12"/>
  <c r="C303" i="12"/>
  <c r="D314" i="12"/>
  <c r="D322" i="12"/>
  <c r="C311" i="12"/>
  <c r="D519" i="12"/>
  <c r="C507" i="12"/>
  <c r="C508" i="12"/>
  <c r="D578" i="12"/>
  <c r="D590" i="12"/>
  <c r="C579" i="12"/>
  <c r="C578" i="12"/>
  <c r="C39" i="3"/>
  <c r="C1008" i="3"/>
  <c r="C1028" i="3"/>
  <c r="C1034" i="3"/>
  <c r="C1064" i="3"/>
  <c r="C1070" i="3"/>
  <c r="C1192" i="3"/>
  <c r="C1180" i="3"/>
  <c r="C1235" i="3"/>
  <c r="C1223" i="3"/>
  <c r="C37" i="4"/>
  <c r="C63" i="4"/>
  <c r="D120" i="4"/>
  <c r="C108" i="4"/>
  <c r="D127" i="4"/>
  <c r="C115" i="4"/>
  <c r="C116" i="4"/>
  <c r="D123" i="4"/>
  <c r="D188" i="4"/>
  <c r="C176" i="4"/>
  <c r="C195" i="4"/>
  <c r="D214" i="4"/>
  <c r="C202" i="4"/>
  <c r="D227" i="4"/>
  <c r="C215" i="4"/>
  <c r="C257" i="4"/>
  <c r="C277" i="4"/>
  <c r="D291" i="4"/>
  <c r="D303" i="4"/>
  <c r="C324" i="4"/>
  <c r="C331" i="4"/>
  <c r="C356" i="4"/>
  <c r="C385" i="4"/>
  <c r="C397" i="4"/>
  <c r="D411" i="4"/>
  <c r="D527" i="4"/>
  <c r="C527" i="4"/>
  <c r="D552" i="4"/>
  <c r="C540" i="4"/>
  <c r="C555" i="4"/>
  <c r="C574" i="4"/>
  <c r="C609" i="4"/>
  <c r="D27" i="6"/>
  <c r="C15" i="6"/>
  <c r="C46" i="6"/>
  <c r="C60" i="6"/>
  <c r="C81" i="6"/>
  <c r="D130" i="6"/>
  <c r="C118" i="6"/>
  <c r="C177" i="6"/>
  <c r="C198" i="6"/>
  <c r="D210" i="6"/>
  <c r="D308" i="6"/>
  <c r="C296" i="6"/>
  <c r="C343" i="6"/>
  <c r="D448" i="6"/>
  <c r="C437" i="6"/>
  <c r="D450" i="6"/>
  <c r="D551" i="6"/>
  <c r="C551" i="6"/>
  <c r="C574" i="6"/>
  <c r="C21" i="7"/>
  <c r="D100" i="7"/>
  <c r="D88" i="7"/>
  <c r="C88" i="7"/>
  <c r="C115" i="7"/>
  <c r="D127" i="7"/>
  <c r="D142" i="7"/>
  <c r="C130" i="7"/>
  <c r="D148" i="7"/>
  <c r="C136" i="7"/>
  <c r="D157" i="7"/>
  <c r="C145" i="7"/>
  <c r="D216" i="7"/>
  <c r="D204" i="7"/>
  <c r="D232" i="7"/>
  <c r="C220" i="7"/>
  <c r="C308" i="7"/>
  <c r="D337" i="7"/>
  <c r="D325" i="7"/>
  <c r="C333" i="7"/>
  <c r="D352" i="7"/>
  <c r="C340" i="7"/>
  <c r="C441" i="7"/>
  <c r="D453" i="7"/>
  <c r="D478" i="7"/>
  <c r="C466" i="7"/>
  <c r="D544" i="7"/>
  <c r="C71" i="8"/>
  <c r="D83" i="8"/>
  <c r="C86" i="8"/>
  <c r="C128" i="8"/>
  <c r="D127" i="8"/>
  <c r="C127" i="8"/>
  <c r="C197" i="8"/>
  <c r="C205" i="8"/>
  <c r="C261" i="8"/>
  <c r="D273" i="8"/>
  <c r="C277" i="8"/>
  <c r="C276" i="8"/>
  <c r="C317" i="8"/>
  <c r="C343" i="8"/>
  <c r="C417" i="8"/>
  <c r="D429" i="8"/>
  <c r="C472" i="8"/>
  <c r="D558" i="8"/>
  <c r="C546" i="8"/>
  <c r="D579" i="8"/>
  <c r="C567" i="8"/>
  <c r="D109" i="9"/>
  <c r="D116" i="9"/>
  <c r="D134" i="9"/>
  <c r="C122" i="9"/>
  <c r="D122" i="9"/>
  <c r="C154" i="9"/>
  <c r="D215" i="9"/>
  <c r="D203" i="9"/>
  <c r="C203" i="9"/>
  <c r="D349" i="9"/>
  <c r="C337" i="9"/>
  <c r="D362" i="9"/>
  <c r="C350" i="9"/>
  <c r="D455" i="9"/>
  <c r="C455" i="9"/>
  <c r="D521" i="9"/>
  <c r="C509" i="9"/>
  <c r="D27" i="10"/>
  <c r="C87" i="10"/>
  <c r="D99" i="10"/>
  <c r="C109" i="10"/>
  <c r="D120" i="10"/>
  <c r="D108" i="10"/>
  <c r="C108" i="10"/>
  <c r="C185" i="10"/>
  <c r="D196" i="10"/>
  <c r="D184" i="10"/>
  <c r="D216" i="10"/>
  <c r="C362" i="10"/>
  <c r="D374" i="10"/>
  <c r="C403" i="10"/>
  <c r="D403" i="10"/>
  <c r="D415" i="10"/>
  <c r="D567" i="10"/>
  <c r="C555" i="10"/>
  <c r="C592" i="10"/>
  <c r="C606" i="10"/>
  <c r="C73" i="11"/>
  <c r="C219" i="11"/>
  <c r="D231" i="11"/>
  <c r="D337" i="11"/>
  <c r="C325" i="11"/>
  <c r="D332" i="11"/>
  <c r="C388" i="11"/>
  <c r="D522" i="11"/>
  <c r="C510" i="11"/>
  <c r="D526" i="11"/>
  <c r="D73" i="12"/>
  <c r="D61" i="12"/>
  <c r="C61" i="12"/>
  <c r="D112" i="12"/>
  <c r="C101" i="12"/>
  <c r="C100" i="12"/>
  <c r="D121" i="12"/>
  <c r="C109" i="12"/>
  <c r="C118" i="12"/>
  <c r="D130" i="12"/>
  <c r="D118" i="12"/>
  <c r="C258" i="12"/>
  <c r="D270" i="12"/>
  <c r="D293" i="12"/>
  <c r="C282" i="12"/>
  <c r="C310" i="12"/>
  <c r="C335" i="12"/>
  <c r="D347" i="12"/>
  <c r="D335" i="12"/>
  <c r="D378" i="12"/>
  <c r="D366" i="12"/>
  <c r="C366" i="12"/>
  <c r="D507" i="12"/>
  <c r="C783" i="3"/>
  <c r="U1205" i="3"/>
  <c r="D83" i="4"/>
  <c r="C71" i="4"/>
  <c r="D170" i="4"/>
  <c r="C158" i="4"/>
  <c r="D298" i="4"/>
  <c r="C386" i="4"/>
  <c r="D486" i="4"/>
  <c r="C487" i="4"/>
  <c r="D549" i="4"/>
  <c r="C549" i="4"/>
  <c r="D21" i="6"/>
  <c r="C10" i="6"/>
  <c r="C9" i="6"/>
  <c r="D38" i="6"/>
  <c r="C27" i="6"/>
  <c r="C128" i="6"/>
  <c r="D140" i="6"/>
  <c r="D128" i="6"/>
  <c r="C193" i="6"/>
  <c r="D204" i="6"/>
  <c r="C236" i="6"/>
  <c r="D248" i="6"/>
  <c r="D325" i="6"/>
  <c r="C313" i="6"/>
  <c r="D357" i="6"/>
  <c r="C345" i="6"/>
  <c r="C405" i="6"/>
  <c r="D424" i="6"/>
  <c r="C412" i="6"/>
  <c r="D412" i="6"/>
  <c r="C522" i="6"/>
  <c r="D534" i="6"/>
  <c r="C533" i="6"/>
  <c r="D532" i="6"/>
  <c r="C532" i="6"/>
  <c r="D573" i="6"/>
  <c r="C561" i="6"/>
  <c r="D210" i="7"/>
  <c r="C198" i="7"/>
  <c r="D226" i="7"/>
  <c r="C214" i="7"/>
  <c r="D257" i="7"/>
  <c r="D438" i="7"/>
  <c r="C426" i="7"/>
  <c r="C547" i="7"/>
  <c r="D559" i="7"/>
  <c r="C606" i="7"/>
  <c r="D617" i="7"/>
  <c r="C605" i="7"/>
  <c r="C48" i="8"/>
  <c r="D60" i="8"/>
  <c r="D77" i="8"/>
  <c r="C65" i="8"/>
  <c r="D65" i="8"/>
  <c r="C215" i="8"/>
  <c r="D227" i="8"/>
  <c r="C377" i="8"/>
  <c r="D389" i="8"/>
  <c r="D397" i="8"/>
  <c r="D385" i="8"/>
  <c r="C385" i="8"/>
  <c r="D406" i="8"/>
  <c r="C394" i="8"/>
  <c r="D515" i="8"/>
  <c r="C515" i="8"/>
  <c r="D527" i="8"/>
  <c r="C124" i="9"/>
  <c r="D124" i="9"/>
  <c r="D136" i="9"/>
  <c r="D254" i="9"/>
  <c r="C242" i="9"/>
  <c r="C256" i="9"/>
  <c r="D268" i="9"/>
  <c r="C257" i="9"/>
  <c r="D411" i="9"/>
  <c r="D399" i="9"/>
  <c r="C399" i="9"/>
  <c r="C423" i="9"/>
  <c r="D435" i="9"/>
  <c r="C536" i="9"/>
  <c r="D536" i="9"/>
  <c r="D548" i="9"/>
  <c r="D63" i="10"/>
  <c r="D266" i="10"/>
  <c r="C255" i="10"/>
  <c r="C254" i="10"/>
  <c r="C269" i="10"/>
  <c r="D280" i="10"/>
  <c r="C268" i="10"/>
  <c r="C332" i="10"/>
  <c r="C331" i="10"/>
  <c r="D343" i="10"/>
  <c r="D363" i="10"/>
  <c r="C351" i="10"/>
  <c r="C461" i="10"/>
  <c r="C460" i="10"/>
  <c r="D472" i="10"/>
  <c r="C509" i="10"/>
  <c r="D520" i="10"/>
  <c r="C508" i="10"/>
  <c r="C537" i="10"/>
  <c r="C536" i="10"/>
  <c r="D548" i="10"/>
  <c r="C579" i="10"/>
  <c r="D579" i="10"/>
  <c r="D591" i="10"/>
  <c r="D176" i="11"/>
  <c r="C164" i="11"/>
  <c r="C187" i="11"/>
  <c r="D199" i="11"/>
  <c r="C283" i="11"/>
  <c r="D295" i="11"/>
  <c r="D347" i="11"/>
  <c r="C336" i="11"/>
  <c r="C335" i="11"/>
  <c r="C14" i="12"/>
  <c r="C15" i="12"/>
  <c r="C71" i="12"/>
  <c r="D83" i="12"/>
  <c r="C72" i="12"/>
  <c r="C86" i="12"/>
  <c r="D98" i="12"/>
  <c r="C142" i="12"/>
  <c r="D154" i="12"/>
  <c r="C143" i="12"/>
  <c r="D471" i="12"/>
  <c r="C460" i="12"/>
  <c r="C459" i="12"/>
  <c r="C855" i="3"/>
  <c r="C1238" i="3"/>
  <c r="D115" i="4"/>
  <c r="C103" i="4"/>
  <c r="C131" i="4"/>
  <c r="D137" i="4"/>
  <c r="C179" i="4"/>
  <c r="D178" i="4"/>
  <c r="C178" i="4"/>
  <c r="C238" i="4"/>
  <c r="C279" i="4"/>
  <c r="D324" i="4"/>
  <c r="D358" i="4"/>
  <c r="C479" i="4"/>
  <c r="D479" i="4"/>
  <c r="D491" i="4"/>
  <c r="D562" i="4"/>
  <c r="C562" i="4"/>
  <c r="D574" i="4"/>
  <c r="D608" i="4"/>
  <c r="C596" i="4"/>
  <c r="C911" i="3"/>
  <c r="C1023" i="3"/>
  <c r="C1060" i="3"/>
  <c r="C1084" i="3"/>
  <c r="C1218" i="3"/>
  <c r="C18" i="4"/>
  <c r="C25" i="4"/>
  <c r="D103" i="4"/>
  <c r="D158" i="4"/>
  <c r="D190" i="4"/>
  <c r="C224" i="4"/>
  <c r="C231" i="4"/>
  <c r="C286" i="4"/>
  <c r="C312" i="4"/>
  <c r="D364" i="4"/>
  <c r="D371" i="4"/>
  <c r="C359" i="4"/>
  <c r="C439" i="4"/>
  <c r="C446" i="4"/>
  <c r="C474" i="4"/>
  <c r="C550" i="4"/>
  <c r="D595" i="4"/>
  <c r="C26" i="6"/>
  <c r="C48" i="6"/>
  <c r="D76" i="6"/>
  <c r="C192" i="6"/>
  <c r="D236" i="6"/>
  <c r="D256" i="6"/>
  <c r="C245" i="6"/>
  <c r="D244" i="6"/>
  <c r="C244" i="6"/>
  <c r="D289" i="6"/>
  <c r="C306" i="6"/>
  <c r="D318" i="6"/>
  <c r="C375" i="6"/>
  <c r="C391" i="6"/>
  <c r="C390" i="6"/>
  <c r="D434" i="6"/>
  <c r="D422" i="6"/>
  <c r="C422" i="6"/>
  <c r="D502" i="6"/>
  <c r="D513" i="6"/>
  <c r="C501" i="6"/>
  <c r="D521" i="6"/>
  <c r="C540" i="6"/>
  <c r="C546" i="6"/>
  <c r="D546" i="6"/>
  <c r="C562" i="6"/>
  <c r="D581" i="6"/>
  <c r="C569" i="6"/>
  <c r="C576" i="6"/>
  <c r="D57" i="7"/>
  <c r="D45" i="7"/>
  <c r="C91" i="7"/>
  <c r="D103" i="7"/>
  <c r="C245" i="7"/>
  <c r="D264" i="7"/>
  <c r="D252" i="7"/>
  <c r="C253" i="7"/>
  <c r="C261" i="7"/>
  <c r="D282" i="7"/>
  <c r="C270" i="7"/>
  <c r="D298" i="7"/>
  <c r="C286" i="7"/>
  <c r="C287" i="7"/>
  <c r="D480" i="7"/>
  <c r="D468" i="7"/>
  <c r="D538" i="7"/>
  <c r="C526" i="7"/>
  <c r="C540" i="7"/>
  <c r="D547" i="7"/>
  <c r="D605" i="7"/>
  <c r="D48" i="8"/>
  <c r="D68" i="8"/>
  <c r="C56" i="8"/>
  <c r="D134" i="8"/>
  <c r="C154" i="8"/>
  <c r="C153" i="8"/>
  <c r="C191" i="8"/>
  <c r="D191" i="8"/>
  <c r="D228" i="8"/>
  <c r="C216" i="8"/>
  <c r="D244" i="8"/>
  <c r="D232" i="8"/>
  <c r="C232" i="8"/>
  <c r="C248" i="8"/>
  <c r="D259" i="8"/>
  <c r="D247" i="8"/>
  <c r="D266" i="8"/>
  <c r="C254" i="8"/>
  <c r="D342" i="8"/>
  <c r="C330" i="8"/>
  <c r="D361" i="8"/>
  <c r="D373" i="8"/>
  <c r="C361" i="8"/>
  <c r="D448" i="8"/>
  <c r="C436" i="8"/>
  <c r="D478" i="8"/>
  <c r="C466" i="8"/>
  <c r="D502" i="8"/>
  <c r="C490" i="8"/>
  <c r="C491" i="8"/>
  <c r="D542" i="8"/>
  <c r="C530" i="8"/>
  <c r="C611" i="8"/>
  <c r="D611" i="8"/>
  <c r="D20" i="9"/>
  <c r="C8" i="9"/>
  <c r="D97" i="9"/>
  <c r="C85" i="9"/>
  <c r="C106" i="9"/>
  <c r="D117" i="9"/>
  <c r="C105" i="9"/>
  <c r="C214" i="9"/>
  <c r="D242" i="9"/>
  <c r="D256" i="9"/>
  <c r="D270" i="9"/>
  <c r="D282" i="9"/>
  <c r="C271" i="9"/>
  <c r="C270" i="9"/>
  <c r="D287" i="9"/>
  <c r="D299" i="9"/>
  <c r="C287" i="9"/>
  <c r="C424" i="9"/>
  <c r="D436" i="9"/>
  <c r="D471" i="9"/>
  <c r="C459" i="9"/>
  <c r="D478" i="9"/>
  <c r="C466" i="9"/>
  <c r="C51" i="10"/>
  <c r="C83" i="10"/>
  <c r="D94" i="10"/>
  <c r="C82" i="10"/>
  <c r="C105" i="10"/>
  <c r="D116" i="10"/>
  <c r="C133" i="10"/>
  <c r="D144" i="10"/>
  <c r="C138" i="10"/>
  <c r="D150" i="10"/>
  <c r="D351" i="10"/>
  <c r="C420" i="10"/>
  <c r="C428" i="10"/>
  <c r="C427" i="10"/>
  <c r="D439" i="10"/>
  <c r="D80" i="11"/>
  <c r="D68" i="11"/>
  <c r="C68" i="11"/>
  <c r="D164" i="11"/>
  <c r="C180" i="11"/>
  <c r="D192" i="11"/>
  <c r="D200" i="11"/>
  <c r="C188" i="11"/>
  <c r="D225" i="11"/>
  <c r="C213" i="11"/>
  <c r="C214" i="11"/>
  <c r="C274" i="11"/>
  <c r="C275" i="11"/>
  <c r="D296" i="11"/>
  <c r="C284" i="11"/>
  <c r="C292" i="11"/>
  <c r="D611" i="11"/>
  <c r="C78" i="12"/>
  <c r="D90" i="12"/>
  <c r="D422" i="12"/>
  <c r="C411" i="12"/>
  <c r="D410" i="12"/>
  <c r="C410" i="12"/>
  <c r="D488" i="12"/>
  <c r="C476" i="12"/>
  <c r="D333" i="6"/>
  <c r="C322" i="6"/>
  <c r="C321" i="6"/>
  <c r="D356" i="6"/>
  <c r="D397" i="6"/>
  <c r="C385" i="6"/>
  <c r="C430" i="6"/>
  <c r="D477" i="6"/>
  <c r="C478" i="6"/>
  <c r="D553" i="6"/>
  <c r="C542" i="6"/>
  <c r="C541" i="6"/>
  <c r="C583" i="6"/>
  <c r="D595" i="6"/>
  <c r="C598" i="6"/>
  <c r="D610" i="6"/>
  <c r="C611" i="6"/>
  <c r="C22" i="7"/>
  <c r="C29" i="7"/>
  <c r="D29" i="7"/>
  <c r="D62" i="7"/>
  <c r="C50" i="7"/>
  <c r="D137" i="7"/>
  <c r="D125" i="7"/>
  <c r="C139" i="7"/>
  <c r="C140" i="7"/>
  <c r="D139" i="7"/>
  <c r="D174" i="7"/>
  <c r="C162" i="7"/>
  <c r="D230" i="7"/>
  <c r="C218" i="7"/>
  <c r="D306" i="7"/>
  <c r="C294" i="7"/>
  <c r="D322" i="7"/>
  <c r="C310" i="7"/>
  <c r="D346" i="7"/>
  <c r="C334" i="7"/>
  <c r="C335" i="7"/>
  <c r="D353" i="7"/>
  <c r="D341" i="7"/>
  <c r="C341" i="7"/>
  <c r="D383" i="7"/>
  <c r="D371" i="7"/>
  <c r="D398" i="7"/>
  <c r="C386" i="7"/>
  <c r="D414" i="7"/>
  <c r="C402" i="7"/>
  <c r="C469" i="7"/>
  <c r="C545" i="7"/>
  <c r="D557" i="7"/>
  <c r="D553" i="7"/>
  <c r="D565" i="7"/>
  <c r="D611" i="7"/>
  <c r="C599" i="7"/>
  <c r="D599" i="7"/>
  <c r="C600" i="7"/>
  <c r="C49" i="8"/>
  <c r="D61" i="8"/>
  <c r="D132" i="8"/>
  <c r="C120" i="8"/>
  <c r="D161" i="8"/>
  <c r="C150" i="8"/>
  <c r="C149" i="8"/>
  <c r="C188" i="8"/>
  <c r="D199" i="8"/>
  <c r="C187" i="8"/>
  <c r="D230" i="8"/>
  <c r="C218" i="8"/>
  <c r="C296" i="8"/>
  <c r="C295" i="8"/>
  <c r="D307" i="8"/>
  <c r="C320" i="8"/>
  <c r="D331" i="8"/>
  <c r="D473" i="8"/>
  <c r="C461" i="8"/>
  <c r="D537" i="8"/>
  <c r="C525" i="8"/>
  <c r="D577" i="8"/>
  <c r="C577" i="8"/>
  <c r="D589" i="8"/>
  <c r="D606" i="8"/>
  <c r="C594" i="8"/>
  <c r="C43" i="9"/>
  <c r="C49" i="9"/>
  <c r="D48" i="9"/>
  <c r="D60" i="9"/>
  <c r="D155" i="9"/>
  <c r="D143" i="9"/>
  <c r="D224" i="9"/>
  <c r="C305" i="9"/>
  <c r="D405" i="9"/>
  <c r="C405" i="9"/>
  <c r="D417" i="9"/>
  <c r="D425" i="9"/>
  <c r="D413" i="9"/>
  <c r="C566" i="9"/>
  <c r="D595" i="9"/>
  <c r="D583" i="9"/>
  <c r="C583" i="9"/>
  <c r="D131" i="10"/>
  <c r="D119" i="10"/>
  <c r="C119" i="10"/>
  <c r="C161" i="10"/>
  <c r="D172" i="10"/>
  <c r="C160" i="10"/>
  <c r="C384" i="10"/>
  <c r="D395" i="10"/>
  <c r="C389" i="10"/>
  <c r="C388" i="10"/>
  <c r="D515" i="10"/>
  <c r="D503" i="10"/>
  <c r="C531" i="10"/>
  <c r="C602" i="10"/>
  <c r="D614" i="10"/>
  <c r="D28" i="11"/>
  <c r="C28" i="11"/>
  <c r="D40" i="11"/>
  <c r="D92" i="11"/>
  <c r="C81" i="11"/>
  <c r="D87" i="11"/>
  <c r="C87" i="11"/>
  <c r="D99" i="11"/>
  <c r="D171" i="11"/>
  <c r="C159" i="11"/>
  <c r="D159" i="11"/>
  <c r="C224" i="11"/>
  <c r="D236" i="11"/>
  <c r="D279" i="11"/>
  <c r="C267" i="11"/>
  <c r="D297" i="11"/>
  <c r="C285" i="11"/>
  <c r="C304" i="11"/>
  <c r="D315" i="11"/>
  <c r="D371" i="11"/>
  <c r="C359" i="11"/>
  <c r="D359" i="11"/>
  <c r="D473" i="11"/>
  <c r="C461" i="11"/>
  <c r="D593" i="11"/>
  <c r="C581" i="11"/>
  <c r="D265" i="12"/>
  <c r="C254" i="12"/>
  <c r="D288" i="12"/>
  <c r="C276" i="12"/>
  <c r="D350" i="12"/>
  <c r="C338" i="12"/>
  <c r="C408" i="12"/>
  <c r="D420" i="12"/>
  <c r="C409" i="12"/>
  <c r="C615" i="12"/>
  <c r="D614" i="12"/>
  <c r="C1109" i="3"/>
  <c r="C1148" i="3"/>
  <c r="C1187" i="3"/>
  <c r="D24" i="4"/>
  <c r="D44" i="4"/>
  <c r="C32" i="4"/>
  <c r="C70" i="4"/>
  <c r="D69" i="4"/>
  <c r="C69" i="4"/>
  <c r="D88" i="4"/>
  <c r="D176" i="4"/>
  <c r="D183" i="4"/>
  <c r="C171" i="4"/>
  <c r="D220" i="4"/>
  <c r="D264" i="4"/>
  <c r="C252" i="4"/>
  <c r="D271" i="4"/>
  <c r="C259" i="4"/>
  <c r="C296" i="4"/>
  <c r="D315" i="4"/>
  <c r="C323" i="4"/>
  <c r="D359" i="4"/>
  <c r="C353" i="4"/>
  <c r="C379" i="4"/>
  <c r="D410" i="4"/>
  <c r="C398" i="4"/>
  <c r="D508" i="4"/>
  <c r="C523" i="4"/>
  <c r="D569" i="4"/>
  <c r="C563" i="4"/>
  <c r="C589" i="4"/>
  <c r="C602" i="4"/>
  <c r="D47" i="6"/>
  <c r="C140" i="6"/>
  <c r="D160" i="6"/>
  <c r="C149" i="6"/>
  <c r="D148" i="6"/>
  <c r="D181" i="6"/>
  <c r="C169" i="6"/>
  <c r="C170" i="6"/>
  <c r="D176" i="6"/>
  <c r="D183" i="6"/>
  <c r="C184" i="6"/>
  <c r="D217" i="6"/>
  <c r="C273" i="6"/>
  <c r="D313" i="6"/>
  <c r="C307" i="6"/>
  <c r="D342" i="6"/>
  <c r="C336" i="6"/>
  <c r="C344" i="6"/>
  <c r="C386" i="6"/>
  <c r="D405" i="6"/>
  <c r="C393" i="6"/>
  <c r="D443" i="6"/>
  <c r="C465" i="6"/>
  <c r="D547" i="6"/>
  <c r="D535" i="6"/>
  <c r="D27" i="7"/>
  <c r="C16" i="7"/>
  <c r="C15" i="7"/>
  <c r="C109" i="7"/>
  <c r="D130" i="7"/>
  <c r="C118" i="7"/>
  <c r="C125" i="7"/>
  <c r="D161" i="7"/>
  <c r="C157" i="7"/>
  <c r="D168" i="7"/>
  <c r="D190" i="7"/>
  <c r="C178" i="7"/>
  <c r="D198" i="7"/>
  <c r="C186" i="7"/>
  <c r="D231" i="7"/>
  <c r="D259" i="7"/>
  <c r="C248" i="7"/>
  <c r="C295" i="7"/>
  <c r="D307" i="7"/>
  <c r="C312" i="7"/>
  <c r="D311" i="7"/>
  <c r="C311" i="7"/>
  <c r="D323" i="7"/>
  <c r="C364" i="7"/>
  <c r="D375" i="7"/>
  <c r="C371" i="7"/>
  <c r="D406" i="7"/>
  <c r="C394" i="7"/>
  <c r="C395" i="7"/>
  <c r="C447" i="7"/>
  <c r="D474" i="7"/>
  <c r="C462" i="7"/>
  <c r="C463" i="7"/>
  <c r="D519" i="7"/>
  <c r="D531" i="7"/>
  <c r="D558" i="7"/>
  <c r="C546" i="7"/>
  <c r="C553" i="7"/>
  <c r="C568" i="7"/>
  <c r="D596" i="7"/>
  <c r="D584" i="7"/>
  <c r="D21" i="8"/>
  <c r="C9" i="8"/>
  <c r="C26" i="8"/>
  <c r="C106" i="8"/>
  <c r="D117" i="8"/>
  <c r="D105" i="8"/>
  <c r="D120" i="8"/>
  <c r="D155" i="8"/>
  <c r="D143" i="8"/>
  <c r="D187" i="8"/>
  <c r="D215" i="8"/>
  <c r="C203" i="8"/>
  <c r="D222" i="8"/>
  <c r="C211" i="8"/>
  <c r="C210" i="8"/>
  <c r="D238" i="8"/>
  <c r="C226" i="8"/>
  <c r="D324" i="8"/>
  <c r="C312" i="8"/>
  <c r="C319" i="8"/>
  <c r="C500" i="8"/>
  <c r="D521" i="8"/>
  <c r="C509" i="8"/>
  <c r="D530" i="8"/>
  <c r="C518" i="8"/>
  <c r="D525" i="8"/>
  <c r="C541" i="8"/>
  <c r="C540" i="8"/>
  <c r="D590" i="8"/>
  <c r="C578" i="8"/>
  <c r="C595" i="8"/>
  <c r="C601" i="8"/>
  <c r="C48" i="9"/>
  <c r="D80" i="9"/>
  <c r="C68" i="9"/>
  <c r="C143" i="9"/>
  <c r="D212" i="9"/>
  <c r="C320" i="9"/>
  <c r="D332" i="9"/>
  <c r="D320" i="9"/>
  <c r="D392" i="9"/>
  <c r="C413" i="9"/>
  <c r="C431" i="9"/>
  <c r="D443" i="9"/>
  <c r="C544" i="9"/>
  <c r="D544" i="9"/>
  <c r="D556" i="9"/>
  <c r="C567" i="9"/>
  <c r="D579" i="9"/>
  <c r="C608" i="9"/>
  <c r="C609" i="9"/>
  <c r="C20" i="10"/>
  <c r="C26" i="10"/>
  <c r="D38" i="10"/>
  <c r="C154" i="10"/>
  <c r="C267" i="10"/>
  <c r="C279" i="10"/>
  <c r="D291" i="10"/>
  <c r="C383" i="10"/>
  <c r="C503" i="10"/>
  <c r="C545" i="10"/>
  <c r="D556" i="10"/>
  <c r="D544" i="10"/>
  <c r="C544" i="10"/>
  <c r="C595" i="10"/>
  <c r="D607" i="10"/>
  <c r="D615" i="10"/>
  <c r="C604" i="10"/>
  <c r="D603" i="10"/>
  <c r="C13" i="11"/>
  <c r="C21" i="11"/>
  <c r="C43" i="11"/>
  <c r="C80" i="11"/>
  <c r="D224" i="11"/>
  <c r="D244" i="11"/>
  <c r="C232" i="11"/>
  <c r="D267" i="11"/>
  <c r="C276" i="11"/>
  <c r="C303" i="11"/>
  <c r="D427" i="11"/>
  <c r="D415" i="11"/>
  <c r="D434" i="11"/>
  <c r="C422" i="11"/>
  <c r="D443" i="11"/>
  <c r="D431" i="11"/>
  <c r="C454" i="11"/>
  <c r="D466" i="11"/>
  <c r="D454" i="11"/>
  <c r="C463" i="11"/>
  <c r="C462" i="11"/>
  <c r="D474" i="11"/>
  <c r="C513" i="11"/>
  <c r="D524" i="11"/>
  <c r="D512" i="11"/>
  <c r="C512" i="11"/>
  <c r="C520" i="11"/>
  <c r="D540" i="11"/>
  <c r="C540" i="11"/>
  <c r="C574" i="11"/>
  <c r="D586" i="11"/>
  <c r="D211" i="12"/>
  <c r="C199" i="12"/>
  <c r="C200" i="12"/>
  <c r="C239" i="12"/>
  <c r="D247" i="12"/>
  <c r="C247" i="12"/>
  <c r="C253" i="12"/>
  <c r="D276" i="12"/>
  <c r="D302" i="12"/>
  <c r="C290" i="12"/>
  <c r="C451" i="12"/>
  <c r="D617" i="12"/>
  <c r="C605" i="12"/>
  <c r="C614" i="12"/>
  <c r="C14" i="4"/>
  <c r="D71" i="4"/>
  <c r="C65" i="4"/>
  <c r="C91" i="4"/>
  <c r="D122" i="4"/>
  <c r="C110" i="4"/>
  <c r="D154" i="4"/>
  <c r="C192" i="4"/>
  <c r="D191" i="4"/>
  <c r="C191" i="4"/>
  <c r="D203" i="4"/>
  <c r="D229" i="4"/>
  <c r="D280" i="4"/>
  <c r="C318" i="4"/>
  <c r="C343" i="4"/>
  <c r="C362" i="4"/>
  <c r="D412" i="4"/>
  <c r="D425" i="4"/>
  <c r="C419" i="4"/>
  <c r="C445" i="4"/>
  <c r="C526" i="4"/>
  <c r="D564" i="4"/>
  <c r="C552" i="4"/>
  <c r="D603" i="4"/>
  <c r="C591" i="4"/>
  <c r="D35" i="6"/>
  <c r="D23" i="6"/>
  <c r="C23" i="6"/>
  <c r="D57" i="6"/>
  <c r="C45" i="6"/>
  <c r="D100" i="6"/>
  <c r="C101" i="6"/>
  <c r="D112" i="6"/>
  <c r="D135" i="6"/>
  <c r="C136" i="6"/>
  <c r="D155" i="6"/>
  <c r="C143" i="6"/>
  <c r="D143" i="6"/>
  <c r="D253" i="6"/>
  <c r="C380" i="6"/>
  <c r="D380" i="6"/>
  <c r="D400" i="6"/>
  <c r="C389" i="6"/>
  <c r="D388" i="6"/>
  <c r="C388" i="6"/>
  <c r="C410" i="6"/>
  <c r="D501" i="6"/>
  <c r="C489" i="6"/>
  <c r="D542" i="6"/>
  <c r="D530" i="6"/>
  <c r="C530" i="6"/>
  <c r="D556" i="6"/>
  <c r="D577" i="6"/>
  <c r="C565" i="6"/>
  <c r="C587" i="6"/>
  <c r="D605" i="6"/>
  <c r="C593" i="6"/>
  <c r="C606" i="6"/>
  <c r="C614" i="6"/>
  <c r="C61" i="7"/>
  <c r="D60" i="7"/>
  <c r="D72" i="7"/>
  <c r="C60" i="7"/>
  <c r="D94" i="7"/>
  <c r="C82" i="7"/>
  <c r="D102" i="7"/>
  <c r="C90" i="7"/>
  <c r="C205" i="7"/>
  <c r="C227" i="7"/>
  <c r="C427" i="7"/>
  <c r="D427" i="7"/>
  <c r="D439" i="7"/>
  <c r="C443" i="7"/>
  <c r="C480" i="7"/>
  <c r="D491" i="7"/>
  <c r="D526" i="7"/>
  <c r="C514" i="7"/>
  <c r="D73" i="8"/>
  <c r="C61" i="8"/>
  <c r="D95" i="8"/>
  <c r="C83" i="8"/>
  <c r="C99" i="8"/>
  <c r="C176" i="8"/>
  <c r="C175" i="8"/>
  <c r="D194" i="8"/>
  <c r="C183" i="8"/>
  <c r="D318" i="8"/>
  <c r="C306" i="8"/>
  <c r="D390" i="8"/>
  <c r="C378" i="8"/>
  <c r="D414" i="8"/>
  <c r="C402" i="8"/>
  <c r="C473" i="8"/>
  <c r="D485" i="8"/>
  <c r="D570" i="8"/>
  <c r="C558" i="8"/>
  <c r="D130" i="9"/>
  <c r="C130" i="9"/>
  <c r="D291" i="9"/>
  <c r="D303" i="9"/>
  <c r="D342" i="9"/>
  <c r="C330" i="9"/>
  <c r="C349" i="9"/>
  <c r="D361" i="9"/>
  <c r="C467" i="9"/>
  <c r="D578" i="9"/>
  <c r="C602" i="9"/>
  <c r="D614" i="9"/>
  <c r="C89" i="10"/>
  <c r="D100" i="10"/>
  <c r="D88" i="10"/>
  <c r="C94" i="10"/>
  <c r="D106" i="10"/>
  <c r="C195" i="10"/>
  <c r="D207" i="10"/>
  <c r="C248" i="10"/>
  <c r="C257" i="10"/>
  <c r="D268" i="10"/>
  <c r="C256" i="10"/>
  <c r="D256" i="10"/>
  <c r="C325" i="10"/>
  <c r="D336" i="10"/>
  <c r="C324" i="10"/>
  <c r="D438" i="10"/>
  <c r="D426" i="10"/>
  <c r="D471" i="10"/>
  <c r="C459" i="10"/>
  <c r="D479" i="10"/>
  <c r="C479" i="10"/>
  <c r="C243" i="11"/>
  <c r="D274" i="11"/>
  <c r="D446" i="11"/>
  <c r="C434" i="11"/>
  <c r="C456" i="11"/>
  <c r="D468" i="11"/>
  <c r="D456" i="11"/>
  <c r="C457" i="11"/>
  <c r="D137" i="12"/>
  <c r="D125" i="12"/>
  <c r="C125" i="12"/>
  <c r="C186" i="12"/>
  <c r="D186" i="12"/>
  <c r="D332" i="12"/>
  <c r="C332" i="12"/>
  <c r="D344" i="12"/>
  <c r="D383" i="12"/>
  <c r="C372" i="12"/>
  <c r="D371" i="12"/>
  <c r="D432" i="12"/>
  <c r="C420" i="12"/>
  <c r="D449" i="12"/>
  <c r="C437" i="12"/>
  <c r="C438" i="12"/>
  <c r="C497" i="4"/>
  <c r="C24" i="6"/>
  <c r="D48" i="6"/>
  <c r="C36" i="6"/>
  <c r="C107" i="6"/>
  <c r="D149" i="6"/>
  <c r="C137" i="6"/>
  <c r="C511" i="6"/>
  <c r="D54" i="7"/>
  <c r="C42" i="7"/>
  <c r="C235" i="7"/>
  <c r="D247" i="7"/>
  <c r="C263" i="7"/>
  <c r="C264" i="7"/>
  <c r="D310" i="7"/>
  <c r="C298" i="7"/>
  <c r="C409" i="7"/>
  <c r="D421" i="7"/>
  <c r="D564" i="7"/>
  <c r="C564" i="7"/>
  <c r="D49" i="8"/>
  <c r="D99" i="8"/>
  <c r="C87" i="8"/>
  <c r="D121" i="8"/>
  <c r="D109" i="8"/>
  <c r="D182" i="8"/>
  <c r="C170" i="8"/>
  <c r="D197" i="8"/>
  <c r="D267" i="8"/>
  <c r="C256" i="8"/>
  <c r="D532" i="8"/>
  <c r="D560" i="8"/>
  <c r="D617" i="8"/>
  <c r="C164" i="9"/>
  <c r="D176" i="9"/>
  <c r="C179" i="9"/>
  <c r="D353" i="9"/>
  <c r="C353" i="9"/>
  <c r="C448" i="9"/>
  <c r="D460" i="9"/>
  <c r="C526" i="9"/>
  <c r="D538" i="9"/>
  <c r="C562" i="9"/>
  <c r="C561" i="9"/>
  <c r="C8" i="10"/>
  <c r="C201" i="10"/>
  <c r="C200" i="10"/>
  <c r="D212" i="10"/>
  <c r="C558" i="10"/>
  <c r="C559" i="10"/>
  <c r="D570" i="10"/>
  <c r="D385" i="11"/>
  <c r="C373" i="11"/>
  <c r="D463" i="11"/>
  <c r="C452" i="11"/>
  <c r="D451" i="11"/>
  <c r="C58" i="12"/>
  <c r="D70" i="12"/>
  <c r="D163" i="12"/>
  <c r="C151" i="12"/>
  <c r="D239" i="12"/>
  <c r="D260" i="12"/>
  <c r="D248" i="12"/>
  <c r="C248" i="12"/>
  <c r="C246" i="11"/>
  <c r="C346" i="11"/>
  <c r="D358" i="11"/>
  <c r="C366" i="11"/>
  <c r="C451" i="11"/>
  <c r="D499" i="11"/>
  <c r="C499" i="11"/>
  <c r="D108" i="12"/>
  <c r="D96" i="12"/>
  <c r="C211" i="12"/>
  <c r="D223" i="12"/>
  <c r="C227" i="12"/>
  <c r="C234" i="12"/>
  <c r="D282" i="12"/>
  <c r="C270" i="12"/>
  <c r="C383" i="12"/>
  <c r="D395" i="12"/>
  <c r="D418" i="12"/>
  <c r="D406" i="12"/>
  <c r="C406" i="12"/>
  <c r="C446" i="12"/>
  <c r="D458" i="12"/>
  <c r="C503" i="12"/>
  <c r="C502" i="12"/>
  <c r="D534" i="12"/>
  <c r="D546" i="12"/>
  <c r="C534" i="12"/>
  <c r="C550" i="12"/>
  <c r="D562" i="12"/>
  <c r="D550" i="12"/>
  <c r="D603" i="12"/>
  <c r="D591" i="12"/>
  <c r="C414" i="4"/>
  <c r="C475" i="4"/>
  <c r="C558" i="4"/>
  <c r="C156" i="6"/>
  <c r="C155" i="6"/>
  <c r="D309" i="6"/>
  <c r="C297" i="6"/>
  <c r="D346" i="6"/>
  <c r="C432" i="6"/>
  <c r="D444" i="6"/>
  <c r="D529" i="6"/>
  <c r="C523" i="6"/>
  <c r="D78" i="7"/>
  <c r="C66" i="7"/>
  <c r="D111" i="7"/>
  <c r="C99" i="7"/>
  <c r="D178" i="7"/>
  <c r="C166" i="7"/>
  <c r="C283" i="7"/>
  <c r="D295" i="7"/>
  <c r="D495" i="7"/>
  <c r="C483" i="7"/>
  <c r="C571" i="7"/>
  <c r="D583" i="7"/>
  <c r="C45" i="8"/>
  <c r="D56" i="8"/>
  <c r="D44" i="8"/>
  <c r="D78" i="8"/>
  <c r="C67" i="8"/>
  <c r="C123" i="8"/>
  <c r="D135" i="8"/>
  <c r="C124" i="8"/>
  <c r="D334" i="8"/>
  <c r="C322" i="8"/>
  <c r="D430" i="8"/>
  <c r="C418" i="8"/>
  <c r="D183" i="9"/>
  <c r="C171" i="9"/>
  <c r="D313" i="9"/>
  <c r="C388" i="9"/>
  <c r="D400" i="9"/>
  <c r="C389" i="9"/>
  <c r="C589" i="9"/>
  <c r="D601" i="9"/>
  <c r="D66" i="10"/>
  <c r="C54" i="10"/>
  <c r="C231" i="10"/>
  <c r="D243" i="10"/>
  <c r="C321" i="10"/>
  <c r="D332" i="10"/>
  <c r="C373" i="10"/>
  <c r="D384" i="10"/>
  <c r="C372" i="10"/>
  <c r="C443" i="10"/>
  <c r="D563" i="10"/>
  <c r="C551" i="10"/>
  <c r="D58" i="11"/>
  <c r="C46" i="11"/>
  <c r="C278" i="11"/>
  <c r="D278" i="11"/>
  <c r="D439" i="11"/>
  <c r="C428" i="11"/>
  <c r="C427" i="11"/>
  <c r="D605" i="11"/>
  <c r="D215" i="12"/>
  <c r="D203" i="12"/>
  <c r="C203" i="12"/>
  <c r="C22" i="4"/>
  <c r="C21" i="4"/>
  <c r="D21" i="4"/>
  <c r="C83" i="4"/>
  <c r="C82" i="4"/>
  <c r="D82" i="4"/>
  <c r="C144" i="4"/>
  <c r="D143" i="4"/>
  <c r="C143" i="4"/>
  <c r="C166" i="4"/>
  <c r="C165" i="4"/>
  <c r="D165" i="4"/>
  <c r="C227" i="4"/>
  <c r="D226" i="4"/>
  <c r="C226" i="4"/>
  <c r="C248" i="4"/>
  <c r="C288" i="4"/>
  <c r="D287" i="4"/>
  <c r="C287" i="4"/>
  <c r="D309" i="4"/>
  <c r="C309" i="4"/>
  <c r="C420" i="4"/>
  <c r="C431" i="4"/>
  <c r="D431" i="4"/>
  <c r="C442" i="4"/>
  <c r="C454" i="4"/>
  <c r="D453" i="4"/>
  <c r="C453" i="4"/>
  <c r="C459" i="4"/>
  <c r="C464" i="4"/>
  <c r="C503" i="4"/>
  <c r="D514" i="4"/>
  <c r="C514" i="4"/>
  <c r="C520" i="4"/>
  <c r="C564" i="4"/>
  <c r="C575" i="4"/>
  <c r="D575" i="4"/>
  <c r="C586" i="4"/>
  <c r="C30" i="6"/>
  <c r="D36" i="6"/>
  <c r="C42" i="6"/>
  <c r="C55" i="6"/>
  <c r="D167" i="6"/>
  <c r="C196" i="6"/>
  <c r="C316" i="6"/>
  <c r="C334" i="6"/>
  <c r="C371" i="6"/>
  <c r="C407" i="6"/>
  <c r="D438" i="6"/>
  <c r="C480" i="6"/>
  <c r="C486" i="6"/>
  <c r="C493" i="6"/>
  <c r="D511" i="6"/>
  <c r="D523" i="6"/>
  <c r="C554" i="6"/>
  <c r="C566" i="6"/>
  <c r="D578" i="6"/>
  <c r="C608" i="6"/>
  <c r="C55" i="7"/>
  <c r="C113" i="7"/>
  <c r="D145" i="7"/>
  <c r="D166" i="7"/>
  <c r="C154" i="7"/>
  <c r="C167" i="7"/>
  <c r="D179" i="7"/>
  <c r="C168" i="7"/>
  <c r="D214" i="7"/>
  <c r="C202" i="7"/>
  <c r="C203" i="7"/>
  <c r="D235" i="7"/>
  <c r="C241" i="7"/>
  <c r="D289" i="7"/>
  <c r="C44" i="8"/>
  <c r="C95" i="8"/>
  <c r="D107" i="8"/>
  <c r="C103" i="8"/>
  <c r="D115" i="8"/>
  <c r="D261" i="8"/>
  <c r="C255" i="8"/>
  <c r="D282" i="8"/>
  <c r="C270" i="8"/>
  <c r="D320" i="8"/>
  <c r="D308" i="8"/>
  <c r="D378" i="8"/>
  <c r="C366" i="8"/>
  <c r="D401" i="8"/>
  <c r="C389" i="8"/>
  <c r="C412" i="8"/>
  <c r="C484" i="8"/>
  <c r="D496" i="8"/>
  <c r="C548" i="8"/>
  <c r="C605" i="8"/>
  <c r="D25" i="9"/>
  <c r="D137" i="9"/>
  <c r="C125" i="9"/>
  <c r="D164" i="9"/>
  <c r="C281" i="9"/>
  <c r="D314" i="9"/>
  <c r="C303" i="9"/>
  <c r="C418" i="9"/>
  <c r="C42" i="10"/>
  <c r="D54" i="10"/>
  <c r="C124" i="10"/>
  <c r="C157" i="10"/>
  <c r="C156" i="10"/>
  <c r="C213" i="10"/>
  <c r="D224" i="10"/>
  <c r="C212" i="10"/>
  <c r="C238" i="10"/>
  <c r="D250" i="10"/>
  <c r="C282" i="10"/>
  <c r="D307" i="10"/>
  <c r="C320" i="10"/>
  <c r="C347" i="10"/>
  <c r="C348" i="10"/>
  <c r="C392" i="10"/>
  <c r="C437" i="10"/>
  <c r="C436" i="10"/>
  <c r="D448" i="10"/>
  <c r="C487" i="10"/>
  <c r="C521" i="10"/>
  <c r="D532" i="10"/>
  <c r="D551" i="10"/>
  <c r="C581" i="10"/>
  <c r="C580" i="10"/>
  <c r="D592" i="10"/>
  <c r="C136" i="11"/>
  <c r="D148" i="11"/>
  <c r="D172" i="11"/>
  <c r="D160" i="11"/>
  <c r="C160" i="11"/>
  <c r="C916" i="3"/>
  <c r="C932" i="3"/>
  <c r="C948" i="3"/>
  <c r="C964" i="3"/>
  <c r="C980" i="3"/>
  <c r="C996" i="3"/>
  <c r="C1012" i="3"/>
  <c r="C1032" i="3"/>
  <c r="C1056" i="3"/>
  <c r="C1080" i="3"/>
  <c r="C38" i="4"/>
  <c r="D72" i="4"/>
  <c r="C60" i="4"/>
  <c r="C77" i="4"/>
  <c r="C99" i="4"/>
  <c r="C121" i="4"/>
  <c r="C138" i="4"/>
  <c r="C182" i="4"/>
  <c r="D216" i="4"/>
  <c r="C204" i="4"/>
  <c r="C221" i="4"/>
  <c r="C243" i="4"/>
  <c r="C265" i="4"/>
  <c r="C282" i="4"/>
  <c r="C310" i="4"/>
  <c r="C326" i="4"/>
  <c r="D360" i="4"/>
  <c r="C348" i="4"/>
  <c r="C365" i="4"/>
  <c r="C371" i="4"/>
  <c r="C387" i="4"/>
  <c r="C409" i="4"/>
  <c r="C426" i="4"/>
  <c r="C470" i="4"/>
  <c r="D504" i="4"/>
  <c r="C492" i="4"/>
  <c r="C509" i="4"/>
  <c r="C515" i="4"/>
  <c r="C531" i="4"/>
  <c r="C553" i="4"/>
  <c r="C570" i="4"/>
  <c r="D30" i="6"/>
  <c r="C43" i="6"/>
  <c r="C50" i="6"/>
  <c r="D62" i="6"/>
  <c r="D55" i="6"/>
  <c r="C61" i="6"/>
  <c r="C67" i="6"/>
  <c r="C85" i="6"/>
  <c r="C90" i="6"/>
  <c r="C108" i="6"/>
  <c r="C113" i="6"/>
  <c r="C138" i="6"/>
  <c r="D156" i="6"/>
  <c r="D203" i="6"/>
  <c r="C204" i="6"/>
  <c r="C210" i="6"/>
  <c r="D222" i="6"/>
  <c r="C221" i="6"/>
  <c r="C227" i="6"/>
  <c r="C251" i="6"/>
  <c r="D251" i="6"/>
  <c r="C263" i="6"/>
  <c r="D268" i="6"/>
  <c r="D274" i="6"/>
  <c r="D286" i="6"/>
  <c r="C292" i="6"/>
  <c r="C304" i="6"/>
  <c r="D316" i="6"/>
  <c r="C348" i="6"/>
  <c r="C365" i="6"/>
  <c r="D390" i="6"/>
  <c r="C383" i="6"/>
  <c r="C395" i="6"/>
  <c r="C401" i="6"/>
  <c r="D407" i="6"/>
  <c r="D425" i="6"/>
  <c r="C414" i="6"/>
  <c r="D426" i="6"/>
  <c r="C433" i="6"/>
  <c r="C439" i="6"/>
  <c r="C457" i="6"/>
  <c r="D486" i="6"/>
  <c r="C518" i="6"/>
  <c r="C524" i="6"/>
  <c r="D536" i="6"/>
  <c r="C536" i="6"/>
  <c r="D554" i="6"/>
  <c r="C560" i="6"/>
  <c r="C584" i="6"/>
  <c r="D596" i="6"/>
  <c r="C596" i="6"/>
  <c r="D614" i="6"/>
  <c r="D21" i="7"/>
  <c r="C9" i="7"/>
  <c r="C30" i="7"/>
  <c r="D42" i="7"/>
  <c r="D55" i="7"/>
  <c r="C80" i="7"/>
  <c r="D99" i="7"/>
  <c r="D113" i="7"/>
  <c r="C160" i="7"/>
  <c r="D167" i="7"/>
  <c r="C181" i="7"/>
  <c r="D241" i="7"/>
  <c r="D229" i="7"/>
  <c r="D248" i="7"/>
  <c r="C236" i="7"/>
  <c r="C256" i="7"/>
  <c r="D271" i="7"/>
  <c r="C277" i="7"/>
  <c r="C285" i="7"/>
  <c r="C299" i="7"/>
  <c r="C321" i="7"/>
  <c r="D333" i="7"/>
  <c r="C356" i="7"/>
  <c r="C368" i="7"/>
  <c r="D381" i="7"/>
  <c r="C389" i="7"/>
  <c r="D401" i="7"/>
  <c r="D416" i="7"/>
  <c r="D422" i="7"/>
  <c r="C410" i="7"/>
  <c r="D451" i="7"/>
  <c r="D457" i="7"/>
  <c r="D471" i="7"/>
  <c r="D502" i="7"/>
  <c r="C490" i="7"/>
  <c r="C491" i="7"/>
  <c r="D542" i="7"/>
  <c r="C530" i="7"/>
  <c r="C572" i="7"/>
  <c r="C23" i="8"/>
  <c r="D35" i="8"/>
  <c r="D50" i="8"/>
  <c r="C38" i="8"/>
  <c r="D72" i="8"/>
  <c r="C96" i="8"/>
  <c r="D122" i="8"/>
  <c r="C110" i="8"/>
  <c r="D131" i="8"/>
  <c r="C138" i="8"/>
  <c r="C144" i="8"/>
  <c r="D164" i="8"/>
  <c r="C171" i="8"/>
  <c r="D254" i="8"/>
  <c r="C242" i="8"/>
  <c r="C249" i="8"/>
  <c r="D276" i="8"/>
  <c r="C272" i="8"/>
  <c r="C271" i="8"/>
  <c r="D290" i="8"/>
  <c r="C278" i="8"/>
  <c r="C300" i="8"/>
  <c r="C308" i="8"/>
  <c r="C332" i="8"/>
  <c r="C360" i="8"/>
  <c r="C368" i="8"/>
  <c r="D379" i="8"/>
  <c r="D412" i="8"/>
  <c r="C419" i="8"/>
  <c r="D446" i="8"/>
  <c r="C434" i="8"/>
  <c r="C471" i="8"/>
  <c r="C535" i="8"/>
  <c r="C549" i="8"/>
  <c r="D561" i="8"/>
  <c r="D582" i="8"/>
  <c r="C570" i="8"/>
  <c r="C615" i="8"/>
  <c r="C69" i="9"/>
  <c r="D112" i="9"/>
  <c r="C113" i="9"/>
  <c r="D125" i="9"/>
  <c r="C131" i="9"/>
  <c r="D151" i="9"/>
  <c r="C139" i="9"/>
  <c r="C165" i="9"/>
  <c r="C173" i="9"/>
  <c r="D185" i="9"/>
  <c r="D173" i="9"/>
  <c r="D209" i="9"/>
  <c r="C210" i="9"/>
  <c r="D221" i="9"/>
  <c r="C209" i="9"/>
  <c r="C266" i="9"/>
  <c r="D278" i="9"/>
  <c r="D281" i="9"/>
  <c r="C296" i="9"/>
  <c r="C302" i="9"/>
  <c r="C309" i="9"/>
  <c r="D327" i="9"/>
  <c r="D315" i="9"/>
  <c r="C321" i="9"/>
  <c r="C354" i="9"/>
  <c r="C360" i="9"/>
  <c r="D360" i="9"/>
  <c r="D418" i="9"/>
  <c r="D442" i="9"/>
  <c r="D449" i="9"/>
  <c r="C449" i="9"/>
  <c r="C450" i="9"/>
  <c r="C456" i="9"/>
  <c r="D468" i="9"/>
  <c r="C457" i="9"/>
  <c r="D456" i="9"/>
  <c r="C471" i="9"/>
  <c r="D483" i="9"/>
  <c r="D490" i="9"/>
  <c r="C479" i="9"/>
  <c r="C507" i="9"/>
  <c r="D567" i="9"/>
  <c r="D555" i="9"/>
  <c r="C584" i="9"/>
  <c r="D590" i="9"/>
  <c r="C613" i="9"/>
  <c r="C30" i="10"/>
  <c r="D42" i="10"/>
  <c r="C99" i="10"/>
  <c r="D111" i="10"/>
  <c r="C131" i="10"/>
  <c r="D130" i="10"/>
  <c r="C130" i="10"/>
  <c r="D156" i="10"/>
  <c r="C169" i="10"/>
  <c r="D180" i="10"/>
  <c r="C207" i="10"/>
  <c r="C227" i="10"/>
  <c r="D238" i="10"/>
  <c r="D226" i="10"/>
  <c r="C251" i="10"/>
  <c r="D275" i="10"/>
  <c r="C263" i="10"/>
  <c r="D295" i="10"/>
  <c r="C296" i="10"/>
  <c r="C309" i="10"/>
  <c r="D320" i="10"/>
  <c r="C314" i="10"/>
  <c r="D326" i="10"/>
  <c r="C329" i="10"/>
  <c r="D340" i="10"/>
  <c r="C341" i="10"/>
  <c r="C340" i="10"/>
  <c r="D352" i="10"/>
  <c r="D411" i="10"/>
  <c r="C399" i="10"/>
  <c r="D423" i="10"/>
  <c r="C412" i="10"/>
  <c r="C462" i="10"/>
  <c r="C520" i="10"/>
  <c r="D586" i="10"/>
  <c r="C574" i="10"/>
  <c r="C47" i="11"/>
  <c r="C199" i="11"/>
  <c r="D227" i="11"/>
  <c r="C216" i="11"/>
  <c r="C215" i="11"/>
  <c r="C271" i="11"/>
  <c r="C297" i="11"/>
  <c r="D318" i="11"/>
  <c r="C306" i="11"/>
  <c r="D306" i="11"/>
  <c r="C347" i="11"/>
  <c r="D393" i="11"/>
  <c r="C381" i="11"/>
  <c r="D411" i="11"/>
  <c r="C399" i="11"/>
  <c r="D441" i="11"/>
  <c r="C429" i="11"/>
  <c r="D449" i="11"/>
  <c r="C437" i="11"/>
  <c r="D481" i="11"/>
  <c r="C469" i="11"/>
  <c r="C477" i="11"/>
  <c r="C492" i="11"/>
  <c r="D504" i="11"/>
  <c r="C59" i="12"/>
  <c r="C96" i="12"/>
  <c r="C152" i="12"/>
  <c r="D164" i="12"/>
  <c r="D224" i="12"/>
  <c r="C212" i="12"/>
  <c r="C235" i="12"/>
  <c r="C591" i="12"/>
  <c r="D131" i="6"/>
  <c r="C119" i="6"/>
  <c r="C197" i="6"/>
  <c r="D208" i="6"/>
  <c r="C256" i="6"/>
  <c r="C340" i="6"/>
  <c r="D352" i="6"/>
  <c r="C444" i="6"/>
  <c r="C492" i="6"/>
  <c r="D504" i="6"/>
  <c r="C601" i="6"/>
  <c r="C216" i="7"/>
  <c r="D227" i="7"/>
  <c r="C215" i="7"/>
  <c r="D332" i="7"/>
  <c r="C355" i="7"/>
  <c r="D355" i="7"/>
  <c r="D367" i="7"/>
  <c r="C403" i="7"/>
  <c r="D442" i="7"/>
  <c r="C430" i="7"/>
  <c r="D562" i="7"/>
  <c r="C550" i="7"/>
  <c r="D34" i="8"/>
  <c r="D71" i="8"/>
  <c r="C59" i="8"/>
  <c r="D211" i="8"/>
  <c r="C200" i="8"/>
  <c r="C331" i="8"/>
  <c r="D415" i="8"/>
  <c r="C403" i="8"/>
  <c r="D438" i="8"/>
  <c r="C426" i="8"/>
  <c r="D453" i="8"/>
  <c r="D170" i="9"/>
  <c r="C396" i="9"/>
  <c r="D408" i="9"/>
  <c r="D396" i="9"/>
  <c r="D438" i="9"/>
  <c r="C519" i="9"/>
  <c r="D531" i="9"/>
  <c r="C37" i="10"/>
  <c r="D48" i="10"/>
  <c r="C125" i="10"/>
  <c r="D136" i="10"/>
  <c r="C175" i="10"/>
  <c r="C174" i="10"/>
  <c r="D294" i="10"/>
  <c r="D391" i="10"/>
  <c r="C379" i="10"/>
  <c r="C380" i="10"/>
  <c r="C513" i="10"/>
  <c r="D524" i="10"/>
  <c r="C512" i="10"/>
  <c r="C296" i="11"/>
  <c r="D308" i="11"/>
  <c r="D26" i="4"/>
  <c r="C15" i="4"/>
  <c r="D370" i="4"/>
  <c r="C370" i="4"/>
  <c r="C542" i="4"/>
  <c r="C547" i="4"/>
  <c r="D597" i="4"/>
  <c r="C597" i="4"/>
  <c r="D137" i="6"/>
  <c r="C131" i="6"/>
  <c r="C162" i="6"/>
  <c r="D174" i="6"/>
  <c r="C203" i="6"/>
  <c r="D215" i="6"/>
  <c r="C268" i="6"/>
  <c r="D310" i="6"/>
  <c r="C299" i="6"/>
  <c r="C310" i="6"/>
  <c r="C347" i="6"/>
  <c r="C419" i="6"/>
  <c r="D457" i="6"/>
  <c r="C446" i="6"/>
  <c r="D482" i="6"/>
  <c r="D517" i="6"/>
  <c r="C517" i="6"/>
  <c r="C43" i="7"/>
  <c r="C67" i="7"/>
  <c r="D79" i="7"/>
  <c r="D93" i="7"/>
  <c r="D105" i="7"/>
  <c r="C100" i="7"/>
  <c r="D158" i="7"/>
  <c r="C146" i="7"/>
  <c r="C147" i="7"/>
  <c r="C188" i="7"/>
  <c r="C271" i="7"/>
  <c r="C284" i="7"/>
  <c r="D317" i="7"/>
  <c r="C305" i="7"/>
  <c r="D313" i="7"/>
  <c r="C320" i="7"/>
  <c r="C388" i="7"/>
  <c r="D403" i="7"/>
  <c r="D409" i="7"/>
  <c r="C416" i="7"/>
  <c r="D443" i="7"/>
  <c r="C431" i="7"/>
  <c r="C457" i="7"/>
  <c r="D463" i="7"/>
  <c r="D483" i="7"/>
  <c r="D522" i="7"/>
  <c r="C510" i="7"/>
  <c r="C565" i="7"/>
  <c r="D590" i="7"/>
  <c r="C578" i="7"/>
  <c r="C15" i="8"/>
  <c r="C37" i="8"/>
  <c r="C66" i="8"/>
  <c r="C89" i="8"/>
  <c r="D100" i="8"/>
  <c r="C109" i="8"/>
  <c r="D204" i="8"/>
  <c r="D192" i="8"/>
  <c r="C199" i="8"/>
  <c r="C323" i="8"/>
  <c r="D323" i="8"/>
  <c r="D335" i="8"/>
  <c r="D408" i="8"/>
  <c r="C397" i="8"/>
  <c r="C404" i="8"/>
  <c r="C505" i="8"/>
  <c r="C520" i="8"/>
  <c r="D37" i="9"/>
  <c r="C158" i="9"/>
  <c r="C172" i="9"/>
  <c r="C234" i="9"/>
  <c r="D246" i="9"/>
  <c r="D307" i="9"/>
  <c r="C295" i="9"/>
  <c r="D326" i="9"/>
  <c r="D446" i="9"/>
  <c r="C434" i="9"/>
  <c r="C442" i="9"/>
  <c r="D602" i="9"/>
  <c r="C591" i="9"/>
  <c r="C590" i="9"/>
  <c r="C36" i="10"/>
  <c r="D123" i="10"/>
  <c r="C111" i="10"/>
  <c r="C233" i="10"/>
  <c r="D244" i="10"/>
  <c r="D351" i="11"/>
  <c r="C339" i="11"/>
  <c r="P23" i="1"/>
  <c r="P17" i="1"/>
  <c r="P22" i="1"/>
  <c r="P16" i="1"/>
  <c r="D236" i="3"/>
  <c r="D884" i="3"/>
  <c r="C1161" i="3"/>
  <c r="D20" i="4"/>
  <c r="C9" i="4"/>
  <c r="D40" i="4"/>
  <c r="C39" i="4"/>
  <c r="C61" i="4"/>
  <c r="D84" i="4"/>
  <c r="D128" i="4"/>
  <c r="C122" i="4"/>
  <c r="C160" i="4"/>
  <c r="D184" i="4"/>
  <c r="C183" i="4"/>
  <c r="C205" i="4"/>
  <c r="D228" i="4"/>
  <c r="D272" i="4"/>
  <c r="C266" i="4"/>
  <c r="C304" i="4"/>
  <c r="D328" i="4"/>
  <c r="C327" i="4"/>
  <c r="C349" i="4"/>
  <c r="D372" i="4"/>
  <c r="C388" i="4"/>
  <c r="D416" i="4"/>
  <c r="C410" i="4"/>
  <c r="C448" i="4"/>
  <c r="D472" i="4"/>
  <c r="C471" i="4"/>
  <c r="C493" i="4"/>
  <c r="D516" i="4"/>
  <c r="D560" i="4"/>
  <c r="C554" i="4"/>
  <c r="C592" i="4"/>
  <c r="C604" i="4"/>
  <c r="C25" i="6"/>
  <c r="C31" i="6"/>
  <c r="D43" i="6"/>
  <c r="C37" i="6"/>
  <c r="D50" i="6"/>
  <c r="D90" i="6"/>
  <c r="C114" i="6"/>
  <c r="D126" i="6"/>
  <c r="C120" i="6"/>
  <c r="C126" i="6"/>
  <c r="D138" i="6"/>
  <c r="D169" i="6"/>
  <c r="C173" i="6"/>
  <c r="D198" i="6"/>
  <c r="C191" i="6"/>
  <c r="C234" i="6"/>
  <c r="D246" i="6"/>
  <c r="D239" i="6"/>
  <c r="C252" i="6"/>
  <c r="C258" i="6"/>
  <c r="D270" i="6"/>
  <c r="D263" i="6"/>
  <c r="D292" i="6"/>
  <c r="D298" i="6"/>
  <c r="C311" i="6"/>
  <c r="C329" i="6"/>
  <c r="D347" i="6"/>
  <c r="C341" i="6"/>
  <c r="C366" i="6"/>
  <c r="D366" i="6"/>
  <c r="D385" i="6"/>
  <c r="C378" i="6"/>
  <c r="D383" i="6"/>
  <c r="C402" i="6"/>
  <c r="D414" i="6"/>
  <c r="C413" i="6"/>
  <c r="D433" i="6"/>
  <c r="C459" i="6"/>
  <c r="D458" i="6"/>
  <c r="C458" i="6"/>
  <c r="D470" i="6"/>
  <c r="C475" i="6"/>
  <c r="C481" i="6"/>
  <c r="C487" i="6"/>
  <c r="D512" i="6"/>
  <c r="C506" i="6"/>
  <c r="D518" i="6"/>
  <c r="C512" i="6"/>
  <c r="D561" i="6"/>
  <c r="D560" i="6"/>
  <c r="C567" i="6"/>
  <c r="C579" i="6"/>
  <c r="D584" i="6"/>
  <c r="D615" i="6"/>
  <c r="C616" i="6"/>
  <c r="C10" i="7"/>
  <c r="C37" i="7"/>
  <c r="D49" i="7"/>
  <c r="C87" i="7"/>
  <c r="D101" i="7"/>
  <c r="D126" i="7"/>
  <c r="C114" i="7"/>
  <c r="D160" i="7"/>
  <c r="C229" i="7"/>
  <c r="D236" i="7"/>
  <c r="D262" i="7"/>
  <c r="C250" i="7"/>
  <c r="C265" i="7"/>
  <c r="D284" i="7"/>
  <c r="D356" i="7"/>
  <c r="D374" i="7"/>
  <c r="C362" i="7"/>
  <c r="D388" i="7"/>
  <c r="D394" i="7"/>
  <c r="C382" i="7"/>
  <c r="D389" i="7"/>
  <c r="C404" i="7"/>
  <c r="C411" i="7"/>
  <c r="D464" i="7"/>
  <c r="C452" i="7"/>
  <c r="D484" i="7"/>
  <c r="C484" i="7"/>
  <c r="D510" i="7"/>
  <c r="C498" i="7"/>
  <c r="C511" i="7"/>
  <c r="C537" i="7"/>
  <c r="D549" i="7"/>
  <c r="D570" i="7"/>
  <c r="C558" i="7"/>
  <c r="C579" i="7"/>
  <c r="C593" i="7"/>
  <c r="C614" i="7"/>
  <c r="C613" i="7"/>
  <c r="C16" i="8"/>
  <c r="C32" i="8"/>
  <c r="D43" i="8"/>
  <c r="C31" i="8"/>
  <c r="C60" i="8"/>
  <c r="D87" i="8"/>
  <c r="D116" i="8"/>
  <c r="D123" i="8"/>
  <c r="C132" i="8"/>
  <c r="D144" i="8"/>
  <c r="D151" i="8"/>
  <c r="C139" i="8"/>
  <c r="D170" i="8"/>
  <c r="C158" i="8"/>
  <c r="C165" i="8"/>
  <c r="D177" i="8"/>
  <c r="C186" i="8"/>
  <c r="C214" i="8"/>
  <c r="D242" i="8"/>
  <c r="C230" i="8"/>
  <c r="C237" i="8"/>
  <c r="C243" i="8"/>
  <c r="D255" i="8"/>
  <c r="C264" i="8"/>
  <c r="D291" i="8"/>
  <c r="C279" i="8"/>
  <c r="D306" i="8"/>
  <c r="C294" i="8"/>
  <c r="C324" i="8"/>
  <c r="D332" i="8"/>
  <c r="C367" i="8"/>
  <c r="C405" i="8"/>
  <c r="D405" i="8"/>
  <c r="C435" i="8"/>
  <c r="D454" i="8"/>
  <c r="C442" i="8"/>
  <c r="D497" i="8"/>
  <c r="C485" i="8"/>
  <c r="D526" i="8"/>
  <c r="C514" i="8"/>
  <c r="D535" i="8"/>
  <c r="D554" i="8"/>
  <c r="C542" i="8"/>
  <c r="C571" i="8"/>
  <c r="D612" i="8"/>
  <c r="C600" i="8"/>
  <c r="C12" i="9"/>
  <c r="D24" i="9"/>
  <c r="C26" i="9"/>
  <c r="D69" i="9"/>
  <c r="D88" i="9"/>
  <c r="C76" i="9"/>
  <c r="D101" i="9"/>
  <c r="C89" i="9"/>
  <c r="C100" i="9"/>
  <c r="D152" i="9"/>
  <c r="D165" i="9"/>
  <c r="D194" i="9"/>
  <c r="C202" i="9"/>
  <c r="C274" i="9"/>
  <c r="D294" i="9"/>
  <c r="C282" i="9"/>
  <c r="D296" i="9"/>
  <c r="D302" i="9"/>
  <c r="D309" i="9"/>
  <c r="C315" i="9"/>
  <c r="C361" i="9"/>
  <c r="D373" i="9"/>
  <c r="C382" i="9"/>
  <c r="C412" i="9"/>
  <c r="D424" i="9"/>
  <c r="C435" i="9"/>
  <c r="C472" i="9"/>
  <c r="D484" i="9"/>
  <c r="C478" i="9"/>
  <c r="D498" i="9"/>
  <c r="D486" i="9"/>
  <c r="C486" i="9"/>
  <c r="C501" i="9"/>
  <c r="D554" i="9"/>
  <c r="C542" i="9"/>
  <c r="D561" i="9"/>
  <c r="C555" i="9"/>
  <c r="D571" i="9"/>
  <c r="C571" i="9"/>
  <c r="D584" i="9"/>
  <c r="C614" i="9"/>
  <c r="C25" i="10"/>
  <c r="D24" i="10"/>
  <c r="C57" i="10"/>
  <c r="D68" i="10"/>
  <c r="C69" i="10"/>
  <c r="D80" i="10"/>
  <c r="C68" i="10"/>
  <c r="D86" i="10"/>
  <c r="C113" i="10"/>
  <c r="C112" i="10"/>
  <c r="C168" i="10"/>
  <c r="C226" i="10"/>
  <c r="D258" i="10"/>
  <c r="D246" i="10"/>
  <c r="D251" i="10"/>
  <c r="C283" i="10"/>
  <c r="C303" i="10"/>
  <c r="C308" i="10"/>
  <c r="C328" i="10"/>
  <c r="D359" i="10"/>
  <c r="D404" i="10"/>
  <c r="C411" i="10"/>
  <c r="C431" i="10"/>
  <c r="C469" i="10"/>
  <c r="D480" i="10"/>
  <c r="D468" i="10"/>
  <c r="C476" i="10"/>
  <c r="D487" i="10"/>
  <c r="C475" i="10"/>
  <c r="C541" i="10"/>
  <c r="D552" i="10"/>
  <c r="D558" i="10"/>
  <c r="D574" i="10"/>
  <c r="C608" i="10"/>
  <c r="D75" i="11"/>
  <c r="D63" i="11"/>
  <c r="C64" i="11"/>
  <c r="D207" i="11"/>
  <c r="C247" i="11"/>
  <c r="D268" i="11"/>
  <c r="D256" i="11"/>
  <c r="D302" i="11"/>
  <c r="C290" i="11"/>
  <c r="C307" i="11"/>
  <c r="C355" i="11"/>
  <c r="C360" i="11"/>
  <c r="D380" i="11"/>
  <c r="C369" i="11"/>
  <c r="D482" i="11"/>
  <c r="D470" i="11"/>
  <c r="C470" i="11"/>
  <c r="D492" i="11"/>
  <c r="C500" i="11"/>
  <c r="D563" i="11"/>
  <c r="D551" i="11"/>
  <c r="C551" i="11"/>
  <c r="C594" i="11"/>
  <c r="C42" i="12"/>
  <c r="D54" i="12"/>
  <c r="D165" i="12"/>
  <c r="C153" i="12"/>
  <c r="D153" i="12"/>
  <c r="D212" i="12"/>
  <c r="C228" i="12"/>
  <c r="D327" i="12"/>
  <c r="D315" i="12"/>
  <c r="C315" i="12"/>
  <c r="C331" i="12"/>
  <c r="D343" i="12"/>
  <c r="D331" i="12"/>
  <c r="C384" i="12"/>
  <c r="C392" i="12"/>
  <c r="D404" i="12"/>
  <c r="C407" i="12"/>
  <c r="D476" i="12"/>
  <c r="D464" i="12"/>
  <c r="C471" i="12"/>
  <c r="D495" i="12"/>
  <c r="C496" i="12"/>
  <c r="C495" i="12"/>
  <c r="C559" i="12"/>
  <c r="D571" i="12"/>
  <c r="C560" i="12"/>
  <c r="D143" i="7"/>
  <c r="C132" i="7"/>
  <c r="C137" i="7"/>
  <c r="C152" i="7"/>
  <c r="D163" i="7"/>
  <c r="D221" i="7"/>
  <c r="D246" i="7"/>
  <c r="C234" i="7"/>
  <c r="D258" i="7"/>
  <c r="C246" i="7"/>
  <c r="C268" i="7"/>
  <c r="D279" i="7"/>
  <c r="C293" i="7"/>
  <c r="D305" i="7"/>
  <c r="D300" i="7"/>
  <c r="C300" i="7"/>
  <c r="D326" i="7"/>
  <c r="C314" i="7"/>
  <c r="D436" i="7"/>
  <c r="C444" i="7"/>
  <c r="D462" i="7"/>
  <c r="C450" i="7"/>
  <c r="D518" i="7"/>
  <c r="C506" i="7"/>
  <c r="D543" i="7"/>
  <c r="C543" i="7"/>
  <c r="C551" i="7"/>
  <c r="D563" i="7"/>
  <c r="C596" i="7"/>
  <c r="C52" i="8"/>
  <c r="C93" i="8"/>
  <c r="C92" i="8"/>
  <c r="D104" i="8"/>
  <c r="D138" i="8"/>
  <c r="C126" i="8"/>
  <c r="D183" i="8"/>
  <c r="C172" i="8"/>
  <c r="C219" i="8"/>
  <c r="D305" i="8"/>
  <c r="C293" i="8"/>
  <c r="C307" i="8"/>
  <c r="D354" i="8"/>
  <c r="C342" i="8"/>
  <c r="D382" i="8"/>
  <c r="C370" i="8"/>
  <c r="D425" i="8"/>
  <c r="C467" i="8"/>
  <c r="D479" i="8"/>
  <c r="D467" i="8"/>
  <c r="D507" i="8"/>
  <c r="C495" i="8"/>
  <c r="D34" i="9"/>
  <c r="C22" i="9"/>
  <c r="D70" i="9"/>
  <c r="C64" i="9"/>
  <c r="D76" i="9"/>
  <c r="C153" i="9"/>
  <c r="D171" i="9"/>
  <c r="C277" i="9"/>
  <c r="D385" i="9"/>
  <c r="C373" i="9"/>
  <c r="D434" i="9"/>
  <c r="D422" i="9"/>
  <c r="C484" i="9"/>
  <c r="C102" i="10"/>
  <c r="D114" i="10"/>
  <c r="C192" i="10"/>
  <c r="D203" i="10"/>
  <c r="C316" i="10"/>
  <c r="C336" i="10"/>
  <c r="D347" i="10"/>
  <c r="D379" i="10"/>
  <c r="D36" i="11"/>
  <c r="C24" i="11"/>
  <c r="D66" i="11"/>
  <c r="C54" i="11"/>
  <c r="D124" i="11"/>
  <c r="C113" i="11"/>
  <c r="D183" i="11"/>
  <c r="C172" i="11"/>
  <c r="D206" i="11"/>
  <c r="D194" i="11"/>
  <c r="C195" i="11"/>
  <c r="D220" i="11"/>
  <c r="D208" i="11"/>
  <c r="C208" i="11"/>
  <c r="D283" i="11"/>
  <c r="C272" i="11"/>
  <c r="D457" i="11"/>
  <c r="C445" i="11"/>
  <c r="D498" i="11"/>
  <c r="C498" i="11"/>
  <c r="D510" i="11"/>
  <c r="D518" i="11"/>
  <c r="C506" i="11"/>
  <c r="C130" i="12"/>
  <c r="D142" i="12"/>
  <c r="C146" i="12"/>
  <c r="D158" i="12"/>
  <c r="D253" i="12"/>
  <c r="C242" i="12"/>
  <c r="D341" i="12"/>
  <c r="C329" i="12"/>
  <c r="D577" i="12"/>
  <c r="C565" i="12"/>
  <c r="C566" i="12"/>
  <c r="D594" i="12"/>
  <c r="D582" i="12"/>
  <c r="C606" i="12"/>
  <c r="C172" i="7"/>
  <c r="C179" i="7"/>
  <c r="D261" i="7"/>
  <c r="D328" i="7"/>
  <c r="C316" i="7"/>
  <c r="D354" i="7"/>
  <c r="C342" i="7"/>
  <c r="D399" i="7"/>
  <c r="C393" i="7"/>
  <c r="D470" i="7"/>
  <c r="C458" i="7"/>
  <c r="C489" i="7"/>
  <c r="D501" i="7"/>
  <c r="D571" i="7"/>
  <c r="C559" i="7"/>
  <c r="C585" i="7"/>
  <c r="D597" i="7"/>
  <c r="C617" i="7"/>
  <c r="C27" i="8"/>
  <c r="D86" i="8"/>
  <c r="D106" i="8"/>
  <c r="C94" i="8"/>
  <c r="C135" i="8"/>
  <c r="D178" i="8"/>
  <c r="C166" i="8"/>
  <c r="D186" i="8"/>
  <c r="C193" i="8"/>
  <c r="D205" i="8"/>
  <c r="D377" i="8"/>
  <c r="D392" i="8"/>
  <c r="D380" i="8"/>
  <c r="D435" i="8"/>
  <c r="C423" i="8"/>
  <c r="D482" i="8"/>
  <c r="C470" i="8"/>
  <c r="D489" i="8"/>
  <c r="C483" i="8"/>
  <c r="C531" i="8"/>
  <c r="D543" i="8"/>
  <c r="C606" i="8"/>
  <c r="C9" i="9"/>
  <c r="C73" i="9"/>
  <c r="D85" i="9"/>
  <c r="C136" i="9"/>
  <c r="D148" i="9"/>
  <c r="C148" i="9"/>
  <c r="D160" i="9"/>
  <c r="C196" i="9"/>
  <c r="D229" i="9"/>
  <c r="C228" i="9"/>
  <c r="D240" i="9"/>
  <c r="D337" i="9"/>
  <c r="C362" i="9"/>
  <c r="C376" i="9"/>
  <c r="D388" i="9"/>
  <c r="C474" i="9"/>
  <c r="D485" i="9"/>
  <c r="D526" i="9"/>
  <c r="C520" i="9"/>
  <c r="D532" i="9"/>
  <c r="C540" i="9"/>
  <c r="D540" i="9"/>
  <c r="C554" i="9"/>
  <c r="D566" i="9"/>
  <c r="C588" i="9"/>
  <c r="D600" i="9"/>
  <c r="C55" i="10"/>
  <c r="C73" i="10"/>
  <c r="D84" i="10"/>
  <c r="D72" i="10"/>
  <c r="D90" i="10"/>
  <c r="C79" i="10"/>
  <c r="C78" i="10"/>
  <c r="D139" i="10"/>
  <c r="C199" i="10"/>
  <c r="C223" i="10"/>
  <c r="D234" i="10"/>
  <c r="C253" i="10"/>
  <c r="D252" i="10"/>
  <c r="D264" i="10"/>
  <c r="D283" i="10"/>
  <c r="C294" i="10"/>
  <c r="D306" i="10"/>
  <c r="D362" i="10"/>
  <c r="C410" i="10"/>
  <c r="D422" i="10"/>
  <c r="C417" i="10"/>
  <c r="D428" i="10"/>
  <c r="D416" i="10"/>
  <c r="C416" i="10"/>
  <c r="D459" i="10"/>
  <c r="C485" i="10"/>
  <c r="C484" i="10"/>
  <c r="C565" i="10"/>
  <c r="D576" i="10"/>
  <c r="D564" i="10"/>
  <c r="C564" i="10"/>
  <c r="D119" i="11"/>
  <c r="C108" i="11"/>
  <c r="D141" i="11"/>
  <c r="C129" i="11"/>
  <c r="C151" i="11"/>
  <c r="D163" i="11"/>
  <c r="D246" i="11"/>
  <c r="D261" i="11"/>
  <c r="C249" i="11"/>
  <c r="D366" i="11"/>
  <c r="C395" i="11"/>
  <c r="D407" i="11"/>
  <c r="D395" i="11"/>
  <c r="D460" i="11"/>
  <c r="C448" i="11"/>
  <c r="D479" i="11"/>
  <c r="C479" i="11"/>
  <c r="D569" i="11"/>
  <c r="C557" i="11"/>
  <c r="D608" i="11"/>
  <c r="C608" i="11"/>
  <c r="C609" i="11"/>
  <c r="D115" i="12"/>
  <c r="C103" i="12"/>
  <c r="C104" i="12"/>
  <c r="C163" i="12"/>
  <c r="D175" i="12"/>
  <c r="D390" i="12"/>
  <c r="C390" i="12"/>
  <c r="D402" i="12"/>
  <c r="C391" i="12"/>
  <c r="C520" i="12"/>
  <c r="C521" i="12"/>
  <c r="D532" i="12"/>
  <c r="D565" i="12"/>
  <c r="C553" i="12"/>
  <c r="C1202" i="3"/>
  <c r="D68" i="4"/>
  <c r="D116" i="4"/>
  <c r="D452" i="4"/>
  <c r="D500" i="4"/>
  <c r="D596" i="4"/>
  <c r="C611" i="4"/>
  <c r="D89" i="6"/>
  <c r="C77" i="6"/>
  <c r="D109" i="6"/>
  <c r="C174" i="6"/>
  <c r="D249" i="6"/>
  <c r="D465" i="6"/>
  <c r="D90" i="7"/>
  <c r="C78" i="7"/>
  <c r="C163" i="7"/>
  <c r="D222" i="7"/>
  <c r="C210" i="7"/>
  <c r="D254" i="7"/>
  <c r="C242" i="7"/>
  <c r="C379" i="7"/>
  <c r="D402" i="7"/>
  <c r="C390" i="7"/>
  <c r="D534" i="7"/>
  <c r="C522" i="7"/>
  <c r="D545" i="7"/>
  <c r="D36" i="8"/>
  <c r="C24" i="8"/>
  <c r="D262" i="8"/>
  <c r="C250" i="8"/>
  <c r="C291" i="8"/>
  <c r="D362" i="8"/>
  <c r="C350" i="8"/>
  <c r="D450" i="8"/>
  <c r="C438" i="8"/>
  <c r="C449" i="8"/>
  <c r="D461" i="8"/>
  <c r="D550" i="8"/>
  <c r="C538" i="8"/>
  <c r="C579" i="8"/>
  <c r="C38" i="9"/>
  <c r="C97" i="9"/>
  <c r="C96" i="9"/>
  <c r="D157" i="9"/>
  <c r="D179" i="9"/>
  <c r="C310" i="9"/>
  <c r="D322" i="9"/>
  <c r="C322" i="9"/>
  <c r="C344" i="9"/>
  <c r="D356" i="9"/>
  <c r="D344" i="9"/>
  <c r="C492" i="9"/>
  <c r="C515" i="9"/>
  <c r="C550" i="9"/>
  <c r="D615" i="9"/>
  <c r="C603" i="9"/>
  <c r="C281" i="10"/>
  <c r="D292" i="10"/>
  <c r="D318" i="10"/>
  <c r="D462" i="10"/>
  <c r="C31" i="11"/>
  <c r="D43" i="11"/>
  <c r="D81" i="11"/>
  <c r="C69" i="11"/>
  <c r="C139" i="11"/>
  <c r="D151" i="11"/>
  <c r="D193" i="11"/>
  <c r="C181" i="11"/>
  <c r="C182" i="11"/>
  <c r="D502" i="11"/>
  <c r="C502" i="11"/>
  <c r="D22" i="12"/>
  <c r="C10" i="12"/>
  <c r="C113" i="12"/>
  <c r="C112" i="12"/>
  <c r="D193" i="12"/>
  <c r="C182" i="12"/>
  <c r="C262" i="12"/>
  <c r="C263" i="12"/>
  <c r="D274" i="12"/>
  <c r="D392" i="12"/>
  <c r="D380" i="12"/>
  <c r="C380" i="12"/>
  <c r="C381" i="12"/>
  <c r="D399" i="12"/>
  <c r="C387" i="12"/>
  <c r="C403" i="12"/>
  <c r="D414" i="12"/>
  <c r="C402" i="12"/>
  <c r="D437" i="12"/>
  <c r="D535" i="12"/>
  <c r="C523" i="12"/>
  <c r="D557" i="12"/>
  <c r="C545" i="12"/>
  <c r="C1101" i="3"/>
  <c r="C1228" i="3"/>
  <c r="D28" i="4"/>
  <c r="D112" i="4"/>
  <c r="C104" i="4"/>
  <c r="D160" i="4"/>
  <c r="D208" i="4"/>
  <c r="D256" i="4"/>
  <c r="D352" i="4"/>
  <c r="D544" i="4"/>
  <c r="C571" i="4"/>
  <c r="C593" i="4"/>
  <c r="D45" i="6"/>
  <c r="C68" i="6"/>
  <c r="C97" i="6"/>
  <c r="C111" i="6"/>
  <c r="C121" i="6"/>
  <c r="C160" i="6"/>
  <c r="D201" i="6"/>
  <c r="C213" i="6"/>
  <c r="C218" i="6"/>
  <c r="D240" i="6"/>
  <c r="C237" i="6"/>
  <c r="C242" i="6"/>
  <c r="D273" i="6"/>
  <c r="C275" i="6"/>
  <c r="D326" i="6"/>
  <c r="D432" i="6"/>
  <c r="C453" i="6"/>
  <c r="C483" i="6"/>
  <c r="C498" i="6"/>
  <c r="D510" i="6"/>
  <c r="D549" i="6"/>
  <c r="C537" i="6"/>
  <c r="D569" i="6"/>
  <c r="C572" i="6"/>
  <c r="C577" i="6"/>
  <c r="C68" i="7"/>
  <c r="D91" i="7"/>
  <c r="C105" i="7"/>
  <c r="D196" i="7"/>
  <c r="C189" i="7"/>
  <c r="C200" i="7"/>
  <c r="D244" i="7"/>
  <c r="D270" i="7"/>
  <c r="C258" i="7"/>
  <c r="D334" i="7"/>
  <c r="C322" i="7"/>
  <c r="C348" i="7"/>
  <c r="C359" i="7"/>
  <c r="D424" i="7"/>
  <c r="C448" i="7"/>
  <c r="D486" i="7"/>
  <c r="C474" i="7"/>
  <c r="C496" i="7"/>
  <c r="C523" i="7"/>
  <c r="C533" i="7"/>
  <c r="C575" i="7"/>
  <c r="D24" i="8"/>
  <c r="D90" i="8"/>
  <c r="C78" i="8"/>
  <c r="C145" i="8"/>
  <c r="C178" i="8"/>
  <c r="C194" i="8"/>
  <c r="C233" i="8"/>
  <c r="C268" i="8"/>
  <c r="C309" i="8"/>
  <c r="C327" i="8"/>
  <c r="C333" i="8"/>
  <c r="C357" i="8"/>
  <c r="C420" i="8"/>
  <c r="D462" i="8"/>
  <c r="C450" i="8"/>
  <c r="D474" i="8"/>
  <c r="C462" i="8"/>
  <c r="D498" i="8"/>
  <c r="C486" i="8"/>
  <c r="C521" i="8"/>
  <c r="C556" i="8"/>
  <c r="C597" i="8"/>
  <c r="D28" i="9"/>
  <c r="C39" i="9"/>
  <c r="D96" i="9"/>
  <c r="D174" i="9"/>
  <c r="C174" i="9"/>
  <c r="C204" i="9"/>
  <c r="D204" i="9"/>
  <c r="C243" i="9"/>
  <c r="D266" i="9"/>
  <c r="C254" i="9"/>
  <c r="C316" i="9"/>
  <c r="C363" i="9"/>
  <c r="D368" i="9"/>
  <c r="D397" i="9"/>
  <c r="C386" i="9"/>
  <c r="C397" i="9"/>
  <c r="D402" i="9"/>
  <c r="D427" i="9"/>
  <c r="D439" i="9"/>
  <c r="C451" i="9"/>
  <c r="D527" i="9"/>
  <c r="C527" i="9"/>
  <c r="C556" i="9"/>
  <c r="C557" i="9"/>
  <c r="D581" i="9"/>
  <c r="D569" i="9"/>
  <c r="C574" i="9"/>
  <c r="D603" i="9"/>
  <c r="D91" i="10"/>
  <c r="C187" i="10"/>
  <c r="C245" i="10"/>
  <c r="C244" i="10"/>
  <c r="C390" i="10"/>
  <c r="C489" i="10"/>
  <c r="D500" i="10"/>
  <c r="C526" i="10"/>
  <c r="C570" i="10"/>
  <c r="C589" i="10"/>
  <c r="C588" i="10"/>
  <c r="C11" i="11"/>
  <c r="D70" i="11"/>
  <c r="C71" i="11"/>
  <c r="D82" i="11"/>
  <c r="D83" i="11"/>
  <c r="D95" i="11"/>
  <c r="C96" i="11"/>
  <c r="C134" i="11"/>
  <c r="D152" i="11"/>
  <c r="D140" i="11"/>
  <c r="C141" i="11"/>
  <c r="D146" i="11"/>
  <c r="C154" i="11"/>
  <c r="D201" i="11"/>
  <c r="C189" i="11"/>
  <c r="D241" i="11"/>
  <c r="D292" i="11"/>
  <c r="C280" i="11"/>
  <c r="D307" i="11"/>
  <c r="D349" i="11"/>
  <c r="C337" i="11"/>
  <c r="C351" i="11"/>
  <c r="D402" i="11"/>
  <c r="C391" i="11"/>
  <c r="C409" i="11"/>
  <c r="D424" i="11"/>
  <c r="C424" i="11"/>
  <c r="D495" i="11"/>
  <c r="C483" i="11"/>
  <c r="C503" i="11"/>
  <c r="C516" i="11"/>
  <c r="C530" i="11"/>
  <c r="D542" i="11"/>
  <c r="C531" i="11"/>
  <c r="C147" i="12"/>
  <c r="C187" i="12"/>
  <c r="D199" i="12"/>
  <c r="C193" i="12"/>
  <c r="C230" i="12"/>
  <c r="D242" i="12"/>
  <c r="C271" i="12"/>
  <c r="D283" i="12"/>
  <c r="D317" i="12"/>
  <c r="C305" i="12"/>
  <c r="C306" i="12"/>
  <c r="C319" i="12"/>
  <c r="D365" i="12"/>
  <c r="C353" i="12"/>
  <c r="C354" i="12"/>
  <c r="D387" i="12"/>
  <c r="C416" i="12"/>
  <c r="C425" i="12"/>
  <c r="C433" i="12"/>
  <c r="C432" i="12"/>
  <c r="D444" i="12"/>
  <c r="D481" i="12"/>
  <c r="C469" i="12"/>
  <c r="D502" i="12"/>
  <c r="D588" i="12"/>
  <c r="D576" i="12"/>
  <c r="C576" i="12"/>
  <c r="D597" i="12"/>
  <c r="C585" i="12"/>
  <c r="C1089" i="3"/>
  <c r="C1093" i="3"/>
  <c r="C1097" i="3"/>
  <c r="C1145" i="3"/>
  <c r="AB1188" i="3"/>
  <c r="U1213" i="3"/>
  <c r="C16" i="4"/>
  <c r="D60" i="4"/>
  <c r="D108" i="4"/>
  <c r="C100" i="4"/>
  <c r="D156" i="4"/>
  <c r="C148" i="4"/>
  <c r="D204" i="4"/>
  <c r="C196" i="4"/>
  <c r="D252" i="4"/>
  <c r="C244" i="4"/>
  <c r="D300" i="4"/>
  <c r="D348" i="4"/>
  <c r="C340" i="4"/>
  <c r="D396" i="4"/>
  <c r="D444" i="4"/>
  <c r="D492" i="4"/>
  <c r="D540" i="4"/>
  <c r="C532" i="4"/>
  <c r="D588" i="4"/>
  <c r="C598" i="4"/>
  <c r="D615" i="4"/>
  <c r="C28" i="6"/>
  <c r="C33" i="6"/>
  <c r="D144" i="6"/>
  <c r="C151" i="6"/>
  <c r="C175" i="6"/>
  <c r="D192" i="6"/>
  <c r="C189" i="6"/>
  <c r="C194" i="6"/>
  <c r="C228" i="6"/>
  <c r="C261" i="6"/>
  <c r="C266" i="6"/>
  <c r="D321" i="6"/>
  <c r="C314" i="6"/>
  <c r="D345" i="6"/>
  <c r="C362" i="6"/>
  <c r="C367" i="6"/>
  <c r="D384" i="6"/>
  <c r="D410" i="6"/>
  <c r="C415" i="6"/>
  <c r="D427" i="6"/>
  <c r="C420" i="6"/>
  <c r="D461" i="6"/>
  <c r="C473" i="6"/>
  <c r="D550" i="6"/>
  <c r="C557" i="6"/>
  <c r="D567" i="6"/>
  <c r="C28" i="7"/>
  <c r="D50" i="7"/>
  <c r="C38" i="7"/>
  <c r="D65" i="7"/>
  <c r="D70" i="7"/>
  <c r="C58" i="7"/>
  <c r="C63" i="7"/>
  <c r="D73" i="7"/>
  <c r="C79" i="7"/>
  <c r="C84" i="7"/>
  <c r="D186" i="7"/>
  <c r="C174" i="7"/>
  <c r="C184" i="7"/>
  <c r="D234" i="7"/>
  <c r="C222" i="7"/>
  <c r="C232" i="7"/>
  <c r="D250" i="7"/>
  <c r="C238" i="7"/>
  <c r="C243" i="7"/>
  <c r="C259" i="7"/>
  <c r="D302" i="7"/>
  <c r="C290" i="7"/>
  <c r="D308" i="7"/>
  <c r="D318" i="7"/>
  <c r="C306" i="7"/>
  <c r="D350" i="7"/>
  <c r="C338" i="7"/>
  <c r="C396" i="7"/>
  <c r="C407" i="7"/>
  <c r="C412" i="7"/>
  <c r="D466" i="7"/>
  <c r="C454" i="7"/>
  <c r="C475" i="7"/>
  <c r="D498" i="7"/>
  <c r="C486" i="7"/>
  <c r="D514" i="7"/>
  <c r="C502" i="7"/>
  <c r="D523" i="7"/>
  <c r="C581" i="7"/>
  <c r="D604" i="7"/>
  <c r="C597" i="7"/>
  <c r="D615" i="7"/>
  <c r="D37" i="8"/>
  <c r="D42" i="8"/>
  <c r="C35" i="8"/>
  <c r="C46" i="8"/>
  <c r="C57" i="8"/>
  <c r="D74" i="8"/>
  <c r="C62" i="8"/>
  <c r="C63" i="8"/>
  <c r="C90" i="8"/>
  <c r="C101" i="8"/>
  <c r="D140" i="8"/>
  <c r="D158" i="8"/>
  <c r="C146" i="8"/>
  <c r="D174" i="8"/>
  <c r="C163" i="8"/>
  <c r="C195" i="8"/>
  <c r="C222" i="8"/>
  <c r="D246" i="8"/>
  <c r="C234" i="8"/>
  <c r="D245" i="8"/>
  <c r="C251" i="8"/>
  <c r="D268" i="8"/>
  <c r="D286" i="8"/>
  <c r="C274" i="8"/>
  <c r="C280" i="8"/>
  <c r="D297" i="8"/>
  <c r="D303" i="8"/>
  <c r="D309" i="8"/>
  <c r="C321" i="8"/>
  <c r="D327" i="8"/>
  <c r="C339" i="8"/>
  <c r="C345" i="8"/>
  <c r="D351" i="8"/>
  <c r="C369" i="8"/>
  <c r="C375" i="8"/>
  <c r="D398" i="8"/>
  <c r="C386" i="8"/>
  <c r="C415" i="8"/>
  <c r="D432" i="8"/>
  <c r="C439" i="8"/>
  <c r="C444" i="8"/>
  <c r="C451" i="8"/>
  <c r="D456" i="8"/>
  <c r="C468" i="8"/>
  <c r="D475" i="8"/>
  <c r="C492" i="8"/>
  <c r="C504" i="8"/>
  <c r="D522" i="8"/>
  <c r="C510" i="8"/>
  <c r="D534" i="8"/>
  <c r="C522" i="8"/>
  <c r="D533" i="8"/>
  <c r="C539" i="8"/>
  <c r="D556" i="8"/>
  <c r="D574" i="8"/>
  <c r="C562" i="8"/>
  <c r="C568" i="8"/>
  <c r="D585" i="8"/>
  <c r="D591" i="8"/>
  <c r="D597" i="8"/>
  <c r="D615" i="8"/>
  <c r="C11" i="9"/>
  <c r="D22" i="9"/>
  <c r="C17" i="9"/>
  <c r="C29" i="9"/>
  <c r="C34" i="9"/>
  <c r="D57" i="9"/>
  <c r="C86" i="9"/>
  <c r="C102" i="9"/>
  <c r="D133" i="9"/>
  <c r="D145" i="9"/>
  <c r="D186" i="9"/>
  <c r="D248" i="9"/>
  <c r="D267" i="9"/>
  <c r="C265" i="9"/>
  <c r="D283" i="9"/>
  <c r="C283" i="9"/>
  <c r="D295" i="9"/>
  <c r="C317" i="9"/>
  <c r="C340" i="9"/>
  <c r="C351" i="9"/>
  <c r="C385" i="9"/>
  <c r="C421" i="9"/>
  <c r="C427" i="9"/>
  <c r="C433" i="9"/>
  <c r="C439" i="9"/>
  <c r="D451" i="9"/>
  <c r="D458" i="9"/>
  <c r="C446" i="9"/>
  <c r="D457" i="9"/>
  <c r="D481" i="9"/>
  <c r="C487" i="9"/>
  <c r="D504" i="9"/>
  <c r="D510" i="9"/>
  <c r="D522" i="9"/>
  <c r="C510" i="9"/>
  <c r="C516" i="9"/>
  <c r="D528" i="9"/>
  <c r="C569" i="9"/>
  <c r="C575" i="9"/>
  <c r="C598" i="9"/>
  <c r="C604" i="9"/>
  <c r="D609" i="9"/>
  <c r="C34" i="10"/>
  <c r="D59" i="10"/>
  <c r="C64" i="10"/>
  <c r="C84" i="10"/>
  <c r="C96" i="10"/>
  <c r="C95" i="10"/>
  <c r="C121" i="10"/>
  <c r="C120" i="10"/>
  <c r="D170" i="10"/>
  <c r="C172" i="10"/>
  <c r="C204" i="10"/>
  <c r="D239" i="10"/>
  <c r="C264" i="10"/>
  <c r="D314" i="10"/>
  <c r="C311" i="10"/>
  <c r="C365" i="10"/>
  <c r="D364" i="10"/>
  <c r="C440" i="10"/>
  <c r="C455" i="10"/>
  <c r="C473" i="10"/>
  <c r="D484" i="10"/>
  <c r="C488" i="10"/>
  <c r="D526" i="10"/>
  <c r="D531" i="10"/>
  <c r="C542" i="10"/>
  <c r="D559" i="10"/>
  <c r="D595" i="10"/>
  <c r="C583" i="10"/>
  <c r="D588" i="10"/>
  <c r="C599" i="10"/>
  <c r="C617" i="10"/>
  <c r="C616" i="10"/>
  <c r="D24" i="11"/>
  <c r="C25" i="11"/>
  <c r="D32" i="11"/>
  <c r="C38" i="11"/>
  <c r="C70" i="11"/>
  <c r="C83" i="11"/>
  <c r="C89" i="11"/>
  <c r="D126" i="11"/>
  <c r="C114" i="11"/>
  <c r="C121" i="11"/>
  <c r="C140" i="11"/>
  <c r="D147" i="11"/>
  <c r="C147" i="11"/>
  <c r="D167" i="11"/>
  <c r="D155" i="11"/>
  <c r="C155" i="11"/>
  <c r="C210" i="11"/>
  <c r="D229" i="11"/>
  <c r="C229" i="11"/>
  <c r="C308" i="11"/>
  <c r="D328" i="11"/>
  <c r="D316" i="11"/>
  <c r="C316" i="11"/>
  <c r="D335" i="11"/>
  <c r="C338" i="11"/>
  <c r="C383" i="11"/>
  <c r="C390" i="11"/>
  <c r="D422" i="11"/>
  <c r="D410" i="11"/>
  <c r="C410" i="11"/>
  <c r="D437" i="11"/>
  <c r="C425" i="11"/>
  <c r="D508" i="11"/>
  <c r="C496" i="11"/>
  <c r="D523" i="11"/>
  <c r="D588" i="11"/>
  <c r="C589" i="11"/>
  <c r="D602" i="11"/>
  <c r="D47" i="12"/>
  <c r="C55" i="12"/>
  <c r="C69" i="12"/>
  <c r="D81" i="12"/>
  <c r="C83" i="12"/>
  <c r="D117" i="12"/>
  <c r="C105" i="12"/>
  <c r="D181" i="12"/>
  <c r="D244" i="12"/>
  <c r="C244" i="12"/>
  <c r="D256" i="12"/>
  <c r="C256" i="12"/>
  <c r="D271" i="12"/>
  <c r="C298" i="12"/>
  <c r="D310" i="12"/>
  <c r="D338" i="12"/>
  <c r="C326" i="12"/>
  <c r="C382" i="12"/>
  <c r="D394" i="12"/>
  <c r="C388" i="12"/>
  <c r="C475" i="12"/>
  <c r="C490" i="12"/>
  <c r="C524" i="12"/>
  <c r="D559" i="12"/>
  <c r="D547" i="12"/>
  <c r="C547" i="12"/>
  <c r="D598" i="12"/>
  <c r="C587" i="12"/>
  <c r="C1105" i="3"/>
  <c r="C1153" i="3"/>
  <c r="D164" i="4"/>
  <c r="D212" i="4"/>
  <c r="D260" i="4"/>
  <c r="D308" i="4"/>
  <c r="D356" i="4"/>
  <c r="D404" i="4"/>
  <c r="D548" i="4"/>
  <c r="D29" i="6"/>
  <c r="C17" i="6"/>
  <c r="D70" i="6"/>
  <c r="C92" i="6"/>
  <c r="D114" i="6"/>
  <c r="C332" i="6"/>
  <c r="D344" i="6"/>
  <c r="D480" i="6"/>
  <c r="D515" i="6"/>
  <c r="D613" i="6"/>
  <c r="D22" i="7"/>
  <c r="D138" i="7"/>
  <c r="C126" i="7"/>
  <c r="D154" i="7"/>
  <c r="C142" i="7"/>
  <c r="D206" i="7"/>
  <c r="C194" i="7"/>
  <c r="D370" i="7"/>
  <c r="C358" i="7"/>
  <c r="D418" i="7"/>
  <c r="C406" i="7"/>
  <c r="C485" i="7"/>
  <c r="D550" i="7"/>
  <c r="C538" i="7"/>
  <c r="D23" i="8"/>
  <c r="C12" i="8"/>
  <c r="D279" i="8"/>
  <c r="D386" i="8"/>
  <c r="C374" i="8"/>
  <c r="D426" i="8"/>
  <c r="C414" i="8"/>
  <c r="C427" i="8"/>
  <c r="D486" i="8"/>
  <c r="C474" i="8"/>
  <c r="D567" i="8"/>
  <c r="C91" i="9"/>
  <c r="C232" i="9"/>
  <c r="D244" i="9"/>
  <c r="D351" i="9"/>
  <c r="D339" i="9"/>
  <c r="C356" i="9"/>
  <c r="D414" i="9"/>
  <c r="C415" i="9"/>
  <c r="D426" i="9"/>
  <c r="C521" i="9"/>
  <c r="C29" i="10"/>
  <c r="C28" i="10"/>
  <c r="C135" i="10"/>
  <c r="D147" i="10"/>
  <c r="C397" i="10"/>
  <c r="D408" i="10"/>
  <c r="D396" i="10"/>
  <c r="C10" i="11"/>
  <c r="D22" i="11"/>
  <c r="C82" i="11"/>
  <c r="D94" i="11"/>
  <c r="C146" i="11"/>
  <c r="D187" i="11"/>
  <c r="C264" i="11"/>
  <c r="D276" i="11"/>
  <c r="D146" i="12"/>
  <c r="C1149" i="3"/>
  <c r="D64" i="4"/>
  <c r="C56" i="4"/>
  <c r="C152" i="4"/>
  <c r="D304" i="4"/>
  <c r="C344" i="4"/>
  <c r="D400" i="4"/>
  <c r="C392" i="4"/>
  <c r="D448" i="4"/>
  <c r="C440" i="4"/>
  <c r="D496" i="4"/>
  <c r="C488" i="4"/>
  <c r="C536" i="4"/>
  <c r="D592" i="4"/>
  <c r="C584" i="4"/>
  <c r="C102" i="6"/>
  <c r="D153" i="6"/>
  <c r="C223" i="6"/>
  <c r="D335" i="6"/>
  <c r="D369" i="6"/>
  <c r="D393" i="6"/>
  <c r="D417" i="6"/>
  <c r="C463" i="6"/>
  <c r="C468" i="6"/>
  <c r="D505" i="6"/>
  <c r="D525" i="6"/>
  <c r="C552" i="6"/>
  <c r="C23" i="7"/>
  <c r="D106" i="7"/>
  <c r="C94" i="7"/>
  <c r="D207" i="7"/>
  <c r="C211" i="7"/>
  <c r="D286" i="7"/>
  <c r="C274" i="7"/>
  <c r="C417" i="7"/>
  <c r="D429" i="7"/>
  <c r="D450" i="7"/>
  <c r="C438" i="7"/>
  <c r="D566" i="7"/>
  <c r="C554" i="7"/>
  <c r="C569" i="7"/>
  <c r="D598" i="7"/>
  <c r="C586" i="7"/>
  <c r="C40" i="8"/>
  <c r="C84" i="8"/>
  <c r="D119" i="8"/>
  <c r="C107" i="8"/>
  <c r="C140" i="8"/>
  <c r="C161" i="8"/>
  <c r="D257" i="8"/>
  <c r="C245" i="8"/>
  <c r="D285" i="8"/>
  <c r="C303" i="8"/>
  <c r="D350" i="8"/>
  <c r="C338" i="8"/>
  <c r="D363" i="8"/>
  <c r="C351" i="8"/>
  <c r="D427" i="8"/>
  <c r="D468" i="8"/>
  <c r="C456" i="8"/>
  <c r="C475" i="8"/>
  <c r="D510" i="8"/>
  <c r="C498" i="8"/>
  <c r="D509" i="8"/>
  <c r="D545" i="8"/>
  <c r="C533" i="8"/>
  <c r="D573" i="8"/>
  <c r="C591" i="8"/>
  <c r="C65" i="9"/>
  <c r="C145" i="9"/>
  <c r="C150" i="9"/>
  <c r="D161" i="9"/>
  <c r="C161" i="9"/>
  <c r="C162" i="9"/>
  <c r="D305" i="9"/>
  <c r="D317" i="9"/>
  <c r="C306" i="9"/>
  <c r="C323" i="9"/>
  <c r="D328" i="9"/>
  <c r="C339" i="9"/>
  <c r="C345" i="9"/>
  <c r="D379" i="9"/>
  <c r="D391" i="9"/>
  <c r="C390" i="9"/>
  <c r="C408" i="9"/>
  <c r="D420" i="9"/>
  <c r="C414" i="9"/>
  <c r="C481" i="9"/>
  <c r="D492" i="9"/>
  <c r="D545" i="9"/>
  <c r="D557" i="9"/>
  <c r="C580" i="9"/>
  <c r="C581" i="9"/>
  <c r="C597" i="9"/>
  <c r="D28" i="10"/>
  <c r="C137" i="10"/>
  <c r="D148" i="10"/>
  <c r="C136" i="10"/>
  <c r="C152" i="10"/>
  <c r="C208" i="10"/>
  <c r="C239" i="10"/>
  <c r="C280" i="10"/>
  <c r="C297" i="10"/>
  <c r="D308" i="10"/>
  <c r="C317" i="10"/>
  <c r="D328" i="10"/>
  <c r="C396" i="10"/>
  <c r="D31" i="11"/>
  <c r="C19" i="11"/>
  <c r="C102" i="11"/>
  <c r="C175" i="11"/>
  <c r="D255" i="11"/>
  <c r="D243" i="11"/>
  <c r="D270" i="11"/>
  <c r="C258" i="11"/>
  <c r="D341" i="11"/>
  <c r="D388" i="11"/>
  <c r="D396" i="11"/>
  <c r="C396" i="11"/>
  <c r="C432" i="11"/>
  <c r="C476" i="11"/>
  <c r="D475" i="11"/>
  <c r="D487" i="11"/>
  <c r="C475" i="11"/>
  <c r="D501" i="11"/>
  <c r="C490" i="11"/>
  <c r="C602" i="11"/>
  <c r="C47" i="12"/>
  <c r="D80" i="12"/>
  <c r="C68" i="12"/>
  <c r="D109" i="12"/>
  <c r="C97" i="12"/>
  <c r="D134" i="12"/>
  <c r="C175" i="12"/>
  <c r="D187" i="12"/>
  <c r="C181" i="12"/>
  <c r="D222" i="12"/>
  <c r="D337" i="12"/>
  <c r="C325" i="12"/>
  <c r="C1141" i="3"/>
  <c r="D56" i="4"/>
  <c r="C57" i="4"/>
  <c r="D104" i="4"/>
  <c r="C105" i="4"/>
  <c r="D152" i="4"/>
  <c r="C153" i="4"/>
  <c r="D200" i="4"/>
  <c r="C201" i="4"/>
  <c r="D248" i="4"/>
  <c r="C249" i="4"/>
  <c r="D296" i="4"/>
  <c r="D344" i="4"/>
  <c r="C336" i="4"/>
  <c r="D392" i="4"/>
  <c r="C384" i="4"/>
  <c r="D440" i="4"/>
  <c r="C432" i="4"/>
  <c r="D488" i="4"/>
  <c r="C480" i="4"/>
  <c r="D536" i="4"/>
  <c r="C528" i="4"/>
  <c r="D584" i="4"/>
  <c r="C576" i="4"/>
  <c r="C603" i="4"/>
  <c r="D31" i="6"/>
  <c r="D28" i="6"/>
  <c r="D61" i="6"/>
  <c r="C59" i="6"/>
  <c r="D81" i="6"/>
  <c r="C93" i="6"/>
  <c r="D129" i="6"/>
  <c r="C127" i="6"/>
  <c r="C132" i="6"/>
  <c r="C142" i="6"/>
  <c r="D173" i="6"/>
  <c r="C180" i="6"/>
  <c r="D221" i="6"/>
  <c r="D228" i="6"/>
  <c r="D312" i="6"/>
  <c r="C309" i="6"/>
  <c r="D314" i="6"/>
  <c r="C319" i="6"/>
  <c r="D336" i="6"/>
  <c r="C333" i="6"/>
  <c r="D365" i="6"/>
  <c r="D362" i="6"/>
  <c r="C372" i="6"/>
  <c r="D418" i="6"/>
  <c r="C425" i="6"/>
  <c r="C449" i="6"/>
  <c r="D481" i="6"/>
  <c r="C469" i="6"/>
  <c r="D496" i="6"/>
  <c r="C538" i="6"/>
  <c r="D565" i="6"/>
  <c r="D570" i="6"/>
  <c r="D585" i="6"/>
  <c r="D609" i="6"/>
  <c r="C612" i="6"/>
  <c r="C18" i="7"/>
  <c r="D36" i="7"/>
  <c r="D38" i="7"/>
  <c r="C53" i="7"/>
  <c r="D86" i="7"/>
  <c r="C74" i="7"/>
  <c r="C95" i="7"/>
  <c r="D118" i="7"/>
  <c r="C106" i="7"/>
  <c r="D134" i="7"/>
  <c r="C122" i="7"/>
  <c r="D187" i="7"/>
  <c r="D184" i="7"/>
  <c r="D202" i="7"/>
  <c r="C190" i="7"/>
  <c r="C201" i="7"/>
  <c r="D292" i="7"/>
  <c r="D303" i="7"/>
  <c r="C296" i="7"/>
  <c r="C307" i="7"/>
  <c r="D340" i="7"/>
  <c r="D366" i="7"/>
  <c r="C354" i="7"/>
  <c r="D382" i="7"/>
  <c r="C370" i="7"/>
  <c r="D391" i="7"/>
  <c r="D430" i="7"/>
  <c r="C418" i="7"/>
  <c r="C455" i="7"/>
  <c r="D520" i="7"/>
  <c r="C513" i="7"/>
  <c r="D525" i="7"/>
  <c r="D546" i="7"/>
  <c r="C534" i="7"/>
  <c r="C544" i="7"/>
  <c r="D582" i="7"/>
  <c r="C570" i="7"/>
  <c r="C587" i="7"/>
  <c r="C592" i="7"/>
  <c r="C603" i="7"/>
  <c r="C25" i="8"/>
  <c r="C30" i="8"/>
  <c r="C41" i="8"/>
  <c r="D57" i="8"/>
  <c r="D75" i="8"/>
  <c r="C79" i="8"/>
  <c r="C85" i="8"/>
  <c r="C118" i="8"/>
  <c r="D142" i="8"/>
  <c r="C130" i="8"/>
  <c r="C162" i="8"/>
  <c r="C168" i="8"/>
  <c r="C184" i="8"/>
  <c r="D195" i="8"/>
  <c r="D218" i="8"/>
  <c r="C206" i="8"/>
  <c r="C224" i="8"/>
  <c r="D235" i="8"/>
  <c r="D223" i="8"/>
  <c r="C228" i="8"/>
  <c r="C235" i="8"/>
  <c r="D281" i="8"/>
  <c r="D280" i="8"/>
  <c r="D310" i="8"/>
  <c r="C298" i="8"/>
  <c r="C316" i="8"/>
  <c r="D321" i="8"/>
  <c r="C340" i="8"/>
  <c r="D358" i="8"/>
  <c r="C346" i="8"/>
  <c r="D369" i="8"/>
  <c r="D375" i="8"/>
  <c r="C387" i="8"/>
  <c r="D410" i="8"/>
  <c r="C398" i="8"/>
  <c r="C409" i="8"/>
  <c r="D439" i="8"/>
  <c r="D451" i="8"/>
  <c r="C463" i="8"/>
  <c r="D480" i="8"/>
  <c r="C487" i="8"/>
  <c r="C499" i="8"/>
  <c r="C512" i="8"/>
  <c r="D523" i="8"/>
  <c r="C516" i="8"/>
  <c r="C523" i="8"/>
  <c r="D569" i="8"/>
  <c r="D568" i="8"/>
  <c r="D598" i="8"/>
  <c r="C586" i="8"/>
  <c r="C604" i="8"/>
  <c r="D609" i="8"/>
  <c r="C10" i="9"/>
  <c r="D29" i="9"/>
  <c r="D68" i="9"/>
  <c r="C66" i="9"/>
  <c r="D146" i="9"/>
  <c r="C134" i="9"/>
  <c r="C175" i="9"/>
  <c r="D187" i="9"/>
  <c r="D199" i="9"/>
  <c r="C193" i="9"/>
  <c r="D216" i="9"/>
  <c r="D222" i="9"/>
  <c r="D234" i="9"/>
  <c r="C255" i="9"/>
  <c r="D260" i="9"/>
  <c r="D265" i="9"/>
  <c r="C324" i="9"/>
  <c r="D336" i="9"/>
  <c r="C364" i="9"/>
  <c r="D376" i="9"/>
  <c r="C369" i="9"/>
  <c r="C374" i="9"/>
  <c r="C398" i="9"/>
  <c r="C409" i="9"/>
  <c r="C440" i="9"/>
  <c r="D440" i="9"/>
  <c r="D459" i="9"/>
  <c r="D452" i="9"/>
  <c r="D516" i="9"/>
  <c r="D541" i="9"/>
  <c r="C539" i="9"/>
  <c r="C551" i="9"/>
  <c r="D575" i="9"/>
  <c r="D586" i="9"/>
  <c r="D592" i="9"/>
  <c r="D604" i="9"/>
  <c r="D610" i="9"/>
  <c r="C610" i="9"/>
  <c r="D616" i="9"/>
  <c r="C11" i="10"/>
  <c r="D30" i="10"/>
  <c r="C18" i="10"/>
  <c r="D34" i="10"/>
  <c r="C41" i="10"/>
  <c r="D52" i="10"/>
  <c r="D64" i="10"/>
  <c r="D95" i="10"/>
  <c r="C106" i="10"/>
  <c r="C158" i="10"/>
  <c r="C179" i="10"/>
  <c r="D190" i="10"/>
  <c r="C183" i="10"/>
  <c r="D195" i="10"/>
  <c r="C188" i="10"/>
  <c r="D204" i="10"/>
  <c r="C224" i="10"/>
  <c r="C270" i="10"/>
  <c r="C302" i="10"/>
  <c r="D316" i="10"/>
  <c r="C327" i="10"/>
  <c r="C343" i="10"/>
  <c r="C364" i="10"/>
  <c r="C419" i="10"/>
  <c r="D418" i="10"/>
  <c r="C418" i="10"/>
  <c r="D447" i="10"/>
  <c r="D458" i="10"/>
  <c r="C472" i="10"/>
  <c r="D490" i="10"/>
  <c r="C483" i="10"/>
  <c r="C510" i="10"/>
  <c r="C517" i="10"/>
  <c r="D528" i="10"/>
  <c r="C516" i="10"/>
  <c r="C543" i="10"/>
  <c r="C548" i="10"/>
  <c r="C554" i="10"/>
  <c r="D566" i="10"/>
  <c r="C561" i="10"/>
  <c r="D572" i="10"/>
  <c r="D583" i="10"/>
  <c r="D606" i="10"/>
  <c r="D616" i="10"/>
  <c r="C52" i="11"/>
  <c r="C59" i="11"/>
  <c r="D64" i="11"/>
  <c r="C97" i="11"/>
  <c r="C103" i="11"/>
  <c r="D108" i="11"/>
  <c r="C157" i="11"/>
  <c r="C156" i="11"/>
  <c r="D181" i="11"/>
  <c r="C169" i="11"/>
  <c r="D188" i="11"/>
  <c r="C190" i="11"/>
  <c r="C217" i="11"/>
  <c r="D230" i="11"/>
  <c r="C230" i="11"/>
  <c r="D249" i="11"/>
  <c r="C237" i="11"/>
  <c r="C252" i="11"/>
  <c r="D271" i="11"/>
  <c r="C260" i="11"/>
  <c r="D285" i="11"/>
  <c r="C273" i="11"/>
  <c r="C281" i="11"/>
  <c r="D321" i="11"/>
  <c r="C309" i="11"/>
  <c r="C310" i="11"/>
  <c r="D357" i="11"/>
  <c r="C345" i="11"/>
  <c r="D376" i="11"/>
  <c r="D390" i="11"/>
  <c r="C412" i="11"/>
  <c r="C411" i="11"/>
  <c r="C433" i="11"/>
  <c r="D452" i="11"/>
  <c r="D440" i="11"/>
  <c r="C440" i="11"/>
  <c r="C460" i="11"/>
  <c r="D472" i="11"/>
  <c r="C484" i="11"/>
  <c r="D529" i="11"/>
  <c r="C517" i="11"/>
  <c r="C518" i="11"/>
  <c r="C524" i="11"/>
  <c r="D574" i="11"/>
  <c r="D562" i="11"/>
  <c r="C563" i="11"/>
  <c r="C576" i="11"/>
  <c r="D590" i="11"/>
  <c r="C590" i="11"/>
  <c r="D609" i="11"/>
  <c r="C597" i="11"/>
  <c r="C48" i="12"/>
  <c r="D60" i="12"/>
  <c r="D89" i="12"/>
  <c r="C77" i="12"/>
  <c r="C84" i="12"/>
  <c r="C106" i="12"/>
  <c r="C114" i="12"/>
  <c r="D126" i="12"/>
  <c r="D114" i="12"/>
  <c r="C135" i="12"/>
  <c r="C148" i="12"/>
  <c r="C169" i="12"/>
  <c r="D207" i="12"/>
  <c r="C195" i="12"/>
  <c r="D236" i="12"/>
  <c r="C224" i="12"/>
  <c r="C272" i="12"/>
  <c r="D292" i="12"/>
  <c r="C292" i="12"/>
  <c r="C293" i="12"/>
  <c r="D298" i="12"/>
  <c r="D382" i="12"/>
  <c r="D401" i="12"/>
  <c r="C389" i="12"/>
  <c r="D430" i="12"/>
  <c r="C418" i="12"/>
  <c r="D463" i="12"/>
  <c r="C470" i="12"/>
  <c r="D475" i="12"/>
  <c r="D490" i="12"/>
  <c r="C511" i="12"/>
  <c r="D523" i="12"/>
  <c r="D511" i="12"/>
  <c r="C512" i="12"/>
  <c r="D537" i="12"/>
  <c r="C525" i="12"/>
  <c r="C577" i="12"/>
  <c r="C586" i="12"/>
  <c r="C8" i="11"/>
  <c r="C9" i="11"/>
  <c r="D41" i="11"/>
  <c r="C75" i="11"/>
  <c r="C88" i="11"/>
  <c r="C123" i="11"/>
  <c r="C148" i="11"/>
  <c r="C174" i="11"/>
  <c r="D186" i="11"/>
  <c r="C186" i="11"/>
  <c r="D198" i="11"/>
  <c r="C231" i="11"/>
  <c r="D264" i="11"/>
  <c r="D329" i="11"/>
  <c r="D342" i="11"/>
  <c r="D330" i="11"/>
  <c r="D368" i="11"/>
  <c r="D379" i="11"/>
  <c r="C367" i="11"/>
  <c r="D458" i="11"/>
  <c r="C446" i="11"/>
  <c r="D471" i="11"/>
  <c r="C467" i="11"/>
  <c r="D478" i="11"/>
  <c r="C568" i="11"/>
  <c r="D580" i="11"/>
  <c r="D582" i="11"/>
  <c r="C582" i="11"/>
  <c r="C596" i="11"/>
  <c r="D595" i="11"/>
  <c r="C595" i="11"/>
  <c r="D607" i="11"/>
  <c r="C614" i="11"/>
  <c r="D43" i="12"/>
  <c r="D31" i="12"/>
  <c r="C31" i="12"/>
  <c r="D71" i="12"/>
  <c r="D103" i="12"/>
  <c r="C188" i="12"/>
  <c r="D206" i="12"/>
  <c r="D194" i="12"/>
  <c r="C194" i="12"/>
  <c r="D220" i="12"/>
  <c r="C209" i="12"/>
  <c r="D227" i="12"/>
  <c r="C215" i="12"/>
  <c r="C299" i="12"/>
  <c r="D311" i="12"/>
  <c r="D326" i="12"/>
  <c r="C321" i="12"/>
  <c r="D320" i="12"/>
  <c r="D339" i="12"/>
  <c r="C327" i="12"/>
  <c r="C607" i="12"/>
  <c r="D22" i="6"/>
  <c r="C16" i="6"/>
  <c r="D85" i="6"/>
  <c r="D117" i="6"/>
  <c r="C105" i="6"/>
  <c r="D145" i="6"/>
  <c r="D177" i="6"/>
  <c r="C188" i="6"/>
  <c r="D205" i="6"/>
  <c r="D237" i="6"/>
  <c r="D269" i="6"/>
  <c r="C271" i="6"/>
  <c r="D288" i="6"/>
  <c r="D297" i="6"/>
  <c r="D329" i="6"/>
  <c r="C354" i="6"/>
  <c r="D371" i="6"/>
  <c r="D454" i="6"/>
  <c r="D601" i="6"/>
  <c r="C11" i="7"/>
  <c r="D30" i="7"/>
  <c r="D58" i="7"/>
  <c r="C46" i="7"/>
  <c r="C81" i="7"/>
  <c r="C177" i="7"/>
  <c r="C273" i="7"/>
  <c r="C369" i="7"/>
  <c r="C465" i="7"/>
  <c r="C561" i="7"/>
  <c r="C53" i="8"/>
  <c r="C136" i="8"/>
  <c r="C167" i="8"/>
  <c r="D258" i="8"/>
  <c r="C246" i="8"/>
  <c r="D402" i="8"/>
  <c r="C390" i="8"/>
  <c r="D546" i="8"/>
  <c r="C534" i="8"/>
  <c r="C99" i="9"/>
  <c r="C114" i="9"/>
  <c r="C168" i="9"/>
  <c r="C180" i="9"/>
  <c r="D192" i="9"/>
  <c r="C181" i="9"/>
  <c r="C208" i="9"/>
  <c r="D220" i="9"/>
  <c r="C224" i="9"/>
  <c r="C225" i="9"/>
  <c r="D253" i="9"/>
  <c r="D257" i="9"/>
  <c r="C258" i="9"/>
  <c r="C262" i="9"/>
  <c r="C279" i="9"/>
  <c r="D346" i="9"/>
  <c r="C372" i="9"/>
  <c r="D384" i="9"/>
  <c r="D395" i="9"/>
  <c r="C400" i="9"/>
  <c r="C406" i="9"/>
  <c r="C430" i="9"/>
  <c r="D441" i="9"/>
  <c r="C452" i="9"/>
  <c r="D464" i="9"/>
  <c r="C496" i="9"/>
  <c r="D508" i="9"/>
  <c r="D519" i="9"/>
  <c r="D542" i="9"/>
  <c r="C48" i="10"/>
  <c r="D47" i="10"/>
  <c r="C53" i="10"/>
  <c r="C52" i="10"/>
  <c r="D74" i="10"/>
  <c r="C62" i="10"/>
  <c r="D218" i="10"/>
  <c r="C371" i="10"/>
  <c r="D370" i="10"/>
  <c r="C375" i="10"/>
  <c r="D451" i="10"/>
  <c r="C506" i="10"/>
  <c r="D518" i="10"/>
  <c r="C533" i="10"/>
  <c r="C532" i="10"/>
  <c r="D602" i="10"/>
  <c r="D48" i="11"/>
  <c r="D60" i="11"/>
  <c r="C60" i="11"/>
  <c r="C90" i="11"/>
  <c r="D102" i="11"/>
  <c r="D125" i="11"/>
  <c r="D213" i="11"/>
  <c r="C201" i="11"/>
  <c r="D252" i="11"/>
  <c r="D432" i="11"/>
  <c r="D533" i="11"/>
  <c r="C522" i="11"/>
  <c r="D534" i="11"/>
  <c r="C534" i="11"/>
  <c r="D589" i="11"/>
  <c r="C577" i="11"/>
  <c r="C591" i="11"/>
  <c r="C592" i="11"/>
  <c r="D603" i="11"/>
  <c r="D39" i="12"/>
  <c r="C28" i="12"/>
  <c r="C66" i="12"/>
  <c r="D66" i="12"/>
  <c r="D79" i="12"/>
  <c r="C79" i="12"/>
  <c r="D91" i="12"/>
  <c r="C108" i="12"/>
  <c r="C128" i="12"/>
  <c r="D140" i="12"/>
  <c r="D147" i="12"/>
  <c r="C140" i="12"/>
  <c r="D152" i="12"/>
  <c r="C171" i="12"/>
  <c r="D218" i="12"/>
  <c r="D230" i="12"/>
  <c r="C219" i="12"/>
  <c r="D423" i="12"/>
  <c r="D411" i="12"/>
  <c r="C426" i="12"/>
  <c r="D447" i="12"/>
  <c r="D459" i="12"/>
  <c r="C447" i="12"/>
  <c r="C448" i="12"/>
  <c r="D493" i="12"/>
  <c r="C482" i="12"/>
  <c r="D513" i="12"/>
  <c r="C501" i="12"/>
  <c r="D508" i="12"/>
  <c r="D520" i="12"/>
  <c r="C509" i="12"/>
  <c r="C551" i="12"/>
  <c r="C564" i="12"/>
  <c r="C377" i="10"/>
  <c r="D388" i="10"/>
  <c r="C423" i="10"/>
  <c r="D29" i="11"/>
  <c r="C17" i="11"/>
  <c r="D46" i="11"/>
  <c r="D51" i="11"/>
  <c r="C44" i="11"/>
  <c r="D121" i="11"/>
  <c r="C109" i="11"/>
  <c r="C115" i="11"/>
  <c r="C126" i="11"/>
  <c r="D149" i="11"/>
  <c r="C137" i="11"/>
  <c r="C220" i="11"/>
  <c r="D250" i="11"/>
  <c r="D238" i="11"/>
  <c r="C238" i="11"/>
  <c r="C340" i="11"/>
  <c r="D519" i="11"/>
  <c r="D507" i="11"/>
  <c r="C554" i="11"/>
  <c r="D591" i="11"/>
  <c r="C25" i="12"/>
  <c r="C43" i="12"/>
  <c r="C50" i="12"/>
  <c r="D62" i="12"/>
  <c r="D68" i="12"/>
  <c r="D56" i="12"/>
  <c r="C56" i="12"/>
  <c r="C70" i="12"/>
  <c r="D100" i="12"/>
  <c r="D179" i="12"/>
  <c r="C168" i="12"/>
  <c r="D167" i="12"/>
  <c r="C167" i="12"/>
  <c r="D241" i="12"/>
  <c r="C398" i="12"/>
  <c r="D398" i="12"/>
  <c r="D498" i="12"/>
  <c r="C526" i="12"/>
  <c r="D545" i="12"/>
  <c r="C539" i="12"/>
  <c r="C546" i="12"/>
  <c r="D585" i="12"/>
  <c r="D65" i="6"/>
  <c r="D113" i="6"/>
  <c r="D161" i="6"/>
  <c r="D209" i="6"/>
  <c r="D257" i="6"/>
  <c r="D305" i="6"/>
  <c r="D353" i="6"/>
  <c r="D401" i="6"/>
  <c r="D449" i="6"/>
  <c r="D497" i="6"/>
  <c r="D545" i="6"/>
  <c r="D593" i="6"/>
  <c r="C26" i="7"/>
  <c r="D74" i="7"/>
  <c r="C62" i="7"/>
  <c r="D98" i="7"/>
  <c r="C86" i="7"/>
  <c r="D122" i="7"/>
  <c r="C110" i="7"/>
  <c r="D146" i="7"/>
  <c r="C134" i="7"/>
  <c r="D170" i="7"/>
  <c r="C158" i="7"/>
  <c r="D194" i="7"/>
  <c r="C182" i="7"/>
  <c r="D218" i="7"/>
  <c r="C206" i="7"/>
  <c r="D242" i="7"/>
  <c r="C230" i="7"/>
  <c r="D266" i="7"/>
  <c r="C254" i="7"/>
  <c r="D290" i="7"/>
  <c r="C278" i="7"/>
  <c r="D314" i="7"/>
  <c r="C302" i="7"/>
  <c r="D338" i="7"/>
  <c r="C326" i="7"/>
  <c r="D362" i="7"/>
  <c r="C350" i="7"/>
  <c r="D386" i="7"/>
  <c r="C374" i="7"/>
  <c r="D410" i="7"/>
  <c r="C398" i="7"/>
  <c r="D434" i="7"/>
  <c r="C422" i="7"/>
  <c r="D458" i="7"/>
  <c r="C446" i="7"/>
  <c r="D482" i="7"/>
  <c r="C470" i="7"/>
  <c r="D506" i="7"/>
  <c r="C494" i="7"/>
  <c r="D530" i="7"/>
  <c r="C518" i="7"/>
  <c r="D554" i="7"/>
  <c r="C542" i="7"/>
  <c r="D578" i="7"/>
  <c r="C566" i="7"/>
  <c r="D602" i="7"/>
  <c r="C590" i="7"/>
  <c r="C97" i="8"/>
  <c r="C180" i="8"/>
  <c r="D226" i="8"/>
  <c r="D252" i="8"/>
  <c r="D278" i="8"/>
  <c r="C266" i="8"/>
  <c r="D300" i="8"/>
  <c r="D326" i="8"/>
  <c r="C314" i="8"/>
  <c r="D348" i="8"/>
  <c r="D374" i="8"/>
  <c r="C362" i="8"/>
  <c r="D396" i="8"/>
  <c r="D422" i="8"/>
  <c r="C410" i="8"/>
  <c r="D444" i="8"/>
  <c r="D470" i="8"/>
  <c r="C458" i="8"/>
  <c r="D492" i="8"/>
  <c r="D518" i="8"/>
  <c r="C506" i="8"/>
  <c r="D540" i="8"/>
  <c r="D566" i="8"/>
  <c r="C554" i="8"/>
  <c r="D588" i="8"/>
  <c r="D614" i="8"/>
  <c r="C602" i="8"/>
  <c r="D66" i="9"/>
  <c r="C101" i="9"/>
  <c r="C151" i="9"/>
  <c r="C184" i="9"/>
  <c r="D196" i="9"/>
  <c r="C252" i="9"/>
  <c r="C280" i="9"/>
  <c r="D292" i="9"/>
  <c r="C300" i="9"/>
  <c r="D312" i="9"/>
  <c r="C375" i="9"/>
  <c r="C419" i="9"/>
  <c r="C425" i="9"/>
  <c r="C468" i="9"/>
  <c r="D480" i="9"/>
  <c r="C469" i="9"/>
  <c r="C500" i="9"/>
  <c r="D517" i="9"/>
  <c r="C585" i="9"/>
  <c r="C101" i="10"/>
  <c r="C100" i="10"/>
  <c r="D122" i="10"/>
  <c r="D174" i="10"/>
  <c r="D231" i="10"/>
  <c r="D331" i="10"/>
  <c r="C352" i="10"/>
  <c r="C376" i="10"/>
  <c r="C404" i="10"/>
  <c r="C425" i="10"/>
  <c r="D436" i="10"/>
  <c r="C456" i="10"/>
  <c r="C471" i="10"/>
  <c r="C504" i="10"/>
  <c r="C519" i="10"/>
  <c r="C552" i="10"/>
  <c r="C567" i="10"/>
  <c r="C600" i="10"/>
  <c r="C615" i="10"/>
  <c r="C34" i="11"/>
  <c r="C39" i="11"/>
  <c r="D57" i="11"/>
  <c r="D79" i="11"/>
  <c r="D89" i="11"/>
  <c r="D139" i="11"/>
  <c r="D156" i="11"/>
  <c r="D215" i="11"/>
  <c r="D232" i="11"/>
  <c r="D251" i="11"/>
  <c r="C263" i="11"/>
  <c r="C287" i="11"/>
  <c r="D299" i="11"/>
  <c r="C311" i="11"/>
  <c r="C322" i="11"/>
  <c r="D334" i="11"/>
  <c r="D399" i="11"/>
  <c r="D387" i="11"/>
  <c r="C387" i="11"/>
  <c r="D416" i="11"/>
  <c r="C416" i="11"/>
  <c r="D428" i="11"/>
  <c r="C482" i="11"/>
  <c r="C507" i="11"/>
  <c r="C579" i="11"/>
  <c r="C11" i="12"/>
  <c r="D23" i="12"/>
  <c r="C26" i="12"/>
  <c r="D38" i="12"/>
  <c r="C37" i="12"/>
  <c r="D50" i="12"/>
  <c r="C57" i="12"/>
  <c r="D69" i="12"/>
  <c r="C82" i="12"/>
  <c r="D94" i="12"/>
  <c r="C88" i="12"/>
  <c r="C94" i="12"/>
  <c r="D106" i="12"/>
  <c r="C95" i="12"/>
  <c r="C120" i="12"/>
  <c r="C131" i="12"/>
  <c r="D143" i="12"/>
  <c r="C180" i="12"/>
  <c r="C198" i="12"/>
  <c r="C204" i="12"/>
  <c r="C217" i="12"/>
  <c r="C229" i="12"/>
  <c r="C236" i="12"/>
  <c r="C237" i="12"/>
  <c r="C285" i="12"/>
  <c r="C291" i="12"/>
  <c r="C296" i="12"/>
  <c r="C309" i="12"/>
  <c r="D367" i="12"/>
  <c r="C355" i="12"/>
  <c r="C356" i="12"/>
  <c r="C374" i="12"/>
  <c r="C405" i="12"/>
  <c r="D425" i="12"/>
  <c r="C419" i="12"/>
  <c r="C486" i="12"/>
  <c r="D505" i="12"/>
  <c r="C494" i="12"/>
  <c r="C533" i="12"/>
  <c r="D552" i="12"/>
  <c r="C541" i="12"/>
  <c r="C573" i="12"/>
  <c r="D70" i="8"/>
  <c r="D118" i="8"/>
  <c r="D166" i="8"/>
  <c r="D214" i="8"/>
  <c r="D250" i="8"/>
  <c r="C238" i="8"/>
  <c r="D274" i="8"/>
  <c r="C262" i="8"/>
  <c r="D298" i="8"/>
  <c r="C286" i="8"/>
  <c r="D322" i="8"/>
  <c r="C310" i="8"/>
  <c r="D346" i="8"/>
  <c r="C334" i="8"/>
  <c r="D370" i="8"/>
  <c r="C358" i="8"/>
  <c r="D394" i="8"/>
  <c r="C382" i="8"/>
  <c r="D418" i="8"/>
  <c r="C406" i="8"/>
  <c r="D442" i="8"/>
  <c r="C430" i="8"/>
  <c r="D466" i="8"/>
  <c r="C454" i="8"/>
  <c r="D490" i="8"/>
  <c r="C478" i="8"/>
  <c r="D514" i="8"/>
  <c r="C502" i="8"/>
  <c r="D538" i="8"/>
  <c r="C526" i="8"/>
  <c r="D562" i="8"/>
  <c r="C550" i="8"/>
  <c r="D586" i="8"/>
  <c r="C574" i="8"/>
  <c r="D610" i="8"/>
  <c r="C598" i="8"/>
  <c r="C27" i="9"/>
  <c r="C75" i="9"/>
  <c r="D135" i="9"/>
  <c r="C132" i="9"/>
  <c r="D144" i="9"/>
  <c r="C156" i="9"/>
  <c r="C166" i="9"/>
  <c r="C200" i="9"/>
  <c r="C205" i="9"/>
  <c r="C220" i="9"/>
  <c r="C244" i="9"/>
  <c r="C249" i="9"/>
  <c r="C327" i="9"/>
  <c r="C371" i="9"/>
  <c r="C410" i="9"/>
  <c r="C420" i="9"/>
  <c r="D432" i="9"/>
  <c r="C444" i="9"/>
  <c r="C454" i="9"/>
  <c r="C488" i="9"/>
  <c r="C493" i="9"/>
  <c r="C508" i="9"/>
  <c r="C532" i="9"/>
  <c r="C537" i="9"/>
  <c r="C615" i="9"/>
  <c r="D56" i="10"/>
  <c r="D104" i="10"/>
  <c r="D152" i="10"/>
  <c r="D200" i="10"/>
  <c r="D248" i="10"/>
  <c r="D296" i="10"/>
  <c r="D344" i="10"/>
  <c r="D392" i="10"/>
  <c r="D440" i="10"/>
  <c r="D488" i="10"/>
  <c r="D536" i="10"/>
  <c r="D584" i="10"/>
  <c r="D44" i="11"/>
  <c r="D142" i="11"/>
  <c r="C135" i="11"/>
  <c r="D174" i="11"/>
  <c r="C162" i="11"/>
  <c r="C211" i="11"/>
  <c r="C222" i="11"/>
  <c r="C255" i="11"/>
  <c r="C266" i="11"/>
  <c r="D300" i="11"/>
  <c r="D322" i="11"/>
  <c r="D352" i="11"/>
  <c r="C352" i="11"/>
  <c r="D386" i="11"/>
  <c r="C402" i="11"/>
  <c r="D497" i="11"/>
  <c r="C485" i="11"/>
  <c r="D581" i="11"/>
  <c r="C570" i="11"/>
  <c r="C580" i="11"/>
  <c r="C22" i="12"/>
  <c r="D34" i="12"/>
  <c r="C45" i="12"/>
  <c r="D57" i="12"/>
  <c r="C74" i="12"/>
  <c r="D74" i="12"/>
  <c r="C80" i="12"/>
  <c r="D86" i="12"/>
  <c r="C115" i="12"/>
  <c r="C121" i="12"/>
  <c r="D149" i="12"/>
  <c r="D161" i="12"/>
  <c r="D213" i="12"/>
  <c r="C201" i="12"/>
  <c r="C232" i="12"/>
  <c r="D231" i="12"/>
  <c r="C231" i="12"/>
  <c r="D452" i="12"/>
  <c r="D440" i="12"/>
  <c r="C440" i="12"/>
  <c r="C491" i="12"/>
  <c r="C574" i="12"/>
  <c r="C575" i="12"/>
  <c r="D586" i="12"/>
  <c r="D607" i="12"/>
  <c r="C609" i="12"/>
  <c r="D66" i="8"/>
  <c r="D114" i="8"/>
  <c r="D162" i="8"/>
  <c r="D210" i="8"/>
  <c r="C18" i="9"/>
  <c r="C23" i="9"/>
  <c r="C71" i="9"/>
  <c r="C119" i="9"/>
  <c r="D218" i="9"/>
  <c r="C264" i="9"/>
  <c r="D301" i="9"/>
  <c r="C308" i="9"/>
  <c r="C328" i="9"/>
  <c r="D340" i="9"/>
  <c r="C352" i="9"/>
  <c r="D423" i="9"/>
  <c r="D506" i="9"/>
  <c r="C552" i="9"/>
  <c r="D589" i="9"/>
  <c r="C596" i="9"/>
  <c r="C480" i="10"/>
  <c r="C528" i="10"/>
  <c r="C576" i="10"/>
  <c r="D21" i="11"/>
  <c r="C16" i="11"/>
  <c r="C27" i="11"/>
  <c r="C32" i="11"/>
  <c r="D73" i="11"/>
  <c r="C66" i="11"/>
  <c r="D93" i="11"/>
  <c r="D117" i="11"/>
  <c r="C105" i="11"/>
  <c r="C110" i="11"/>
  <c r="D132" i="11"/>
  <c r="C130" i="11"/>
  <c r="D185" i="11"/>
  <c r="D191" i="11"/>
  <c r="C200" i="11"/>
  <c r="C233" i="11"/>
  <c r="C244" i="11"/>
  <c r="C250" i="11"/>
  <c r="D284" i="11"/>
  <c r="C293" i="11"/>
  <c r="C299" i="11"/>
  <c r="C331" i="11"/>
  <c r="D381" i="11"/>
  <c r="C374" i="11"/>
  <c r="C385" i="11"/>
  <c r="C408" i="11"/>
  <c r="D420" i="11"/>
  <c r="D448" i="11"/>
  <c r="C441" i="11"/>
  <c r="D469" i="11"/>
  <c r="C458" i="11"/>
  <c r="C491" i="11"/>
  <c r="D503" i="11"/>
  <c r="C508" i="11"/>
  <c r="C509" i="11"/>
  <c r="D537" i="11"/>
  <c r="D543" i="11"/>
  <c r="C547" i="11"/>
  <c r="C552" i="11"/>
  <c r="D564" i="11"/>
  <c r="C569" i="11"/>
  <c r="C575" i="11"/>
  <c r="C598" i="11"/>
  <c r="C603" i="11"/>
  <c r="D28" i="12"/>
  <c r="D45" i="12"/>
  <c r="D99" i="12"/>
  <c r="C98" i="12"/>
  <c r="C110" i="12"/>
  <c r="D122" i="12"/>
  <c r="C111" i="12"/>
  <c r="C133" i="12"/>
  <c r="C149" i="12"/>
  <c r="C160" i="12"/>
  <c r="C213" i="12"/>
  <c r="D237" i="12"/>
  <c r="C225" i="12"/>
  <c r="C226" i="12"/>
  <c r="C255" i="12"/>
  <c r="D267" i="12"/>
  <c r="C277" i="12"/>
  <c r="C336" i="12"/>
  <c r="D348" i="12"/>
  <c r="C348" i="12"/>
  <c r="D354" i="12"/>
  <c r="D379" i="12"/>
  <c r="C367" i="12"/>
  <c r="D427" i="12"/>
  <c r="D434" i="12"/>
  <c r="D446" i="12"/>
  <c r="C435" i="12"/>
  <c r="D479" i="12"/>
  <c r="D497" i="12"/>
  <c r="C497" i="12"/>
  <c r="D541" i="12"/>
  <c r="C529" i="12"/>
  <c r="C568" i="12"/>
  <c r="C581" i="12"/>
  <c r="C595" i="12"/>
  <c r="D139" i="9"/>
  <c r="C144" i="9"/>
  <c r="C192" i="9"/>
  <c r="C240" i="9"/>
  <c r="C288" i="9"/>
  <c r="C336" i="9"/>
  <c r="C384" i="9"/>
  <c r="C432" i="9"/>
  <c r="C480" i="9"/>
  <c r="C528" i="9"/>
  <c r="C576" i="9"/>
  <c r="C15" i="10"/>
  <c r="D65" i="11"/>
  <c r="D113" i="11"/>
  <c r="C152" i="11"/>
  <c r="C196" i="11"/>
  <c r="C235" i="11"/>
  <c r="D281" i="11"/>
  <c r="C279" i="11"/>
  <c r="D325" i="11"/>
  <c r="C318" i="11"/>
  <c r="D345" i="11"/>
  <c r="D369" i="11"/>
  <c r="C357" i="11"/>
  <c r="C362" i="11"/>
  <c r="C382" i="11"/>
  <c r="D409" i="11"/>
  <c r="C407" i="11"/>
  <c r="C443" i="11"/>
  <c r="D480" i="11"/>
  <c r="D485" i="11"/>
  <c r="C478" i="11"/>
  <c r="D505" i="11"/>
  <c r="D531" i="11"/>
  <c r="D556" i="11"/>
  <c r="C559" i="11"/>
  <c r="D597" i="11"/>
  <c r="C600" i="11"/>
  <c r="C38" i="12"/>
  <c r="C126" i="12"/>
  <c r="D169" i="12"/>
  <c r="D201" i="12"/>
  <c r="C316" i="12"/>
  <c r="D357" i="12"/>
  <c r="D374" i="12"/>
  <c r="C363" i="12"/>
  <c r="C423" i="12"/>
  <c r="D435" i="12"/>
  <c r="D441" i="12"/>
  <c r="C429" i="12"/>
  <c r="C442" i="12"/>
  <c r="D448" i="12"/>
  <c r="D529" i="12"/>
  <c r="C517" i="12"/>
  <c r="C554" i="12"/>
  <c r="C583" i="12"/>
  <c r="D595" i="12"/>
  <c r="D602" i="12"/>
  <c r="C123" i="9"/>
  <c r="C140" i="9"/>
  <c r="C188" i="9"/>
  <c r="C236" i="9"/>
  <c r="C284" i="9"/>
  <c r="C332" i="9"/>
  <c r="C380" i="9"/>
  <c r="C428" i="9"/>
  <c r="C476" i="9"/>
  <c r="C524" i="9"/>
  <c r="C572" i="9"/>
  <c r="C9" i="10"/>
  <c r="D61" i="11"/>
  <c r="C53" i="11"/>
  <c r="D109" i="11"/>
  <c r="C101" i="11"/>
  <c r="D145" i="11"/>
  <c r="D165" i="11"/>
  <c r="D189" i="11"/>
  <c r="D204" i="11"/>
  <c r="D248" i="11"/>
  <c r="C245" i="11"/>
  <c r="C269" i="11"/>
  <c r="D287" i="11"/>
  <c r="C289" i="11"/>
  <c r="C313" i="11"/>
  <c r="D331" i="11"/>
  <c r="C333" i="11"/>
  <c r="D370" i="11"/>
  <c r="C397" i="11"/>
  <c r="D425" i="11"/>
  <c r="C418" i="11"/>
  <c r="D445" i="11"/>
  <c r="C438" i="11"/>
  <c r="C468" i="11"/>
  <c r="C473" i="11"/>
  <c r="C493" i="11"/>
  <c r="C519" i="11"/>
  <c r="C529" i="11"/>
  <c r="C539" i="11"/>
  <c r="C544" i="11"/>
  <c r="D561" i="11"/>
  <c r="C550" i="11"/>
  <c r="D572" i="11"/>
  <c r="C585" i="11"/>
  <c r="C17" i="12"/>
  <c r="D29" i="12"/>
  <c r="D97" i="12"/>
  <c r="C85" i="12"/>
  <c r="C157" i="12"/>
  <c r="C162" i="12"/>
  <c r="C189" i="12"/>
  <c r="D217" i="12"/>
  <c r="C252" i="12"/>
  <c r="C257" i="12"/>
  <c r="D275" i="12"/>
  <c r="D263" i="12"/>
  <c r="C300" i="12"/>
  <c r="C328" i="12"/>
  <c r="C345" i="12"/>
  <c r="C351" i="12"/>
  <c r="C362" i="12"/>
  <c r="D368" i="12"/>
  <c r="C368" i="12"/>
  <c r="D397" i="12"/>
  <c r="D408" i="12"/>
  <c r="C401" i="12"/>
  <c r="C412" i="12"/>
  <c r="D424" i="12"/>
  <c r="C443" i="12"/>
  <c r="D454" i="12"/>
  <c r="D460" i="12"/>
  <c r="D472" i="12"/>
  <c r="C466" i="12"/>
  <c r="C477" i="12"/>
  <c r="D524" i="12"/>
  <c r="C530" i="12"/>
  <c r="D542" i="12"/>
  <c r="D554" i="12"/>
  <c r="C555" i="12"/>
  <c r="D566" i="12"/>
  <c r="C584" i="12"/>
  <c r="C590" i="12"/>
  <c r="D609" i="12"/>
  <c r="D610" i="12"/>
  <c r="C610" i="12"/>
  <c r="D173" i="11"/>
  <c r="D221" i="11"/>
  <c r="D269" i="11"/>
  <c r="D317" i="11"/>
  <c r="D365" i="11"/>
  <c r="D405" i="11"/>
  <c r="C430" i="11"/>
  <c r="D447" i="11"/>
  <c r="D530" i="11"/>
  <c r="C62" i="12"/>
  <c r="C122" i="12"/>
  <c r="D166" i="12"/>
  <c r="C154" i="12"/>
  <c r="D185" i="12"/>
  <c r="D204" i="12"/>
  <c r="D261" i="12"/>
  <c r="C249" i="12"/>
  <c r="D285" i="12"/>
  <c r="D290" i="12"/>
  <c r="D345" i="12"/>
  <c r="D351" i="12"/>
  <c r="D405" i="12"/>
  <c r="C393" i="12"/>
  <c r="C456" i="12"/>
  <c r="C478" i="12"/>
  <c r="D501" i="12"/>
  <c r="D517" i="12"/>
  <c r="D539" i="12"/>
  <c r="D549" i="12"/>
  <c r="C548" i="12"/>
  <c r="D581" i="12"/>
  <c r="C569" i="12"/>
  <c r="C592" i="12"/>
  <c r="C616" i="12"/>
  <c r="D169" i="11"/>
  <c r="C161" i="11"/>
  <c r="D217" i="11"/>
  <c r="C209" i="11"/>
  <c r="D265" i="11"/>
  <c r="C257" i="11"/>
  <c r="D313" i="11"/>
  <c r="C305" i="11"/>
  <c r="D361" i="11"/>
  <c r="C353" i="11"/>
  <c r="D401" i="11"/>
  <c r="C393" i="11"/>
  <c r="D433" i="11"/>
  <c r="C421" i="11"/>
  <c r="C435" i="11"/>
  <c r="D461" i="11"/>
  <c r="D493" i="11"/>
  <c r="C504" i="11"/>
  <c r="D521" i="11"/>
  <c r="D553" i="11"/>
  <c r="D585" i="11"/>
  <c r="C587" i="11"/>
  <c r="D604" i="11"/>
  <c r="D613" i="11"/>
  <c r="C30" i="12"/>
  <c r="C67" i="12"/>
  <c r="D84" i="12"/>
  <c r="C173" i="12"/>
  <c r="D195" i="12"/>
  <c r="C192" i="12"/>
  <c r="C202" i="12"/>
  <c r="D233" i="12"/>
  <c r="D262" i="12"/>
  <c r="C273" i="12"/>
  <c r="C278" i="12"/>
  <c r="D305" i="12"/>
  <c r="D325" i="12"/>
  <c r="C318" i="12"/>
  <c r="C333" i="12"/>
  <c r="C339" i="12"/>
  <c r="D385" i="12"/>
  <c r="C373" i="12"/>
  <c r="C430" i="12"/>
  <c r="D442" i="12"/>
  <c r="D469" i="12"/>
  <c r="C458" i="12"/>
  <c r="C468" i="12"/>
  <c r="C489" i="12"/>
  <c r="C505" i="12"/>
  <c r="D533" i="12"/>
  <c r="C527" i="12"/>
  <c r="C537" i="12"/>
  <c r="C570" i="12"/>
  <c r="D592" i="12"/>
  <c r="C604" i="12"/>
  <c r="D616" i="12"/>
  <c r="D429" i="11"/>
  <c r="D477" i="11"/>
  <c r="D525" i="11"/>
  <c r="D573" i="11"/>
  <c r="C54" i="12"/>
  <c r="C102" i="12"/>
  <c r="C150" i="12"/>
  <c r="D189" i="12"/>
  <c r="D221" i="12"/>
  <c r="C223" i="12"/>
  <c r="D240" i="12"/>
  <c r="D249" i="12"/>
  <c r="D281" i="12"/>
  <c r="D309" i="12"/>
  <c r="D353" i="12"/>
  <c r="C360" i="12"/>
  <c r="D377" i="12"/>
  <c r="D485" i="12"/>
  <c r="D491" i="12"/>
  <c r="D506" i="12"/>
  <c r="C504" i="12"/>
  <c r="C535" i="12"/>
  <c r="D553" i="12"/>
  <c r="D574" i="12"/>
  <c r="C600" i="12"/>
  <c r="D612" i="12"/>
  <c r="D209" i="12"/>
  <c r="D257" i="12"/>
  <c r="D301" i="12"/>
  <c r="C312" i="12"/>
  <c r="D329" i="12"/>
  <c r="D361" i="12"/>
  <c r="D393" i="12"/>
  <c r="C395" i="12"/>
  <c r="D412" i="12"/>
  <c r="D421" i="12"/>
  <c r="D445" i="12"/>
  <c r="D504" i="12"/>
  <c r="D613" i="12"/>
  <c r="C617" i="12"/>
  <c r="D333" i="12"/>
  <c r="D381" i="12"/>
  <c r="D429" i="12"/>
  <c r="D477" i="12"/>
  <c r="D525" i="12"/>
  <c r="D573" i="12"/>
  <c r="C588" i="12"/>
  <c r="D605" i="12"/>
  <c r="C612" i="12"/>
  <c r="C417" i="12"/>
  <c r="D473" i="12"/>
  <c r="C465" i="12"/>
  <c r="D521" i="12"/>
  <c r="C513" i="12"/>
  <c r="D569" i="12"/>
  <c r="C561" i="12"/>
  <c r="C593" i="12"/>
  <c r="D156" i="3" l="1"/>
  <c r="D114" i="3"/>
  <c r="D588" i="3"/>
  <c r="D308" i="3"/>
  <c r="D657" i="3"/>
  <c r="D1232" i="3"/>
  <c r="D136" i="3"/>
  <c r="D120" i="3"/>
  <c r="D1205" i="3"/>
  <c r="D325" i="3"/>
  <c r="D1208" i="3"/>
  <c r="D295" i="3"/>
  <c r="D1169" i="3"/>
  <c r="D1227" i="3"/>
  <c r="D450" i="3"/>
  <c r="D469" i="3"/>
  <c r="D436" i="3"/>
  <c r="D1141" i="3"/>
  <c r="D83" i="3"/>
  <c r="D860" i="3"/>
  <c r="D572" i="3"/>
  <c r="D104" i="3"/>
  <c r="D623" i="3"/>
  <c r="D921" i="3"/>
  <c r="D344" i="3"/>
  <c r="D1047" i="3"/>
  <c r="D515" i="3"/>
  <c r="D255" i="3"/>
  <c r="D513" i="3"/>
  <c r="D243" i="3"/>
  <c r="D405" i="3"/>
  <c r="D444" i="3"/>
  <c r="D597" i="3"/>
  <c r="D847" i="3"/>
  <c r="D166" i="3"/>
  <c r="D835" i="3"/>
  <c r="D590" i="3"/>
  <c r="D1253" i="3"/>
  <c r="D90" i="3"/>
  <c r="D499" i="3"/>
  <c r="D1093" i="3"/>
  <c r="D962" i="3"/>
  <c r="D702" i="3"/>
  <c r="D616" i="3"/>
  <c r="D680" i="3"/>
  <c r="D958" i="3"/>
  <c r="D782" i="3"/>
  <c r="D93" i="3"/>
  <c r="D474" i="3"/>
  <c r="D457" i="3"/>
  <c r="D840" i="3"/>
  <c r="D294" i="3"/>
  <c r="D96" i="3"/>
  <c r="D544" i="3"/>
  <c r="D624" i="3"/>
  <c r="D1197" i="3"/>
  <c r="D468" i="3"/>
  <c r="D865" i="3"/>
  <c r="D320" i="3"/>
  <c r="D491" i="3"/>
  <c r="D155" i="3"/>
  <c r="D190" i="3"/>
  <c r="D661" i="3"/>
  <c r="D306" i="3"/>
  <c r="D242" i="3"/>
  <c r="D482" i="3"/>
  <c r="D1163" i="3"/>
  <c r="D424" i="3"/>
  <c r="D736" i="3"/>
  <c r="W1205" i="3"/>
  <c r="X1205" i="3" s="1"/>
  <c r="X1206" i="3" s="1"/>
  <c r="T1206" i="3" s="1"/>
  <c r="AF1190" i="3" s="1"/>
  <c r="D649" i="3"/>
  <c r="D604" i="3"/>
  <c r="D205" i="3"/>
  <c r="D547" i="3"/>
  <c r="D937" i="3"/>
  <c r="D347" i="3"/>
  <c r="D1013" i="3"/>
  <c r="D162" i="3"/>
  <c r="D806" i="3"/>
  <c r="D900" i="3"/>
  <c r="D656" i="3"/>
  <c r="D1246" i="3"/>
  <c r="D134" i="3"/>
  <c r="D654" i="3"/>
  <c r="D276" i="3"/>
  <c r="D776" i="3"/>
  <c r="D471" i="3"/>
  <c r="D180" i="3"/>
  <c r="D179" i="3"/>
  <c r="D875" i="3"/>
  <c r="D957" i="3"/>
  <c r="D487" i="3"/>
  <c r="D396" i="3"/>
  <c r="D261" i="3"/>
  <c r="D266" i="3"/>
  <c r="D550" i="3"/>
  <c r="D504" i="3"/>
  <c r="D750" i="3"/>
  <c r="D994" i="3"/>
  <c r="D563" i="3"/>
  <c r="D1248" i="3"/>
  <c r="D377" i="3"/>
  <c r="D379" i="3"/>
  <c r="D1011" i="3"/>
  <c r="D519" i="3"/>
  <c r="D158" i="3"/>
  <c r="D1254" i="3"/>
  <c r="D329" i="3"/>
  <c r="D834" i="3"/>
  <c r="D655" i="3"/>
  <c r="D1128" i="3"/>
  <c r="D809" i="3"/>
  <c r="D1017" i="3"/>
  <c r="D872" i="3"/>
  <c r="D204" i="3"/>
  <c r="D577" i="3"/>
  <c r="D511" i="3"/>
  <c r="D687" i="3"/>
  <c r="D684" i="3"/>
  <c r="D836" i="3"/>
  <c r="D1001" i="3"/>
  <c r="D239" i="3"/>
  <c r="D942" i="3"/>
  <c r="D949" i="3"/>
  <c r="D203" i="3"/>
  <c r="D118" i="3"/>
  <c r="D298" i="3"/>
  <c r="D297" i="3"/>
  <c r="D659" i="3"/>
  <c r="D222" i="3"/>
  <c r="D1252" i="3"/>
  <c r="D241" i="3"/>
  <c r="D135" i="3"/>
  <c r="D640" i="3"/>
  <c r="D60" i="3"/>
  <c r="D210" i="3"/>
  <c r="D95" i="3"/>
  <c r="D111" i="3"/>
  <c r="D779" i="3"/>
  <c r="D1140" i="3"/>
  <c r="D1238" i="3"/>
  <c r="D933" i="3"/>
  <c r="D402" i="3"/>
  <c r="D639" i="3"/>
  <c r="D153" i="3"/>
  <c r="D112" i="3"/>
  <c r="D837" i="3"/>
  <c r="D454" i="3"/>
  <c r="D207" i="3"/>
  <c r="D593" i="3"/>
  <c r="D78" i="3"/>
  <c r="D585" i="3"/>
  <c r="D961" i="3"/>
  <c r="D960" i="3"/>
  <c r="D183" i="3"/>
  <c r="D521" i="3"/>
  <c r="D36" i="3"/>
  <c r="D497" i="3"/>
  <c r="D498" i="3"/>
  <c r="D184" i="3"/>
  <c r="D492" i="3"/>
  <c r="D139" i="3"/>
  <c r="D938" i="3"/>
  <c r="D123" i="3"/>
  <c r="D82" i="3"/>
  <c r="D299" i="3"/>
  <c r="D302" i="3"/>
  <c r="D301" i="3"/>
  <c r="D518" i="3"/>
  <c r="D864" i="3"/>
  <c r="D240" i="3"/>
  <c r="D1159" i="3"/>
  <c r="D311" i="3"/>
  <c r="D165" i="3"/>
  <c r="D252" i="3"/>
  <c r="D822" i="3"/>
  <c r="D435" i="3"/>
  <c r="D438" i="3"/>
  <c r="D439" i="3"/>
  <c r="D235" i="3"/>
  <c r="D233" i="3"/>
  <c r="D908" i="3"/>
  <c r="D160" i="3"/>
  <c r="D309" i="3"/>
  <c r="D132" i="3"/>
  <c r="D762" i="3"/>
  <c r="D401" i="3"/>
  <c r="D245" i="3"/>
  <c r="D472" i="3"/>
  <c r="D395" i="3"/>
  <c r="D86" i="3"/>
  <c r="D1187" i="3"/>
  <c r="D812" i="3"/>
  <c r="D400" i="3"/>
  <c r="D382" i="3"/>
  <c r="D845" i="3"/>
  <c r="D131" i="3"/>
  <c r="D1158" i="3"/>
  <c r="D43" i="3"/>
  <c r="D701" i="3"/>
  <c r="D700" i="3"/>
  <c r="D873" i="3"/>
  <c r="D248" i="3"/>
  <c r="D247" i="3"/>
  <c r="D231" i="3"/>
  <c r="D229" i="3"/>
  <c r="D227" i="3"/>
  <c r="D230" i="3"/>
  <c r="D929" i="3"/>
  <c r="D493" i="3"/>
  <c r="D35" i="3"/>
  <c r="D157" i="3"/>
  <c r="D931" i="3"/>
  <c r="D404" i="3"/>
  <c r="D181" i="3"/>
  <c r="D570" i="3"/>
  <c r="D31" i="3"/>
  <c r="D307" i="3"/>
  <c r="D848" i="3"/>
  <c r="D464" i="3"/>
  <c r="D689" i="3"/>
  <c r="D552" i="3"/>
  <c r="D63" i="3"/>
  <c r="D72" i="3"/>
  <c r="D595" i="3"/>
  <c r="D857" i="3"/>
  <c r="D854" i="3"/>
  <c r="D858" i="3"/>
  <c r="D856" i="3"/>
  <c r="D501" i="3"/>
  <c r="D1063" i="3"/>
  <c r="D350" i="3"/>
  <c r="D182" i="3"/>
  <c r="D663" i="3"/>
  <c r="D517" i="3"/>
  <c r="D516" i="3"/>
  <c r="D375" i="3"/>
  <c r="D373" i="3"/>
  <c r="D615" i="3"/>
  <c r="D611" i="3"/>
  <c r="W1193" i="3"/>
  <c r="X1193" i="3" s="1"/>
  <c r="X1194" i="3" s="1"/>
  <c r="T1194" i="3" s="1"/>
  <c r="AC1190" i="3" s="1"/>
  <c r="D137" i="3"/>
  <c r="D632" i="3"/>
  <c r="D85" i="3"/>
  <c r="D807" i="3"/>
  <c r="D280" i="3"/>
  <c r="D234" i="3"/>
  <c r="D33" i="3"/>
  <c r="D461" i="3"/>
  <c r="D995" i="3"/>
  <c r="D598" i="3"/>
  <c r="D696" i="3"/>
  <c r="D496" i="3"/>
  <c r="D855" i="3"/>
  <c r="D232" i="3"/>
  <c r="D539" i="3"/>
  <c r="D494" i="3"/>
  <c r="D138" i="3"/>
  <c r="D1139" i="3"/>
  <c r="D278" i="3"/>
  <c r="D1083" i="3"/>
  <c r="D652" i="3"/>
  <c r="D852" i="3"/>
  <c r="D514" i="3"/>
  <c r="D225" i="3"/>
  <c r="D32" i="3"/>
  <c r="D1090" i="3"/>
  <c r="D473" i="3"/>
  <c r="D37" i="3"/>
  <c r="D463" i="3"/>
  <c r="D955" i="3"/>
  <c r="D709" i="3"/>
  <c r="D712" i="3"/>
  <c r="D829" i="3"/>
  <c r="D832" i="3"/>
  <c r="D868" i="3"/>
  <c r="D81" i="3"/>
  <c r="D566" i="3"/>
  <c r="D564" i="3"/>
  <c r="D212" i="3"/>
  <c r="D133" i="3"/>
  <c r="D882" i="3"/>
  <c r="D879" i="3"/>
  <c r="D591" i="3"/>
  <c r="D303" i="3"/>
  <c r="D208" i="3"/>
  <c r="D923" i="3"/>
  <c r="D163" i="3"/>
  <c r="D1250" i="3"/>
  <c r="D635" i="3"/>
  <c r="D486" i="3"/>
  <c r="D483" i="3"/>
  <c r="D808" i="3"/>
  <c r="D495" i="3"/>
  <c r="D412" i="3"/>
  <c r="D419" i="3"/>
  <c r="D109" i="3"/>
  <c r="D545" i="3"/>
  <c r="D770" i="3"/>
  <c r="D582" i="3"/>
  <c r="D742" i="3"/>
  <c r="D596" i="3"/>
  <c r="D612" i="3"/>
  <c r="D372" i="3"/>
  <c r="D1133" i="3"/>
  <c r="D376" i="3"/>
  <c r="D741" i="3"/>
  <c r="D548" i="3"/>
  <c r="D1157" i="3"/>
  <c r="D484" i="3"/>
  <c r="D328" i="3"/>
  <c r="D936" i="3"/>
  <c r="D1132" i="3"/>
  <c r="D1131" i="3"/>
  <c r="D628" i="3"/>
  <c r="D189" i="3"/>
  <c r="D488" i="3"/>
  <c r="D861" i="3"/>
  <c r="D161" i="3"/>
  <c r="D77" i="3"/>
  <c r="D802" i="3"/>
  <c r="D485" i="3"/>
  <c r="D825" i="3"/>
  <c r="D1050" i="3"/>
  <c r="D148" i="3"/>
  <c r="D543" i="3"/>
  <c r="D434" i="3"/>
  <c r="D87" i="3"/>
  <c r="D443" i="3"/>
  <c r="D1239" i="3"/>
  <c r="D959" i="3"/>
  <c r="D84" i="3"/>
  <c r="D645" i="3"/>
  <c r="D729" i="3"/>
  <c r="D686" i="3"/>
  <c r="D658" i="3"/>
  <c r="D453" i="3"/>
  <c r="D398" i="3"/>
  <c r="D75" i="3"/>
  <c r="D159" i="3"/>
  <c r="D509" i="3"/>
  <c r="D902" i="3"/>
  <c r="D1149" i="3"/>
  <c r="D720" i="3"/>
  <c r="D979" i="3"/>
  <c r="D1036" i="3"/>
  <c r="D1055" i="3"/>
  <c r="D442" i="3"/>
  <c r="D880" i="3"/>
  <c r="D506" i="3"/>
  <c r="W1201" i="3"/>
  <c r="X1201" i="3" s="1"/>
  <c r="X1202" i="3" s="1"/>
  <c r="T1202" i="3" s="1"/>
  <c r="AE1190" i="3" s="1"/>
  <c r="D1099" i="3"/>
  <c r="D452" i="3"/>
  <c r="D1074" i="3"/>
  <c r="D437" i="3"/>
  <c r="D792" i="3"/>
  <c r="D673" i="3"/>
  <c r="D614" i="3"/>
  <c r="D388" i="3"/>
  <c r="D399" i="3"/>
  <c r="D374" i="3"/>
  <c r="D447" i="3"/>
  <c r="D1156" i="3"/>
  <c r="D1155" i="3"/>
  <c r="D1154" i="3"/>
  <c r="D765" i="3"/>
  <c r="D764" i="3"/>
  <c r="D1010" i="3"/>
  <c r="D1008" i="3"/>
  <c r="D202" i="3"/>
  <c r="D201" i="3"/>
  <c r="D991" i="3"/>
  <c r="D990" i="3"/>
  <c r="D988" i="3"/>
  <c r="D989" i="3"/>
  <c r="D293" i="3"/>
  <c r="D292" i="3"/>
  <c r="D291" i="3"/>
  <c r="D418" i="3"/>
  <c r="D417" i="3"/>
  <c r="D414" i="3"/>
  <c r="D408" i="3"/>
  <c r="D415" i="3"/>
  <c r="D178" i="3"/>
  <c r="D177" i="3"/>
  <c r="D169" i="3"/>
  <c r="D167" i="3"/>
  <c r="D1073" i="3"/>
  <c r="D1147" i="3"/>
  <c r="D288" i="3"/>
  <c r="D755" i="3"/>
  <c r="D1053" i="3"/>
  <c r="D1125" i="3"/>
  <c r="D1124" i="3"/>
  <c r="D269" i="3"/>
  <c r="D1213" i="3"/>
  <c r="D1212" i="3"/>
  <c r="D1211" i="3"/>
  <c r="D1209" i="3"/>
  <c r="D1207" i="3"/>
  <c r="D1210" i="3"/>
  <c r="D1172" i="3"/>
  <c r="D1171" i="3"/>
  <c r="D1170" i="3"/>
  <c r="D1165" i="3"/>
  <c r="D524" i="3"/>
  <c r="D1117" i="3"/>
  <c r="D783" i="3"/>
  <c r="D1024" i="3"/>
  <c r="D1025" i="3"/>
  <c r="D221" i="3"/>
  <c r="D211" i="3"/>
  <c r="D217" i="3"/>
  <c r="D213" i="3"/>
  <c r="D214" i="3"/>
  <c r="D610" i="3"/>
  <c r="D609" i="3"/>
  <c r="D607" i="3"/>
  <c r="D608" i="3"/>
  <c r="D601" i="3"/>
  <c r="D600" i="3"/>
  <c r="D599" i="3"/>
  <c r="D981" i="3"/>
  <c r="D691" i="3"/>
  <c r="D631" i="3"/>
  <c r="D216" i="3"/>
  <c r="D1198" i="3"/>
  <c r="D1196" i="3"/>
  <c r="D1071" i="3"/>
  <c r="D1080" i="3"/>
  <c r="D1079" i="3"/>
  <c r="D1081" i="3"/>
  <c r="D416" i="3"/>
  <c r="D128" i="3"/>
  <c r="D997" i="3"/>
  <c r="D799" i="3"/>
  <c r="D797" i="3"/>
  <c r="D798" i="3"/>
  <c r="D73" i="3"/>
  <c r="D1092" i="3"/>
  <c r="D1075" i="3"/>
  <c r="D542" i="3"/>
  <c r="D540" i="3"/>
  <c r="D270" i="3"/>
  <c r="D666" i="3"/>
  <c r="D1015" i="3"/>
  <c r="D149" i="3"/>
  <c r="D140" i="3"/>
  <c r="D141" i="3"/>
  <c r="D143" i="3"/>
  <c r="D142" i="3"/>
  <c r="D667" i="3"/>
  <c r="D816" i="3"/>
  <c r="D672" i="3"/>
  <c r="D922" i="3"/>
  <c r="D920" i="3"/>
  <c r="D918" i="3"/>
  <c r="D1068" i="3"/>
  <c r="D817" i="3"/>
  <c r="D973" i="3"/>
  <c r="D971" i="3"/>
  <c r="D969" i="3"/>
  <c r="D970" i="3"/>
  <c r="D972" i="3"/>
  <c r="D966" i="3"/>
  <c r="D964" i="3"/>
  <c r="D963" i="3"/>
  <c r="D1089" i="3"/>
  <c r="D1088" i="3"/>
  <c r="D1084" i="3"/>
  <c r="D1087" i="3"/>
  <c r="D1085" i="3"/>
  <c r="D699" i="3"/>
  <c r="D695" i="3"/>
  <c r="D697" i="3"/>
  <c r="D698" i="3"/>
  <c r="D688" i="3"/>
  <c r="D692" i="3"/>
  <c r="D254" i="3"/>
  <c r="D244" i="3"/>
  <c r="D246" i="3"/>
  <c r="D253" i="3"/>
  <c r="D824" i="3"/>
  <c r="D282" i="3"/>
  <c r="D281" i="3"/>
  <c r="D279" i="3"/>
  <c r="D277" i="3"/>
  <c r="D1230" i="3"/>
  <c r="D575" i="3"/>
  <c r="D574" i="3"/>
  <c r="D569" i="3"/>
  <c r="D571" i="3"/>
  <c r="D565" i="3"/>
  <c r="D568" i="3"/>
  <c r="D567" i="3"/>
  <c r="D573" i="3"/>
  <c r="D1190" i="3"/>
  <c r="D1186" i="3"/>
  <c r="D1188" i="3"/>
  <c r="D193" i="3"/>
  <c r="D1237" i="3"/>
  <c r="D1235" i="3"/>
  <c r="D124" i="3"/>
  <c r="D853" i="3"/>
  <c r="D846" i="3"/>
  <c r="D850" i="3"/>
  <c r="D851" i="3"/>
  <c r="D562" i="3"/>
  <c r="D561" i="3"/>
  <c r="D559" i="3"/>
  <c r="D319" i="3"/>
  <c r="D801" i="3"/>
  <c r="D800" i="3"/>
  <c r="D650" i="3"/>
  <c r="D641" i="3"/>
  <c r="D1206" i="3"/>
  <c r="D1200" i="3"/>
  <c r="D1199" i="3"/>
  <c r="D1204" i="3"/>
  <c r="D843" i="3"/>
  <c r="D917" i="3"/>
  <c r="D407" i="3"/>
  <c r="D690" i="3"/>
  <c r="D669" i="3"/>
  <c r="D1226" i="3"/>
  <c r="D1007" i="3"/>
  <c r="D998" i="3"/>
  <c r="D1003" i="3"/>
  <c r="D999" i="3"/>
  <c r="D1000" i="3"/>
  <c r="D1004" i="3"/>
  <c r="D1002" i="3"/>
  <c r="D996" i="3"/>
  <c r="D1062" i="3"/>
  <c r="D1061" i="3"/>
  <c r="D1059" i="3"/>
  <c r="D341" i="3"/>
  <c r="D331" i="3"/>
  <c r="D336" i="3"/>
  <c r="D335" i="3"/>
  <c r="D337" i="3"/>
  <c r="D340" i="3"/>
  <c r="D338" i="3"/>
  <c r="D334" i="3"/>
  <c r="D1108" i="3"/>
  <c r="D1107" i="3"/>
  <c r="D1184" i="3"/>
  <c r="D1183" i="3"/>
  <c r="D1182" i="3"/>
  <c r="D758" i="3"/>
  <c r="D719" i="3"/>
  <c r="D718" i="3"/>
  <c r="D716" i="3"/>
  <c r="D1152" i="3"/>
  <c r="D1150" i="3"/>
  <c r="D1148" i="3"/>
  <c r="D1104" i="3"/>
  <c r="D1101" i="3"/>
  <c r="D1103" i="3"/>
  <c r="D975" i="3"/>
  <c r="D974" i="3"/>
  <c r="D172" i="3"/>
  <c r="D1176" i="3"/>
  <c r="D754" i="3"/>
  <c r="D753" i="3"/>
  <c r="D744" i="3"/>
  <c r="D748" i="3"/>
  <c r="D746" i="3"/>
  <c r="D751" i="3"/>
  <c r="D752" i="3"/>
  <c r="D1224" i="3"/>
  <c r="D1222" i="3"/>
  <c r="D1223" i="3"/>
  <c r="D634" i="3"/>
  <c r="D633" i="3"/>
  <c r="D630" i="3"/>
  <c r="D394" i="3"/>
  <c r="D393" i="3"/>
  <c r="D392" i="3"/>
  <c r="D390" i="3"/>
  <c r="D389" i="3"/>
  <c r="D154" i="3"/>
  <c r="D152" i="3"/>
  <c r="D176" i="3"/>
  <c r="D1072" i="3"/>
  <c r="D198" i="3"/>
  <c r="D151" i="3"/>
  <c r="D1100" i="3"/>
  <c r="D1236" i="3"/>
  <c r="D1095" i="3"/>
  <c r="D1094" i="3"/>
  <c r="D268" i="3"/>
  <c r="D1153" i="3"/>
  <c r="D708" i="3"/>
  <c r="D1052" i="3"/>
  <c r="D950" i="3"/>
  <c r="D941" i="3"/>
  <c r="D766" i="3"/>
  <c r="D721" i="3"/>
  <c r="D1166" i="3"/>
  <c r="D653" i="3"/>
  <c r="D651" i="3"/>
  <c r="D370" i="3"/>
  <c r="D368" i="3"/>
  <c r="D361" i="3"/>
  <c r="D367" i="3"/>
  <c r="D360" i="3"/>
  <c r="D369" i="3"/>
  <c r="D642" i="3"/>
  <c r="D1118" i="3"/>
  <c r="D948" i="3"/>
  <c r="D745" i="3"/>
  <c r="D1167" i="3"/>
  <c r="D786" i="3"/>
  <c r="D785" i="3"/>
  <c r="D784" i="3"/>
  <c r="D781" i="3"/>
  <c r="D1018" i="3"/>
  <c r="D629" i="3"/>
  <c r="D197" i="3"/>
  <c r="D188" i="3"/>
  <c r="D897" i="3"/>
  <c r="D896" i="3"/>
  <c r="D894" i="3"/>
  <c r="D887" i="3"/>
  <c r="D888" i="3"/>
  <c r="D586" i="3"/>
  <c r="D583" i="3"/>
  <c r="D584" i="3"/>
  <c r="D364" i="3"/>
  <c r="D130" i="3"/>
  <c r="D129" i="3"/>
  <c r="D126" i="3"/>
  <c r="D814" i="3"/>
  <c r="D1006" i="3"/>
  <c r="D823" i="3"/>
  <c r="D693" i="3"/>
  <c r="D901" i="3"/>
  <c r="D289" i="3"/>
  <c r="D581" i="3"/>
  <c r="D346" i="3"/>
  <c r="D345" i="3"/>
  <c r="D343" i="3"/>
  <c r="D342" i="3"/>
  <c r="D743" i="3"/>
  <c r="D883" i="3"/>
  <c r="D881" i="3"/>
  <c r="D877" i="3"/>
  <c r="D878" i="3"/>
  <c r="D1218" i="3"/>
  <c r="D1217" i="3"/>
  <c r="D1215" i="3"/>
  <c r="D1216" i="3"/>
  <c r="D1214" i="3"/>
  <c r="D259" i="3"/>
  <c r="D187" i="3"/>
  <c r="D841" i="3"/>
  <c r="D127" i="3"/>
  <c r="D579" i="3"/>
  <c r="D899" i="3"/>
  <c r="D1161" i="3"/>
  <c r="D648" i="3"/>
  <c r="D916" i="3"/>
  <c r="D196" i="3"/>
  <c r="D805" i="3"/>
  <c r="D803" i="3"/>
  <c r="D1221" i="3"/>
  <c r="D1220" i="3"/>
  <c r="D909" i="3"/>
  <c r="D907" i="3"/>
  <c r="D906" i="3"/>
  <c r="D904" i="3"/>
  <c r="D1030" i="3"/>
  <c r="D1026" i="3"/>
  <c r="D1027" i="3"/>
  <c r="D1028" i="3"/>
  <c r="D1029" i="3"/>
  <c r="D267" i="3"/>
  <c r="D258" i="3"/>
  <c r="D264" i="3"/>
  <c r="D265" i="3"/>
  <c r="D257" i="3"/>
  <c r="D256" i="3"/>
  <c r="D262" i="3"/>
  <c r="D263" i="3"/>
  <c r="D110" i="3"/>
  <c r="D107" i="3"/>
  <c r="D108" i="3"/>
  <c r="D780" i="3"/>
  <c r="D977" i="3"/>
  <c r="D976" i="3"/>
  <c r="D769" i="3"/>
  <c r="D768" i="3"/>
  <c r="D767" i="3"/>
  <c r="D99" i="3"/>
  <c r="D98" i="3"/>
  <c r="D92" i="3"/>
  <c r="D94" i="3"/>
  <c r="D88" i="3"/>
  <c r="D89" i="3"/>
  <c r="D1142" i="3"/>
  <c r="D1228" i="3"/>
  <c r="D97" i="3"/>
  <c r="D1225" i="3"/>
  <c r="D1145" i="3"/>
  <c r="D821" i="3"/>
  <c r="D815" i="3"/>
  <c r="D818" i="3"/>
  <c r="D813" i="3"/>
  <c r="D810" i="3"/>
  <c r="D811" i="3"/>
  <c r="D30" i="3"/>
  <c r="R1227" i="3"/>
  <c r="D578" i="3"/>
  <c r="D576" i="3"/>
  <c r="D147" i="3"/>
  <c r="D555" i="3"/>
  <c r="D330" i="3"/>
  <c r="D541" i="3"/>
  <c r="D175" i="3"/>
  <c r="D605" i="3"/>
  <c r="D558" i="3"/>
  <c r="D1193" i="3"/>
  <c r="D1192" i="3"/>
  <c r="D531" i="3"/>
  <c r="D530" i="3"/>
  <c r="D520" i="3"/>
  <c r="D527" i="3"/>
  <c r="D529" i="3"/>
  <c r="D522" i="3"/>
  <c r="D359" i="3"/>
  <c r="D358" i="3"/>
  <c r="D356" i="3"/>
  <c r="D352" i="3"/>
  <c r="D357" i="3"/>
  <c r="D355" i="3"/>
  <c r="D332" i="3"/>
  <c r="D983" i="3"/>
  <c r="D1044" i="3"/>
  <c r="D1045" i="3"/>
  <c r="D715" i="3"/>
  <c r="D713" i="3"/>
  <c r="D711" i="3"/>
  <c r="D707" i="3"/>
  <c r="D704" i="3"/>
  <c r="D710" i="3"/>
  <c r="D1175" i="3"/>
  <c r="D982" i="3"/>
  <c r="D273" i="3"/>
  <c r="D271" i="3"/>
  <c r="D272" i="3"/>
  <c r="D74" i="3"/>
  <c r="D68" i="3"/>
  <c r="D67" i="3"/>
  <c r="D71" i="3"/>
  <c r="D70" i="3"/>
  <c r="D69" i="3"/>
  <c r="D66" i="3"/>
  <c r="D1042" i="3"/>
  <c r="D1041" i="3"/>
  <c r="D1040" i="3"/>
  <c r="D49" i="3"/>
  <c r="D46" i="3"/>
  <c r="D47" i="3"/>
  <c r="D48" i="3"/>
  <c r="D1177" i="3"/>
  <c r="D987" i="3"/>
  <c r="D833" i="3"/>
  <c r="D828" i="3"/>
  <c r="D830" i="3"/>
  <c r="D150" i="3"/>
  <c r="D523" i="3"/>
  <c r="D1060" i="3"/>
  <c r="D1031" i="3"/>
  <c r="D283" i="3"/>
  <c r="D192" i="3"/>
  <c r="D1067" i="3"/>
  <c r="D1066" i="3"/>
  <c r="D1065" i="3"/>
  <c r="D1064" i="3"/>
  <c r="D794" i="3"/>
  <c r="D793" i="3"/>
  <c r="D791" i="3"/>
  <c r="D790" i="3"/>
  <c r="D789" i="3"/>
  <c r="D727" i="3"/>
  <c r="D726" i="3"/>
  <c r="D724" i="3"/>
  <c r="D1096" i="3"/>
  <c r="D986" i="3"/>
  <c r="D980" i="3"/>
  <c r="D984" i="3"/>
  <c r="D978" i="3"/>
  <c r="D38" i="3"/>
  <c r="D778" i="3"/>
  <c r="D777" i="3"/>
  <c r="D775" i="3"/>
  <c r="D772" i="3"/>
  <c r="D675" i="3"/>
  <c r="D674" i="3"/>
  <c r="D668" i="3"/>
  <c r="D665" i="3"/>
  <c r="D670" i="3"/>
  <c r="D664" i="3"/>
  <c r="D671" i="3"/>
  <c r="D730" i="3"/>
  <c r="D728" i="3"/>
  <c r="D993" i="3"/>
  <c r="D992" i="3"/>
  <c r="D1102" i="3"/>
  <c r="D39" i="3"/>
  <c r="D1181" i="3"/>
  <c r="D1178" i="3"/>
  <c r="D1179" i="3"/>
  <c r="D1174" i="3"/>
  <c r="D1180" i="3"/>
  <c r="D1173" i="3"/>
  <c r="D1056" i="3"/>
  <c r="D387" i="3"/>
  <c r="D386" i="3"/>
  <c r="D385" i="3"/>
  <c r="D378" i="3"/>
  <c r="D384" i="3"/>
  <c r="D380" i="3"/>
  <c r="D381" i="3"/>
  <c r="D525" i="3"/>
  <c r="D410" i="3"/>
  <c r="D1033" i="3"/>
  <c r="D827" i="3"/>
  <c r="D285" i="3"/>
  <c r="D788" i="3"/>
  <c r="D284" i="3"/>
  <c r="D168" i="3"/>
  <c r="D1043" i="3"/>
  <c r="D528" i="3"/>
  <c r="D64" i="3"/>
  <c r="D1219" i="3"/>
  <c r="D968" i="3"/>
  <c r="D985" i="3"/>
  <c r="D1082" i="3"/>
  <c r="D737" i="3"/>
  <c r="D739" i="3"/>
  <c r="D733" i="3"/>
  <c r="D732" i="3"/>
  <c r="D738" i="3"/>
  <c r="D734" i="3"/>
  <c r="D735" i="3"/>
  <c r="D1038" i="3"/>
  <c r="D1037" i="3"/>
  <c r="D763" i="3"/>
  <c r="D756" i="3"/>
  <c r="D760" i="3"/>
  <c r="D327" i="3"/>
  <c r="D324" i="3"/>
  <c r="D947" i="3"/>
  <c r="D391" i="3"/>
  <c r="D1032" i="3"/>
  <c r="D173" i="3"/>
  <c r="D795" i="3"/>
  <c r="D191" i="3"/>
  <c r="D333" i="3"/>
  <c r="D620" i="3"/>
  <c r="D260" i="3"/>
  <c r="D144" i="3"/>
  <c r="D1023" i="3"/>
  <c r="D1022" i="3"/>
  <c r="D1194" i="3"/>
  <c r="D844" i="3"/>
  <c r="D40" i="3"/>
  <c r="D1234" i="3"/>
  <c r="D1233" i="3"/>
  <c r="D1231" i="3"/>
  <c r="D876" i="3"/>
  <c r="D1189" i="3"/>
  <c r="D431" i="3"/>
  <c r="D430" i="3"/>
  <c r="D425" i="3"/>
  <c r="D423" i="3"/>
  <c r="D429" i="3"/>
  <c r="D427" i="3"/>
  <c r="D428" i="3"/>
  <c r="D426" i="3"/>
  <c r="D903" i="3"/>
  <c r="D714" i="3"/>
  <c r="D59" i="3"/>
  <c r="D54" i="3"/>
  <c r="D55" i="3"/>
  <c r="D51" i="3"/>
  <c r="D65" i="3"/>
  <c r="D526" i="3"/>
  <c r="D1168" i="3"/>
  <c r="D220" i="3"/>
  <c r="D731" i="3"/>
  <c r="D315" i="3"/>
  <c r="D314" i="3"/>
  <c r="D305" i="3"/>
  <c r="D312" i="3"/>
  <c r="D304" i="3"/>
  <c r="D313" i="3"/>
  <c r="D310" i="3"/>
  <c r="D422" i="3"/>
  <c r="D409" i="3"/>
  <c r="D1005" i="3"/>
  <c r="D421" i="3"/>
  <c r="D717" i="3"/>
  <c r="D199" i="3"/>
  <c r="D411" i="3"/>
  <c r="D895" i="3"/>
  <c r="D339" i="3"/>
  <c r="D913" i="3"/>
  <c r="D275" i="3"/>
  <c r="D1185" i="3"/>
  <c r="D174" i="3"/>
  <c r="D251" i="3"/>
  <c r="D219" i="3"/>
  <c r="D1120" i="3"/>
  <c r="D946" i="3"/>
  <c r="D627" i="3"/>
  <c r="D557" i="3"/>
  <c r="D538" i="3"/>
  <c r="D537" i="3"/>
  <c r="D106" i="3"/>
  <c r="D105" i="3"/>
  <c r="D535" i="3"/>
  <c r="D683" i="3"/>
  <c r="D1112" i="3"/>
  <c r="D943" i="3"/>
  <c r="D1034" i="3"/>
  <c r="D1019" i="3"/>
  <c r="D316" i="3"/>
  <c r="D1245" i="3"/>
  <c r="D839" i="3"/>
  <c r="D505" i="3"/>
  <c r="D940" i="3"/>
  <c r="D1110" i="3"/>
  <c r="D195" i="3"/>
  <c r="D870" i="3"/>
  <c r="D625" i="3"/>
  <c r="D945" i="3"/>
  <c r="D1244" i="3"/>
  <c r="D79" i="3"/>
  <c r="D678" i="3"/>
  <c r="D115" i="3"/>
  <c r="D677" i="3"/>
  <c r="D1191" i="3"/>
  <c r="D603" i="3"/>
  <c r="D602" i="3"/>
  <c r="D826" i="3"/>
  <c r="D919" i="3"/>
  <c r="D1146" i="3"/>
  <c r="D354" i="3"/>
  <c r="D353" i="3"/>
  <c r="D1009" i="3"/>
  <c r="D45" i="3"/>
  <c r="D470" i="3"/>
  <c r="D863" i="3"/>
  <c r="D925" i="3"/>
  <c r="D53" i="3"/>
  <c r="D951" i="3"/>
  <c r="D508" i="3"/>
  <c r="D76" i="3"/>
  <c r="D1129" i="3"/>
  <c r="D1127" i="3"/>
  <c r="D1126" i="3"/>
  <c r="D867" i="3"/>
  <c r="D117" i="3"/>
  <c r="D317" i="3"/>
  <c r="D186" i="3"/>
  <c r="D869" i="3"/>
  <c r="D103" i="3"/>
  <c r="D102" i="3"/>
  <c r="D1114" i="3"/>
  <c r="D1116" i="3"/>
  <c r="D116" i="3"/>
  <c r="D432" i="3"/>
  <c r="D1143" i="3"/>
  <c r="D556" i="3"/>
  <c r="D1247" i="3"/>
  <c r="D1249" i="3"/>
  <c r="D1203" i="3"/>
  <c r="D50" i="3"/>
  <c r="D594" i="3"/>
  <c r="D1058" i="3"/>
  <c r="D1057" i="3"/>
  <c r="D592" i="3"/>
  <c r="D838" i="3"/>
  <c r="D1012" i="3"/>
  <c r="D1202" i="3"/>
  <c r="D536" i="3"/>
  <c r="D1137" i="3"/>
  <c r="D287" i="3"/>
  <c r="D286" i="3"/>
  <c r="D871" i="3"/>
  <c r="D1020" i="3"/>
  <c r="D1021" i="3"/>
  <c r="D362" i="3"/>
  <c r="D1098" i="3"/>
  <c r="D911" i="3"/>
  <c r="D34" i="3"/>
  <c r="D924" i="3"/>
  <c r="D706" i="3"/>
  <c r="D705" i="3"/>
  <c r="D490" i="3"/>
  <c r="D489" i="3"/>
  <c r="D274" i="3"/>
  <c r="D58" i="3"/>
  <c r="D1113" i="3"/>
  <c r="D448" i="3"/>
  <c r="D1119" i="3"/>
  <c r="D326" i="3"/>
  <c r="D1014" i="3"/>
  <c r="D1051" i="3"/>
  <c r="D57" i="3"/>
  <c r="D462" i="3"/>
  <c r="D619" i="3"/>
  <c r="D475" i="3"/>
  <c r="D617" i="3"/>
  <c r="D1039" i="3"/>
  <c r="D915" i="3"/>
  <c r="D952" i="3"/>
  <c r="D467" i="3"/>
  <c r="D101" i="3"/>
  <c r="D953" i="3"/>
  <c r="D647" i="3"/>
  <c r="D646" i="3"/>
  <c r="D622" i="3"/>
  <c r="D546" i="3"/>
  <c r="D866" i="3"/>
  <c r="D771" i="3"/>
  <c r="D1070" i="3"/>
  <c r="D1069" i="3"/>
  <c r="D749" i="3"/>
  <c r="D889" i="3"/>
  <c r="D886" i="3"/>
  <c r="D1123" i="3"/>
  <c r="D1122" i="3"/>
  <c r="D1195" i="3"/>
  <c r="D842" i="3"/>
  <c r="D893" i="3"/>
  <c r="D891" i="3"/>
  <c r="D890" i="3"/>
  <c r="D967" i="3"/>
  <c r="D725" i="3"/>
  <c r="D723" i="3"/>
  <c r="D290" i="3"/>
  <c r="D481" i="3"/>
  <c r="D413" i="3"/>
  <c r="D1151" i="3"/>
  <c r="D898" i="3"/>
  <c r="D682" i="3"/>
  <c r="D681" i="3"/>
  <c r="D466" i="3"/>
  <c r="D465" i="3"/>
  <c r="D250" i="3"/>
  <c r="D249" i="3"/>
  <c r="D44" i="3"/>
  <c r="D1078" i="3"/>
  <c r="D52" i="3"/>
  <c r="D1243" i="3"/>
  <c r="D406" i="3"/>
  <c r="D930" i="3"/>
  <c r="D1097" i="3"/>
  <c r="D218" i="3"/>
  <c r="D965" i="3"/>
  <c r="D145" i="3"/>
  <c r="D351" i="3"/>
  <c r="D1054" i="3"/>
  <c r="D626" i="3"/>
  <c r="D1241" i="3"/>
  <c r="D551" i="3"/>
  <c r="D441" i="3"/>
  <c r="D613" i="3"/>
  <c r="D621" i="3"/>
  <c r="D215" i="3"/>
  <c r="D323" i="3"/>
  <c r="D477" i="3"/>
  <c r="D618" i="3"/>
  <c r="D1106" i="3"/>
  <c r="D1136" i="3"/>
  <c r="D1135" i="3"/>
  <c r="D1130" i="3"/>
  <c r="D956" i="3"/>
  <c r="D1105" i="3"/>
  <c r="D125" i="3"/>
  <c r="D322" i="3"/>
  <c r="D321" i="3"/>
  <c r="D1048" i="3"/>
  <c r="D1049" i="3"/>
  <c r="D740" i="3"/>
  <c r="D1109" i="3"/>
  <c r="D532" i="3"/>
  <c r="D100" i="3"/>
  <c r="D939" i="3"/>
  <c r="D1016" i="3"/>
  <c r="D185" i="3"/>
  <c r="D954" i="3"/>
  <c r="D122" i="3"/>
  <c r="D119" i="3"/>
  <c r="D1164" i="3"/>
  <c r="D1162" i="3"/>
  <c r="D927" i="3"/>
  <c r="D926" i="3"/>
  <c r="D912" i="3"/>
  <c r="D932" i="3"/>
  <c r="D874" i="3"/>
  <c r="D638" i="3"/>
  <c r="D433" i="3"/>
  <c r="D859" i="3"/>
  <c r="D553" i="3"/>
  <c r="D1086" i="3"/>
  <c r="D459" i="3"/>
  <c r="D458" i="3"/>
  <c r="D451" i="3"/>
  <c r="D643" i="3"/>
  <c r="D479" i="3"/>
  <c r="D862" i="3"/>
  <c r="D397" i="3"/>
  <c r="D637" i="3"/>
  <c r="D944" i="3"/>
  <c r="D1160" i="3"/>
  <c r="D928" i="3"/>
  <c r="D644" i="3"/>
  <c r="D1091" i="3"/>
  <c r="D1229" i="3"/>
  <c r="D512" i="3"/>
  <c r="D296" i="3"/>
  <c r="D80" i="3"/>
  <c r="D1121" i="3"/>
  <c r="D892" i="3"/>
  <c r="D676" i="3"/>
  <c r="D460" i="3"/>
  <c r="D759" i="3"/>
  <c r="D757" i="3"/>
  <c r="D503" i="3"/>
  <c r="D502" i="3"/>
  <c r="D478" i="3"/>
  <c r="D1076" i="3"/>
  <c r="D1077" i="3"/>
  <c r="D761" i="3"/>
  <c r="D787" i="3"/>
  <c r="D1111" i="3"/>
  <c r="D1201" i="3"/>
  <c r="D773" i="3"/>
  <c r="D905" i="3"/>
  <c r="D348" i="3"/>
  <c r="W1189" i="3"/>
  <c r="X1189" i="3" s="1"/>
  <c r="X1190" i="3" s="1"/>
  <c r="T1190" i="3" s="1"/>
  <c r="AB1190" i="3" s="1"/>
  <c r="D171" i="3"/>
  <c r="D170" i="3"/>
  <c r="D146" i="3"/>
  <c r="D1240" i="3"/>
  <c r="D365" i="3"/>
  <c r="D1144" i="3"/>
  <c r="D910" i="3"/>
  <c r="D226" i="3"/>
  <c r="D935" i="3"/>
  <c r="D1035" i="3"/>
  <c r="D774" i="3"/>
  <c r="D831" i="3"/>
  <c r="D121" i="3"/>
  <c r="D679" i="3"/>
  <c r="D747" i="3"/>
  <c r="D349" i="3"/>
  <c r="D1242" i="3"/>
  <c r="D534" i="3"/>
  <c r="D318" i="3"/>
  <c r="D1134" i="3"/>
  <c r="D507" i="3"/>
  <c r="D194" i="3"/>
  <c r="D722" i="3"/>
  <c r="D363" i="3"/>
  <c r="D42" i="3"/>
  <c r="D41"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<sst xmlns="http://schemas.openxmlformats.org/spreadsheetml/2006/main" count="152" uniqueCount="73">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</sst>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08EF-4298-BC6B-D0E735A5C805}"/>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start'!$A$1099:$A$1257</c:f>
              <c:numCache>
                <c:formatCode>m/d/yyyy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start'!$B$1099:$B$1257</c:f>
              <c:numCache>
                <c:formatCode>General</c:formatCode>
                <c:ptCount val="159"/>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104.4824</c:v>
                </c:pt>
                <c:pt idx="151">
                  <c:v>104.4696</c:v>
                </c:pt>
                <c:pt idx="152">
                  <c:v>104.8292</c:v>
                </c:pt>
                <c:pt idx="153">
                  <c:v>104.7972</c:v>
                </c:pt>
                <c:pt idx="154">
                  <c:v>104.1863</c:v>
                </c:pt>
                <c:pt idx="155">
                  <c:v>103.4332</c:v>
                </c:pt>
              </c:numCache>
            </c:numRef>
          </c:val>
          <c:smooth val="0"/>
          <c:extLst>
            <c:ext xmlns:c16="http://schemas.microsoft.com/office/drawing/2014/chart" uri="{C3380CC4-5D6E-409C-BE32-E72D297353CC}">
              <c16:uniqueId val="{00000000-6113-433E-9429-12EC68630ECF}"/>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start'!$A$1099:$A$1259</c:f>
              <c:numCache>
                <c:formatCode>m/d/yyyy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'IP from start'!$C$1099:$C$1259</c:f>
              <c:numCache>
                <c:formatCode>0.00%</c:formatCode>
                <c:ptCount val="161"/>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3.5787787343217761E-2</c:v>
                </c:pt>
                <c:pt idx="151">
                  <c:v>3.6024475143052612E-2</c:v>
                </c:pt>
                <c:pt idx="152">
                  <c:v>4.9868903092444836E-2</c:v>
                </c:pt>
                <c:pt idx="153">
                  <c:v>3.3908772871403148E-2</c:v>
                </c:pt>
                <c:pt idx="154">
                  <c:v>2.1825011524014126E-2</c:v>
                </c:pt>
                <c:pt idx="155">
                  <c:v>1.6455595442944875E-2</c:v>
                </c:pt>
              </c:numCache>
            </c:numRef>
          </c:val>
          <c:smooth val="0"/>
          <c:extLst>
            <c:ext xmlns:c16="http://schemas.microsoft.com/office/drawing/2014/chart" uri="{C3380CC4-5D6E-409C-BE32-E72D297353CC}">
              <c16:uniqueId val="{00000000-18B6-48D1-A57D-D24B088E2618}"/>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104.4824</c:v>
                </c:pt>
                <c:pt idx="606">
                  <c:v>104.4696</c:v>
                </c:pt>
                <c:pt idx="607">
                  <c:v>104.8292</c:v>
                </c:pt>
                <c:pt idx="608">
                  <c:v>104.7972</c:v>
                </c:pt>
                <c:pt idx="609">
                  <c:v>104.1863</c:v>
                </c:pt>
                <c:pt idx="610">
                  <c:v>103.4332</c:v>
                </c:pt>
              </c:numCache>
            </c:numRef>
          </c:val>
          <c:smooth val="0"/>
          <c:extLst>
            <c:ext xmlns:c16="http://schemas.microsoft.com/office/drawing/2014/chart" uri="{C3380CC4-5D6E-409C-BE32-E72D297353CC}">
              <c16:uniqueId val="{00000000-B828-4A77-9912-1FBE2C022F9D}"/>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104.4824</c:v>
                </c:pt>
                <c:pt idx="271">
                  <c:v>104.4696</c:v>
                </c:pt>
                <c:pt idx="272">
                  <c:v>104.8292</c:v>
                </c:pt>
                <c:pt idx="273">
                  <c:v>104.7972</c:v>
                </c:pt>
                <c:pt idx="274">
                  <c:v>104.1863</c:v>
                </c:pt>
                <c:pt idx="275">
                  <c:v>103.4332</c:v>
                </c:pt>
              </c:numCache>
            </c:numRef>
          </c:val>
          <c:smooth val="0"/>
          <c:extLst>
            <c:ext xmlns:c16="http://schemas.microsoft.com/office/drawing/2014/chart" uri="{C3380CC4-5D6E-409C-BE32-E72D297353CC}">
              <c16:uniqueId val="{00000000-5BF2-45E1-B2B9-D496A157ED19}"/>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3.5787787343217761E-2</c:v>
                </c:pt>
                <c:pt idx="594">
                  <c:v>3.6024475143052612E-2</c:v>
                </c:pt>
                <c:pt idx="595">
                  <c:v>4.9868903092444836E-2</c:v>
                </c:pt>
                <c:pt idx="596">
                  <c:v>3.3908772871403148E-2</c:v>
                </c:pt>
                <c:pt idx="597">
                  <c:v>2.1825011524014126E-2</c:v>
                </c:pt>
                <c:pt idx="598">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C70-42CE-B4D5-B737D28FF1A7}"/>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3.5787787343217761E-2</c:v>
                </c:pt>
                <c:pt idx="271">
                  <c:v>3.6024475143052612E-2</c:v>
                </c:pt>
                <c:pt idx="272">
                  <c:v>4.9868903092444836E-2</c:v>
                </c:pt>
                <c:pt idx="273">
                  <c:v>3.3908772871403148E-2</c:v>
                </c:pt>
                <c:pt idx="274">
                  <c:v>2.1825011524014126E-2</c:v>
                </c:pt>
                <c:pt idx="275">
                  <c:v>1.6455595442944875E-2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4CB-4749-9E1A-CC941745552D}"/>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1EDA-47CF-97CC-B87504BE927A}"/>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Utilization'!$B$6:$B$677</c:f>
              <c:numCache>
                <c:formatCode>0.00</c:formatCode>
                <c:ptCount val="672"/>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80.021299999999997</c:v>
                </c:pt>
                <c:pt idx="667">
                  <c:v>79.901700000000005</c:v>
                </c:pt>
                <c:pt idx="668">
                  <c:v>80.075800000000001</c:v>
                </c:pt>
                <c:pt idx="669">
                  <c:v>79.957999999999998</c:v>
                </c:pt>
                <c:pt idx="670">
                  <c:v>79.406300000000002</c:v>
                </c:pt>
                <c:pt idx="671">
                  <c:v>78.753900000000002</c:v>
                </c:pt>
              </c:numCache>
            </c:numRef>
          </c:val>
          <c:smooth val="0"/>
          <c:extLst>
            <c:ext xmlns:c16="http://schemas.microsoft.com/office/drawing/2014/chart" uri="{C3380CC4-5D6E-409C-BE32-E72D297353CC}">
              <c16:uniqueId val="{00000000-19BD-4A46-98A0-72F892F7AA30}"/>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Utilization'!$A$6:$A$677</c:f>
              <c:numCache>
                <c:formatCode>mmm\-yy</c:formatCode>
                <c:ptCount val="672"/>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pt idx="671">
                  <c:v>44896</c:v>
                </c:pt>
              </c:numCache>
            </c:numRef>
          </c:cat>
          <c:val>
            <c:numRef>
              <c:f>'Capacity Utilization'!$C$6:$C$677</c:f>
              <c:numCache>
                <c:formatCode>General</c:formatCode>
                <c:ptCount val="672"/>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8.8514105842648627E-2</c:v>
                </c:pt>
                <c:pt idx="668" formatCode="0.0%">
                  <c:v>8.4705446929895803E-2</c:v>
                </c:pt>
                <c:pt idx="669" formatCode="0.0%">
                  <c:v>8.1501831501831531E-2</c:v>
                </c:pt>
                <c:pt idx="670" formatCode="0.0%">
                  <c:v>8.0173691069101577E-2</c:v>
                </c:pt>
                <c:pt idx="671" formatCode="0.0%">
                  <c:v>7.7533106117087261E-2</c:v>
                </c:pt>
              </c:numCache>
            </c:numRef>
          </c:val>
          <c:smooth val="0"/>
          <c:extLst>
            <c:ext xmlns:c16="http://schemas.microsoft.com/office/drawing/2014/chart" uri="{C3380CC4-5D6E-409C-BE32-E72D297353CC}">
              <c16:uniqueId val="{00000001-19BD-4A46-98A0-72F892F7AA30}"/>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8.8514105842648627E-2</c:v>
                </c:pt>
                <c:pt idx="572">
                  <c:v>8.4705446929895803E-2</c:v>
                </c:pt>
                <c:pt idx="573">
                  <c:v>8.1501831501831531E-2</c:v>
                </c:pt>
                <c:pt idx="574">
                  <c:v>8.0173691069101577E-2</c:v>
                </c:pt>
                <c:pt idx="575">
                  <c:v>7.7533106117087261E-2</c:v>
                </c:pt>
              </c:numCache>
            </c:numRef>
          </c:val>
          <c:extLst>
            <c:ext xmlns:c16="http://schemas.microsoft.com/office/drawing/2014/chart" uri="{C3380CC4-5D6E-409C-BE32-E72D297353CC}">
              <c16:uniqueId val="{00000000-DD24-47F1-A95F-9A420097A7F4}"/>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pt idx="575">
                  <c:v>44896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80.021299999999997</c:v>
                </c:pt>
                <c:pt idx="571">
                  <c:v>79.901700000000005</c:v>
                </c:pt>
                <c:pt idx="572">
                  <c:v>80.075800000000001</c:v>
                </c:pt>
                <c:pt idx="573">
                  <c:v>79.957999999999998</c:v>
                </c:pt>
                <c:pt idx="574">
                  <c:v>79.406300000000002</c:v>
                </c:pt>
                <c:pt idx="575">
                  <c:v>78.753900000000002</c:v>
                </c:pt>
              </c:numCache>
            </c:numRef>
          </c:val>
          <c:smooth val="0"/>
          <c:extLst>
            <c:ext xmlns:c16="http://schemas.microsoft.com/office/drawing/2014/chart" uri="{C3380CC4-5D6E-409C-BE32-E72D297353CC}">
              <c16:uniqueId val="{00000001-DD24-47F1-A95F-9A420097A7F4}"/>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pt idx="610">
                  <c:v>44896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105.0326</c:v>
                </c:pt>
                <c:pt idx="606">
                  <c:v>104.7296</c:v>
                </c:pt>
                <c:pt idx="607">
                  <c:v>105.4392</c:v>
                </c:pt>
                <c:pt idx="608">
                  <c:v>104.94289999999999</c:v>
                </c:pt>
                <c:pt idx="609">
                  <c:v>104.3764</c:v>
                </c:pt>
                <c:pt idx="610">
                  <c:v>103.6326</c:v>
                </c:pt>
              </c:numCache>
            </c:numRef>
          </c:val>
          <c:smooth val="0"/>
          <c:extLst>
            <c:ext xmlns:c16="http://schemas.microsoft.com/office/drawing/2014/chart" uri="{C3380CC4-5D6E-409C-BE32-E72D297353CC}">
              <c16:uniqueId val="{00000000-B6E2-487E-8B21-F4EE3C2ACF12}"/>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3.9300065604007069E-2</c:v>
                </c:pt>
                <c:pt idx="594">
                  <c:v>3.7660286578829014E-2</c:v>
                </c:pt>
                <c:pt idx="595">
                  <c:v>6.0735196474920004E-2</c:v>
                </c:pt>
                <c:pt idx="596">
                  <c:v>3.2769396859263139E-2</c:v>
                </c:pt>
                <c:pt idx="597">
                  <c:v>2.2550174088362823E-2</c:v>
                </c:pt>
                <c:pt idx="598">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0EF-4515-B8B7-6639D3718E28}"/>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3.9300065604007069E-2</c:v>
                </c:pt>
                <c:pt idx="151">
                  <c:v>3.7660286578829014E-2</c:v>
                </c:pt>
                <c:pt idx="152">
                  <c:v>6.0735196474920004E-2</c:v>
                </c:pt>
                <c:pt idx="153">
                  <c:v>3.2769396859263139E-2</c:v>
                </c:pt>
                <c:pt idx="154">
                  <c:v>2.2550174088362823E-2</c:v>
                </c:pt>
                <c:pt idx="155">
                  <c:v>1.7420296058638381E-2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7776-4FDA-BA83-E3CE4056D4C2}"/>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105.0326</c:v>
                </c:pt>
                <c:pt idx="151">
                  <c:v>104.7296</c:v>
                </c:pt>
                <c:pt idx="152">
                  <c:v>105.4392</c:v>
                </c:pt>
                <c:pt idx="153">
                  <c:v>104.94289999999999</c:v>
                </c:pt>
                <c:pt idx="154">
                  <c:v>104.3764</c:v>
                </c:pt>
                <c:pt idx="155">
                  <c:v>103.6326</c:v>
                </c:pt>
              </c:numCache>
            </c:numRef>
          </c:val>
          <c:smooth val="0"/>
          <c:extLst>
            <c:ext xmlns:c16="http://schemas.microsoft.com/office/drawing/2014/chart" uri="{C3380CC4-5D6E-409C-BE32-E72D297353CC}">
              <c16:uniqueId val="{00000000-77F6-466D-9A77-E051DEDE063E}"/>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104.4344</c:v>
                </c:pt>
                <c:pt idx="594">
                  <c:v>104.64360000000001</c:v>
                </c:pt>
                <c:pt idx="595">
                  <c:v>104.29600000000001</c:v>
                </c:pt>
                <c:pt idx="596">
                  <c:v>105.0504</c:v>
                </c:pt>
                <c:pt idx="597">
                  <c:v>104.5137</c:v>
                </c:pt>
                <c:pt idx="598">
                  <c:v>104.4371</c:v>
                </c:pt>
              </c:numCache>
            </c:numRef>
          </c:val>
          <c:smooth val="0"/>
          <c:extLst>
            <c:ext xmlns:c16="http://schemas.microsoft.com/office/drawing/2014/chart" uri="{C3380CC4-5D6E-409C-BE32-E72D297353CC}">
              <c16:uniqueId val="{00000000-4AF6-4B10-9294-B3BD3021E5D6}"/>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104.4344</c:v>
                </c:pt>
                <c:pt idx="151">
                  <c:v>104.64360000000001</c:v>
                </c:pt>
                <c:pt idx="152">
                  <c:v>104.29600000000001</c:v>
                </c:pt>
                <c:pt idx="153">
                  <c:v>105.0504</c:v>
                </c:pt>
                <c:pt idx="154">
                  <c:v>104.5137</c:v>
                </c:pt>
                <c:pt idx="155">
                  <c:v>104.4371</c:v>
                </c:pt>
              </c:numCache>
            </c:numRef>
          </c:val>
          <c:smooth val="0"/>
          <c:extLst>
            <c:ext xmlns:c16="http://schemas.microsoft.com/office/drawing/2014/chart" uri="{C3380CC4-5D6E-409C-BE32-E72D297353CC}">
              <c16:uniqueId val="{00000000-45B2-471B-86C5-4F0ECEE49260}"/>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1.7066282308486339E-2</c:v>
                </c:pt>
                <c:pt idx="594">
                  <c:v>2.0676174702849603E-2</c:v>
                </c:pt>
                <c:pt idx="595">
                  <c:v>2.6450569047440992E-2</c:v>
                </c:pt>
                <c:pt idx="596">
                  <c:v>2.6226558310058861E-2</c:v>
                </c:pt>
                <c:pt idx="597">
                  <c:v>1.4921764159216051E-2</c:v>
                </c:pt>
                <c:pt idx="598">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F3F-43B5-8B2F-90AA5D984DDF}"/>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1.7066282308486339E-2</c:v>
                </c:pt>
                <c:pt idx="151">
                  <c:v>2.0676174702849603E-2</c:v>
                </c:pt>
                <c:pt idx="152">
                  <c:v>2.6450569047440992E-2</c:v>
                </c:pt>
                <c:pt idx="153">
                  <c:v>2.6226558310058861E-2</c:v>
                </c:pt>
                <c:pt idx="154">
                  <c:v>1.4921764159216051E-2</c:v>
                </c:pt>
                <c:pt idx="155">
                  <c:v>1.7496872600865961E-2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C27-485E-8E3A-51D07B2DB923}"/>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97.495099999999994</c:v>
                </c:pt>
                <c:pt idx="594">
                  <c:v>98.313599999999994</c:v>
                </c:pt>
                <c:pt idx="595">
                  <c:v>98.992199999999997</c:v>
                </c:pt>
                <c:pt idx="596">
                  <c:v>99.342799999999997</c:v>
                </c:pt>
                <c:pt idx="597">
                  <c:v>97.570700000000002</c:v>
                </c:pt>
              </c:numCache>
            </c:numRef>
          </c:val>
          <c:smooth val="0"/>
          <c:extLst>
            <c:ext xmlns:c16="http://schemas.microsoft.com/office/drawing/2014/chart" uri="{C3380CC4-5D6E-409C-BE32-E72D297353CC}">
              <c16:uniqueId val="{00000000-C1B0-4CC1-9EA1-BA14D428FE81}"/>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97.495099999999994</c:v>
                </c:pt>
                <c:pt idx="151">
                  <c:v>98.313599999999994</c:v>
                </c:pt>
                <c:pt idx="152">
                  <c:v>98.992199999999997</c:v>
                </c:pt>
                <c:pt idx="153">
                  <c:v>99.342799999999997</c:v>
                </c:pt>
                <c:pt idx="154">
                  <c:v>97.570700000000002</c:v>
                </c:pt>
                <c:pt idx="155">
                  <c:v>95.643699999999995</c:v>
                </c:pt>
              </c:numCache>
            </c:numRef>
          </c:val>
          <c:smooth val="0"/>
          <c:extLst>
            <c:ext xmlns:c16="http://schemas.microsoft.com/office/drawing/2014/chart" uri="{C3380CC4-5D6E-409C-BE32-E72D297353CC}">
              <c16:uniqueId val="{00000000-84B5-4835-8C74-6571D2FB9D8E}"/>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5.2133402112142554E-2</c:v>
                </c:pt>
                <c:pt idx="594">
                  <c:v>6.0595534248289472E-2</c:v>
                </c:pt>
                <c:pt idx="595">
                  <c:v>7.3278147310901029E-2</c:v>
                </c:pt>
                <c:pt idx="596">
                  <c:v>6.9282931134695178E-2</c:v>
                </c:pt>
                <c:pt idx="597">
                  <c:v>4.4479722872839272E-2</c:v>
                </c:pt>
                <c:pt idx="598">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120-44FF-95BB-10B705A63896}"/>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5.2133402112142554E-2</c:v>
                </c:pt>
                <c:pt idx="151">
                  <c:v>6.0595534248289472E-2</c:v>
                </c:pt>
                <c:pt idx="152">
                  <c:v>7.3278147310901029E-2</c:v>
                </c:pt>
                <c:pt idx="153">
                  <c:v>6.9282931134695178E-2</c:v>
                </c:pt>
                <c:pt idx="154">
                  <c:v>4.4479722872839272E-2</c:v>
                </c:pt>
                <c:pt idx="155">
                  <c:v>1.4996190197239538E-2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A6E-40DE-A5BC-127BD24964F0}"/>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104.45010000000001</c:v>
                </c:pt>
                <c:pt idx="594">
                  <c:v>104.1361</c:v>
                </c:pt>
                <c:pt idx="595">
                  <c:v>104.7329</c:v>
                </c:pt>
              </c:numCache>
            </c:numRef>
          </c:val>
          <c:smooth val="0"/>
          <c:extLst>
            <c:ext xmlns:c16="http://schemas.microsoft.com/office/drawing/2014/chart" uri="{C3380CC4-5D6E-409C-BE32-E72D297353CC}">
              <c16:uniqueId val="{00000000-30E2-422F-A608-1FF91BA41788}"/>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104.45010000000001</c:v>
                </c:pt>
                <c:pt idx="151">
                  <c:v>104.1361</c:v>
                </c:pt>
                <c:pt idx="152">
                  <c:v>104.7329</c:v>
                </c:pt>
                <c:pt idx="153">
                  <c:v>104.5094</c:v>
                </c:pt>
                <c:pt idx="154">
                  <c:v>104.2047</c:v>
                </c:pt>
                <c:pt idx="155">
                  <c:v>102.74639999999999</c:v>
                </c:pt>
              </c:numCache>
            </c:numRef>
          </c:val>
          <c:smooth val="0"/>
          <c:extLst>
            <c:ext xmlns:c16="http://schemas.microsoft.com/office/drawing/2014/chart" uri="{C3380CC4-5D6E-409C-BE32-E72D297353CC}">
              <c16:uniqueId val="{00000000-D42D-46B7-A13B-8CF1FF353E08}"/>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4.2043860576760086E-2</c:v>
                </c:pt>
                <c:pt idx="594">
                  <c:v>3.4991661316259789E-2</c:v>
                </c:pt>
                <c:pt idx="595">
                  <c:v>2.7468042733952633E-2</c:v>
                </c:pt>
                <c:pt idx="596">
                  <c:v>1.1803636743853731E-2</c:v>
                </c:pt>
                <c:pt idx="597">
                  <c:v>-5.9298095993085779E-3</c:v>
                </c:pt>
                <c:pt idx="598">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EB3-40A6-83A8-B7BA248F143A}"/>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4.2043860576760086E-2</c:v>
                </c:pt>
                <c:pt idx="151">
                  <c:v>3.4991661316259789E-2</c:v>
                </c:pt>
                <c:pt idx="152">
                  <c:v>2.7468042733952633E-2</c:v>
                </c:pt>
                <c:pt idx="153">
                  <c:v>1.1803636743853731E-2</c:v>
                </c:pt>
                <c:pt idx="154">
                  <c:v>-5.9298095993085779E-3</c:v>
                </c:pt>
                <c:pt idx="155">
                  <c:v>-2.104143879079386E-2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433-4834-8278-3EF513A5C5AF}"/>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102.1307</c:v>
                </c:pt>
                <c:pt idx="594">
                  <c:v>102.3092</c:v>
                </c:pt>
                <c:pt idx="595">
                  <c:v>102.5138</c:v>
                </c:pt>
                <c:pt idx="596">
                  <c:v>102.84220000000001</c:v>
                </c:pt>
                <c:pt idx="597">
                  <c:v>101.71420000000001</c:v>
                </c:pt>
                <c:pt idx="598">
                  <c:v>100.3869</c:v>
                </c:pt>
              </c:numCache>
            </c:numRef>
          </c:val>
          <c:smooth val="0"/>
          <c:extLst>
            <c:ext xmlns:c16="http://schemas.microsoft.com/office/drawing/2014/chart" uri="{C3380CC4-5D6E-409C-BE32-E72D297353CC}">
              <c16:uniqueId val="{00000000-3E31-4A1D-8D4F-EA761E10C02C}"/>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2.4610343748244404E-2</c:v>
                </c:pt>
                <c:pt idx="594">
                  <c:v>2.9757621081259046E-2</c:v>
                </c:pt>
                <c:pt idx="595">
                  <c:v>3.9921524390738754E-2</c:v>
                </c:pt>
                <c:pt idx="596">
                  <c:v>2.5846100441790781E-2</c:v>
                </c:pt>
                <c:pt idx="597">
                  <c:v>8.7782197798057151E-3</c:v>
                </c:pt>
                <c:pt idx="598">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2CE-4EEC-9340-CF1CD91944FE}"/>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102.1307</c:v>
                </c:pt>
                <c:pt idx="151">
                  <c:v>102.3092</c:v>
                </c:pt>
                <c:pt idx="152">
                  <c:v>102.5138</c:v>
                </c:pt>
                <c:pt idx="153">
                  <c:v>102.84220000000001</c:v>
                </c:pt>
                <c:pt idx="154">
                  <c:v>101.71420000000001</c:v>
                </c:pt>
                <c:pt idx="155">
                  <c:v>100.3869</c:v>
                </c:pt>
              </c:numCache>
            </c:numRef>
          </c:val>
          <c:smooth val="0"/>
          <c:extLst>
            <c:ext xmlns:c16="http://schemas.microsoft.com/office/drawing/2014/chart" uri="{C3380CC4-5D6E-409C-BE32-E72D297353CC}">
              <c16:uniqueId val="{00000000-98C6-4206-86EF-F2D5599B5D6E}"/>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2.4610343748244404E-2</c:v>
                </c:pt>
                <c:pt idx="151">
                  <c:v>2.9757621081259046E-2</c:v>
                </c:pt>
                <c:pt idx="152">
                  <c:v>3.9921524390738754E-2</c:v>
                </c:pt>
                <c:pt idx="153">
                  <c:v>2.5846100441790781E-2</c:v>
                </c:pt>
                <c:pt idx="154">
                  <c:v>8.7782197798057151E-3</c:v>
                </c:pt>
                <c:pt idx="155">
                  <c:v>-4.0745017738518137E-3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DC8-491D-8046-E7F72CA52C9E}"/>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116.87730000000001</c:v>
                </c:pt>
                <c:pt idx="594">
                  <c:v>116.83580000000001</c:v>
                </c:pt>
                <c:pt idx="595">
                  <c:v>119.1833</c:v>
                </c:pt>
                <c:pt idx="596">
                  <c:v>119.1429</c:v>
                </c:pt>
                <c:pt idx="597">
                  <c:v>117.70310000000001</c:v>
                </c:pt>
                <c:pt idx="598">
                  <c:v>116.6567</c:v>
                </c:pt>
              </c:numCache>
            </c:numRef>
          </c:val>
          <c:smooth val="0"/>
          <c:extLst>
            <c:ext xmlns:c16="http://schemas.microsoft.com/office/drawing/2014/chart" uri="{C3380CC4-5D6E-409C-BE32-E72D297353CC}">
              <c16:uniqueId val="{00000000-D286-40D3-AADF-D503E135A07C}"/>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8.6143543764566816E-2</c:v>
                </c:pt>
                <c:pt idx="594">
                  <c:v>8.628382555982736E-2</c:v>
                </c:pt>
                <c:pt idx="595">
                  <c:v>0.1256163660352447</c:v>
                </c:pt>
                <c:pt idx="596">
                  <c:v>8.5145508331936806E-2</c:v>
                </c:pt>
                <c:pt idx="597">
                  <c:v>6.8455609425763383E-2</c:v>
                </c:pt>
                <c:pt idx="598">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CEA-44FE-AF9C-F5337DE668AD}"/>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8.6143543764566816E-2</c:v>
                </c:pt>
                <c:pt idx="151">
                  <c:v>8.628382555982736E-2</c:v>
                </c:pt>
                <c:pt idx="152">
                  <c:v>0.1256163660352447</c:v>
                </c:pt>
                <c:pt idx="153">
                  <c:v>8.5145508331936806E-2</c:v>
                </c:pt>
                <c:pt idx="154">
                  <c:v>6.8455609425763383E-2</c:v>
                </c:pt>
                <c:pt idx="155">
                  <c:v>5.753321089074271E-2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9CB-4425-885E-513C67F7517E}"/>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116.87730000000001</c:v>
                </c:pt>
                <c:pt idx="151">
                  <c:v>116.83580000000001</c:v>
                </c:pt>
                <c:pt idx="152">
                  <c:v>119.1833</c:v>
                </c:pt>
                <c:pt idx="153">
                  <c:v>119.1429</c:v>
                </c:pt>
                <c:pt idx="154">
                  <c:v>117.70310000000001</c:v>
                </c:pt>
                <c:pt idx="155">
                  <c:v>116.6567</c:v>
                </c:pt>
              </c:numCache>
            </c:numRef>
          </c:val>
          <c:smooth val="0"/>
          <c:extLst>
            <c:ext xmlns:c16="http://schemas.microsoft.com/office/drawing/2014/chart" uri="{C3380CC4-5D6E-409C-BE32-E72D297353CC}">
              <c16:uniqueId val="{00000000-6115-4706-B80C-7DF046F4B8F3}"/>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106.33369999999999</c:v>
                </c:pt>
                <c:pt idx="595">
                  <c:v>104.2016</c:v>
                </c:pt>
                <c:pt idx="596">
                  <c:v>101.55329999999999</c:v>
                </c:pt>
                <c:pt idx="597">
                  <c:v>106.1584</c:v>
                </c:pt>
                <c:pt idx="598">
                  <c:v>110.2011</c:v>
                </c:pt>
              </c:numCache>
            </c:numRef>
          </c:val>
          <c:smooth val="0"/>
          <c:extLst>
            <c:ext xmlns:c16="http://schemas.microsoft.com/office/drawing/2014/chart" uri="{C3380CC4-5D6E-409C-BE32-E72D297353CC}">
              <c16:uniqueId val="{00000000-A41A-439F-AFC2-4D4C40950FAC}"/>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pt idx="598">
                  <c:v>44896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1.0284918366726422E-2</c:v>
                </c:pt>
                <c:pt idx="595">
                  <c:v>8.4761018061316543E-3</c:v>
                </c:pt>
                <c:pt idx="596">
                  <c:v>1.1187925484194379E-2</c:v>
                </c:pt>
                <c:pt idx="597">
                  <c:v>4.2075308156011286E-2</c:v>
                </c:pt>
                <c:pt idx="598">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894-49CD-9218-555CEA268818}"/>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106.33369999999999</c:v>
                </c:pt>
                <c:pt idx="152">
                  <c:v>104.2016</c:v>
                </c:pt>
                <c:pt idx="153">
                  <c:v>101.55329999999999</c:v>
                </c:pt>
                <c:pt idx="154">
                  <c:v>106.1584</c:v>
                </c:pt>
                <c:pt idx="155">
                  <c:v>110.2011</c:v>
                </c:pt>
              </c:numCache>
            </c:numRef>
          </c:val>
          <c:smooth val="0"/>
          <c:extLst>
            <c:ext xmlns:c16="http://schemas.microsoft.com/office/drawing/2014/chart" uri="{C3380CC4-5D6E-409C-BE32-E72D297353CC}">
              <c16:uniqueId val="{00000000-A5B5-481C-B442-02FA3938007C}"/>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1.0284918366726422E-2</c:v>
                </c:pt>
                <c:pt idx="152">
                  <c:v>8.4761018061316543E-3</c:v>
                </c:pt>
                <c:pt idx="153">
                  <c:v>1.1187925484194379E-2</c:v>
                </c:pt>
                <c:pt idx="154">
                  <c:v>4.2075308156011286E-2</c:v>
                </c:pt>
                <c:pt idx="155">
                  <c:v>9.7382241704490377E-2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930-4DB3-8F21-508CC752FF43}"/>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4" totalsRowShown="0" headerRowDxfId="70" dataDxfId="68" headerRowBorderDxfId="69">
  <autoFilter ref="A6:D1254"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8" totalsRowShown="0" headerRowDxfId="63" dataDxfId="61" headerRowBorderDxfId="62" tableBorderDxfId="60">
  <autoFilter ref="A6:D618"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7" totalsRowShown="0" headerRowDxfId="55" dataDxfId="53" headerRowBorderDxfId="54">
  <autoFilter ref="A5:C677"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8" totalsRowShown="0" headerRowDxfId="49" dataDxfId="47" headerRowBorderDxfId="48" tableBorderDxfId="46">
  <autoFilter ref="A6:D618"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8" totalsRowShown="0" headerRowBorderDxfId="41" tableBorderDxfId="40">
  <autoFilter ref="A6:D618"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8" totalsRowShown="0" headerRowBorderDxfId="35" tableBorderDxfId="34">
  <autoFilter ref="A6:D618"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8" totalsRowShown="0" headerRowBorderDxfId="29" tableBorderDxfId="28">
  <autoFilter ref="A6:D618"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8" totalsRowShown="0" headerRowBorderDxfId="23" tableBorderDxfId="22">
  <autoFilter ref="A6:D618"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8" totalsRowShown="0" headerRowDxfId="17" dataDxfId="15" headerRowBorderDxfId="16" tableBorderDxfId="14">
  <autoFilter ref="A6:D618"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8" totalsRowShown="0" headerRowDxfId="9" dataDxfId="7" headerRowBorderDxfId="8" tableBorderDxfId="6">
  <autoFilter ref="A6:D618"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I8" zoomScale="120" zoomScaleNormal="120" workbookViewId="0">
      <selection activeCell="P15" sqref="P15"/>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40" width="9.1796875" style="74" customWidth="1"/>
    <col min="41" max="16384" width="9.1796875" style="74"/>
  </cols>
  <sheetData>
    <row r="1" spans="2:19" x14ac:dyDescent="0.35">
      <c r="B1" s="86"/>
      <c r="C1" s="79"/>
      <c r="D1" s="79"/>
      <c r="E1" s="79"/>
      <c r="F1" s="79"/>
      <c r="G1" s="79"/>
      <c r="H1" s="79"/>
      <c r="I1" s="79"/>
      <c r="J1" s="79"/>
    </row>
    <row r="2" spans="2:19" ht="16" customHeight="1" thickBot="1" x14ac:dyDescent="0.4">
      <c r="B2" s="87"/>
      <c r="C2" s="87"/>
      <c r="D2" s="87"/>
      <c r="E2" s="87"/>
      <c r="F2" s="87"/>
      <c r="G2" s="87"/>
      <c r="H2" s="87"/>
      <c r="I2" s="87"/>
      <c r="J2" s="87"/>
    </row>
    <row r="3" spans="2:19" ht="16" customHeight="1" thickBot="1" x14ac:dyDescent="0.4">
      <c r="B3" s="88" t="s">
        <v>0</v>
      </c>
      <c r="C3" s="89"/>
      <c r="D3" s="89"/>
      <c r="E3" s="89"/>
      <c r="F3" s="89"/>
      <c r="G3" s="89"/>
      <c r="H3" s="89"/>
      <c r="I3" s="89"/>
      <c r="J3" s="90"/>
    </row>
    <row r="5" spans="2:19" x14ac:dyDescent="0.35">
      <c r="B5" s="81" t="s">
        <v>1</v>
      </c>
      <c r="C5" s="82"/>
      <c r="D5" s="82"/>
      <c r="E5" s="82"/>
      <c r="F5" s="82"/>
      <c r="G5" s="82"/>
      <c r="H5" s="82"/>
      <c r="I5" s="82"/>
      <c r="J5" s="83"/>
    </row>
    <row r="7" spans="2:19" ht="245.25" customHeight="1" x14ac:dyDescent="0.35">
      <c r="B7" s="91" t="s">
        <v>2</v>
      </c>
      <c r="C7" s="79"/>
      <c r="D7" s="79"/>
      <c r="E7" s="79"/>
      <c r="F7" s="79"/>
      <c r="G7" s="79"/>
      <c r="H7" s="79"/>
      <c r="I7" s="79"/>
      <c r="J7" s="79"/>
    </row>
    <row r="8" spans="2:19" ht="15" customHeight="1" x14ac:dyDescent="0.35">
      <c r="B8" s="92" t="s">
        <v>3</v>
      </c>
      <c r="C8" s="79"/>
      <c r="D8" s="79"/>
      <c r="E8" s="79"/>
      <c r="F8" s="79"/>
      <c r="G8" s="79"/>
      <c r="H8" s="79"/>
      <c r="I8" s="79"/>
      <c r="J8" s="79"/>
    </row>
    <row r="9" spans="2:19" ht="15" customHeight="1" x14ac:dyDescent="0.35">
      <c r="B9" s="2" t="s">
        <v>4</v>
      </c>
    </row>
    <row r="10" spans="2:19" ht="15" customHeight="1" x14ac:dyDescent="0.35">
      <c r="B10" s="2" t="s">
        <v>5</v>
      </c>
      <c r="N10" s="81" t="s">
        <v>6</v>
      </c>
      <c r="O10" s="82"/>
      <c r="P10" s="82"/>
      <c r="Q10" s="82"/>
      <c r="R10" s="82"/>
      <c r="S10" s="83"/>
    </row>
    <row r="11" spans="2:19" x14ac:dyDescent="0.35">
      <c r="B11" s="22"/>
      <c r="C11" s="22"/>
      <c r="D11" s="22"/>
      <c r="E11" s="22"/>
    </row>
    <row r="12" spans="2:19" x14ac:dyDescent="0.35">
      <c r="B12" s="81" t="s">
        <v>7</v>
      </c>
      <c r="C12" s="82"/>
      <c r="D12" s="82"/>
      <c r="E12" s="82"/>
      <c r="F12" s="82"/>
      <c r="G12" s="82"/>
      <c r="H12" s="82"/>
      <c r="I12" s="82"/>
      <c r="J12" s="83"/>
      <c r="N12" s="40" t="s">
        <v>8</v>
      </c>
    </row>
    <row r="13" spans="2:19" ht="16" customHeight="1" thickBot="1" x14ac:dyDescent="0.4"/>
    <row r="14" spans="2:19" x14ac:dyDescent="0.35">
      <c r="B14" s="81" t="s">
        <v>9</v>
      </c>
      <c r="C14" s="82"/>
      <c r="D14" s="82"/>
      <c r="E14" s="82"/>
      <c r="F14" s="83"/>
      <c r="G14" s="81" t="s">
        <v>10</v>
      </c>
      <c r="H14" s="82"/>
      <c r="I14" s="82"/>
      <c r="J14" s="83"/>
      <c r="P14" s="41">
        <v>44896</v>
      </c>
      <c r="Q14" s="42"/>
    </row>
    <row r="15" spans="2:19" ht="16" customHeight="1" thickBot="1" x14ac:dyDescent="0.4">
      <c r="P15" s="43" t="s">
        <v>11</v>
      </c>
      <c r="Q15" s="43" t="s">
        <v>12</v>
      </c>
    </row>
    <row r="16" spans="2:19" ht="16" customHeight="1" x14ac:dyDescent="0.35">
      <c r="B16" s="1" t="s">
        <v>13</v>
      </c>
      <c r="I16" s="11"/>
      <c r="J16" s="12" t="s">
        <v>14</v>
      </c>
      <c r="N16" s="84" t="s">
        <v>15</v>
      </c>
      <c r="O16" s="85"/>
      <c r="P16" s="44">
        <f>(VLOOKUP($P$14,database!A:J,MATCH(Note!S16,database!$A$1:$J$1,),)-VLOOKUP($N$28,database!A:J,MATCH(Note!S16,database!$A$1:$J$1,),))/VLOOKUP($N$28,database!A:J,MATCH(Note!S16,database!$A$1:$J$1,),)</f>
        <v>-7.2283975916219642E-3</v>
      </c>
      <c r="Q16" s="45">
        <f>(VLOOKUP($P$14,database!A:J,MATCH(Note!S16,database!$A$1:$J$1,),)-VLOOKUP($N$29,database!A:J,MATCH(Note!S16,database!$A$1:$J$1,),))/VLOOKUP($N$29,database!A:J,MATCH(Note!S16,database!$A$1:$J$1,),)</f>
        <v>1.6455595442944875E-2</v>
      </c>
      <c r="S16" s="74" t="s">
        <v>16</v>
      </c>
    </row>
    <row r="17" spans="2:19" x14ac:dyDescent="0.35">
      <c r="B17" s="74" t="s">
        <v>17</v>
      </c>
      <c r="D17" s="74" t="s">
        <v>18</v>
      </c>
      <c r="I17" s="11">
        <v>2447752</v>
      </c>
      <c r="J17" s="25">
        <v>0.72596839700733096</v>
      </c>
      <c r="N17" s="93" t="s">
        <v>17</v>
      </c>
      <c r="O17" s="94"/>
      <c r="P17" s="46">
        <f>(VLOOKUP($P$14,database!A:J,MATCH(Note!S17,database!$A$1:$J$1,),)-VLOOKUP($N$28,database!A:J,MATCH(Note!S17,database!$A$1:$J$1,),))/VLOOKUP($N$28,database!A:J,MATCH(Note!S17,database!$A$1:$J$1,),)</f>
        <v>-1.3049308749417565E-2</v>
      </c>
      <c r="Q17" s="47">
        <f>(VLOOKUP($P$14,database!A:J,MATCH(Note!S17,database!$A$1:$J$1,),)-VLOOKUP($N$29,database!A:J,MATCH(Note!S17,database!$A$1:$J$1,),))/VLOOKUP($N$29,database!A:J,MATCH(Note!S17,database!$A$1:$J$1,),)</f>
        <v>-4.0745017738518137E-3</v>
      </c>
      <c r="S17" s="51" t="s">
        <v>19</v>
      </c>
    </row>
    <row r="18" spans="2:19" ht="15.75" customHeight="1" x14ac:dyDescent="0.35">
      <c r="B18" s="74" t="s">
        <v>20</v>
      </c>
      <c r="D18" s="74" t="s">
        <v>21</v>
      </c>
      <c r="G18" s="76"/>
      <c r="H18" s="76"/>
      <c r="I18" s="23">
        <v>608173</v>
      </c>
      <c r="J18" s="26">
        <v>0.18037545385036541</v>
      </c>
      <c r="N18" s="93" t="s">
        <v>20</v>
      </c>
      <c r="O18" s="94"/>
      <c r="P18" s="46">
        <f>(VLOOKUP($P$14,database!A:J,MATCH(Note!S18,database!$A$1:$J$1,),)-VLOOKUP($N$28,database!A:J,MATCH(Note!S18,database!$A$1:$J$1,),))/VLOOKUP($N$28,database!A:J,MATCH(Note!S18,database!$A$1:$J$1,),)</f>
        <v>-8.890165169821402E-3</v>
      </c>
      <c r="Q18" s="47">
        <f>(VLOOKUP($P$14,database!A:J,MATCH(Note!S18,database!$A$1:$J$1,),)-VLOOKUP($N$29,database!A:J,MATCH(Note!S18,database!$A$1:$J$1,),))/VLOOKUP($N$29,database!A:J,MATCH(Note!S18,database!$A$1:$J$1,),)</f>
        <v>5.753321089074271E-2</v>
      </c>
      <c r="S18" s="51" t="s">
        <v>22</v>
      </c>
    </row>
    <row r="19" spans="2:19" ht="15.75" customHeight="1" x14ac:dyDescent="0.35">
      <c r="B19" s="74" t="s">
        <v>23</v>
      </c>
      <c r="D19" s="74" t="s">
        <v>24</v>
      </c>
      <c r="G19" s="76"/>
      <c r="H19" s="76"/>
      <c r="I19" s="23">
        <v>315781</v>
      </c>
      <c r="J19" s="26">
        <v>9.3656149142303635E-2</v>
      </c>
      <c r="N19" s="93" t="s">
        <v>23</v>
      </c>
      <c r="O19" s="94"/>
      <c r="P19" s="46">
        <f>(VLOOKUP($P$14,database!A:J,MATCH(Note!S19,database!$A$1:$J$1,),)-VLOOKUP($N$28,database!A:J,MATCH(Note!S19,database!$A$1:$J$1,),))/VLOOKUP($N$28,database!A:J,MATCH(Note!S19,database!$A$1:$J$1,),)</f>
        <v>3.8081772144267403E-2</v>
      </c>
      <c r="Q19" s="47">
        <f>(VLOOKUP($P$14,database!A:J,MATCH(Note!S19,database!$A$1:$J$1,),)-VLOOKUP($N$29,database!A:J,MATCH(Note!S19,database!$A$1:$J$1,),))/VLOOKUP($N$29,database!A:J,MATCH(Note!S19,database!$A$1:$J$1,),)</f>
        <v>9.7382241704490377E-2</v>
      </c>
      <c r="S19" s="51" t="s">
        <v>25</v>
      </c>
    </row>
    <row r="20" spans="2:19" ht="15.75" customHeight="1" x14ac:dyDescent="0.35">
      <c r="B20" s="74" t="s">
        <v>15</v>
      </c>
      <c r="D20" s="74" t="s">
        <v>26</v>
      </c>
      <c r="G20" s="52"/>
      <c r="H20" s="52"/>
      <c r="I20" s="24">
        <v>3371706</v>
      </c>
      <c r="J20" s="27">
        <v>1</v>
      </c>
      <c r="N20" s="93" t="s">
        <v>27</v>
      </c>
      <c r="O20" s="94"/>
      <c r="P20" s="46">
        <f>(VLOOKUP($P$14,database!A:J,MATCH(Note!S20,database!$A$1:$J$1,),)-VLOOKUP($N$28,database!A:J,MATCH(Note!S20,database!$A$1:$J$1,),))/VLOOKUP($N$28,database!A:J,MATCH(Note!S20,database!$A$1:$J$1,),)</f>
        <v>-7.126131960864787E-3</v>
      </c>
      <c r="Q20" s="47">
        <f>(VLOOKUP($P$14,database!A:J,MATCH(Note!S20,database!$A$1:$J$1,),)-VLOOKUP($N$29,database!A:J,MATCH(Note!S20,database!$A$1:$J$1,),))/VLOOKUP($N$29,database!A:J,MATCH(Note!S20,database!$A$1:$J$1,),)</f>
        <v>1.7420296058638381E-2</v>
      </c>
      <c r="S20" s="74" t="s">
        <v>28</v>
      </c>
    </row>
    <row r="21" spans="2:19" ht="15.75" customHeight="1" x14ac:dyDescent="0.35">
      <c r="G21" s="80"/>
      <c r="H21" s="79"/>
      <c r="I21" s="79"/>
      <c r="J21" s="79"/>
      <c r="N21" s="93" t="s">
        <v>29</v>
      </c>
      <c r="O21" s="94"/>
      <c r="P21" s="46">
        <f>(VLOOKUP($P$14,database!A:J,MATCH(Note!S21,database!$A$1:$J$1,),)-VLOOKUP($N$28,database!A:J,MATCH(Note!S21,database!$A$1:$J$1,),))/VLOOKUP($N$28,database!A:J,MATCH(Note!S21,database!$A$1:$J$1,),)</f>
        <v>-7.3291826813134649E-4</v>
      </c>
      <c r="Q21" s="47">
        <f>(VLOOKUP($P$14,database!A:J,MATCH(Note!S21,database!$A$1:$J$1,),)-VLOOKUP($N$29,database!A:J,MATCH(Note!S21,database!$A$1:$J$1,),))/VLOOKUP($N$29,database!A:J,MATCH(Note!S21,database!$A$1:$J$1,),)</f>
        <v>1.7496872600865961E-2</v>
      </c>
      <c r="S21" s="74" t="s">
        <v>30</v>
      </c>
    </row>
    <row r="22" spans="2:19" ht="15.75" customHeight="1" x14ac:dyDescent="0.35">
      <c r="B22" s="1" t="s">
        <v>31</v>
      </c>
      <c r="I22" s="11"/>
      <c r="J22" s="12" t="s">
        <v>14</v>
      </c>
      <c r="N22" s="93" t="s">
        <v>32</v>
      </c>
      <c r="O22" s="94"/>
      <c r="P22" s="46">
        <f>(VLOOKUP($P$14,database!A:J,MATCH(Note!S22,database!$A$1:$J$1,),)-VLOOKUP($N$28,database!A:J,MATCH(Note!S22,database!$A$1:$J$1,),))/VLOOKUP($N$28,database!A:J,MATCH(Note!S22,database!$A$1:$J$1,),)</f>
        <v>-1.9749781440534984E-2</v>
      </c>
      <c r="Q22" s="47">
        <f>(VLOOKUP($P$14,database!A:J,MATCH(Note!S22,database!$A$1:$J$1,),)-VLOOKUP($N$29,database!A:J,MATCH(Note!S22,database!$A$1:$J$1,),))/VLOOKUP($N$29,database!A:J,MATCH(Note!S22,database!$A$1:$J$1,),)</f>
        <v>1.4996190197239538E-2</v>
      </c>
      <c r="S22" s="74" t="s">
        <v>33</v>
      </c>
    </row>
    <row r="23" spans="2:19" ht="17.25" customHeight="1" thickBot="1" x14ac:dyDescent="0.4">
      <c r="B23" s="74" t="s">
        <v>15</v>
      </c>
      <c r="D23" s="74" t="s">
        <v>26</v>
      </c>
      <c r="I23" s="11">
        <v>3371706</v>
      </c>
      <c r="J23" s="25">
        <v>1</v>
      </c>
      <c r="N23" s="95" t="s">
        <v>34</v>
      </c>
      <c r="O23" s="96"/>
      <c r="P23" s="48">
        <f>(VLOOKUP($P$14,database!A:J,MATCH(Note!S23,database!$A$1:$J$1,),)-VLOOKUP($N$28,database!A:J,MATCH(Note!S23,database!$A$1:$J$1,),))/VLOOKUP($N$28,database!A:J,MATCH(Note!S23,database!$A$1:$J$1,),)</f>
        <v>-1.3994570302491235E-2</v>
      </c>
      <c r="Q23" s="49">
        <f>(VLOOKUP($P$14,database!A:J,MATCH(Note!S23,database!$A$1:$J$1,),)-VLOOKUP($N$29,database!A:J,MATCH(Note!S23,database!$A$1:$J$1,),))/VLOOKUP($N$29,database!A:J,MATCH(Note!S23,database!$A$1:$J$1,),)</f>
        <v>-2.104143879079386E-2</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44866</v>
      </c>
    </row>
    <row r="29" spans="2:19" ht="15.75" customHeight="1" thickBot="1" x14ac:dyDescent="0.4">
      <c r="B29" s="79"/>
      <c r="C29" s="79"/>
      <c r="D29" s="79"/>
      <c r="E29" s="79"/>
      <c r="F29" s="79"/>
      <c r="G29" s="80" t="s">
        <v>41</v>
      </c>
      <c r="H29" s="79"/>
      <c r="I29" s="79"/>
      <c r="J29" s="79"/>
      <c r="N29" s="50">
        <f>DATE(YEAR($P$14)-1,MONTH($P$14),DAY($P$14))</f>
        <v>44531</v>
      </c>
    </row>
    <row r="30" spans="2:19" x14ac:dyDescent="0.35">
      <c r="G30" s="80" t="s">
        <v>42</v>
      </c>
      <c r="H30" s="79"/>
      <c r="I30" s="79"/>
      <c r="J30" s="79"/>
    </row>
    <row r="32" spans="2:19" x14ac:dyDescent="0.35">
      <c r="B32" s="1" t="s">
        <v>43</v>
      </c>
      <c r="D32" s="75" t="s">
        <v>44</v>
      </c>
    </row>
    <row r="34" spans="2:10" x14ac:dyDescent="0.35">
      <c r="B34" s="1"/>
    </row>
    <row r="35" spans="2:10" ht="33.75" customHeight="1" x14ac:dyDescent="0.35">
      <c r="B35" s="78"/>
      <c r="C35" s="79"/>
      <c r="D35" s="79"/>
      <c r="E35" s="79"/>
      <c r="F35" s="79"/>
      <c r="G35" s="79"/>
      <c r="H35" s="79"/>
      <c r="I35" s="79"/>
      <c r="J35" s="79"/>
    </row>
    <row r="36" spans="2:10" x14ac:dyDescent="0.35">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9"/>
  <sheetViews>
    <sheetView zoomScale="70" zoomScaleNormal="70" workbookViewId="0">
      <pane ySplit="1" topLeftCell="A1230" activePane="bottomLeft" state="frozen"/>
      <selection activeCell="K1265" sqref="K1265"/>
      <selection pane="bottomLeft" activeCell="K1265" sqref="K1265"/>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104.4824</v>
      </c>
      <c r="C1244">
        <v>104.45010000000001</v>
      </c>
      <c r="D1244">
        <v>97.495099999999994</v>
      </c>
      <c r="E1244">
        <v>104.4344</v>
      </c>
      <c r="F1244">
        <v>102.1307</v>
      </c>
      <c r="G1244">
        <v>105.0326</v>
      </c>
      <c r="H1244">
        <v>116.87730000000001</v>
      </c>
      <c r="I1244">
        <v>107.7486</v>
      </c>
      <c r="J1244">
        <v>80.021299999999997</v>
      </c>
      <c r="K1244">
        <v>238.43199999999999</v>
      </c>
    </row>
    <row r="1245" spans="1:11" x14ac:dyDescent="0.35">
      <c r="A1245" s="77">
        <v>44774</v>
      </c>
      <c r="B1245">
        <v>104.4696</v>
      </c>
      <c r="C1245">
        <v>104.1361</v>
      </c>
      <c r="D1245">
        <v>98.313599999999994</v>
      </c>
      <c r="E1245">
        <v>104.64360000000001</v>
      </c>
      <c r="F1245">
        <v>102.3092</v>
      </c>
      <c r="G1245">
        <v>104.7296</v>
      </c>
      <c r="H1245">
        <v>116.83580000000001</v>
      </c>
      <c r="I1245">
        <v>106.33369999999999</v>
      </c>
      <c r="J1245">
        <v>79.901700000000005</v>
      </c>
      <c r="K1245">
        <v>239.64400000000001</v>
      </c>
    </row>
    <row r="1246" spans="1:11" x14ac:dyDescent="0.35">
      <c r="A1246" s="77">
        <v>44805</v>
      </c>
      <c r="B1246">
        <v>104.8292</v>
      </c>
      <c r="C1246">
        <v>104.7329</v>
      </c>
      <c r="D1246">
        <v>98.992199999999997</v>
      </c>
      <c r="E1246">
        <v>104.29600000000001</v>
      </c>
      <c r="F1246">
        <v>102.5138</v>
      </c>
      <c r="G1246">
        <v>105.4392</v>
      </c>
      <c r="H1246">
        <v>119.1833</v>
      </c>
      <c r="I1246">
        <v>104.2016</v>
      </c>
      <c r="J1246">
        <v>80.075800000000001</v>
      </c>
      <c r="K1246">
        <v>240.32300000000001</v>
      </c>
    </row>
    <row r="1247" spans="1:11" x14ac:dyDescent="0.35">
      <c r="A1247" s="77">
        <v>44835</v>
      </c>
      <c r="B1247">
        <v>104.7972</v>
      </c>
      <c r="C1247">
        <v>104.5094</v>
      </c>
      <c r="D1247">
        <v>99.342799999999997</v>
      </c>
      <c r="E1247">
        <v>105.0504</v>
      </c>
      <c r="F1247">
        <v>102.84220000000001</v>
      </c>
      <c r="G1247">
        <v>104.94289999999999</v>
      </c>
      <c r="H1247">
        <v>119.1429</v>
      </c>
      <c r="I1247">
        <v>101.55329999999999</v>
      </c>
      <c r="J1247">
        <v>79.957999999999998</v>
      </c>
      <c r="K1247">
        <v>240.92400000000001</v>
      </c>
    </row>
    <row r="1248" spans="1:11" x14ac:dyDescent="0.35">
      <c r="A1248" s="77">
        <v>44866</v>
      </c>
      <c r="B1248">
        <v>104.1863</v>
      </c>
      <c r="C1248">
        <v>104.2047</v>
      </c>
      <c r="D1248">
        <v>97.570700000000002</v>
      </c>
      <c r="E1248">
        <v>104.5137</v>
      </c>
      <c r="F1248">
        <v>101.71420000000001</v>
      </c>
      <c r="G1248">
        <v>104.3764</v>
      </c>
      <c r="H1248">
        <v>117.70310000000001</v>
      </c>
      <c r="I1248">
        <v>106.1584</v>
      </c>
      <c r="J1248">
        <v>79.406300000000002</v>
      </c>
      <c r="K1248">
        <v>242.041</v>
      </c>
    </row>
    <row r="1249" spans="1:11" x14ac:dyDescent="0.35">
      <c r="A1249" s="77">
        <v>44896</v>
      </c>
      <c r="B1249">
        <v>103.4332</v>
      </c>
      <c r="C1249">
        <v>102.74639999999999</v>
      </c>
      <c r="D1249">
        <v>95.643699999999995</v>
      </c>
      <c r="E1249">
        <v>104.4371</v>
      </c>
      <c r="F1249">
        <v>100.3869</v>
      </c>
      <c r="G1249">
        <v>103.6326</v>
      </c>
      <c r="H1249">
        <v>116.6567</v>
      </c>
      <c r="I1249">
        <v>110.2011</v>
      </c>
      <c r="J1249">
        <v>78.753900000000002</v>
      </c>
      <c r="K1249">
        <v>242.80699999999999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4"/>
  <sheetViews>
    <sheetView zoomScale="130" zoomScaleNormal="130" workbookViewId="0">
      <pane ySplit="6" topLeftCell="A1247" activePane="bottomLeft" state="frozen"/>
      <selection pane="bottomLeft" activeCell="A1250" sqref="A1250:D1254"/>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40" width="9.1796875" style="74" customWidth="1"/>
    <col min="41"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AVERAGE(D20:D1255)</f>
        <v>3.5426666969568116E-2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254"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104.4824</v>
      </c>
      <c r="C1249" s="33">
        <f>(Table10[[#This Row],[Industrial Production ]]-B1237)/B1237</f>
        <v>3.5787787343217761E-2</v>
      </c>
      <c r="D1249" s="34">
        <f t="shared" si="19"/>
        <v>4.4855885504614744E-2</v>
      </c>
    </row>
    <row r="1250" spans="1:4" x14ac:dyDescent="0.35">
      <c r="A1250" s="31">
        <v>44774</v>
      </c>
      <c r="B1250" s="32">
        <f>VLOOKUP(Table10[[#This Row],[Month]],database!A:J,MATCH('IP from start'!$A$1,database!$A$1:$J$1,),)</f>
        <v>104.4696</v>
      </c>
      <c r="C1250" s="33">
        <f>(Table10[[#This Row],[Industrial Production ]]-B1238)/B1238</f>
        <v>3.6024475143052612E-2</v>
      </c>
      <c r="D1250" s="34">
        <f t="shared" si="19"/>
        <v>4.376596316030848E-2</v>
      </c>
    </row>
    <row r="1251" spans="1:4" x14ac:dyDescent="0.35">
      <c r="A1251" s="31">
        <v>44805</v>
      </c>
      <c r="B1251" s="32">
        <f>VLOOKUP(Table10[[#This Row],[Month]],database!A:J,MATCH('IP from start'!$A$1,database!$A$1:$J$1,),)</f>
        <v>104.8292</v>
      </c>
      <c r="C1251" s="33">
        <f>(Table10[[#This Row],[Industrial Production ]]-B1239)/B1239</f>
        <v>4.9868903092444836E-2</v>
      </c>
      <c r="D1251" s="34">
        <f t="shared" si="19"/>
        <v>4.4644011099009236E-2</v>
      </c>
    </row>
    <row r="1252" spans="1:4" x14ac:dyDescent="0.35">
      <c r="A1252" s="31">
        <v>44835</v>
      </c>
      <c r="B1252" s="32">
        <f>VLOOKUP(Table10[[#This Row],[Month]],database!A:J,MATCH('IP from start'!$A$1,database!$A$1:$J$1,),)</f>
        <v>104.7972</v>
      </c>
      <c r="C1252" s="33">
        <f>(Table10[[#This Row],[Industrial Production ]]-B1240)/B1240</f>
        <v>3.3908772871403148E-2</v>
      </c>
      <c r="D1252" s="34">
        <f t="shared" si="19"/>
        <v>4.3566480273011833E-2</v>
      </c>
    </row>
    <row r="1253" spans="1:4" x14ac:dyDescent="0.35">
      <c r="A1253" s="31">
        <v>44866</v>
      </c>
      <c r="B1253" s="32">
        <f>VLOOKUP(Table10[[#This Row],[Month]],database!A:J,MATCH('IP from start'!$A$1,database!$A$1:$J$1,),)</f>
        <v>104.1863</v>
      </c>
      <c r="C1253" s="33">
        <f>(Table10[[#This Row],[Industrial Production ]]-B1241)/B1241</f>
        <v>2.1825011524014126E-2</v>
      </c>
      <c r="D1253" s="34">
        <f t="shared" si="19"/>
        <v>4.1229903830237627E-2</v>
      </c>
    </row>
    <row r="1254" spans="1:4" x14ac:dyDescent="0.35">
      <c r="A1254" s="31">
        <v>44896</v>
      </c>
      <c r="B1254" s="32">
        <f>VLOOKUP(Table10[[#This Row],[Month]],database!A:J,MATCH('IP from start'!$A$1,database!$A$1:$J$1,),)</f>
        <v>103.4332</v>
      </c>
      <c r="C1254" s="33">
        <f>(Table10[[#This Row],[Industrial Production ]]-B1242)/B1242</f>
        <v>1.6455595442944875E-2</v>
      </c>
      <c r="D1254" s="34">
        <f t="shared" si="19"/>
        <v>3.9526706313797962E-2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8"/>
  <sheetViews>
    <sheetView zoomScale="120" zoomScaleNormal="120" workbookViewId="0">
      <pane ySplit="6" topLeftCell="A611" activePane="bottomLeft" state="frozen"/>
      <selection pane="bottomLeft" activeCell="A615" sqref="A615:D618"/>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104.4824</v>
      </c>
      <c r="C613" s="66">
        <f t="shared" si="9"/>
        <v>5.1565037365410848E-3</v>
      </c>
      <c r="D613" s="66">
        <f>(Table1[[#This Row],[Index]]-B601)/B601</f>
        <v>3.5787787343217761E-2</v>
      </c>
    </row>
    <row r="614" spans="1:4" x14ac:dyDescent="0.35">
      <c r="A614" s="17">
        <v>44774</v>
      </c>
      <c r="B614" s="58">
        <f>VLOOKUP(Table1[[#This Row],[Date]],database!A:B,2,)</f>
        <v>104.4696</v>
      </c>
      <c r="C614" s="66">
        <f t="shared" si="9"/>
        <v>-1.2250867131691212E-4</v>
      </c>
      <c r="D614" s="66">
        <f>(Table1[[#This Row],[Index]]-B602)/B602</f>
        <v>3.6024475143052612E-2</v>
      </c>
    </row>
    <row r="615" spans="1:4" x14ac:dyDescent="0.35">
      <c r="A615" s="17">
        <v>44805</v>
      </c>
      <c r="B615" s="58">
        <f>VLOOKUP(Table1[[#This Row],[Date]],database!A:B,2,)</f>
        <v>104.8292</v>
      </c>
      <c r="C615" s="66">
        <f t="shared" si="9"/>
        <v>3.4421496779923899E-3</v>
      </c>
      <c r="D615" s="66">
        <f>(Table1[[#This Row],[Index]]-B603)/B603</f>
        <v>4.9868903092444836E-2</v>
      </c>
    </row>
    <row r="616" spans="1:4" x14ac:dyDescent="0.35">
      <c r="A616" s="17">
        <v>44835</v>
      </c>
      <c r="B616" s="58">
        <f>VLOOKUP(Table1[[#This Row],[Date]],database!A:B,2,)</f>
        <v>104.7972</v>
      </c>
      <c r="C616" s="66">
        <f t="shared" si="9"/>
        <v>-3.052584585210294E-4</v>
      </c>
      <c r="D616" s="66">
        <f>(Table1[[#This Row],[Index]]-B604)/B604</f>
        <v>3.3908772871403148E-2</v>
      </c>
    </row>
    <row r="617" spans="1:4" x14ac:dyDescent="0.35">
      <c r="A617" s="17">
        <v>44866</v>
      </c>
      <c r="B617" s="58">
        <f>VLOOKUP(Table1[[#This Row],[Date]],database!A:B,2,)</f>
        <v>104.1863</v>
      </c>
      <c r="C617" s="66">
        <f t="shared" si="9"/>
        <v>-5.8293542193875725E-3</v>
      </c>
      <c r="D617" s="66">
        <f>(Table1[[#This Row],[Index]]-B605)/B605</f>
        <v>2.1825011524014126E-2</v>
      </c>
    </row>
    <row r="618" spans="1:4" x14ac:dyDescent="0.35">
      <c r="A618" s="17">
        <v>44896</v>
      </c>
      <c r="B618" s="58">
        <f>VLOOKUP(Table1[[#This Row],[Date]],database!A:B,2,)</f>
        <v>103.4332</v>
      </c>
      <c r="C618" s="66">
        <f t="shared" si="9"/>
        <v>-7.2283975916219712E-3</v>
      </c>
      <c r="D618" s="66">
        <f>(Table1[[#This Row],[Index]]-B606)/B606</f>
        <v>1.6455595442944875E-2</v>
      </c>
    </row>
  </sheetData>
  <conditionalFormatting sqref="D463:D618">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7"/>
  <sheetViews>
    <sheetView zoomScaleNormal="100" workbookViewId="0">
      <pane ySplit="5" topLeftCell="A664" activePane="bottomLeft" state="frozen"/>
      <selection activeCell="N1259" sqref="N1259"/>
      <selection pane="bottomLeft" activeCell="M682" sqref="M682"/>
    </sheetView>
  </sheetViews>
  <sheetFormatPr defaultColWidth="9.1796875" defaultRowHeight="14.5" x14ac:dyDescent="0.35"/>
  <cols>
    <col min="1" max="1" width="9.1796875" style="74" customWidth="1"/>
    <col min="2" max="2" width="18.36328125" style="12" customWidth="1"/>
    <col min="3" max="3" width="13.6328125" style="12" customWidth="1"/>
    <col min="4" max="23" width="9.1796875" style="74" customWidth="1"/>
    <col min="24"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80.021299999999997</v>
      </c>
      <c r="C672" s="68">
        <f>(VLOOKUP(A672,database!A:K,11,) - VLOOKUP(A660,database!A:K,11,))/VLOOKUP(A660,database!A:K,11,)</f>
        <v>8.8000292041415115E-2</v>
      </c>
    </row>
    <row r="673" spans="1:3" x14ac:dyDescent="0.35">
      <c r="A673" s="38">
        <v>44774</v>
      </c>
      <c r="B673" s="39">
        <f>VLOOKUP(Table8[[#This Row],[Month]],database!A:J,MATCH('Capacity Utilization'!$A$1,database!$A$1:$J$1,),)</f>
        <v>79.901700000000005</v>
      </c>
      <c r="C673" s="68">
        <f>(VLOOKUP(A673,database!A:K,11,) - VLOOKUP(A661,database!A:K,11,))/VLOOKUP(A661,database!A:K,11,)</f>
        <v>8.8514105842648627E-2</v>
      </c>
    </row>
    <row r="674" spans="1:3" x14ac:dyDescent="0.35">
      <c r="A674" s="38">
        <v>44805</v>
      </c>
      <c r="B674" s="39">
        <f>VLOOKUP(Table8[[#This Row],[Month]],database!A:J,MATCH('Capacity Utilization'!$A$1,database!$A$1:$J$1,),)</f>
        <v>80.075800000000001</v>
      </c>
      <c r="C674" s="68">
        <f>(VLOOKUP(A674,database!A:K,11,) - VLOOKUP(A662,database!A:K,11,))/VLOOKUP(A662,database!A:K,11,)</f>
        <v>8.4705446929895803E-2</v>
      </c>
    </row>
    <row r="675" spans="1:3" x14ac:dyDescent="0.35">
      <c r="A675" s="38">
        <v>44835</v>
      </c>
      <c r="B675" s="39">
        <f>VLOOKUP(Table8[[#This Row],[Month]],database!A:J,MATCH('Capacity Utilization'!$A$1,database!$A$1:$J$1,),)</f>
        <v>79.957999999999998</v>
      </c>
      <c r="C675" s="68">
        <f>(VLOOKUP(A675,database!A:K,11,) - VLOOKUP(A663,database!A:K,11,))/VLOOKUP(A663,database!A:K,11,)</f>
        <v>8.1501831501831531E-2</v>
      </c>
    </row>
    <row r="676" spans="1:3" x14ac:dyDescent="0.35">
      <c r="A676" s="38">
        <v>44866</v>
      </c>
      <c r="B676" s="39">
        <f>VLOOKUP(Table8[[#This Row],[Month]],database!A:J,MATCH('Capacity Utilization'!$A$1,database!$A$1:$J$1,),)</f>
        <v>79.406300000000002</v>
      </c>
      <c r="C676" s="68">
        <f>(VLOOKUP(A676,database!A:K,11,) - VLOOKUP(A664,database!A:K,11,))/VLOOKUP(A664,database!A:K,11,)</f>
        <v>8.0173691069101577E-2</v>
      </c>
    </row>
    <row r="677" spans="1:3" x14ac:dyDescent="0.35">
      <c r="A677" s="38">
        <v>44896</v>
      </c>
      <c r="B677" s="39">
        <f>VLOOKUP(Table8[[#This Row],[Month]],database!A:J,MATCH('Capacity Utilization'!$A$1,database!$A$1:$J$1,),)</f>
        <v>78.753900000000002</v>
      </c>
      <c r="C677" s="68">
        <f>(VLOOKUP(A677,database!A:K,11,) - VLOOKUP(A665,database!A:K,11,))/VLOOKUP(A665,database!A:K,11,)</f>
        <v>7.7533106117087261E-2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8"/>
  <sheetViews>
    <sheetView zoomScale="120" zoomScaleNormal="120" workbookViewId="0">
      <pane ySplit="6" topLeftCell="A611" activePane="bottomLeft" state="frozen"/>
      <selection activeCell="A572" sqref="A572:D575"/>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105.0326</v>
      </c>
      <c r="C613" s="66">
        <f t="shared" si="9"/>
        <v>5.9765191756233627E-3</v>
      </c>
      <c r="D613" s="66">
        <f>(Table17[[#This Row],[Index]]-B601)/B601</f>
        <v>3.9300065604007069E-2</v>
      </c>
    </row>
    <row r="614" spans="1:4" x14ac:dyDescent="0.35">
      <c r="A614" s="17">
        <v>44774</v>
      </c>
      <c r="B614" s="58">
        <f>VLOOKUP(Table17[[#This Row],[Date]],database!A:H,7,)</f>
        <v>104.7296</v>
      </c>
      <c r="C614" s="66">
        <f t="shared" si="9"/>
        <v>-2.8848186182194313E-3</v>
      </c>
      <c r="D614" s="66">
        <f>(Table17[[#This Row],[Index]]-B602)/B602</f>
        <v>3.7660286578829014E-2</v>
      </c>
    </row>
    <row r="615" spans="1:4" x14ac:dyDescent="0.35">
      <c r="A615" s="17">
        <v>44805</v>
      </c>
      <c r="B615" s="58">
        <f>VLOOKUP(Table17[[#This Row],[Date]],database!A:H,7,)</f>
        <v>105.4392</v>
      </c>
      <c r="C615" s="66">
        <f t="shared" si="9"/>
        <v>6.775543876802681E-3</v>
      </c>
      <c r="D615" s="66">
        <f>(Table17[[#This Row],[Index]]-B603)/B603</f>
        <v>6.0735196474920004E-2</v>
      </c>
    </row>
    <row r="616" spans="1:4" x14ac:dyDescent="0.35">
      <c r="A616" s="17">
        <v>44835</v>
      </c>
      <c r="B616" s="58">
        <f>VLOOKUP(Table17[[#This Row],[Date]],database!A:H,7,)</f>
        <v>104.94289999999999</v>
      </c>
      <c r="C616" s="66">
        <f t="shared" si="9"/>
        <v>-4.7069780499093827E-3</v>
      </c>
      <c r="D616" s="66">
        <f>(Table17[[#This Row],[Index]]-B604)/B604</f>
        <v>3.2769396859263139E-2</v>
      </c>
    </row>
    <row r="617" spans="1:4" x14ac:dyDescent="0.35">
      <c r="A617" s="17">
        <v>44866</v>
      </c>
      <c r="B617" s="58">
        <f>VLOOKUP(Table17[[#This Row],[Date]],database!A:H,7,)</f>
        <v>104.3764</v>
      </c>
      <c r="C617" s="66">
        <f t="shared" si="9"/>
        <v>-5.3981736734928232E-3</v>
      </c>
      <c r="D617" s="66">
        <f>(Table17[[#This Row],[Index]]-B605)/B605</f>
        <v>2.2550174088362823E-2</v>
      </c>
    </row>
    <row r="618" spans="1:4" x14ac:dyDescent="0.35">
      <c r="A618" s="17">
        <v>44896</v>
      </c>
      <c r="B618" s="58">
        <f>VLOOKUP(Table17[[#This Row],[Date]],database!A:H,7,)</f>
        <v>103.6326</v>
      </c>
      <c r="C618" s="66">
        <f t="shared" si="9"/>
        <v>-7.1261319608647566E-3</v>
      </c>
      <c r="D618" s="66">
        <f>(Table17[[#This Row],[Index]]-B606)/B606</f>
        <v>1.7420296058638381E-2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8"/>
  <sheetViews>
    <sheetView zoomScale="130" zoomScaleNormal="130" workbookViewId="0">
      <pane ySplit="6" topLeftCell="A608" activePane="bottomLeft" state="frozen"/>
      <selection activeCell="J582" sqref="J582"/>
      <selection pane="bottomLeft" activeCell="A613" sqref="A613: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5" width="9.1796875" style="74" customWidth="1"/>
    <col min="36"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104.4344</v>
      </c>
      <c r="C613" s="66">
        <f t="shared" si="9"/>
        <v>2.3562970719528398E-3</v>
      </c>
      <c r="D613" s="66">
        <f>(Table18[[#This Row],[Index]]-B601)/B601</f>
        <v>1.7066282308486339E-2</v>
      </c>
    </row>
    <row r="614" spans="1:4" x14ac:dyDescent="0.35">
      <c r="A614" s="17">
        <v>44774</v>
      </c>
      <c r="B614" s="58">
        <f>VLOOKUP(Table18[[#This Row],[Date]],database!A:G,5,)</f>
        <v>104.64360000000001</v>
      </c>
      <c r="C614" s="66">
        <f t="shared" si="9"/>
        <v>2.0031713688211106E-3</v>
      </c>
      <c r="D614" s="66">
        <f>(Table18[[#This Row],[Index]]-B602)/B602</f>
        <v>2.0676174702849603E-2</v>
      </c>
    </row>
    <row r="615" spans="1:4" x14ac:dyDescent="0.35">
      <c r="A615" s="17">
        <v>44805</v>
      </c>
      <c r="B615" s="58">
        <f>VLOOKUP(Table18[[#This Row],[Date]],database!A:G,5,)</f>
        <v>104.29600000000001</v>
      </c>
      <c r="C615" s="66">
        <f t="shared" si="9"/>
        <v>-3.3217511629951568E-3</v>
      </c>
      <c r="D615" s="66">
        <f>(Table18[[#This Row],[Index]]-B603)/B603</f>
        <v>2.6450569047440992E-2</v>
      </c>
    </row>
    <row r="616" spans="1:4" x14ac:dyDescent="0.35">
      <c r="A616" s="17">
        <v>44835</v>
      </c>
      <c r="B616" s="58">
        <f>VLOOKUP(Table18[[#This Row],[Date]],database!A:G,5,)</f>
        <v>105.0504</v>
      </c>
      <c r="C616" s="66">
        <f t="shared" si="9"/>
        <v>7.2332591853954131E-3</v>
      </c>
      <c r="D616" s="66">
        <f>(Table18[[#This Row],[Index]]-B604)/B604</f>
        <v>2.6226558310058861E-2</v>
      </c>
    </row>
    <row r="617" spans="1:4" x14ac:dyDescent="0.35">
      <c r="A617" s="17">
        <v>44866</v>
      </c>
      <c r="B617" s="58">
        <f>VLOOKUP(Table18[[#This Row],[Date]],database!A:G,5,)</f>
        <v>104.5137</v>
      </c>
      <c r="C617" s="66">
        <f t="shared" si="9"/>
        <v>-5.1089762628223623E-3</v>
      </c>
      <c r="D617" s="66">
        <f>(Table18[[#This Row],[Index]]-B605)/B605</f>
        <v>1.4921764159216051E-2</v>
      </c>
    </row>
    <row r="618" spans="1:4" x14ac:dyDescent="0.35">
      <c r="A618" s="17">
        <v>44896</v>
      </c>
      <c r="B618" s="58">
        <f>VLOOKUP(Table18[[#This Row],[Date]],database!A:G,5,)</f>
        <v>104.4371</v>
      </c>
      <c r="C618" s="66">
        <f t="shared" si="9"/>
        <v>-7.3291826813137728E-4</v>
      </c>
      <c r="D618" s="66">
        <f>(Table18[[#This Row],[Index]]-B606)/B606</f>
        <v>1.7496872600865961E-2</v>
      </c>
    </row>
  </sheetData>
  <conditionalFormatting sqref="D463:D618">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8"/>
  <sheetViews>
    <sheetView zoomScale="120" zoomScaleNormal="120" workbookViewId="0">
      <pane ySplit="6" topLeftCell="A609"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97.495099999999994</v>
      </c>
      <c r="C613" s="66">
        <f t="shared" si="9"/>
        <v>6.9238531077295828E-3</v>
      </c>
      <c r="D613" s="66">
        <f>(Table16[[#This Row],[Index]]-B601)/B601</f>
        <v>5.2133402112142554E-2</v>
      </c>
    </row>
    <row r="614" spans="1:4" x14ac:dyDescent="0.35">
      <c r="A614" s="17">
        <v>44774</v>
      </c>
      <c r="B614" s="58">
        <f>VLOOKUP(Table16[[#This Row],[Date]],database!A:H,4,)</f>
        <v>98.313599999999994</v>
      </c>
      <c r="C614" s="66">
        <f t="shared" si="9"/>
        <v>8.3952937121967164E-3</v>
      </c>
      <c r="D614" s="66">
        <f>(Table16[[#This Row],[Index]]-B602)/B602</f>
        <v>6.0595534248289472E-2</v>
      </c>
    </row>
    <row r="615" spans="1:4" x14ac:dyDescent="0.35">
      <c r="A615" s="17">
        <v>44805</v>
      </c>
      <c r="B615" s="58">
        <f>VLOOKUP(Table16[[#This Row],[Date]],database!A:H,4,)</f>
        <v>98.992199999999997</v>
      </c>
      <c r="C615" s="66">
        <f t="shared" si="9"/>
        <v>6.9024021091690368E-3</v>
      </c>
      <c r="D615" s="66">
        <f>(Table16[[#This Row],[Index]]-B603)/B603</f>
        <v>7.3278147310901029E-2</v>
      </c>
    </row>
    <row r="616" spans="1:4" x14ac:dyDescent="0.35">
      <c r="A616" s="17">
        <v>44835</v>
      </c>
      <c r="B616" s="58">
        <f>VLOOKUP(Table16[[#This Row],[Date]],database!A:H,4,)</f>
        <v>99.342799999999997</v>
      </c>
      <c r="C616" s="66">
        <f t="shared" si="9"/>
        <v>3.5416931839074017E-3</v>
      </c>
      <c r="D616" s="66">
        <f>(Table16[[#This Row],[Index]]-B604)/B604</f>
        <v>6.9282931134695178E-2</v>
      </c>
    </row>
    <row r="617" spans="1:4" x14ac:dyDescent="0.35">
      <c r="A617" s="17">
        <v>44866</v>
      </c>
      <c r="B617" s="58">
        <f>VLOOKUP(Table16[[#This Row],[Date]],database!A:H,4,)</f>
        <v>97.570700000000002</v>
      </c>
      <c r="C617" s="66">
        <f t="shared" si="9"/>
        <v>-1.7838232866397963E-2</v>
      </c>
      <c r="D617" s="66">
        <f>(Table16[[#This Row],[Index]]-B605)/B605</f>
        <v>4.4479722872839272E-2</v>
      </c>
    </row>
    <row r="618" spans="1:4" x14ac:dyDescent="0.35">
      <c r="A618" s="17">
        <v>44896</v>
      </c>
      <c r="B618" s="58">
        <f>VLOOKUP(Table16[[#This Row],[Date]],database!A:H,4,)</f>
        <v>95.643699999999995</v>
      </c>
      <c r="C618" s="66">
        <f t="shared" si="9"/>
        <v>-1.9749781440534964E-2</v>
      </c>
      <c r="D618" s="66">
        <f>(Table16[[#This Row],[Index]]-B606)/B606</f>
        <v>1.4996190197239538E-2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8"/>
  <sheetViews>
    <sheetView zoomScale="120" zoomScaleNormal="120" workbookViewId="0">
      <pane ySplit="6" topLeftCell="A609" activePane="bottomLeft" state="frozen"/>
      <selection pane="bottomLeft" activeCell="A610" sqref="A610: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104.45010000000001</v>
      </c>
      <c r="C613" s="66">
        <f t="shared" si="9"/>
        <v>5.6584481005639287E-3</v>
      </c>
      <c r="D613" s="66">
        <f>(Table110[[#This Row],[Index]]-B601)/B601</f>
        <v>4.2043860576760086E-2</v>
      </c>
    </row>
    <row r="614" spans="1:4" x14ac:dyDescent="0.35">
      <c r="A614" s="17">
        <v>44774</v>
      </c>
      <c r="B614" s="58">
        <f>VLOOKUP(Table110[[#This Row],[Date]],database!A:H,3,)</f>
        <v>104.1361</v>
      </c>
      <c r="C614" s="66">
        <f t="shared" si="9"/>
        <v>-3.0062201950979972E-3</v>
      </c>
      <c r="D614" s="66">
        <f>(Table110[[#This Row],[Index]]-B602)/B602</f>
        <v>3.4991661316259789E-2</v>
      </c>
    </row>
    <row r="615" spans="1:4" x14ac:dyDescent="0.35">
      <c r="A615" s="17">
        <v>44805</v>
      </c>
      <c r="B615" s="58">
        <f>VLOOKUP(Table110[[#This Row],[Date]],database!A:H,3,)</f>
        <v>104.7329</v>
      </c>
      <c r="C615" s="66">
        <f t="shared" si="9"/>
        <v>5.7309616933993723E-3</v>
      </c>
      <c r="D615" s="66">
        <f>(Table110[[#This Row],[Index]]-B603)/B603</f>
        <v>2.7468042733952633E-2</v>
      </c>
    </row>
    <row r="616" spans="1:4" x14ac:dyDescent="0.35">
      <c r="A616" s="17">
        <v>44835</v>
      </c>
      <c r="B616" s="58">
        <f>VLOOKUP(Table110[[#This Row],[Date]],database!A:H,3,)</f>
        <v>104.5094</v>
      </c>
      <c r="C616" s="66">
        <f t="shared" si="9"/>
        <v>-2.13399991788632E-3</v>
      </c>
      <c r="D616" s="66">
        <f>(Table110[[#This Row],[Index]]-B604)/B604</f>
        <v>1.1803636743853731E-2</v>
      </c>
    </row>
    <row r="617" spans="1:4" x14ac:dyDescent="0.35">
      <c r="A617" s="17">
        <v>44866</v>
      </c>
      <c r="B617" s="58">
        <f>VLOOKUP(Table110[[#This Row],[Date]],database!A:H,3,)</f>
        <v>104.2047</v>
      </c>
      <c r="C617" s="66">
        <f t="shared" si="9"/>
        <v>-2.9155272157336265E-3</v>
      </c>
      <c r="D617" s="66">
        <f>(Table110[[#This Row],[Index]]-B605)/B605</f>
        <v>-5.9298095993085779E-3</v>
      </c>
    </row>
    <row r="618" spans="1:4" x14ac:dyDescent="0.35">
      <c r="A618" s="17">
        <v>44896</v>
      </c>
      <c r="B618" s="58">
        <f>VLOOKUP(Table110[[#This Row],[Date]],database!A:H,3,)</f>
        <v>102.74639999999999</v>
      </c>
      <c r="C618" s="66">
        <f t="shared" si="9"/>
        <v>-1.3994570302491183E-2</v>
      </c>
      <c r="D618" s="66">
        <f>(Table110[[#This Row],[Index]]-B606)/B606</f>
        <v>-2.104143879079386E-2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8"/>
  <sheetViews>
    <sheetView zoomScale="120" zoomScaleNormal="120" workbookViewId="0">
      <pane ySplit="6" topLeftCell="A611" activePane="bottomLeft" state="frozen"/>
      <selection activeCell="J582" sqref="J582"/>
      <selection pane="bottomLeft" activeCell="A612" sqref="A612: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102.1307</v>
      </c>
      <c r="C613" s="66">
        <f t="shared" si="9"/>
        <v>4.1046786454461692E-3</v>
      </c>
      <c r="D613" s="66">
        <f>(Table13[[#This Row],[Index]]-B601)/B601</f>
        <v>2.4610343748244404E-2</v>
      </c>
    </row>
    <row r="614" spans="1:4" x14ac:dyDescent="0.35">
      <c r="A614" s="17">
        <v>44774</v>
      </c>
      <c r="B614" s="58">
        <f>VLOOKUP(Table13[[#This Row],[Date]],database!A:F,6,)</f>
        <v>102.3092</v>
      </c>
      <c r="C614" s="66">
        <f t="shared" si="9"/>
        <v>1.7477604677142988E-3</v>
      </c>
      <c r="D614" s="66">
        <f>(Table13[[#This Row],[Index]]-B602)/B602</f>
        <v>2.9757621081259046E-2</v>
      </c>
    </row>
    <row r="615" spans="1:4" x14ac:dyDescent="0.35">
      <c r="A615" s="17">
        <v>44805</v>
      </c>
      <c r="B615" s="58">
        <f>VLOOKUP(Table13[[#This Row],[Date]],database!A:F,6,)</f>
        <v>102.5138</v>
      </c>
      <c r="C615" s="66">
        <f t="shared" si="9"/>
        <v>1.9998201530262438E-3</v>
      </c>
      <c r="D615" s="66">
        <f>(Table13[[#This Row],[Index]]-B603)/B603</f>
        <v>3.9921524390738754E-2</v>
      </c>
    </row>
    <row r="616" spans="1:4" x14ac:dyDescent="0.35">
      <c r="A616" s="17">
        <v>44835</v>
      </c>
      <c r="B616" s="58">
        <f>VLOOKUP(Table13[[#This Row],[Date]],database!A:F,6,)</f>
        <v>102.84220000000001</v>
      </c>
      <c r="C616" s="66">
        <f t="shared" si="9"/>
        <v>3.2034711424218099E-3</v>
      </c>
      <c r="D616" s="66">
        <f>(Table13[[#This Row],[Index]]-B604)/B604</f>
        <v>2.5846100441790781E-2</v>
      </c>
    </row>
    <row r="617" spans="1:4" x14ac:dyDescent="0.35">
      <c r="A617" s="17">
        <v>44866</v>
      </c>
      <c r="B617" s="58">
        <f>VLOOKUP(Table13[[#This Row],[Date]],database!A:F,6,)</f>
        <v>101.71420000000001</v>
      </c>
      <c r="C617" s="66">
        <f t="shared" si="9"/>
        <v>-1.096826011112173E-2</v>
      </c>
      <c r="D617" s="66">
        <f>(Table13[[#This Row],[Index]]-B605)/B605</f>
        <v>8.7782197798057151E-3</v>
      </c>
    </row>
    <row r="618" spans="1:4" x14ac:dyDescent="0.35">
      <c r="A618" s="17">
        <v>44896</v>
      </c>
      <c r="B618" s="58">
        <f>VLOOKUP(Table13[[#This Row],[Date]],database!A:F,6,)</f>
        <v>100.3869</v>
      </c>
      <c r="C618" s="66">
        <f t="shared" si="9"/>
        <v>-1.3049308749417565E-2</v>
      </c>
      <c r="D618" s="66">
        <f>(Table13[[#This Row],[Index]]-B606)/B606</f>
        <v>-4.0745017738518137E-3</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8"/>
  <sheetViews>
    <sheetView zoomScale="120" zoomScaleNormal="120" workbookViewId="0">
      <pane ySplit="6" topLeftCell="A611" activePane="bottomLeft" state="frozen"/>
      <selection activeCell="J582" sqref="J582"/>
      <selection pane="bottomLeft" activeCell="A611" sqref="A611:D618"/>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116.87730000000001</v>
      </c>
      <c r="C613" s="66">
        <f t="shared" si="9"/>
        <v>1.2916544252423945E-2</v>
      </c>
      <c r="D613" s="66">
        <f>(Table134[[#This Row],[Index]]-B601)/B601</f>
        <v>8.6143543764566816E-2</v>
      </c>
    </row>
    <row r="614" spans="1:4" x14ac:dyDescent="0.35">
      <c r="A614" s="17">
        <v>44774</v>
      </c>
      <c r="B614" s="58">
        <f>VLOOKUP(Table134[[#This Row],[Date]],database!A:I,8,)</f>
        <v>116.83580000000001</v>
      </c>
      <c r="C614" s="66">
        <f t="shared" si="9"/>
        <v>-3.5507322636640914E-4</v>
      </c>
      <c r="D614" s="66">
        <f>(Table134[[#This Row],[Index]]-B602)/B602</f>
        <v>8.628382555982736E-2</v>
      </c>
    </row>
    <row r="615" spans="1:4" x14ac:dyDescent="0.35">
      <c r="A615" s="17">
        <v>44805</v>
      </c>
      <c r="B615" s="58">
        <f>VLOOKUP(Table134[[#This Row],[Date]],database!A:I,8,)</f>
        <v>119.1833</v>
      </c>
      <c r="C615" s="66">
        <f t="shared" si="9"/>
        <v>2.0092300476395097E-2</v>
      </c>
      <c r="D615" s="66">
        <f>(Table134[[#This Row],[Index]]-B603)/B603</f>
        <v>0.1256163660352447</v>
      </c>
    </row>
    <row r="616" spans="1:4" x14ac:dyDescent="0.35">
      <c r="A616" s="17">
        <v>44835</v>
      </c>
      <c r="B616" s="58">
        <f>VLOOKUP(Table134[[#This Row],[Date]],database!A:I,8,)</f>
        <v>119.1429</v>
      </c>
      <c r="C616" s="66">
        <f t="shared" si="9"/>
        <v>-3.3897366493462755E-4</v>
      </c>
      <c r="D616" s="66">
        <f>(Table134[[#This Row],[Index]]-B604)/B604</f>
        <v>8.5145508331936806E-2</v>
      </c>
    </row>
    <row r="617" spans="1:4" x14ac:dyDescent="0.35">
      <c r="A617" s="17">
        <v>44866</v>
      </c>
      <c r="B617" s="58">
        <f>VLOOKUP(Table134[[#This Row],[Date]],database!A:I,8,)</f>
        <v>117.70310000000001</v>
      </c>
      <c r="C617" s="66">
        <f t="shared" si="9"/>
        <v>-1.2084647931181691E-2</v>
      </c>
      <c r="D617" s="66">
        <f>(Table134[[#This Row],[Index]]-B605)/B605</f>
        <v>6.8455609425763383E-2</v>
      </c>
    </row>
    <row r="618" spans="1:4" x14ac:dyDescent="0.35">
      <c r="A618" s="17">
        <v>44896</v>
      </c>
      <c r="B618" s="58">
        <f>VLOOKUP(Table134[[#This Row],[Date]],database!A:I,8,)</f>
        <v>116.6567</v>
      </c>
      <c r="C618" s="66">
        <f t="shared" si="9"/>
        <v>-8.8901651698214401E-3</v>
      </c>
      <c r="D618" s="66">
        <f>(Table134[[#This Row],[Index]]-B606)/B606</f>
        <v>5.753321089074271E-2</v>
      </c>
    </row>
  </sheetData>
  <conditionalFormatting sqref="D463:D618">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8"/>
  <sheetViews>
    <sheetView zoomScale="120" zoomScaleNormal="120" workbookViewId="0">
      <pane ySplit="6" topLeftCell="A607" activePane="bottomLeft" state="frozen"/>
      <selection activeCell="N1259" sqref="N1259"/>
      <selection pane="bottomLeft" activeCell="F620" sqref="F62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5" width="9.1796875" style="74" customWidth="1"/>
    <col min="26"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106.33369999999999</v>
      </c>
      <c r="C614" s="66">
        <f t="shared" si="9"/>
        <v>-1.3131493123808569E-2</v>
      </c>
      <c r="D614" s="66">
        <f>(Table1345[[#This Row],[Index]]-B602)/B602</f>
        <v>1.0284918366726422E-2</v>
      </c>
    </row>
    <row r="615" spans="1:4" x14ac:dyDescent="0.35">
      <c r="A615" s="17">
        <v>44805</v>
      </c>
      <c r="B615" s="58">
        <f>VLOOKUP(Table1345[[#This Row],[Date]],database!A:I,9,)</f>
        <v>104.2016</v>
      </c>
      <c r="C615" s="66">
        <f t="shared" si="9"/>
        <v>-2.0051028037207375E-2</v>
      </c>
      <c r="D615" s="66">
        <f>(Table1345[[#This Row],[Index]]-B603)/B603</f>
        <v>8.4761018061316543E-3</v>
      </c>
    </row>
    <row r="616" spans="1:4" x14ac:dyDescent="0.35">
      <c r="A616" s="17">
        <v>44835</v>
      </c>
      <c r="B616" s="58">
        <f>VLOOKUP(Table1345[[#This Row],[Date]],database!A:I,9,)</f>
        <v>101.55329999999999</v>
      </c>
      <c r="C616" s="66">
        <f t="shared" si="9"/>
        <v>-2.5415156773024639E-2</v>
      </c>
      <c r="D616" s="66">
        <f>(Table1345[[#This Row],[Index]]-B604)/B604</f>
        <v>1.1187925484194379E-2</v>
      </c>
    </row>
    <row r="617" spans="1:4" x14ac:dyDescent="0.35">
      <c r="A617" s="17">
        <v>44866</v>
      </c>
      <c r="B617" s="58">
        <f>VLOOKUP(Table1345[[#This Row],[Date]],database!A:I,9,)</f>
        <v>106.1584</v>
      </c>
      <c r="C617" s="66">
        <f t="shared" si="9"/>
        <v>4.5346630784031783E-2</v>
      </c>
      <c r="D617" s="66">
        <f>(Table1345[[#This Row],[Index]]-B605)/B605</f>
        <v>4.2075308156011286E-2</v>
      </c>
    </row>
    <row r="618" spans="1:4" x14ac:dyDescent="0.35">
      <c r="A618" s="17">
        <v>44896</v>
      </c>
      <c r="B618" s="58">
        <f>VLOOKUP(Table1345[[#This Row],[Date]],database!A:I,9,)</f>
        <v>110.2011</v>
      </c>
      <c r="C618" s="66">
        <f t="shared" si="9"/>
        <v>3.8081772144267445E-2</v>
      </c>
      <c r="D618" s="66">
        <f>(Table1345[[#This Row],[Index]]-B606)/B606</f>
        <v>9.7382241704490377E-2</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2023-01-19T03:43:51Z</dcterms:modified>
</cp:coreProperties>
</file>