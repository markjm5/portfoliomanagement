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CPI'!$A$450:$A$671</f>
              <numCache>
                <formatCode>[$-409]mmm\-yy;@</formatCode>
                <ptCount val="22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CPI'!$D$450:$D$671</f>
              <numCache>
                <formatCode>0.00%</formatCode>
                <ptCount val="222"/>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CPI'!$A$450:$A$671</f>
              <numCache>
                <formatCode>[$-409]mmm\-yy;@</formatCode>
                <ptCount val="22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CPI'!$F$450:$F$671</f>
              <numCache>
                <formatCode>0%</formatCode>
                <ptCount val="222"/>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CPI!$A$5:$A$1032</f>
              <numCache>
                <formatCode>[$-409]mmm\-yy;@</formatCode>
                <ptCount val="1028"/>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numCache>
            </numRef>
          </cat>
          <val>
            <numRef>
              <f>CPI!$D$5:$D$1032</f>
              <numCache>
                <formatCode>0.00%</formatCode>
                <ptCount val="1028"/>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CPI!$A$17:$A$913</f>
              <numCache>
                <formatCode>[$-409]mmm\-yy;@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CPI!$D$17:$D$913</f>
              <numCache>
                <formatCode>0.00%</formatCode>
                <ptCount val="897"/>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CPI!$A$641:$A$913</f>
              <numCache>
                <formatCode>[$-409]mmm\-yy;@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CPI!$D$641:$D$913</f>
              <numCache>
                <formatCode>0.00%</formatCode>
                <ptCount val="273"/>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CPI!$A$809:$A$913</f>
              <numCache>
                <formatCode>[$-409]mmm\-yy;@</formatCode>
                <ptCount val="10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CPI!$D$809:$D$913</f>
              <numCache>
                <formatCode>0.00%</formatCode>
                <ptCount val="105"/>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CPI!$A$293:$A$924</f>
              <numCache>
                <formatCode>[$-409]mmm\-yy;@</formatCode>
                <ptCount val="632"/>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CPI!$D$293:$D$924</f>
              <numCache>
                <formatCode>0.00%</formatCode>
                <ptCount val="632"/>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CPI!$A$293:$A$906</f>
              <numCache>
                <formatCode>[$-409]mmm\-yy;@</formatCode>
                <ptCount val="61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CPI!$E$293:$E$906</f>
              <numCache>
                <formatCode>0.00</formatCode>
                <ptCount val="61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Food'!$A$17:$A$903</f>
              <numCache>
                <formatCode>[$-409]mmm\-yy;@</formatCode>
                <ptCount val="88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numCache>
            </numRef>
          </cat>
          <val>
            <numRef>
              <f>'CPI Food'!$D$17:$D$903</f>
              <numCache>
                <formatCode>0.00%</formatCode>
                <ptCount val="887"/>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Food'!$A$401:$A$903</f>
              <numCache>
                <formatCode>[$-409]mmm\-yy;@</formatCode>
                <ptCount val="50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'CPI Food'!$D$401:$D$903</f>
              <numCache>
                <formatCode>0.00%</formatCode>
                <ptCount val="503"/>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'CPI Food'!$D$569:$D$903</f>
              <numCache>
                <formatCode>0.00%</formatCode>
                <ptCount val="335"/>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Energy'!$A$17:$A$903</f>
              <numCache>
                <formatCode>[$-409]mmm\-yy;@</formatCode>
                <ptCount val="88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numCache>
            </numRef>
          </cat>
          <val>
            <numRef>
              <f>'CPI Energy'!$D$17:$D$903</f>
              <numCache>
                <formatCode>0.00%</formatCode>
                <ptCount val="887"/>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Energy'!$A$401:$A$903</f>
              <numCache>
                <formatCode>[$-409]mmm\-yy;@</formatCode>
                <ptCount val="50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'CPI Energy'!$D$401:$D$903</f>
              <numCache>
                <formatCode>0.00%</formatCode>
                <ptCount val="503"/>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'CPI Energy'!$D$569:$D$903</f>
              <numCache>
                <formatCode>0.00%</formatCode>
                <ptCount val="335"/>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'Core CPI'!$D$53:$D$667</f>
              <numCache>
                <formatCode>0.00%</formatCode>
                <ptCount val="615"/>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'Core CPI'!$E$53:$E$667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CPI'!$A$450:$A$667</f>
              <numCache>
                <formatCode>[$-409]mmm\-yy;@</formatCode>
                <ptCount val="21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CPI'!$D$450:$D$667</f>
              <numCache>
                <formatCode>0.00%</formatCode>
                <ptCount val="218"/>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CPI'!$A$450:$A$667</f>
              <numCache>
                <formatCode>[$-409]mmm\-yy;@</formatCode>
                <ptCount val="21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numCache>
            </numRef>
          </cat>
          <val>
            <numRef>
              <f>'Core CPI'!$F$450:$F$667</f>
              <numCache>
                <formatCode>0%</formatCode>
                <ptCount val="218"/>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CPI'!$A$17:$A$903</f>
              <numCache>
                <formatCode>[$-409]mmm\-yy;@</formatCode>
                <ptCount val="88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numCache>
            </numRef>
          </cat>
          <val>
            <numRef>
              <f>'Core CPI'!$D$17:$D$903</f>
              <numCache>
                <formatCode>0.00%</formatCode>
                <ptCount val="887"/>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CPI'!$A$401:$A$903</f>
              <numCache>
                <formatCode>[$-409]mmm\-yy;@</formatCode>
                <ptCount val="50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'Core CPI'!$D$401:$D$903</f>
              <numCache>
                <formatCode>0.00%</formatCode>
                <ptCount val="503"/>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'Core CPI'!$D$569:$D$903</f>
              <numCache>
                <formatCode>0.00%</formatCode>
                <ptCount val="335"/>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CPI'!$A$449:$A$667</f>
              <numCache>
                <formatCode>[$-409]mmm\-yy;@</formatCode>
                <ptCount val="21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numCache>
            </numRef>
          </cat>
          <val>
            <numRef>
              <f>'Core CPI'!$C$449:$C$667</f>
              <numCache>
                <formatCode>0.00%</formatCode>
                <ptCount val="21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CPI'!$A$449:$A$667</f>
              <numCache>
                <formatCode>[$-409]mmm\-yy;@</formatCode>
                <ptCount val="21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numCache>
            </numRef>
          </cat>
          <val>
            <numRef>
              <f>'Core CPI'!$C$449:$C$667</f>
              <numCache>
                <formatCode>0.00%</formatCode>
                <ptCount val="21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CPI'!$A$569:$A$903</f>
              <numCache>
                <formatCode>[$-409]mmm\-yy;@</formatCode>
                <ptCount val="33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numCache>
            </numRef>
          </cat>
          <val>
            <numRef>
              <f>'Core CPI'!$D$569:$D$903</f>
              <numCache>
                <formatCode>0.00%</formatCode>
                <ptCount val="335"/>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CPI'!$A$449:$A$677</f>
              <numCache>
                <formatCode>[$-409]mmm\-yy;@</formatCode>
                <ptCount val="22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numCache>
            </numRef>
          </cat>
          <val>
            <numRef>
              <f>'Core CPI'!$C$449:$C$677</f>
              <numCache>
                <formatCode>0.00%</formatCode>
                <ptCount val="22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5" headerRowCount="1" totalsRowShown="0" headerRowDxfId="35" dataDxfId="33" headerRowBorderDxfId="34">
  <autoFilter ref="A4:F905"/>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 New'!$A:$C,2,FALSE)</calculatedColumnFormula>
    </tableColumn>
    <tableColumn id="6"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5" headerRowCount="1" totalsRowShown="0" headerRowDxfId="26" dataDxfId="24" headerRowBorderDxfId="25" tableBorderDxfId="23">
  <autoFilter ref="A4:D665"/>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5" headerRowCount="1" totalsRowShown="0" headerRowDxfId="18" dataDxfId="16" headerRowBorderDxfId="17" tableBorderDxfId="15">
  <autoFilter ref="A4:D665"/>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5" headerRowCount="1" totalsRowShown="0" headerRowDxfId="10" dataDxfId="8" headerRowBorderDxfId="9">
  <autoFilter ref="A4:F665"/>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 New'!$A:$C,2,FALSE)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tabSelected="1" zoomScale="130" zoomScaleNormal="130" workbookViewId="0">
      <selection activeCell="N27" sqref="N27"/>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26"/>
    <col width="9.1640625" customWidth="1" style="85" min="27"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44531</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3"/>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row r="903">
      <c r="A903" s="96" t="n">
        <v>44593</v>
      </c>
      <c r="B903" t="n">
        <v>284.182</v>
      </c>
      <c r="C903" t="n">
        <v>275.17</v>
      </c>
      <c r="D903" t="n">
        <v>291.325</v>
      </c>
      <c r="E903" t="n">
        <v>287.878</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3"/>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3"/>
    <col width="9.1640625" customWidth="1" style="85" min="14"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2"/>
  <sheetViews>
    <sheetView zoomScale="130" zoomScaleNormal="130" workbookViewId="0">
      <pane ySplit="4" topLeftCell="A883" activePane="bottomLeft" state="frozen"/>
      <selection pane="bottomLeft" activeCell="H905" sqref="H905"/>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85">
      <c r="A906" s="2" t="n"/>
      <c r="B906" s="64" t="n"/>
      <c r="C906" s="2" t="n"/>
      <c r="D906" s="2" t="n"/>
      <c r="E906" s="5" t="n"/>
      <c r="F906" s="5" t="n"/>
    </row>
    <row r="907" customFormat="1" s="85">
      <c r="A907" s="2" t="n"/>
      <c r="B907" s="64" t="n"/>
      <c r="C907" s="2" t="n"/>
      <c r="D907" s="2" t="n"/>
      <c r="E907" s="5" t="n"/>
      <c r="F907" s="5" t="n"/>
    </row>
    <row r="908" customFormat="1" s="85">
      <c r="A908" s="2" t="n"/>
      <c r="B908" s="64" t="n"/>
      <c r="C908" s="2" t="n"/>
      <c r="D908" s="2" t="n"/>
      <c r="E908" s="5" t="n"/>
      <c r="F908" s="5" t="n"/>
    </row>
    <row r="909" customFormat="1" s="85">
      <c r="A909" s="2" t="n"/>
      <c r="B909" s="64" t="n"/>
      <c r="C909" s="2" t="n"/>
      <c r="D909" s="2" t="n"/>
      <c r="E909" s="5" t="n"/>
      <c r="F909" s="5" t="n"/>
    </row>
    <row r="910" customFormat="1" s="85">
      <c r="A910" s="2" t="n"/>
      <c r="B910" s="64" t="n"/>
      <c r="C910" s="2" t="n"/>
      <c r="D910" s="2" t="n"/>
      <c r="E910" s="5" t="n"/>
      <c r="F910" s="5" t="n"/>
    </row>
    <row r="911" customFormat="1" s="85">
      <c r="A911" s="2" t="n"/>
      <c r="B911" s="64" t="n"/>
      <c r="C911" s="2" t="n"/>
      <c r="D911" s="2" t="n"/>
      <c r="E911" s="5" t="n"/>
      <c r="F911" s="5" t="n"/>
    </row>
    <row r="912" customFormat="1" s="85">
      <c r="A912" s="2" t="n"/>
      <c r="B912" s="64" t="n"/>
      <c r="C912" s="2" t="n"/>
      <c r="D912" s="2" t="n"/>
      <c r="E912" s="5" t="n"/>
      <c r="F912" s="5" t="n"/>
    </row>
    <row r="913" customFormat="1" s="85">
      <c r="A913" s="2" t="n"/>
      <c r="B913" s="64" t="n"/>
      <c r="C913" s="2" t="n"/>
      <c r="D913" s="2" t="n"/>
      <c r="E913" s="5" t="n"/>
      <c r="F913" s="5" t="n"/>
    </row>
    <row r="914" customFormat="1" s="85">
      <c r="A914" s="2" t="n"/>
      <c r="B914" s="64" t="n"/>
      <c r="C914" s="2" t="n"/>
      <c r="D914" s="2" t="n"/>
      <c r="E914" s="5" t="n"/>
      <c r="F914" s="5" t="n"/>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sheetData>
  <conditionalFormatting sqref="D761:D905">
    <cfRule type="colorScale" priority="43">
      <colorScale>
        <cfvo type="min"/>
        <cfvo type="percentile" val="50"/>
        <cfvo type="max"/>
        <color rgb="FFF8696B"/>
        <color rgb="FFFFEB84"/>
        <color rgb="FF63BE7B"/>
      </colorScale>
    </cfRule>
  </conditionalFormatting>
  <conditionalFormatting sqref="C761:C905">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7"/>
  <sheetViews>
    <sheetView zoomScale="120" zoomScaleNormal="120" workbookViewId="0">
      <pane ySplit="4" topLeftCell="A631" activePane="bottomLeft" state="frozen"/>
      <selection activeCell="N27" sqref="N27"/>
      <selection pane="bottomLeft" activeCell="E674" sqref="E674"/>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61" t="n">
        <v>44562</v>
      </c>
      <c r="B665" s="68">
        <f>VLOOKUP(Table3[[#This Row],[Date]],Database!A:E,4,)</f>
        <v/>
      </c>
      <c r="C665" s="14">
        <f>(B665-B664)/B664</f>
        <v/>
      </c>
      <c r="D665" s="14">
        <f>(B665-B653)/B653</f>
        <v/>
      </c>
    </row>
    <row r="666" customFormat="1" s="85">
      <c r="A666" s="2" t="n"/>
      <c r="B666" s="64" t="n"/>
      <c r="C666" s="2" t="n"/>
      <c r="D666" s="2" t="n"/>
    </row>
    <row r="667" customFormat="1" s="85">
      <c r="A667" s="2" t="n"/>
      <c r="B667" s="64" t="n"/>
      <c r="C667" s="2" t="n"/>
      <c r="D667" s="2" t="n"/>
    </row>
    <row r="668" customFormat="1" s="85">
      <c r="A668" s="2" t="n"/>
      <c r="B668" s="64" t="n"/>
      <c r="C668" s="2" t="n"/>
      <c r="D668" s="2" t="n"/>
    </row>
    <row r="669" customFormat="1" s="85">
      <c r="A669" s="2" t="n"/>
      <c r="B669" s="64" t="n"/>
      <c r="C669" s="2" t="n"/>
      <c r="D669" s="2" t="n"/>
    </row>
    <row r="670" customFormat="1" s="85">
      <c r="A670" s="2" t="n"/>
      <c r="B670" s="64" t="n"/>
      <c r="C670" s="2" t="n"/>
      <c r="D670" s="2" t="n"/>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sheetData>
  <conditionalFormatting sqref="D521:D665">
    <cfRule type="colorScale" priority="35">
      <colorScale>
        <cfvo type="min"/>
        <cfvo type="percentile" val="50"/>
        <cfvo type="max"/>
        <color rgb="FFF8696B"/>
        <color rgb="FFFFEB84"/>
        <color rgb="FF63BE7B"/>
      </colorScale>
    </cfRule>
  </conditionalFormatting>
  <conditionalFormatting sqref="C521:C665">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8"/>
  <sheetViews>
    <sheetView zoomScale="110" zoomScaleNormal="110" workbookViewId="0">
      <pane ySplit="4" topLeftCell="A637" activePane="bottomLeft" state="frozen"/>
      <selection pane="bottomLeft" activeCell="F672" sqref="F672"/>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61" t="n">
        <v>44562</v>
      </c>
      <c r="B665" s="68">
        <f>VLOOKUP(Table4[[#This Row],[Date]],Database!A:E,3,)</f>
        <v/>
      </c>
      <c r="C665" s="14">
        <f>(B665-B664)/B664</f>
        <v/>
      </c>
      <c r="D665" s="14">
        <f>(B665-B653)/B653</f>
        <v/>
      </c>
    </row>
    <row r="666" customFormat="1" s="85">
      <c r="A666" s="2" t="n"/>
      <c r="B666" s="64" t="n"/>
      <c r="C666" s="2" t="n"/>
      <c r="D666" s="2" t="n"/>
    </row>
    <row r="667" customFormat="1" s="85">
      <c r="A667" s="2" t="n"/>
      <c r="B667" s="64" t="n"/>
      <c r="C667" s="2" t="n"/>
      <c r="D667" s="2" t="n"/>
    </row>
    <row r="668" customFormat="1" s="85">
      <c r="A668" s="2" t="n"/>
      <c r="B668" s="64" t="n"/>
      <c r="C668" s="2" t="n"/>
      <c r="D668" s="2" t="n"/>
    </row>
    <row r="669" customFormat="1" s="85">
      <c r="A669" s="2" t="n"/>
      <c r="B669" s="64" t="n"/>
      <c r="C669" s="2" t="n"/>
      <c r="D669" s="2" t="n"/>
    </row>
    <row r="670" customFormat="1" s="85">
      <c r="A670" s="2" t="n"/>
      <c r="B670" s="64" t="n"/>
      <c r="C670" s="2" t="n"/>
      <c r="D670" s="2" t="n"/>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sheetData>
  <conditionalFormatting sqref="C545:C665">
    <cfRule type="colorScale" priority="37">
      <colorScale>
        <cfvo type="min"/>
        <cfvo type="percentile" val="50"/>
        <cfvo type="max"/>
        <color rgb="FFF8696B"/>
        <color rgb="FFFFEB84"/>
        <color rgb="FF63BE7B"/>
      </colorScale>
    </cfRule>
  </conditionalFormatting>
  <conditionalFormatting sqref="D545:D665">
    <cfRule type="colorScale" priority="38">
      <colorScale>
        <cfvo type="min"/>
        <cfvo type="percentile" val="50"/>
        <cfvo type="max"/>
        <color rgb="FFF8696B"/>
        <color rgb="FFFFEB84"/>
        <color rgb="FF63BE7B"/>
      </colorScale>
    </cfRule>
  </conditionalFormatting>
  <conditionalFormatting sqref="D521:D665">
    <cfRule type="colorScale" priority="39">
      <colorScale>
        <cfvo type="min"/>
        <cfvo type="percentile" val="50"/>
        <cfvo type="max"/>
        <color rgb="FFF8696B"/>
        <color rgb="FFFFEB84"/>
        <color rgb="FF63BE7B"/>
      </colorScale>
    </cfRule>
  </conditionalFormatting>
  <conditionalFormatting sqref="C521:C665">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2"/>
  <sheetViews>
    <sheetView zoomScale="130" zoomScaleNormal="130" workbookViewId="0">
      <pane ySplit="4" topLeftCell="A616" activePane="bottomLeft" state="frozen"/>
      <selection activeCell="N27" sqref="N27"/>
      <selection pane="bottomLeft" activeCell="K667" sqref="K667"/>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61" t="n">
        <v>44562</v>
      </c>
      <c r="B665" s="68">
        <f>VLOOKUP(Table5[[#This Row],[Date]],Database!A:E,5,)</f>
        <v/>
      </c>
      <c r="C665" s="14">
        <f>(B665-B664)/B664</f>
        <v/>
      </c>
      <c r="D665" s="14">
        <f>(B665-B653)/B653</f>
        <v/>
      </c>
      <c r="E665" s="15">
        <f>VLOOKUP(Table5[[#This Row],[Date]],'Fed Fund New'!$A:$C,2,FALSE)</f>
        <v/>
      </c>
      <c r="F665" s="27" t="n">
        <v>0.02</v>
      </c>
    </row>
    <row r="666" customFormat="1" s="85">
      <c r="A666" s="2" t="n"/>
      <c r="B666" s="64" t="n"/>
      <c r="C666" s="2" t="n"/>
      <c r="D666" s="2" t="n"/>
      <c r="E666" s="11" t="n"/>
      <c r="F666" s="5" t="n"/>
    </row>
    <row r="667" customFormat="1" s="85">
      <c r="A667" s="2" t="n"/>
      <c r="B667" s="64" t="n"/>
      <c r="C667" s="2" t="n"/>
      <c r="D667" s="2" t="n"/>
      <c r="E667" s="11" t="n"/>
      <c r="F667" s="5" t="n"/>
    </row>
    <row r="668" customFormat="1" s="85">
      <c r="A668" s="2" t="n"/>
      <c r="B668" s="64" t="n"/>
      <c r="C668" s="2" t="n"/>
      <c r="D668" s="2" t="n"/>
      <c r="E668" s="11" t="n"/>
      <c r="F668" s="5" t="n"/>
    </row>
    <row r="669" customFormat="1" s="85">
      <c r="A669" s="2" t="n"/>
      <c r="B669" s="64" t="n"/>
      <c r="C669" s="2" t="n"/>
      <c r="D669" s="2" t="n"/>
      <c r="E669" s="11" t="n"/>
      <c r="F669" s="5" t="n"/>
    </row>
    <row r="670" customFormat="1" s="85">
      <c r="A670" s="2" t="n"/>
      <c r="B670" s="64" t="n"/>
      <c r="C670" s="2" t="n"/>
      <c r="D670" s="2" t="n"/>
      <c r="E670" s="11" t="n"/>
      <c r="F670" s="5" t="n"/>
    </row>
    <row r="671" customFormat="1" s="85">
      <c r="A671" s="2" t="n"/>
      <c r="B671" s="64" t="n"/>
      <c r="C671" s="2" t="n"/>
      <c r="D671" s="2" t="n"/>
      <c r="E671" s="11" t="n"/>
      <c r="F671" s="5" t="n"/>
    </row>
    <row r="672" customFormat="1" s="85">
      <c r="A672" s="2" t="n"/>
      <c r="B672" s="64" t="n"/>
      <c r="C672" s="2" t="n"/>
      <c r="D672" s="2" t="n"/>
      <c r="E672" s="11" t="n"/>
      <c r="F672" s="5" t="n"/>
    </row>
    <row r="673" customFormat="1" s="85">
      <c r="A673" s="2" t="n"/>
      <c r="B673" s="64" t="n"/>
      <c r="C673" s="2" t="n"/>
      <c r="D673" s="2" t="n"/>
      <c r="E673" s="11" t="n"/>
      <c r="F673" s="5" t="n"/>
    </row>
    <row r="674" customFormat="1" s="85">
      <c r="A674" s="2" t="n"/>
      <c r="B674" s="64" t="n"/>
      <c r="C674" s="2" t="n"/>
      <c r="D674" s="2" t="n"/>
      <c r="E674" s="11" t="n"/>
      <c r="F674" s="5" t="n"/>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sheetData>
  <conditionalFormatting sqref="C545:C665">
    <cfRule type="colorScale" priority="32">
      <colorScale>
        <cfvo type="min"/>
        <cfvo type="percentile" val="50"/>
        <cfvo type="max"/>
        <color rgb="FFF8696B"/>
        <color rgb="FFFFEB84"/>
        <color rgb="FF63BE7B"/>
      </colorScale>
    </cfRule>
  </conditionalFormatting>
  <conditionalFormatting sqref="D545:D665">
    <cfRule type="colorScale" priority="33">
      <colorScale>
        <cfvo type="min"/>
        <cfvo type="percentile" val="50"/>
        <cfvo type="max"/>
        <color rgb="FFF8696B"/>
        <color rgb="FFFFEB84"/>
        <color rgb="FF63BE7B"/>
      </colorScale>
    </cfRule>
  </conditionalFormatting>
  <conditionalFormatting sqref="C521:C665">
    <cfRule type="colorScale" priority="2">
      <colorScale>
        <cfvo type="min"/>
        <cfvo type="percentile" val="50"/>
        <cfvo type="max"/>
        <color rgb="FFF8696B"/>
        <color rgb="FFFFEB84"/>
        <color rgb="FF63BE7B"/>
      </colorScale>
    </cfRule>
  </conditionalFormatting>
  <conditionalFormatting sqref="D521:D66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opLeftCell="A3" zoomScale="160" zoomScaleNormal="160" workbookViewId="0">
      <selection activeCell="D6" sqref="D6"/>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16"/>
    <col width="9.1640625" customWidth="1" style="85" min="17"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44562</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2022-02-16T07:10:51Z</dcterms:modified>
  <cp:lastModifiedBy>Mark Mukherjee</cp:lastModifiedBy>
</cp:coreProperties>
</file>