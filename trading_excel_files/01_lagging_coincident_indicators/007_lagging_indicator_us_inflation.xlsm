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260" yWindow="1600" windowWidth="43280" windowHeight="2382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CPI!$A$5:$A$1041</f>
              <numCache>
                <formatCode>[$-409]mmm\-yy;@</formatCode>
                <ptCount val="103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numCache>
            </numRef>
          </cat>
          <val>
            <numRef>
              <f>CPI!$D$5:$D$1041</f>
              <numCache>
                <formatCode>0.00%</formatCode>
                <ptCount val="103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CPI!$A$17:$A$922</f>
              <numCache>
                <formatCode>[$-409]mmm\-yy;@</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CPI!$D$17:$D$922</f>
              <numCache>
                <formatCode>0.00%</formatCode>
                <ptCount val="90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CPI!$A$641:$A$922</f>
              <numCache>
                <formatCode>[$-409]mmm\-yy;@</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CPI!$D$641:$D$922</f>
              <numCache>
                <formatCode>0.00%</formatCode>
                <ptCount val="28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CPI!$A$809:$A$922</f>
              <numCache>
                <formatCode>[$-409]mmm\-yy;@</formatCode>
                <ptCount val="11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CPI!$D$809:$D$922</f>
              <numCache>
                <formatCode>0.00%</formatCode>
                <ptCount val="11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CPI!$A$293:$A$933</f>
              <numCache>
                <formatCode>[$-409]mmm\-yy;@</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CPI!$D$293:$D$933</f>
              <numCache>
                <formatCode>0.00%</formatCode>
                <ptCount val="64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CPI!$E$293:$E$915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Food'!$D$17:$D$912</f>
              <numCache>
                <formatCode>0.00%</formatCode>
                <ptCount val="89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Food'!$D$401:$D$912</f>
              <numCache>
                <formatCode>0.00%</formatCode>
                <ptCount val="51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Food'!$D$569:$D$912</f>
              <numCache>
                <formatCode>0.00%</formatCode>
                <ptCount val="34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Energy'!$D$17:$D$912</f>
              <numCache>
                <formatCode>0.00%</formatCode>
                <ptCount val="89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Energy'!$D$401:$D$912</f>
              <numCache>
                <formatCode>0.00%</formatCode>
                <ptCount val="51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Energy'!$D$569:$D$912</f>
              <numCache>
                <formatCode>0.00%</formatCode>
                <ptCount val="34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CPI'!$D$53:$D$676</f>
              <numCache>
                <formatCode>0.00%</formatCode>
                <ptCount val="62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CPI'!$E$53:$E$676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'Core CPI'!$D$17:$D$912</f>
              <numCache>
                <formatCode>0.00%</formatCode>
                <ptCount val="89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'Core CPI'!$D$401:$D$912</f>
              <numCache>
                <formatCode>0.00%</formatCode>
                <ptCount val="51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CPI'!$A$449:$A$686</f>
              <numCache>
                <formatCode>[$-409]mmm\-yy;@</formatCode>
                <ptCount val="23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CPI'!$C$449:$C$686</f>
              <numCache>
                <formatCode>0.00%</formatCode>
                <ptCount val="23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4" headerRowCount="1" totalsRowShown="0" headerRowDxfId="37" dataDxfId="35" headerRowBorderDxfId="36">
  <autoFilter ref="A4:F914"/>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4" headerRowCount="1" totalsRowShown="0" headerRowDxfId="28" dataDxfId="26" headerRowBorderDxfId="27" tableBorderDxfId="25">
  <autoFilter ref="A4:D674"/>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4" headerRowCount="1" totalsRowShown="0" headerRowDxfId="20" dataDxfId="18" headerRowBorderDxfId="19" tableBorderDxfId="17">
  <autoFilter ref="A4:D674"/>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4" headerRowCount="1" totalsRowShown="0" headerRowDxfId="12" dataDxfId="10" headerRowBorderDxfId="11">
  <autoFilter ref="A4:F674"/>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44774</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1"/>
  <sheetViews>
    <sheetView zoomScale="130" zoomScaleNormal="130" workbookViewId="0">
      <pane ySplit="1" topLeftCell="A887"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row r="911">
      <c r="A911" s="96" t="n">
        <v>44835</v>
      </c>
      <c r="B911" t="n">
        <v>298.062</v>
      </c>
      <c r="C911" t="n">
        <v>300.013</v>
      </c>
      <c r="D911" t="n">
        <v>312.533</v>
      </c>
      <c r="E911" t="n">
        <v>299.471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2"/>
  <sheetViews>
    <sheetView zoomScale="130" zoomScaleNormal="130" workbookViewId="0">
      <pane ySplit="1" topLeftCell="A806"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row r="822">
      <c r="A822" s="96" t="n">
        <v>44866</v>
      </c>
      <c r="B822" t="n">
        <v>4</v>
      </c>
      <c r="C822" t="n">
        <v>3.78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1"/>
  <sheetViews>
    <sheetView zoomScale="130" zoomScaleNormal="130" workbookViewId="0">
      <pane ySplit="4" topLeftCell="A868" activePane="bottomLeft" state="frozen"/>
      <selection pane="bottomLeft" activeCell="W888" sqref="W888"/>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85">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85">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85">
      <c r="A914" s="61" t="n">
        <v>44835</v>
      </c>
      <c r="B914" s="68">
        <f>VLOOKUP(Table2[[#This Row],[Date]],Database!A:E,2,)</f>
        <v/>
      </c>
      <c r="C914" s="14">
        <f>(B914-B913)/B913</f>
        <v/>
      </c>
      <c r="D914" s="14">
        <f>(B914-B902)/B902</f>
        <v/>
      </c>
      <c r="E914" s="15">
        <f>VLOOKUP(Table2[[#This Row],[Date]],'Fed Fund New'!$A:$C,2,FALSE)</f>
        <v/>
      </c>
      <c r="F914" s="15">
        <f>VLOOKUP(Table2[[#This Row],[Date]],'Fed Fund New'!$A:$C,3,FALSE)</f>
        <v/>
      </c>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row r="1791">
      <c r="A1791" s="2" t="n"/>
      <c r="B1791" s="64" t="n"/>
      <c r="C1791" s="2" t="n"/>
      <c r="D1791" s="2" t="n"/>
      <c r="E1791" s="5" t="n"/>
      <c r="F1791" s="5" t="n"/>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6"/>
  <sheetViews>
    <sheetView zoomScale="120" zoomScaleNormal="120" workbookViewId="0">
      <pane ySplit="4" topLeftCell="A640" activePane="bottomLeft" state="frozen"/>
      <selection activeCell="N27" sqref="N27"/>
      <selection pane="bottomLeft" activeCell="A667" sqref="A667:D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61" t="n">
        <v>44743</v>
      </c>
      <c r="B671" s="68">
        <f>VLOOKUP(Table3[[#This Row],[Date]],Database!A:E,4,)</f>
        <v/>
      </c>
      <c r="C671" s="14">
        <f>(B671-B670)/B670</f>
        <v/>
      </c>
      <c r="D671" s="14">
        <f>(B671-B659)/B659</f>
        <v/>
      </c>
    </row>
    <row r="672" customFormat="1" s="85">
      <c r="A672" s="61" t="n">
        <v>44774</v>
      </c>
      <c r="B672" s="68">
        <f>VLOOKUP(Table3[[#This Row],[Date]],Database!A:E,4,)</f>
        <v/>
      </c>
      <c r="C672" s="14">
        <f>(B672-B671)/B671</f>
        <v/>
      </c>
      <c r="D672" s="14">
        <f>(B672-B660)/B660</f>
        <v/>
      </c>
    </row>
    <row r="673" customFormat="1" s="85">
      <c r="A673" s="61" t="n">
        <v>44805</v>
      </c>
      <c r="B673" s="68">
        <f>VLOOKUP(Table3[[#This Row],[Date]],Database!A:E,4,)</f>
        <v/>
      </c>
      <c r="C673" s="14">
        <f>(B673-B672)/B672</f>
        <v/>
      </c>
      <c r="D673" s="14">
        <f>(B673-B661)/B661</f>
        <v/>
      </c>
    </row>
    <row r="674" customFormat="1" s="85">
      <c r="A674" s="61" t="n">
        <v>44835</v>
      </c>
      <c r="B674" s="68">
        <f>VLOOKUP(Table3[[#This Row],[Date]],Database!A:E,4,)</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row r="916">
      <c r="A916" s="2" t="n"/>
      <c r="B916" s="64" t="n"/>
      <c r="C916" s="2" t="n"/>
      <c r="D916" s="2" t="n"/>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7"/>
  <sheetViews>
    <sheetView zoomScale="110" zoomScaleNormal="110" workbookViewId="0">
      <pane ySplit="4" topLeftCell="A635" activePane="bottomLeft" state="frozen"/>
      <selection activeCell="N27" sqref="N27"/>
      <selection pane="bottomLeft" activeCell="AB679" sqref="AB679"/>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61" t="n">
        <v>44743</v>
      </c>
      <c r="B671" s="68">
        <f>VLOOKUP(Table4[[#This Row],[Date]],Database!A:E,3,)</f>
        <v/>
      </c>
      <c r="C671" s="14">
        <f>(B671-B670)/B670</f>
        <v/>
      </c>
      <c r="D671" s="14">
        <f>(B671-B659)/B659</f>
        <v/>
      </c>
    </row>
    <row r="672" customFormat="1" s="85">
      <c r="A672" s="61" t="n">
        <v>44774</v>
      </c>
      <c r="B672" s="68">
        <f>VLOOKUP(Table4[[#This Row],[Date]],Database!A:E,3,)</f>
        <v/>
      </c>
      <c r="C672" s="14">
        <f>(B672-B671)/B671</f>
        <v/>
      </c>
      <c r="D672" s="14">
        <f>(B672-B660)/B660</f>
        <v/>
      </c>
    </row>
    <row r="673" customFormat="1" s="85">
      <c r="A673" s="61" t="n">
        <v>44805</v>
      </c>
      <c r="B673" s="68">
        <f>VLOOKUP(Table4[[#This Row],[Date]],Database!A:E,3,)</f>
        <v/>
      </c>
      <c r="C673" s="14">
        <f>(B673-B672)/B672</f>
        <v/>
      </c>
      <c r="D673" s="14">
        <f>(B673-B661)/B661</f>
        <v/>
      </c>
    </row>
    <row r="674" customFormat="1" s="85">
      <c r="A674" s="61" t="n">
        <v>44835</v>
      </c>
      <c r="B674" s="68">
        <f>VLOOKUP(Table4[[#This Row],[Date]],Database!A:E,3,)</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row r="1067">
      <c r="A1067" s="2" t="n"/>
      <c r="B1067" s="64" t="n"/>
      <c r="C1067" s="2" t="n"/>
      <c r="D1067" s="2" t="n"/>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1"/>
  <sheetViews>
    <sheetView zoomScale="130" zoomScaleNormal="130" workbookViewId="0">
      <pane ySplit="4" topLeftCell="A639" activePane="bottomLeft" state="frozen"/>
      <selection activeCell="N27" sqref="N27"/>
      <selection pane="bottomLeft" activeCell="X680" sqref="X680"/>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61" t="n">
        <v>44743</v>
      </c>
      <c r="B671" s="68">
        <f>VLOOKUP(Table5[[#This Row],[Date]],Database!A:E,5,)</f>
        <v/>
      </c>
      <c r="C671" s="14">
        <f>(B671-B670)/B670</f>
        <v/>
      </c>
      <c r="D671" s="14">
        <f>(B671-B659)/B659</f>
        <v/>
      </c>
      <c r="E671" s="15">
        <f>VLOOKUP(Table5[[#This Row],[Date]],'Fed Fund New'!$A:$C,2,FALSE)</f>
        <v/>
      </c>
      <c r="F671" s="27" t="n">
        <v>0.02</v>
      </c>
    </row>
    <row r="672" customFormat="1" s="85">
      <c r="A672" s="61" t="n">
        <v>44774</v>
      </c>
      <c r="B672" s="68">
        <f>VLOOKUP(Table5[[#This Row],[Date]],Database!A:E,5,)</f>
        <v/>
      </c>
      <c r="C672" s="14">
        <f>(B672-B671)/B671</f>
        <v/>
      </c>
      <c r="D672" s="14">
        <f>(B672-B660)/B660</f>
        <v/>
      </c>
      <c r="E672" s="15">
        <f>VLOOKUP(Table5[[#This Row],[Date]],'Fed Fund New'!$A:$C,2,FALSE)</f>
        <v/>
      </c>
      <c r="F672" s="27" t="n">
        <v>0.02</v>
      </c>
    </row>
    <row r="673" customFormat="1" s="85">
      <c r="A673" s="61" t="n">
        <v>44805</v>
      </c>
      <c r="B673" s="68">
        <f>VLOOKUP(Table5[[#This Row],[Date]],Database!A:E,5,)</f>
        <v/>
      </c>
      <c r="C673" s="14">
        <f>(B673-B672)/B672</f>
        <v/>
      </c>
      <c r="D673" s="14">
        <f>(B673-B661)/B661</f>
        <v/>
      </c>
      <c r="E673" s="15">
        <f>VLOOKUP(Table5[[#This Row],[Date]],'Fed Fund New'!$A:$C,2,FALSE)</f>
        <v/>
      </c>
      <c r="F673" s="27" t="n">
        <v>0.02</v>
      </c>
    </row>
    <row r="674" customFormat="1" s="85">
      <c r="A674" s="61" t="n">
        <v>44835</v>
      </c>
      <c r="B674" s="68">
        <f>VLOOKUP(Table5[[#This Row],[Date]],Database!A:E,5,)</f>
        <v/>
      </c>
      <c r="C674" s="14">
        <f>(B674-B673)/B673</f>
        <v/>
      </c>
      <c r="D674" s="14">
        <f>(B674-B662)/B662</f>
        <v/>
      </c>
      <c r="E674" s="15">
        <f>VLOOKUP(Table5[[#This Row],[Date]],'Fed Fund New'!$A:$C,2,FALSE)</f>
        <v/>
      </c>
      <c r="F674" s="27" t="n">
        <v>0.02</v>
      </c>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row r="1271">
      <c r="A1271" s="2" t="n"/>
      <c r="B1271" s="64" t="n"/>
      <c r="C1271" s="2" t="n"/>
      <c r="D1271" s="2" t="n"/>
      <c r="E1271" s="11" t="n"/>
      <c r="F1271" s="5" t="n"/>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P20" sqref="P20"/>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44835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2022-11-12T02:20:32Z</dcterms:modified>
  <cp:lastModifiedBy>Mark Mukherjee</cp:lastModifiedBy>
</cp:coreProperties>
</file>