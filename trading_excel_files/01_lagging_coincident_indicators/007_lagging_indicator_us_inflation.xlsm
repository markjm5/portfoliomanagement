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36760" yWindow="2200" windowWidth="40440" windowHeight="2158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10" fillId="2" borderId="22" applyAlignment="1" pivotButton="0" quotePrefix="0" xfId="0">
      <alignment horizontal="center" vertical="center"/>
    </xf>
    <xf numFmtId="0" fontId="0" fillId="0" borderId="27" pivotButton="0" quotePrefix="0" xfId="0"/>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0" fontId="0" fillId="2" borderId="0"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0" fillId="2" borderId="0" applyAlignment="1" pivotButton="0" quotePrefix="0" xfId="0">
      <alignment wrapText="1"/>
    </xf>
    <xf numFmtId="165" fontId="0"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CPI'!$A$450:$A$679</f>
              <numCache>
                <formatCode>[$-409]mmm\-yy;@</formatCode>
                <ptCount val="230"/>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numCache>
            </numRef>
          </cat>
          <val>
            <numRef>
              <f>'Core CPI'!$D$450:$D$679</f>
              <numCache>
                <formatCode>0.00%</formatCode>
                <ptCount val="230"/>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CPI'!$A$450:$A$679</f>
              <numCache>
                <formatCode>[$-409]mmm\-yy;@</formatCode>
                <ptCount val="230"/>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numCache>
            </numRef>
          </cat>
          <val>
            <numRef>
              <f>'Core CPI'!$F$450:$F$679</f>
              <numCache>
                <formatCode>0%</formatCode>
                <ptCount val="230"/>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CPI!$A$5:$A$1040</f>
              <numCache>
                <formatCode>[$-409]mmm\-yy;@</formatCode>
                <ptCount val="1036"/>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pt idx="902">
                  <v>44621</v>
                </pt>
                <pt idx="903">
                  <v>44652</v>
                </pt>
                <pt idx="904">
                  <v>44682</v>
                </pt>
                <pt idx="905">
                  <v>44713</v>
                </pt>
                <pt idx="906">
                  <v>44743</v>
                </pt>
                <pt idx="907">
                  <v>44774</v>
                </pt>
                <pt idx="908">
                  <v>44805</v>
                </pt>
              </numCache>
            </numRef>
          </cat>
          <val>
            <numRef>
              <f>CPI!$D$5:$D$1040</f>
              <numCache>
                <formatCode>0.00%</formatCode>
                <ptCount val="1036"/>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0.02510393348257119</v>
                </pt>
                <pt idx="841">
                  <v>0.02810361681329418</v>
                </pt>
                <pt idx="842">
                  <v>0.02441196236559133</v>
                </pt>
                <pt idx="843">
                  <v>0.02176223471915387</v>
                </pt>
                <pt idx="844">
                  <v>0.01856343166761983</v>
                </pt>
                <pt idx="845">
                  <v>0.01640565809959122</v>
                </pt>
                <pt idx="846">
                  <v>0.01725107350656597</v>
                </pt>
                <pt idx="847">
                  <v>0.01928121557296974</v>
                </pt>
                <pt idx="848">
                  <v>0.02180565230371187</v>
                </pt>
                <pt idx="849">
                  <v>0.02020757753132481</v>
                </pt>
                <pt idx="850">
                  <v>0.02172493864295564</v>
                </pt>
                <pt idx="851">
                  <v>0.02129930719552256</v>
                </pt>
                <pt idx="852">
                  <v>0.02103703338833748</v>
                </pt>
                <pt idx="853">
                  <v>0.02226584592182157</v>
                </pt>
                <pt idx="854">
                  <v>0.02332589834844928</v>
                </pt>
                <pt idx="855">
                  <v>0.02437825818102883</v>
                </pt>
                <pt idx="856">
                  <v>0.02776593826330718</v>
                </pt>
                <pt idx="857">
                  <v>0.02848506940035953</v>
                </pt>
                <pt idx="858">
                  <v>0.02898752471923459</v>
                </pt>
                <pt idx="859">
                  <v>0.02677999698184622</v>
                </pt>
                <pt idx="860">
                  <v>0.02355184937204537</v>
                </pt>
                <pt idx="861">
                  <v>0.02528524973036091</v>
                </pt>
                <pt idx="862">
                  <v>0.02172805357402832</v>
                </pt>
                <pt idx="863">
                  <v>0.01915215592905704</v>
                </pt>
                <pt idx="864">
                  <v>0.01498333621448645</v>
                </pt>
                <pt idx="865">
                  <v>0.01481724990879533</v>
                </pt>
                <pt idx="866">
                  <v>0.01879950797536675</v>
                </pt>
                <pt idx="867">
                  <v>0.02005628712831716</v>
                </pt>
                <pt idx="868">
                  <v>0.01812751466430599</v>
                </pt>
                <pt idx="869">
                  <v>0.01689643912423639</v>
                </pt>
                <pt idx="870">
                  <v>0.01821162408534037</v>
                </pt>
                <pt idx="871">
                  <v>0.01759689214257049</v>
                </pt>
                <pt idx="872">
                  <v>0.01727330032231336</v>
                </pt>
                <pt idx="873">
                  <v>0.01757084892154619</v>
                </pt>
                <pt idx="874">
                  <v>0.02030816482424789</v>
                </pt>
                <pt idx="875">
                  <v>0.02261721394886573</v>
                </pt>
                <pt idx="876">
                  <v>0.02460490355289744</v>
                </pt>
                <pt idx="877">
                  <v>0.02319710826238969</v>
                </pt>
                <pt idx="878">
                  <v>0.01530638329669302</v>
                </pt>
                <pt idx="879">
                  <v>0.003648648119045407</v>
                </pt>
                <pt idx="880">
                  <v>0.002424361108391265</v>
                </pt>
                <pt idx="881">
                  <v>0.007268141963729757</v>
                </pt>
                <pt idx="882">
                  <v>0.0103282532239156</v>
                </pt>
                <pt idx="883">
                  <v>0.013275873510319</v>
                </pt>
                <pt idx="884">
                  <v>0.01400645372492164</v>
                </pt>
                <pt idx="885">
                  <v>0.01184197741979351</v>
                </pt>
                <pt idx="886">
                  <v>0.01137756606203544</v>
                </pt>
                <pt idx="887">
                  <v>0.01278154439466763</v>
                </pt>
                <pt idx="888">
                  <v>0.01359970929558289</v>
                </pt>
                <pt idx="889">
                  <v>0.01675244298416645</v>
                </pt>
                <pt idx="890">
                  <v>0.02658377394302093</v>
                </pt>
                <pt idx="891">
                  <v>0.04151991065780526</v>
                </pt>
                <pt idx="892">
                  <v>0.04944440971462508</v>
                </pt>
                <pt idx="893">
                  <v>0.05341015562734967</v>
                </pt>
                <pt idx="894">
                  <v>0.05276104941924561</v>
                </pt>
                <pt idx="895">
                  <v>0.05205331689652516</v>
                </pt>
                <pt idx="896">
                  <v>0.05389907375379531</v>
                </pt>
                <pt idx="897">
                  <v>0.06236940757128811</v>
                </pt>
                <pt idx="898">
                  <v>0.06828372091239293</v>
                </pt>
                <pt idx="899">
                  <v>0.07096542337630543</v>
                </pt>
                <pt idx="900">
                  <v>0.07525934401220444</v>
                </pt>
                <pt idx="901">
                  <v>0.07912024484898199</v>
                </pt>
                <pt idx="902">
                  <v>0.08557586368232792</v>
                </pt>
                <pt idx="903">
                  <v>0.08224139288485995</v>
                </pt>
                <pt idx="904">
                  <v>0.08516412942713859</v>
                </pt>
                <pt idx="905">
                  <v>0.08995220608588139</v>
                </pt>
                <pt idx="906">
                  <v>0.08482129735766976</v>
                </pt>
                <pt idx="907">
                  <v>0.08249234690141059</v>
                </pt>
                <pt idx="908">
                  <v>0.0822241023434253</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CPI!$A$17:$A$921</f>
              <numCache>
                <formatCode>[$-409]mmm\-yy;@</formatCode>
                <ptCount val="90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CPI!$D$17:$D$921</f>
              <numCache>
                <formatCode>0.00%</formatCode>
                <ptCount val="905"/>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0.02510393348257119</v>
                </pt>
                <pt idx="829">
                  <v>0.02810361681329418</v>
                </pt>
                <pt idx="830">
                  <v>0.02441196236559133</v>
                </pt>
                <pt idx="831">
                  <v>0.02176223471915387</v>
                </pt>
                <pt idx="832">
                  <v>0.01856343166761983</v>
                </pt>
                <pt idx="833">
                  <v>0.01640565809959122</v>
                </pt>
                <pt idx="834">
                  <v>0.01725107350656597</v>
                </pt>
                <pt idx="835">
                  <v>0.01928121557296974</v>
                </pt>
                <pt idx="836">
                  <v>0.02180565230371187</v>
                </pt>
                <pt idx="837">
                  <v>0.02020757753132481</v>
                </pt>
                <pt idx="838">
                  <v>0.02172493864295564</v>
                </pt>
                <pt idx="839">
                  <v>0.02129930719552256</v>
                </pt>
                <pt idx="840">
                  <v>0.02103703338833748</v>
                </pt>
                <pt idx="841">
                  <v>0.02226584592182157</v>
                </pt>
                <pt idx="842">
                  <v>0.02332589834844928</v>
                </pt>
                <pt idx="843">
                  <v>0.02437825818102883</v>
                </pt>
                <pt idx="844">
                  <v>0.02776593826330718</v>
                </pt>
                <pt idx="845">
                  <v>0.02848506940035953</v>
                </pt>
                <pt idx="846">
                  <v>0.02898752471923459</v>
                </pt>
                <pt idx="847">
                  <v>0.02677999698184622</v>
                </pt>
                <pt idx="848">
                  <v>0.02355184937204537</v>
                </pt>
                <pt idx="849">
                  <v>0.02528524973036091</v>
                </pt>
                <pt idx="850">
                  <v>0.02172805357402832</v>
                </pt>
                <pt idx="851">
                  <v>0.01915215592905704</v>
                </pt>
                <pt idx="852">
                  <v>0.01498333621448645</v>
                </pt>
                <pt idx="853">
                  <v>0.01481724990879533</v>
                </pt>
                <pt idx="854">
                  <v>0.01879950797536675</v>
                </pt>
                <pt idx="855">
                  <v>0.02005628712831716</v>
                </pt>
                <pt idx="856">
                  <v>0.01812751466430599</v>
                </pt>
                <pt idx="857">
                  <v>0.01689643912423639</v>
                </pt>
                <pt idx="858">
                  <v>0.01821162408534037</v>
                </pt>
                <pt idx="859">
                  <v>0.01759689214257049</v>
                </pt>
                <pt idx="860">
                  <v>0.01727330032231336</v>
                </pt>
                <pt idx="861">
                  <v>0.01757084892154619</v>
                </pt>
                <pt idx="862">
                  <v>0.02030816482424789</v>
                </pt>
                <pt idx="863">
                  <v>0.02261721394886573</v>
                </pt>
                <pt idx="864">
                  <v>0.02460490355289744</v>
                </pt>
                <pt idx="865">
                  <v>0.02319710826238969</v>
                </pt>
                <pt idx="866">
                  <v>0.01530638329669302</v>
                </pt>
                <pt idx="867">
                  <v>0.003648648119045407</v>
                </pt>
                <pt idx="868">
                  <v>0.002424361108391265</v>
                </pt>
                <pt idx="869">
                  <v>0.007268141963729757</v>
                </pt>
                <pt idx="870">
                  <v>0.0103282532239156</v>
                </pt>
                <pt idx="871">
                  <v>0.013275873510319</v>
                </pt>
                <pt idx="872">
                  <v>0.01400645372492164</v>
                </pt>
                <pt idx="873">
                  <v>0.01184197741979351</v>
                </pt>
                <pt idx="874">
                  <v>0.01137756606203544</v>
                </pt>
                <pt idx="875">
                  <v>0.01278154439466763</v>
                </pt>
                <pt idx="876">
                  <v>0.01359970929558289</v>
                </pt>
                <pt idx="877">
                  <v>0.01675244298416645</v>
                </pt>
                <pt idx="878">
                  <v>0.02658377394302093</v>
                </pt>
                <pt idx="879">
                  <v>0.04151991065780526</v>
                </pt>
                <pt idx="880">
                  <v>0.04944440971462508</v>
                </pt>
                <pt idx="881">
                  <v>0.05341015562734967</v>
                </pt>
                <pt idx="882">
                  <v>0.05276104941924561</v>
                </pt>
                <pt idx="883">
                  <v>0.05205331689652516</v>
                </pt>
                <pt idx="884">
                  <v>0.05389907375379531</v>
                </pt>
                <pt idx="885">
                  <v>0.06236940757128811</v>
                </pt>
                <pt idx="886">
                  <v>0.06828372091239293</v>
                </pt>
                <pt idx="887">
                  <v>0.07096542337630543</v>
                </pt>
                <pt idx="888">
                  <v>0.07525934401220444</v>
                </pt>
                <pt idx="889">
                  <v>0.07912024484898199</v>
                </pt>
                <pt idx="890">
                  <v>0.08557586368232792</v>
                </pt>
                <pt idx="891">
                  <v>0.08224139288485995</v>
                </pt>
                <pt idx="892">
                  <v>0.08516412942713859</v>
                </pt>
                <pt idx="893">
                  <v>0.08995220608588139</v>
                </pt>
                <pt idx="894">
                  <v>0.08482129735766976</v>
                </pt>
                <pt idx="895">
                  <v>0.08249234690141059</v>
                </pt>
                <pt idx="896">
                  <v>0.0822241023434253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CPI!$A$641:$A$921</f>
              <numCache>
                <formatCode>[$-409]mmm\-yy;@</formatCode>
                <ptCount val="28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CPI!$D$641:$D$921</f>
              <numCache>
                <formatCode>0.00%</formatCode>
                <ptCount val="281"/>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0.02510393348257119</v>
                </pt>
                <pt idx="205">
                  <v>0.02810361681329418</v>
                </pt>
                <pt idx="206">
                  <v>0.02441196236559133</v>
                </pt>
                <pt idx="207">
                  <v>0.02176223471915387</v>
                </pt>
                <pt idx="208">
                  <v>0.01856343166761983</v>
                </pt>
                <pt idx="209">
                  <v>0.01640565809959122</v>
                </pt>
                <pt idx="210">
                  <v>0.01725107350656597</v>
                </pt>
                <pt idx="211">
                  <v>0.01928121557296974</v>
                </pt>
                <pt idx="212">
                  <v>0.02180565230371187</v>
                </pt>
                <pt idx="213">
                  <v>0.02020757753132481</v>
                </pt>
                <pt idx="214">
                  <v>0.02172493864295564</v>
                </pt>
                <pt idx="215">
                  <v>0.02129930719552256</v>
                </pt>
                <pt idx="216">
                  <v>0.02103703338833748</v>
                </pt>
                <pt idx="217">
                  <v>0.02226584592182157</v>
                </pt>
                <pt idx="218">
                  <v>0.02332589834844928</v>
                </pt>
                <pt idx="219">
                  <v>0.02437825818102883</v>
                </pt>
                <pt idx="220">
                  <v>0.02776593826330718</v>
                </pt>
                <pt idx="221">
                  <v>0.02848506940035953</v>
                </pt>
                <pt idx="222">
                  <v>0.02898752471923459</v>
                </pt>
                <pt idx="223">
                  <v>0.02677999698184622</v>
                </pt>
                <pt idx="224">
                  <v>0.02355184937204537</v>
                </pt>
                <pt idx="225">
                  <v>0.02528524973036091</v>
                </pt>
                <pt idx="226">
                  <v>0.02172805357402832</v>
                </pt>
                <pt idx="227">
                  <v>0.01915215592905704</v>
                </pt>
                <pt idx="228">
                  <v>0.01498333621448645</v>
                </pt>
                <pt idx="229">
                  <v>0.01481724990879533</v>
                </pt>
                <pt idx="230">
                  <v>0.01879950797536675</v>
                </pt>
                <pt idx="231">
                  <v>0.02005628712831716</v>
                </pt>
                <pt idx="232">
                  <v>0.01812751466430599</v>
                </pt>
                <pt idx="233">
                  <v>0.01689643912423639</v>
                </pt>
                <pt idx="234">
                  <v>0.01821162408534037</v>
                </pt>
                <pt idx="235">
                  <v>0.01759689214257049</v>
                </pt>
                <pt idx="236">
                  <v>0.01727330032231336</v>
                </pt>
                <pt idx="237">
                  <v>0.01757084892154619</v>
                </pt>
                <pt idx="238">
                  <v>0.02030816482424789</v>
                </pt>
                <pt idx="239">
                  <v>0.02261721394886573</v>
                </pt>
                <pt idx="240">
                  <v>0.02460490355289744</v>
                </pt>
                <pt idx="241">
                  <v>0.02319710826238969</v>
                </pt>
                <pt idx="242">
                  <v>0.01530638329669302</v>
                </pt>
                <pt idx="243">
                  <v>0.003648648119045407</v>
                </pt>
                <pt idx="244">
                  <v>0.002424361108391265</v>
                </pt>
                <pt idx="245">
                  <v>0.007268141963729757</v>
                </pt>
                <pt idx="246">
                  <v>0.0103282532239156</v>
                </pt>
                <pt idx="247">
                  <v>0.013275873510319</v>
                </pt>
                <pt idx="248">
                  <v>0.01400645372492164</v>
                </pt>
                <pt idx="249">
                  <v>0.01184197741979351</v>
                </pt>
                <pt idx="250">
                  <v>0.01137756606203544</v>
                </pt>
                <pt idx="251">
                  <v>0.01278154439466763</v>
                </pt>
                <pt idx="252">
                  <v>0.01359970929558289</v>
                </pt>
                <pt idx="253">
                  <v>0.01675244298416645</v>
                </pt>
                <pt idx="254">
                  <v>0.02658377394302093</v>
                </pt>
                <pt idx="255">
                  <v>0.04151991065780526</v>
                </pt>
                <pt idx="256">
                  <v>0.04944440971462508</v>
                </pt>
                <pt idx="257">
                  <v>0.05341015562734967</v>
                </pt>
                <pt idx="258">
                  <v>0.05276104941924561</v>
                </pt>
                <pt idx="259">
                  <v>0.05205331689652516</v>
                </pt>
                <pt idx="260">
                  <v>0.05389907375379531</v>
                </pt>
                <pt idx="261">
                  <v>0.06236940757128811</v>
                </pt>
                <pt idx="262">
                  <v>0.06828372091239293</v>
                </pt>
                <pt idx="263">
                  <v>0.07096542337630543</v>
                </pt>
                <pt idx="264">
                  <v>0.07525934401220444</v>
                </pt>
                <pt idx="265">
                  <v>0.07912024484898199</v>
                </pt>
                <pt idx="266">
                  <v>0.08557586368232792</v>
                </pt>
                <pt idx="267">
                  <v>0.08224139288485995</v>
                </pt>
                <pt idx="268">
                  <v>0.08516412942713859</v>
                </pt>
                <pt idx="269">
                  <v>0.08995220608588139</v>
                </pt>
                <pt idx="270">
                  <v>0.08482129735766976</v>
                </pt>
                <pt idx="271">
                  <v>0.08249234690141059</v>
                </pt>
                <pt idx="272">
                  <v>0.0822241023434253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CPI!$A$809:$A$921</f>
              <numCache>
                <formatCode>[$-409]mmm\-yy;@</formatCode>
                <ptCount val="113"/>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numCache>
            </numRef>
          </cat>
          <val>
            <numRef>
              <f>CPI!$D$809:$D$921</f>
              <numCache>
                <formatCode>0.00%</formatCode>
                <ptCount val="113"/>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0.02510393348257119</v>
                </pt>
                <pt idx="37">
                  <v>0.02810361681329418</v>
                </pt>
                <pt idx="38">
                  <v>0.02441196236559133</v>
                </pt>
                <pt idx="39">
                  <v>0.02176223471915387</v>
                </pt>
                <pt idx="40">
                  <v>0.01856343166761983</v>
                </pt>
                <pt idx="41">
                  <v>0.01640565809959122</v>
                </pt>
                <pt idx="42">
                  <v>0.01725107350656597</v>
                </pt>
                <pt idx="43">
                  <v>0.01928121557296974</v>
                </pt>
                <pt idx="44">
                  <v>0.02180565230371187</v>
                </pt>
                <pt idx="45">
                  <v>0.02020757753132481</v>
                </pt>
                <pt idx="46">
                  <v>0.02172493864295564</v>
                </pt>
                <pt idx="47">
                  <v>0.02129930719552256</v>
                </pt>
                <pt idx="48">
                  <v>0.02103703338833748</v>
                </pt>
                <pt idx="49">
                  <v>0.02226584592182157</v>
                </pt>
                <pt idx="50">
                  <v>0.02332589834844928</v>
                </pt>
                <pt idx="51">
                  <v>0.02437825818102883</v>
                </pt>
                <pt idx="52">
                  <v>0.02776593826330718</v>
                </pt>
                <pt idx="53">
                  <v>0.02848506940035953</v>
                </pt>
                <pt idx="54">
                  <v>0.02898752471923459</v>
                </pt>
                <pt idx="55">
                  <v>0.02677999698184622</v>
                </pt>
                <pt idx="56">
                  <v>0.02355184937204537</v>
                </pt>
                <pt idx="57">
                  <v>0.02528524973036091</v>
                </pt>
                <pt idx="58">
                  <v>0.02172805357402832</v>
                </pt>
                <pt idx="59">
                  <v>0.01915215592905704</v>
                </pt>
                <pt idx="60">
                  <v>0.01498333621448645</v>
                </pt>
                <pt idx="61">
                  <v>0.01481724990879533</v>
                </pt>
                <pt idx="62">
                  <v>0.01879950797536675</v>
                </pt>
                <pt idx="63">
                  <v>0.02005628712831716</v>
                </pt>
                <pt idx="64">
                  <v>0.01812751466430599</v>
                </pt>
                <pt idx="65">
                  <v>0.01689643912423639</v>
                </pt>
                <pt idx="66">
                  <v>0.01821162408534037</v>
                </pt>
                <pt idx="67">
                  <v>0.01759689214257049</v>
                </pt>
                <pt idx="68">
                  <v>0.01727330032231336</v>
                </pt>
                <pt idx="69">
                  <v>0.01757084892154619</v>
                </pt>
                <pt idx="70">
                  <v>0.02030816482424789</v>
                </pt>
                <pt idx="71">
                  <v>0.02261721394886573</v>
                </pt>
                <pt idx="72">
                  <v>0.02460490355289744</v>
                </pt>
                <pt idx="73">
                  <v>0.02319710826238969</v>
                </pt>
                <pt idx="74">
                  <v>0.01530638329669302</v>
                </pt>
                <pt idx="75">
                  <v>0.003648648119045407</v>
                </pt>
                <pt idx="76">
                  <v>0.002424361108391265</v>
                </pt>
                <pt idx="77">
                  <v>0.007268141963729757</v>
                </pt>
                <pt idx="78">
                  <v>0.0103282532239156</v>
                </pt>
                <pt idx="79">
                  <v>0.013275873510319</v>
                </pt>
                <pt idx="80">
                  <v>0.01400645372492164</v>
                </pt>
                <pt idx="81">
                  <v>0.01184197741979351</v>
                </pt>
                <pt idx="82">
                  <v>0.01137756606203544</v>
                </pt>
                <pt idx="83">
                  <v>0.01278154439466763</v>
                </pt>
                <pt idx="84">
                  <v>0.01359970929558289</v>
                </pt>
                <pt idx="85">
                  <v>0.01675244298416645</v>
                </pt>
                <pt idx="86">
                  <v>0.02658377394302093</v>
                </pt>
                <pt idx="87">
                  <v>0.04151991065780526</v>
                </pt>
                <pt idx="88">
                  <v>0.04944440971462508</v>
                </pt>
                <pt idx="89">
                  <v>0.05341015562734967</v>
                </pt>
                <pt idx="90">
                  <v>0.05276104941924561</v>
                </pt>
                <pt idx="91">
                  <v>0.05205331689652516</v>
                </pt>
                <pt idx="92">
                  <v>0.05389907375379531</v>
                </pt>
                <pt idx="93">
                  <v>0.06236940757128811</v>
                </pt>
                <pt idx="94">
                  <v>0.06828372091239293</v>
                </pt>
                <pt idx="95">
                  <v>0.07096542337630543</v>
                </pt>
                <pt idx="96">
                  <v>0.07525934401220444</v>
                </pt>
                <pt idx="97">
                  <v>0.07912024484898199</v>
                </pt>
                <pt idx="98">
                  <v>0.08557586368232792</v>
                </pt>
                <pt idx="99">
                  <v>0.08224139288485995</v>
                </pt>
                <pt idx="100">
                  <v>0.08516412942713859</v>
                </pt>
                <pt idx="101">
                  <v>0.08995220608588139</v>
                </pt>
                <pt idx="102">
                  <v>0.08482129735766976</v>
                </pt>
                <pt idx="103">
                  <v>0.08249234690141059</v>
                </pt>
                <pt idx="104">
                  <v>0.0822241023434253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CPI!$A$293:$A$932</f>
              <numCache>
                <formatCode>[$-409]mmm\-yy;@</formatCode>
                <ptCount val="64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numCache>
            </numRef>
          </cat>
          <val>
            <numRef>
              <f>CPI!$D$293:$D$932</f>
              <numCache>
                <formatCode>0.00%</formatCode>
                <ptCount val="640"/>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0.02510393348257119</v>
                </pt>
                <pt idx="553">
                  <v>0.02810361681329418</v>
                </pt>
                <pt idx="554">
                  <v>0.02441196236559133</v>
                </pt>
                <pt idx="555">
                  <v>0.02176223471915387</v>
                </pt>
                <pt idx="556">
                  <v>0.01856343166761983</v>
                </pt>
                <pt idx="557">
                  <v>0.01640565809959122</v>
                </pt>
                <pt idx="558">
                  <v>0.01725107350656597</v>
                </pt>
                <pt idx="559">
                  <v>0.01928121557296974</v>
                </pt>
                <pt idx="560">
                  <v>0.02180565230371187</v>
                </pt>
                <pt idx="561">
                  <v>0.02020757753132481</v>
                </pt>
                <pt idx="562">
                  <v>0.02172493864295564</v>
                </pt>
                <pt idx="563">
                  <v>0.02129930719552256</v>
                </pt>
                <pt idx="564">
                  <v>0.02103703338833748</v>
                </pt>
                <pt idx="565">
                  <v>0.02226584592182157</v>
                </pt>
                <pt idx="566">
                  <v>0.02332589834844928</v>
                </pt>
                <pt idx="567">
                  <v>0.02437825818102883</v>
                </pt>
                <pt idx="568">
                  <v>0.02776593826330718</v>
                </pt>
                <pt idx="569">
                  <v>0.02848506940035953</v>
                </pt>
                <pt idx="570">
                  <v>0.02898752471923459</v>
                </pt>
                <pt idx="571">
                  <v>0.02677999698184622</v>
                </pt>
                <pt idx="572">
                  <v>0.02355184937204537</v>
                </pt>
                <pt idx="573">
                  <v>0.02528524973036091</v>
                </pt>
                <pt idx="574">
                  <v>0.02172805357402832</v>
                </pt>
                <pt idx="575">
                  <v>0.01915215592905704</v>
                </pt>
                <pt idx="576">
                  <v>0.01498333621448645</v>
                </pt>
                <pt idx="577">
                  <v>0.01481724990879533</v>
                </pt>
                <pt idx="578">
                  <v>0.01879950797536675</v>
                </pt>
                <pt idx="579">
                  <v>0.02005628712831716</v>
                </pt>
                <pt idx="580">
                  <v>0.01812751466430599</v>
                </pt>
                <pt idx="581">
                  <v>0.01689643912423639</v>
                </pt>
                <pt idx="582">
                  <v>0.01821162408534037</v>
                </pt>
                <pt idx="583">
                  <v>0.01759689214257049</v>
                </pt>
                <pt idx="584">
                  <v>0.01727330032231336</v>
                </pt>
                <pt idx="585">
                  <v>0.01757084892154619</v>
                </pt>
                <pt idx="586">
                  <v>0.02030816482424789</v>
                </pt>
                <pt idx="587">
                  <v>0.02261721394886573</v>
                </pt>
                <pt idx="588">
                  <v>0.02460490355289744</v>
                </pt>
                <pt idx="589">
                  <v>0.02319710826238969</v>
                </pt>
                <pt idx="590">
                  <v>0.01530638329669302</v>
                </pt>
                <pt idx="591">
                  <v>0.003648648119045407</v>
                </pt>
                <pt idx="592">
                  <v>0.002424361108391265</v>
                </pt>
                <pt idx="593">
                  <v>0.007268141963729757</v>
                </pt>
                <pt idx="594">
                  <v>0.0103282532239156</v>
                </pt>
                <pt idx="595">
                  <v>0.013275873510319</v>
                </pt>
                <pt idx="596">
                  <v>0.01400645372492164</v>
                </pt>
                <pt idx="597">
                  <v>0.01184197741979351</v>
                </pt>
                <pt idx="598">
                  <v>0.01137756606203544</v>
                </pt>
                <pt idx="599">
                  <v>0.01278154439466763</v>
                </pt>
                <pt idx="600">
                  <v>0.01359970929558289</v>
                </pt>
                <pt idx="601">
                  <v>0.01675244298416645</v>
                </pt>
                <pt idx="602">
                  <v>0.02658377394302093</v>
                </pt>
                <pt idx="603">
                  <v>0.04151991065780526</v>
                </pt>
                <pt idx="604">
                  <v>0.04944440971462508</v>
                </pt>
                <pt idx="605">
                  <v>0.05341015562734967</v>
                </pt>
                <pt idx="606">
                  <v>0.05276104941924561</v>
                </pt>
                <pt idx="607">
                  <v>0.05205331689652516</v>
                </pt>
                <pt idx="608">
                  <v>0.05389907375379531</v>
                </pt>
                <pt idx="609">
                  <v>0.06236940757128811</v>
                </pt>
                <pt idx="610">
                  <v>0.06828372091239293</v>
                </pt>
                <pt idx="611">
                  <v>0.07096542337630543</v>
                </pt>
                <pt idx="612">
                  <v>0.07525934401220444</v>
                </pt>
                <pt idx="613">
                  <v>0.07912024484898199</v>
                </pt>
                <pt idx="614">
                  <v>0.08557586368232792</v>
                </pt>
                <pt idx="615">
                  <v>0.08224139288485995</v>
                </pt>
                <pt idx="616">
                  <v>0.08516412942713859</v>
                </pt>
                <pt idx="617">
                  <v>0.08995220608588139</v>
                </pt>
                <pt idx="618">
                  <v>0.08482129735766976</v>
                </pt>
                <pt idx="619">
                  <v>0.08249234690141059</v>
                </pt>
                <pt idx="620">
                  <v>0.0822241023434253</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CPI!$A$293:$A$914</f>
              <numCache>
                <formatCode>[$-409]mmm\-yy;@</formatCode>
                <ptCount val="622"/>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numCache>
            </numRef>
          </cat>
          <val>
            <numRef>
              <f>CPI!$E$293:$E$914</f>
              <numCache>
                <formatCode>0.00</formatCode>
                <ptCount val="622"/>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Food'!$A$17:$A$911</f>
              <numCache>
                <formatCode>[$-409]mmm\-yy;@</formatCode>
                <ptCount val="895"/>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numCache>
            </numRef>
          </cat>
          <val>
            <numRef>
              <f>'CPI Food'!$D$17:$D$911</f>
              <numCache>
                <formatCode>0.00%</formatCode>
                <ptCount val="895"/>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-0.0002701972439881406</v>
                </pt>
                <pt idx="589">
                  <v>0.001083611285670572</v>
                </pt>
                <pt idx="590">
                  <v>0.005333085720975853</v>
                </pt>
                <pt idx="591">
                  <v>0.005949835824869081</v>
                </pt>
                <pt idx="592">
                  <v>0.008627688579218517</v>
                </pt>
                <pt idx="593">
                  <v>0.00848355023846099</v>
                </pt>
                <pt idx="594">
                  <v>0.01023014801581209</v>
                </pt>
                <pt idx="595">
                  <v>0.01103527976111102</v>
                </pt>
                <pt idx="596">
                  <v>0.01235819786044406</v>
                </pt>
                <pt idx="597">
                  <v>0.0130050566245012</v>
                </pt>
                <pt idx="598">
                  <v>0.01402282597717404</v>
                </pt>
                <pt idx="599">
                  <v>0.0159980608411102</v>
                </pt>
                <pt idx="600">
                  <v>0.01653489310205724</v>
                </pt>
                <pt idx="601">
                  <v>0.01414815321532472</v>
                </pt>
                <pt idx="602">
                  <v>0.01276202714641393</v>
                </pt>
                <pt idx="603">
                  <v>0.01371796568303115</v>
                </pt>
                <pt idx="604">
                  <v>0.01227418896244057</v>
                </pt>
                <pt idx="605">
                  <v>0.01426344286407046</v>
                </pt>
                <pt idx="606">
                  <v>0.01403153594705856</v>
                </pt>
                <pt idx="607">
                  <v>0.0141880820111106</v>
                </pt>
                <pt idx="608">
                  <v>0.01395523311265155</v>
                </pt>
                <pt idx="609">
                  <v>0.01239155396784896</v>
                </pt>
                <pt idx="610">
                  <v>0.01438269932588561</v>
                </pt>
                <pt idx="611">
                  <v>0.01584556045966036</v>
                </pt>
                <pt idx="612">
                  <v>0.01645641450958147</v>
                </pt>
                <pt idx="613">
                  <v>0.01963662911807773</v>
                </pt>
                <pt idx="614">
                  <v>0.02076543033648163</v>
                </pt>
                <pt idx="615">
                  <v>0.01724274333272683</v>
                </pt>
                <pt idx="616">
                  <v>0.01948365351140936</v>
                </pt>
                <pt idx="617">
                  <v>0.01852393333280655</v>
                </pt>
                <pt idx="618">
                  <v>0.01769227127097114</v>
                </pt>
                <pt idx="619">
                  <v>0.01709489281210601</v>
                </pt>
                <pt idx="620">
                  <v>0.01773429259614919</v>
                </pt>
                <pt idx="621">
                  <v>0.02008868795387585</v>
                </pt>
                <pt idx="622">
                  <v>0.01916294195737736</v>
                </pt>
                <pt idx="623">
                  <v>0.01710539191701745</v>
                </pt>
                <pt idx="624">
                  <v>0.01766570627688887</v>
                </pt>
                <pt idx="625">
                  <v>0.01756570601374441</v>
                </pt>
                <pt idx="626">
                  <v>0.01898731718686261</v>
                </pt>
                <pt idx="627">
                  <v>0.03391260727715324</v>
                </pt>
                <pt idx="628">
                  <v>0.03877361748693238</v>
                </pt>
                <pt idx="629">
                  <v>0.04338818928795872</v>
                </pt>
                <pt idx="630">
                  <v>0.03896048509661602</v>
                </pt>
                <pt idx="631">
                  <v>0.03948500182101362</v>
                </pt>
                <pt idx="632">
                  <v>0.03804478131404936</v>
                </pt>
                <pt idx="633">
                  <v>0.03813917575523606</v>
                </pt>
                <pt idx="634">
                  <v>0.03666493246237744</v>
                </pt>
                <pt idx="635">
                  <v>0.03838826993015053</v>
                </pt>
                <pt idx="636">
                  <v>0.03711958752603852</v>
                </pt>
                <pt idx="637">
                  <v>0.03523243540911372</v>
                </pt>
                <pt idx="638">
                  <v>0.03368747688917879</v>
                </pt>
                <pt idx="639">
                  <v>0.02339007529656011</v>
                </pt>
                <pt idx="640">
                  <v>0.0210875891412926</v>
                </pt>
                <pt idx="641">
                  <v>0.02342814649563111</v>
                </pt>
                <pt idx="642">
                  <v>0.0336409467976731</v>
                </pt>
                <pt idx="643">
                  <v>0.03642713640887262</v>
                </pt>
                <pt idx="644">
                  <v>0.04464884438285132</v>
                </pt>
                <pt idx="645">
                  <v>0.0511595216136614</v>
                </pt>
                <pt idx="646">
                  <v>0.05827902705958001</v>
                </pt>
                <pt idx="647">
                  <v>0.06003261433548284</v>
                </pt>
                <pt idx="648">
                  <v>0.06691030416464766</v>
                </pt>
                <pt idx="649">
                  <v>0.07617147817735175</v>
                </pt>
                <pt idx="650">
                  <v>0.08466956778285883</v>
                </pt>
                <pt idx="651">
                  <v>0.08998129371079114</v>
                </pt>
                <pt idx="652">
                  <v>0.09732638711046378</v>
                </pt>
                <pt idx="653">
                  <v>0.1001049950772206</v>
                </pt>
                <pt idx="654">
                  <v>0.1048080810998152</v>
                </pt>
                <pt idx="655">
                  <v>0.1089936776690091</v>
                </pt>
                <pt idx="656">
                  <v>0.1077767435889205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Food'!$A$401:$A$911</f>
              <numCache>
                <formatCode>[$-409]mmm\-yy;@</formatCode>
                <ptCount val="51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'CPI Food'!$D$401:$D$911</f>
              <numCache>
                <formatCode>0.00%</formatCode>
                <ptCount val="511"/>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-0.0002701972439881406</v>
                </pt>
                <pt idx="205">
                  <v>0.001083611285670572</v>
                </pt>
                <pt idx="206">
                  <v>0.005333085720975853</v>
                </pt>
                <pt idx="207">
                  <v>0.005949835824869081</v>
                </pt>
                <pt idx="208">
                  <v>0.008627688579218517</v>
                </pt>
                <pt idx="209">
                  <v>0.00848355023846099</v>
                </pt>
                <pt idx="210">
                  <v>0.01023014801581209</v>
                </pt>
                <pt idx="211">
                  <v>0.01103527976111102</v>
                </pt>
                <pt idx="212">
                  <v>0.01235819786044406</v>
                </pt>
                <pt idx="213">
                  <v>0.0130050566245012</v>
                </pt>
                <pt idx="214">
                  <v>0.01402282597717404</v>
                </pt>
                <pt idx="215">
                  <v>0.0159980608411102</v>
                </pt>
                <pt idx="216">
                  <v>0.01653489310205724</v>
                </pt>
                <pt idx="217">
                  <v>0.01414815321532472</v>
                </pt>
                <pt idx="218">
                  <v>0.01276202714641393</v>
                </pt>
                <pt idx="219">
                  <v>0.01371796568303115</v>
                </pt>
                <pt idx="220">
                  <v>0.01227418896244057</v>
                </pt>
                <pt idx="221">
                  <v>0.01426344286407046</v>
                </pt>
                <pt idx="222">
                  <v>0.01403153594705856</v>
                </pt>
                <pt idx="223">
                  <v>0.0141880820111106</v>
                </pt>
                <pt idx="224">
                  <v>0.01395523311265155</v>
                </pt>
                <pt idx="225">
                  <v>0.01239155396784896</v>
                </pt>
                <pt idx="226">
                  <v>0.01438269932588561</v>
                </pt>
                <pt idx="227">
                  <v>0.01584556045966036</v>
                </pt>
                <pt idx="228">
                  <v>0.01645641450958147</v>
                </pt>
                <pt idx="229">
                  <v>0.01963662911807773</v>
                </pt>
                <pt idx="230">
                  <v>0.02076543033648163</v>
                </pt>
                <pt idx="231">
                  <v>0.01724274333272683</v>
                </pt>
                <pt idx="232">
                  <v>0.01948365351140936</v>
                </pt>
                <pt idx="233">
                  <v>0.01852393333280655</v>
                </pt>
                <pt idx="234">
                  <v>0.01769227127097114</v>
                </pt>
                <pt idx="235">
                  <v>0.01709489281210601</v>
                </pt>
                <pt idx="236">
                  <v>0.01773429259614919</v>
                </pt>
                <pt idx="237">
                  <v>0.02008868795387585</v>
                </pt>
                <pt idx="238">
                  <v>0.01916294195737736</v>
                </pt>
                <pt idx="239">
                  <v>0.01710539191701745</v>
                </pt>
                <pt idx="240">
                  <v>0.01766570627688887</v>
                </pt>
                <pt idx="241">
                  <v>0.01756570601374441</v>
                </pt>
                <pt idx="242">
                  <v>0.01898731718686261</v>
                </pt>
                <pt idx="243">
                  <v>0.03391260727715324</v>
                </pt>
                <pt idx="244">
                  <v>0.03877361748693238</v>
                </pt>
                <pt idx="245">
                  <v>0.04338818928795872</v>
                </pt>
                <pt idx="246">
                  <v>0.03896048509661602</v>
                </pt>
                <pt idx="247">
                  <v>0.03948500182101362</v>
                </pt>
                <pt idx="248">
                  <v>0.03804478131404936</v>
                </pt>
                <pt idx="249">
                  <v>0.03813917575523606</v>
                </pt>
                <pt idx="250">
                  <v>0.03666493246237744</v>
                </pt>
                <pt idx="251">
                  <v>0.03838826993015053</v>
                </pt>
                <pt idx="252">
                  <v>0.03711958752603852</v>
                </pt>
                <pt idx="253">
                  <v>0.03523243540911372</v>
                </pt>
                <pt idx="254">
                  <v>0.03368747688917879</v>
                </pt>
                <pt idx="255">
                  <v>0.02339007529656011</v>
                </pt>
                <pt idx="256">
                  <v>0.0210875891412926</v>
                </pt>
                <pt idx="257">
                  <v>0.02342814649563111</v>
                </pt>
                <pt idx="258">
                  <v>0.0336409467976731</v>
                </pt>
                <pt idx="259">
                  <v>0.03642713640887262</v>
                </pt>
                <pt idx="260">
                  <v>0.04464884438285132</v>
                </pt>
                <pt idx="261">
                  <v>0.0511595216136614</v>
                </pt>
                <pt idx="262">
                  <v>0.05827902705958001</v>
                </pt>
                <pt idx="263">
                  <v>0.06003261433548284</v>
                </pt>
                <pt idx="264">
                  <v>0.06691030416464766</v>
                </pt>
                <pt idx="265">
                  <v>0.07617147817735175</v>
                </pt>
                <pt idx="266">
                  <v>0.08466956778285883</v>
                </pt>
                <pt idx="267">
                  <v>0.08998129371079114</v>
                </pt>
                <pt idx="268">
                  <v>0.09732638711046378</v>
                </pt>
                <pt idx="269">
                  <v>0.1001049950772206</v>
                </pt>
                <pt idx="270">
                  <v>0.1048080810998152</v>
                </pt>
                <pt idx="271">
                  <v>0.1089936776690091</v>
                </pt>
                <pt idx="272">
                  <v>0.1077767435889205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Food'!$A$569:$A$911</f>
              <numCache>
                <formatCode>[$-409]mmm\-yy;@</formatCode>
                <ptCount val="343"/>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numCache>
            </numRef>
          </cat>
          <val>
            <numRef>
              <f>'CPI Food'!$D$569:$D$911</f>
              <numCache>
                <formatCode>0.00%</formatCode>
                <ptCount val="343"/>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-0.0002701972439881406</v>
                </pt>
                <pt idx="37">
                  <v>0.001083611285670572</v>
                </pt>
                <pt idx="38">
                  <v>0.005333085720975853</v>
                </pt>
                <pt idx="39">
                  <v>0.005949835824869081</v>
                </pt>
                <pt idx="40">
                  <v>0.008627688579218517</v>
                </pt>
                <pt idx="41">
                  <v>0.00848355023846099</v>
                </pt>
                <pt idx="42">
                  <v>0.01023014801581209</v>
                </pt>
                <pt idx="43">
                  <v>0.01103527976111102</v>
                </pt>
                <pt idx="44">
                  <v>0.01235819786044406</v>
                </pt>
                <pt idx="45">
                  <v>0.0130050566245012</v>
                </pt>
                <pt idx="46">
                  <v>0.01402282597717404</v>
                </pt>
                <pt idx="47">
                  <v>0.0159980608411102</v>
                </pt>
                <pt idx="48">
                  <v>0.01653489310205724</v>
                </pt>
                <pt idx="49">
                  <v>0.01414815321532472</v>
                </pt>
                <pt idx="50">
                  <v>0.01276202714641393</v>
                </pt>
                <pt idx="51">
                  <v>0.01371796568303115</v>
                </pt>
                <pt idx="52">
                  <v>0.01227418896244057</v>
                </pt>
                <pt idx="53">
                  <v>0.01426344286407046</v>
                </pt>
                <pt idx="54">
                  <v>0.01403153594705856</v>
                </pt>
                <pt idx="55">
                  <v>0.0141880820111106</v>
                </pt>
                <pt idx="56">
                  <v>0.01395523311265155</v>
                </pt>
                <pt idx="57">
                  <v>0.01239155396784896</v>
                </pt>
                <pt idx="58">
                  <v>0.01438269932588561</v>
                </pt>
                <pt idx="59">
                  <v>0.01584556045966036</v>
                </pt>
                <pt idx="60">
                  <v>0.01645641450958147</v>
                </pt>
                <pt idx="61">
                  <v>0.01963662911807773</v>
                </pt>
                <pt idx="62">
                  <v>0.02076543033648163</v>
                </pt>
                <pt idx="63">
                  <v>0.01724274333272683</v>
                </pt>
                <pt idx="64">
                  <v>0.01948365351140936</v>
                </pt>
                <pt idx="65">
                  <v>0.01852393333280655</v>
                </pt>
                <pt idx="66">
                  <v>0.01769227127097114</v>
                </pt>
                <pt idx="67">
                  <v>0.01709489281210601</v>
                </pt>
                <pt idx="68">
                  <v>0.01773429259614919</v>
                </pt>
                <pt idx="69">
                  <v>0.02008868795387585</v>
                </pt>
                <pt idx="70">
                  <v>0.01916294195737736</v>
                </pt>
                <pt idx="71">
                  <v>0.01710539191701745</v>
                </pt>
                <pt idx="72">
                  <v>0.01766570627688887</v>
                </pt>
                <pt idx="73">
                  <v>0.01756570601374441</v>
                </pt>
                <pt idx="74">
                  <v>0.01898731718686261</v>
                </pt>
                <pt idx="75">
                  <v>0.03391260727715324</v>
                </pt>
                <pt idx="76">
                  <v>0.03877361748693238</v>
                </pt>
                <pt idx="77">
                  <v>0.04338818928795872</v>
                </pt>
                <pt idx="78">
                  <v>0.03896048509661602</v>
                </pt>
                <pt idx="79">
                  <v>0.03948500182101362</v>
                </pt>
                <pt idx="80">
                  <v>0.03804478131404936</v>
                </pt>
                <pt idx="81">
                  <v>0.03813917575523606</v>
                </pt>
                <pt idx="82">
                  <v>0.03666493246237744</v>
                </pt>
                <pt idx="83">
                  <v>0.03838826993015053</v>
                </pt>
                <pt idx="84">
                  <v>0.03711958752603852</v>
                </pt>
                <pt idx="85">
                  <v>0.03523243540911372</v>
                </pt>
                <pt idx="86">
                  <v>0.03368747688917879</v>
                </pt>
                <pt idx="87">
                  <v>0.02339007529656011</v>
                </pt>
                <pt idx="88">
                  <v>0.0210875891412926</v>
                </pt>
                <pt idx="89">
                  <v>0.02342814649563111</v>
                </pt>
                <pt idx="90">
                  <v>0.0336409467976731</v>
                </pt>
                <pt idx="91">
                  <v>0.03642713640887262</v>
                </pt>
                <pt idx="92">
                  <v>0.04464884438285132</v>
                </pt>
                <pt idx="93">
                  <v>0.0511595216136614</v>
                </pt>
                <pt idx="94">
                  <v>0.05827902705958001</v>
                </pt>
                <pt idx="95">
                  <v>0.06003261433548284</v>
                </pt>
                <pt idx="96">
                  <v>0.06691030416464766</v>
                </pt>
                <pt idx="97">
                  <v>0.07617147817735175</v>
                </pt>
                <pt idx="98">
                  <v>0.08466956778285883</v>
                </pt>
                <pt idx="99">
                  <v>0.08998129371079114</v>
                </pt>
                <pt idx="100">
                  <v>0.09732638711046378</v>
                </pt>
                <pt idx="101">
                  <v>0.1001049950772206</v>
                </pt>
                <pt idx="102">
                  <v>0.1048080810998152</v>
                </pt>
                <pt idx="103">
                  <v>0.1089936776690091</v>
                </pt>
                <pt idx="104">
                  <v>0.1077767435889205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Energy'!$A$17:$A$911</f>
              <numCache>
                <formatCode>[$-409]mmm\-yy;@</formatCode>
                <ptCount val="895"/>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numCache>
            </numRef>
          </cat>
          <val>
            <numRef>
              <f>'CPI Energy'!$D$17:$D$911</f>
              <numCache>
                <formatCode>0.00%</formatCode>
                <ptCount val="895"/>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0.1086943612168326</v>
                </pt>
                <pt idx="589">
                  <v>0.1572099931406284</v>
                </pt>
                <pt idx="590">
                  <v>0.1113623143869968</v>
                </pt>
                <pt idx="591">
                  <v>0.08698376652937939</v>
                </pt>
                <pt idx="592">
                  <v>0.05224395003075361</v>
                </pt>
                <pt idx="593">
                  <v>0.02544855079601238</v>
                </pt>
                <pt idx="594">
                  <v>0.03675295959713513</v>
                </pt>
                <pt idx="595">
                  <v>0.06716038395524759</v>
                </pt>
                <pt idx="596">
                  <v>0.1065318373100712</v>
                </pt>
                <pt idx="597">
                  <v>0.06301185331081385</v>
                </pt>
                <pt idx="598">
                  <v>0.0849153647159472</v>
                </pt>
                <pt idx="599">
                  <v>0.0704766105466812</v>
                </pt>
                <pt idx="600">
                  <v>0.05601137464758563</v>
                </pt>
                <pt idx="601">
                  <v>0.07959516589674374</v>
                </pt>
                <pt idx="602">
                  <v>0.07108646705640712</v>
                </pt>
                <pt idx="603">
                  <v>0.07545552194093239</v>
                </pt>
                <pt idx="604">
                  <v>0.1117818683893594</v>
                </pt>
                <pt idx="605">
                  <v>0.1196362128933108</v>
                </pt>
                <pt idx="606">
                  <v>0.1212486096513159</v>
                </pt>
                <pt idx="607">
                  <v>0.1041697691734923</v>
                </pt>
                <pt idx="608">
                  <v>0.05039887553296999</v>
                </pt>
                <pt idx="609">
                  <v>0.08704542836296603</v>
                </pt>
                <pt idx="610">
                  <v>0.02919543574891925</v>
                </pt>
                <pt idx="611">
                  <v>-0.004405967018457314</v>
                </pt>
                <pt idx="612">
                  <v>-0.05225201962447906</v>
                </pt>
                <pt idx="613">
                  <v>-0.05300819943643049</v>
                </pt>
                <pt idx="614">
                  <v>-0.002530828627405816</v>
                </pt>
                <pt idx="615">
                  <v>0.01598951747393117</v>
                </pt>
                <pt idx="616">
                  <v>-0.004314877261684607</v>
                </pt>
                <pt idx="617">
                  <v>-0.03073512346877505</v>
                </pt>
                <pt idx="618">
                  <v>-0.01778319788130587</v>
                </pt>
                <pt idx="619">
                  <v>-0.04165711331400181</v>
                </pt>
                <pt idx="620">
                  <v>-0.04619501978124262</v>
                </pt>
                <pt idx="621">
                  <v>-0.0434598299052379</v>
                </pt>
                <pt idx="622">
                  <v>-0.008355110436134912</v>
                </pt>
                <pt idx="623">
                  <v>0.03364012171205782</v>
                </pt>
                <pt idx="624">
                  <v>0.05966235282670043</v>
                </pt>
                <pt idx="625">
                  <v>0.02597041672456498</v>
                </pt>
                <pt idx="626">
                  <v>-0.05760343106444337</v>
                </pt>
                <pt idx="627">
                  <v>-0.1752766529279665</v>
                </pt>
                <pt idx="628">
                  <v>-0.1827112163146395</v>
                </pt>
                <pt idx="629">
                  <v>-0.1221851620657206</v>
                </pt>
                <pt idx="630">
                  <v>-0.1079175353254574</v>
                </pt>
                <pt idx="631">
                  <v>-0.08858698966547675</v>
                </pt>
                <pt idx="632">
                  <v>-0.07623333114366425</v>
                </pt>
                <pt idx="633">
                  <v>-0.09318160834641308</v>
                </pt>
                <pt idx="634">
                  <v>-0.09693011704647363</v>
                </pt>
                <pt idx="635">
                  <v>-0.07342141901667987</v>
                </pt>
                <pt idx="636">
                  <v>-0.0389113097615735</v>
                </pt>
                <pt idx="637">
                  <v>0.02253419827292295</v>
                </pt>
                <pt idx="638">
                  <v>0.1334644356389031</v>
                </pt>
                <pt idx="639">
                  <v>0.2487027650651487</v>
                </pt>
                <pt idx="640">
                  <v>0.2803355203796326</v>
                </pt>
                <pt idx="641">
                  <v>0.2451110981389004</v>
                </pt>
                <pt idx="642">
                  <v>0.2383254741477803</v>
                </pt>
                <pt idx="643">
                  <v>0.2505237151607175</v>
                </pt>
                <pt idx="644">
                  <v>0.2487466666666667</v>
                </pt>
                <pt idx="645">
                  <v>0.2981902410466566</v>
                </pt>
                <pt idx="646">
                  <v>0.3305068777086866</v>
                </pt>
                <pt idx="647">
                  <v>0.2941531753163531</v>
                </pt>
                <pt idx="648">
                  <v>0.2703938316899792</v>
                </pt>
                <pt idx="649">
                  <v>0.2568053931598949</v>
                </pt>
                <pt idx="650">
                  <v>0.3216500019469815</v>
                </pt>
                <pt idx="651">
                  <v>0.3015185616576318</v>
                </pt>
                <pt idx="652">
                  <v>0.3435142730365331</v>
                </pt>
                <pt idx="653">
                  <v>0.4153947789025039</v>
                </pt>
                <pt idx="654">
                  <v>0.3292471702307011</v>
                </pt>
                <pt idx="655">
                  <v>0.2390824751603159</v>
                </pt>
                <pt idx="656">
                  <v>0.1987333585522702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Energy'!$A$401:$A$911</f>
              <numCache>
                <formatCode>[$-409]mmm\-yy;@</formatCode>
                <ptCount val="51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'CPI Energy'!$D$401:$D$911</f>
              <numCache>
                <formatCode>0.00%</formatCode>
                <ptCount val="511"/>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0.1086943612168326</v>
                </pt>
                <pt idx="205">
                  <v>0.1572099931406284</v>
                </pt>
                <pt idx="206">
                  <v>0.1113623143869968</v>
                </pt>
                <pt idx="207">
                  <v>0.08698376652937939</v>
                </pt>
                <pt idx="208">
                  <v>0.05224395003075361</v>
                </pt>
                <pt idx="209">
                  <v>0.02544855079601238</v>
                </pt>
                <pt idx="210">
                  <v>0.03675295959713513</v>
                </pt>
                <pt idx="211">
                  <v>0.06716038395524759</v>
                </pt>
                <pt idx="212">
                  <v>0.1065318373100712</v>
                </pt>
                <pt idx="213">
                  <v>0.06301185331081385</v>
                </pt>
                <pt idx="214">
                  <v>0.0849153647159472</v>
                </pt>
                <pt idx="215">
                  <v>0.0704766105466812</v>
                </pt>
                <pt idx="216">
                  <v>0.05601137464758563</v>
                </pt>
                <pt idx="217">
                  <v>0.07959516589674374</v>
                </pt>
                <pt idx="218">
                  <v>0.07108646705640712</v>
                </pt>
                <pt idx="219">
                  <v>0.07545552194093239</v>
                </pt>
                <pt idx="220">
                  <v>0.1117818683893594</v>
                </pt>
                <pt idx="221">
                  <v>0.1196362128933108</v>
                </pt>
                <pt idx="222">
                  <v>0.1212486096513159</v>
                </pt>
                <pt idx="223">
                  <v>0.1041697691734923</v>
                </pt>
                <pt idx="224">
                  <v>0.05039887553296999</v>
                </pt>
                <pt idx="225">
                  <v>0.08704542836296603</v>
                </pt>
                <pt idx="226">
                  <v>0.02919543574891925</v>
                </pt>
                <pt idx="227">
                  <v>-0.004405967018457314</v>
                </pt>
                <pt idx="228">
                  <v>-0.05225201962447906</v>
                </pt>
                <pt idx="229">
                  <v>-0.05300819943643049</v>
                </pt>
                <pt idx="230">
                  <v>-0.002530828627405816</v>
                </pt>
                <pt idx="231">
                  <v>0.01598951747393117</v>
                </pt>
                <pt idx="232">
                  <v>-0.004314877261684607</v>
                </pt>
                <pt idx="233">
                  <v>-0.03073512346877505</v>
                </pt>
                <pt idx="234">
                  <v>-0.01778319788130587</v>
                </pt>
                <pt idx="235">
                  <v>-0.04165711331400181</v>
                </pt>
                <pt idx="236">
                  <v>-0.04619501978124262</v>
                </pt>
                <pt idx="237">
                  <v>-0.0434598299052379</v>
                </pt>
                <pt idx="238">
                  <v>-0.008355110436134912</v>
                </pt>
                <pt idx="239">
                  <v>0.03364012171205782</v>
                </pt>
                <pt idx="240">
                  <v>0.05966235282670043</v>
                </pt>
                <pt idx="241">
                  <v>0.02597041672456498</v>
                </pt>
                <pt idx="242">
                  <v>-0.05760343106444337</v>
                </pt>
                <pt idx="243">
                  <v>-0.1752766529279665</v>
                </pt>
                <pt idx="244">
                  <v>-0.1827112163146395</v>
                </pt>
                <pt idx="245">
                  <v>-0.1221851620657206</v>
                </pt>
                <pt idx="246">
                  <v>-0.1079175353254574</v>
                </pt>
                <pt idx="247">
                  <v>-0.08858698966547675</v>
                </pt>
                <pt idx="248">
                  <v>-0.07623333114366425</v>
                </pt>
                <pt idx="249">
                  <v>-0.09318160834641308</v>
                </pt>
                <pt idx="250">
                  <v>-0.09693011704647363</v>
                </pt>
                <pt idx="251">
                  <v>-0.07342141901667987</v>
                </pt>
                <pt idx="252">
                  <v>-0.0389113097615735</v>
                </pt>
                <pt idx="253">
                  <v>0.02253419827292295</v>
                </pt>
                <pt idx="254">
                  <v>0.1334644356389031</v>
                </pt>
                <pt idx="255">
                  <v>0.2487027650651487</v>
                </pt>
                <pt idx="256">
                  <v>0.2803355203796326</v>
                </pt>
                <pt idx="257">
                  <v>0.2451110981389004</v>
                </pt>
                <pt idx="258">
                  <v>0.2383254741477803</v>
                </pt>
                <pt idx="259">
                  <v>0.2505237151607175</v>
                </pt>
                <pt idx="260">
                  <v>0.2487466666666667</v>
                </pt>
                <pt idx="261">
                  <v>0.2981902410466566</v>
                </pt>
                <pt idx="262">
                  <v>0.3305068777086866</v>
                </pt>
                <pt idx="263">
                  <v>0.2941531753163531</v>
                </pt>
                <pt idx="264">
                  <v>0.2703938316899792</v>
                </pt>
                <pt idx="265">
                  <v>0.2568053931598949</v>
                </pt>
                <pt idx="266">
                  <v>0.3216500019469815</v>
                </pt>
                <pt idx="267">
                  <v>0.3015185616576318</v>
                </pt>
                <pt idx="268">
                  <v>0.3435142730365331</v>
                </pt>
                <pt idx="269">
                  <v>0.4153947789025039</v>
                </pt>
                <pt idx="270">
                  <v>0.3292471702307011</v>
                </pt>
                <pt idx="271">
                  <v>0.2390824751603159</v>
                </pt>
                <pt idx="272">
                  <v>0.1987333585522702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Energy'!$A$569:$A$911</f>
              <numCache>
                <formatCode>[$-409]mmm\-yy;@</formatCode>
                <ptCount val="343"/>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numCache>
            </numRef>
          </cat>
          <val>
            <numRef>
              <f>'CPI Energy'!$D$569:$D$911</f>
              <numCache>
                <formatCode>0.00%</formatCode>
                <ptCount val="343"/>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0.1086943612168326</v>
                </pt>
                <pt idx="37">
                  <v>0.1572099931406284</v>
                </pt>
                <pt idx="38">
                  <v>0.1113623143869968</v>
                </pt>
                <pt idx="39">
                  <v>0.08698376652937939</v>
                </pt>
                <pt idx="40">
                  <v>0.05224395003075361</v>
                </pt>
                <pt idx="41">
                  <v>0.02544855079601238</v>
                </pt>
                <pt idx="42">
                  <v>0.03675295959713513</v>
                </pt>
                <pt idx="43">
                  <v>0.06716038395524759</v>
                </pt>
                <pt idx="44">
                  <v>0.1065318373100712</v>
                </pt>
                <pt idx="45">
                  <v>0.06301185331081385</v>
                </pt>
                <pt idx="46">
                  <v>0.0849153647159472</v>
                </pt>
                <pt idx="47">
                  <v>0.0704766105466812</v>
                </pt>
                <pt idx="48">
                  <v>0.05601137464758563</v>
                </pt>
                <pt idx="49">
                  <v>0.07959516589674374</v>
                </pt>
                <pt idx="50">
                  <v>0.07108646705640712</v>
                </pt>
                <pt idx="51">
                  <v>0.07545552194093239</v>
                </pt>
                <pt idx="52">
                  <v>0.1117818683893594</v>
                </pt>
                <pt idx="53">
                  <v>0.1196362128933108</v>
                </pt>
                <pt idx="54">
                  <v>0.1212486096513159</v>
                </pt>
                <pt idx="55">
                  <v>0.1041697691734923</v>
                </pt>
                <pt idx="56">
                  <v>0.05039887553296999</v>
                </pt>
                <pt idx="57">
                  <v>0.08704542836296603</v>
                </pt>
                <pt idx="58">
                  <v>0.02919543574891925</v>
                </pt>
                <pt idx="59">
                  <v>-0.004405967018457314</v>
                </pt>
                <pt idx="60">
                  <v>-0.05225201962447906</v>
                </pt>
                <pt idx="61">
                  <v>-0.05300819943643049</v>
                </pt>
                <pt idx="62">
                  <v>-0.002530828627405816</v>
                </pt>
                <pt idx="63">
                  <v>0.01598951747393117</v>
                </pt>
                <pt idx="64">
                  <v>-0.004314877261684607</v>
                </pt>
                <pt idx="65">
                  <v>-0.03073512346877505</v>
                </pt>
                <pt idx="66">
                  <v>-0.01778319788130587</v>
                </pt>
                <pt idx="67">
                  <v>-0.04165711331400181</v>
                </pt>
                <pt idx="68">
                  <v>-0.04619501978124262</v>
                </pt>
                <pt idx="69">
                  <v>-0.0434598299052379</v>
                </pt>
                <pt idx="70">
                  <v>-0.008355110436134912</v>
                </pt>
                <pt idx="71">
                  <v>0.03364012171205782</v>
                </pt>
                <pt idx="72">
                  <v>0.05966235282670043</v>
                </pt>
                <pt idx="73">
                  <v>0.02597041672456498</v>
                </pt>
                <pt idx="74">
                  <v>-0.05760343106444337</v>
                </pt>
                <pt idx="75">
                  <v>-0.1752766529279665</v>
                </pt>
                <pt idx="76">
                  <v>-0.1827112163146395</v>
                </pt>
                <pt idx="77">
                  <v>-0.1221851620657206</v>
                </pt>
                <pt idx="78">
                  <v>-0.1079175353254574</v>
                </pt>
                <pt idx="79">
                  <v>-0.08858698966547675</v>
                </pt>
                <pt idx="80">
                  <v>-0.07623333114366425</v>
                </pt>
                <pt idx="81">
                  <v>-0.09318160834641308</v>
                </pt>
                <pt idx="82">
                  <v>-0.09693011704647363</v>
                </pt>
                <pt idx="83">
                  <v>-0.07342141901667987</v>
                </pt>
                <pt idx="84">
                  <v>-0.0389113097615735</v>
                </pt>
                <pt idx="85">
                  <v>0.02253419827292295</v>
                </pt>
                <pt idx="86">
                  <v>0.1334644356389031</v>
                </pt>
                <pt idx="87">
                  <v>0.2487027650651487</v>
                </pt>
                <pt idx="88">
                  <v>0.2803355203796326</v>
                </pt>
                <pt idx="89">
                  <v>0.2451110981389004</v>
                </pt>
                <pt idx="90">
                  <v>0.2383254741477803</v>
                </pt>
                <pt idx="91">
                  <v>0.2505237151607175</v>
                </pt>
                <pt idx="92">
                  <v>0.2487466666666667</v>
                </pt>
                <pt idx="93">
                  <v>0.2981902410466566</v>
                </pt>
                <pt idx="94">
                  <v>0.3305068777086866</v>
                </pt>
                <pt idx="95">
                  <v>0.2941531753163531</v>
                </pt>
                <pt idx="96">
                  <v>0.2703938316899792</v>
                </pt>
                <pt idx="97">
                  <v>0.2568053931598949</v>
                </pt>
                <pt idx="98">
                  <v>0.3216500019469815</v>
                </pt>
                <pt idx="99">
                  <v>0.3015185616576318</v>
                </pt>
                <pt idx="100">
                  <v>0.3435142730365331</v>
                </pt>
                <pt idx="101">
                  <v>0.4153947789025039</v>
                </pt>
                <pt idx="102">
                  <v>0.3292471702307011</v>
                </pt>
                <pt idx="103">
                  <v>0.2390824751603159</v>
                </pt>
                <pt idx="104">
                  <v>0.1987333585522702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CPI'!$A$53:$A$675</f>
              <numCache>
                <formatCode>[$-409]mmm\-yy;@</formatCode>
                <ptCount val="62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numCache>
            </numRef>
          </cat>
          <val>
            <numRef>
              <f>'Core CPI'!$D$53:$D$675</f>
              <numCache>
                <formatCode>0.00%</formatCode>
                <ptCount val="623"/>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0.02250209222102019</v>
                </pt>
                <pt idx="553">
                  <v>0.02235346829049733</v>
                </pt>
                <pt idx="554">
                  <v>0.02045845481938725</v>
                </pt>
                <pt idx="555">
                  <v>0.01896565010890248</v>
                </pt>
                <pt idx="556">
                  <v>0.01737093191225922</v>
                </pt>
                <pt idx="557">
                  <v>0.01699119334249017</v>
                </pt>
                <pt idx="558">
                  <v>0.01676962744473006</v>
                </pt>
                <pt idx="559">
                  <v>0.01655241261879936</v>
                </pt>
                <pt idx="560">
                  <v>0.01595389845765586</v>
                </pt>
                <pt idx="561">
                  <v>0.0175963908132712</v>
                </pt>
                <pt idx="562">
                  <v>0.01737607272698125</v>
                </pt>
                <pt idx="563">
                  <v>0.01770166453265047</v>
                </pt>
                <pt idx="564">
                  <v>0.01838565559534785</v>
                </pt>
                <pt idx="565">
                  <v>0.01820731639295939</v>
                </pt>
                <pt idx="566">
                  <v>0.02065799540933435</v>
                </pt>
                <pt idx="567">
                  <v>0.02139897383641091</v>
                </pt>
                <pt idx="568">
                  <v>0.02275384798950007</v>
                </pt>
                <pt idx="569">
                  <v>0.02265378595886331</v>
                </pt>
                <pt idx="570">
                  <v>0.02326725797170466</v>
                </pt>
                <pt idx="571">
                  <v>0.02175144039440087</v>
                </pt>
                <pt idx="572">
                  <v>0.02251870955492612</v>
                </pt>
                <pt idx="573">
                  <v>0.02157964074690566</v>
                </pt>
                <pt idx="574">
                  <v>0.02221688152047145</v>
                </pt>
                <pt idx="575">
                  <v>0.02197810838863913</v>
                </pt>
                <pt idx="576">
                  <v>0.02141356166102116</v>
                </pt>
                <pt idx="577">
                  <v>0.02080463907844479</v>
                </pt>
                <pt idx="578">
                  <v>0.0205131809095453</v>
                </pt>
                <pt idx="579">
                  <v>0.02086881291333312</v>
                </pt>
                <pt idx="580">
                  <v>0.02010491889979046</v>
                </pt>
                <pt idx="581">
                  <v>0.0213479174516117</v>
                </pt>
                <pt idx="582">
                  <v>0.02188498650367648</v>
                </pt>
                <pt idx="583">
                  <v>0.02366797401832348</v>
                </pt>
                <pt idx="584">
                  <v>0.02353145973965698</v>
                </pt>
                <pt idx="585">
                  <v>0.02325123457028456</v>
                </pt>
                <pt idx="586">
                  <v>0.02314852286523686</v>
                </pt>
                <pt idx="587">
                  <v>0.02234413351081425</v>
                </pt>
                <pt idx="588">
                  <v>0.02258438437977391</v>
                </pt>
                <pt idx="589">
                  <v>0.02375759434233488</v>
                </pt>
                <pt idx="590">
                  <v>0.02117207764880517</v>
                </pt>
                <pt idx="591">
                  <v>0.01455576848197035</v>
                </pt>
                <pt idx="592">
                  <v>0.01252282508834584</v>
                </pt>
                <pt idx="593">
                  <v>0.01195307003365734</v>
                </pt>
                <pt idx="594">
                  <v>0.01541229112189804</v>
                </pt>
                <pt idx="595">
                  <v>0.01713896303026856</v>
                </pt>
                <pt idx="596">
                  <v>0.01724945953709149</v>
                </pt>
                <pt idx="597">
                  <v>0.01627430486116085</v>
                </pt>
                <pt idx="598">
                  <v>0.01640542301882371</v>
                </pt>
                <pt idx="599">
                  <v>0.015962851186489</v>
                </pt>
                <pt idx="600">
                  <v>0.01387293651329854</v>
                </pt>
                <pt idx="601">
                  <v>0.01287614711531608</v>
                </pt>
                <pt idx="602">
                  <v>0.01660072831902165</v>
                </pt>
                <pt idx="603">
                  <v>0.02971731302512301</v>
                </pt>
                <pt idx="604">
                  <v>0.03806013418371566</v>
                </pt>
                <pt idx="605">
                  <v>0.0444740085986591</v>
                </pt>
                <pt idx="606">
                  <v>0.04201800023920569</v>
                </pt>
                <pt idx="607">
                  <v>0.03961855416843471</v>
                </pt>
                <pt idx="608">
                  <v>0.04036752467007493</v>
                </pt>
                <pt idx="609">
                  <v>0.04593958385932601</v>
                </pt>
                <pt idx="610">
                  <v>0.04952634387879148</v>
                </pt>
                <pt idx="611">
                  <v>0.05476620836790329</v>
                </pt>
                <pt idx="612">
                  <v>0.06040782780603748</v>
                </pt>
                <pt idx="613">
                  <v>0.06415744375688481</v>
                </pt>
                <pt idx="614">
                  <v>0.06436039462385801</v>
                </pt>
                <pt idx="615">
                  <v>0.06133687045299249</v>
                </pt>
                <pt idx="616">
                  <v>0.06011279763523934</v>
                </pt>
                <pt idx="617">
                  <v>0.05912450255827159</v>
                </pt>
                <pt idx="618">
                  <v>0.05911533246770015</v>
                </pt>
                <pt idx="619">
                  <v>0.0631708592010197</v>
                </pt>
                <pt idx="620">
                  <v>0.06657810061531989</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CPI'!$A$53:$A$675</f>
              <numCache>
                <formatCode>[$-409]mmm\-yy;@</formatCode>
                <ptCount val="62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numCache>
            </numRef>
          </cat>
          <val>
            <numRef>
              <f>'Core CPI'!$E$53:$E$675</f>
              <numCache>
                <formatCode>0.00</formatCode>
                <ptCount val="6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CPI'!$A$450:$A$675</f>
              <numCache>
                <formatCode>[$-409]mmm\-yy;@</formatCode>
                <ptCount val="226"/>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numCache>
            </numRef>
          </cat>
          <val>
            <numRef>
              <f>'Core CPI'!$D$450:$D$675</f>
              <numCache>
                <formatCode>0.00%</formatCode>
                <ptCount val="226"/>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CPI'!$A$450:$A$675</f>
              <numCache>
                <formatCode>[$-409]mmm\-yy;@</formatCode>
                <ptCount val="226"/>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numCache>
            </numRef>
          </cat>
          <val>
            <numRef>
              <f>'Core CPI'!$F$450:$F$675</f>
              <numCache>
                <formatCode>0%</formatCode>
                <ptCount val="226"/>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CPI'!$A$17:$A$911</f>
              <numCache>
                <formatCode>[$-409]mmm\-yy;@</formatCode>
                <ptCount val="895"/>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numCache>
            </numRef>
          </cat>
          <val>
            <numRef>
              <f>'Core CPI'!$D$17:$D$911</f>
              <numCache>
                <formatCode>0.00%</formatCode>
                <ptCount val="895"/>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0.02250209222102019</v>
                </pt>
                <pt idx="589">
                  <v>0.02235346829049733</v>
                </pt>
                <pt idx="590">
                  <v>0.02045845481938725</v>
                </pt>
                <pt idx="591">
                  <v>0.01896565010890248</v>
                </pt>
                <pt idx="592">
                  <v>0.01737093191225922</v>
                </pt>
                <pt idx="593">
                  <v>0.01699119334249017</v>
                </pt>
                <pt idx="594">
                  <v>0.01676962744473006</v>
                </pt>
                <pt idx="595">
                  <v>0.01655241261879936</v>
                </pt>
                <pt idx="596">
                  <v>0.01595389845765586</v>
                </pt>
                <pt idx="597">
                  <v>0.0175963908132712</v>
                </pt>
                <pt idx="598">
                  <v>0.01737607272698125</v>
                </pt>
                <pt idx="599">
                  <v>0.01770166453265047</v>
                </pt>
                <pt idx="600">
                  <v>0.01838565559534785</v>
                </pt>
                <pt idx="601">
                  <v>0.01820731639295939</v>
                </pt>
                <pt idx="602">
                  <v>0.02065799540933435</v>
                </pt>
                <pt idx="603">
                  <v>0.02139897383641091</v>
                </pt>
                <pt idx="604">
                  <v>0.02275384798950007</v>
                </pt>
                <pt idx="605">
                  <v>0.02265378595886331</v>
                </pt>
                <pt idx="606">
                  <v>0.02326725797170466</v>
                </pt>
                <pt idx="607">
                  <v>0.02175144039440087</v>
                </pt>
                <pt idx="608">
                  <v>0.02251870955492612</v>
                </pt>
                <pt idx="609">
                  <v>0.02157964074690566</v>
                </pt>
                <pt idx="610">
                  <v>0.02221688152047145</v>
                </pt>
                <pt idx="611">
                  <v>0.02197810838863913</v>
                </pt>
                <pt idx="612">
                  <v>0.02141356166102116</v>
                </pt>
                <pt idx="613">
                  <v>0.02080463907844479</v>
                </pt>
                <pt idx="614">
                  <v>0.0205131809095453</v>
                </pt>
                <pt idx="615">
                  <v>0.02086881291333312</v>
                </pt>
                <pt idx="616">
                  <v>0.02010491889979046</v>
                </pt>
                <pt idx="617">
                  <v>0.0213479174516117</v>
                </pt>
                <pt idx="618">
                  <v>0.02188498650367648</v>
                </pt>
                <pt idx="619">
                  <v>0.02366797401832348</v>
                </pt>
                <pt idx="620">
                  <v>0.02353145973965698</v>
                </pt>
                <pt idx="621">
                  <v>0.02325123457028456</v>
                </pt>
                <pt idx="622">
                  <v>0.02314852286523686</v>
                </pt>
                <pt idx="623">
                  <v>0.02234413351081425</v>
                </pt>
                <pt idx="624">
                  <v>0.02258438437977391</v>
                </pt>
                <pt idx="625">
                  <v>0.02375759434233488</v>
                </pt>
                <pt idx="626">
                  <v>0.02117207764880517</v>
                </pt>
                <pt idx="627">
                  <v>0.01455576848197035</v>
                </pt>
                <pt idx="628">
                  <v>0.01252282508834584</v>
                </pt>
                <pt idx="629">
                  <v>0.01195307003365734</v>
                </pt>
                <pt idx="630">
                  <v>0.01541229112189804</v>
                </pt>
                <pt idx="631">
                  <v>0.01713896303026856</v>
                </pt>
                <pt idx="632">
                  <v>0.01724945953709149</v>
                </pt>
                <pt idx="633">
                  <v>0.01627430486116085</v>
                </pt>
                <pt idx="634">
                  <v>0.01640542301882371</v>
                </pt>
                <pt idx="635">
                  <v>0.015962851186489</v>
                </pt>
                <pt idx="636">
                  <v>0.01387293651329854</v>
                </pt>
                <pt idx="637">
                  <v>0.01287614711531608</v>
                </pt>
                <pt idx="638">
                  <v>0.01660072831902165</v>
                </pt>
                <pt idx="639">
                  <v>0.02971731302512301</v>
                </pt>
                <pt idx="640">
                  <v>0.03806013418371566</v>
                </pt>
                <pt idx="641">
                  <v>0.0444740085986591</v>
                </pt>
                <pt idx="642">
                  <v>0.04201800023920569</v>
                </pt>
                <pt idx="643">
                  <v>0.03961855416843471</v>
                </pt>
                <pt idx="644">
                  <v>0.04036752467007493</v>
                </pt>
                <pt idx="645">
                  <v>0.04593958385932601</v>
                </pt>
                <pt idx="646">
                  <v>0.04952634387879148</v>
                </pt>
                <pt idx="647">
                  <v>0.05476620836790329</v>
                </pt>
                <pt idx="648">
                  <v>0.06040782780603748</v>
                </pt>
                <pt idx="649">
                  <v>0.06415744375688481</v>
                </pt>
                <pt idx="650">
                  <v>0.06436039462385801</v>
                </pt>
                <pt idx="651">
                  <v>0.06133687045299249</v>
                </pt>
                <pt idx="652">
                  <v>0.06011279763523934</v>
                </pt>
                <pt idx="653">
                  <v>0.05912450255827159</v>
                </pt>
                <pt idx="654">
                  <v>0.05911533246770015</v>
                </pt>
                <pt idx="655">
                  <v>0.0631708592010197</v>
                </pt>
                <pt idx="656">
                  <v>0.06657810061531989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CPI'!$A$401:$A$911</f>
              <numCache>
                <formatCode>[$-409]mmm\-yy;@</formatCode>
                <ptCount val="51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'Core CPI'!$D$401:$D$911</f>
              <numCache>
                <formatCode>0.00%</formatCode>
                <ptCount val="511"/>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0.02250209222102019</v>
                </pt>
                <pt idx="205">
                  <v>0.02235346829049733</v>
                </pt>
                <pt idx="206">
                  <v>0.02045845481938725</v>
                </pt>
                <pt idx="207">
                  <v>0.01896565010890248</v>
                </pt>
                <pt idx="208">
                  <v>0.01737093191225922</v>
                </pt>
                <pt idx="209">
                  <v>0.01699119334249017</v>
                </pt>
                <pt idx="210">
                  <v>0.01676962744473006</v>
                </pt>
                <pt idx="211">
                  <v>0.01655241261879936</v>
                </pt>
                <pt idx="212">
                  <v>0.01595389845765586</v>
                </pt>
                <pt idx="213">
                  <v>0.0175963908132712</v>
                </pt>
                <pt idx="214">
                  <v>0.01737607272698125</v>
                </pt>
                <pt idx="215">
                  <v>0.01770166453265047</v>
                </pt>
                <pt idx="216">
                  <v>0.01838565559534785</v>
                </pt>
                <pt idx="217">
                  <v>0.01820731639295939</v>
                </pt>
                <pt idx="218">
                  <v>0.02065799540933435</v>
                </pt>
                <pt idx="219">
                  <v>0.02139897383641091</v>
                </pt>
                <pt idx="220">
                  <v>0.02275384798950007</v>
                </pt>
                <pt idx="221">
                  <v>0.02265378595886331</v>
                </pt>
                <pt idx="222">
                  <v>0.02326725797170466</v>
                </pt>
                <pt idx="223">
                  <v>0.02175144039440087</v>
                </pt>
                <pt idx="224">
                  <v>0.02251870955492612</v>
                </pt>
                <pt idx="225">
                  <v>0.02157964074690566</v>
                </pt>
                <pt idx="226">
                  <v>0.02221688152047145</v>
                </pt>
                <pt idx="227">
                  <v>0.02197810838863913</v>
                </pt>
                <pt idx="228">
                  <v>0.02141356166102116</v>
                </pt>
                <pt idx="229">
                  <v>0.02080463907844479</v>
                </pt>
                <pt idx="230">
                  <v>0.0205131809095453</v>
                </pt>
                <pt idx="231">
                  <v>0.02086881291333312</v>
                </pt>
                <pt idx="232">
                  <v>0.02010491889979046</v>
                </pt>
                <pt idx="233">
                  <v>0.0213479174516117</v>
                </pt>
                <pt idx="234">
                  <v>0.02188498650367648</v>
                </pt>
                <pt idx="235">
                  <v>0.02366797401832348</v>
                </pt>
                <pt idx="236">
                  <v>0.02353145973965698</v>
                </pt>
                <pt idx="237">
                  <v>0.02325123457028456</v>
                </pt>
                <pt idx="238">
                  <v>0.02314852286523686</v>
                </pt>
                <pt idx="239">
                  <v>0.02234413351081425</v>
                </pt>
                <pt idx="240">
                  <v>0.02258438437977391</v>
                </pt>
                <pt idx="241">
                  <v>0.02375759434233488</v>
                </pt>
                <pt idx="242">
                  <v>0.02117207764880517</v>
                </pt>
                <pt idx="243">
                  <v>0.01455576848197035</v>
                </pt>
                <pt idx="244">
                  <v>0.01252282508834584</v>
                </pt>
                <pt idx="245">
                  <v>0.01195307003365734</v>
                </pt>
                <pt idx="246">
                  <v>0.01541229112189804</v>
                </pt>
                <pt idx="247">
                  <v>0.01713896303026856</v>
                </pt>
                <pt idx="248">
                  <v>0.01724945953709149</v>
                </pt>
                <pt idx="249">
                  <v>0.01627430486116085</v>
                </pt>
                <pt idx="250">
                  <v>0.01640542301882371</v>
                </pt>
                <pt idx="251">
                  <v>0.015962851186489</v>
                </pt>
                <pt idx="252">
                  <v>0.01387293651329854</v>
                </pt>
                <pt idx="253">
                  <v>0.01287614711531608</v>
                </pt>
                <pt idx="254">
                  <v>0.01660072831902165</v>
                </pt>
                <pt idx="255">
                  <v>0.02971731302512301</v>
                </pt>
                <pt idx="256">
                  <v>0.03806013418371566</v>
                </pt>
                <pt idx="257">
                  <v>0.0444740085986591</v>
                </pt>
                <pt idx="258">
                  <v>0.04201800023920569</v>
                </pt>
                <pt idx="259">
                  <v>0.03961855416843471</v>
                </pt>
                <pt idx="260">
                  <v>0.04036752467007493</v>
                </pt>
                <pt idx="261">
                  <v>0.04593958385932601</v>
                </pt>
                <pt idx="262">
                  <v>0.04952634387879148</v>
                </pt>
                <pt idx="263">
                  <v>0.05476620836790329</v>
                </pt>
                <pt idx="264">
                  <v>0.06040782780603748</v>
                </pt>
                <pt idx="265">
                  <v>0.06415744375688481</v>
                </pt>
                <pt idx="266">
                  <v>0.06436039462385801</v>
                </pt>
                <pt idx="267">
                  <v>0.06133687045299249</v>
                </pt>
                <pt idx="268">
                  <v>0.06011279763523934</v>
                </pt>
                <pt idx="269">
                  <v>0.05912450255827159</v>
                </pt>
                <pt idx="270">
                  <v>0.05911533246770015</v>
                </pt>
                <pt idx="271">
                  <v>0.0631708592010197</v>
                </pt>
                <pt idx="272">
                  <v>0.06657810061531989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CPI'!$A$569:$A$911</f>
              <numCache>
                <formatCode>[$-409]mmm\-yy;@</formatCode>
                <ptCount val="343"/>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numCache>
            </numRef>
          </cat>
          <val>
            <numRef>
              <f>'Core CPI'!$D$569:$D$911</f>
              <numCache>
                <formatCode>0.00%</formatCode>
                <ptCount val="343"/>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CPI'!$A$449:$A$675</f>
              <numCache>
                <formatCode>[$-409]mmm\-yy;@</formatCode>
                <ptCount val="227"/>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numCache>
            </numRef>
          </cat>
          <val>
            <numRef>
              <f>'Core CPI'!$C$449:$C$675</f>
              <numCache>
                <formatCode>0.00%</formatCode>
                <ptCount val="227"/>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CPI'!$A$449:$A$675</f>
              <numCache>
                <formatCode>[$-409]mmm\-yy;@</formatCode>
                <ptCount val="227"/>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numCache>
            </numRef>
          </cat>
          <val>
            <numRef>
              <f>'Core CPI'!$C$449:$C$675</f>
              <numCache>
                <formatCode>0.00%</formatCode>
                <ptCount val="227"/>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CPI'!$A$569:$A$911</f>
              <numCache>
                <formatCode>[$-409]mmm\-yy;@</formatCode>
                <ptCount val="343"/>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numCache>
            </numRef>
          </cat>
          <val>
            <numRef>
              <f>'Core CPI'!$D$569:$D$911</f>
              <numCache>
                <formatCode>0.00%</formatCode>
                <ptCount val="343"/>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CPI'!$A$449:$A$685</f>
              <numCache>
                <formatCode>[$-409]mmm\-yy;@</formatCode>
                <ptCount val="237"/>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numCache>
            </numRef>
          </cat>
          <val>
            <numRef>
              <f>'Core CPI'!$C$449:$C$685</f>
              <numCache>
                <formatCode>0.00%</formatCode>
                <ptCount val="237"/>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13" headerRowCount="1" totalsRowShown="0" headerRowDxfId="37" dataDxfId="35" headerRowBorderDxfId="36">
  <autoFilter ref="A4:F913"/>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73" headerRowCount="1" totalsRowShown="0" headerRowDxfId="28" dataDxfId="26" headerRowBorderDxfId="27" tableBorderDxfId="25">
  <autoFilter ref="A4:D673"/>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73" headerRowCount="1" totalsRowShown="0" headerRowDxfId="20" dataDxfId="18" headerRowBorderDxfId="19" tableBorderDxfId="17">
  <autoFilter ref="A4:D673"/>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73" headerRowCount="1" totalsRowShown="0" headerRowDxfId="12" dataDxfId="10" headerRowBorderDxfId="11">
  <autoFilter ref="A4:F673"/>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10" defaultColWidth="9.1640625" defaultRowHeight="15"/>
  <cols>
    <col width="9.1640625" customWidth="1" style="85" min="1" max="1"/>
    <col width="12.83203125" customWidth="1" style="85" min="2" max="10"/>
    <col width="5.6640625" customWidth="1" style="85" min="11" max="13"/>
    <col width="19" customWidth="1" style="85" min="14" max="14"/>
    <col width="9.1640625" customWidth="1" style="85" min="15" max="15"/>
    <col width="12.33203125" customWidth="1" style="85" min="16" max="19"/>
    <col width="9.1640625" customWidth="1" style="85" min="20" max="28"/>
    <col width="9.1640625" customWidth="1" style="85" min="29" max="16384"/>
  </cols>
  <sheetData>
    <row r="1">
      <c r="B1" s="86" t="n"/>
    </row>
    <row r="2" ht="16" customHeight="1" s="60" thickBot="1">
      <c r="B2" s="87" t="n"/>
      <c r="C2" s="87" t="n"/>
      <c r="D2" s="87" t="n"/>
      <c r="E2" s="87" t="n"/>
      <c r="F2" s="87" t="n"/>
      <c r="G2" s="87" t="n"/>
      <c r="H2" s="87" t="n"/>
      <c r="I2" s="87" t="n"/>
      <c r="J2" s="87" t="n"/>
    </row>
    <row r="3" ht="16" customHeight="1" s="60" thickBot="1">
      <c r="B3" s="88" t="inlineStr">
        <is>
          <t>Consumer Price Index</t>
        </is>
      </c>
      <c r="C3" s="89" t="n"/>
      <c r="D3" s="89" t="n"/>
      <c r="E3" s="89" t="n"/>
      <c r="F3" s="89" t="n"/>
      <c r="G3" s="89" t="n"/>
      <c r="H3" s="89" t="n"/>
      <c r="I3" s="89" t="n"/>
      <c r="J3" s="90" t="n"/>
    </row>
    <row r="5">
      <c r="B5" s="78" t="inlineStr">
        <is>
          <t>Definition</t>
        </is>
      </c>
      <c r="C5" s="79" t="n"/>
      <c r="D5" s="79" t="n"/>
      <c r="E5" s="79" t="n"/>
      <c r="F5" s="79" t="n"/>
      <c r="G5" s="79" t="n"/>
      <c r="H5" s="79" t="n"/>
      <c r="I5" s="79" t="n"/>
      <c r="J5" s="80" t="n"/>
    </row>
    <row r="7" ht="240.75" customHeight="1" s="60">
      <c r="B7" s="91"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92" t="inlineStr">
        <is>
          <t>https://www.bls.gov/cpi/</t>
        </is>
      </c>
    </row>
    <row r="9">
      <c r="B9" s="40" t="n"/>
      <c r="C9" s="40" t="n"/>
      <c r="D9" s="40" t="n"/>
      <c r="E9" s="40" t="n"/>
    </row>
    <row r="10">
      <c r="B10" s="78" t="inlineStr">
        <is>
          <t>Process / TO DO LIST</t>
        </is>
      </c>
      <c r="C10" s="79" t="n"/>
      <c r="D10" s="79" t="n"/>
      <c r="E10" s="79" t="n"/>
      <c r="F10" s="79" t="n"/>
      <c r="G10" s="79" t="n"/>
      <c r="H10" s="79" t="n"/>
      <c r="I10" s="79" t="n"/>
      <c r="J10" s="80" t="n"/>
      <c r="N10" s="78" t="inlineStr">
        <is>
          <t>Summary</t>
        </is>
      </c>
      <c r="O10" s="79" t="n"/>
      <c r="P10" s="79" t="n"/>
      <c r="Q10" s="79" t="n"/>
      <c r="R10" s="79" t="n"/>
      <c r="S10" s="80" t="n"/>
    </row>
    <row r="12">
      <c r="B12" s="78" t="inlineStr">
        <is>
          <t>TO DO LIST</t>
        </is>
      </c>
      <c r="C12" s="79" t="n"/>
      <c r="D12" s="79" t="n"/>
      <c r="E12" s="79" t="n"/>
      <c r="F12" s="80" t="n"/>
      <c r="G12" s="78" t="inlineStr">
        <is>
          <t>Comments</t>
        </is>
      </c>
      <c r="H12" s="79" t="n"/>
      <c r="I12" s="79" t="n"/>
      <c r="J12" s="80" t="n"/>
      <c r="N12" s="13" t="inlineStr">
        <is>
          <t>* To modify</t>
        </is>
      </c>
    </row>
    <row r="13" ht="16" customHeight="1" s="60" thickBot="1"/>
    <row r="14">
      <c r="B14" s="85" t="inlineStr">
        <is>
          <t>Create data on Fred</t>
        </is>
      </c>
      <c r="G14" s="85" t="n"/>
      <c r="P14" s="43" t="n">
        <v>44774</v>
      </c>
      <c r="Q14" s="44" t="n"/>
    </row>
    <row r="15" ht="16" customHeight="1" s="60" thickBot="1">
      <c r="B15" s="85" t="inlineStr">
        <is>
          <t>https://research.stlouisfed.org/useraccount/datalists</t>
        </is>
      </c>
      <c r="G15" s="85" t="n"/>
      <c r="P15" s="45" t="inlineStr">
        <is>
          <t>mom</t>
        </is>
      </c>
      <c r="Q15" s="45" t="inlineStr">
        <is>
          <t>yoy</t>
        </is>
      </c>
    </row>
    <row r="16" ht="44.25" customHeight="1" s="60">
      <c r="B16" s="3" t="inlineStr">
        <is>
          <t>CPIAUCSL</t>
        </is>
      </c>
      <c r="G16" s="94" t="inlineStr">
        <is>
          <t>Consumer Price Index for All Urban Consumers: All Items (CPIAUCSL), Index 1982-84=100, Monthly, Seasonally Adjusted</t>
        </is>
      </c>
      <c r="N16" s="81" t="inlineStr">
        <is>
          <t>CPI</t>
        </is>
      </c>
      <c r="O16" s="8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94" t="inlineStr">
        <is>
          <t>Consumer Price Index for All Urban Consumers: Energy (CPIENGSL), Index 1982-84=100, Monthly, Seasonally Adjusted</t>
        </is>
      </c>
      <c r="N17" s="83" t="inlineStr">
        <is>
          <t>CPI Food</t>
        </is>
      </c>
      <c r="O17" s="80"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84" t="inlineStr">
        <is>
          <t>Consumer Price Index for All Urban Consumers: Food and Beverages (CPIFABSL), Index 1982-84=100, Monthly, Seasonally Adjusted</t>
        </is>
      </c>
      <c r="N18" s="83" t="inlineStr">
        <is>
          <t>CPI Energy</t>
        </is>
      </c>
      <c r="O18" s="80"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94" t="inlineStr">
        <is>
          <t>Consumer Price Index for All Urban Consumers: All Items Less Food &amp; Energy (CPILFESL), Index 1982-84=100, Monthly, Seasonally Adjusted</t>
        </is>
      </c>
      <c r="N19" s="76" t="inlineStr">
        <is>
          <t>Core CPI</t>
        </is>
      </c>
      <c r="O19" s="77"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93" t="n"/>
      <c r="N22" s="44">
        <f>DATE(YEAR($P$14),MONTH($P$14)-1,DAY($P$14))</f>
        <v/>
      </c>
    </row>
    <row r="23" ht="16" customHeight="1" s="60" thickBot="1">
      <c r="B23" s="42" t="n"/>
      <c r="N23" s="46">
        <f>DATE(YEAR($P$14)-1,MONTH($P$14),DAY($P$14))</f>
        <v/>
      </c>
      <c r="P23" s="47" t="n"/>
      <c r="Q23" s="47" t="n"/>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10"/>
  <sheetViews>
    <sheetView zoomScale="130" zoomScaleNormal="130" workbookViewId="0">
      <pane ySplit="1" topLeftCell="A887"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243.618</v>
      </c>
      <c r="C842" t="n">
        <v>205.369</v>
      </c>
      <c r="D842" t="n">
        <v>247.9</v>
      </c>
      <c r="E842" t="n">
        <v>250.467</v>
      </c>
    </row>
    <row r="843">
      <c r="A843" s="96" t="n">
        <v>42767</v>
      </c>
      <c r="B843" t="n">
        <v>244.006</v>
      </c>
      <c r="C843" t="n">
        <v>204.133</v>
      </c>
      <c r="D843" t="n">
        <v>248.513</v>
      </c>
      <c r="E843" t="n">
        <v>250.998</v>
      </c>
    </row>
    <row r="844">
      <c r="A844" s="96" t="n">
        <v>42795</v>
      </c>
      <c r="B844" t="n">
        <v>243.892</v>
      </c>
      <c r="C844" t="n">
        <v>202.528</v>
      </c>
      <c r="D844" t="n">
        <v>249.02</v>
      </c>
      <c r="E844" t="n">
        <v>250.944</v>
      </c>
    </row>
    <row r="845">
      <c r="A845" s="96" t="n">
        <v>42826</v>
      </c>
      <c r="B845" t="n">
        <v>244.193</v>
      </c>
      <c r="C845" t="n">
        <v>202.954</v>
      </c>
      <c r="D845" t="n">
        <v>249.381</v>
      </c>
      <c r="E845" t="n">
        <v>251.227</v>
      </c>
    </row>
    <row r="846">
      <c r="A846" s="96" t="n">
        <v>42856</v>
      </c>
      <c r="B846" t="n">
        <v>244.004</v>
      </c>
      <c r="C846" t="n">
        <v>198.449</v>
      </c>
      <c r="D846" t="n">
        <v>249.711</v>
      </c>
      <c r="E846" t="n">
        <v>251.43</v>
      </c>
    </row>
    <row r="847">
      <c r="A847" s="96" t="n">
        <v>42887</v>
      </c>
      <c r="B847" t="n">
        <v>244.163</v>
      </c>
      <c r="C847" t="n">
        <v>197.808</v>
      </c>
      <c r="D847" t="n">
        <v>249.519</v>
      </c>
      <c r="E847" t="n">
        <v>251.746</v>
      </c>
    </row>
    <row r="848">
      <c r="A848" s="96" t="n">
        <v>42917</v>
      </c>
      <c r="B848" t="n">
        <v>244.243</v>
      </c>
      <c r="C848" t="n">
        <v>195.994</v>
      </c>
      <c r="D848" t="n">
        <v>249.937</v>
      </c>
      <c r="E848" t="n">
        <v>251.985</v>
      </c>
    </row>
    <row r="849">
      <c r="A849" s="96" t="n">
        <v>42948</v>
      </c>
      <c r="B849" t="n">
        <v>245.183</v>
      </c>
      <c r="C849" t="n">
        <v>201.45</v>
      </c>
      <c r="D849" t="n">
        <v>250.21</v>
      </c>
      <c r="E849" t="n">
        <v>252.535</v>
      </c>
    </row>
    <row r="850">
      <c r="A850" s="96" t="n">
        <v>42979</v>
      </c>
      <c r="B850" t="n">
        <v>246.435</v>
      </c>
      <c r="C850" t="n">
        <v>212.723</v>
      </c>
      <c r="D850" t="n">
        <v>250.587</v>
      </c>
      <c r="E850" t="n">
        <v>252.812</v>
      </c>
    </row>
    <row r="851">
      <c r="A851" s="96" t="n">
        <v>43009</v>
      </c>
      <c r="B851" t="n">
        <v>246.626</v>
      </c>
      <c r="C851" t="n">
        <v>208.328</v>
      </c>
      <c r="D851" t="n">
        <v>250.816</v>
      </c>
      <c r="E851" t="n">
        <v>253.526</v>
      </c>
    </row>
    <row r="852">
      <c r="A852" s="96" t="n">
        <v>43040</v>
      </c>
      <c r="B852" t="n">
        <v>247.284</v>
      </c>
      <c r="C852" t="n">
        <v>213.047</v>
      </c>
      <c r="D852" t="n">
        <v>250.996</v>
      </c>
      <c r="E852" t="n">
        <v>253.816</v>
      </c>
    </row>
    <row r="853">
      <c r="A853" s="96" t="n">
        <v>43070</v>
      </c>
      <c r="B853" t="n">
        <v>247.805</v>
      </c>
      <c r="C853" t="n">
        <v>213.574</v>
      </c>
      <c r="D853" t="n">
        <v>251.49</v>
      </c>
      <c r="E853" t="n">
        <v>254.344</v>
      </c>
    </row>
    <row r="854">
      <c r="A854" s="96" t="n">
        <v>43101</v>
      </c>
      <c r="B854" t="n">
        <v>248.743</v>
      </c>
      <c r="C854" t="n">
        <v>216.872</v>
      </c>
      <c r="D854" t="n">
        <v>251.999</v>
      </c>
      <c r="E854" t="n">
        <v>255.072</v>
      </c>
    </row>
    <row r="855">
      <c r="A855" s="96" t="n">
        <v>43132</v>
      </c>
      <c r="B855" t="n">
        <v>249.439</v>
      </c>
      <c r="C855" t="n">
        <v>220.381</v>
      </c>
      <c r="D855" t="n">
        <v>252.029</v>
      </c>
      <c r="E855" t="n">
        <v>255.568</v>
      </c>
    </row>
    <row r="856">
      <c r="A856" s="96" t="n">
        <v>43160</v>
      </c>
      <c r="B856" t="n">
        <v>249.581</v>
      </c>
      <c r="C856" t="n">
        <v>216.925</v>
      </c>
      <c r="D856" t="n">
        <v>252.198</v>
      </c>
      <c r="E856" t="n">
        <v>256.128</v>
      </c>
    </row>
    <row r="857">
      <c r="A857" s="96" t="n">
        <v>43191</v>
      </c>
      <c r="B857" t="n">
        <v>250.146</v>
      </c>
      <c r="C857" t="n">
        <v>218.268</v>
      </c>
      <c r="D857" t="n">
        <v>252.802</v>
      </c>
      <c r="E857" t="n">
        <v>256.603</v>
      </c>
    </row>
    <row r="858">
      <c r="A858" s="96" t="n">
        <v>43221</v>
      </c>
      <c r="B858" t="n">
        <v>250.779</v>
      </c>
      <c r="C858" t="n">
        <v>220.632</v>
      </c>
      <c r="D858" t="n">
        <v>252.776</v>
      </c>
      <c r="E858" t="n">
        <v>257.151</v>
      </c>
    </row>
    <row r="859">
      <c r="A859" s="96" t="n">
        <v>43252</v>
      </c>
      <c r="B859" t="n">
        <v>251.118</v>
      </c>
      <c r="C859" t="n">
        <v>221.473</v>
      </c>
      <c r="D859" t="n">
        <v>253.078</v>
      </c>
      <c r="E859" t="n">
        <v>257.449</v>
      </c>
    </row>
    <row r="860">
      <c r="A860" s="96" t="n">
        <v>43282</v>
      </c>
      <c r="B860" t="n">
        <v>251.323</v>
      </c>
      <c r="C860" t="n">
        <v>219.758</v>
      </c>
      <c r="D860" t="n">
        <v>253.444</v>
      </c>
      <c r="E860" t="n">
        <v>257.848</v>
      </c>
    </row>
    <row r="861">
      <c r="A861" s="96" t="n">
        <v>43313</v>
      </c>
      <c r="B861" t="n">
        <v>251.749</v>
      </c>
      <c r="C861" t="n">
        <v>222.435</v>
      </c>
      <c r="D861" t="n">
        <v>253.76</v>
      </c>
      <c r="E861" t="n">
        <v>258.028</v>
      </c>
    </row>
    <row r="862">
      <c r="A862" s="96" t="n">
        <v>43344</v>
      </c>
      <c r="B862" t="n">
        <v>252.239</v>
      </c>
      <c r="C862" t="n">
        <v>223.444</v>
      </c>
      <c r="D862" t="n">
        <v>254.084</v>
      </c>
      <c r="E862" t="n">
        <v>258.505</v>
      </c>
    </row>
    <row r="863">
      <c r="A863" s="96" t="n">
        <v>43374</v>
      </c>
      <c r="B863" t="n">
        <v>252.862</v>
      </c>
      <c r="C863" t="n">
        <v>226.462</v>
      </c>
      <c r="D863" t="n">
        <v>253.924</v>
      </c>
      <c r="E863" t="n">
        <v>258.997</v>
      </c>
    </row>
    <row r="864">
      <c r="A864" s="96" t="n">
        <v>43405</v>
      </c>
      <c r="B864" t="n">
        <v>252.657</v>
      </c>
      <c r="C864" t="n">
        <v>219.267</v>
      </c>
      <c r="D864" t="n">
        <v>254.606</v>
      </c>
      <c r="E864" t="n">
        <v>259.455</v>
      </c>
    </row>
    <row r="865">
      <c r="A865" s="96" t="n">
        <v>43435</v>
      </c>
      <c r="B865" t="n">
        <v>252.551</v>
      </c>
      <c r="C865" t="n">
        <v>212.633</v>
      </c>
      <c r="D865" t="n">
        <v>255.475</v>
      </c>
      <c r="E865" t="n">
        <v>259.934</v>
      </c>
    </row>
    <row r="866">
      <c r="A866" s="96" t="n">
        <v>43466</v>
      </c>
      <c r="B866" t="n">
        <v>252.47</v>
      </c>
      <c r="C866" t="n">
        <v>205.54</v>
      </c>
      <c r="D866" t="n">
        <v>256.146</v>
      </c>
      <c r="E866" t="n">
        <v>260.534</v>
      </c>
    </row>
    <row r="867">
      <c r="A867" s="96" t="n">
        <v>43497</v>
      </c>
      <c r="B867" t="n">
        <v>253.135</v>
      </c>
      <c r="C867" t="n">
        <v>208.699</v>
      </c>
      <c r="D867" t="n">
        <v>256.978</v>
      </c>
      <c r="E867" t="n">
        <v>260.885</v>
      </c>
    </row>
    <row r="868">
      <c r="A868" s="96" t="n">
        <v>43525</v>
      </c>
      <c r="B868" t="n">
        <v>254.273</v>
      </c>
      <c r="C868" t="n">
        <v>216.376</v>
      </c>
      <c r="D868" t="n">
        <v>257.435</v>
      </c>
      <c r="E868" t="n">
        <v>261.382</v>
      </c>
    </row>
    <row r="869">
      <c r="A869" s="96" t="n">
        <v>43556</v>
      </c>
      <c r="B869" t="n">
        <v>255.163</v>
      </c>
      <c r="C869" t="n">
        <v>221.758</v>
      </c>
      <c r="D869" t="n">
        <v>257.161</v>
      </c>
      <c r="E869" t="n">
        <v>261.958</v>
      </c>
    </row>
    <row r="870">
      <c r="A870" s="96" t="n">
        <v>43586</v>
      </c>
      <c r="B870" t="n">
        <v>255.325</v>
      </c>
      <c r="C870" t="n">
        <v>219.68</v>
      </c>
      <c r="D870" t="n">
        <v>257.701</v>
      </c>
      <c r="E870" t="n">
        <v>262.321</v>
      </c>
    </row>
    <row r="871">
      <c r="A871" s="96" t="n">
        <v>43617</v>
      </c>
      <c r="B871" t="n">
        <v>255.361</v>
      </c>
      <c r="C871" t="n">
        <v>214.666</v>
      </c>
      <c r="D871" t="n">
        <v>257.766</v>
      </c>
      <c r="E871" t="n">
        <v>262.945</v>
      </c>
    </row>
    <row r="872">
      <c r="A872" s="96" t="n">
        <v>43647</v>
      </c>
      <c r="B872" t="n">
        <v>255.9</v>
      </c>
      <c r="C872" t="n">
        <v>215.85</v>
      </c>
      <c r="D872" t="n">
        <v>257.928</v>
      </c>
      <c r="E872" t="n">
        <v>263.491</v>
      </c>
    </row>
    <row r="873">
      <c r="A873" s="96" t="n">
        <v>43678</v>
      </c>
      <c r="B873" t="n">
        <v>256.179</v>
      </c>
      <c r="C873" t="n">
        <v>213.169</v>
      </c>
      <c r="D873" t="n">
        <v>258.098</v>
      </c>
      <c r="E873" t="n">
        <v>264.135</v>
      </c>
    </row>
    <row r="874">
      <c r="A874" s="96" t="n">
        <v>43709</v>
      </c>
      <c r="B874" t="n">
        <v>256.596</v>
      </c>
      <c r="C874" t="n">
        <v>213.122</v>
      </c>
      <c r="D874" t="n">
        <v>258.59</v>
      </c>
      <c r="E874" t="n">
        <v>264.588</v>
      </c>
    </row>
    <row r="875">
      <c r="A875" s="96" t="n">
        <v>43739</v>
      </c>
      <c r="B875" t="n">
        <v>257.305</v>
      </c>
      <c r="C875" t="n">
        <v>216.62</v>
      </c>
      <c r="D875" t="n">
        <v>259.025</v>
      </c>
      <c r="E875" t="n">
        <v>265.019</v>
      </c>
    </row>
    <row r="876">
      <c r="A876" s="96" t="n">
        <v>43770</v>
      </c>
      <c r="B876" t="n">
        <v>257.788</v>
      </c>
      <c r="C876" t="n">
        <v>217.435</v>
      </c>
      <c r="D876" t="n">
        <v>259.485</v>
      </c>
      <c r="E876" t="n">
        <v>265.461</v>
      </c>
    </row>
    <row r="877">
      <c r="A877" s="96" t="n">
        <v>43800</v>
      </c>
      <c r="B877" t="n">
        <v>258.263</v>
      </c>
      <c r="C877" t="n">
        <v>219.786</v>
      </c>
      <c r="D877" t="n">
        <v>259.845</v>
      </c>
      <c r="E877" t="n">
        <v>265.742</v>
      </c>
    </row>
    <row r="878">
      <c r="A878" s="96" t="n">
        <v>43831</v>
      </c>
      <c r="B878" t="n">
        <v>258.682</v>
      </c>
      <c r="C878" t="n">
        <v>217.803</v>
      </c>
      <c r="D878" t="n">
        <v>260.671</v>
      </c>
      <c r="E878" t="n">
        <v>266.418</v>
      </c>
    </row>
    <row r="879">
      <c r="A879" s="96" t="n">
        <v>43862</v>
      </c>
      <c r="B879" t="n">
        <v>259.007</v>
      </c>
      <c r="C879" t="n">
        <v>214.119</v>
      </c>
      <c r="D879" t="n">
        <v>261.492</v>
      </c>
      <c r="E879" t="n">
        <v>267.083</v>
      </c>
    </row>
    <row r="880">
      <c r="A880" s="96" t="n">
        <v>43891</v>
      </c>
      <c r="B880" t="n">
        <v>258.165</v>
      </c>
      <c r="C880" t="n">
        <v>203.912</v>
      </c>
      <c r="D880" t="n">
        <v>262.323</v>
      </c>
      <c r="E880" t="n">
        <v>266.916</v>
      </c>
    </row>
    <row r="881">
      <c r="A881" s="96" t="n">
        <v>43922</v>
      </c>
      <c r="B881" t="n">
        <v>256.094</v>
      </c>
      <c r="C881" t="n">
        <v>182.889</v>
      </c>
      <c r="D881" t="n">
        <v>265.882</v>
      </c>
      <c r="E881" t="n">
        <v>265.771</v>
      </c>
    </row>
    <row r="882">
      <c r="A882" s="96" t="n">
        <v>43952</v>
      </c>
      <c r="B882" t="n">
        <v>255.944</v>
      </c>
      <c r="C882" t="n">
        <v>179.542</v>
      </c>
      <c r="D882" t="n">
        <v>267.693</v>
      </c>
      <c r="E882" t="n">
        <v>265.606</v>
      </c>
    </row>
    <row r="883">
      <c r="A883" s="96" t="n">
        <v>43983</v>
      </c>
      <c r="B883" t="n">
        <v>257.217</v>
      </c>
      <c r="C883" t="n">
        <v>188.437</v>
      </c>
      <c r="D883" t="n">
        <v>268.95</v>
      </c>
      <c r="E883" t="n">
        <v>266.088</v>
      </c>
    </row>
    <row r="884">
      <c r="A884" s="96" t="n">
        <v>44013</v>
      </c>
      <c r="B884" t="n">
        <v>258.543</v>
      </c>
      <c r="C884" t="n">
        <v>192.556</v>
      </c>
      <c r="D884" t="n">
        <v>267.977</v>
      </c>
      <c r="E884" t="n">
        <v>267.552</v>
      </c>
    </row>
    <row r="885">
      <c r="A885" s="96" t="n">
        <v>44044</v>
      </c>
      <c r="B885" t="n">
        <v>259.58</v>
      </c>
      <c r="C885" t="n">
        <v>194.285</v>
      </c>
      <c r="D885" t="n">
        <v>268.289</v>
      </c>
      <c r="E885" t="n">
        <v>268.662</v>
      </c>
    </row>
    <row r="886">
      <c r="A886" s="96" t="n">
        <v>44075</v>
      </c>
      <c r="B886" t="n">
        <v>260.19</v>
      </c>
      <c r="C886" t="n">
        <v>196.875</v>
      </c>
      <c r="D886" t="n">
        <v>268.428</v>
      </c>
      <c r="E886" t="n">
        <v>269.152</v>
      </c>
    </row>
    <row r="887">
      <c r="A887" s="96" t="n">
        <v>44105</v>
      </c>
      <c r="B887" t="n">
        <v>260.352</v>
      </c>
      <c r="C887" t="n">
        <v>196.435</v>
      </c>
      <c r="D887" t="n">
        <v>268.904</v>
      </c>
      <c r="E887" t="n">
        <v>269.332</v>
      </c>
    </row>
    <row r="888">
      <c r="A888" s="96" t="n">
        <v>44136</v>
      </c>
      <c r="B888" t="n">
        <v>260.721</v>
      </c>
      <c r="C888" t="n">
        <v>196.359</v>
      </c>
      <c r="D888" t="n">
        <v>268.999</v>
      </c>
      <c r="E888" t="n">
        <v>269.816</v>
      </c>
    </row>
    <row r="889">
      <c r="A889" s="96" t="n">
        <v>44166</v>
      </c>
      <c r="B889" t="n">
        <v>261.564</v>
      </c>
      <c r="C889" t="n">
        <v>203.649</v>
      </c>
      <c r="D889" t="n">
        <v>269.82</v>
      </c>
      <c r="E889" t="n">
        <v>269.984</v>
      </c>
    </row>
    <row r="890">
      <c r="A890" s="96" t="n">
        <v>44197</v>
      </c>
      <c r="B890" t="n">
        <v>262.2</v>
      </c>
      <c r="C890" t="n">
        <v>209.328</v>
      </c>
      <c r="D890" t="n">
        <v>270.347</v>
      </c>
      <c r="E890" t="n">
        <v>270.114</v>
      </c>
    </row>
    <row r="891">
      <c r="A891" s="96" t="n">
        <v>44228</v>
      </c>
      <c r="B891" t="n">
        <v>263.346</v>
      </c>
      <c r="C891" t="n">
        <v>218.944</v>
      </c>
      <c r="D891" t="n">
        <v>270.705</v>
      </c>
      <c r="E891" t="n">
        <v>270.522</v>
      </c>
    </row>
    <row r="892">
      <c r="A892" s="96" t="n">
        <v>44256</v>
      </c>
      <c r="B892" t="n">
        <v>265.028</v>
      </c>
      <c r="C892" t="n">
        <v>231.127</v>
      </c>
      <c r="D892" t="n">
        <v>271.16</v>
      </c>
      <c r="E892" t="n">
        <v>271.347</v>
      </c>
    </row>
    <row r="893">
      <c r="A893" s="96" t="n">
        <v>44287</v>
      </c>
      <c r="B893" t="n">
        <v>266.727</v>
      </c>
      <c r="C893" t="n">
        <v>228.374</v>
      </c>
      <c r="D893" t="n">
        <v>272.101</v>
      </c>
      <c r="E893" t="n">
        <v>273.669</v>
      </c>
    </row>
    <row r="894">
      <c r="A894" s="96" t="n">
        <v>44317</v>
      </c>
      <c r="B894" t="n">
        <v>268.599</v>
      </c>
      <c r="C894" t="n">
        <v>229.874</v>
      </c>
      <c r="D894" t="n">
        <v>273.338</v>
      </c>
      <c r="E894" t="n">
        <v>275.715</v>
      </c>
    </row>
    <row r="895">
      <c r="A895" s="96" t="n">
        <v>44348</v>
      </c>
      <c r="B895" t="n">
        <v>270.955</v>
      </c>
      <c r="C895" t="n">
        <v>234.625</v>
      </c>
      <c r="D895" t="n">
        <v>275.251</v>
      </c>
      <c r="E895" t="n">
        <v>277.922</v>
      </c>
    </row>
    <row r="896">
      <c r="A896" s="96" t="n">
        <v>44378</v>
      </c>
      <c r="B896" t="n">
        <v>272.184</v>
      </c>
      <c r="C896" t="n">
        <v>238.447</v>
      </c>
      <c r="D896" t="n">
        <v>276.992</v>
      </c>
      <c r="E896" t="n">
        <v>278.794</v>
      </c>
    </row>
    <row r="897">
      <c r="A897" s="96" t="n">
        <v>44409</v>
      </c>
      <c r="B897" t="n">
        <v>273.092</v>
      </c>
      <c r="C897" t="n">
        <v>242.958</v>
      </c>
      <c r="D897" t="n">
        <v>278.062</v>
      </c>
      <c r="E897" t="n">
        <v>279.306</v>
      </c>
    </row>
    <row r="898">
      <c r="A898" s="96" t="n">
        <v>44440</v>
      </c>
      <c r="B898" t="n">
        <v>274.214</v>
      </c>
      <c r="C898" t="n">
        <v>245.847</v>
      </c>
      <c r="D898" t="n">
        <v>280.413</v>
      </c>
      <c r="E898" t="n">
        <v>280.017</v>
      </c>
    </row>
    <row r="899">
      <c r="A899" s="96" t="n">
        <v>44470</v>
      </c>
      <c r="B899" t="n">
        <v>276.59</v>
      </c>
      <c r="C899" t="n">
        <v>255.01</v>
      </c>
      <c r="D899" t="n">
        <v>282.661</v>
      </c>
      <c r="E899" t="n">
        <v>281.705</v>
      </c>
    </row>
    <row r="900">
      <c r="A900" s="96" t="n">
        <v>44501</v>
      </c>
      <c r="B900" t="n">
        <v>278.524</v>
      </c>
      <c r="C900" t="n">
        <v>261.257</v>
      </c>
      <c r="D900" t="n">
        <v>284.676</v>
      </c>
      <c r="E900" t="n">
        <v>283.179</v>
      </c>
    </row>
    <row r="901">
      <c r="A901" s="96" t="n">
        <v>44531</v>
      </c>
      <c r="B901" t="n">
        <v>280.126</v>
      </c>
      <c r="C901" t="n">
        <v>263.553</v>
      </c>
      <c r="D901" t="n">
        <v>286.018</v>
      </c>
      <c r="E901" t="n">
        <v>284.77</v>
      </c>
    </row>
    <row r="902">
      <c r="A902" s="96" t="n">
        <v>44562</v>
      </c>
      <c r="B902" t="n">
        <v>281.933</v>
      </c>
      <c r="C902" t="n">
        <v>265.929</v>
      </c>
      <c r="D902" t="n">
        <v>288.436</v>
      </c>
      <c r="E902" t="n">
        <v>286.431</v>
      </c>
    </row>
    <row r="903">
      <c r="A903" s="96" t="n">
        <v>44593</v>
      </c>
      <c r="B903" t="n">
        <v>284.182</v>
      </c>
      <c r="C903" t="n">
        <v>275.17</v>
      </c>
      <c r="D903" t="n">
        <v>291.325</v>
      </c>
      <c r="E903" t="n">
        <v>287.878</v>
      </c>
    </row>
    <row r="904">
      <c r="A904" s="96" t="n">
        <v>44621</v>
      </c>
      <c r="B904" t="n">
        <v>287.708</v>
      </c>
      <c r="C904" t="n">
        <v>305.469</v>
      </c>
      <c r="D904" t="n">
        <v>294.119</v>
      </c>
      <c r="E904" t="n">
        <v>288.811</v>
      </c>
    </row>
    <row r="905">
      <c r="A905" s="96" t="n">
        <v>44652</v>
      </c>
      <c r="B905" t="n">
        <v>288.663</v>
      </c>
      <c r="C905" t="n">
        <v>297.233</v>
      </c>
      <c r="D905" t="n">
        <v>296.585</v>
      </c>
      <c r="E905" t="n">
        <v>290.455</v>
      </c>
    </row>
    <row r="906">
      <c r="A906" s="96" t="n">
        <v>44682</v>
      </c>
      <c r="B906" t="n">
        <v>291.474</v>
      </c>
      <c r="C906" t="n">
        <v>308.839</v>
      </c>
      <c r="D906" t="n">
        <v>299.941</v>
      </c>
      <c r="E906" t="n">
        <v>292.289</v>
      </c>
    </row>
    <row r="907">
      <c r="A907" s="96" t="n">
        <v>44713</v>
      </c>
      <c r="B907" t="n">
        <v>295.328</v>
      </c>
      <c r="C907" t="n">
        <v>332.087</v>
      </c>
      <c r="D907" t="n">
        <v>302.805</v>
      </c>
      <c r="E907" t="n">
        <v>294.354</v>
      </c>
    </row>
    <row r="908">
      <c r="A908" s="96" t="n">
        <v>44743</v>
      </c>
      <c r="B908" t="n">
        <v>295.271</v>
      </c>
      <c r="C908" t="n">
        <v>316.955</v>
      </c>
      <c r="D908" t="n">
        <v>306.023</v>
      </c>
      <c r="E908" t="n">
        <v>295.275</v>
      </c>
    </row>
    <row r="909">
      <c r="A909" s="96" t="n">
        <v>44774</v>
      </c>
      <c r="B909" t="n">
        <v>295.62</v>
      </c>
      <c r="C909" t="n">
        <v>301.045</v>
      </c>
      <c r="D909" t="n">
        <v>308.369</v>
      </c>
      <c r="E909" t="n">
        <v>296.95</v>
      </c>
    </row>
    <row r="910">
      <c r="A910" s="96" t="n">
        <v>44805</v>
      </c>
      <c r="B910" t="n">
        <v>296.761</v>
      </c>
      <c r="C910" t="n">
        <v>294.705</v>
      </c>
      <c r="D910" t="n">
        <v>310.635</v>
      </c>
      <c r="E910" t="n">
        <v>298.66</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20"/>
  <sheetViews>
    <sheetView zoomScale="130" zoomScaleNormal="130" workbookViewId="0">
      <pane ySplit="1" topLeftCell="A806" activePane="bottomLeft" state="frozen"/>
      <selection pane="bottomLeft" activeCell="N27" sqref="N27"/>
    </sheetView>
  </sheetViews>
  <sheetFormatPr baseColWidth="10" defaultColWidth="9.1640625" defaultRowHeight="15"/>
  <cols>
    <col width="13.1640625" customWidth="1" style="85" min="1" max="1"/>
    <col width="20.33203125" customWidth="1" style="5" min="2" max="2"/>
    <col width="9.1640625" customWidth="1" style="85" min="3" max="4"/>
    <col width="13.33203125" customWidth="1" style="5" min="5" max="5"/>
    <col width="16.33203125" customWidth="1" style="5" min="6" max="6"/>
    <col width="9.1640625" customWidth="1" style="85" min="7" max="15"/>
    <col width="9.1640625" customWidth="1" style="85" min="16"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row r="813">
      <c r="A813" s="96" t="n">
        <v>44593</v>
      </c>
      <c r="B813" t="n">
        <v>0.25</v>
      </c>
      <c r="C813" t="n">
        <v>0.08</v>
      </c>
    </row>
    <row r="814">
      <c r="A814" s="96" t="n">
        <v>44621</v>
      </c>
      <c r="B814" t="n">
        <v>0.5</v>
      </c>
      <c r="C814" t="n">
        <v>0.2</v>
      </c>
    </row>
    <row r="815">
      <c r="A815" s="96" t="n">
        <v>44652</v>
      </c>
      <c r="B815" t="n">
        <v>0.5</v>
      </c>
      <c r="C815" t="n">
        <v>0.33</v>
      </c>
    </row>
    <row r="816">
      <c r="A816" s="96" t="n">
        <v>44682</v>
      </c>
      <c r="B816" t="n">
        <v>1</v>
      </c>
      <c r="C816" t="n">
        <v>0.77</v>
      </c>
    </row>
    <row r="817">
      <c r="A817" s="96" t="n">
        <v>44713</v>
      </c>
      <c r="B817" t="n">
        <v>1.75</v>
      </c>
      <c r="C817" t="n">
        <v>1.21</v>
      </c>
    </row>
    <row r="818">
      <c r="A818" s="96" t="n">
        <v>44743</v>
      </c>
      <c r="B818" t="n">
        <v>2.5</v>
      </c>
      <c r="C818" t="n">
        <v>1.68</v>
      </c>
    </row>
    <row r="819">
      <c r="A819" s="96" t="n">
        <v>44774</v>
      </c>
      <c r="B819" t="n">
        <v>2.5</v>
      </c>
      <c r="C819" t="n">
        <v>2.33</v>
      </c>
    </row>
    <row r="820">
      <c r="A820" s="96" t="n">
        <v>44805</v>
      </c>
      <c r="B820" t="n">
        <v>3.25</v>
      </c>
      <c r="C820" t="n">
        <v>2.56</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90"/>
  <sheetViews>
    <sheetView zoomScale="130" zoomScaleNormal="130" workbookViewId="0">
      <pane ySplit="4" topLeftCell="A894" activePane="bottomLeft" state="frozen"/>
      <selection pane="bottomLeft" activeCell="D913" sqref="D913"/>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85" min="7" max="26"/>
    <col width="7.6640625" customWidth="1" style="85" min="27" max="30"/>
    <col width="9.1640625" customWidth="1" style="85" min="31" max="328"/>
  </cols>
  <sheetData>
    <row r="1" customFormat="1" s="85">
      <c r="A1" s="7" t="inlineStr">
        <is>
          <t>CPIAUCSL</t>
        </is>
      </c>
      <c r="B1" s="63" t="inlineStr">
        <is>
          <t>Consumer Price Index for All Urban Consumers: All Items (CPIAUCSL), Index 1982-84=100, Monthly, Seasonally Adjusted</t>
        </is>
      </c>
      <c r="C1" s="2" t="n"/>
      <c r="D1" s="2" t="n"/>
      <c r="E1" s="5" t="n"/>
      <c r="F1" s="5" t="n"/>
    </row>
    <row r="2" customFormat="1" s="85">
      <c r="A2" s="2" t="n"/>
      <c r="B2" s="64" t="n"/>
      <c r="C2" s="2" t="n"/>
      <c r="D2" s="2" t="n"/>
      <c r="E2" s="5" t="n"/>
      <c r="F2" s="5" t="n"/>
    </row>
    <row r="3" ht="16" customFormat="1" customHeight="1" s="85"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85">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85">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85">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85">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85">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85">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85">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85">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85">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85">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85">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85">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85">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85">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85">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85">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85">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85">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85">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85">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85">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85">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85">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85">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85">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85">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85">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85">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85">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85">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85">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85">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85">
      <c r="A906" s="61" t="n">
        <v>44593</v>
      </c>
      <c r="B906" s="68">
        <f>VLOOKUP(Table2[[#This Row],[Date]],Database!A:E,2,)</f>
        <v/>
      </c>
      <c r="C906" s="14">
        <f>(B906-B905)/B905</f>
        <v/>
      </c>
      <c r="D906" s="14">
        <f>(B906-B894)/B894</f>
        <v/>
      </c>
      <c r="E906" s="15">
        <f>VLOOKUP(Table2[[#This Row],[Date]],'Fed Fund New'!$A:$C,2,FALSE)</f>
        <v/>
      </c>
      <c r="F906" s="15">
        <f>VLOOKUP(Table2[[#This Row],[Date]],'Fed Fund New'!$A:$C,3,FALSE)</f>
        <v/>
      </c>
    </row>
    <row r="907" customFormat="1" s="85">
      <c r="A907" s="61" t="n">
        <v>44621</v>
      </c>
      <c r="B907" s="68">
        <f>VLOOKUP(Table2[[#This Row],[Date]],Database!A:E,2,)</f>
        <v/>
      </c>
      <c r="C907" s="14">
        <f>(B907-B906)/B906</f>
        <v/>
      </c>
      <c r="D907" s="14">
        <f>(B907-B895)/B895</f>
        <v/>
      </c>
      <c r="E907" s="15">
        <f>VLOOKUP(Table2[[#This Row],[Date]],'Fed Fund New'!$A:$C,2,FALSE)</f>
        <v/>
      </c>
      <c r="F907" s="15">
        <f>VLOOKUP(Table2[[#This Row],[Date]],'Fed Fund New'!$A:$C,3,FALSE)</f>
        <v/>
      </c>
    </row>
    <row r="908" customFormat="1" s="85">
      <c r="A908" s="61" t="n">
        <v>44652</v>
      </c>
      <c r="B908" s="68">
        <f>VLOOKUP(Table2[[#This Row],[Date]],Database!A:E,2,)</f>
        <v/>
      </c>
      <c r="C908" s="14">
        <f>(B908-B907)/B907</f>
        <v/>
      </c>
      <c r="D908" s="14">
        <f>(B908-B896)/B896</f>
        <v/>
      </c>
      <c r="E908" s="15">
        <f>VLOOKUP(Table2[[#This Row],[Date]],'Fed Fund New'!$A:$C,2,FALSE)</f>
        <v/>
      </c>
      <c r="F908" s="15">
        <f>VLOOKUP(Table2[[#This Row],[Date]],'Fed Fund New'!$A:$C,3,FALSE)</f>
        <v/>
      </c>
    </row>
    <row r="909" customFormat="1" s="85">
      <c r="A909" s="61" t="n">
        <v>44682</v>
      </c>
      <c r="B909" s="68">
        <f>VLOOKUP(Table2[[#This Row],[Date]],Database!A:E,2,)</f>
        <v/>
      </c>
      <c r="C909" s="14">
        <f>(B909-B908)/B908</f>
        <v/>
      </c>
      <c r="D909" s="14">
        <f>(B909-B897)/B897</f>
        <v/>
      </c>
      <c r="E909" s="15">
        <f>VLOOKUP(Table2[[#This Row],[Date]],'Fed Fund New'!$A:$C,2,FALSE)</f>
        <v/>
      </c>
      <c r="F909" s="15">
        <f>VLOOKUP(Table2[[#This Row],[Date]],'Fed Fund New'!$A:$C,3,FALSE)</f>
        <v/>
      </c>
    </row>
    <row r="910" customFormat="1" s="85">
      <c r="A910" s="61" t="n">
        <v>44713</v>
      </c>
      <c r="B910" s="68">
        <f>VLOOKUP(Table2[[#This Row],[Date]],Database!A:E,2,)</f>
        <v/>
      </c>
      <c r="C910" s="14">
        <f>(B910-B909)/B909</f>
        <v/>
      </c>
      <c r="D910" s="14">
        <f>(B910-B898)/B898</f>
        <v/>
      </c>
      <c r="E910" s="15">
        <f>VLOOKUP(Table2[[#This Row],[Date]],'Fed Fund New'!$A:$C,2,FALSE)</f>
        <v/>
      </c>
      <c r="F910" s="15">
        <f>VLOOKUP(Table2[[#This Row],[Date]],'Fed Fund New'!$A:$C,3,FALSE)</f>
        <v/>
      </c>
    </row>
    <row r="911" customFormat="1" s="85">
      <c r="A911" s="61" t="n">
        <v>44743</v>
      </c>
      <c r="B911" s="68">
        <f>VLOOKUP(Table2[[#This Row],[Date]],Database!A:E,2,)</f>
        <v/>
      </c>
      <c r="C911" s="14">
        <f>(B911-B910)/B910</f>
        <v/>
      </c>
      <c r="D911" s="14">
        <f>(B911-B899)/B899</f>
        <v/>
      </c>
      <c r="E911" s="15">
        <f>VLOOKUP(Table2[[#This Row],[Date]],'Fed Fund New'!$A:$C,2,FALSE)</f>
        <v/>
      </c>
      <c r="F911" s="15">
        <f>VLOOKUP(Table2[[#This Row],[Date]],'Fed Fund New'!$A:$C,3,FALSE)</f>
        <v/>
      </c>
    </row>
    <row r="912" customFormat="1" s="85">
      <c r="A912" s="61" t="n">
        <v>44774</v>
      </c>
      <c r="B912" s="68">
        <f>VLOOKUP(Table2[[#This Row],[Date]],Database!A:E,2,)</f>
        <v/>
      </c>
      <c r="C912" s="14">
        <f>(B912-B911)/B911</f>
        <v/>
      </c>
      <c r="D912" s="14">
        <f>(B912-B900)/B900</f>
        <v/>
      </c>
      <c r="E912" s="15">
        <f>VLOOKUP(Table2[[#This Row],[Date]],'Fed Fund New'!$A:$C,2,FALSE)</f>
        <v/>
      </c>
      <c r="F912" s="15">
        <f>VLOOKUP(Table2[[#This Row],[Date]],'Fed Fund New'!$A:$C,3,FALSE)</f>
        <v/>
      </c>
    </row>
    <row r="913" customFormat="1" s="85">
      <c r="A913" s="61" t="n">
        <v>44805</v>
      </c>
      <c r="B913" s="68">
        <f>VLOOKUP(Table2[[#This Row],[Date]],Database!A:E,2,)</f>
        <v/>
      </c>
      <c r="C913" s="14">
        <f>(B913-B912)/B912</f>
        <v/>
      </c>
      <c r="D913" s="14">
        <f>(B913-B901)/B901</f>
        <v/>
      </c>
      <c r="E913" s="15">
        <f>VLOOKUP(Table2[[#This Row],[Date]],'Fed Fund New'!$A:$C,2,FALSE)</f>
        <v/>
      </c>
      <c r="F913" s="15">
        <f>VLOOKUP(Table2[[#This Row],[Date]],'Fed Fund New'!$A:$C,3,FALSE)</f>
        <v/>
      </c>
    </row>
    <row r="914" customFormat="1" s="85">
      <c r="A914" s="2" t="n"/>
      <c r="B914" s="64" t="n"/>
      <c r="C914" s="2" t="n"/>
      <c r="D914" s="2" t="n"/>
      <c r="E914" s="5" t="n"/>
      <c r="F914" s="5" t="n"/>
    </row>
    <row r="915" customFormat="1" s="85">
      <c r="A915" s="2" t="n"/>
      <c r="B915" s="64" t="n"/>
      <c r="C915" s="2" t="n"/>
      <c r="D915" s="2" t="n"/>
      <c r="E915" s="5" t="n"/>
      <c r="F915" s="5" t="n"/>
    </row>
    <row r="916" customFormat="1" s="85">
      <c r="A916" s="2" t="n"/>
      <c r="B916" s="64" t="n"/>
      <c r="C916" s="2" t="n"/>
      <c r="D916" s="2" t="n"/>
      <c r="E916" s="5" t="n"/>
      <c r="F916" s="5" t="n"/>
    </row>
    <row r="917" customFormat="1" s="85">
      <c r="A917" s="2" t="n"/>
      <c r="B917" s="64" t="n"/>
      <c r="C917" s="2" t="n"/>
      <c r="D917" s="2" t="n"/>
      <c r="E917" s="5" t="n"/>
      <c r="F917" s="5" t="n"/>
    </row>
    <row r="918" customFormat="1" s="85">
      <c r="A918" s="2" t="n"/>
      <c r="B918" s="64" t="n"/>
      <c r="C918" s="2" t="n"/>
      <c r="D918" s="2" t="n"/>
      <c r="E918" s="5" t="n"/>
      <c r="F918" s="5" t="n"/>
    </row>
    <row r="919" customFormat="1" s="85">
      <c r="A919" s="2" t="n"/>
      <c r="B919" s="64" t="n"/>
      <c r="C919" s="2" t="n"/>
      <c r="D919" s="2" t="n"/>
      <c r="E919" s="5" t="n"/>
      <c r="F919" s="5" t="n"/>
    </row>
    <row r="920" customFormat="1" s="85">
      <c r="A920" s="2" t="n"/>
      <c r="B920" s="64" t="n"/>
      <c r="C920" s="2" t="n"/>
      <c r="D920" s="2" t="n"/>
      <c r="E920" s="5" t="n"/>
      <c r="F920" s="5" t="n"/>
    </row>
    <row r="921" customFormat="1" s="85">
      <c r="A921" s="2" t="n"/>
      <c r="B921" s="64" t="n"/>
      <c r="C921" s="2" t="n"/>
      <c r="D921" s="2" t="n"/>
      <c r="E921" s="5" t="n"/>
      <c r="F921" s="5" t="n"/>
    </row>
    <row r="922" customFormat="1" s="85">
      <c r="A922" s="2" t="n"/>
      <c r="B922" s="64" t="n"/>
      <c r="C922" s="2" t="n"/>
      <c r="D922" s="2" t="n"/>
      <c r="E922" s="5" t="n"/>
      <c r="F922" s="5" t="n"/>
    </row>
    <row r="923" customFormat="1" s="85">
      <c r="A923" s="2" t="n"/>
      <c r="B923" s="64" t="n"/>
      <c r="C923" s="2" t="n"/>
      <c r="D923" s="2" t="n"/>
      <c r="E923" s="5" t="n"/>
      <c r="F923" s="5" t="n"/>
    </row>
    <row r="924" customFormat="1" s="85">
      <c r="A924" s="2" t="n"/>
      <c r="B924" s="64" t="n"/>
      <c r="C924" s="2" t="n"/>
      <c r="D924" s="2" t="n"/>
      <c r="E924" s="5" t="n"/>
      <c r="F924" s="5" t="n"/>
    </row>
    <row r="925" customFormat="1" s="85">
      <c r="A925" s="2" t="n"/>
      <c r="B925" s="64" t="n"/>
      <c r="C925" s="2" t="n"/>
      <c r="D925" s="2" t="n"/>
      <c r="E925" s="5" t="n"/>
      <c r="F925" s="5" t="n"/>
    </row>
    <row r="926" customFormat="1" s="85">
      <c r="A926" s="2" t="n"/>
      <c r="B926" s="64" t="n"/>
      <c r="C926" s="2" t="n"/>
      <c r="D926" s="2" t="n"/>
      <c r="E926" s="5" t="n"/>
      <c r="F926" s="5" t="n"/>
    </row>
    <row r="927" customFormat="1" s="85">
      <c r="A927" s="2" t="n"/>
      <c r="B927" s="64" t="n"/>
      <c r="C927" s="2" t="n"/>
      <c r="D927" s="2" t="n"/>
      <c r="E927" s="5" t="n"/>
      <c r="F927" s="5" t="n"/>
    </row>
    <row r="928" customFormat="1" s="85">
      <c r="A928" s="2" t="n"/>
      <c r="B928" s="64" t="n"/>
      <c r="C928" s="2" t="n"/>
      <c r="D928" s="2" t="n"/>
      <c r="E928" s="5" t="n"/>
      <c r="F928" s="5" t="n"/>
    </row>
    <row r="929" customFormat="1" s="85">
      <c r="A929" s="2" t="n"/>
      <c r="B929" s="64" t="n"/>
      <c r="C929" s="2" t="n"/>
      <c r="D929" s="2" t="n"/>
      <c r="E929" s="5" t="n"/>
      <c r="F929" s="5" t="n"/>
    </row>
    <row r="930" customFormat="1" s="85">
      <c r="A930" s="2" t="n"/>
      <c r="B930" s="64" t="n"/>
      <c r="C930" s="2" t="n"/>
      <c r="D930" s="2" t="n"/>
      <c r="E930" s="5" t="n"/>
      <c r="F930" s="5" t="n"/>
    </row>
    <row r="931" customFormat="1" s="85">
      <c r="A931" s="2" t="n"/>
      <c r="B931" s="64" t="n"/>
      <c r="C931" s="2" t="n"/>
      <c r="D931" s="2" t="n"/>
      <c r="E931" s="5" t="n"/>
      <c r="F931" s="5" t="n"/>
    </row>
    <row r="932" customFormat="1" s="85">
      <c r="A932" s="2" t="n"/>
      <c r="B932" s="64" t="n"/>
      <c r="C932" s="2" t="n"/>
      <c r="D932" s="2" t="n"/>
      <c r="E932" s="5" t="n"/>
      <c r="F932" s="5" t="n"/>
    </row>
    <row r="933" customFormat="1" s="85">
      <c r="A933" s="2" t="n"/>
      <c r="B933" s="64" t="n"/>
      <c r="C933" s="2" t="n"/>
      <c r="D933" s="2" t="n"/>
      <c r="E933" s="5" t="n"/>
      <c r="F933" s="5" t="n"/>
    </row>
    <row r="934" customFormat="1" s="85">
      <c r="A934" s="2" t="n"/>
      <c r="B934" s="64" t="n"/>
      <c r="C934" s="2" t="n"/>
      <c r="D934" s="2" t="n"/>
      <c r="E934" s="5" t="n"/>
      <c r="F934" s="5" t="n"/>
    </row>
    <row r="935" customFormat="1" s="85">
      <c r="A935" s="2" t="n"/>
      <c r="B935" s="64" t="n"/>
      <c r="C935" s="2" t="n"/>
      <c r="D935" s="2" t="n"/>
      <c r="E935" s="5" t="n"/>
      <c r="F935" s="5" t="n"/>
    </row>
    <row r="936" customFormat="1" s="85">
      <c r="A936" s="2" t="n"/>
      <c r="B936" s="64" t="n"/>
      <c r="C936" s="2" t="n"/>
      <c r="D936" s="2" t="n"/>
      <c r="E936" s="5" t="n"/>
      <c r="F936" s="5" t="n"/>
    </row>
    <row r="937" customFormat="1" s="85">
      <c r="A937" s="2" t="n"/>
      <c r="B937" s="64" t="n"/>
      <c r="C937" s="2" t="n"/>
      <c r="D937" s="2" t="n"/>
      <c r="E937" s="5" t="n"/>
      <c r="F937" s="5" t="n"/>
    </row>
    <row r="938" customFormat="1" s="85">
      <c r="A938" s="2" t="n"/>
      <c r="B938" s="64" t="n"/>
      <c r="C938" s="2" t="n"/>
      <c r="D938" s="2" t="n"/>
      <c r="E938" s="5" t="n"/>
      <c r="F938" s="5" t="n"/>
    </row>
    <row r="939" customFormat="1" s="85">
      <c r="A939" s="2" t="n"/>
      <c r="B939" s="64" t="n"/>
      <c r="C939" s="2" t="n"/>
      <c r="D939" s="2" t="n"/>
      <c r="E939" s="5" t="n"/>
      <c r="F939" s="5" t="n"/>
    </row>
    <row r="940" customFormat="1" s="85">
      <c r="A940" s="2" t="n"/>
      <c r="B940" s="64" t="n"/>
      <c r="C940" s="2" t="n"/>
      <c r="D940" s="2" t="n"/>
      <c r="E940" s="5" t="n"/>
      <c r="F940" s="5" t="n"/>
    </row>
    <row r="941" customFormat="1" s="85">
      <c r="A941" s="2" t="n"/>
      <c r="B941" s="64" t="n"/>
      <c r="C941" s="2" t="n"/>
      <c r="D941" s="2" t="n"/>
      <c r="E941" s="5" t="n"/>
      <c r="F941" s="5" t="n"/>
    </row>
    <row r="942" customFormat="1" s="85">
      <c r="A942" s="2" t="n"/>
      <c r="B942" s="64" t="n"/>
      <c r="C942" s="2" t="n"/>
      <c r="D942" s="2" t="n"/>
      <c r="E942" s="5" t="n"/>
      <c r="F942" s="5" t="n"/>
    </row>
    <row r="943" customFormat="1" s="85">
      <c r="A943" s="2" t="n"/>
      <c r="B943" s="64" t="n"/>
      <c r="C943" s="2" t="n"/>
      <c r="D943" s="2" t="n"/>
      <c r="E943" s="5" t="n"/>
      <c r="F943" s="5" t="n"/>
    </row>
    <row r="944" customFormat="1" s="85">
      <c r="A944" s="2" t="n"/>
      <c r="B944" s="64" t="n"/>
      <c r="C944" s="2" t="n"/>
      <c r="D944" s="2" t="n"/>
      <c r="E944" s="5" t="n"/>
      <c r="F944" s="5" t="n"/>
    </row>
    <row r="945" customFormat="1" s="85">
      <c r="A945" s="2" t="n"/>
      <c r="B945" s="64" t="n"/>
      <c r="C945" s="2" t="n"/>
      <c r="D945" s="2" t="n"/>
      <c r="E945" s="5" t="n"/>
      <c r="F945" s="5" t="n"/>
    </row>
    <row r="946" customFormat="1" s="85">
      <c r="A946" s="2" t="n"/>
      <c r="B946" s="64" t="n"/>
      <c r="C946" s="2" t="n"/>
      <c r="D946" s="2" t="n"/>
      <c r="E946" s="5" t="n"/>
      <c r="F946" s="5" t="n"/>
    </row>
    <row r="947" customFormat="1" s="85">
      <c r="A947" s="2" t="n"/>
      <c r="B947" s="64" t="n"/>
      <c r="C947" s="2" t="n"/>
      <c r="D947" s="2" t="n"/>
      <c r="E947" s="5" t="n"/>
      <c r="F947" s="5" t="n"/>
    </row>
    <row r="948" customFormat="1" s="85">
      <c r="A948" s="2" t="n"/>
      <c r="B948" s="64" t="n"/>
      <c r="C948" s="2" t="n"/>
      <c r="D948" s="2" t="n"/>
      <c r="E948" s="5" t="n"/>
      <c r="F948" s="5" t="n"/>
    </row>
    <row r="949" customFormat="1" s="85">
      <c r="A949" s="2" t="n"/>
      <c r="B949" s="64" t="n"/>
      <c r="C949" s="2" t="n"/>
      <c r="D949" s="2" t="n"/>
      <c r="E949" s="5" t="n"/>
      <c r="F949" s="5" t="n"/>
    </row>
    <row r="950" customFormat="1" s="85">
      <c r="A950" s="2" t="n"/>
      <c r="B950" s="64" t="n"/>
      <c r="C950" s="2" t="n"/>
      <c r="D950" s="2" t="n"/>
      <c r="E950" s="5" t="n"/>
      <c r="F950" s="5" t="n"/>
    </row>
    <row r="951" customFormat="1" s="85">
      <c r="A951" s="2" t="n"/>
      <c r="B951" s="64" t="n"/>
      <c r="C951" s="2" t="n"/>
      <c r="D951" s="2" t="n"/>
      <c r="E951" s="5" t="n"/>
      <c r="F951" s="5" t="n"/>
    </row>
    <row r="952" customFormat="1" s="85">
      <c r="A952" s="2" t="n"/>
      <c r="B952" s="64" t="n"/>
      <c r="C952" s="2" t="n"/>
      <c r="D952" s="2" t="n"/>
      <c r="E952" s="5" t="n"/>
      <c r="F952" s="5" t="n"/>
    </row>
    <row r="953" customFormat="1" s="85">
      <c r="A953" s="2" t="n"/>
      <c r="B953" s="64" t="n"/>
      <c r="C953" s="2" t="n"/>
      <c r="D953" s="2" t="n"/>
      <c r="E953" s="5" t="n"/>
      <c r="F953" s="5" t="n"/>
    </row>
    <row r="954" customFormat="1" s="85">
      <c r="A954" s="2" t="n"/>
      <c r="B954" s="64" t="n"/>
      <c r="C954" s="2" t="n"/>
      <c r="D954" s="2" t="n"/>
      <c r="E954" s="5" t="n"/>
      <c r="F954" s="5" t="n"/>
    </row>
    <row r="955" customFormat="1" s="85">
      <c r="A955" s="2" t="n"/>
      <c r="B955" s="64" t="n"/>
      <c r="C955" s="2" t="n"/>
      <c r="D955" s="2" t="n"/>
      <c r="E955" s="5" t="n"/>
      <c r="F955" s="5" t="n"/>
    </row>
    <row r="956" customFormat="1" s="85">
      <c r="A956" s="2" t="n"/>
      <c r="B956" s="64" t="n"/>
      <c r="C956" s="2" t="n"/>
      <c r="D956" s="2" t="n"/>
      <c r="E956" s="5" t="n"/>
      <c r="F956" s="5" t="n"/>
    </row>
    <row r="957" customFormat="1" s="85">
      <c r="A957" s="2" t="n"/>
      <c r="B957" s="64" t="n"/>
      <c r="C957" s="2" t="n"/>
      <c r="D957" s="2" t="n"/>
      <c r="E957" s="5" t="n"/>
      <c r="F957" s="5" t="n"/>
    </row>
    <row r="958" customFormat="1" s="85">
      <c r="A958" s="2" t="n"/>
      <c r="B958" s="64" t="n"/>
      <c r="C958" s="2" t="n"/>
      <c r="D958" s="2" t="n"/>
      <c r="E958" s="5" t="n"/>
      <c r="F958" s="5" t="n"/>
    </row>
    <row r="959" customFormat="1" s="85">
      <c r="A959" s="2" t="n"/>
      <c r="B959" s="64" t="n"/>
      <c r="C959" s="2" t="n"/>
      <c r="D959" s="2" t="n"/>
      <c r="E959" s="5" t="n"/>
      <c r="F959" s="5" t="n"/>
    </row>
    <row r="960" customFormat="1" s="85">
      <c r="A960" s="2" t="n"/>
      <c r="B960" s="64" t="n"/>
      <c r="C960" s="2" t="n"/>
      <c r="D960" s="2" t="n"/>
      <c r="E960" s="5" t="n"/>
      <c r="F960" s="5" t="n"/>
    </row>
    <row r="961" customFormat="1" s="85">
      <c r="A961" s="2" t="n"/>
      <c r="B961" s="64" t="n"/>
      <c r="C961" s="2" t="n"/>
      <c r="D961" s="2" t="n"/>
      <c r="E961" s="5" t="n"/>
      <c r="F961" s="5" t="n"/>
    </row>
    <row r="962" customFormat="1" s="85">
      <c r="A962" s="2" t="n"/>
      <c r="B962" s="64" t="n"/>
      <c r="C962" s="2" t="n"/>
      <c r="D962" s="2" t="n"/>
      <c r="E962" s="5" t="n"/>
      <c r="F962" s="5" t="n"/>
    </row>
    <row r="963" customFormat="1" s="85">
      <c r="A963" s="2" t="n"/>
      <c r="B963" s="64" t="n"/>
      <c r="C963" s="2" t="n"/>
      <c r="D963" s="2" t="n"/>
      <c r="E963" s="5" t="n"/>
      <c r="F963" s="5" t="n"/>
    </row>
    <row r="964" customFormat="1" s="85">
      <c r="A964" s="2" t="n"/>
      <c r="B964" s="64" t="n"/>
      <c r="C964" s="2" t="n"/>
      <c r="D964" s="2" t="n"/>
      <c r="E964" s="5" t="n"/>
      <c r="F964" s="5" t="n"/>
    </row>
    <row r="965" customFormat="1" s="85">
      <c r="A965" s="2" t="n"/>
      <c r="B965" s="64" t="n"/>
      <c r="C965" s="2" t="n"/>
      <c r="D965" s="2" t="n"/>
      <c r="E965" s="5" t="n"/>
      <c r="F965" s="5" t="n"/>
    </row>
    <row r="966" customFormat="1" s="85">
      <c r="A966" s="2" t="n"/>
      <c r="B966" s="64" t="n"/>
      <c r="C966" s="2" t="n"/>
      <c r="D966" s="2" t="n"/>
      <c r="E966" s="5" t="n"/>
      <c r="F966" s="5" t="n"/>
    </row>
    <row r="967" customFormat="1" s="85">
      <c r="A967" s="2" t="n"/>
      <c r="B967" s="64" t="n"/>
      <c r="C967" s="2" t="n"/>
      <c r="D967" s="2" t="n"/>
      <c r="E967" s="5" t="n"/>
      <c r="F967" s="5" t="n"/>
    </row>
    <row r="968" customFormat="1" s="85">
      <c r="A968" s="2" t="n"/>
      <c r="B968" s="64" t="n"/>
      <c r="C968" s="2" t="n"/>
      <c r="D968" s="2" t="n"/>
      <c r="E968" s="5" t="n"/>
      <c r="F968" s="5" t="n"/>
    </row>
    <row r="969" customFormat="1" s="85">
      <c r="A969" s="2" t="n"/>
      <c r="B969" s="64" t="n"/>
      <c r="C969" s="2" t="n"/>
      <c r="D969" s="2" t="n"/>
      <c r="E969" s="5" t="n"/>
      <c r="F969" s="5" t="n"/>
    </row>
    <row r="970" customFormat="1" s="85">
      <c r="A970" s="2" t="n"/>
      <c r="B970" s="64" t="n"/>
      <c r="C970" s="2" t="n"/>
      <c r="D970" s="2" t="n"/>
      <c r="E970" s="5" t="n"/>
      <c r="F970" s="5" t="n"/>
    </row>
    <row r="971" customFormat="1" s="85">
      <c r="A971" s="2" t="n"/>
      <c r="B971" s="64" t="n"/>
      <c r="C971" s="2" t="n"/>
      <c r="D971" s="2" t="n"/>
      <c r="E971" s="5" t="n"/>
      <c r="F971" s="5" t="n"/>
    </row>
    <row r="972" customFormat="1" s="85">
      <c r="A972" s="2" t="n"/>
      <c r="B972" s="64" t="n"/>
      <c r="C972" s="2" t="n"/>
      <c r="D972" s="2" t="n"/>
      <c r="E972" s="5" t="n"/>
      <c r="F972" s="5" t="n"/>
    </row>
    <row r="973" customFormat="1" s="85">
      <c r="A973" s="2" t="n"/>
      <c r="B973" s="64" t="n"/>
      <c r="C973" s="2" t="n"/>
      <c r="D973" s="2" t="n"/>
      <c r="E973" s="5" t="n"/>
      <c r="F973" s="5" t="n"/>
    </row>
    <row r="974" customFormat="1" s="85">
      <c r="A974" s="2" t="n"/>
      <c r="B974" s="64" t="n"/>
      <c r="C974" s="2" t="n"/>
      <c r="D974" s="2" t="n"/>
      <c r="E974" s="5" t="n"/>
      <c r="F974" s="5" t="n"/>
    </row>
    <row r="975" customFormat="1" s="85">
      <c r="A975" s="2" t="n"/>
      <c r="B975" s="64" t="n"/>
      <c r="C975" s="2" t="n"/>
      <c r="D975" s="2" t="n"/>
      <c r="E975" s="5" t="n"/>
      <c r="F975" s="5" t="n"/>
    </row>
    <row r="976" customFormat="1" s="85">
      <c r="A976" s="2" t="n"/>
      <c r="B976" s="64" t="n"/>
      <c r="C976" s="2" t="n"/>
      <c r="D976" s="2" t="n"/>
      <c r="E976" s="5" t="n"/>
      <c r="F976" s="5" t="n"/>
    </row>
    <row r="977" customFormat="1" s="85">
      <c r="A977" s="2" t="n"/>
      <c r="B977" s="64" t="n"/>
      <c r="C977" s="2" t="n"/>
      <c r="D977" s="2" t="n"/>
      <c r="E977" s="5" t="n"/>
      <c r="F977" s="5" t="n"/>
    </row>
    <row r="978" customFormat="1" s="85">
      <c r="A978" s="2" t="n"/>
      <c r="B978" s="64" t="n"/>
      <c r="C978" s="2" t="n"/>
      <c r="D978" s="2" t="n"/>
      <c r="E978" s="5" t="n"/>
      <c r="F978" s="5" t="n"/>
    </row>
    <row r="979" customFormat="1" s="85">
      <c r="A979" s="2" t="n"/>
      <c r="B979" s="64" t="n"/>
      <c r="C979" s="2" t="n"/>
      <c r="D979" s="2" t="n"/>
      <c r="E979" s="5" t="n"/>
      <c r="F979" s="5" t="n"/>
    </row>
    <row r="980" customFormat="1" s="85">
      <c r="A980" s="2" t="n"/>
      <c r="B980" s="64" t="n"/>
      <c r="C980" s="2" t="n"/>
      <c r="D980" s="2" t="n"/>
      <c r="E980" s="5" t="n"/>
      <c r="F980" s="5" t="n"/>
    </row>
    <row r="981" customFormat="1" s="85">
      <c r="A981" s="2" t="n"/>
      <c r="B981" s="64" t="n"/>
      <c r="C981" s="2" t="n"/>
      <c r="D981" s="2" t="n"/>
      <c r="E981" s="5" t="n"/>
      <c r="F981" s="5" t="n"/>
    </row>
    <row r="982" customFormat="1" s="85">
      <c r="A982" s="2" t="n"/>
      <c r="B982" s="64" t="n"/>
      <c r="C982" s="2" t="n"/>
      <c r="D982" s="2" t="n"/>
      <c r="E982" s="5" t="n"/>
      <c r="F982" s="5" t="n"/>
    </row>
    <row r="983" customFormat="1" s="85">
      <c r="A983" s="2" t="n"/>
      <c r="B983" s="64" t="n"/>
      <c r="C983" s="2" t="n"/>
      <c r="D983" s="2" t="n"/>
      <c r="E983" s="5" t="n"/>
      <c r="F983" s="5" t="n"/>
    </row>
    <row r="984" customFormat="1" s="85">
      <c r="A984" s="2" t="n"/>
      <c r="B984" s="64" t="n"/>
      <c r="C984" s="2" t="n"/>
      <c r="D984" s="2" t="n"/>
      <c r="E984" s="5" t="n"/>
      <c r="F984" s="5" t="n"/>
    </row>
    <row r="985" customFormat="1" s="85">
      <c r="A985" s="2" t="n"/>
      <c r="B985" s="64" t="n"/>
      <c r="C985" s="2" t="n"/>
      <c r="D985" s="2" t="n"/>
      <c r="E985" s="5" t="n"/>
      <c r="F985" s="5" t="n"/>
    </row>
    <row r="986" customFormat="1" s="85">
      <c r="A986" s="2" t="n"/>
      <c r="B986" s="64" t="n"/>
      <c r="C986" s="2" t="n"/>
      <c r="D986" s="2" t="n"/>
      <c r="E986" s="5" t="n"/>
      <c r="F986" s="5" t="n"/>
    </row>
    <row r="987" customFormat="1" s="85">
      <c r="A987" s="2" t="n"/>
      <c r="B987" s="64" t="n"/>
      <c r="C987" s="2" t="n"/>
      <c r="D987" s="2" t="n"/>
      <c r="E987" s="5" t="n"/>
      <c r="F987" s="5" t="n"/>
    </row>
    <row r="988" customFormat="1" s="85">
      <c r="A988" s="2" t="n"/>
      <c r="B988" s="64" t="n"/>
      <c r="C988" s="2" t="n"/>
      <c r="D988" s="2" t="n"/>
      <c r="E988" s="5" t="n"/>
      <c r="F988" s="5" t="n"/>
    </row>
    <row r="989" customFormat="1" s="85">
      <c r="A989" s="2" t="n"/>
      <c r="B989" s="64" t="n"/>
      <c r="C989" s="2" t="n"/>
      <c r="D989" s="2" t="n"/>
      <c r="E989" s="5" t="n"/>
      <c r="F989" s="5" t="n"/>
    </row>
    <row r="990" customFormat="1" s="85">
      <c r="A990" s="2" t="n"/>
      <c r="B990" s="64" t="n"/>
      <c r="C990" s="2" t="n"/>
      <c r="D990" s="2" t="n"/>
      <c r="E990" s="5" t="n"/>
      <c r="F990" s="5" t="n"/>
    </row>
    <row r="991" customFormat="1" s="85">
      <c r="A991" s="2" t="n"/>
      <c r="B991" s="64" t="n"/>
      <c r="C991" s="2" t="n"/>
      <c r="D991" s="2" t="n"/>
      <c r="E991" s="5" t="n"/>
      <c r="F991" s="5" t="n"/>
    </row>
    <row r="992" customFormat="1" s="85">
      <c r="A992" s="2" t="n"/>
      <c r="B992" s="64" t="n"/>
      <c r="C992" s="2" t="n"/>
      <c r="D992" s="2" t="n"/>
      <c r="E992" s="5" t="n"/>
      <c r="F992" s="5" t="n"/>
    </row>
    <row r="993" customFormat="1" s="85">
      <c r="A993" s="2" t="n"/>
      <c r="B993" s="64" t="n"/>
      <c r="C993" s="2" t="n"/>
      <c r="D993" s="2" t="n"/>
      <c r="E993" s="5" t="n"/>
      <c r="F993" s="5" t="n"/>
    </row>
    <row r="994" customFormat="1" s="85">
      <c r="A994" s="2" t="n"/>
      <c r="B994" s="64" t="n"/>
      <c r="C994" s="2" t="n"/>
      <c r="D994" s="2" t="n"/>
      <c r="E994" s="5" t="n"/>
      <c r="F994" s="5" t="n"/>
    </row>
    <row r="995" customFormat="1" s="85">
      <c r="A995" s="2" t="n"/>
      <c r="B995" s="64" t="n"/>
      <c r="C995" s="2" t="n"/>
      <c r="D995" s="2" t="n"/>
      <c r="E995" s="5" t="n"/>
      <c r="F995" s="5" t="n"/>
    </row>
    <row r="996" customFormat="1" s="85">
      <c r="A996" s="2" t="n"/>
      <c r="B996" s="64" t="n"/>
      <c r="C996" s="2" t="n"/>
      <c r="D996" s="2" t="n"/>
      <c r="E996" s="5" t="n"/>
      <c r="F996" s="5" t="n"/>
    </row>
    <row r="997" customFormat="1" s="85">
      <c r="A997" s="2" t="n"/>
      <c r="B997" s="64" t="n"/>
      <c r="C997" s="2" t="n"/>
      <c r="D997" s="2" t="n"/>
      <c r="E997" s="5" t="n"/>
      <c r="F997" s="5" t="n"/>
    </row>
    <row r="998" customFormat="1" s="85">
      <c r="A998" s="2" t="n"/>
      <c r="B998" s="64" t="n"/>
      <c r="C998" s="2" t="n"/>
      <c r="D998" s="2" t="n"/>
      <c r="E998" s="5" t="n"/>
      <c r="F998" s="5" t="n"/>
    </row>
    <row r="999" customFormat="1" s="85">
      <c r="A999" s="2" t="n"/>
      <c r="B999" s="64" t="n"/>
      <c r="C999" s="2" t="n"/>
      <c r="D999" s="2" t="n"/>
      <c r="E999" s="5" t="n"/>
      <c r="F999" s="5" t="n"/>
    </row>
    <row r="1000" customFormat="1" s="85">
      <c r="A1000" s="2" t="n"/>
      <c r="B1000" s="64" t="n"/>
      <c r="C1000" s="2" t="n"/>
      <c r="D1000" s="2" t="n"/>
      <c r="E1000" s="5" t="n"/>
      <c r="F1000" s="5" t="n"/>
    </row>
    <row r="1001" customFormat="1" s="85">
      <c r="A1001" s="2" t="n"/>
      <c r="B1001" s="64" t="n"/>
      <c r="C1001" s="2" t="n"/>
      <c r="D1001" s="2" t="n"/>
      <c r="E1001" s="5" t="n"/>
      <c r="F1001" s="5" t="n"/>
    </row>
    <row r="1002" customFormat="1" s="85">
      <c r="A1002" s="2" t="n"/>
      <c r="B1002" s="64" t="n"/>
      <c r="C1002" s="2" t="n"/>
      <c r="D1002" s="2" t="n"/>
      <c r="E1002" s="5" t="n"/>
      <c r="F1002" s="5" t="n"/>
    </row>
    <row r="1003" customFormat="1" s="85">
      <c r="A1003" s="2" t="n"/>
      <c r="B1003" s="64" t="n"/>
      <c r="C1003" s="2" t="n"/>
      <c r="D1003" s="2" t="n"/>
      <c r="E1003" s="5" t="n"/>
      <c r="F1003" s="5" t="n"/>
    </row>
    <row r="1004" customFormat="1" s="85">
      <c r="A1004" s="2" t="n"/>
      <c r="B1004" s="64" t="n"/>
      <c r="C1004" s="2" t="n"/>
      <c r="D1004" s="2" t="n"/>
      <c r="E1004" s="5" t="n"/>
      <c r="F1004" s="5" t="n"/>
    </row>
    <row r="1005" customFormat="1" s="85">
      <c r="A1005" s="2" t="n"/>
      <c r="B1005" s="64" t="n"/>
      <c r="C1005" s="2" t="n"/>
      <c r="D1005" s="2" t="n"/>
      <c r="E1005" s="5" t="n"/>
      <c r="F1005" s="5" t="n"/>
    </row>
    <row r="1006" customFormat="1" s="85">
      <c r="A1006" s="2" t="n"/>
      <c r="B1006" s="64" t="n"/>
      <c r="C1006" s="2" t="n"/>
      <c r="D1006" s="2" t="n"/>
      <c r="E1006" s="5" t="n"/>
      <c r="F1006" s="5" t="n"/>
    </row>
    <row r="1007" customFormat="1" s="85">
      <c r="A1007" s="2" t="n"/>
      <c r="B1007" s="64" t="n"/>
      <c r="C1007" s="2" t="n"/>
      <c r="D1007" s="2" t="n"/>
      <c r="E1007" s="5" t="n"/>
      <c r="F1007" s="5" t="n"/>
    </row>
    <row r="1008" customFormat="1" s="85">
      <c r="A1008" s="2" t="n"/>
      <c r="B1008" s="64" t="n"/>
      <c r="C1008" s="2" t="n"/>
      <c r="D1008" s="2" t="n"/>
      <c r="E1008" s="5" t="n"/>
      <c r="F1008" s="5" t="n"/>
    </row>
    <row r="1009" customFormat="1" s="85">
      <c r="A1009" s="2" t="n"/>
      <c r="B1009" s="64" t="n"/>
      <c r="C1009" s="2" t="n"/>
      <c r="D1009" s="2" t="n"/>
      <c r="E1009" s="5" t="n"/>
      <c r="F1009" s="5" t="n"/>
    </row>
    <row r="1010" customFormat="1" s="85">
      <c r="A1010" s="2" t="n"/>
      <c r="B1010" s="64" t="n"/>
      <c r="C1010" s="2" t="n"/>
      <c r="D1010" s="2" t="n"/>
      <c r="E1010" s="5" t="n"/>
      <c r="F1010" s="5" t="n"/>
    </row>
    <row r="1011" customFormat="1" s="85">
      <c r="A1011" s="2" t="n"/>
      <c r="B1011" s="64" t="n"/>
      <c r="C1011" s="2" t="n"/>
      <c r="D1011" s="2" t="n"/>
      <c r="E1011" s="5" t="n"/>
      <c r="F1011" s="5" t="n"/>
    </row>
    <row r="1012" customFormat="1" s="85">
      <c r="A1012" s="2" t="n"/>
      <c r="B1012" s="64" t="n"/>
      <c r="C1012" s="2" t="n"/>
      <c r="D1012" s="2" t="n"/>
      <c r="E1012" s="5" t="n"/>
      <c r="F1012" s="5" t="n"/>
    </row>
    <row r="1013" customFormat="1" s="85">
      <c r="A1013" s="2" t="n"/>
      <c r="B1013" s="64" t="n"/>
      <c r="C1013" s="2" t="n"/>
      <c r="D1013" s="2" t="n"/>
      <c r="E1013" s="5" t="n"/>
      <c r="F1013" s="5" t="n"/>
    </row>
    <row r="1014" customFormat="1" s="85">
      <c r="A1014" s="2" t="n"/>
      <c r="B1014" s="64" t="n"/>
      <c r="C1014" s="2" t="n"/>
      <c r="D1014" s="2" t="n"/>
      <c r="E1014" s="5" t="n"/>
      <c r="F1014" s="5" t="n"/>
    </row>
    <row r="1015" customFormat="1" s="85">
      <c r="A1015" s="2" t="n"/>
      <c r="B1015" s="64" t="n"/>
      <c r="C1015" s="2" t="n"/>
      <c r="D1015" s="2" t="n"/>
      <c r="E1015" s="5" t="n"/>
      <c r="F1015" s="5" t="n"/>
    </row>
    <row r="1016" customFormat="1" s="85">
      <c r="A1016" s="2" t="n"/>
      <c r="B1016" s="64" t="n"/>
      <c r="C1016" s="2" t="n"/>
      <c r="D1016" s="2" t="n"/>
      <c r="E1016" s="5" t="n"/>
      <c r="F1016" s="5" t="n"/>
    </row>
    <row r="1017" customFormat="1" s="85">
      <c r="A1017" s="2" t="n"/>
      <c r="B1017" s="64" t="n"/>
      <c r="C1017" s="2" t="n"/>
      <c r="D1017" s="2" t="n"/>
      <c r="E1017" s="5" t="n"/>
      <c r="F1017" s="5" t="n"/>
    </row>
    <row r="1018" customFormat="1" s="85">
      <c r="A1018" s="2" t="n"/>
      <c r="B1018" s="64" t="n"/>
      <c r="C1018" s="2" t="n"/>
      <c r="D1018" s="2" t="n"/>
      <c r="E1018" s="5" t="n"/>
      <c r="F1018" s="5" t="n"/>
    </row>
    <row r="1019" customFormat="1" s="85">
      <c r="A1019" s="2" t="n"/>
      <c r="B1019" s="64" t="n"/>
      <c r="C1019" s="2" t="n"/>
      <c r="D1019" s="2" t="n"/>
      <c r="E1019" s="5" t="n"/>
      <c r="F1019" s="5" t="n"/>
    </row>
    <row r="1020" customFormat="1" s="85">
      <c r="A1020" s="2" t="n"/>
      <c r="B1020" s="64" t="n"/>
      <c r="C1020" s="2" t="n"/>
      <c r="D1020" s="2" t="n"/>
      <c r="E1020" s="5" t="n"/>
      <c r="F1020" s="5" t="n"/>
    </row>
    <row r="1021" customFormat="1" s="85">
      <c r="A1021" s="2" t="n"/>
      <c r="B1021" s="64" t="n"/>
      <c r="C1021" s="2" t="n"/>
      <c r="D1021" s="2" t="n"/>
      <c r="E1021" s="5" t="n"/>
      <c r="F1021" s="5" t="n"/>
    </row>
    <row r="1022" customFormat="1" s="85">
      <c r="A1022" s="2" t="n"/>
      <c r="B1022" s="64" t="n"/>
      <c r="C1022" s="2" t="n"/>
      <c r="D1022" s="2" t="n"/>
      <c r="E1022" s="5" t="n"/>
      <c r="F1022" s="5" t="n"/>
    </row>
    <row r="1023" customFormat="1" s="85">
      <c r="A1023" s="2" t="n"/>
      <c r="B1023" s="64" t="n"/>
      <c r="C1023" s="2" t="n"/>
      <c r="D1023" s="2" t="n"/>
      <c r="E1023" s="5" t="n"/>
      <c r="F1023" s="5" t="n"/>
    </row>
    <row r="1024" customFormat="1" s="85">
      <c r="A1024" s="2" t="n"/>
      <c r="B1024" s="64" t="n"/>
      <c r="C1024" s="2" t="n"/>
      <c r="D1024" s="2" t="n"/>
      <c r="E1024" s="5" t="n"/>
      <c r="F1024" s="5" t="n"/>
    </row>
    <row r="1025" customFormat="1" s="85">
      <c r="A1025" s="2" t="n"/>
      <c r="B1025" s="64" t="n"/>
      <c r="C1025" s="2" t="n"/>
      <c r="D1025" s="2" t="n"/>
      <c r="E1025" s="5" t="n"/>
      <c r="F1025" s="5" t="n"/>
    </row>
    <row r="1026" customFormat="1" s="85">
      <c r="A1026" s="2" t="n"/>
      <c r="B1026" s="64" t="n"/>
      <c r="C1026" s="2" t="n"/>
      <c r="D1026" s="2" t="n"/>
      <c r="E1026" s="5" t="n"/>
      <c r="F1026" s="5" t="n"/>
    </row>
    <row r="1027" customFormat="1" s="85">
      <c r="A1027" s="2" t="n"/>
      <c r="B1027" s="64" t="n"/>
      <c r="C1027" s="2" t="n"/>
      <c r="D1027" s="2" t="n"/>
      <c r="E1027" s="5" t="n"/>
      <c r="F1027" s="5" t="n"/>
    </row>
    <row r="1028" customFormat="1" s="85">
      <c r="A1028" s="2" t="n"/>
      <c r="B1028" s="64" t="n"/>
      <c r="C1028" s="2" t="n"/>
      <c r="D1028" s="2" t="n"/>
      <c r="E1028" s="5" t="n"/>
      <c r="F1028" s="5" t="n"/>
    </row>
    <row r="1029" customFormat="1" s="85">
      <c r="A1029" s="2" t="n"/>
      <c r="B1029" s="64" t="n"/>
      <c r="C1029" s="2" t="n"/>
      <c r="D1029" s="2" t="n"/>
      <c r="E1029" s="5" t="n"/>
      <c r="F1029" s="5" t="n"/>
    </row>
    <row r="1030" customFormat="1" s="85">
      <c r="A1030" s="2" t="n"/>
      <c r="B1030" s="64" t="n"/>
      <c r="C1030" s="2" t="n"/>
      <c r="D1030" s="2" t="n"/>
      <c r="E1030" s="5" t="n"/>
      <c r="F1030" s="5" t="n"/>
    </row>
    <row r="1031" customFormat="1" s="85">
      <c r="A1031" s="2" t="n"/>
      <c r="B1031" s="64" t="n"/>
      <c r="C1031" s="2" t="n"/>
      <c r="D1031" s="2" t="n"/>
      <c r="E1031" s="5" t="n"/>
      <c r="F1031" s="5" t="n"/>
    </row>
    <row r="1032" customFormat="1" s="85">
      <c r="A1032" s="2" t="n"/>
      <c r="B1032" s="64" t="n"/>
      <c r="C1032" s="2" t="n"/>
      <c r="D1032" s="2" t="n"/>
      <c r="E1032" s="5" t="n"/>
      <c r="F1032" s="5" t="n"/>
    </row>
    <row r="1033" customFormat="1" s="85">
      <c r="A1033" s="2" t="n"/>
      <c r="B1033" s="64" t="n"/>
      <c r="C1033" s="2" t="n"/>
      <c r="D1033" s="2" t="n"/>
      <c r="E1033" s="5" t="n"/>
      <c r="F1033" s="5" t="n"/>
    </row>
    <row r="1034" customFormat="1" s="85">
      <c r="A1034" s="2" t="n"/>
      <c r="B1034" s="64" t="n"/>
      <c r="C1034" s="2" t="n"/>
      <c r="D1034" s="2" t="n"/>
      <c r="E1034" s="5" t="n"/>
      <c r="F1034" s="5" t="n"/>
    </row>
    <row r="1035" customFormat="1" s="85">
      <c r="A1035" s="2" t="n"/>
      <c r="B1035" s="64" t="n"/>
      <c r="C1035" s="2" t="n"/>
      <c r="D1035" s="2" t="n"/>
      <c r="E1035" s="5" t="n"/>
      <c r="F1035" s="5" t="n"/>
    </row>
    <row r="1036" customFormat="1" s="85">
      <c r="A1036" s="2" t="n"/>
      <c r="B1036" s="64" t="n"/>
      <c r="C1036" s="2" t="n"/>
      <c r="D1036" s="2" t="n"/>
      <c r="E1036" s="5" t="n"/>
      <c r="F1036" s="5" t="n"/>
    </row>
    <row r="1037" customFormat="1" s="85">
      <c r="A1037" s="2" t="n"/>
      <c r="B1037" s="64" t="n"/>
      <c r="C1037" s="2" t="n"/>
      <c r="D1037" s="2" t="n"/>
      <c r="E1037" s="5" t="n"/>
      <c r="F1037" s="5" t="n"/>
    </row>
    <row r="1038" customFormat="1" s="85">
      <c r="A1038" s="2" t="n"/>
      <c r="B1038" s="64" t="n"/>
      <c r="C1038" s="2" t="n"/>
      <c r="D1038" s="2" t="n"/>
      <c r="E1038" s="5" t="n"/>
      <c r="F1038" s="5" t="n"/>
    </row>
    <row r="1039" customFormat="1" s="85">
      <c r="A1039" s="2" t="n"/>
      <c r="B1039" s="64" t="n"/>
      <c r="C1039" s="2" t="n"/>
      <c r="D1039" s="2" t="n"/>
      <c r="E1039" s="5" t="n"/>
      <c r="F1039" s="5" t="n"/>
    </row>
    <row r="1040" customFormat="1" s="85">
      <c r="A1040" s="2" t="n"/>
      <c r="B1040" s="64" t="n"/>
      <c r="C1040" s="2" t="n"/>
      <c r="D1040" s="2" t="n"/>
      <c r="E1040" s="5" t="n"/>
      <c r="F1040" s="5" t="n"/>
    </row>
    <row r="1041" customFormat="1" s="85">
      <c r="A1041" s="2" t="n"/>
      <c r="B1041" s="64" t="n"/>
      <c r="C1041" s="2" t="n"/>
      <c r="D1041" s="2" t="n"/>
      <c r="E1041" s="5" t="n"/>
      <c r="F1041" s="5" t="n"/>
    </row>
    <row r="1042" customFormat="1" s="85">
      <c r="A1042" s="2" t="n"/>
      <c r="B1042" s="64" t="n"/>
      <c r="C1042" s="2" t="n"/>
      <c r="D1042" s="2" t="n"/>
      <c r="E1042" s="5" t="n"/>
      <c r="F1042" s="5" t="n"/>
    </row>
    <row r="1043" customFormat="1" s="85">
      <c r="A1043" s="2" t="n"/>
      <c r="B1043" s="64" t="n"/>
      <c r="C1043" s="2" t="n"/>
      <c r="D1043" s="2" t="n"/>
      <c r="E1043" s="5" t="n"/>
      <c r="F1043" s="5" t="n"/>
    </row>
    <row r="1044" customFormat="1" s="85">
      <c r="A1044" s="2" t="n"/>
      <c r="B1044" s="64" t="n"/>
      <c r="C1044" s="2" t="n"/>
      <c r="D1044" s="2" t="n"/>
      <c r="E1044" s="5" t="n"/>
      <c r="F1044" s="5" t="n"/>
    </row>
    <row r="1045" customFormat="1" s="85">
      <c r="A1045" s="2" t="n"/>
      <c r="B1045" s="64" t="n"/>
      <c r="C1045" s="2" t="n"/>
      <c r="D1045" s="2" t="n"/>
      <c r="E1045" s="5" t="n"/>
      <c r="F1045" s="5" t="n"/>
    </row>
    <row r="1046" customFormat="1" s="85">
      <c r="A1046" s="2" t="n"/>
      <c r="B1046" s="64" t="n"/>
      <c r="C1046" s="2" t="n"/>
      <c r="D1046" s="2" t="n"/>
      <c r="E1046" s="5" t="n"/>
      <c r="F1046" s="5" t="n"/>
    </row>
    <row r="1047" customFormat="1" s="85">
      <c r="A1047" s="2" t="n"/>
      <c r="B1047" s="64" t="n"/>
      <c r="C1047" s="2" t="n"/>
      <c r="D1047" s="2" t="n"/>
      <c r="E1047" s="5" t="n"/>
      <c r="F1047" s="5" t="n"/>
    </row>
    <row r="1048" customFormat="1" s="85">
      <c r="A1048" s="2" t="n"/>
      <c r="B1048" s="64" t="n"/>
      <c r="C1048" s="2" t="n"/>
      <c r="D1048" s="2" t="n"/>
      <c r="E1048" s="5" t="n"/>
      <c r="F1048" s="5" t="n"/>
    </row>
    <row r="1049" customFormat="1" s="85">
      <c r="A1049" s="2" t="n"/>
      <c r="B1049" s="64" t="n"/>
      <c r="C1049" s="2" t="n"/>
      <c r="D1049" s="2" t="n"/>
      <c r="E1049" s="5" t="n"/>
      <c r="F1049" s="5" t="n"/>
    </row>
    <row r="1050" customFormat="1" s="85">
      <c r="A1050" s="2" t="n"/>
      <c r="B1050" s="64" t="n"/>
      <c r="C1050" s="2" t="n"/>
      <c r="D1050" s="2" t="n"/>
      <c r="E1050" s="5" t="n"/>
      <c r="F1050" s="5" t="n"/>
    </row>
    <row r="1051" customFormat="1" s="85">
      <c r="A1051" s="2" t="n"/>
      <c r="B1051" s="64" t="n"/>
      <c r="C1051" s="2" t="n"/>
      <c r="D1051" s="2" t="n"/>
      <c r="E1051" s="5" t="n"/>
      <c r="F1051" s="5" t="n"/>
    </row>
    <row r="1052" customFormat="1" s="85">
      <c r="A1052" s="2" t="n"/>
      <c r="B1052" s="64" t="n"/>
      <c r="C1052" s="2" t="n"/>
      <c r="D1052" s="2" t="n"/>
      <c r="E1052" s="5" t="n"/>
      <c r="F1052" s="5" t="n"/>
    </row>
    <row r="1053" customFormat="1" s="85">
      <c r="A1053" s="2" t="n"/>
      <c r="B1053" s="64" t="n"/>
      <c r="C1053" s="2" t="n"/>
      <c r="D1053" s="2" t="n"/>
      <c r="E1053" s="5" t="n"/>
      <c r="F1053" s="5" t="n"/>
    </row>
    <row r="1054" customFormat="1" s="85">
      <c r="A1054" s="2" t="n"/>
      <c r="B1054" s="64" t="n"/>
      <c r="C1054" s="2" t="n"/>
      <c r="D1054" s="2" t="n"/>
      <c r="E1054" s="5" t="n"/>
      <c r="F1054" s="5" t="n"/>
    </row>
    <row r="1055" customFormat="1" s="85">
      <c r="A1055" s="2" t="n"/>
      <c r="B1055" s="64" t="n"/>
      <c r="C1055" s="2" t="n"/>
      <c r="D1055" s="2" t="n"/>
      <c r="E1055" s="5" t="n"/>
      <c r="F1055" s="5" t="n"/>
    </row>
    <row r="1056" customFormat="1" s="85">
      <c r="A1056" s="2" t="n"/>
      <c r="B1056" s="64" t="n"/>
      <c r="C1056" s="2" t="n"/>
      <c r="D1056" s="2" t="n"/>
      <c r="E1056" s="5" t="n"/>
      <c r="F1056" s="5" t="n"/>
    </row>
    <row r="1057" customFormat="1" s="85">
      <c r="A1057" s="2" t="n"/>
      <c r="B1057" s="64" t="n"/>
      <c r="C1057" s="2" t="n"/>
      <c r="D1057" s="2" t="n"/>
      <c r="E1057" s="5" t="n"/>
      <c r="F1057" s="5" t="n"/>
    </row>
    <row r="1058" customFormat="1" s="85">
      <c r="A1058" s="2" t="n"/>
      <c r="B1058" s="64" t="n"/>
      <c r="C1058" s="2" t="n"/>
      <c r="D1058" s="2" t="n"/>
      <c r="E1058" s="5" t="n"/>
      <c r="F1058" s="5" t="n"/>
    </row>
    <row r="1059" customFormat="1" s="85">
      <c r="A1059" s="2" t="n"/>
      <c r="B1059" s="64" t="n"/>
      <c r="C1059" s="2" t="n"/>
      <c r="D1059" s="2" t="n"/>
      <c r="E1059" s="5" t="n"/>
      <c r="F1059" s="5" t="n"/>
    </row>
    <row r="1060" customFormat="1" s="85">
      <c r="A1060" s="2" t="n"/>
      <c r="B1060" s="64" t="n"/>
      <c r="C1060" s="2" t="n"/>
      <c r="D1060" s="2" t="n"/>
      <c r="E1060" s="5" t="n"/>
      <c r="F1060" s="5" t="n"/>
    </row>
    <row r="1061" customFormat="1" s="85">
      <c r="A1061" s="2" t="n"/>
      <c r="B1061" s="64" t="n"/>
      <c r="C1061" s="2" t="n"/>
      <c r="D1061" s="2" t="n"/>
      <c r="E1061" s="5" t="n"/>
      <c r="F1061" s="5" t="n"/>
    </row>
    <row r="1062" customFormat="1" s="85">
      <c r="A1062" s="2" t="n"/>
      <c r="B1062" s="64" t="n"/>
      <c r="C1062" s="2" t="n"/>
      <c r="D1062" s="2" t="n"/>
      <c r="E1062" s="5" t="n"/>
      <c r="F1062" s="5" t="n"/>
    </row>
    <row r="1063" customFormat="1" s="85">
      <c r="A1063" s="2" t="n"/>
      <c r="B1063" s="64" t="n"/>
      <c r="C1063" s="2" t="n"/>
      <c r="D1063" s="2" t="n"/>
      <c r="E1063" s="5" t="n"/>
      <c r="F1063" s="5" t="n"/>
    </row>
    <row r="1064" customFormat="1" s="85">
      <c r="A1064" s="2" t="n"/>
      <c r="B1064" s="64" t="n"/>
      <c r="C1064" s="2" t="n"/>
      <c r="D1064" s="2" t="n"/>
      <c r="E1064" s="5" t="n"/>
      <c r="F1064" s="5" t="n"/>
    </row>
    <row r="1065" customFormat="1" s="85">
      <c r="A1065" s="2" t="n"/>
      <c r="B1065" s="64" t="n"/>
      <c r="C1065" s="2" t="n"/>
      <c r="D1065" s="2" t="n"/>
      <c r="E1065" s="5" t="n"/>
      <c r="F1065" s="5" t="n"/>
    </row>
    <row r="1066" customFormat="1" s="85">
      <c r="A1066" s="2" t="n"/>
      <c r="B1066" s="64" t="n"/>
      <c r="C1066" s="2" t="n"/>
      <c r="D1066" s="2" t="n"/>
      <c r="E1066" s="5" t="n"/>
      <c r="F1066" s="5" t="n"/>
    </row>
    <row r="1067" customFormat="1" s="85">
      <c r="A1067" s="2" t="n"/>
      <c r="B1067" s="64" t="n"/>
      <c r="C1067" s="2" t="n"/>
      <c r="D1067" s="2" t="n"/>
      <c r="E1067" s="5" t="n"/>
      <c r="F1067" s="5" t="n"/>
    </row>
    <row r="1068" customFormat="1" s="85">
      <c r="A1068" s="2" t="n"/>
      <c r="B1068" s="64" t="n"/>
      <c r="C1068" s="2" t="n"/>
      <c r="D1068" s="2" t="n"/>
      <c r="E1068" s="5" t="n"/>
      <c r="F1068" s="5" t="n"/>
    </row>
    <row r="1069" customFormat="1" s="85">
      <c r="A1069" s="2" t="n"/>
      <c r="B1069" s="64" t="n"/>
      <c r="C1069" s="2" t="n"/>
      <c r="D1069" s="2" t="n"/>
      <c r="E1069" s="5" t="n"/>
      <c r="F1069" s="5" t="n"/>
    </row>
    <row r="1070" customFormat="1" s="85">
      <c r="A1070" s="2" t="n"/>
      <c r="B1070" s="64" t="n"/>
      <c r="C1070" s="2" t="n"/>
      <c r="D1070" s="2" t="n"/>
      <c r="E1070" s="5" t="n"/>
      <c r="F1070" s="5" t="n"/>
    </row>
    <row r="1071" customFormat="1" s="85">
      <c r="A1071" s="2" t="n"/>
      <c r="B1071" s="64" t="n"/>
      <c r="C1071" s="2" t="n"/>
      <c r="D1071" s="2" t="n"/>
      <c r="E1071" s="5" t="n"/>
      <c r="F1071" s="5" t="n"/>
    </row>
    <row r="1072" customFormat="1" s="85">
      <c r="A1072" s="2" t="n"/>
      <c r="B1072" s="64" t="n"/>
      <c r="C1072" s="2" t="n"/>
      <c r="D1072" s="2" t="n"/>
      <c r="E1072" s="5" t="n"/>
      <c r="F1072" s="5" t="n"/>
    </row>
    <row r="1073" customFormat="1" s="85">
      <c r="A1073" s="2" t="n"/>
      <c r="B1073" s="64" t="n"/>
      <c r="C1073" s="2" t="n"/>
      <c r="D1073" s="2" t="n"/>
      <c r="E1073" s="5" t="n"/>
      <c r="F1073" s="5" t="n"/>
    </row>
    <row r="1074" customFormat="1" s="85">
      <c r="A1074" s="2" t="n"/>
      <c r="B1074" s="64" t="n"/>
      <c r="C1074" s="2" t="n"/>
      <c r="D1074" s="2" t="n"/>
      <c r="E1074" s="5" t="n"/>
      <c r="F1074" s="5" t="n"/>
    </row>
    <row r="1075" customFormat="1" s="85">
      <c r="A1075" s="2" t="n"/>
      <c r="B1075" s="64" t="n"/>
      <c r="C1075" s="2" t="n"/>
      <c r="D1075" s="2" t="n"/>
      <c r="E1075" s="5" t="n"/>
      <c r="F1075" s="5" t="n"/>
    </row>
    <row r="1076" customFormat="1" s="85">
      <c r="A1076" s="2" t="n"/>
      <c r="B1076" s="64" t="n"/>
      <c r="C1076" s="2" t="n"/>
      <c r="D1076" s="2" t="n"/>
      <c r="E1076" s="5" t="n"/>
      <c r="F1076" s="5" t="n"/>
    </row>
    <row r="1077" customFormat="1" s="85">
      <c r="A1077" s="2" t="n"/>
      <c r="B1077" s="64" t="n"/>
      <c r="C1077" s="2" t="n"/>
      <c r="D1077" s="2" t="n"/>
      <c r="E1077" s="5" t="n"/>
      <c r="F1077" s="5" t="n"/>
    </row>
    <row r="1078" customFormat="1" s="85">
      <c r="A1078" s="2" t="n"/>
      <c r="B1078" s="64" t="n"/>
      <c r="C1078" s="2" t="n"/>
      <c r="D1078" s="2" t="n"/>
      <c r="E1078" s="5" t="n"/>
      <c r="F1078" s="5" t="n"/>
    </row>
    <row r="1079" customFormat="1" s="85">
      <c r="A1079" s="2" t="n"/>
      <c r="B1079" s="64" t="n"/>
      <c r="C1079" s="2" t="n"/>
      <c r="D1079" s="2" t="n"/>
      <c r="E1079" s="5" t="n"/>
      <c r="F1079" s="5" t="n"/>
    </row>
    <row r="1080" customFormat="1" s="85">
      <c r="A1080" s="2" t="n"/>
      <c r="B1080" s="64" t="n"/>
      <c r="C1080" s="2" t="n"/>
      <c r="D1080" s="2" t="n"/>
      <c r="E1080" s="5" t="n"/>
      <c r="F1080" s="5" t="n"/>
    </row>
    <row r="1081" customFormat="1" s="85">
      <c r="A1081" s="2" t="n"/>
      <c r="B1081" s="64" t="n"/>
      <c r="C1081" s="2" t="n"/>
      <c r="D1081" s="2" t="n"/>
      <c r="E1081" s="5" t="n"/>
      <c r="F1081" s="5" t="n"/>
    </row>
    <row r="1082" customFormat="1" s="85">
      <c r="A1082" s="2" t="n"/>
      <c r="B1082" s="64" t="n"/>
      <c r="C1082" s="2" t="n"/>
      <c r="D1082" s="2" t="n"/>
      <c r="E1082" s="5" t="n"/>
      <c r="F1082" s="5" t="n"/>
    </row>
    <row r="1083" customFormat="1" s="85">
      <c r="A1083" s="2" t="n"/>
      <c r="B1083" s="64" t="n"/>
      <c r="C1083" s="2" t="n"/>
      <c r="D1083" s="2" t="n"/>
      <c r="E1083" s="5" t="n"/>
      <c r="F1083" s="5" t="n"/>
    </row>
    <row r="1084" customFormat="1" s="85">
      <c r="A1084" s="2" t="n"/>
      <c r="B1084" s="64" t="n"/>
      <c r="C1084" s="2" t="n"/>
      <c r="D1084" s="2" t="n"/>
      <c r="E1084" s="5" t="n"/>
      <c r="F1084" s="5" t="n"/>
    </row>
    <row r="1085" customFormat="1" s="85">
      <c r="A1085" s="2" t="n"/>
      <c r="B1085" s="64" t="n"/>
      <c r="C1085" s="2" t="n"/>
      <c r="D1085" s="2" t="n"/>
      <c r="E1085" s="5" t="n"/>
      <c r="F1085" s="5" t="n"/>
    </row>
    <row r="1086" customFormat="1" s="85">
      <c r="A1086" s="2" t="n"/>
      <c r="B1086" s="64" t="n"/>
      <c r="C1086" s="2" t="n"/>
      <c r="D1086" s="2" t="n"/>
      <c r="E1086" s="5" t="n"/>
      <c r="F1086" s="5" t="n"/>
    </row>
    <row r="1087" customFormat="1" s="85">
      <c r="A1087" s="2" t="n"/>
      <c r="B1087" s="64" t="n"/>
      <c r="C1087" s="2" t="n"/>
      <c r="D1087" s="2" t="n"/>
      <c r="E1087" s="5" t="n"/>
      <c r="F1087" s="5" t="n"/>
    </row>
    <row r="1088" customFormat="1" s="85">
      <c r="A1088" s="2" t="n"/>
      <c r="B1088" s="64" t="n"/>
      <c r="C1088" s="2" t="n"/>
      <c r="D1088" s="2" t="n"/>
      <c r="E1088" s="5" t="n"/>
      <c r="F1088" s="5" t="n"/>
    </row>
    <row r="1089" customFormat="1" s="85">
      <c r="A1089" s="2" t="n"/>
      <c r="B1089" s="64" t="n"/>
      <c r="C1089" s="2" t="n"/>
      <c r="D1089" s="2" t="n"/>
      <c r="E1089" s="5" t="n"/>
      <c r="F1089" s="5" t="n"/>
    </row>
    <row r="1090" customFormat="1" s="85">
      <c r="A1090" s="2" t="n"/>
      <c r="B1090" s="64" t="n"/>
      <c r="C1090" s="2" t="n"/>
      <c r="D1090" s="2" t="n"/>
      <c r="E1090" s="5" t="n"/>
      <c r="F1090" s="5" t="n"/>
    </row>
    <row r="1091" customFormat="1" s="85">
      <c r="A1091" s="2" t="n"/>
      <c r="B1091" s="64" t="n"/>
      <c r="C1091" s="2" t="n"/>
      <c r="D1091" s="2" t="n"/>
      <c r="E1091" s="5" t="n"/>
      <c r="F1091" s="5" t="n"/>
    </row>
    <row r="1092" customFormat="1" s="85">
      <c r="A1092" s="2" t="n"/>
      <c r="B1092" s="64" t="n"/>
      <c r="C1092" s="2" t="n"/>
      <c r="D1092" s="2" t="n"/>
      <c r="E1092" s="5" t="n"/>
      <c r="F1092" s="5" t="n"/>
    </row>
    <row r="1093" customFormat="1" s="85">
      <c r="A1093" s="2" t="n"/>
      <c r="B1093" s="64" t="n"/>
      <c r="C1093" s="2" t="n"/>
      <c r="D1093" s="2" t="n"/>
      <c r="E1093" s="5" t="n"/>
      <c r="F1093" s="5" t="n"/>
    </row>
    <row r="1094" customFormat="1" s="85">
      <c r="A1094" s="2" t="n"/>
      <c r="B1094" s="64" t="n"/>
      <c r="C1094" s="2" t="n"/>
      <c r="D1094" s="2" t="n"/>
      <c r="E1094" s="5" t="n"/>
      <c r="F1094" s="5" t="n"/>
    </row>
    <row r="1095" customFormat="1" s="85">
      <c r="A1095" s="2" t="n"/>
      <c r="B1095" s="64" t="n"/>
      <c r="C1095" s="2" t="n"/>
      <c r="D1095" s="2" t="n"/>
      <c r="E1095" s="5" t="n"/>
      <c r="F1095" s="5" t="n"/>
    </row>
    <row r="1096" customFormat="1" s="85">
      <c r="A1096" s="2" t="n"/>
      <c r="B1096" s="64" t="n"/>
      <c r="C1096" s="2" t="n"/>
      <c r="D1096" s="2" t="n"/>
      <c r="E1096" s="5" t="n"/>
      <c r="F1096" s="5" t="n"/>
    </row>
    <row r="1097" customFormat="1" s="85">
      <c r="A1097" s="2" t="n"/>
      <c r="B1097" s="64" t="n"/>
      <c r="C1097" s="2" t="n"/>
      <c r="D1097" s="2" t="n"/>
      <c r="E1097" s="5" t="n"/>
      <c r="F1097" s="5" t="n"/>
    </row>
    <row r="1098" customFormat="1" s="85">
      <c r="A1098" s="2" t="n"/>
      <c r="B1098" s="64" t="n"/>
      <c r="C1098" s="2" t="n"/>
      <c r="D1098" s="2" t="n"/>
      <c r="E1098" s="5" t="n"/>
      <c r="F1098" s="5" t="n"/>
    </row>
    <row r="1099" customFormat="1" s="85">
      <c r="A1099" s="2" t="n"/>
      <c r="B1099" s="64" t="n"/>
      <c r="C1099" s="2" t="n"/>
      <c r="D1099" s="2" t="n"/>
      <c r="E1099" s="5" t="n"/>
      <c r="F1099" s="5" t="n"/>
    </row>
    <row r="1100" customFormat="1" s="85">
      <c r="A1100" s="2" t="n"/>
      <c r="B1100" s="64" t="n"/>
      <c r="C1100" s="2" t="n"/>
      <c r="D1100" s="2" t="n"/>
      <c r="E1100" s="5" t="n"/>
      <c r="F1100" s="5" t="n"/>
    </row>
    <row r="1101" customFormat="1" s="85">
      <c r="A1101" s="2" t="n"/>
      <c r="B1101" s="64" t="n"/>
      <c r="C1101" s="2" t="n"/>
      <c r="D1101" s="2" t="n"/>
      <c r="E1101" s="5" t="n"/>
      <c r="F1101" s="5" t="n"/>
    </row>
    <row r="1102" customFormat="1" s="85">
      <c r="A1102" s="2" t="n"/>
      <c r="B1102" s="64" t="n"/>
      <c r="C1102" s="2" t="n"/>
      <c r="D1102" s="2" t="n"/>
      <c r="E1102" s="5" t="n"/>
      <c r="F1102" s="5" t="n"/>
    </row>
    <row r="1103" customFormat="1" s="85">
      <c r="A1103" s="2" t="n"/>
      <c r="B1103" s="64" t="n"/>
      <c r="C1103" s="2" t="n"/>
      <c r="D1103" s="2" t="n"/>
      <c r="E1103" s="5" t="n"/>
      <c r="F1103" s="5" t="n"/>
    </row>
    <row r="1104" customFormat="1" s="85">
      <c r="A1104" s="2" t="n"/>
      <c r="B1104" s="64" t="n"/>
      <c r="C1104" s="2" t="n"/>
      <c r="D1104" s="2" t="n"/>
      <c r="E1104" s="5" t="n"/>
      <c r="F1104" s="5" t="n"/>
    </row>
    <row r="1105" customFormat="1" s="85">
      <c r="A1105" s="2" t="n"/>
      <c r="B1105" s="64" t="n"/>
      <c r="C1105" s="2" t="n"/>
      <c r="D1105" s="2" t="n"/>
      <c r="E1105" s="5" t="n"/>
      <c r="F1105" s="5" t="n"/>
    </row>
    <row r="1106" customFormat="1" s="85">
      <c r="A1106" s="2" t="n"/>
      <c r="B1106" s="64" t="n"/>
      <c r="C1106" s="2" t="n"/>
      <c r="D1106" s="2" t="n"/>
      <c r="E1106" s="5" t="n"/>
      <c r="F1106" s="5" t="n"/>
    </row>
    <row r="1107" customFormat="1" s="85">
      <c r="A1107" s="2" t="n"/>
      <c r="B1107" s="64" t="n"/>
      <c r="C1107" s="2" t="n"/>
      <c r="D1107" s="2" t="n"/>
      <c r="E1107" s="5" t="n"/>
      <c r="F1107" s="5" t="n"/>
    </row>
    <row r="1108" customFormat="1" s="85">
      <c r="A1108" s="2" t="n"/>
      <c r="B1108" s="64" t="n"/>
      <c r="C1108" s="2" t="n"/>
      <c r="D1108" s="2" t="n"/>
      <c r="E1108" s="5" t="n"/>
      <c r="F1108" s="5" t="n"/>
    </row>
    <row r="1109" customFormat="1" s="85">
      <c r="A1109" s="2" t="n"/>
      <c r="B1109" s="64" t="n"/>
      <c r="C1109" s="2" t="n"/>
      <c r="D1109" s="2" t="n"/>
      <c r="E1109" s="5" t="n"/>
      <c r="F1109" s="5" t="n"/>
    </row>
    <row r="1110" customFormat="1" s="85">
      <c r="A1110" s="2" t="n"/>
      <c r="B1110" s="64" t="n"/>
      <c r="C1110" s="2" t="n"/>
      <c r="D1110" s="2" t="n"/>
      <c r="E1110" s="5" t="n"/>
      <c r="F1110" s="5" t="n"/>
    </row>
    <row r="1111" customFormat="1" s="85">
      <c r="A1111" s="2" t="n"/>
      <c r="B1111" s="64" t="n"/>
      <c r="C1111" s="2" t="n"/>
      <c r="D1111" s="2" t="n"/>
      <c r="E1111" s="5" t="n"/>
      <c r="F1111" s="5" t="n"/>
    </row>
    <row r="1112" customFormat="1" s="85">
      <c r="A1112" s="2" t="n"/>
      <c r="B1112" s="64" t="n"/>
      <c r="C1112" s="2" t="n"/>
      <c r="D1112" s="2" t="n"/>
      <c r="E1112" s="5" t="n"/>
      <c r="F1112" s="5" t="n"/>
    </row>
    <row r="1113" customFormat="1" s="85">
      <c r="A1113" s="2" t="n"/>
      <c r="B1113" s="64" t="n"/>
      <c r="C1113" s="2" t="n"/>
      <c r="D1113" s="2" t="n"/>
      <c r="E1113" s="5" t="n"/>
      <c r="F1113" s="5" t="n"/>
    </row>
    <row r="1114" customFormat="1" s="85">
      <c r="A1114" s="2" t="n"/>
      <c r="B1114" s="64" t="n"/>
      <c r="C1114" s="2" t="n"/>
      <c r="D1114" s="2" t="n"/>
      <c r="E1114" s="5" t="n"/>
      <c r="F1114" s="5" t="n"/>
    </row>
    <row r="1115" customFormat="1" s="85">
      <c r="A1115" s="2" t="n"/>
      <c r="B1115" s="64" t="n"/>
      <c r="C1115" s="2" t="n"/>
      <c r="D1115" s="2" t="n"/>
      <c r="E1115" s="5" t="n"/>
      <c r="F1115" s="5" t="n"/>
    </row>
    <row r="1116" customFormat="1" s="85">
      <c r="A1116" s="2" t="n"/>
      <c r="B1116" s="64" t="n"/>
      <c r="C1116" s="2" t="n"/>
      <c r="D1116" s="2" t="n"/>
      <c r="E1116" s="5" t="n"/>
      <c r="F1116" s="5" t="n"/>
    </row>
    <row r="1117" customFormat="1" s="85">
      <c r="A1117" s="2" t="n"/>
      <c r="B1117" s="64" t="n"/>
      <c r="C1117" s="2" t="n"/>
      <c r="D1117" s="2" t="n"/>
      <c r="E1117" s="5" t="n"/>
      <c r="F1117" s="5" t="n"/>
    </row>
    <row r="1118" customFormat="1" s="85">
      <c r="A1118" s="2" t="n"/>
      <c r="B1118" s="64" t="n"/>
      <c r="C1118" s="2" t="n"/>
      <c r="D1118" s="2" t="n"/>
      <c r="E1118" s="5" t="n"/>
      <c r="F1118" s="5" t="n"/>
    </row>
    <row r="1119" customFormat="1" s="85">
      <c r="A1119" s="2" t="n"/>
      <c r="B1119" s="64" t="n"/>
      <c r="C1119" s="2" t="n"/>
      <c r="D1119" s="2" t="n"/>
      <c r="E1119" s="5" t="n"/>
      <c r="F1119" s="5" t="n"/>
    </row>
    <row r="1120" customFormat="1" s="85">
      <c r="A1120" s="2" t="n"/>
      <c r="B1120" s="64" t="n"/>
      <c r="C1120" s="2" t="n"/>
      <c r="D1120" s="2" t="n"/>
      <c r="E1120" s="5" t="n"/>
      <c r="F1120" s="5" t="n"/>
    </row>
    <row r="1121" customFormat="1" s="85">
      <c r="A1121" s="2" t="n"/>
      <c r="B1121" s="64" t="n"/>
      <c r="C1121" s="2" t="n"/>
      <c r="D1121" s="2" t="n"/>
      <c r="E1121" s="5" t="n"/>
      <c r="F1121" s="5" t="n"/>
    </row>
    <row r="1122" customFormat="1" s="85">
      <c r="A1122" s="2" t="n"/>
      <c r="B1122" s="64" t="n"/>
      <c r="C1122" s="2" t="n"/>
      <c r="D1122" s="2" t="n"/>
      <c r="E1122" s="5" t="n"/>
      <c r="F1122" s="5" t="n"/>
    </row>
    <row r="1123" customFormat="1" s="85">
      <c r="A1123" s="2" t="n"/>
      <c r="B1123" s="64" t="n"/>
      <c r="C1123" s="2" t="n"/>
      <c r="D1123" s="2" t="n"/>
      <c r="E1123" s="5" t="n"/>
      <c r="F1123" s="5" t="n"/>
    </row>
    <row r="1124" customFormat="1" s="85">
      <c r="A1124" s="2" t="n"/>
      <c r="B1124" s="64" t="n"/>
      <c r="C1124" s="2" t="n"/>
      <c r="D1124" s="2" t="n"/>
      <c r="E1124" s="5" t="n"/>
      <c r="F1124" s="5" t="n"/>
    </row>
    <row r="1125" customFormat="1" s="85">
      <c r="A1125" s="2" t="n"/>
      <c r="B1125" s="64" t="n"/>
      <c r="C1125" s="2" t="n"/>
      <c r="D1125" s="2" t="n"/>
      <c r="E1125" s="5" t="n"/>
      <c r="F1125" s="5" t="n"/>
    </row>
    <row r="1126" customFormat="1" s="85">
      <c r="A1126" s="2" t="n"/>
      <c r="B1126" s="64" t="n"/>
      <c r="C1126" s="2" t="n"/>
      <c r="D1126" s="2" t="n"/>
      <c r="E1126" s="5" t="n"/>
      <c r="F1126" s="5" t="n"/>
    </row>
    <row r="1127" customFormat="1" s="85">
      <c r="A1127" s="2" t="n"/>
      <c r="B1127" s="64" t="n"/>
      <c r="C1127" s="2" t="n"/>
      <c r="D1127" s="2" t="n"/>
      <c r="E1127" s="5" t="n"/>
      <c r="F1127" s="5" t="n"/>
    </row>
    <row r="1128" customFormat="1" s="85">
      <c r="A1128" s="2" t="n"/>
      <c r="B1128" s="64" t="n"/>
      <c r="C1128" s="2" t="n"/>
      <c r="D1128" s="2" t="n"/>
      <c r="E1128" s="5" t="n"/>
      <c r="F1128" s="5" t="n"/>
    </row>
    <row r="1129" customFormat="1" s="85">
      <c r="A1129" s="2" t="n"/>
      <c r="B1129" s="64" t="n"/>
      <c r="C1129" s="2" t="n"/>
      <c r="D1129" s="2" t="n"/>
      <c r="E1129" s="5" t="n"/>
      <c r="F1129" s="5" t="n"/>
    </row>
    <row r="1130" customFormat="1" s="85">
      <c r="A1130" s="2" t="n"/>
      <c r="B1130" s="64" t="n"/>
      <c r="C1130" s="2" t="n"/>
      <c r="D1130" s="2" t="n"/>
      <c r="E1130" s="5" t="n"/>
      <c r="F1130" s="5" t="n"/>
    </row>
    <row r="1131" customFormat="1" s="85">
      <c r="A1131" s="2" t="n"/>
      <c r="B1131" s="64" t="n"/>
      <c r="C1131" s="2" t="n"/>
      <c r="D1131" s="2" t="n"/>
      <c r="E1131" s="5" t="n"/>
      <c r="F1131" s="5" t="n"/>
    </row>
    <row r="1132" customFormat="1" s="85">
      <c r="A1132" s="2" t="n"/>
      <c r="B1132" s="64" t="n"/>
      <c r="C1132" s="2" t="n"/>
      <c r="D1132" s="2" t="n"/>
      <c r="E1132" s="5" t="n"/>
      <c r="F1132" s="5" t="n"/>
    </row>
    <row r="1133" customFormat="1" s="85">
      <c r="A1133" s="2" t="n"/>
      <c r="B1133" s="64" t="n"/>
      <c r="C1133" s="2" t="n"/>
      <c r="D1133" s="2" t="n"/>
      <c r="E1133" s="5" t="n"/>
      <c r="F1133" s="5" t="n"/>
    </row>
    <row r="1134" customFormat="1" s="85">
      <c r="A1134" s="2" t="n"/>
      <c r="B1134" s="64" t="n"/>
      <c r="C1134" s="2" t="n"/>
      <c r="D1134" s="2" t="n"/>
      <c r="E1134" s="5" t="n"/>
      <c r="F1134" s="5" t="n"/>
    </row>
    <row r="1135" customFormat="1" s="85">
      <c r="A1135" s="2" t="n"/>
      <c r="B1135" s="64" t="n"/>
      <c r="C1135" s="2" t="n"/>
      <c r="D1135" s="2" t="n"/>
      <c r="E1135" s="5" t="n"/>
      <c r="F1135" s="5" t="n"/>
    </row>
    <row r="1136" customFormat="1" s="85">
      <c r="A1136" s="2" t="n"/>
      <c r="B1136" s="64" t="n"/>
      <c r="C1136" s="2" t="n"/>
      <c r="D1136" s="2" t="n"/>
      <c r="E1136" s="5" t="n"/>
      <c r="F1136" s="5" t="n"/>
    </row>
    <row r="1137" customFormat="1" s="85">
      <c r="A1137" s="2" t="n"/>
      <c r="B1137" s="64" t="n"/>
      <c r="C1137" s="2" t="n"/>
      <c r="D1137" s="2" t="n"/>
      <c r="E1137" s="5" t="n"/>
      <c r="F1137" s="5" t="n"/>
    </row>
    <row r="1138" customFormat="1" s="85">
      <c r="A1138" s="2" t="n"/>
      <c r="B1138" s="64" t="n"/>
      <c r="C1138" s="2" t="n"/>
      <c r="D1138" s="2" t="n"/>
      <c r="E1138" s="5" t="n"/>
      <c r="F1138" s="5" t="n"/>
    </row>
    <row r="1139" customFormat="1" s="85">
      <c r="A1139" s="2" t="n"/>
      <c r="B1139" s="64" t="n"/>
      <c r="C1139" s="2" t="n"/>
      <c r="D1139" s="2" t="n"/>
      <c r="E1139" s="5" t="n"/>
      <c r="F1139" s="5" t="n"/>
    </row>
    <row r="1140" customFormat="1" s="85">
      <c r="A1140" s="2" t="n"/>
      <c r="B1140" s="64" t="n"/>
      <c r="C1140" s="2" t="n"/>
      <c r="D1140" s="2" t="n"/>
      <c r="E1140" s="5" t="n"/>
      <c r="F1140" s="5" t="n"/>
    </row>
    <row r="1141" customFormat="1" s="85">
      <c r="A1141" s="2" t="n"/>
      <c r="B1141" s="64" t="n"/>
      <c r="C1141" s="2" t="n"/>
      <c r="D1141" s="2" t="n"/>
      <c r="E1141" s="5" t="n"/>
      <c r="F1141" s="5" t="n"/>
    </row>
    <row r="1142" customFormat="1" s="85">
      <c r="A1142" s="2" t="n"/>
      <c r="B1142" s="64" t="n"/>
      <c r="C1142" s="2" t="n"/>
      <c r="D1142" s="2" t="n"/>
      <c r="E1142" s="5" t="n"/>
      <c r="F1142" s="5" t="n"/>
    </row>
    <row r="1143" customFormat="1" s="85">
      <c r="A1143" s="2" t="n"/>
      <c r="B1143" s="64" t="n"/>
      <c r="C1143" s="2" t="n"/>
      <c r="D1143" s="2" t="n"/>
      <c r="E1143" s="5" t="n"/>
      <c r="F1143" s="5" t="n"/>
    </row>
    <row r="1144" customFormat="1" s="85">
      <c r="A1144" s="2" t="n"/>
      <c r="B1144" s="64" t="n"/>
      <c r="C1144" s="2" t="n"/>
      <c r="D1144" s="2" t="n"/>
      <c r="E1144" s="5" t="n"/>
      <c r="F1144" s="5" t="n"/>
    </row>
    <row r="1145" customFormat="1" s="85">
      <c r="A1145" s="2" t="n"/>
      <c r="B1145" s="64" t="n"/>
      <c r="C1145" s="2" t="n"/>
      <c r="D1145" s="2" t="n"/>
      <c r="E1145" s="5" t="n"/>
      <c r="F1145" s="5" t="n"/>
    </row>
    <row r="1146" customFormat="1" s="85">
      <c r="A1146" s="2" t="n"/>
      <c r="B1146" s="64" t="n"/>
      <c r="C1146" s="2" t="n"/>
      <c r="D1146" s="2" t="n"/>
      <c r="E1146" s="5" t="n"/>
      <c r="F1146" s="5" t="n"/>
    </row>
    <row r="1147" customFormat="1" s="85">
      <c r="A1147" s="2" t="n"/>
      <c r="B1147" s="64" t="n"/>
      <c r="C1147" s="2" t="n"/>
      <c r="D1147" s="2" t="n"/>
      <c r="E1147" s="5" t="n"/>
      <c r="F1147" s="5" t="n"/>
    </row>
    <row r="1148" customFormat="1" s="85">
      <c r="A1148" s="2" t="n"/>
      <c r="B1148" s="64" t="n"/>
      <c r="C1148" s="2" t="n"/>
      <c r="D1148" s="2" t="n"/>
      <c r="E1148" s="5" t="n"/>
      <c r="F1148" s="5" t="n"/>
    </row>
    <row r="1149" customFormat="1" s="85">
      <c r="A1149" s="2" t="n"/>
      <c r="B1149" s="64" t="n"/>
      <c r="C1149" s="2" t="n"/>
      <c r="D1149" s="2" t="n"/>
      <c r="E1149" s="5" t="n"/>
      <c r="F1149" s="5" t="n"/>
    </row>
    <row r="1150" customFormat="1" s="85">
      <c r="A1150" s="2" t="n"/>
      <c r="B1150" s="64" t="n"/>
      <c r="C1150" s="2" t="n"/>
      <c r="D1150" s="2" t="n"/>
      <c r="E1150" s="5" t="n"/>
      <c r="F1150" s="5" t="n"/>
    </row>
    <row r="1151" customFormat="1" s="85">
      <c r="A1151" s="2" t="n"/>
      <c r="B1151" s="64" t="n"/>
      <c r="C1151" s="2" t="n"/>
      <c r="D1151" s="2" t="n"/>
      <c r="E1151" s="5" t="n"/>
      <c r="F1151" s="5" t="n"/>
    </row>
    <row r="1152" customFormat="1" s="85">
      <c r="A1152" s="2" t="n"/>
      <c r="B1152" s="64" t="n"/>
      <c r="C1152" s="2" t="n"/>
      <c r="D1152" s="2" t="n"/>
      <c r="E1152" s="5" t="n"/>
      <c r="F1152" s="5" t="n"/>
    </row>
    <row r="1153" customFormat="1" s="85">
      <c r="A1153" s="2" t="n"/>
      <c r="B1153" s="64" t="n"/>
      <c r="C1153" s="2" t="n"/>
      <c r="D1153" s="2" t="n"/>
      <c r="E1153" s="5" t="n"/>
      <c r="F1153" s="5" t="n"/>
    </row>
    <row r="1154" customFormat="1" s="85">
      <c r="A1154" s="2" t="n"/>
      <c r="B1154" s="64" t="n"/>
      <c r="C1154" s="2" t="n"/>
      <c r="D1154" s="2" t="n"/>
      <c r="E1154" s="5" t="n"/>
      <c r="F1154" s="5" t="n"/>
    </row>
    <row r="1155" customFormat="1" s="85">
      <c r="A1155" s="2" t="n"/>
      <c r="B1155" s="64" t="n"/>
      <c r="C1155" s="2" t="n"/>
      <c r="D1155" s="2" t="n"/>
      <c r="E1155" s="5" t="n"/>
      <c r="F1155" s="5" t="n"/>
    </row>
    <row r="1156" customFormat="1" s="85">
      <c r="A1156" s="2" t="n"/>
      <c r="B1156" s="64" t="n"/>
      <c r="C1156" s="2" t="n"/>
      <c r="D1156" s="2" t="n"/>
      <c r="E1156" s="5" t="n"/>
      <c r="F1156" s="5" t="n"/>
    </row>
    <row r="1157" customFormat="1" s="85">
      <c r="A1157" s="2" t="n"/>
      <c r="B1157" s="64" t="n"/>
      <c r="C1157" s="2" t="n"/>
      <c r="D1157" s="2" t="n"/>
      <c r="E1157" s="5" t="n"/>
      <c r="F1157" s="5" t="n"/>
    </row>
    <row r="1158" customFormat="1" s="85">
      <c r="A1158" s="2" t="n"/>
      <c r="B1158" s="64" t="n"/>
      <c r="C1158" s="2" t="n"/>
      <c r="D1158" s="2" t="n"/>
      <c r="E1158" s="5" t="n"/>
      <c r="F1158" s="5" t="n"/>
    </row>
    <row r="1159" customFormat="1" s="85">
      <c r="A1159" s="2" t="n"/>
      <c r="B1159" s="64" t="n"/>
      <c r="C1159" s="2" t="n"/>
      <c r="D1159" s="2" t="n"/>
      <c r="E1159" s="5" t="n"/>
      <c r="F1159" s="5" t="n"/>
    </row>
    <row r="1160" customFormat="1" s="85">
      <c r="A1160" s="2" t="n"/>
      <c r="B1160" s="64" t="n"/>
      <c r="C1160" s="2" t="n"/>
      <c r="D1160" s="2" t="n"/>
      <c r="E1160" s="5" t="n"/>
      <c r="F1160" s="5" t="n"/>
    </row>
    <row r="1161" customFormat="1" s="85">
      <c r="A1161" s="2" t="n"/>
      <c r="B1161" s="64" t="n"/>
      <c r="C1161" s="2" t="n"/>
      <c r="D1161" s="2" t="n"/>
      <c r="E1161" s="5" t="n"/>
      <c r="F1161" s="5" t="n"/>
    </row>
    <row r="1162" customFormat="1" s="85">
      <c r="A1162" s="2" t="n"/>
      <c r="B1162" s="64" t="n"/>
      <c r="C1162" s="2" t="n"/>
      <c r="D1162" s="2" t="n"/>
      <c r="E1162" s="5" t="n"/>
      <c r="F1162" s="5" t="n"/>
    </row>
    <row r="1163" customFormat="1" s="85">
      <c r="A1163" s="2" t="n"/>
      <c r="B1163" s="64" t="n"/>
      <c r="C1163" s="2" t="n"/>
      <c r="D1163" s="2" t="n"/>
      <c r="E1163" s="5" t="n"/>
      <c r="F1163" s="5" t="n"/>
    </row>
    <row r="1164" customFormat="1" s="85">
      <c r="A1164" s="2" t="n"/>
      <c r="B1164" s="64" t="n"/>
      <c r="C1164" s="2" t="n"/>
      <c r="D1164" s="2" t="n"/>
      <c r="E1164" s="5" t="n"/>
      <c r="F1164" s="5" t="n"/>
    </row>
    <row r="1165" customFormat="1" s="85">
      <c r="A1165" s="2" t="n"/>
      <c r="B1165" s="64" t="n"/>
      <c r="C1165" s="2" t="n"/>
      <c r="D1165" s="2" t="n"/>
      <c r="E1165" s="5" t="n"/>
      <c r="F1165" s="5" t="n"/>
    </row>
    <row r="1166" customFormat="1" s="85">
      <c r="A1166" s="2" t="n"/>
      <c r="B1166" s="64" t="n"/>
      <c r="C1166" s="2" t="n"/>
      <c r="D1166" s="2" t="n"/>
      <c r="E1166" s="5" t="n"/>
      <c r="F1166" s="5" t="n"/>
    </row>
    <row r="1167" customFormat="1" s="85">
      <c r="A1167" s="2" t="n"/>
      <c r="B1167" s="64" t="n"/>
      <c r="C1167" s="2" t="n"/>
      <c r="D1167" s="2" t="n"/>
      <c r="E1167" s="5" t="n"/>
      <c r="F1167" s="5" t="n"/>
    </row>
    <row r="1168" customFormat="1" s="85">
      <c r="A1168" s="2" t="n"/>
      <c r="B1168" s="64" t="n"/>
      <c r="C1168" s="2" t="n"/>
      <c r="D1168" s="2" t="n"/>
      <c r="E1168" s="5" t="n"/>
      <c r="F1168" s="5" t="n"/>
    </row>
    <row r="1169" customFormat="1" s="85">
      <c r="A1169" s="2" t="n"/>
      <c r="B1169" s="64" t="n"/>
      <c r="C1169" s="2" t="n"/>
      <c r="D1169" s="2" t="n"/>
      <c r="E1169" s="5" t="n"/>
      <c r="F1169" s="5" t="n"/>
    </row>
    <row r="1170" customFormat="1" s="85">
      <c r="A1170" s="2" t="n"/>
      <c r="B1170" s="64" t="n"/>
      <c r="C1170" s="2" t="n"/>
      <c r="D1170" s="2" t="n"/>
      <c r="E1170" s="5" t="n"/>
      <c r="F1170" s="5" t="n"/>
    </row>
    <row r="1171" customFormat="1" s="85">
      <c r="A1171" s="2" t="n"/>
      <c r="B1171" s="64" t="n"/>
      <c r="C1171" s="2" t="n"/>
      <c r="D1171" s="2" t="n"/>
      <c r="E1171" s="5" t="n"/>
      <c r="F1171" s="5" t="n"/>
    </row>
    <row r="1172" customFormat="1" s="85">
      <c r="A1172" s="2" t="n"/>
      <c r="B1172" s="64" t="n"/>
      <c r="C1172" s="2" t="n"/>
      <c r="D1172" s="2" t="n"/>
      <c r="E1172" s="5" t="n"/>
      <c r="F1172" s="5" t="n"/>
    </row>
    <row r="1173" customFormat="1" s="85">
      <c r="A1173" s="2" t="n"/>
      <c r="B1173" s="64" t="n"/>
      <c r="C1173" s="2" t="n"/>
      <c r="D1173" s="2" t="n"/>
      <c r="E1173" s="5" t="n"/>
      <c r="F1173" s="5" t="n"/>
    </row>
    <row r="1174" customFormat="1" s="85">
      <c r="A1174" s="2" t="n"/>
      <c r="B1174" s="64" t="n"/>
      <c r="C1174" s="2" t="n"/>
      <c r="D1174" s="2" t="n"/>
      <c r="E1174" s="5" t="n"/>
      <c r="F1174" s="5" t="n"/>
    </row>
    <row r="1175" customFormat="1" s="85">
      <c r="A1175" s="2" t="n"/>
      <c r="B1175" s="64" t="n"/>
      <c r="C1175" s="2" t="n"/>
      <c r="D1175" s="2" t="n"/>
      <c r="E1175" s="5" t="n"/>
      <c r="F1175" s="5" t="n"/>
    </row>
    <row r="1176" customFormat="1" s="85">
      <c r="A1176" s="2" t="n"/>
      <c r="B1176" s="64" t="n"/>
      <c r="C1176" s="2" t="n"/>
      <c r="D1176" s="2" t="n"/>
      <c r="E1176" s="5" t="n"/>
      <c r="F1176" s="5" t="n"/>
    </row>
    <row r="1177" customFormat="1" s="85">
      <c r="A1177" s="2" t="n"/>
      <c r="B1177" s="64" t="n"/>
      <c r="C1177" s="2" t="n"/>
      <c r="D1177" s="2" t="n"/>
      <c r="E1177" s="5" t="n"/>
      <c r="F1177" s="5" t="n"/>
    </row>
    <row r="1178" customFormat="1" s="85">
      <c r="A1178" s="2" t="n"/>
      <c r="B1178" s="64" t="n"/>
      <c r="C1178" s="2" t="n"/>
      <c r="D1178" s="2" t="n"/>
      <c r="E1178" s="5" t="n"/>
      <c r="F1178" s="5" t="n"/>
    </row>
    <row r="1179" customFormat="1" s="85">
      <c r="A1179" s="2" t="n"/>
      <c r="B1179" s="64" t="n"/>
      <c r="C1179" s="2" t="n"/>
      <c r="D1179" s="2" t="n"/>
      <c r="E1179" s="5" t="n"/>
      <c r="F1179" s="5" t="n"/>
    </row>
    <row r="1180" customFormat="1" s="85">
      <c r="A1180" s="2" t="n"/>
      <c r="B1180" s="64" t="n"/>
      <c r="C1180" s="2" t="n"/>
      <c r="D1180" s="2" t="n"/>
      <c r="E1180" s="5" t="n"/>
      <c r="F1180" s="5" t="n"/>
    </row>
    <row r="1181" customFormat="1" s="85">
      <c r="A1181" s="2" t="n"/>
      <c r="B1181" s="64" t="n"/>
      <c r="C1181" s="2" t="n"/>
      <c r="D1181" s="2" t="n"/>
      <c r="E1181" s="5" t="n"/>
      <c r="F1181" s="5" t="n"/>
    </row>
    <row r="1182" customFormat="1" s="85">
      <c r="A1182" s="2" t="n"/>
      <c r="B1182" s="64" t="n"/>
      <c r="C1182" s="2" t="n"/>
      <c r="D1182" s="2" t="n"/>
      <c r="E1182" s="5" t="n"/>
      <c r="F1182" s="5" t="n"/>
    </row>
    <row r="1183" customFormat="1" s="85">
      <c r="A1183" s="2" t="n"/>
      <c r="B1183" s="64" t="n"/>
      <c r="C1183" s="2" t="n"/>
      <c r="D1183" s="2" t="n"/>
      <c r="E1183" s="5" t="n"/>
      <c r="F1183" s="5" t="n"/>
    </row>
    <row r="1184" customFormat="1" s="85">
      <c r="A1184" s="2" t="n"/>
      <c r="B1184" s="64" t="n"/>
      <c r="C1184" s="2" t="n"/>
      <c r="D1184" s="2" t="n"/>
      <c r="E1184" s="5" t="n"/>
      <c r="F1184" s="5" t="n"/>
    </row>
    <row r="1185" customFormat="1" s="85">
      <c r="A1185" s="2" t="n"/>
      <c r="B1185" s="64" t="n"/>
      <c r="C1185" s="2" t="n"/>
      <c r="D1185" s="2" t="n"/>
      <c r="E1185" s="5" t="n"/>
      <c r="F1185" s="5" t="n"/>
    </row>
    <row r="1186" customFormat="1" s="85">
      <c r="A1186" s="2" t="n"/>
      <c r="B1186" s="64" t="n"/>
      <c r="C1186" s="2" t="n"/>
      <c r="D1186" s="2" t="n"/>
      <c r="E1186" s="5" t="n"/>
      <c r="F1186" s="5" t="n"/>
    </row>
    <row r="1187" customFormat="1" s="85">
      <c r="A1187" s="2" t="n"/>
      <c r="B1187" s="64" t="n"/>
      <c r="C1187" s="2" t="n"/>
      <c r="D1187" s="2" t="n"/>
      <c r="E1187" s="5" t="n"/>
      <c r="F1187" s="5" t="n"/>
    </row>
    <row r="1188" customFormat="1" s="85">
      <c r="A1188" s="2" t="n"/>
      <c r="B1188" s="64" t="n"/>
      <c r="C1188" s="2" t="n"/>
      <c r="D1188" s="2" t="n"/>
      <c r="E1188" s="5" t="n"/>
      <c r="F1188" s="5" t="n"/>
    </row>
    <row r="1189" customFormat="1" s="85">
      <c r="A1189" s="2" t="n"/>
      <c r="B1189" s="64" t="n"/>
      <c r="C1189" s="2" t="n"/>
      <c r="D1189" s="2" t="n"/>
      <c r="E1189" s="5" t="n"/>
      <c r="F1189" s="5" t="n"/>
    </row>
    <row r="1190" customFormat="1" s="85">
      <c r="A1190" s="2" t="n"/>
      <c r="B1190" s="64" t="n"/>
      <c r="C1190" s="2" t="n"/>
      <c r="D1190" s="2" t="n"/>
      <c r="E1190" s="5" t="n"/>
      <c r="F1190" s="5" t="n"/>
    </row>
    <row r="1191" customFormat="1" s="85">
      <c r="A1191" s="2" t="n"/>
      <c r="B1191" s="64" t="n"/>
      <c r="C1191" s="2" t="n"/>
      <c r="D1191" s="2" t="n"/>
      <c r="E1191" s="5" t="n"/>
      <c r="F1191" s="5" t="n"/>
    </row>
    <row r="1192" customFormat="1" s="85">
      <c r="A1192" s="2" t="n"/>
      <c r="B1192" s="64" t="n"/>
      <c r="C1192" s="2" t="n"/>
      <c r="D1192" s="2" t="n"/>
      <c r="E1192" s="5" t="n"/>
      <c r="F1192" s="5" t="n"/>
    </row>
    <row r="1193" customFormat="1" s="85">
      <c r="A1193" s="2" t="n"/>
      <c r="B1193" s="64" t="n"/>
      <c r="C1193" s="2" t="n"/>
      <c r="D1193" s="2" t="n"/>
      <c r="E1193" s="5" t="n"/>
      <c r="F1193" s="5" t="n"/>
    </row>
    <row r="1194" customFormat="1" s="85">
      <c r="A1194" s="2" t="n"/>
      <c r="B1194" s="64" t="n"/>
      <c r="C1194" s="2" t="n"/>
      <c r="D1194" s="2" t="n"/>
      <c r="E1194" s="5" t="n"/>
      <c r="F1194" s="5" t="n"/>
    </row>
    <row r="1195" customFormat="1" s="85">
      <c r="A1195" s="2" t="n"/>
      <c r="B1195" s="64" t="n"/>
      <c r="C1195" s="2" t="n"/>
      <c r="D1195" s="2" t="n"/>
      <c r="E1195" s="5" t="n"/>
      <c r="F1195" s="5" t="n"/>
    </row>
    <row r="1196" customFormat="1" s="85">
      <c r="A1196" s="2" t="n"/>
      <c r="B1196" s="64" t="n"/>
      <c r="C1196" s="2" t="n"/>
      <c r="D1196" s="2" t="n"/>
      <c r="E1196" s="5" t="n"/>
      <c r="F1196" s="5" t="n"/>
    </row>
    <row r="1197" customFormat="1" s="85">
      <c r="A1197" s="2" t="n"/>
      <c r="B1197" s="64" t="n"/>
      <c r="C1197" s="2" t="n"/>
      <c r="D1197" s="2" t="n"/>
      <c r="E1197" s="5" t="n"/>
      <c r="F1197" s="5" t="n"/>
    </row>
    <row r="1198" customFormat="1" s="85">
      <c r="A1198" s="2" t="n"/>
      <c r="B1198" s="64" t="n"/>
      <c r="C1198" s="2" t="n"/>
      <c r="D1198" s="2" t="n"/>
      <c r="E1198" s="5" t="n"/>
      <c r="F1198" s="5" t="n"/>
    </row>
    <row r="1199" customFormat="1" s="85">
      <c r="A1199" s="2" t="n"/>
      <c r="B1199" s="64" t="n"/>
      <c r="C1199" s="2" t="n"/>
      <c r="D1199" s="2" t="n"/>
      <c r="E1199" s="5" t="n"/>
      <c r="F1199" s="5" t="n"/>
    </row>
    <row r="1200" customFormat="1" s="85">
      <c r="A1200" s="2" t="n"/>
      <c r="B1200" s="64" t="n"/>
      <c r="C1200" s="2" t="n"/>
      <c r="D1200" s="2" t="n"/>
      <c r="E1200" s="5" t="n"/>
      <c r="F1200" s="5" t="n"/>
    </row>
    <row r="1201" customFormat="1" s="85">
      <c r="A1201" s="2" t="n"/>
      <c r="B1201" s="64" t="n"/>
      <c r="C1201" s="2" t="n"/>
      <c r="D1201" s="2" t="n"/>
      <c r="E1201" s="5" t="n"/>
      <c r="F1201" s="5" t="n"/>
    </row>
    <row r="1202" customFormat="1" s="85">
      <c r="A1202" s="2" t="n"/>
      <c r="B1202" s="64" t="n"/>
      <c r="C1202" s="2" t="n"/>
      <c r="D1202" s="2" t="n"/>
      <c r="E1202" s="5" t="n"/>
      <c r="F1202" s="5" t="n"/>
    </row>
    <row r="1203" customFormat="1" s="85">
      <c r="A1203" s="2" t="n"/>
      <c r="B1203" s="64" t="n"/>
      <c r="C1203" s="2" t="n"/>
      <c r="D1203" s="2" t="n"/>
      <c r="E1203" s="5" t="n"/>
      <c r="F1203" s="5" t="n"/>
    </row>
    <row r="1204" customFormat="1" s="85">
      <c r="A1204" s="2" t="n"/>
      <c r="B1204" s="64" t="n"/>
      <c r="C1204" s="2" t="n"/>
      <c r="D1204" s="2" t="n"/>
      <c r="E1204" s="5" t="n"/>
      <c r="F1204" s="5" t="n"/>
    </row>
    <row r="1205" customFormat="1" s="85">
      <c r="A1205" s="2" t="n"/>
      <c r="B1205" s="64" t="n"/>
      <c r="C1205" s="2" t="n"/>
      <c r="D1205" s="2" t="n"/>
      <c r="E1205" s="5" t="n"/>
      <c r="F1205" s="5" t="n"/>
    </row>
    <row r="1206" customFormat="1" s="85">
      <c r="A1206" s="2" t="n"/>
      <c r="B1206" s="64" t="n"/>
      <c r="C1206" s="2" t="n"/>
      <c r="D1206" s="2" t="n"/>
      <c r="E1206" s="5" t="n"/>
      <c r="F1206" s="5" t="n"/>
    </row>
    <row r="1207" customFormat="1" s="85">
      <c r="A1207" s="2" t="n"/>
      <c r="B1207" s="64" t="n"/>
      <c r="C1207" s="2" t="n"/>
      <c r="D1207" s="2" t="n"/>
      <c r="E1207" s="5" t="n"/>
      <c r="F1207" s="5" t="n"/>
    </row>
    <row r="1208" customFormat="1" s="85">
      <c r="A1208" s="2" t="n"/>
      <c r="B1208" s="64" t="n"/>
      <c r="C1208" s="2" t="n"/>
      <c r="D1208" s="2" t="n"/>
      <c r="E1208" s="5" t="n"/>
      <c r="F1208" s="5" t="n"/>
    </row>
    <row r="1209" customFormat="1" s="85">
      <c r="A1209" s="2" t="n"/>
      <c r="B1209" s="64" t="n"/>
      <c r="C1209" s="2" t="n"/>
      <c r="D1209" s="2" t="n"/>
      <c r="E1209" s="5" t="n"/>
      <c r="F1209" s="5" t="n"/>
    </row>
    <row r="1210" customFormat="1" s="85">
      <c r="A1210" s="2" t="n"/>
      <c r="B1210" s="64" t="n"/>
      <c r="C1210" s="2" t="n"/>
      <c r="D1210" s="2" t="n"/>
      <c r="E1210" s="5" t="n"/>
      <c r="F1210" s="5" t="n"/>
    </row>
    <row r="1211" customFormat="1" s="85">
      <c r="A1211" s="2" t="n"/>
      <c r="B1211" s="64" t="n"/>
      <c r="C1211" s="2" t="n"/>
      <c r="D1211" s="2" t="n"/>
      <c r="E1211" s="5" t="n"/>
      <c r="F1211" s="5" t="n"/>
    </row>
    <row r="1212" customFormat="1" s="85">
      <c r="A1212" s="2" t="n"/>
      <c r="B1212" s="64" t="n"/>
      <c r="C1212" s="2" t="n"/>
      <c r="D1212" s="2" t="n"/>
      <c r="E1212" s="5" t="n"/>
      <c r="F1212" s="5" t="n"/>
    </row>
    <row r="1213" customFormat="1" s="85">
      <c r="A1213" s="2" t="n"/>
      <c r="B1213" s="64" t="n"/>
      <c r="C1213" s="2" t="n"/>
      <c r="D1213" s="2" t="n"/>
      <c r="E1213" s="5" t="n"/>
      <c r="F1213" s="5" t="n"/>
    </row>
    <row r="1214" customFormat="1" s="85">
      <c r="A1214" s="2" t="n"/>
      <c r="B1214" s="64" t="n"/>
      <c r="C1214" s="2" t="n"/>
      <c r="D1214" s="2" t="n"/>
      <c r="E1214" s="5" t="n"/>
      <c r="F1214" s="5" t="n"/>
    </row>
    <row r="1215" customFormat="1" s="85">
      <c r="A1215" s="2" t="n"/>
      <c r="B1215" s="64" t="n"/>
      <c r="C1215" s="2" t="n"/>
      <c r="D1215" s="2" t="n"/>
      <c r="E1215" s="5" t="n"/>
      <c r="F1215" s="5" t="n"/>
    </row>
    <row r="1216" customFormat="1" s="85">
      <c r="A1216" s="2" t="n"/>
      <c r="B1216" s="64" t="n"/>
      <c r="C1216" s="2" t="n"/>
      <c r="D1216" s="2" t="n"/>
      <c r="E1216" s="5" t="n"/>
      <c r="F1216" s="5" t="n"/>
    </row>
    <row r="1217" customFormat="1" s="85">
      <c r="A1217" s="2" t="n"/>
      <c r="B1217" s="64" t="n"/>
      <c r="C1217" s="2" t="n"/>
      <c r="D1217" s="2" t="n"/>
      <c r="E1217" s="5" t="n"/>
      <c r="F1217" s="5" t="n"/>
    </row>
    <row r="1218" customFormat="1" s="85">
      <c r="A1218" s="2" t="n"/>
      <c r="B1218" s="64" t="n"/>
      <c r="C1218" s="2" t="n"/>
      <c r="D1218" s="2" t="n"/>
      <c r="E1218" s="5" t="n"/>
      <c r="F1218" s="5" t="n"/>
    </row>
    <row r="1219" customFormat="1" s="85">
      <c r="A1219" s="2" t="n"/>
      <c r="B1219" s="64" t="n"/>
      <c r="C1219" s="2" t="n"/>
      <c r="D1219" s="2" t="n"/>
      <c r="E1219" s="5" t="n"/>
      <c r="F1219" s="5" t="n"/>
    </row>
    <row r="1220" customFormat="1" s="85">
      <c r="A1220" s="2" t="n"/>
      <c r="B1220" s="64" t="n"/>
      <c r="C1220" s="2" t="n"/>
      <c r="D1220" s="2" t="n"/>
      <c r="E1220" s="5" t="n"/>
      <c r="F1220" s="5" t="n"/>
    </row>
    <row r="1221" customFormat="1" s="85">
      <c r="A1221" s="2" t="n"/>
      <c r="B1221" s="64" t="n"/>
      <c r="C1221" s="2" t="n"/>
      <c r="D1221" s="2" t="n"/>
      <c r="E1221" s="5" t="n"/>
      <c r="F1221" s="5" t="n"/>
    </row>
    <row r="1222" customFormat="1" s="85">
      <c r="A1222" s="2" t="n"/>
      <c r="B1222" s="64" t="n"/>
      <c r="C1222" s="2" t="n"/>
      <c r="D1222" s="2" t="n"/>
      <c r="E1222" s="5" t="n"/>
      <c r="F1222" s="5" t="n"/>
    </row>
    <row r="1223" customFormat="1" s="85">
      <c r="A1223" s="2" t="n"/>
      <c r="B1223" s="64" t="n"/>
      <c r="C1223" s="2" t="n"/>
      <c r="D1223" s="2" t="n"/>
      <c r="E1223" s="5" t="n"/>
      <c r="F1223" s="5" t="n"/>
    </row>
    <row r="1224" customFormat="1" s="85">
      <c r="A1224" s="2" t="n"/>
      <c r="B1224" s="64" t="n"/>
      <c r="C1224" s="2" t="n"/>
      <c r="D1224" s="2" t="n"/>
      <c r="E1224" s="5" t="n"/>
      <c r="F1224" s="5" t="n"/>
    </row>
    <row r="1225" customFormat="1" s="85">
      <c r="A1225" s="2" t="n"/>
      <c r="B1225" s="64" t="n"/>
      <c r="C1225" s="2" t="n"/>
      <c r="D1225" s="2" t="n"/>
      <c r="E1225" s="5" t="n"/>
      <c r="F1225" s="5" t="n"/>
    </row>
    <row r="1226" customFormat="1" s="85">
      <c r="A1226" s="2" t="n"/>
      <c r="B1226" s="64" t="n"/>
      <c r="C1226" s="2" t="n"/>
      <c r="D1226" s="2" t="n"/>
      <c r="E1226" s="5" t="n"/>
      <c r="F1226" s="5" t="n"/>
    </row>
    <row r="1227" customFormat="1" s="85">
      <c r="A1227" s="2" t="n"/>
      <c r="B1227" s="64" t="n"/>
      <c r="C1227" s="2" t="n"/>
      <c r="D1227" s="2" t="n"/>
      <c r="E1227" s="5" t="n"/>
      <c r="F1227" s="5" t="n"/>
    </row>
    <row r="1228" customFormat="1" s="85">
      <c r="A1228" s="2" t="n"/>
      <c r="B1228" s="64" t="n"/>
      <c r="C1228" s="2" t="n"/>
      <c r="D1228" s="2" t="n"/>
      <c r="E1228" s="5" t="n"/>
      <c r="F1228" s="5" t="n"/>
    </row>
    <row r="1229" customFormat="1" s="85">
      <c r="A1229" s="2" t="n"/>
      <c r="B1229" s="64" t="n"/>
      <c r="C1229" s="2" t="n"/>
      <c r="D1229" s="2" t="n"/>
      <c r="E1229" s="5" t="n"/>
      <c r="F1229" s="5" t="n"/>
    </row>
    <row r="1230" customFormat="1" s="85">
      <c r="A1230" s="2" t="n"/>
      <c r="B1230" s="64" t="n"/>
      <c r="C1230" s="2" t="n"/>
      <c r="D1230" s="2" t="n"/>
      <c r="E1230" s="5" t="n"/>
      <c r="F1230" s="5" t="n"/>
    </row>
    <row r="1231" customFormat="1" s="85">
      <c r="A1231" s="2" t="n"/>
      <c r="B1231" s="64" t="n"/>
      <c r="C1231" s="2" t="n"/>
      <c r="D1231" s="2" t="n"/>
      <c r="E1231" s="5" t="n"/>
      <c r="F1231" s="5" t="n"/>
    </row>
    <row r="1232" customFormat="1" s="85">
      <c r="A1232" s="2" t="n"/>
      <c r="B1232" s="64" t="n"/>
      <c r="C1232" s="2" t="n"/>
      <c r="D1232" s="2" t="n"/>
      <c r="E1232" s="5" t="n"/>
      <c r="F1232" s="5" t="n"/>
    </row>
    <row r="1233" customFormat="1" s="85">
      <c r="A1233" s="2" t="n"/>
      <c r="B1233" s="64" t="n"/>
      <c r="C1233" s="2" t="n"/>
      <c r="D1233" s="2" t="n"/>
      <c r="E1233" s="5" t="n"/>
      <c r="F1233" s="5" t="n"/>
    </row>
    <row r="1234" customFormat="1" s="85">
      <c r="A1234" s="2" t="n"/>
      <c r="B1234" s="64" t="n"/>
      <c r="C1234" s="2" t="n"/>
      <c r="D1234" s="2" t="n"/>
      <c r="E1234" s="5" t="n"/>
      <c r="F1234" s="5" t="n"/>
    </row>
    <row r="1235" customFormat="1" s="85">
      <c r="A1235" s="2" t="n"/>
      <c r="B1235" s="64" t="n"/>
      <c r="C1235" s="2" t="n"/>
      <c r="D1235" s="2" t="n"/>
      <c r="E1235" s="5" t="n"/>
      <c r="F1235" s="5" t="n"/>
    </row>
    <row r="1236" customFormat="1" s="85">
      <c r="A1236" s="2" t="n"/>
      <c r="B1236" s="64" t="n"/>
      <c r="C1236" s="2" t="n"/>
      <c r="D1236" s="2" t="n"/>
      <c r="E1236" s="5" t="n"/>
      <c r="F1236" s="5" t="n"/>
    </row>
    <row r="1237" customFormat="1" s="85">
      <c r="A1237" s="2" t="n"/>
      <c r="B1237" s="64" t="n"/>
      <c r="C1237" s="2" t="n"/>
      <c r="D1237" s="2" t="n"/>
      <c r="E1237" s="5" t="n"/>
      <c r="F1237" s="5" t="n"/>
    </row>
    <row r="1238" customFormat="1" s="85">
      <c r="A1238" s="2" t="n"/>
      <c r="B1238" s="64" t="n"/>
      <c r="C1238" s="2" t="n"/>
      <c r="D1238" s="2" t="n"/>
      <c r="E1238" s="5" t="n"/>
      <c r="F1238" s="5" t="n"/>
    </row>
    <row r="1239" customFormat="1" s="85">
      <c r="A1239" s="2" t="n"/>
      <c r="B1239" s="64" t="n"/>
      <c r="C1239" s="2" t="n"/>
      <c r="D1239" s="2" t="n"/>
      <c r="E1239" s="5" t="n"/>
      <c r="F1239" s="5" t="n"/>
    </row>
    <row r="1240" customFormat="1" s="85">
      <c r="A1240" s="2" t="n"/>
      <c r="B1240" s="64" t="n"/>
      <c r="C1240" s="2" t="n"/>
      <c r="D1240" s="2" t="n"/>
      <c r="E1240" s="5" t="n"/>
      <c r="F1240" s="5" t="n"/>
    </row>
    <row r="1241" customFormat="1" s="85">
      <c r="A1241" s="2" t="n"/>
      <c r="B1241" s="64" t="n"/>
      <c r="C1241" s="2" t="n"/>
      <c r="D1241" s="2" t="n"/>
      <c r="E1241" s="5" t="n"/>
      <c r="F1241" s="5" t="n"/>
    </row>
    <row r="1242" customFormat="1" s="85">
      <c r="A1242" s="2" t="n"/>
      <c r="B1242" s="64" t="n"/>
      <c r="C1242" s="2" t="n"/>
      <c r="D1242" s="2" t="n"/>
      <c r="E1242" s="5" t="n"/>
      <c r="F1242" s="5" t="n"/>
    </row>
    <row r="1243" customFormat="1" s="85">
      <c r="A1243" s="2" t="n"/>
      <c r="B1243" s="64" t="n"/>
      <c r="C1243" s="2" t="n"/>
      <c r="D1243" s="2" t="n"/>
      <c r="E1243" s="5" t="n"/>
      <c r="F1243" s="5" t="n"/>
    </row>
    <row r="1244" customFormat="1" s="85">
      <c r="A1244" s="2" t="n"/>
      <c r="B1244" s="64" t="n"/>
      <c r="C1244" s="2" t="n"/>
      <c r="D1244" s="2" t="n"/>
      <c r="E1244" s="5" t="n"/>
      <c r="F1244" s="5" t="n"/>
    </row>
    <row r="1245" customFormat="1" s="85">
      <c r="A1245" s="2" t="n"/>
      <c r="B1245" s="64" t="n"/>
      <c r="C1245" s="2" t="n"/>
      <c r="D1245" s="2" t="n"/>
      <c r="E1245" s="5" t="n"/>
      <c r="F1245" s="5" t="n"/>
    </row>
    <row r="1246" customFormat="1" s="85">
      <c r="A1246" s="2" t="n"/>
      <c r="B1246" s="64" t="n"/>
      <c r="C1246" s="2" t="n"/>
      <c r="D1246" s="2" t="n"/>
      <c r="E1246" s="5" t="n"/>
      <c r="F1246" s="5" t="n"/>
    </row>
    <row r="1247" customFormat="1" s="85">
      <c r="A1247" s="2" t="n"/>
      <c r="B1247" s="64" t="n"/>
      <c r="C1247" s="2" t="n"/>
      <c r="D1247" s="2" t="n"/>
      <c r="E1247" s="5" t="n"/>
      <c r="F1247" s="5" t="n"/>
    </row>
    <row r="1248" customFormat="1" s="85">
      <c r="A1248" s="2" t="n"/>
      <c r="B1248" s="64" t="n"/>
      <c r="C1248" s="2" t="n"/>
      <c r="D1248" s="2" t="n"/>
      <c r="E1248" s="5" t="n"/>
      <c r="F1248" s="5" t="n"/>
    </row>
    <row r="1249" customFormat="1" s="85">
      <c r="A1249" s="2" t="n"/>
      <c r="B1249" s="64" t="n"/>
      <c r="C1249" s="2" t="n"/>
      <c r="D1249" s="2" t="n"/>
      <c r="E1249" s="5" t="n"/>
      <c r="F1249" s="5" t="n"/>
    </row>
    <row r="1250" customFormat="1" s="85">
      <c r="A1250" s="2" t="n"/>
      <c r="B1250" s="64" t="n"/>
      <c r="C1250" s="2" t="n"/>
      <c r="D1250" s="2" t="n"/>
      <c r="E1250" s="5" t="n"/>
      <c r="F1250" s="5" t="n"/>
    </row>
    <row r="1251" customFormat="1" s="85">
      <c r="A1251" s="2" t="n"/>
      <c r="B1251" s="64" t="n"/>
      <c r="C1251" s="2" t="n"/>
      <c r="D1251" s="2" t="n"/>
      <c r="E1251" s="5" t="n"/>
      <c r="F1251" s="5" t="n"/>
    </row>
    <row r="1252" customFormat="1" s="85">
      <c r="A1252" s="2" t="n"/>
      <c r="B1252" s="64" t="n"/>
      <c r="C1252" s="2" t="n"/>
      <c r="D1252" s="2" t="n"/>
      <c r="E1252" s="5" t="n"/>
      <c r="F1252" s="5" t="n"/>
    </row>
    <row r="1253" customFormat="1" s="85">
      <c r="A1253" s="2" t="n"/>
      <c r="B1253" s="64" t="n"/>
      <c r="C1253" s="2" t="n"/>
      <c r="D1253" s="2" t="n"/>
      <c r="E1253" s="5" t="n"/>
      <c r="F1253" s="5" t="n"/>
    </row>
    <row r="1254" customFormat="1" s="85">
      <c r="A1254" s="2" t="n"/>
      <c r="B1254" s="64" t="n"/>
      <c r="C1254" s="2" t="n"/>
      <c r="D1254" s="2" t="n"/>
      <c r="E1254" s="5" t="n"/>
      <c r="F1254" s="5" t="n"/>
    </row>
    <row r="1255" customFormat="1" s="85">
      <c r="A1255" s="2" t="n"/>
      <c r="B1255" s="64" t="n"/>
      <c r="C1255" s="2" t="n"/>
      <c r="D1255" s="2" t="n"/>
      <c r="E1255" s="5" t="n"/>
      <c r="F1255" s="5" t="n"/>
    </row>
    <row r="1256" customFormat="1" s="85">
      <c r="A1256" s="2" t="n"/>
      <c r="B1256" s="64" t="n"/>
      <c r="C1256" s="2" t="n"/>
      <c r="D1256" s="2" t="n"/>
      <c r="E1256" s="5" t="n"/>
      <c r="F1256" s="5" t="n"/>
    </row>
    <row r="1257" customFormat="1" s="85">
      <c r="A1257" s="2" t="n"/>
      <c r="B1257" s="64" t="n"/>
      <c r="C1257" s="2" t="n"/>
      <c r="D1257" s="2" t="n"/>
      <c r="E1257" s="5" t="n"/>
      <c r="F1257" s="5" t="n"/>
    </row>
    <row r="1258" customFormat="1" s="85">
      <c r="A1258" s="2" t="n"/>
      <c r="B1258" s="64" t="n"/>
      <c r="C1258" s="2" t="n"/>
      <c r="D1258" s="2" t="n"/>
      <c r="E1258" s="5" t="n"/>
      <c r="F1258" s="5" t="n"/>
    </row>
    <row r="1259" customFormat="1" s="85">
      <c r="A1259" s="2" t="n"/>
      <c r="B1259" s="64" t="n"/>
      <c r="C1259" s="2" t="n"/>
      <c r="D1259" s="2" t="n"/>
      <c r="E1259" s="5" t="n"/>
      <c r="F1259" s="5" t="n"/>
    </row>
    <row r="1260" customFormat="1" s="85">
      <c r="A1260" s="2" t="n"/>
      <c r="B1260" s="64" t="n"/>
      <c r="C1260" s="2" t="n"/>
      <c r="D1260" s="2" t="n"/>
      <c r="E1260" s="5" t="n"/>
      <c r="F1260" s="5" t="n"/>
    </row>
    <row r="1261" customFormat="1" s="85">
      <c r="A1261" s="2" t="n"/>
      <c r="B1261" s="64" t="n"/>
      <c r="C1261" s="2" t="n"/>
      <c r="D1261" s="2" t="n"/>
      <c r="E1261" s="5" t="n"/>
      <c r="F1261" s="5" t="n"/>
    </row>
    <row r="1262" customFormat="1" s="85">
      <c r="A1262" s="2" t="n"/>
      <c r="B1262" s="64" t="n"/>
      <c r="C1262" s="2" t="n"/>
      <c r="D1262" s="2" t="n"/>
      <c r="E1262" s="5" t="n"/>
      <c r="F1262" s="5" t="n"/>
    </row>
    <row r="1263" customFormat="1" s="85">
      <c r="A1263" s="2" t="n"/>
      <c r="B1263" s="64" t="n"/>
      <c r="C1263" s="2" t="n"/>
      <c r="D1263" s="2" t="n"/>
      <c r="E1263" s="5" t="n"/>
      <c r="F1263" s="5" t="n"/>
    </row>
    <row r="1264" customFormat="1" s="85">
      <c r="A1264" s="2" t="n"/>
      <c r="B1264" s="64" t="n"/>
      <c r="C1264" s="2" t="n"/>
      <c r="D1264" s="2" t="n"/>
      <c r="E1264" s="5" t="n"/>
      <c r="F1264" s="5" t="n"/>
    </row>
    <row r="1265" customFormat="1" s="85">
      <c r="A1265" s="2" t="n"/>
      <c r="B1265" s="64" t="n"/>
      <c r="C1265" s="2" t="n"/>
      <c r="D1265" s="2" t="n"/>
      <c r="E1265" s="5" t="n"/>
      <c r="F1265" s="5" t="n"/>
    </row>
    <row r="1266" customFormat="1" s="85">
      <c r="A1266" s="2" t="n"/>
      <c r="B1266" s="64" t="n"/>
      <c r="C1266" s="2" t="n"/>
      <c r="D1266" s="2" t="n"/>
      <c r="E1266" s="5" t="n"/>
      <c r="F1266" s="5" t="n"/>
    </row>
    <row r="1267" customFormat="1" s="85">
      <c r="A1267" s="2" t="n"/>
      <c r="B1267" s="64" t="n"/>
      <c r="C1267" s="2" t="n"/>
      <c r="D1267" s="2" t="n"/>
      <c r="E1267" s="5" t="n"/>
      <c r="F1267" s="5" t="n"/>
    </row>
    <row r="1268" customFormat="1" s="85">
      <c r="A1268" s="2" t="n"/>
      <c r="B1268" s="64" t="n"/>
      <c r="C1268" s="2" t="n"/>
      <c r="D1268" s="2" t="n"/>
      <c r="E1268" s="5" t="n"/>
      <c r="F1268" s="5" t="n"/>
    </row>
    <row r="1269" customFormat="1" s="85">
      <c r="A1269" s="2" t="n"/>
      <c r="B1269" s="64" t="n"/>
      <c r="C1269" s="2" t="n"/>
      <c r="D1269" s="2" t="n"/>
      <c r="E1269" s="5" t="n"/>
      <c r="F1269" s="5" t="n"/>
    </row>
    <row r="1270" customFormat="1" s="85">
      <c r="A1270" s="2" t="n"/>
      <c r="B1270" s="64" t="n"/>
      <c r="C1270" s="2" t="n"/>
      <c r="D1270" s="2" t="n"/>
      <c r="E1270" s="5" t="n"/>
      <c r="F1270" s="5" t="n"/>
    </row>
    <row r="1271" customFormat="1" s="85">
      <c r="A1271" s="2" t="n"/>
      <c r="B1271" s="64" t="n"/>
      <c r="C1271" s="2" t="n"/>
      <c r="D1271" s="2" t="n"/>
      <c r="E1271" s="5" t="n"/>
      <c r="F1271" s="5" t="n"/>
    </row>
    <row r="1272" customFormat="1" s="85">
      <c r="A1272" s="2" t="n"/>
      <c r="B1272" s="64" t="n"/>
      <c r="C1272" s="2" t="n"/>
      <c r="D1272" s="2" t="n"/>
      <c r="E1272" s="5" t="n"/>
      <c r="F1272" s="5" t="n"/>
    </row>
    <row r="1273" customFormat="1" s="85">
      <c r="A1273" s="2" t="n"/>
      <c r="B1273" s="64" t="n"/>
      <c r="C1273" s="2" t="n"/>
      <c r="D1273" s="2" t="n"/>
      <c r="E1273" s="5" t="n"/>
      <c r="F1273" s="5" t="n"/>
    </row>
    <row r="1274" customFormat="1" s="85">
      <c r="A1274" s="2" t="n"/>
      <c r="B1274" s="64" t="n"/>
      <c r="C1274" s="2" t="n"/>
      <c r="D1274" s="2" t="n"/>
      <c r="E1274" s="5" t="n"/>
      <c r="F1274" s="5" t="n"/>
    </row>
    <row r="1275" customFormat="1" s="85">
      <c r="A1275" s="2" t="n"/>
      <c r="B1275" s="64" t="n"/>
      <c r="C1275" s="2" t="n"/>
      <c r="D1275" s="2" t="n"/>
      <c r="E1275" s="5" t="n"/>
      <c r="F1275" s="5" t="n"/>
    </row>
    <row r="1276" customFormat="1" s="85">
      <c r="A1276" s="2" t="n"/>
      <c r="B1276" s="64" t="n"/>
      <c r="C1276" s="2" t="n"/>
      <c r="D1276" s="2" t="n"/>
      <c r="E1276" s="5" t="n"/>
      <c r="F1276" s="5" t="n"/>
    </row>
    <row r="1277" customFormat="1" s="85">
      <c r="A1277" s="2" t="n"/>
      <c r="B1277" s="64" t="n"/>
      <c r="C1277" s="2" t="n"/>
      <c r="D1277" s="2" t="n"/>
      <c r="E1277" s="5" t="n"/>
      <c r="F1277" s="5" t="n"/>
    </row>
    <row r="1278" customFormat="1" s="85">
      <c r="A1278" s="2" t="n"/>
      <c r="B1278" s="64" t="n"/>
      <c r="C1278" s="2" t="n"/>
      <c r="D1278" s="2" t="n"/>
      <c r="E1278" s="5" t="n"/>
      <c r="F1278" s="5" t="n"/>
    </row>
    <row r="1279" customFormat="1" s="85">
      <c r="A1279" s="2" t="n"/>
      <c r="B1279" s="64" t="n"/>
      <c r="C1279" s="2" t="n"/>
      <c r="D1279" s="2" t="n"/>
      <c r="E1279" s="5" t="n"/>
      <c r="F1279" s="5" t="n"/>
    </row>
    <row r="1280" customFormat="1" s="85">
      <c r="A1280" s="2" t="n"/>
      <c r="B1280" s="64" t="n"/>
      <c r="C1280" s="2" t="n"/>
      <c r="D1280" s="2" t="n"/>
      <c r="E1280" s="5" t="n"/>
      <c r="F1280" s="5" t="n"/>
    </row>
    <row r="1281" customFormat="1" s="85">
      <c r="A1281" s="2" t="n"/>
      <c r="B1281" s="64" t="n"/>
      <c r="C1281" s="2" t="n"/>
      <c r="D1281" s="2" t="n"/>
      <c r="E1281" s="5" t="n"/>
      <c r="F1281" s="5" t="n"/>
    </row>
    <row r="1282" customFormat="1" s="85">
      <c r="A1282" s="2" t="n"/>
      <c r="B1282" s="64" t="n"/>
      <c r="C1282" s="2" t="n"/>
      <c r="D1282" s="2" t="n"/>
      <c r="E1282" s="5" t="n"/>
      <c r="F1282" s="5" t="n"/>
    </row>
    <row r="1283" customFormat="1" s="85">
      <c r="A1283" s="2" t="n"/>
      <c r="B1283" s="64" t="n"/>
      <c r="C1283" s="2" t="n"/>
      <c r="D1283" s="2" t="n"/>
      <c r="E1283" s="5" t="n"/>
      <c r="F1283" s="5" t="n"/>
    </row>
    <row r="1284" customFormat="1" s="85">
      <c r="A1284" s="2" t="n"/>
      <c r="B1284" s="64" t="n"/>
      <c r="C1284" s="2" t="n"/>
      <c r="D1284" s="2" t="n"/>
      <c r="E1284" s="5" t="n"/>
      <c r="F1284" s="5" t="n"/>
    </row>
    <row r="1285" customFormat="1" s="85">
      <c r="A1285" s="2" t="n"/>
      <c r="B1285" s="64" t="n"/>
      <c r="C1285" s="2" t="n"/>
      <c r="D1285" s="2" t="n"/>
      <c r="E1285" s="5" t="n"/>
      <c r="F1285" s="5" t="n"/>
    </row>
    <row r="1286" customFormat="1" s="85">
      <c r="A1286" s="2" t="n"/>
      <c r="B1286" s="64" t="n"/>
      <c r="C1286" s="2" t="n"/>
      <c r="D1286" s="2" t="n"/>
      <c r="E1286" s="5" t="n"/>
      <c r="F1286" s="5" t="n"/>
    </row>
    <row r="1287" customFormat="1" s="85">
      <c r="A1287" s="2" t="n"/>
      <c r="B1287" s="64" t="n"/>
      <c r="C1287" s="2" t="n"/>
      <c r="D1287" s="2" t="n"/>
      <c r="E1287" s="5" t="n"/>
      <c r="F1287" s="5" t="n"/>
    </row>
    <row r="1288" customFormat="1" s="85">
      <c r="A1288" s="2" t="n"/>
      <c r="B1288" s="64" t="n"/>
      <c r="C1288" s="2" t="n"/>
      <c r="D1288" s="2" t="n"/>
      <c r="E1288" s="5" t="n"/>
      <c r="F1288" s="5" t="n"/>
    </row>
    <row r="1289" customFormat="1" s="85">
      <c r="A1289" s="2" t="n"/>
      <c r="B1289" s="64" t="n"/>
      <c r="C1289" s="2" t="n"/>
      <c r="D1289" s="2" t="n"/>
      <c r="E1289" s="5" t="n"/>
      <c r="F1289" s="5" t="n"/>
    </row>
    <row r="1290" customFormat="1" s="85">
      <c r="A1290" s="2" t="n"/>
      <c r="B1290" s="64" t="n"/>
      <c r="C1290" s="2" t="n"/>
      <c r="D1290" s="2" t="n"/>
      <c r="E1290" s="5" t="n"/>
      <c r="F1290" s="5" t="n"/>
    </row>
    <row r="1291" customFormat="1" s="85">
      <c r="A1291" s="2" t="n"/>
      <c r="B1291" s="64" t="n"/>
      <c r="C1291" s="2" t="n"/>
      <c r="D1291" s="2" t="n"/>
      <c r="E1291" s="5" t="n"/>
      <c r="F1291" s="5" t="n"/>
    </row>
    <row r="1292" customFormat="1" s="85">
      <c r="A1292" s="2" t="n"/>
      <c r="B1292" s="64" t="n"/>
      <c r="C1292" s="2" t="n"/>
      <c r="D1292" s="2" t="n"/>
      <c r="E1292" s="5" t="n"/>
      <c r="F1292" s="5" t="n"/>
    </row>
    <row r="1293" customFormat="1" s="85">
      <c r="A1293" s="2" t="n"/>
      <c r="B1293" s="64" t="n"/>
      <c r="C1293" s="2" t="n"/>
      <c r="D1293" s="2" t="n"/>
      <c r="E1293" s="5" t="n"/>
      <c r="F1293" s="5" t="n"/>
    </row>
    <row r="1294" customFormat="1" s="85">
      <c r="A1294" s="2" t="n"/>
      <c r="B1294" s="64" t="n"/>
      <c r="C1294" s="2" t="n"/>
      <c r="D1294" s="2" t="n"/>
      <c r="E1294" s="5" t="n"/>
      <c r="F1294" s="5" t="n"/>
    </row>
    <row r="1295" customFormat="1" s="85">
      <c r="A1295" s="2" t="n"/>
      <c r="B1295" s="64" t="n"/>
      <c r="C1295" s="2" t="n"/>
      <c r="D1295" s="2" t="n"/>
      <c r="E1295" s="5" t="n"/>
      <c r="F1295" s="5" t="n"/>
    </row>
    <row r="1296" customFormat="1" s="85">
      <c r="A1296" s="2" t="n"/>
      <c r="B1296" s="64" t="n"/>
      <c r="C1296" s="2" t="n"/>
      <c r="D1296" s="2" t="n"/>
      <c r="E1296" s="5" t="n"/>
      <c r="F1296" s="5" t="n"/>
    </row>
    <row r="1297" customFormat="1" s="85">
      <c r="A1297" s="2" t="n"/>
      <c r="B1297" s="64" t="n"/>
      <c r="C1297" s="2" t="n"/>
      <c r="D1297" s="2" t="n"/>
      <c r="E1297" s="5" t="n"/>
      <c r="F1297" s="5" t="n"/>
    </row>
    <row r="1298" customFormat="1" s="85">
      <c r="A1298" s="2" t="n"/>
      <c r="B1298" s="64" t="n"/>
      <c r="C1298" s="2" t="n"/>
      <c r="D1298" s="2" t="n"/>
      <c r="E1298" s="5" t="n"/>
      <c r="F1298" s="5" t="n"/>
    </row>
    <row r="1299" customFormat="1" s="85">
      <c r="A1299" s="2" t="n"/>
      <c r="B1299" s="64" t="n"/>
      <c r="C1299" s="2" t="n"/>
      <c r="D1299" s="2" t="n"/>
      <c r="E1299" s="5" t="n"/>
      <c r="F1299" s="5" t="n"/>
    </row>
    <row r="1300" customFormat="1" s="85">
      <c r="A1300" s="2" t="n"/>
      <c r="B1300" s="64" t="n"/>
      <c r="C1300" s="2" t="n"/>
      <c r="D1300" s="2" t="n"/>
      <c r="E1300" s="5" t="n"/>
      <c r="F1300" s="5" t="n"/>
    </row>
    <row r="1301" customFormat="1" s="85">
      <c r="A1301" s="2" t="n"/>
      <c r="B1301" s="64" t="n"/>
      <c r="C1301" s="2" t="n"/>
      <c r="D1301" s="2" t="n"/>
      <c r="E1301" s="5" t="n"/>
      <c r="F1301" s="5" t="n"/>
    </row>
    <row r="1302" customFormat="1" s="85">
      <c r="A1302" s="2" t="n"/>
      <c r="B1302" s="64" t="n"/>
      <c r="C1302" s="2" t="n"/>
      <c r="D1302" s="2" t="n"/>
      <c r="E1302" s="5" t="n"/>
      <c r="F1302" s="5" t="n"/>
    </row>
    <row r="1303" customFormat="1" s="85">
      <c r="A1303" s="2" t="n"/>
      <c r="B1303" s="64" t="n"/>
      <c r="C1303" s="2" t="n"/>
      <c r="D1303" s="2" t="n"/>
      <c r="E1303" s="5" t="n"/>
      <c r="F1303" s="5" t="n"/>
    </row>
    <row r="1304" customFormat="1" s="85">
      <c r="A1304" s="2" t="n"/>
      <c r="B1304" s="64" t="n"/>
      <c r="C1304" s="2" t="n"/>
      <c r="D1304" s="2" t="n"/>
      <c r="E1304" s="5" t="n"/>
      <c r="F1304" s="5" t="n"/>
    </row>
    <row r="1305" customFormat="1" s="85">
      <c r="A1305" s="2" t="n"/>
      <c r="B1305" s="64" t="n"/>
      <c r="C1305" s="2" t="n"/>
      <c r="D1305" s="2" t="n"/>
      <c r="E1305" s="5" t="n"/>
      <c r="F1305" s="5" t="n"/>
    </row>
    <row r="1306" customFormat="1" s="85">
      <c r="A1306" s="2" t="n"/>
      <c r="B1306" s="64" t="n"/>
      <c r="C1306" s="2" t="n"/>
      <c r="D1306" s="2" t="n"/>
      <c r="E1306" s="5" t="n"/>
      <c r="F1306" s="5" t="n"/>
    </row>
    <row r="1307" customFormat="1" s="85">
      <c r="A1307" s="2" t="n"/>
      <c r="B1307" s="64" t="n"/>
      <c r="C1307" s="2" t="n"/>
      <c r="D1307" s="2" t="n"/>
      <c r="E1307" s="5" t="n"/>
      <c r="F1307" s="5" t="n"/>
    </row>
    <row r="1308" customFormat="1" s="85">
      <c r="A1308" s="2" t="n"/>
      <c r="B1308" s="64" t="n"/>
      <c r="C1308" s="2" t="n"/>
      <c r="D1308" s="2" t="n"/>
      <c r="E1308" s="5" t="n"/>
      <c r="F1308" s="5" t="n"/>
    </row>
    <row r="1309" customFormat="1" s="85">
      <c r="A1309" s="2" t="n"/>
      <c r="B1309" s="64" t="n"/>
      <c r="C1309" s="2" t="n"/>
      <c r="D1309" s="2" t="n"/>
      <c r="E1309" s="5" t="n"/>
      <c r="F1309" s="5" t="n"/>
    </row>
    <row r="1310" customFormat="1" s="85">
      <c r="A1310" s="2" t="n"/>
      <c r="B1310" s="64" t="n"/>
      <c r="C1310" s="2" t="n"/>
      <c r="D1310" s="2" t="n"/>
      <c r="E1310" s="5" t="n"/>
      <c r="F1310" s="5" t="n"/>
    </row>
    <row r="1311" customFormat="1" s="85">
      <c r="A1311" s="2" t="n"/>
      <c r="B1311" s="64" t="n"/>
      <c r="C1311" s="2" t="n"/>
      <c r="D1311" s="2" t="n"/>
      <c r="E1311" s="5" t="n"/>
      <c r="F1311" s="5" t="n"/>
    </row>
    <row r="1312" customFormat="1" s="85">
      <c r="A1312" s="2" t="n"/>
      <c r="B1312" s="64" t="n"/>
      <c r="C1312" s="2" t="n"/>
      <c r="D1312" s="2" t="n"/>
      <c r="E1312" s="5" t="n"/>
      <c r="F1312" s="5" t="n"/>
    </row>
    <row r="1313" customFormat="1" s="85">
      <c r="A1313" s="2" t="n"/>
      <c r="B1313" s="64" t="n"/>
      <c r="C1313" s="2" t="n"/>
      <c r="D1313" s="2" t="n"/>
      <c r="E1313" s="5" t="n"/>
      <c r="F1313" s="5" t="n"/>
    </row>
    <row r="1314" customFormat="1" s="85">
      <c r="A1314" s="2" t="n"/>
      <c r="B1314" s="64" t="n"/>
      <c r="C1314" s="2" t="n"/>
      <c r="D1314" s="2" t="n"/>
      <c r="E1314" s="5" t="n"/>
      <c r="F1314" s="5" t="n"/>
    </row>
    <row r="1315" customFormat="1" s="85">
      <c r="A1315" s="2" t="n"/>
      <c r="B1315" s="64" t="n"/>
      <c r="C1315" s="2" t="n"/>
      <c r="D1315" s="2" t="n"/>
      <c r="E1315" s="5" t="n"/>
      <c r="F1315" s="5" t="n"/>
    </row>
    <row r="1316" customFormat="1" s="85">
      <c r="A1316" s="2" t="n"/>
      <c r="B1316" s="64" t="n"/>
      <c r="C1316" s="2" t="n"/>
      <c r="D1316" s="2" t="n"/>
      <c r="E1316" s="5" t="n"/>
      <c r="F1316" s="5" t="n"/>
    </row>
    <row r="1317" customFormat="1" s="85">
      <c r="A1317" s="2" t="n"/>
      <c r="B1317" s="64" t="n"/>
      <c r="C1317" s="2" t="n"/>
      <c r="D1317" s="2" t="n"/>
      <c r="E1317" s="5" t="n"/>
      <c r="F1317" s="5" t="n"/>
    </row>
    <row r="1318" customFormat="1" s="85">
      <c r="A1318" s="2" t="n"/>
      <c r="B1318" s="64" t="n"/>
      <c r="C1318" s="2" t="n"/>
      <c r="D1318" s="2" t="n"/>
      <c r="E1318" s="5" t="n"/>
      <c r="F1318" s="5" t="n"/>
    </row>
    <row r="1319" customFormat="1" s="85">
      <c r="A1319" s="2" t="n"/>
      <c r="B1319" s="64" t="n"/>
      <c r="C1319" s="2" t="n"/>
      <c r="D1319" s="2" t="n"/>
      <c r="E1319" s="5" t="n"/>
      <c r="F1319" s="5" t="n"/>
    </row>
    <row r="1320" customFormat="1" s="85">
      <c r="A1320" s="2" t="n"/>
      <c r="B1320" s="64" t="n"/>
      <c r="C1320" s="2" t="n"/>
      <c r="D1320" s="2" t="n"/>
      <c r="E1320" s="5" t="n"/>
      <c r="F1320" s="5" t="n"/>
    </row>
    <row r="1321" customFormat="1" s="85">
      <c r="A1321" s="2" t="n"/>
      <c r="B1321" s="64" t="n"/>
      <c r="C1321" s="2" t="n"/>
      <c r="D1321" s="2" t="n"/>
      <c r="E1321" s="5" t="n"/>
      <c r="F1321" s="5" t="n"/>
    </row>
    <row r="1322" customFormat="1" s="85">
      <c r="A1322" s="2" t="n"/>
      <c r="B1322" s="64" t="n"/>
      <c r="C1322" s="2" t="n"/>
      <c r="D1322" s="2" t="n"/>
      <c r="E1322" s="5" t="n"/>
      <c r="F1322" s="5" t="n"/>
    </row>
    <row r="1323" customFormat="1" s="85">
      <c r="A1323" s="2" t="n"/>
      <c r="B1323" s="64" t="n"/>
      <c r="C1323" s="2" t="n"/>
      <c r="D1323" s="2" t="n"/>
      <c r="E1323" s="5" t="n"/>
      <c r="F1323" s="5" t="n"/>
    </row>
    <row r="1324" customFormat="1" s="85">
      <c r="A1324" s="2" t="n"/>
      <c r="B1324" s="64" t="n"/>
      <c r="C1324" s="2" t="n"/>
      <c r="D1324" s="2" t="n"/>
      <c r="E1324" s="5" t="n"/>
      <c r="F1324" s="5" t="n"/>
    </row>
    <row r="1325" customFormat="1" s="85">
      <c r="A1325" s="2" t="n"/>
      <c r="B1325" s="64" t="n"/>
      <c r="C1325" s="2" t="n"/>
      <c r="D1325" s="2" t="n"/>
      <c r="E1325" s="5" t="n"/>
      <c r="F1325" s="5" t="n"/>
    </row>
    <row r="1326" customFormat="1" s="85">
      <c r="A1326" s="2" t="n"/>
      <c r="B1326" s="64" t="n"/>
      <c r="C1326" s="2" t="n"/>
      <c r="D1326" s="2" t="n"/>
      <c r="E1326" s="5" t="n"/>
      <c r="F1326" s="5" t="n"/>
    </row>
    <row r="1327" customFormat="1" s="85">
      <c r="A1327" s="2" t="n"/>
      <c r="B1327" s="64" t="n"/>
      <c r="C1327" s="2" t="n"/>
      <c r="D1327" s="2" t="n"/>
      <c r="E1327" s="5" t="n"/>
      <c r="F1327" s="5" t="n"/>
    </row>
    <row r="1328" customFormat="1" s="85">
      <c r="A1328" s="2" t="n"/>
      <c r="B1328" s="64" t="n"/>
      <c r="C1328" s="2" t="n"/>
      <c r="D1328" s="2" t="n"/>
      <c r="E1328" s="5" t="n"/>
      <c r="F1328" s="5" t="n"/>
    </row>
    <row r="1329" customFormat="1" s="85">
      <c r="A1329" s="2" t="n"/>
      <c r="B1329" s="64" t="n"/>
      <c r="C1329" s="2" t="n"/>
      <c r="D1329" s="2" t="n"/>
      <c r="E1329" s="5" t="n"/>
      <c r="F1329" s="5" t="n"/>
    </row>
    <row r="1330" customFormat="1" s="85">
      <c r="A1330" s="2" t="n"/>
      <c r="B1330" s="64" t="n"/>
      <c r="C1330" s="2" t="n"/>
      <c r="D1330" s="2" t="n"/>
      <c r="E1330" s="5" t="n"/>
      <c r="F1330" s="5" t="n"/>
    </row>
    <row r="1331" customFormat="1" s="85">
      <c r="A1331" s="2" t="n"/>
      <c r="B1331" s="64" t="n"/>
      <c r="C1331" s="2" t="n"/>
      <c r="D1331" s="2" t="n"/>
      <c r="E1331" s="5" t="n"/>
      <c r="F1331" s="5" t="n"/>
    </row>
    <row r="1332" customFormat="1" s="85">
      <c r="A1332" s="2" t="n"/>
      <c r="B1332" s="64" t="n"/>
      <c r="C1332" s="2" t="n"/>
      <c r="D1332" s="2" t="n"/>
      <c r="E1332" s="5" t="n"/>
      <c r="F1332" s="5" t="n"/>
    </row>
    <row r="1333" customFormat="1" s="85">
      <c r="A1333" s="2" t="n"/>
      <c r="B1333" s="64" t="n"/>
      <c r="C1333" s="2" t="n"/>
      <c r="D1333" s="2" t="n"/>
      <c r="E1333" s="5" t="n"/>
      <c r="F1333" s="5" t="n"/>
    </row>
    <row r="1334" customFormat="1" s="85">
      <c r="A1334" s="2" t="n"/>
      <c r="B1334" s="64" t="n"/>
      <c r="C1334" s="2" t="n"/>
      <c r="D1334" s="2" t="n"/>
      <c r="E1334" s="5" t="n"/>
      <c r="F1334" s="5" t="n"/>
    </row>
    <row r="1335" customFormat="1" s="85">
      <c r="A1335" s="2" t="n"/>
      <c r="B1335" s="64" t="n"/>
      <c r="C1335" s="2" t="n"/>
      <c r="D1335" s="2" t="n"/>
      <c r="E1335" s="5" t="n"/>
      <c r="F1335" s="5" t="n"/>
    </row>
    <row r="1336" customFormat="1" s="85">
      <c r="A1336" s="2" t="n"/>
      <c r="B1336" s="64" t="n"/>
      <c r="C1336" s="2" t="n"/>
      <c r="D1336" s="2" t="n"/>
      <c r="E1336" s="5" t="n"/>
      <c r="F1336" s="5" t="n"/>
    </row>
    <row r="1337" customFormat="1" s="85">
      <c r="A1337" s="2" t="n"/>
      <c r="B1337" s="64" t="n"/>
      <c r="C1337" s="2" t="n"/>
      <c r="D1337" s="2" t="n"/>
      <c r="E1337" s="5" t="n"/>
      <c r="F1337" s="5" t="n"/>
    </row>
    <row r="1338" customFormat="1" s="85">
      <c r="A1338" s="2" t="n"/>
      <c r="B1338" s="64" t="n"/>
      <c r="C1338" s="2" t="n"/>
      <c r="D1338" s="2" t="n"/>
      <c r="E1338" s="5" t="n"/>
      <c r="F1338" s="5" t="n"/>
    </row>
    <row r="1339" customFormat="1" s="85">
      <c r="A1339" s="2" t="n"/>
      <c r="B1339" s="64" t="n"/>
      <c r="C1339" s="2" t="n"/>
      <c r="D1339" s="2" t="n"/>
      <c r="E1339" s="5" t="n"/>
      <c r="F1339" s="5" t="n"/>
    </row>
    <row r="1340" customFormat="1" s="85">
      <c r="A1340" s="2" t="n"/>
      <c r="B1340" s="64" t="n"/>
      <c r="C1340" s="2" t="n"/>
      <c r="D1340" s="2" t="n"/>
      <c r="E1340" s="5" t="n"/>
      <c r="F1340" s="5" t="n"/>
    </row>
    <row r="1341" customFormat="1" s="85">
      <c r="A1341" s="2" t="n"/>
      <c r="B1341" s="64" t="n"/>
      <c r="C1341" s="2" t="n"/>
      <c r="D1341" s="2" t="n"/>
      <c r="E1341" s="5" t="n"/>
      <c r="F1341" s="5" t="n"/>
    </row>
    <row r="1342" customFormat="1" s="85">
      <c r="A1342" s="2" t="n"/>
      <c r="B1342" s="64" t="n"/>
      <c r="C1342" s="2" t="n"/>
      <c r="D1342" s="2" t="n"/>
      <c r="E1342" s="5" t="n"/>
      <c r="F1342" s="5" t="n"/>
    </row>
    <row r="1343" customFormat="1" s="85">
      <c r="A1343" s="2" t="n"/>
      <c r="B1343" s="64" t="n"/>
      <c r="C1343" s="2" t="n"/>
      <c r="D1343" s="2" t="n"/>
      <c r="E1343" s="5" t="n"/>
      <c r="F1343" s="5" t="n"/>
    </row>
    <row r="1344" customFormat="1" s="85">
      <c r="A1344" s="2" t="n"/>
      <c r="B1344" s="64" t="n"/>
      <c r="C1344" s="2" t="n"/>
      <c r="D1344" s="2" t="n"/>
      <c r="E1344" s="5" t="n"/>
      <c r="F1344" s="5" t="n"/>
    </row>
    <row r="1345" customFormat="1" s="85">
      <c r="A1345" s="2" t="n"/>
      <c r="B1345" s="64" t="n"/>
      <c r="C1345" s="2" t="n"/>
      <c r="D1345" s="2" t="n"/>
      <c r="E1345" s="5" t="n"/>
      <c r="F1345" s="5" t="n"/>
    </row>
    <row r="1346" customFormat="1" s="85">
      <c r="A1346" s="2" t="n"/>
      <c r="B1346" s="64" t="n"/>
      <c r="C1346" s="2" t="n"/>
      <c r="D1346" s="2" t="n"/>
      <c r="E1346" s="5" t="n"/>
      <c r="F1346" s="5" t="n"/>
    </row>
    <row r="1347" customFormat="1" s="85">
      <c r="A1347" s="2" t="n"/>
      <c r="B1347" s="64" t="n"/>
      <c r="C1347" s="2" t="n"/>
      <c r="D1347" s="2" t="n"/>
      <c r="E1347" s="5" t="n"/>
      <c r="F1347" s="5" t="n"/>
    </row>
    <row r="1348" customFormat="1" s="85">
      <c r="A1348" s="2" t="n"/>
      <c r="B1348" s="64" t="n"/>
      <c r="C1348" s="2" t="n"/>
      <c r="D1348" s="2" t="n"/>
      <c r="E1348" s="5" t="n"/>
      <c r="F1348" s="5" t="n"/>
    </row>
    <row r="1349" customFormat="1" s="85">
      <c r="A1349" s="2" t="n"/>
      <c r="B1349" s="64" t="n"/>
      <c r="C1349" s="2" t="n"/>
      <c r="D1349" s="2" t="n"/>
      <c r="E1349" s="5" t="n"/>
      <c r="F1349" s="5" t="n"/>
    </row>
    <row r="1350" customFormat="1" s="85">
      <c r="A1350" s="2" t="n"/>
      <c r="B1350" s="64" t="n"/>
      <c r="C1350" s="2" t="n"/>
      <c r="D1350" s="2" t="n"/>
      <c r="E1350" s="5" t="n"/>
      <c r="F1350" s="5" t="n"/>
    </row>
    <row r="1351" customFormat="1" s="85">
      <c r="A1351" s="2" t="n"/>
      <c r="B1351" s="64" t="n"/>
      <c r="C1351" s="2" t="n"/>
      <c r="D1351" s="2" t="n"/>
      <c r="E1351" s="5" t="n"/>
      <c r="F1351" s="5" t="n"/>
    </row>
    <row r="1352" customFormat="1" s="85">
      <c r="A1352" s="2" t="n"/>
      <c r="B1352" s="64" t="n"/>
      <c r="C1352" s="2" t="n"/>
      <c r="D1352" s="2" t="n"/>
      <c r="E1352" s="5" t="n"/>
      <c r="F1352" s="5" t="n"/>
    </row>
    <row r="1353" customFormat="1" s="85">
      <c r="A1353" s="2" t="n"/>
      <c r="B1353" s="64" t="n"/>
      <c r="C1353" s="2" t="n"/>
      <c r="D1353" s="2" t="n"/>
      <c r="E1353" s="5" t="n"/>
      <c r="F1353" s="5" t="n"/>
    </row>
    <row r="1354" customFormat="1" s="85">
      <c r="A1354" s="2" t="n"/>
      <c r="B1354" s="64" t="n"/>
      <c r="C1354" s="2" t="n"/>
      <c r="D1354" s="2" t="n"/>
      <c r="E1354" s="5" t="n"/>
      <c r="F1354" s="5" t="n"/>
    </row>
    <row r="1355" customFormat="1" s="85">
      <c r="A1355" s="2" t="n"/>
      <c r="B1355" s="64" t="n"/>
      <c r="C1355" s="2" t="n"/>
      <c r="D1355" s="2" t="n"/>
      <c r="E1355" s="5" t="n"/>
      <c r="F1355" s="5" t="n"/>
    </row>
    <row r="1356" customFormat="1" s="85">
      <c r="A1356" s="2" t="n"/>
      <c r="B1356" s="64" t="n"/>
      <c r="C1356" s="2" t="n"/>
      <c r="D1356" s="2" t="n"/>
      <c r="E1356" s="5" t="n"/>
      <c r="F1356" s="5" t="n"/>
    </row>
    <row r="1357" customFormat="1" s="85">
      <c r="A1357" s="2" t="n"/>
      <c r="B1357" s="64" t="n"/>
      <c r="C1357" s="2" t="n"/>
      <c r="D1357" s="2" t="n"/>
      <c r="E1357" s="5" t="n"/>
      <c r="F1357" s="5" t="n"/>
    </row>
    <row r="1358" customFormat="1" s="85">
      <c r="A1358" s="2" t="n"/>
      <c r="B1358" s="64" t="n"/>
      <c r="C1358" s="2" t="n"/>
      <c r="D1358" s="2" t="n"/>
      <c r="E1358" s="5" t="n"/>
      <c r="F1358" s="5" t="n"/>
    </row>
    <row r="1359" customFormat="1" s="85">
      <c r="A1359" s="2" t="n"/>
      <c r="B1359" s="64" t="n"/>
      <c r="C1359" s="2" t="n"/>
      <c r="D1359" s="2" t="n"/>
      <c r="E1359" s="5" t="n"/>
      <c r="F1359" s="5" t="n"/>
    </row>
    <row r="1360" customFormat="1" s="85">
      <c r="A1360" s="2" t="n"/>
      <c r="B1360" s="64" t="n"/>
      <c r="C1360" s="2" t="n"/>
      <c r="D1360" s="2" t="n"/>
      <c r="E1360" s="5" t="n"/>
      <c r="F1360" s="5" t="n"/>
    </row>
    <row r="1361" customFormat="1" s="85">
      <c r="A1361" s="2" t="n"/>
      <c r="B1361" s="64" t="n"/>
      <c r="C1361" s="2" t="n"/>
      <c r="D1361" s="2" t="n"/>
      <c r="E1361" s="5" t="n"/>
      <c r="F1361" s="5" t="n"/>
    </row>
    <row r="1362" customFormat="1" s="85">
      <c r="A1362" s="2" t="n"/>
      <c r="B1362" s="64" t="n"/>
      <c r="C1362" s="2" t="n"/>
      <c r="D1362" s="2" t="n"/>
      <c r="E1362" s="5" t="n"/>
      <c r="F1362" s="5" t="n"/>
    </row>
    <row r="1363" customFormat="1" s="85">
      <c r="A1363" s="2" t="n"/>
      <c r="B1363" s="64" t="n"/>
      <c r="C1363" s="2" t="n"/>
      <c r="D1363" s="2" t="n"/>
      <c r="E1363" s="5" t="n"/>
      <c r="F1363" s="5" t="n"/>
    </row>
    <row r="1364" customFormat="1" s="85">
      <c r="A1364" s="2" t="n"/>
      <c r="B1364" s="64" t="n"/>
      <c r="C1364" s="2" t="n"/>
      <c r="D1364" s="2" t="n"/>
      <c r="E1364" s="5" t="n"/>
      <c r="F1364" s="5" t="n"/>
    </row>
    <row r="1365" customFormat="1" s="85">
      <c r="A1365" s="2" t="n"/>
      <c r="B1365" s="64" t="n"/>
      <c r="C1365" s="2" t="n"/>
      <c r="D1365" s="2" t="n"/>
      <c r="E1365" s="5" t="n"/>
      <c r="F1365" s="5" t="n"/>
    </row>
    <row r="1366" customFormat="1" s="85">
      <c r="A1366" s="2" t="n"/>
      <c r="B1366" s="64" t="n"/>
      <c r="C1366" s="2" t="n"/>
      <c r="D1366" s="2" t="n"/>
      <c r="E1366" s="5" t="n"/>
      <c r="F1366" s="5" t="n"/>
    </row>
    <row r="1367" customFormat="1" s="85">
      <c r="A1367" s="2" t="n"/>
      <c r="B1367" s="64" t="n"/>
      <c r="C1367" s="2" t="n"/>
      <c r="D1367" s="2" t="n"/>
      <c r="E1367" s="5" t="n"/>
      <c r="F1367" s="5" t="n"/>
    </row>
    <row r="1368" customFormat="1" s="85">
      <c r="A1368" s="2" t="n"/>
      <c r="B1368" s="64" t="n"/>
      <c r="C1368" s="2" t="n"/>
      <c r="D1368" s="2" t="n"/>
      <c r="E1368" s="5" t="n"/>
      <c r="F1368" s="5" t="n"/>
    </row>
    <row r="1369" customFormat="1" s="85">
      <c r="A1369" s="2" t="n"/>
      <c r="B1369" s="64" t="n"/>
      <c r="C1369" s="2" t="n"/>
      <c r="D1369" s="2" t="n"/>
      <c r="E1369" s="5" t="n"/>
      <c r="F1369" s="5" t="n"/>
    </row>
    <row r="1370" customFormat="1" s="85">
      <c r="A1370" s="2" t="n"/>
      <c r="B1370" s="64" t="n"/>
      <c r="C1370" s="2" t="n"/>
      <c r="D1370" s="2" t="n"/>
      <c r="E1370" s="5" t="n"/>
      <c r="F1370" s="5" t="n"/>
    </row>
    <row r="1371" customFormat="1" s="85">
      <c r="A1371" s="2" t="n"/>
      <c r="B1371" s="64" t="n"/>
      <c r="C1371" s="2" t="n"/>
      <c r="D1371" s="2" t="n"/>
      <c r="E1371" s="5" t="n"/>
      <c r="F1371" s="5" t="n"/>
    </row>
    <row r="1372" customFormat="1" s="85">
      <c r="A1372" s="2" t="n"/>
      <c r="B1372" s="64" t="n"/>
      <c r="C1372" s="2" t="n"/>
      <c r="D1372" s="2" t="n"/>
      <c r="E1372" s="5" t="n"/>
      <c r="F1372" s="5" t="n"/>
    </row>
    <row r="1373" customFormat="1" s="85">
      <c r="A1373" s="2" t="n"/>
      <c r="B1373" s="64" t="n"/>
      <c r="C1373" s="2" t="n"/>
      <c r="D1373" s="2" t="n"/>
      <c r="E1373" s="5" t="n"/>
      <c r="F1373" s="5" t="n"/>
    </row>
    <row r="1374" customFormat="1" s="85">
      <c r="A1374" s="2" t="n"/>
      <c r="B1374" s="64" t="n"/>
      <c r="C1374" s="2" t="n"/>
      <c r="D1374" s="2" t="n"/>
      <c r="E1374" s="5" t="n"/>
      <c r="F1374" s="5" t="n"/>
    </row>
    <row r="1375" customFormat="1" s="85">
      <c r="A1375" s="2" t="n"/>
      <c r="B1375" s="64" t="n"/>
      <c r="C1375" s="2" t="n"/>
      <c r="D1375" s="2" t="n"/>
      <c r="E1375" s="5" t="n"/>
      <c r="F1375" s="5" t="n"/>
    </row>
    <row r="1376" customFormat="1" s="85">
      <c r="A1376" s="2" t="n"/>
      <c r="B1376" s="64" t="n"/>
      <c r="C1376" s="2" t="n"/>
      <c r="D1376" s="2" t="n"/>
      <c r="E1376" s="5" t="n"/>
      <c r="F1376" s="5" t="n"/>
    </row>
    <row r="1377" customFormat="1" s="85">
      <c r="A1377" s="2" t="n"/>
      <c r="B1377" s="64" t="n"/>
      <c r="C1377" s="2" t="n"/>
      <c r="D1377" s="2" t="n"/>
      <c r="E1377" s="5" t="n"/>
      <c r="F1377" s="5" t="n"/>
    </row>
    <row r="1378" customFormat="1" s="85">
      <c r="A1378" s="2" t="n"/>
      <c r="B1378" s="64" t="n"/>
      <c r="C1378" s="2" t="n"/>
      <c r="D1378" s="2" t="n"/>
      <c r="E1378" s="5" t="n"/>
      <c r="F1378" s="5" t="n"/>
    </row>
    <row r="1379" customFormat="1" s="85">
      <c r="A1379" s="2" t="n"/>
      <c r="B1379" s="64" t="n"/>
      <c r="C1379" s="2" t="n"/>
      <c r="D1379" s="2" t="n"/>
      <c r="E1379" s="5" t="n"/>
      <c r="F1379" s="5" t="n"/>
    </row>
    <row r="1380" customFormat="1" s="85">
      <c r="A1380" s="2" t="n"/>
      <c r="B1380" s="64" t="n"/>
      <c r="C1380" s="2" t="n"/>
      <c r="D1380" s="2" t="n"/>
      <c r="E1380" s="5" t="n"/>
      <c r="F1380" s="5" t="n"/>
    </row>
    <row r="1381" customFormat="1" s="85">
      <c r="A1381" s="2" t="n"/>
      <c r="B1381" s="64" t="n"/>
      <c r="C1381" s="2" t="n"/>
      <c r="D1381" s="2" t="n"/>
      <c r="E1381" s="5" t="n"/>
      <c r="F1381" s="5" t="n"/>
    </row>
    <row r="1382" customFormat="1" s="85">
      <c r="A1382" s="2" t="n"/>
      <c r="B1382" s="64" t="n"/>
      <c r="C1382" s="2" t="n"/>
      <c r="D1382" s="2" t="n"/>
      <c r="E1382" s="5" t="n"/>
      <c r="F1382" s="5" t="n"/>
    </row>
    <row r="1383" customFormat="1" s="85">
      <c r="A1383" s="2" t="n"/>
      <c r="B1383" s="64" t="n"/>
      <c r="C1383" s="2" t="n"/>
      <c r="D1383" s="2" t="n"/>
      <c r="E1383" s="5" t="n"/>
      <c r="F1383" s="5" t="n"/>
    </row>
    <row r="1384" customFormat="1" s="85">
      <c r="A1384" s="2" t="n"/>
      <c r="B1384" s="64" t="n"/>
      <c r="C1384" s="2" t="n"/>
      <c r="D1384" s="2" t="n"/>
      <c r="E1384" s="5" t="n"/>
      <c r="F1384" s="5" t="n"/>
    </row>
    <row r="1385" customFormat="1" s="85">
      <c r="A1385" s="2" t="n"/>
      <c r="B1385" s="64" t="n"/>
      <c r="C1385" s="2" t="n"/>
      <c r="D1385" s="2" t="n"/>
      <c r="E1385" s="5" t="n"/>
      <c r="F1385" s="5" t="n"/>
    </row>
    <row r="1386" customFormat="1" s="85">
      <c r="A1386" s="2" t="n"/>
      <c r="B1386" s="64" t="n"/>
      <c r="C1386" s="2" t="n"/>
      <c r="D1386" s="2" t="n"/>
      <c r="E1386" s="5" t="n"/>
      <c r="F1386" s="5" t="n"/>
    </row>
    <row r="1387" customFormat="1" s="85">
      <c r="A1387" s="2" t="n"/>
      <c r="B1387" s="64" t="n"/>
      <c r="C1387" s="2" t="n"/>
      <c r="D1387" s="2" t="n"/>
      <c r="E1387" s="5" t="n"/>
      <c r="F1387" s="5" t="n"/>
    </row>
    <row r="1388" customFormat="1" s="85">
      <c r="A1388" s="2" t="n"/>
      <c r="B1388" s="64" t="n"/>
      <c r="C1388" s="2" t="n"/>
      <c r="D1388" s="2" t="n"/>
      <c r="E1388" s="5" t="n"/>
      <c r="F1388" s="5" t="n"/>
    </row>
    <row r="1389" customFormat="1" s="85">
      <c r="A1389" s="2" t="n"/>
      <c r="B1389" s="64" t="n"/>
      <c r="C1389" s="2" t="n"/>
      <c r="D1389" s="2" t="n"/>
      <c r="E1389" s="5" t="n"/>
      <c r="F1389" s="5" t="n"/>
    </row>
    <row r="1390" customFormat="1" s="85">
      <c r="A1390" s="2" t="n"/>
      <c r="B1390" s="64" t="n"/>
      <c r="C1390" s="2" t="n"/>
      <c r="D1390" s="2" t="n"/>
      <c r="E1390" s="5" t="n"/>
      <c r="F1390" s="5" t="n"/>
    </row>
    <row r="1391" customFormat="1" s="85">
      <c r="A1391" s="2" t="n"/>
      <c r="B1391" s="64" t="n"/>
      <c r="C1391" s="2" t="n"/>
      <c r="D1391" s="2" t="n"/>
      <c r="E1391" s="5" t="n"/>
      <c r="F1391" s="5" t="n"/>
    </row>
    <row r="1392" customFormat="1" s="85">
      <c r="A1392" s="2" t="n"/>
      <c r="B1392" s="64" t="n"/>
      <c r="C1392" s="2" t="n"/>
      <c r="D1392" s="2" t="n"/>
      <c r="E1392" s="5" t="n"/>
      <c r="F1392" s="5" t="n"/>
    </row>
    <row r="1393" customFormat="1" s="85">
      <c r="A1393" s="2" t="n"/>
      <c r="B1393" s="64" t="n"/>
      <c r="C1393" s="2" t="n"/>
      <c r="D1393" s="2" t="n"/>
      <c r="E1393" s="5" t="n"/>
      <c r="F1393" s="5" t="n"/>
    </row>
    <row r="1394" customFormat="1" s="85">
      <c r="A1394" s="2" t="n"/>
      <c r="B1394" s="64" t="n"/>
      <c r="C1394" s="2" t="n"/>
      <c r="D1394" s="2" t="n"/>
      <c r="E1394" s="5" t="n"/>
      <c r="F1394" s="5" t="n"/>
    </row>
    <row r="1395" customFormat="1" s="85">
      <c r="A1395" s="2" t="n"/>
      <c r="B1395" s="64" t="n"/>
      <c r="C1395" s="2" t="n"/>
      <c r="D1395" s="2" t="n"/>
      <c r="E1395" s="5" t="n"/>
      <c r="F1395" s="5" t="n"/>
    </row>
    <row r="1396" customFormat="1" s="85">
      <c r="A1396" s="2" t="n"/>
      <c r="B1396" s="64" t="n"/>
      <c r="C1396" s="2" t="n"/>
      <c r="D1396" s="2" t="n"/>
      <c r="E1396" s="5" t="n"/>
      <c r="F1396" s="5" t="n"/>
    </row>
    <row r="1397" customFormat="1" s="85">
      <c r="A1397" s="2" t="n"/>
      <c r="B1397" s="64" t="n"/>
      <c r="C1397" s="2" t="n"/>
      <c r="D1397" s="2" t="n"/>
      <c r="E1397" s="5" t="n"/>
      <c r="F1397" s="5" t="n"/>
    </row>
    <row r="1398" customFormat="1" s="85">
      <c r="A1398" s="2" t="n"/>
      <c r="B1398" s="64" t="n"/>
      <c r="C1398" s="2" t="n"/>
      <c r="D1398" s="2" t="n"/>
      <c r="E1398" s="5" t="n"/>
      <c r="F1398" s="5" t="n"/>
    </row>
    <row r="1399" customFormat="1" s="85">
      <c r="A1399" s="2" t="n"/>
      <c r="B1399" s="64" t="n"/>
      <c r="C1399" s="2" t="n"/>
      <c r="D1399" s="2" t="n"/>
      <c r="E1399" s="5" t="n"/>
      <c r="F1399" s="5" t="n"/>
    </row>
    <row r="1400" customFormat="1" s="85">
      <c r="A1400" s="2" t="n"/>
      <c r="B1400" s="64" t="n"/>
      <c r="C1400" s="2" t="n"/>
      <c r="D1400" s="2" t="n"/>
      <c r="E1400" s="5" t="n"/>
      <c r="F1400" s="5" t="n"/>
    </row>
    <row r="1401" customFormat="1" s="85">
      <c r="A1401" s="2" t="n"/>
      <c r="B1401" s="64" t="n"/>
      <c r="C1401" s="2" t="n"/>
      <c r="D1401" s="2" t="n"/>
      <c r="E1401" s="5" t="n"/>
      <c r="F1401" s="5" t="n"/>
    </row>
    <row r="1402" customFormat="1" s="85">
      <c r="A1402" s="2" t="n"/>
      <c r="B1402" s="64" t="n"/>
      <c r="C1402" s="2" t="n"/>
      <c r="D1402" s="2" t="n"/>
      <c r="E1402" s="5" t="n"/>
      <c r="F1402" s="5" t="n"/>
    </row>
    <row r="1403" customFormat="1" s="85">
      <c r="A1403" s="2" t="n"/>
      <c r="B1403" s="64" t="n"/>
      <c r="C1403" s="2" t="n"/>
      <c r="D1403" s="2" t="n"/>
      <c r="E1403" s="5" t="n"/>
      <c r="F1403" s="5" t="n"/>
    </row>
    <row r="1404" customFormat="1" s="85">
      <c r="A1404" s="2" t="n"/>
      <c r="B1404" s="64" t="n"/>
      <c r="C1404" s="2" t="n"/>
      <c r="D1404" s="2" t="n"/>
      <c r="E1404" s="5" t="n"/>
      <c r="F1404" s="5" t="n"/>
    </row>
    <row r="1405" customFormat="1" s="85">
      <c r="A1405" s="2" t="n"/>
      <c r="B1405" s="64" t="n"/>
      <c r="C1405" s="2" t="n"/>
      <c r="D1405" s="2" t="n"/>
      <c r="E1405" s="5" t="n"/>
      <c r="F1405" s="5" t="n"/>
    </row>
    <row r="1406" customFormat="1" s="85">
      <c r="A1406" s="2" t="n"/>
      <c r="B1406" s="64" t="n"/>
      <c r="C1406" s="2" t="n"/>
      <c r="D1406" s="2" t="n"/>
      <c r="E1406" s="5" t="n"/>
      <c r="F1406" s="5" t="n"/>
    </row>
    <row r="1407" customFormat="1" s="85">
      <c r="A1407" s="2" t="n"/>
      <c r="B1407" s="64" t="n"/>
      <c r="C1407" s="2" t="n"/>
      <c r="D1407" s="2" t="n"/>
      <c r="E1407" s="5" t="n"/>
      <c r="F1407" s="5" t="n"/>
    </row>
    <row r="1408" customFormat="1" s="85">
      <c r="A1408" s="2" t="n"/>
      <c r="B1408" s="64" t="n"/>
      <c r="C1408" s="2" t="n"/>
      <c r="D1408" s="2" t="n"/>
      <c r="E1408" s="5" t="n"/>
      <c r="F1408" s="5" t="n"/>
    </row>
    <row r="1409" customFormat="1" s="85">
      <c r="A1409" s="2" t="n"/>
      <c r="B1409" s="64" t="n"/>
      <c r="C1409" s="2" t="n"/>
      <c r="D1409" s="2" t="n"/>
      <c r="E1409" s="5" t="n"/>
      <c r="F1409" s="5" t="n"/>
    </row>
    <row r="1410" customFormat="1" s="85">
      <c r="A1410" s="2" t="n"/>
      <c r="B1410" s="64" t="n"/>
      <c r="C1410" s="2" t="n"/>
      <c r="D1410" s="2" t="n"/>
      <c r="E1410" s="5" t="n"/>
      <c r="F1410" s="5" t="n"/>
    </row>
    <row r="1411" customFormat="1" s="85">
      <c r="A1411" s="2" t="n"/>
      <c r="B1411" s="64" t="n"/>
      <c r="C1411" s="2" t="n"/>
      <c r="D1411" s="2" t="n"/>
      <c r="E1411" s="5" t="n"/>
      <c r="F1411" s="5" t="n"/>
    </row>
    <row r="1412" customFormat="1" s="85">
      <c r="A1412" s="2" t="n"/>
      <c r="B1412" s="64" t="n"/>
      <c r="C1412" s="2" t="n"/>
      <c r="D1412" s="2" t="n"/>
      <c r="E1412" s="5" t="n"/>
      <c r="F1412" s="5" t="n"/>
    </row>
    <row r="1413" customFormat="1" s="85">
      <c r="A1413" s="2" t="n"/>
      <c r="B1413" s="64" t="n"/>
      <c r="C1413" s="2" t="n"/>
      <c r="D1413" s="2" t="n"/>
      <c r="E1413" s="5" t="n"/>
      <c r="F1413" s="5" t="n"/>
    </row>
    <row r="1414" customFormat="1" s="85">
      <c r="A1414" s="2" t="n"/>
      <c r="B1414" s="64" t="n"/>
      <c r="C1414" s="2" t="n"/>
      <c r="D1414" s="2" t="n"/>
      <c r="E1414" s="5" t="n"/>
      <c r="F1414" s="5" t="n"/>
    </row>
    <row r="1415" customFormat="1" s="85">
      <c r="A1415" s="2" t="n"/>
      <c r="B1415" s="64" t="n"/>
      <c r="C1415" s="2" t="n"/>
      <c r="D1415" s="2" t="n"/>
      <c r="E1415" s="5" t="n"/>
      <c r="F1415" s="5" t="n"/>
    </row>
    <row r="1416" customFormat="1" s="85">
      <c r="A1416" s="2" t="n"/>
      <c r="B1416" s="64" t="n"/>
      <c r="C1416" s="2" t="n"/>
      <c r="D1416" s="2" t="n"/>
      <c r="E1416" s="5" t="n"/>
      <c r="F1416" s="5" t="n"/>
    </row>
    <row r="1417" customFormat="1" s="85">
      <c r="A1417" s="2" t="n"/>
      <c r="B1417" s="64" t="n"/>
      <c r="C1417" s="2" t="n"/>
      <c r="D1417" s="2" t="n"/>
      <c r="E1417" s="5" t="n"/>
      <c r="F1417" s="5" t="n"/>
    </row>
    <row r="1418" customFormat="1" s="85">
      <c r="A1418" s="2" t="n"/>
      <c r="B1418" s="64" t="n"/>
      <c r="C1418" s="2" t="n"/>
      <c r="D1418" s="2" t="n"/>
      <c r="E1418" s="5" t="n"/>
      <c r="F1418" s="5" t="n"/>
    </row>
    <row r="1419" customFormat="1" s="85">
      <c r="A1419" s="2" t="n"/>
      <c r="B1419" s="64" t="n"/>
      <c r="C1419" s="2" t="n"/>
      <c r="D1419" s="2" t="n"/>
      <c r="E1419" s="5" t="n"/>
      <c r="F1419" s="5" t="n"/>
    </row>
    <row r="1420" customFormat="1" s="85">
      <c r="A1420" s="2" t="n"/>
      <c r="B1420" s="64" t="n"/>
      <c r="C1420" s="2" t="n"/>
      <c r="D1420" s="2" t="n"/>
      <c r="E1420" s="5" t="n"/>
      <c r="F1420" s="5" t="n"/>
    </row>
    <row r="1421" customFormat="1" s="85">
      <c r="A1421" s="2" t="n"/>
      <c r="B1421" s="64" t="n"/>
      <c r="C1421" s="2" t="n"/>
      <c r="D1421" s="2" t="n"/>
      <c r="E1421" s="5" t="n"/>
      <c r="F1421" s="5" t="n"/>
    </row>
    <row r="1422" customFormat="1" s="85">
      <c r="A1422" s="2" t="n"/>
      <c r="B1422" s="64" t="n"/>
      <c r="C1422" s="2" t="n"/>
      <c r="D1422" s="2" t="n"/>
      <c r="E1422" s="5" t="n"/>
      <c r="F1422" s="5" t="n"/>
    </row>
    <row r="1423" customFormat="1" s="85">
      <c r="A1423" s="2" t="n"/>
      <c r="B1423" s="64" t="n"/>
      <c r="C1423" s="2" t="n"/>
      <c r="D1423" s="2" t="n"/>
      <c r="E1423" s="5" t="n"/>
      <c r="F1423" s="5" t="n"/>
    </row>
    <row r="1424" customFormat="1" s="85">
      <c r="A1424" s="2" t="n"/>
      <c r="B1424" s="64" t="n"/>
      <c r="C1424" s="2" t="n"/>
      <c r="D1424" s="2" t="n"/>
      <c r="E1424" s="5" t="n"/>
      <c r="F1424" s="5" t="n"/>
    </row>
    <row r="1425" customFormat="1" s="85">
      <c r="A1425" s="2" t="n"/>
      <c r="B1425" s="64" t="n"/>
      <c r="C1425" s="2" t="n"/>
      <c r="D1425" s="2" t="n"/>
      <c r="E1425" s="5" t="n"/>
      <c r="F1425" s="5" t="n"/>
    </row>
    <row r="1426" customFormat="1" s="85">
      <c r="A1426" s="2" t="n"/>
      <c r="B1426" s="64" t="n"/>
      <c r="C1426" s="2" t="n"/>
      <c r="D1426" s="2" t="n"/>
      <c r="E1426" s="5" t="n"/>
      <c r="F1426" s="5" t="n"/>
    </row>
    <row r="1427" customFormat="1" s="85">
      <c r="A1427" s="2" t="n"/>
      <c r="B1427" s="64" t="n"/>
      <c r="C1427" s="2" t="n"/>
      <c r="D1427" s="2" t="n"/>
      <c r="E1427" s="5" t="n"/>
      <c r="F1427" s="5" t="n"/>
    </row>
    <row r="1428" customFormat="1" s="85">
      <c r="A1428" s="2" t="n"/>
      <c r="B1428" s="64" t="n"/>
      <c r="C1428" s="2" t="n"/>
      <c r="D1428" s="2" t="n"/>
      <c r="E1428" s="5" t="n"/>
      <c r="F1428" s="5" t="n"/>
    </row>
    <row r="1429" customFormat="1" s="85">
      <c r="A1429" s="2" t="n"/>
      <c r="B1429" s="64" t="n"/>
      <c r="C1429" s="2" t="n"/>
      <c r="D1429" s="2" t="n"/>
      <c r="E1429" s="5" t="n"/>
      <c r="F1429" s="5" t="n"/>
    </row>
    <row r="1430" customFormat="1" s="85">
      <c r="A1430" s="2" t="n"/>
      <c r="B1430" s="64" t="n"/>
      <c r="C1430" s="2" t="n"/>
      <c r="D1430" s="2" t="n"/>
      <c r="E1430" s="5" t="n"/>
      <c r="F1430" s="5" t="n"/>
    </row>
    <row r="1431" customFormat="1" s="85">
      <c r="A1431" s="2" t="n"/>
      <c r="B1431" s="64" t="n"/>
      <c r="C1431" s="2" t="n"/>
      <c r="D1431" s="2" t="n"/>
      <c r="E1431" s="5" t="n"/>
      <c r="F1431" s="5" t="n"/>
    </row>
    <row r="1432" customFormat="1" s="85">
      <c r="A1432" s="2" t="n"/>
      <c r="B1432" s="64" t="n"/>
      <c r="C1432" s="2" t="n"/>
      <c r="D1432" s="2" t="n"/>
      <c r="E1432" s="5" t="n"/>
      <c r="F1432" s="5" t="n"/>
    </row>
    <row r="1433" customFormat="1" s="85">
      <c r="A1433" s="2" t="n"/>
      <c r="B1433" s="64" t="n"/>
      <c r="C1433" s="2" t="n"/>
      <c r="D1433" s="2" t="n"/>
      <c r="E1433" s="5" t="n"/>
      <c r="F1433" s="5" t="n"/>
    </row>
    <row r="1434" customFormat="1" s="85">
      <c r="A1434" s="2" t="n"/>
      <c r="B1434" s="64" t="n"/>
      <c r="C1434" s="2" t="n"/>
      <c r="D1434" s="2" t="n"/>
      <c r="E1434" s="5" t="n"/>
      <c r="F1434" s="5" t="n"/>
    </row>
    <row r="1435" customFormat="1" s="85">
      <c r="A1435" s="2" t="n"/>
      <c r="B1435" s="64" t="n"/>
      <c r="C1435" s="2" t="n"/>
      <c r="D1435" s="2" t="n"/>
      <c r="E1435" s="5" t="n"/>
      <c r="F1435" s="5" t="n"/>
    </row>
    <row r="1436" customFormat="1" s="85">
      <c r="A1436" s="2" t="n"/>
      <c r="B1436" s="64" t="n"/>
      <c r="C1436" s="2" t="n"/>
      <c r="D1436" s="2" t="n"/>
      <c r="E1436" s="5" t="n"/>
      <c r="F1436" s="5" t="n"/>
    </row>
    <row r="1437" customFormat="1" s="85">
      <c r="A1437" s="2" t="n"/>
      <c r="B1437" s="64" t="n"/>
      <c r="C1437" s="2" t="n"/>
      <c r="D1437" s="2" t="n"/>
      <c r="E1437" s="5" t="n"/>
      <c r="F1437" s="5" t="n"/>
    </row>
    <row r="1438" customFormat="1" s="85">
      <c r="A1438" s="2" t="n"/>
      <c r="B1438" s="64" t="n"/>
      <c r="C1438" s="2" t="n"/>
      <c r="D1438" s="2" t="n"/>
      <c r="E1438" s="5" t="n"/>
      <c r="F1438" s="5" t="n"/>
    </row>
    <row r="1439" customFormat="1" s="85">
      <c r="A1439" s="2" t="n"/>
      <c r="B1439" s="64" t="n"/>
      <c r="C1439" s="2" t="n"/>
      <c r="D1439" s="2" t="n"/>
      <c r="E1439" s="5" t="n"/>
      <c r="F1439" s="5" t="n"/>
    </row>
    <row r="1440" customFormat="1" s="85">
      <c r="A1440" s="2" t="n"/>
      <c r="B1440" s="64" t="n"/>
      <c r="C1440" s="2" t="n"/>
      <c r="D1440" s="2" t="n"/>
      <c r="E1440" s="5" t="n"/>
      <c r="F1440" s="5" t="n"/>
    </row>
    <row r="1441" customFormat="1" s="85">
      <c r="A1441" s="2" t="n"/>
      <c r="B1441" s="64" t="n"/>
      <c r="C1441" s="2" t="n"/>
      <c r="D1441" s="2" t="n"/>
      <c r="E1441" s="5" t="n"/>
      <c r="F1441" s="5" t="n"/>
    </row>
    <row r="1442" customFormat="1" s="85">
      <c r="A1442" s="2" t="n"/>
      <c r="B1442" s="64" t="n"/>
      <c r="C1442" s="2" t="n"/>
      <c r="D1442" s="2" t="n"/>
      <c r="E1442" s="5" t="n"/>
      <c r="F1442" s="5" t="n"/>
    </row>
    <row r="1443" customFormat="1" s="85">
      <c r="A1443" s="2" t="n"/>
      <c r="B1443" s="64" t="n"/>
      <c r="C1443" s="2" t="n"/>
      <c r="D1443" s="2" t="n"/>
      <c r="E1443" s="5" t="n"/>
      <c r="F1443" s="5" t="n"/>
    </row>
    <row r="1444" customFormat="1" s="85">
      <c r="A1444" s="2" t="n"/>
      <c r="B1444" s="64" t="n"/>
      <c r="C1444" s="2" t="n"/>
      <c r="D1444" s="2" t="n"/>
      <c r="E1444" s="5" t="n"/>
      <c r="F1444" s="5" t="n"/>
    </row>
    <row r="1445" customFormat="1" s="85">
      <c r="A1445" s="2" t="n"/>
      <c r="B1445" s="64" t="n"/>
      <c r="C1445" s="2" t="n"/>
      <c r="D1445" s="2" t="n"/>
      <c r="E1445" s="5" t="n"/>
      <c r="F1445" s="5" t="n"/>
    </row>
    <row r="1446" customFormat="1" s="85">
      <c r="A1446" s="2" t="n"/>
      <c r="B1446" s="64" t="n"/>
      <c r="C1446" s="2" t="n"/>
      <c r="D1446" s="2" t="n"/>
      <c r="E1446" s="5" t="n"/>
      <c r="F1446" s="5" t="n"/>
    </row>
    <row r="1447" customFormat="1" s="85">
      <c r="A1447" s="2" t="n"/>
      <c r="B1447" s="64" t="n"/>
      <c r="C1447" s="2" t="n"/>
      <c r="D1447" s="2" t="n"/>
      <c r="E1447" s="5" t="n"/>
      <c r="F1447" s="5" t="n"/>
    </row>
    <row r="1448" customFormat="1" s="85">
      <c r="A1448" s="2" t="n"/>
      <c r="B1448" s="64" t="n"/>
      <c r="C1448" s="2" t="n"/>
      <c r="D1448" s="2" t="n"/>
      <c r="E1448" s="5" t="n"/>
      <c r="F1448" s="5" t="n"/>
    </row>
    <row r="1449" customFormat="1" s="85">
      <c r="A1449" s="2" t="n"/>
      <c r="B1449" s="64" t="n"/>
      <c r="C1449" s="2" t="n"/>
      <c r="D1449" s="2" t="n"/>
      <c r="E1449" s="5" t="n"/>
      <c r="F1449" s="5" t="n"/>
    </row>
    <row r="1450" customFormat="1" s="85">
      <c r="A1450" s="2" t="n"/>
      <c r="B1450" s="64" t="n"/>
      <c r="C1450" s="2" t="n"/>
      <c r="D1450" s="2" t="n"/>
      <c r="E1450" s="5" t="n"/>
      <c r="F1450" s="5" t="n"/>
    </row>
    <row r="1451" customFormat="1" s="85">
      <c r="A1451" s="2" t="n"/>
      <c r="B1451" s="64" t="n"/>
      <c r="C1451" s="2" t="n"/>
      <c r="D1451" s="2" t="n"/>
      <c r="E1451" s="5" t="n"/>
      <c r="F1451" s="5" t="n"/>
    </row>
    <row r="1452" customFormat="1" s="85">
      <c r="A1452" s="2" t="n"/>
      <c r="B1452" s="64" t="n"/>
      <c r="C1452" s="2" t="n"/>
      <c r="D1452" s="2" t="n"/>
      <c r="E1452" s="5" t="n"/>
      <c r="F1452" s="5" t="n"/>
    </row>
    <row r="1453" customFormat="1" s="85">
      <c r="A1453" s="2" t="n"/>
      <c r="B1453" s="64" t="n"/>
      <c r="C1453" s="2" t="n"/>
      <c r="D1453" s="2" t="n"/>
      <c r="E1453" s="5" t="n"/>
      <c r="F1453" s="5" t="n"/>
    </row>
    <row r="1454" customFormat="1" s="85">
      <c r="A1454" s="2" t="n"/>
      <c r="B1454" s="64" t="n"/>
      <c r="C1454" s="2" t="n"/>
      <c r="D1454" s="2" t="n"/>
      <c r="E1454" s="5" t="n"/>
      <c r="F1454" s="5" t="n"/>
    </row>
    <row r="1455" customFormat="1" s="85">
      <c r="A1455" s="2" t="n"/>
      <c r="B1455" s="64" t="n"/>
      <c r="C1455" s="2" t="n"/>
      <c r="D1455" s="2" t="n"/>
      <c r="E1455" s="5" t="n"/>
      <c r="F1455" s="5" t="n"/>
    </row>
    <row r="1456" customFormat="1" s="85">
      <c r="A1456" s="2" t="n"/>
      <c r="B1456" s="64" t="n"/>
      <c r="C1456" s="2" t="n"/>
      <c r="D1456" s="2" t="n"/>
      <c r="E1456" s="5" t="n"/>
      <c r="F1456" s="5" t="n"/>
    </row>
    <row r="1457" customFormat="1" s="85">
      <c r="A1457" s="2" t="n"/>
      <c r="B1457" s="64" t="n"/>
      <c r="C1457" s="2" t="n"/>
      <c r="D1457" s="2" t="n"/>
      <c r="E1457" s="5" t="n"/>
      <c r="F1457" s="5" t="n"/>
    </row>
    <row r="1458" customFormat="1" s="85">
      <c r="A1458" s="2" t="n"/>
      <c r="B1458" s="64" t="n"/>
      <c r="C1458" s="2" t="n"/>
      <c r="D1458" s="2" t="n"/>
      <c r="E1458" s="5" t="n"/>
      <c r="F1458" s="5" t="n"/>
    </row>
    <row r="1459" customFormat="1" s="85">
      <c r="A1459" s="2" t="n"/>
      <c r="B1459" s="64" t="n"/>
      <c r="C1459" s="2" t="n"/>
      <c r="D1459" s="2" t="n"/>
      <c r="E1459" s="5" t="n"/>
      <c r="F1459" s="5" t="n"/>
    </row>
    <row r="1460" customFormat="1" s="85">
      <c r="A1460" s="2" t="n"/>
      <c r="B1460" s="64" t="n"/>
      <c r="C1460" s="2" t="n"/>
      <c r="D1460" s="2" t="n"/>
      <c r="E1460" s="5" t="n"/>
      <c r="F1460" s="5" t="n"/>
    </row>
    <row r="1461" customFormat="1" s="85">
      <c r="A1461" s="2" t="n"/>
      <c r="B1461" s="64" t="n"/>
      <c r="C1461" s="2" t="n"/>
      <c r="D1461" s="2" t="n"/>
      <c r="E1461" s="5" t="n"/>
      <c r="F1461" s="5" t="n"/>
    </row>
    <row r="1462" customFormat="1" s="85">
      <c r="A1462" s="2" t="n"/>
      <c r="B1462" s="64" t="n"/>
      <c r="C1462" s="2" t="n"/>
      <c r="D1462" s="2" t="n"/>
      <c r="E1462" s="5" t="n"/>
      <c r="F1462" s="5" t="n"/>
    </row>
    <row r="1463" customFormat="1" s="85">
      <c r="A1463" s="2" t="n"/>
      <c r="B1463" s="64" t="n"/>
      <c r="C1463" s="2" t="n"/>
      <c r="D1463" s="2" t="n"/>
      <c r="E1463" s="5" t="n"/>
      <c r="F1463" s="5" t="n"/>
    </row>
    <row r="1464" customFormat="1" s="85">
      <c r="A1464" s="2" t="n"/>
      <c r="B1464" s="64" t="n"/>
      <c r="C1464" s="2" t="n"/>
      <c r="D1464" s="2" t="n"/>
      <c r="E1464" s="5" t="n"/>
      <c r="F1464" s="5" t="n"/>
    </row>
    <row r="1465" customFormat="1" s="85">
      <c r="A1465" s="2" t="n"/>
      <c r="B1465" s="64" t="n"/>
      <c r="C1465" s="2" t="n"/>
      <c r="D1465" s="2" t="n"/>
      <c r="E1465" s="5" t="n"/>
      <c r="F1465" s="5" t="n"/>
    </row>
    <row r="1466" customFormat="1" s="85">
      <c r="A1466" s="2" t="n"/>
      <c r="B1466" s="64" t="n"/>
      <c r="C1466" s="2" t="n"/>
      <c r="D1466" s="2" t="n"/>
      <c r="E1466" s="5" t="n"/>
      <c r="F1466" s="5" t="n"/>
    </row>
    <row r="1467" customFormat="1" s="85">
      <c r="A1467" s="2" t="n"/>
      <c r="B1467" s="64" t="n"/>
      <c r="C1467" s="2" t="n"/>
      <c r="D1467" s="2" t="n"/>
      <c r="E1467" s="5" t="n"/>
      <c r="F1467" s="5" t="n"/>
    </row>
    <row r="1468" customFormat="1" s="85">
      <c r="A1468" s="2" t="n"/>
      <c r="B1468" s="64" t="n"/>
      <c r="C1468" s="2" t="n"/>
      <c r="D1468" s="2" t="n"/>
      <c r="E1468" s="5" t="n"/>
      <c r="F1468" s="5" t="n"/>
    </row>
    <row r="1469" customFormat="1" s="85">
      <c r="A1469" s="2" t="n"/>
      <c r="B1469" s="64" t="n"/>
      <c r="C1469" s="2" t="n"/>
      <c r="D1469" s="2" t="n"/>
      <c r="E1469" s="5" t="n"/>
      <c r="F1469" s="5" t="n"/>
    </row>
    <row r="1470" customFormat="1" s="85">
      <c r="A1470" s="2" t="n"/>
      <c r="B1470" s="64" t="n"/>
      <c r="C1470" s="2" t="n"/>
      <c r="D1470" s="2" t="n"/>
      <c r="E1470" s="5" t="n"/>
      <c r="F1470" s="5" t="n"/>
    </row>
    <row r="1471" customFormat="1" s="85">
      <c r="A1471" s="2" t="n"/>
      <c r="B1471" s="64" t="n"/>
      <c r="C1471" s="2" t="n"/>
      <c r="D1471" s="2" t="n"/>
      <c r="E1471" s="5" t="n"/>
      <c r="F1471" s="5" t="n"/>
    </row>
    <row r="1472" customFormat="1" s="85">
      <c r="A1472" s="2" t="n"/>
      <c r="B1472" s="64" t="n"/>
      <c r="C1472" s="2" t="n"/>
      <c r="D1472" s="2" t="n"/>
      <c r="E1472" s="5" t="n"/>
      <c r="F1472" s="5" t="n"/>
    </row>
    <row r="1473" customFormat="1" s="85">
      <c r="A1473" s="2" t="n"/>
      <c r="B1473" s="64" t="n"/>
      <c r="C1473" s="2" t="n"/>
      <c r="D1473" s="2" t="n"/>
      <c r="E1473" s="5" t="n"/>
      <c r="F1473" s="5" t="n"/>
    </row>
    <row r="1474" customFormat="1" s="85">
      <c r="A1474" s="2" t="n"/>
      <c r="B1474" s="64" t="n"/>
      <c r="C1474" s="2" t="n"/>
      <c r="D1474" s="2" t="n"/>
      <c r="E1474" s="5" t="n"/>
      <c r="F1474" s="5" t="n"/>
    </row>
    <row r="1475" customFormat="1" s="85">
      <c r="A1475" s="2" t="n"/>
      <c r="B1475" s="64" t="n"/>
      <c r="C1475" s="2" t="n"/>
      <c r="D1475" s="2" t="n"/>
      <c r="E1475" s="5" t="n"/>
      <c r="F1475" s="5" t="n"/>
    </row>
    <row r="1476" customFormat="1" s="85">
      <c r="A1476" s="2" t="n"/>
      <c r="B1476" s="64" t="n"/>
      <c r="C1476" s="2" t="n"/>
      <c r="D1476" s="2" t="n"/>
      <c r="E1476" s="5" t="n"/>
      <c r="F1476" s="5" t="n"/>
    </row>
    <row r="1477" customFormat="1" s="85">
      <c r="A1477" s="2" t="n"/>
      <c r="B1477" s="64" t="n"/>
      <c r="C1477" s="2" t="n"/>
      <c r="D1477" s="2" t="n"/>
      <c r="E1477" s="5" t="n"/>
      <c r="F1477" s="5" t="n"/>
    </row>
    <row r="1478" customFormat="1" s="85">
      <c r="A1478" s="2" t="n"/>
      <c r="B1478" s="64" t="n"/>
      <c r="C1478" s="2" t="n"/>
      <c r="D1478" s="2" t="n"/>
      <c r="E1478" s="5" t="n"/>
      <c r="F1478" s="5" t="n"/>
    </row>
    <row r="1479" customFormat="1" s="85">
      <c r="A1479" s="2" t="n"/>
      <c r="B1479" s="64" t="n"/>
      <c r="C1479" s="2" t="n"/>
      <c r="D1479" s="2" t="n"/>
      <c r="E1479" s="5" t="n"/>
      <c r="F1479" s="5" t="n"/>
    </row>
    <row r="1480" customFormat="1" s="85">
      <c r="A1480" s="2" t="n"/>
      <c r="B1480" s="64" t="n"/>
      <c r="C1480" s="2" t="n"/>
      <c r="D1480" s="2" t="n"/>
      <c r="E1480" s="5" t="n"/>
      <c r="F1480" s="5" t="n"/>
    </row>
    <row r="1481" customFormat="1" s="85">
      <c r="A1481" s="2" t="n"/>
      <c r="B1481" s="64" t="n"/>
      <c r="C1481" s="2" t="n"/>
      <c r="D1481" s="2" t="n"/>
      <c r="E1481" s="5" t="n"/>
      <c r="F1481" s="5" t="n"/>
    </row>
    <row r="1482" customFormat="1" s="85">
      <c r="A1482" s="2" t="n"/>
      <c r="B1482" s="64" t="n"/>
      <c r="C1482" s="2" t="n"/>
      <c r="D1482" s="2" t="n"/>
      <c r="E1482" s="5" t="n"/>
      <c r="F1482" s="5" t="n"/>
    </row>
    <row r="1483" customFormat="1" s="85">
      <c r="A1483" s="2" t="n"/>
      <c r="B1483" s="64" t="n"/>
      <c r="C1483" s="2" t="n"/>
      <c r="D1483" s="2" t="n"/>
      <c r="E1483" s="5" t="n"/>
      <c r="F1483" s="5" t="n"/>
    </row>
    <row r="1484" customFormat="1" s="85">
      <c r="A1484" s="2" t="n"/>
      <c r="B1484" s="64" t="n"/>
      <c r="C1484" s="2" t="n"/>
      <c r="D1484" s="2" t="n"/>
      <c r="E1484" s="5" t="n"/>
      <c r="F1484" s="5" t="n"/>
    </row>
    <row r="1485" customFormat="1" s="85">
      <c r="A1485" s="2" t="n"/>
      <c r="B1485" s="64" t="n"/>
      <c r="C1485" s="2" t="n"/>
      <c r="D1485" s="2" t="n"/>
      <c r="E1485" s="5" t="n"/>
      <c r="F1485" s="5" t="n"/>
    </row>
    <row r="1486" customFormat="1" s="85">
      <c r="A1486" s="2" t="n"/>
      <c r="B1486" s="64" t="n"/>
      <c r="C1486" s="2" t="n"/>
      <c r="D1486" s="2" t="n"/>
      <c r="E1486" s="5" t="n"/>
      <c r="F1486" s="5" t="n"/>
    </row>
    <row r="1487" customFormat="1" s="85">
      <c r="A1487" s="2" t="n"/>
      <c r="B1487" s="64" t="n"/>
      <c r="C1487" s="2" t="n"/>
      <c r="D1487" s="2" t="n"/>
      <c r="E1487" s="5" t="n"/>
      <c r="F1487" s="5" t="n"/>
    </row>
    <row r="1488" customFormat="1" s="85">
      <c r="A1488" s="2" t="n"/>
      <c r="B1488" s="64" t="n"/>
      <c r="C1488" s="2" t="n"/>
      <c r="D1488" s="2" t="n"/>
      <c r="E1488" s="5" t="n"/>
      <c r="F1488" s="5" t="n"/>
    </row>
    <row r="1489" customFormat="1" s="85">
      <c r="A1489" s="2" t="n"/>
      <c r="B1489" s="64" t="n"/>
      <c r="C1489" s="2" t="n"/>
      <c r="D1489" s="2" t="n"/>
      <c r="E1489" s="5" t="n"/>
      <c r="F1489" s="5" t="n"/>
    </row>
    <row r="1490" customFormat="1" s="85">
      <c r="A1490" s="2" t="n"/>
      <c r="B1490" s="64" t="n"/>
      <c r="C1490" s="2" t="n"/>
      <c r="D1490" s="2" t="n"/>
      <c r="E1490" s="5" t="n"/>
      <c r="F1490" s="5" t="n"/>
    </row>
    <row r="1491" customFormat="1" s="85">
      <c r="A1491" s="2" t="n"/>
      <c r="B1491" s="64" t="n"/>
      <c r="C1491" s="2" t="n"/>
      <c r="D1491" s="2" t="n"/>
      <c r="E1491" s="5" t="n"/>
      <c r="F1491" s="5" t="n"/>
    </row>
    <row r="1492" customFormat="1" s="85">
      <c r="A1492" s="2" t="n"/>
      <c r="B1492" s="64" t="n"/>
      <c r="C1492" s="2" t="n"/>
      <c r="D1492" s="2" t="n"/>
      <c r="E1492" s="5" t="n"/>
      <c r="F1492" s="5" t="n"/>
    </row>
    <row r="1493" customFormat="1" s="85">
      <c r="A1493" s="2" t="n"/>
      <c r="B1493" s="64" t="n"/>
      <c r="C1493" s="2" t="n"/>
      <c r="D1493" s="2" t="n"/>
      <c r="E1493" s="5" t="n"/>
      <c r="F1493" s="5" t="n"/>
    </row>
    <row r="1494" customFormat="1" s="85">
      <c r="A1494" s="2" t="n"/>
      <c r="B1494" s="64" t="n"/>
      <c r="C1494" s="2" t="n"/>
      <c r="D1494" s="2" t="n"/>
      <c r="E1494" s="5" t="n"/>
      <c r="F1494" s="5" t="n"/>
    </row>
    <row r="1495" customFormat="1" s="85">
      <c r="A1495" s="2" t="n"/>
      <c r="B1495" s="64" t="n"/>
      <c r="C1495" s="2" t="n"/>
      <c r="D1495" s="2" t="n"/>
      <c r="E1495" s="5" t="n"/>
      <c r="F1495" s="5" t="n"/>
    </row>
    <row r="1496" customFormat="1" s="85">
      <c r="A1496" s="2" t="n"/>
      <c r="B1496" s="64" t="n"/>
      <c r="C1496" s="2" t="n"/>
      <c r="D1496" s="2" t="n"/>
      <c r="E1496" s="5" t="n"/>
      <c r="F1496" s="5" t="n"/>
    </row>
    <row r="1497" customFormat="1" s="85">
      <c r="A1497" s="2" t="n"/>
      <c r="B1497" s="64" t="n"/>
      <c r="C1497" s="2" t="n"/>
      <c r="D1497" s="2" t="n"/>
      <c r="E1497" s="5" t="n"/>
      <c r="F1497" s="5" t="n"/>
    </row>
    <row r="1498" customFormat="1" s="85">
      <c r="A1498" s="2" t="n"/>
      <c r="B1498" s="64" t="n"/>
      <c r="C1498" s="2" t="n"/>
      <c r="D1498" s="2" t="n"/>
      <c r="E1498" s="5" t="n"/>
      <c r="F1498" s="5" t="n"/>
    </row>
    <row r="1499" customFormat="1" s="85">
      <c r="A1499" s="2" t="n"/>
      <c r="B1499" s="64" t="n"/>
      <c r="C1499" s="2" t="n"/>
      <c r="D1499" s="2" t="n"/>
      <c r="E1499" s="5" t="n"/>
      <c r="F1499" s="5" t="n"/>
    </row>
    <row r="1500" customFormat="1" s="85">
      <c r="A1500" s="2" t="n"/>
      <c r="B1500" s="64" t="n"/>
      <c r="C1500" s="2" t="n"/>
      <c r="D1500" s="2" t="n"/>
      <c r="E1500" s="5" t="n"/>
      <c r="F1500" s="5" t="n"/>
    </row>
    <row r="1501" customFormat="1" s="85">
      <c r="A1501" s="2" t="n"/>
      <c r="B1501" s="64" t="n"/>
      <c r="C1501" s="2" t="n"/>
      <c r="D1501" s="2" t="n"/>
      <c r="E1501" s="5" t="n"/>
      <c r="F1501" s="5" t="n"/>
    </row>
    <row r="1502" customFormat="1" s="85">
      <c r="A1502" s="2" t="n"/>
      <c r="B1502" s="64" t="n"/>
      <c r="C1502" s="2" t="n"/>
      <c r="D1502" s="2" t="n"/>
      <c r="E1502" s="5" t="n"/>
      <c r="F1502" s="5" t="n"/>
    </row>
    <row r="1503" customFormat="1" s="85">
      <c r="A1503" s="2" t="n"/>
      <c r="B1503" s="64" t="n"/>
      <c r="C1503" s="2" t="n"/>
      <c r="D1503" s="2" t="n"/>
      <c r="E1503" s="5" t="n"/>
      <c r="F1503" s="5" t="n"/>
    </row>
    <row r="1504" customFormat="1" s="85">
      <c r="A1504" s="2" t="n"/>
      <c r="B1504" s="64" t="n"/>
      <c r="C1504" s="2" t="n"/>
      <c r="D1504" s="2" t="n"/>
      <c r="E1504" s="5" t="n"/>
      <c r="F1504" s="5" t="n"/>
    </row>
    <row r="1505" customFormat="1" s="85">
      <c r="A1505" s="2" t="n"/>
      <c r="B1505" s="64" t="n"/>
      <c r="C1505" s="2" t="n"/>
      <c r="D1505" s="2" t="n"/>
      <c r="E1505" s="5" t="n"/>
      <c r="F1505" s="5" t="n"/>
    </row>
    <row r="1506" customFormat="1" s="85">
      <c r="A1506" s="2" t="n"/>
      <c r="B1506" s="64" t="n"/>
      <c r="C1506" s="2" t="n"/>
      <c r="D1506" s="2" t="n"/>
      <c r="E1506" s="5" t="n"/>
      <c r="F1506" s="5" t="n"/>
    </row>
    <row r="1507" customFormat="1" s="85">
      <c r="A1507" s="2" t="n"/>
      <c r="B1507" s="64" t="n"/>
      <c r="C1507" s="2" t="n"/>
      <c r="D1507" s="2" t="n"/>
      <c r="E1507" s="5" t="n"/>
      <c r="F1507" s="5" t="n"/>
    </row>
    <row r="1508" customFormat="1" s="85">
      <c r="A1508" s="2" t="n"/>
      <c r="B1508" s="64" t="n"/>
      <c r="C1508" s="2" t="n"/>
      <c r="D1508" s="2" t="n"/>
      <c r="E1508" s="5" t="n"/>
      <c r="F1508" s="5" t="n"/>
    </row>
    <row r="1509" customFormat="1" s="85">
      <c r="A1509" s="2" t="n"/>
      <c r="B1509" s="64" t="n"/>
      <c r="C1509" s="2" t="n"/>
      <c r="D1509" s="2" t="n"/>
      <c r="E1509" s="5" t="n"/>
      <c r="F1509" s="5" t="n"/>
    </row>
    <row r="1510" customFormat="1" s="85">
      <c r="A1510" s="2" t="n"/>
      <c r="B1510" s="64" t="n"/>
      <c r="C1510" s="2" t="n"/>
      <c r="D1510" s="2" t="n"/>
      <c r="E1510" s="5" t="n"/>
      <c r="F1510" s="5" t="n"/>
    </row>
    <row r="1511" customFormat="1" s="85">
      <c r="A1511" s="2" t="n"/>
      <c r="B1511" s="64" t="n"/>
      <c r="C1511" s="2" t="n"/>
      <c r="D1511" s="2" t="n"/>
      <c r="E1511" s="5" t="n"/>
      <c r="F1511" s="5" t="n"/>
    </row>
    <row r="1512" customFormat="1" s="85">
      <c r="A1512" s="2" t="n"/>
      <c r="B1512" s="64" t="n"/>
      <c r="C1512" s="2" t="n"/>
      <c r="D1512" s="2" t="n"/>
      <c r="E1512" s="5" t="n"/>
      <c r="F1512" s="5" t="n"/>
    </row>
    <row r="1513" customFormat="1" s="85">
      <c r="A1513" s="2" t="n"/>
      <c r="B1513" s="64" t="n"/>
      <c r="C1513" s="2" t="n"/>
      <c r="D1513" s="2" t="n"/>
      <c r="E1513" s="5" t="n"/>
      <c r="F1513" s="5" t="n"/>
    </row>
    <row r="1514" customFormat="1" s="85">
      <c r="A1514" s="2" t="n"/>
      <c r="B1514" s="64" t="n"/>
      <c r="C1514" s="2" t="n"/>
      <c r="D1514" s="2" t="n"/>
      <c r="E1514" s="5" t="n"/>
      <c r="F1514" s="5" t="n"/>
    </row>
    <row r="1515" customFormat="1" s="85">
      <c r="A1515" s="2" t="n"/>
      <c r="B1515" s="64" t="n"/>
      <c r="C1515" s="2" t="n"/>
      <c r="D1515" s="2" t="n"/>
      <c r="E1515" s="5" t="n"/>
      <c r="F1515" s="5" t="n"/>
    </row>
    <row r="1516" customFormat="1" s="85">
      <c r="A1516" s="2" t="n"/>
      <c r="B1516" s="64" t="n"/>
      <c r="C1516" s="2" t="n"/>
      <c r="D1516" s="2" t="n"/>
      <c r="E1516" s="5" t="n"/>
      <c r="F1516" s="5" t="n"/>
    </row>
    <row r="1517" customFormat="1" s="85">
      <c r="A1517" s="2" t="n"/>
      <c r="B1517" s="64" t="n"/>
      <c r="C1517" s="2" t="n"/>
      <c r="D1517" s="2" t="n"/>
      <c r="E1517" s="5" t="n"/>
      <c r="F1517" s="5" t="n"/>
    </row>
    <row r="1518" customFormat="1" s="85">
      <c r="A1518" s="2" t="n"/>
      <c r="B1518" s="64" t="n"/>
      <c r="C1518" s="2" t="n"/>
      <c r="D1518" s="2" t="n"/>
      <c r="E1518" s="5" t="n"/>
      <c r="F1518" s="5" t="n"/>
    </row>
    <row r="1519" customFormat="1" s="85">
      <c r="A1519" s="2" t="n"/>
      <c r="B1519" s="64" t="n"/>
      <c r="C1519" s="2" t="n"/>
      <c r="D1519" s="2" t="n"/>
      <c r="E1519" s="5" t="n"/>
      <c r="F1519" s="5" t="n"/>
    </row>
    <row r="1520" customFormat="1" s="85">
      <c r="A1520" s="2" t="n"/>
      <c r="B1520" s="64" t="n"/>
      <c r="C1520" s="2" t="n"/>
      <c r="D1520" s="2" t="n"/>
      <c r="E1520" s="5" t="n"/>
      <c r="F1520" s="5" t="n"/>
    </row>
    <row r="1521" customFormat="1" s="85">
      <c r="A1521" s="2" t="n"/>
      <c r="B1521" s="64" t="n"/>
      <c r="C1521" s="2" t="n"/>
      <c r="D1521" s="2" t="n"/>
      <c r="E1521" s="5" t="n"/>
      <c r="F1521" s="5" t="n"/>
    </row>
    <row r="1522" customFormat="1" s="85">
      <c r="A1522" s="2" t="n"/>
      <c r="B1522" s="64" t="n"/>
      <c r="C1522" s="2" t="n"/>
      <c r="D1522" s="2" t="n"/>
      <c r="E1522" s="5" t="n"/>
      <c r="F1522" s="5" t="n"/>
    </row>
    <row r="1523" customFormat="1" s="85">
      <c r="A1523" s="2" t="n"/>
      <c r="B1523" s="64" t="n"/>
      <c r="C1523" s="2" t="n"/>
      <c r="D1523" s="2" t="n"/>
      <c r="E1523" s="5" t="n"/>
      <c r="F1523" s="5" t="n"/>
    </row>
    <row r="1524" customFormat="1" s="85">
      <c r="A1524" s="2" t="n"/>
      <c r="B1524" s="64" t="n"/>
      <c r="C1524" s="2" t="n"/>
      <c r="D1524" s="2" t="n"/>
      <c r="E1524" s="5" t="n"/>
      <c r="F1524" s="5" t="n"/>
    </row>
    <row r="1525" customFormat="1" s="85">
      <c r="A1525" s="2" t="n"/>
      <c r="B1525" s="64" t="n"/>
      <c r="C1525" s="2" t="n"/>
      <c r="D1525" s="2" t="n"/>
      <c r="E1525" s="5" t="n"/>
      <c r="F1525" s="5" t="n"/>
    </row>
    <row r="1526" customFormat="1" s="85">
      <c r="A1526" s="2" t="n"/>
      <c r="B1526" s="64" t="n"/>
      <c r="C1526" s="2" t="n"/>
      <c r="D1526" s="2" t="n"/>
      <c r="E1526" s="5" t="n"/>
      <c r="F1526" s="5" t="n"/>
    </row>
    <row r="1527" customFormat="1" s="85">
      <c r="A1527" s="2" t="n"/>
      <c r="B1527" s="64" t="n"/>
      <c r="C1527" s="2" t="n"/>
      <c r="D1527" s="2" t="n"/>
      <c r="E1527" s="5" t="n"/>
      <c r="F1527" s="5" t="n"/>
    </row>
    <row r="1528" customFormat="1" s="85">
      <c r="A1528" s="2" t="n"/>
      <c r="B1528" s="64" t="n"/>
      <c r="C1528" s="2" t="n"/>
      <c r="D1528" s="2" t="n"/>
      <c r="E1528" s="5" t="n"/>
      <c r="F1528" s="5" t="n"/>
    </row>
    <row r="1529" customFormat="1" s="85">
      <c r="A1529" s="2" t="n"/>
      <c r="B1529" s="64" t="n"/>
      <c r="C1529" s="2" t="n"/>
      <c r="D1529" s="2" t="n"/>
      <c r="E1529" s="5" t="n"/>
      <c r="F1529" s="5" t="n"/>
    </row>
    <row r="1530" customFormat="1" s="85">
      <c r="A1530" s="2" t="n"/>
      <c r="B1530" s="64" t="n"/>
      <c r="C1530" s="2" t="n"/>
      <c r="D1530" s="2" t="n"/>
      <c r="E1530" s="5" t="n"/>
      <c r="F1530" s="5" t="n"/>
    </row>
    <row r="1531" customFormat="1" s="85">
      <c r="A1531" s="2" t="n"/>
      <c r="B1531" s="64" t="n"/>
      <c r="C1531" s="2" t="n"/>
      <c r="D1531" s="2" t="n"/>
      <c r="E1531" s="5" t="n"/>
      <c r="F1531" s="5" t="n"/>
    </row>
    <row r="1532" customFormat="1" s="85">
      <c r="A1532" s="2" t="n"/>
      <c r="B1532" s="64" t="n"/>
      <c r="C1532" s="2" t="n"/>
      <c r="D1532" s="2" t="n"/>
      <c r="E1532" s="5" t="n"/>
      <c r="F1532" s="5" t="n"/>
    </row>
    <row r="1533" customFormat="1" s="85">
      <c r="A1533" s="2" t="n"/>
      <c r="B1533" s="64" t="n"/>
      <c r="C1533" s="2" t="n"/>
      <c r="D1533" s="2" t="n"/>
      <c r="E1533" s="5" t="n"/>
      <c r="F1533" s="5" t="n"/>
    </row>
    <row r="1534" customFormat="1" s="85">
      <c r="A1534" s="2" t="n"/>
      <c r="B1534" s="64" t="n"/>
      <c r="C1534" s="2" t="n"/>
      <c r="D1534" s="2" t="n"/>
      <c r="E1534" s="5" t="n"/>
      <c r="F1534" s="5" t="n"/>
    </row>
    <row r="1535" customFormat="1" s="85">
      <c r="A1535" s="2" t="n"/>
      <c r="B1535" s="64" t="n"/>
      <c r="C1535" s="2" t="n"/>
      <c r="D1535" s="2" t="n"/>
      <c r="E1535" s="5" t="n"/>
      <c r="F1535" s="5" t="n"/>
    </row>
    <row r="1536" customFormat="1" s="85">
      <c r="A1536" s="2" t="n"/>
      <c r="B1536" s="64" t="n"/>
      <c r="C1536" s="2" t="n"/>
      <c r="D1536" s="2" t="n"/>
      <c r="E1536" s="5" t="n"/>
      <c r="F1536" s="5" t="n"/>
    </row>
    <row r="1537" customFormat="1" s="85">
      <c r="A1537" s="2" t="n"/>
      <c r="B1537" s="64" t="n"/>
      <c r="C1537" s="2" t="n"/>
      <c r="D1537" s="2" t="n"/>
      <c r="E1537" s="5" t="n"/>
      <c r="F1537" s="5" t="n"/>
    </row>
    <row r="1538" customFormat="1" s="85">
      <c r="A1538" s="2" t="n"/>
      <c r="B1538" s="64" t="n"/>
      <c r="C1538" s="2" t="n"/>
      <c r="D1538" s="2" t="n"/>
      <c r="E1538" s="5" t="n"/>
      <c r="F1538" s="5" t="n"/>
    </row>
    <row r="1539" customFormat="1" s="85">
      <c r="A1539" s="2" t="n"/>
      <c r="B1539" s="64" t="n"/>
      <c r="C1539" s="2" t="n"/>
      <c r="D1539" s="2" t="n"/>
      <c r="E1539" s="5" t="n"/>
      <c r="F1539" s="5" t="n"/>
    </row>
    <row r="1540" customFormat="1" s="85">
      <c r="A1540" s="2" t="n"/>
      <c r="B1540" s="64" t="n"/>
      <c r="C1540" s="2" t="n"/>
      <c r="D1540" s="2" t="n"/>
      <c r="E1540" s="5" t="n"/>
      <c r="F1540" s="5" t="n"/>
    </row>
    <row r="1541" customFormat="1" s="85">
      <c r="A1541" s="2" t="n"/>
      <c r="B1541" s="64" t="n"/>
      <c r="C1541" s="2" t="n"/>
      <c r="D1541" s="2" t="n"/>
      <c r="E1541" s="5" t="n"/>
      <c r="F1541" s="5" t="n"/>
    </row>
    <row r="1542" customFormat="1" s="85">
      <c r="A1542" s="2" t="n"/>
      <c r="B1542" s="64" t="n"/>
      <c r="C1542" s="2" t="n"/>
      <c r="D1542" s="2" t="n"/>
      <c r="E1542" s="5" t="n"/>
      <c r="F1542" s="5" t="n"/>
    </row>
    <row r="1543" customFormat="1" s="85">
      <c r="A1543" s="2" t="n"/>
      <c r="B1543" s="64" t="n"/>
      <c r="C1543" s="2" t="n"/>
      <c r="D1543" s="2" t="n"/>
      <c r="E1543" s="5" t="n"/>
      <c r="F1543" s="5" t="n"/>
    </row>
    <row r="1544" customFormat="1" s="85">
      <c r="A1544" s="2" t="n"/>
      <c r="B1544" s="64" t="n"/>
      <c r="C1544" s="2" t="n"/>
      <c r="D1544" s="2" t="n"/>
      <c r="E1544" s="5" t="n"/>
      <c r="F1544" s="5" t="n"/>
    </row>
    <row r="1545" customFormat="1" s="85">
      <c r="A1545" s="2" t="n"/>
      <c r="B1545" s="64" t="n"/>
      <c r="C1545" s="2" t="n"/>
      <c r="D1545" s="2" t="n"/>
      <c r="E1545" s="5" t="n"/>
      <c r="F1545" s="5" t="n"/>
    </row>
    <row r="1546" customFormat="1" s="85">
      <c r="A1546" s="2" t="n"/>
      <c r="B1546" s="64" t="n"/>
      <c r="C1546" s="2" t="n"/>
      <c r="D1546" s="2" t="n"/>
      <c r="E1546" s="5" t="n"/>
      <c r="F1546" s="5" t="n"/>
    </row>
    <row r="1547" customFormat="1" s="85">
      <c r="A1547" s="2" t="n"/>
      <c r="B1547" s="64" t="n"/>
      <c r="C1547" s="2" t="n"/>
      <c r="D1547" s="2" t="n"/>
      <c r="E1547" s="5" t="n"/>
      <c r="F1547" s="5" t="n"/>
    </row>
    <row r="1548" customFormat="1" s="85">
      <c r="A1548" s="2" t="n"/>
      <c r="B1548" s="64" t="n"/>
      <c r="C1548" s="2" t="n"/>
      <c r="D1548" s="2" t="n"/>
      <c r="E1548" s="5" t="n"/>
      <c r="F1548" s="5" t="n"/>
    </row>
    <row r="1549" customFormat="1" s="85">
      <c r="A1549" s="2" t="n"/>
      <c r="B1549" s="64" t="n"/>
      <c r="C1549" s="2" t="n"/>
      <c r="D1549" s="2" t="n"/>
      <c r="E1549" s="5" t="n"/>
      <c r="F1549" s="5" t="n"/>
    </row>
    <row r="1550" customFormat="1" s="85">
      <c r="A1550" s="2" t="n"/>
      <c r="B1550" s="64" t="n"/>
      <c r="C1550" s="2" t="n"/>
      <c r="D1550" s="2" t="n"/>
      <c r="E1550" s="5" t="n"/>
      <c r="F1550" s="5" t="n"/>
    </row>
    <row r="1551" customFormat="1" s="85">
      <c r="A1551" s="2" t="n"/>
      <c r="B1551" s="64" t="n"/>
      <c r="C1551" s="2" t="n"/>
      <c r="D1551" s="2" t="n"/>
      <c r="E1551" s="5" t="n"/>
      <c r="F1551" s="5" t="n"/>
    </row>
    <row r="1552" customFormat="1" s="85">
      <c r="A1552" s="2" t="n"/>
      <c r="B1552" s="64" t="n"/>
      <c r="C1552" s="2" t="n"/>
      <c r="D1552" s="2" t="n"/>
      <c r="E1552" s="5" t="n"/>
      <c r="F1552" s="5" t="n"/>
    </row>
    <row r="1553" customFormat="1" s="85">
      <c r="A1553" s="2" t="n"/>
      <c r="B1553" s="64" t="n"/>
      <c r="C1553" s="2" t="n"/>
      <c r="D1553" s="2" t="n"/>
      <c r="E1553" s="5" t="n"/>
      <c r="F1553" s="5" t="n"/>
    </row>
    <row r="1554" customFormat="1" s="85">
      <c r="A1554" s="2" t="n"/>
      <c r="B1554" s="64" t="n"/>
      <c r="C1554" s="2" t="n"/>
      <c r="D1554" s="2" t="n"/>
      <c r="E1554" s="5" t="n"/>
      <c r="F1554" s="5" t="n"/>
    </row>
    <row r="1555" customFormat="1" s="85">
      <c r="A1555" s="2" t="n"/>
      <c r="B1555" s="64" t="n"/>
      <c r="C1555" s="2" t="n"/>
      <c r="D1555" s="2" t="n"/>
      <c r="E1555" s="5" t="n"/>
      <c r="F1555" s="5" t="n"/>
    </row>
    <row r="1556" customFormat="1" s="85">
      <c r="A1556" s="2" t="n"/>
      <c r="B1556" s="64" t="n"/>
      <c r="C1556" s="2" t="n"/>
      <c r="D1556" s="2" t="n"/>
      <c r="E1556" s="5" t="n"/>
      <c r="F1556" s="5" t="n"/>
    </row>
    <row r="1557" customFormat="1" s="85">
      <c r="A1557" s="2" t="n"/>
      <c r="B1557" s="64" t="n"/>
      <c r="C1557" s="2" t="n"/>
      <c r="D1557" s="2" t="n"/>
      <c r="E1557" s="5" t="n"/>
      <c r="F1557" s="5" t="n"/>
    </row>
    <row r="1558" customFormat="1" s="85">
      <c r="A1558" s="2" t="n"/>
      <c r="B1558" s="64" t="n"/>
      <c r="C1558" s="2" t="n"/>
      <c r="D1558" s="2" t="n"/>
      <c r="E1558" s="5" t="n"/>
      <c r="F1558" s="5" t="n"/>
    </row>
    <row r="1559" customFormat="1" s="85">
      <c r="A1559" s="2" t="n"/>
      <c r="B1559" s="64" t="n"/>
      <c r="C1559" s="2" t="n"/>
      <c r="D1559" s="2" t="n"/>
      <c r="E1559" s="5" t="n"/>
      <c r="F1559" s="5" t="n"/>
    </row>
    <row r="1560" customFormat="1" s="85">
      <c r="A1560" s="2" t="n"/>
      <c r="B1560" s="64" t="n"/>
      <c r="C1560" s="2" t="n"/>
      <c r="D1560" s="2" t="n"/>
      <c r="E1560" s="5" t="n"/>
      <c r="F1560" s="5" t="n"/>
    </row>
    <row r="1561" customFormat="1" s="85">
      <c r="A1561" s="2" t="n"/>
      <c r="B1561" s="64" t="n"/>
      <c r="C1561" s="2" t="n"/>
      <c r="D1561" s="2" t="n"/>
      <c r="E1561" s="5" t="n"/>
      <c r="F1561" s="5" t="n"/>
    </row>
    <row r="1562" customFormat="1" s="85">
      <c r="A1562" s="2" t="n"/>
      <c r="B1562" s="64" t="n"/>
      <c r="C1562" s="2" t="n"/>
      <c r="D1562" s="2" t="n"/>
      <c r="E1562" s="5" t="n"/>
      <c r="F1562" s="5" t="n"/>
    </row>
    <row r="1563" customFormat="1" s="85">
      <c r="A1563" s="2" t="n"/>
      <c r="B1563" s="64" t="n"/>
      <c r="C1563" s="2" t="n"/>
      <c r="D1563" s="2" t="n"/>
      <c r="E1563" s="5" t="n"/>
      <c r="F1563" s="5" t="n"/>
    </row>
    <row r="1564" customFormat="1" s="85">
      <c r="A1564" s="2" t="n"/>
      <c r="B1564" s="64" t="n"/>
      <c r="C1564" s="2" t="n"/>
      <c r="D1564" s="2" t="n"/>
      <c r="E1564" s="5" t="n"/>
      <c r="F1564" s="5" t="n"/>
    </row>
    <row r="1565" customFormat="1" s="85">
      <c r="A1565" s="2" t="n"/>
      <c r="B1565" s="64" t="n"/>
      <c r="C1565" s="2" t="n"/>
      <c r="D1565" s="2" t="n"/>
      <c r="E1565" s="5" t="n"/>
      <c r="F1565" s="5" t="n"/>
    </row>
    <row r="1566" customFormat="1" s="85">
      <c r="A1566" s="2" t="n"/>
      <c r="B1566" s="64" t="n"/>
      <c r="C1566" s="2" t="n"/>
      <c r="D1566" s="2" t="n"/>
      <c r="E1566" s="5" t="n"/>
      <c r="F1566" s="5" t="n"/>
    </row>
    <row r="1567" customFormat="1" s="85">
      <c r="A1567" s="2" t="n"/>
      <c r="B1567" s="64" t="n"/>
      <c r="C1567" s="2" t="n"/>
      <c r="D1567" s="2" t="n"/>
      <c r="E1567" s="5" t="n"/>
      <c r="F1567" s="5" t="n"/>
    </row>
    <row r="1568" customFormat="1" s="85">
      <c r="A1568" s="2" t="n"/>
      <c r="B1568" s="64" t="n"/>
      <c r="C1568" s="2" t="n"/>
      <c r="D1568" s="2" t="n"/>
      <c r="E1568" s="5" t="n"/>
      <c r="F1568" s="5" t="n"/>
    </row>
    <row r="1569" customFormat="1" s="85">
      <c r="A1569" s="2" t="n"/>
      <c r="B1569" s="64" t="n"/>
      <c r="C1569" s="2" t="n"/>
      <c r="D1569" s="2" t="n"/>
      <c r="E1569" s="5" t="n"/>
      <c r="F1569" s="5" t="n"/>
    </row>
    <row r="1570" customFormat="1" s="85">
      <c r="A1570" s="2" t="n"/>
      <c r="B1570" s="64" t="n"/>
      <c r="C1570" s="2" t="n"/>
      <c r="D1570" s="2" t="n"/>
      <c r="E1570" s="5" t="n"/>
      <c r="F1570" s="5" t="n"/>
    </row>
    <row r="1571" customFormat="1" s="85">
      <c r="A1571" s="2" t="n"/>
      <c r="B1571" s="64" t="n"/>
      <c r="C1571" s="2" t="n"/>
      <c r="D1571" s="2" t="n"/>
      <c r="E1571" s="5" t="n"/>
      <c r="F1571" s="5" t="n"/>
    </row>
    <row r="1572" customFormat="1" s="85">
      <c r="A1572" s="2" t="n"/>
      <c r="B1572" s="64" t="n"/>
      <c r="C1572" s="2" t="n"/>
      <c r="D1572" s="2" t="n"/>
      <c r="E1572" s="5" t="n"/>
      <c r="F1572" s="5" t="n"/>
    </row>
    <row r="1573" customFormat="1" s="85">
      <c r="A1573" s="2" t="n"/>
      <c r="B1573" s="64" t="n"/>
      <c r="C1573" s="2" t="n"/>
      <c r="D1573" s="2" t="n"/>
      <c r="E1573" s="5" t="n"/>
      <c r="F1573" s="5" t="n"/>
    </row>
    <row r="1574" customFormat="1" s="85">
      <c r="A1574" s="2" t="n"/>
      <c r="B1574" s="64" t="n"/>
      <c r="C1574" s="2" t="n"/>
      <c r="D1574" s="2" t="n"/>
      <c r="E1574" s="5" t="n"/>
      <c r="F1574" s="5" t="n"/>
    </row>
    <row r="1575" customFormat="1" s="85">
      <c r="A1575" s="2" t="n"/>
      <c r="B1575" s="64" t="n"/>
      <c r="C1575" s="2" t="n"/>
      <c r="D1575" s="2" t="n"/>
      <c r="E1575" s="5" t="n"/>
      <c r="F1575" s="5" t="n"/>
    </row>
    <row r="1576" customFormat="1" s="85">
      <c r="A1576" s="2" t="n"/>
      <c r="B1576" s="64" t="n"/>
      <c r="C1576" s="2" t="n"/>
      <c r="D1576" s="2" t="n"/>
      <c r="E1576" s="5" t="n"/>
      <c r="F1576" s="5" t="n"/>
    </row>
    <row r="1577" customFormat="1" s="85">
      <c r="A1577" s="2" t="n"/>
      <c r="B1577" s="64" t="n"/>
      <c r="C1577" s="2" t="n"/>
      <c r="D1577" s="2" t="n"/>
      <c r="E1577" s="5" t="n"/>
      <c r="F1577" s="5" t="n"/>
    </row>
    <row r="1578" customFormat="1" s="85">
      <c r="A1578" s="2" t="n"/>
      <c r="B1578" s="64" t="n"/>
      <c r="C1578" s="2" t="n"/>
      <c r="D1578" s="2" t="n"/>
      <c r="E1578" s="5" t="n"/>
      <c r="F1578" s="5" t="n"/>
    </row>
    <row r="1579" customFormat="1" s="85">
      <c r="A1579" s="2" t="n"/>
      <c r="B1579" s="64" t="n"/>
      <c r="C1579" s="2" t="n"/>
      <c r="D1579" s="2" t="n"/>
      <c r="E1579" s="5" t="n"/>
      <c r="F1579" s="5" t="n"/>
    </row>
    <row r="1580" customFormat="1" s="85">
      <c r="A1580" s="2" t="n"/>
      <c r="B1580" s="64" t="n"/>
      <c r="C1580" s="2" t="n"/>
      <c r="D1580" s="2" t="n"/>
      <c r="E1580" s="5" t="n"/>
      <c r="F1580" s="5" t="n"/>
    </row>
    <row r="1581" customFormat="1" s="85">
      <c r="A1581" s="2" t="n"/>
      <c r="B1581" s="64" t="n"/>
      <c r="C1581" s="2" t="n"/>
      <c r="D1581" s="2" t="n"/>
      <c r="E1581" s="5" t="n"/>
      <c r="F1581" s="5" t="n"/>
    </row>
    <row r="1582" customFormat="1" s="85">
      <c r="A1582" s="2" t="n"/>
      <c r="B1582" s="64" t="n"/>
      <c r="C1582" s="2" t="n"/>
      <c r="D1582" s="2" t="n"/>
      <c r="E1582" s="5" t="n"/>
      <c r="F1582" s="5" t="n"/>
    </row>
    <row r="1583" customFormat="1" s="85">
      <c r="A1583" s="2" t="n"/>
      <c r="B1583" s="64" t="n"/>
      <c r="C1583" s="2" t="n"/>
      <c r="D1583" s="2" t="n"/>
      <c r="E1583" s="5" t="n"/>
      <c r="F1583" s="5" t="n"/>
    </row>
    <row r="1584" customFormat="1" s="85">
      <c r="A1584" s="2" t="n"/>
      <c r="B1584" s="64" t="n"/>
      <c r="C1584" s="2" t="n"/>
      <c r="D1584" s="2" t="n"/>
      <c r="E1584" s="5" t="n"/>
      <c r="F1584" s="5" t="n"/>
    </row>
    <row r="1585" customFormat="1" s="85">
      <c r="A1585" s="2" t="n"/>
      <c r="B1585" s="64" t="n"/>
      <c r="C1585" s="2" t="n"/>
      <c r="D1585" s="2" t="n"/>
      <c r="E1585" s="5" t="n"/>
      <c r="F1585" s="5" t="n"/>
    </row>
    <row r="1586" customFormat="1" s="85">
      <c r="A1586" s="2" t="n"/>
      <c r="B1586" s="64" t="n"/>
      <c r="C1586" s="2" t="n"/>
      <c r="D1586" s="2" t="n"/>
      <c r="E1586" s="5" t="n"/>
      <c r="F1586" s="5" t="n"/>
    </row>
    <row r="1587" customFormat="1" s="85">
      <c r="A1587" s="2" t="n"/>
      <c r="B1587" s="64" t="n"/>
      <c r="C1587" s="2" t="n"/>
      <c r="D1587" s="2" t="n"/>
      <c r="E1587" s="5" t="n"/>
      <c r="F1587" s="5" t="n"/>
    </row>
    <row r="1588" customFormat="1" s="85">
      <c r="A1588" s="2" t="n"/>
      <c r="B1588" s="64" t="n"/>
      <c r="C1588" s="2" t="n"/>
      <c r="D1588" s="2" t="n"/>
      <c r="E1588" s="5" t="n"/>
      <c r="F1588" s="5" t="n"/>
    </row>
    <row r="1589" customFormat="1" s="85">
      <c r="A1589" s="2" t="n"/>
      <c r="B1589" s="64" t="n"/>
      <c r="C1589" s="2" t="n"/>
      <c r="D1589" s="2" t="n"/>
      <c r="E1589" s="5" t="n"/>
      <c r="F1589" s="5" t="n"/>
    </row>
    <row r="1590" customFormat="1" s="85">
      <c r="A1590" s="2" t="n"/>
      <c r="B1590" s="64" t="n"/>
      <c r="C1590" s="2" t="n"/>
      <c r="D1590" s="2" t="n"/>
      <c r="E1590" s="5" t="n"/>
      <c r="F1590" s="5" t="n"/>
    </row>
    <row r="1591" customFormat="1" s="85">
      <c r="A1591" s="2" t="n"/>
      <c r="B1591" s="64" t="n"/>
      <c r="C1591" s="2" t="n"/>
      <c r="D1591" s="2" t="n"/>
      <c r="E1591" s="5" t="n"/>
      <c r="F1591" s="5" t="n"/>
    </row>
    <row r="1592" customFormat="1" s="85">
      <c r="A1592" s="2" t="n"/>
      <c r="B1592" s="64" t="n"/>
      <c r="C1592" s="2" t="n"/>
      <c r="D1592" s="2" t="n"/>
      <c r="E1592" s="5" t="n"/>
      <c r="F1592" s="5" t="n"/>
    </row>
    <row r="1593" customFormat="1" s="85">
      <c r="A1593" s="2" t="n"/>
      <c r="B1593" s="64" t="n"/>
      <c r="C1593" s="2" t="n"/>
      <c r="D1593" s="2" t="n"/>
      <c r="E1593" s="5" t="n"/>
      <c r="F1593" s="5" t="n"/>
    </row>
    <row r="1594" customFormat="1" s="85">
      <c r="A1594" s="2" t="n"/>
      <c r="B1594" s="64" t="n"/>
      <c r="C1594" s="2" t="n"/>
      <c r="D1594" s="2" t="n"/>
      <c r="E1594" s="5" t="n"/>
      <c r="F1594" s="5" t="n"/>
    </row>
    <row r="1595" customFormat="1" s="85">
      <c r="A1595" s="2" t="n"/>
      <c r="B1595" s="64" t="n"/>
      <c r="C1595" s="2" t="n"/>
      <c r="D1595" s="2" t="n"/>
      <c r="E1595" s="5" t="n"/>
      <c r="F1595" s="5" t="n"/>
    </row>
    <row r="1596" customFormat="1" s="85">
      <c r="A1596" s="2" t="n"/>
      <c r="B1596" s="64" t="n"/>
      <c r="C1596" s="2" t="n"/>
      <c r="D1596" s="2" t="n"/>
      <c r="E1596" s="5" t="n"/>
      <c r="F1596" s="5" t="n"/>
    </row>
    <row r="1597" customFormat="1" s="85">
      <c r="A1597" s="2" t="n"/>
      <c r="B1597" s="64" t="n"/>
      <c r="C1597" s="2" t="n"/>
      <c r="D1597" s="2" t="n"/>
      <c r="E1597" s="5" t="n"/>
      <c r="F1597" s="5" t="n"/>
    </row>
    <row r="1598" customFormat="1" s="85">
      <c r="A1598" s="2" t="n"/>
      <c r="B1598" s="64" t="n"/>
      <c r="C1598" s="2" t="n"/>
      <c r="D1598" s="2" t="n"/>
      <c r="E1598" s="5" t="n"/>
      <c r="F1598" s="5" t="n"/>
    </row>
    <row r="1599" customFormat="1" s="85">
      <c r="A1599" s="2" t="n"/>
      <c r="B1599" s="64" t="n"/>
      <c r="C1599" s="2" t="n"/>
      <c r="D1599" s="2" t="n"/>
      <c r="E1599" s="5" t="n"/>
      <c r="F1599" s="5" t="n"/>
    </row>
    <row r="1600" customFormat="1" s="85">
      <c r="A1600" s="2" t="n"/>
      <c r="B1600" s="64" t="n"/>
      <c r="C1600" s="2" t="n"/>
      <c r="D1600" s="2" t="n"/>
      <c r="E1600" s="5" t="n"/>
      <c r="F1600" s="5" t="n"/>
    </row>
    <row r="1601" customFormat="1" s="85">
      <c r="A1601" s="2" t="n"/>
      <c r="B1601" s="64" t="n"/>
      <c r="C1601" s="2" t="n"/>
      <c r="D1601" s="2" t="n"/>
      <c r="E1601" s="5" t="n"/>
      <c r="F1601" s="5" t="n"/>
    </row>
    <row r="1602" customFormat="1" s="85">
      <c r="A1602" s="2" t="n"/>
      <c r="B1602" s="64" t="n"/>
      <c r="C1602" s="2" t="n"/>
      <c r="D1602" s="2" t="n"/>
      <c r="E1602" s="5" t="n"/>
      <c r="F1602" s="5" t="n"/>
    </row>
    <row r="1603" customFormat="1" s="85">
      <c r="A1603" s="2" t="n"/>
      <c r="B1603" s="64" t="n"/>
      <c r="C1603" s="2" t="n"/>
      <c r="D1603" s="2" t="n"/>
      <c r="E1603" s="5" t="n"/>
      <c r="F1603" s="5" t="n"/>
    </row>
    <row r="1604" customFormat="1" s="85">
      <c r="A1604" s="2" t="n"/>
      <c r="B1604" s="64" t="n"/>
      <c r="C1604" s="2" t="n"/>
      <c r="D1604" s="2" t="n"/>
      <c r="E1604" s="5" t="n"/>
      <c r="F1604" s="5" t="n"/>
    </row>
    <row r="1605" customFormat="1" s="85">
      <c r="A1605" s="2" t="n"/>
      <c r="B1605" s="64" t="n"/>
      <c r="C1605" s="2" t="n"/>
      <c r="D1605" s="2" t="n"/>
      <c r="E1605" s="5" t="n"/>
      <c r="F1605" s="5" t="n"/>
    </row>
    <row r="1606" customFormat="1" s="85">
      <c r="A1606" s="2" t="n"/>
      <c r="B1606" s="64" t="n"/>
      <c r="C1606" s="2" t="n"/>
      <c r="D1606" s="2" t="n"/>
      <c r="E1606" s="5" t="n"/>
      <c r="F1606" s="5" t="n"/>
    </row>
    <row r="1607" customFormat="1" s="85">
      <c r="A1607" s="2" t="n"/>
      <c r="B1607" s="64" t="n"/>
      <c r="C1607" s="2" t="n"/>
      <c r="D1607" s="2" t="n"/>
      <c r="E1607" s="5" t="n"/>
      <c r="F1607" s="5" t="n"/>
    </row>
    <row r="1608" customFormat="1" s="85">
      <c r="A1608" s="2" t="n"/>
      <c r="B1608" s="64" t="n"/>
      <c r="C1608" s="2" t="n"/>
      <c r="D1608" s="2" t="n"/>
      <c r="E1608" s="5" t="n"/>
      <c r="F1608" s="5" t="n"/>
    </row>
    <row r="1609" customFormat="1" s="85">
      <c r="A1609" s="2" t="n"/>
      <c r="B1609" s="64" t="n"/>
      <c r="C1609" s="2" t="n"/>
      <c r="D1609" s="2" t="n"/>
      <c r="E1609" s="5" t="n"/>
      <c r="F1609" s="5" t="n"/>
    </row>
    <row r="1610" customFormat="1" s="85">
      <c r="A1610" s="2" t="n"/>
      <c r="B1610" s="64" t="n"/>
      <c r="C1610" s="2" t="n"/>
      <c r="D1610" s="2" t="n"/>
      <c r="E1610" s="5" t="n"/>
      <c r="F1610" s="5" t="n"/>
    </row>
    <row r="1611" customFormat="1" s="85">
      <c r="A1611" s="2" t="n"/>
      <c r="B1611" s="64" t="n"/>
      <c r="C1611" s="2" t="n"/>
      <c r="D1611" s="2" t="n"/>
      <c r="E1611" s="5" t="n"/>
      <c r="F1611" s="5" t="n"/>
    </row>
    <row r="1612" customFormat="1" s="85">
      <c r="A1612" s="2" t="n"/>
      <c r="B1612" s="64" t="n"/>
      <c r="C1612" s="2" t="n"/>
      <c r="D1612" s="2" t="n"/>
      <c r="E1612" s="5" t="n"/>
      <c r="F1612" s="5" t="n"/>
    </row>
    <row r="1613" customFormat="1" s="85">
      <c r="A1613" s="2" t="n"/>
      <c r="B1613" s="64" t="n"/>
      <c r="C1613" s="2" t="n"/>
      <c r="D1613" s="2" t="n"/>
      <c r="E1613" s="5" t="n"/>
      <c r="F1613" s="5" t="n"/>
    </row>
    <row r="1614" customFormat="1" s="85">
      <c r="A1614" s="2" t="n"/>
      <c r="B1614" s="64" t="n"/>
      <c r="C1614" s="2" t="n"/>
      <c r="D1614" s="2" t="n"/>
      <c r="E1614" s="5" t="n"/>
      <c r="F1614" s="5" t="n"/>
    </row>
    <row r="1615" customFormat="1" s="85">
      <c r="A1615" s="2" t="n"/>
      <c r="B1615" s="64" t="n"/>
      <c r="C1615" s="2" t="n"/>
      <c r="D1615" s="2" t="n"/>
      <c r="E1615" s="5" t="n"/>
      <c r="F1615" s="5" t="n"/>
    </row>
    <row r="1616" customFormat="1" s="85">
      <c r="A1616" s="2" t="n"/>
      <c r="B1616" s="64" t="n"/>
      <c r="C1616" s="2" t="n"/>
      <c r="D1616" s="2" t="n"/>
      <c r="E1616" s="5" t="n"/>
      <c r="F1616" s="5" t="n"/>
    </row>
    <row r="1617" customFormat="1" s="85">
      <c r="A1617" s="2" t="n"/>
      <c r="B1617" s="64" t="n"/>
      <c r="C1617" s="2" t="n"/>
      <c r="D1617" s="2" t="n"/>
      <c r="E1617" s="5" t="n"/>
      <c r="F1617" s="5" t="n"/>
    </row>
    <row r="1618" customFormat="1" s="85">
      <c r="A1618" s="2" t="n"/>
      <c r="B1618" s="64" t="n"/>
      <c r="C1618" s="2" t="n"/>
      <c r="D1618" s="2" t="n"/>
      <c r="E1618" s="5" t="n"/>
      <c r="F1618" s="5" t="n"/>
    </row>
    <row r="1619" customFormat="1" s="85">
      <c r="A1619" s="2" t="n"/>
      <c r="B1619" s="64" t="n"/>
      <c r="C1619" s="2" t="n"/>
      <c r="D1619" s="2" t="n"/>
      <c r="E1619" s="5" t="n"/>
      <c r="F1619" s="5" t="n"/>
    </row>
    <row r="1620" customFormat="1" s="85">
      <c r="A1620" s="2" t="n"/>
      <c r="B1620" s="64" t="n"/>
      <c r="C1620" s="2" t="n"/>
      <c r="D1620" s="2" t="n"/>
      <c r="E1620" s="5" t="n"/>
      <c r="F1620" s="5" t="n"/>
    </row>
    <row r="1621" customFormat="1" s="85">
      <c r="A1621" s="2" t="n"/>
      <c r="B1621" s="64" t="n"/>
      <c r="C1621" s="2" t="n"/>
      <c r="D1621" s="2" t="n"/>
      <c r="E1621" s="5" t="n"/>
      <c r="F1621" s="5" t="n"/>
    </row>
    <row r="1622" customFormat="1" s="85">
      <c r="A1622" s="2" t="n"/>
      <c r="B1622" s="64" t="n"/>
      <c r="C1622" s="2" t="n"/>
      <c r="D1622" s="2" t="n"/>
      <c r="E1622" s="5" t="n"/>
      <c r="F1622" s="5" t="n"/>
    </row>
    <row r="1623" customFormat="1" s="85">
      <c r="A1623" s="2" t="n"/>
      <c r="B1623" s="64" t="n"/>
      <c r="C1623" s="2" t="n"/>
      <c r="D1623" s="2" t="n"/>
      <c r="E1623" s="5" t="n"/>
      <c r="F1623" s="5" t="n"/>
    </row>
    <row r="1624" customFormat="1" s="85">
      <c r="A1624" s="2" t="n"/>
      <c r="B1624" s="64" t="n"/>
      <c r="C1624" s="2" t="n"/>
      <c r="D1624" s="2" t="n"/>
      <c r="E1624" s="5" t="n"/>
      <c r="F1624" s="5" t="n"/>
    </row>
    <row r="1625" customFormat="1" s="85">
      <c r="A1625" s="2" t="n"/>
      <c r="B1625" s="64" t="n"/>
      <c r="C1625" s="2" t="n"/>
      <c r="D1625" s="2" t="n"/>
      <c r="E1625" s="5" t="n"/>
      <c r="F1625" s="5" t="n"/>
    </row>
    <row r="1626" customFormat="1" s="85">
      <c r="A1626" s="2" t="n"/>
      <c r="B1626" s="64" t="n"/>
      <c r="C1626" s="2" t="n"/>
      <c r="D1626" s="2" t="n"/>
      <c r="E1626" s="5" t="n"/>
      <c r="F1626" s="5" t="n"/>
    </row>
    <row r="1627" customFormat="1" s="85">
      <c r="A1627" s="2" t="n"/>
      <c r="B1627" s="64" t="n"/>
      <c r="C1627" s="2" t="n"/>
      <c r="D1627" s="2" t="n"/>
      <c r="E1627" s="5" t="n"/>
      <c r="F1627" s="5" t="n"/>
    </row>
    <row r="1628" customFormat="1" s="85">
      <c r="A1628" s="2" t="n"/>
      <c r="B1628" s="64" t="n"/>
      <c r="C1628" s="2" t="n"/>
      <c r="D1628" s="2" t="n"/>
      <c r="E1628" s="5" t="n"/>
      <c r="F1628" s="5" t="n"/>
    </row>
    <row r="1629" customFormat="1" s="85">
      <c r="A1629" s="2" t="n"/>
      <c r="B1629" s="64" t="n"/>
      <c r="C1629" s="2" t="n"/>
      <c r="D1629" s="2" t="n"/>
      <c r="E1629" s="5" t="n"/>
      <c r="F1629" s="5" t="n"/>
    </row>
    <row r="1630" customFormat="1" s="85">
      <c r="A1630" s="2" t="n"/>
      <c r="B1630" s="64" t="n"/>
      <c r="C1630" s="2" t="n"/>
      <c r="D1630" s="2" t="n"/>
      <c r="E1630" s="5" t="n"/>
      <c r="F1630" s="5" t="n"/>
    </row>
    <row r="1631" customFormat="1" s="85">
      <c r="A1631" s="2" t="n"/>
      <c r="B1631" s="64" t="n"/>
      <c r="C1631" s="2" t="n"/>
      <c r="D1631" s="2" t="n"/>
      <c r="E1631" s="5" t="n"/>
      <c r="F1631" s="5" t="n"/>
    </row>
    <row r="1632" customFormat="1" s="85">
      <c r="A1632" s="2" t="n"/>
      <c r="B1632" s="64" t="n"/>
      <c r="C1632" s="2" t="n"/>
      <c r="D1632" s="2" t="n"/>
      <c r="E1632" s="5" t="n"/>
      <c r="F1632" s="5" t="n"/>
    </row>
    <row r="1633" customFormat="1" s="85">
      <c r="A1633" s="2" t="n"/>
      <c r="B1633" s="64" t="n"/>
      <c r="C1633" s="2" t="n"/>
      <c r="D1633" s="2" t="n"/>
      <c r="E1633" s="5" t="n"/>
      <c r="F1633" s="5" t="n"/>
    </row>
    <row r="1634" customFormat="1" s="85">
      <c r="A1634" s="2" t="n"/>
      <c r="B1634" s="64" t="n"/>
      <c r="C1634" s="2" t="n"/>
      <c r="D1634" s="2" t="n"/>
      <c r="E1634" s="5" t="n"/>
      <c r="F1634" s="5" t="n"/>
    </row>
    <row r="1635" customFormat="1" s="85">
      <c r="A1635" s="2" t="n"/>
      <c r="B1635" s="64" t="n"/>
      <c r="C1635" s="2" t="n"/>
      <c r="D1635" s="2" t="n"/>
      <c r="E1635" s="5" t="n"/>
      <c r="F1635" s="5" t="n"/>
    </row>
    <row r="1636" customFormat="1" s="85">
      <c r="A1636" s="2" t="n"/>
      <c r="B1636" s="64" t="n"/>
      <c r="C1636" s="2" t="n"/>
      <c r="D1636" s="2" t="n"/>
      <c r="E1636" s="5" t="n"/>
      <c r="F1636" s="5" t="n"/>
    </row>
    <row r="1637" customFormat="1" s="85">
      <c r="A1637" s="2" t="n"/>
      <c r="B1637" s="64" t="n"/>
      <c r="C1637" s="2" t="n"/>
      <c r="D1637" s="2" t="n"/>
      <c r="E1637" s="5" t="n"/>
      <c r="F1637" s="5" t="n"/>
    </row>
    <row r="1638" customFormat="1" s="85">
      <c r="A1638" s="2" t="n"/>
      <c r="B1638" s="64" t="n"/>
      <c r="C1638" s="2" t="n"/>
      <c r="D1638" s="2" t="n"/>
      <c r="E1638" s="5" t="n"/>
      <c r="F1638" s="5" t="n"/>
    </row>
    <row r="1639" customFormat="1" s="85">
      <c r="A1639" s="2" t="n"/>
      <c r="B1639" s="64" t="n"/>
      <c r="C1639" s="2" t="n"/>
      <c r="D1639" s="2" t="n"/>
      <c r="E1639" s="5" t="n"/>
      <c r="F1639" s="5" t="n"/>
    </row>
    <row r="1640" customFormat="1" s="85">
      <c r="A1640" s="2" t="n"/>
      <c r="B1640" s="64" t="n"/>
      <c r="C1640" s="2" t="n"/>
      <c r="D1640" s="2" t="n"/>
      <c r="E1640" s="5" t="n"/>
      <c r="F1640" s="5" t="n"/>
    </row>
    <row r="1641" customFormat="1" s="85">
      <c r="A1641" s="2" t="n"/>
      <c r="B1641" s="64" t="n"/>
      <c r="C1641" s="2" t="n"/>
      <c r="D1641" s="2" t="n"/>
      <c r="E1641" s="5" t="n"/>
      <c r="F1641" s="5" t="n"/>
    </row>
    <row r="1642" customFormat="1" s="85">
      <c r="A1642" s="2" t="n"/>
      <c r="B1642" s="64" t="n"/>
      <c r="C1642" s="2" t="n"/>
      <c r="D1642" s="2" t="n"/>
      <c r="E1642" s="5" t="n"/>
      <c r="F1642" s="5" t="n"/>
    </row>
    <row r="1643" customFormat="1" s="85">
      <c r="A1643" s="2" t="n"/>
      <c r="B1643" s="64" t="n"/>
      <c r="C1643" s="2" t="n"/>
      <c r="D1643" s="2" t="n"/>
      <c r="E1643" s="5" t="n"/>
      <c r="F1643" s="5" t="n"/>
    </row>
    <row r="1644" customFormat="1" s="85">
      <c r="A1644" s="2" t="n"/>
      <c r="B1644" s="64" t="n"/>
      <c r="C1644" s="2" t="n"/>
      <c r="D1644" s="2" t="n"/>
      <c r="E1644" s="5" t="n"/>
      <c r="F1644" s="5" t="n"/>
    </row>
    <row r="1645" customFormat="1" s="85">
      <c r="A1645" s="2" t="n"/>
      <c r="B1645" s="64" t="n"/>
      <c r="C1645" s="2" t="n"/>
      <c r="D1645" s="2" t="n"/>
      <c r="E1645" s="5" t="n"/>
      <c r="F1645" s="5" t="n"/>
    </row>
    <row r="1646" customFormat="1" s="85">
      <c r="A1646" s="2" t="n"/>
      <c r="B1646" s="64" t="n"/>
      <c r="C1646" s="2" t="n"/>
      <c r="D1646" s="2" t="n"/>
      <c r="E1646" s="5" t="n"/>
      <c r="F1646" s="5" t="n"/>
    </row>
    <row r="1647" customFormat="1" s="85">
      <c r="A1647" s="2" t="n"/>
      <c r="B1647" s="64" t="n"/>
      <c r="C1647" s="2" t="n"/>
      <c r="D1647" s="2" t="n"/>
      <c r="E1647" s="5" t="n"/>
      <c r="F1647" s="5" t="n"/>
    </row>
    <row r="1648" customFormat="1" s="85">
      <c r="A1648" s="2" t="n"/>
      <c r="B1648" s="64" t="n"/>
      <c r="C1648" s="2" t="n"/>
      <c r="D1648" s="2" t="n"/>
      <c r="E1648" s="5" t="n"/>
      <c r="F1648" s="5" t="n"/>
    </row>
    <row r="1649" customFormat="1" s="85">
      <c r="A1649" s="2" t="n"/>
      <c r="B1649" s="64" t="n"/>
      <c r="C1649" s="2" t="n"/>
      <c r="D1649" s="2" t="n"/>
      <c r="E1649" s="5" t="n"/>
      <c r="F1649" s="5" t="n"/>
    </row>
    <row r="1650" customFormat="1" s="85">
      <c r="A1650" s="2" t="n"/>
      <c r="B1650" s="64" t="n"/>
      <c r="C1650" s="2" t="n"/>
      <c r="D1650" s="2" t="n"/>
      <c r="E1650" s="5" t="n"/>
      <c r="F1650" s="5" t="n"/>
    </row>
    <row r="1651" customFormat="1" s="85">
      <c r="A1651" s="2" t="n"/>
      <c r="B1651" s="64" t="n"/>
      <c r="C1651" s="2" t="n"/>
      <c r="D1651" s="2" t="n"/>
      <c r="E1651" s="5" t="n"/>
      <c r="F1651" s="5" t="n"/>
    </row>
    <row r="1652" customFormat="1" s="85">
      <c r="A1652" s="2" t="n"/>
      <c r="B1652" s="64" t="n"/>
      <c r="C1652" s="2" t="n"/>
      <c r="D1652" s="2" t="n"/>
      <c r="E1652" s="5" t="n"/>
      <c r="F1652" s="5" t="n"/>
    </row>
    <row r="1653" customFormat="1" s="85">
      <c r="A1653" s="2" t="n"/>
      <c r="B1653" s="64" t="n"/>
      <c r="C1653" s="2" t="n"/>
      <c r="D1653" s="2" t="n"/>
      <c r="E1653" s="5" t="n"/>
      <c r="F1653" s="5" t="n"/>
    </row>
    <row r="1654" customFormat="1" s="85">
      <c r="A1654" s="2" t="n"/>
      <c r="B1654" s="64" t="n"/>
      <c r="C1654" s="2" t="n"/>
      <c r="D1654" s="2" t="n"/>
      <c r="E1654" s="5" t="n"/>
      <c r="F1654" s="5" t="n"/>
    </row>
    <row r="1655" customFormat="1" s="85">
      <c r="A1655" s="2" t="n"/>
      <c r="B1655" s="64" t="n"/>
      <c r="C1655" s="2" t="n"/>
      <c r="D1655" s="2" t="n"/>
      <c r="E1655" s="5" t="n"/>
      <c r="F1655" s="5" t="n"/>
    </row>
    <row r="1656" customFormat="1" s="85">
      <c r="A1656" s="2" t="n"/>
      <c r="B1656" s="64" t="n"/>
      <c r="C1656" s="2" t="n"/>
      <c r="D1656" s="2" t="n"/>
      <c r="E1656" s="5" t="n"/>
      <c r="F1656" s="5" t="n"/>
    </row>
    <row r="1657" customFormat="1" s="85">
      <c r="A1657" s="2" t="n"/>
      <c r="B1657" s="64" t="n"/>
      <c r="C1657" s="2" t="n"/>
      <c r="D1657" s="2" t="n"/>
      <c r="E1657" s="5" t="n"/>
      <c r="F1657" s="5" t="n"/>
    </row>
    <row r="1658" customFormat="1" s="85">
      <c r="A1658" s="2" t="n"/>
      <c r="B1658" s="64" t="n"/>
      <c r="C1658" s="2" t="n"/>
      <c r="D1658" s="2" t="n"/>
      <c r="E1658" s="5" t="n"/>
      <c r="F1658" s="5" t="n"/>
    </row>
    <row r="1659" customFormat="1" s="85">
      <c r="A1659" s="2" t="n"/>
      <c r="B1659" s="64" t="n"/>
      <c r="C1659" s="2" t="n"/>
      <c r="D1659" s="2" t="n"/>
      <c r="E1659" s="5" t="n"/>
      <c r="F1659" s="5" t="n"/>
    </row>
    <row r="1660" customFormat="1" s="85">
      <c r="A1660" s="2" t="n"/>
      <c r="B1660" s="64" t="n"/>
      <c r="C1660" s="2" t="n"/>
      <c r="D1660" s="2" t="n"/>
      <c r="E1660" s="5" t="n"/>
      <c r="F1660" s="5" t="n"/>
    </row>
    <row r="1661" customFormat="1" s="85">
      <c r="A1661" s="2" t="n"/>
      <c r="B1661" s="64" t="n"/>
      <c r="C1661" s="2" t="n"/>
      <c r="D1661" s="2" t="n"/>
      <c r="E1661" s="5" t="n"/>
      <c r="F1661" s="5" t="n"/>
    </row>
    <row r="1662" customFormat="1" s="85">
      <c r="A1662" s="2" t="n"/>
      <c r="B1662" s="64" t="n"/>
      <c r="C1662" s="2" t="n"/>
      <c r="D1662" s="2" t="n"/>
      <c r="E1662" s="5" t="n"/>
      <c r="F1662" s="5" t="n"/>
    </row>
    <row r="1663" customFormat="1" s="85">
      <c r="A1663" s="2" t="n"/>
      <c r="B1663" s="64" t="n"/>
      <c r="C1663" s="2" t="n"/>
      <c r="D1663" s="2" t="n"/>
      <c r="E1663" s="5" t="n"/>
      <c r="F1663" s="5" t="n"/>
    </row>
    <row r="1664" customFormat="1" s="85">
      <c r="A1664" s="2" t="n"/>
      <c r="B1664" s="64" t="n"/>
      <c r="C1664" s="2" t="n"/>
      <c r="D1664" s="2" t="n"/>
      <c r="E1664" s="5" t="n"/>
      <c r="F1664" s="5" t="n"/>
    </row>
    <row r="1665" customFormat="1" s="85">
      <c r="A1665" s="2" t="n"/>
      <c r="B1665" s="64" t="n"/>
      <c r="C1665" s="2" t="n"/>
      <c r="D1665" s="2" t="n"/>
      <c r="E1665" s="5" t="n"/>
      <c r="F1665" s="5" t="n"/>
    </row>
    <row r="1666" customFormat="1" s="85">
      <c r="A1666" s="2" t="n"/>
      <c r="B1666" s="64" t="n"/>
      <c r="C1666" s="2" t="n"/>
      <c r="D1666" s="2" t="n"/>
      <c r="E1666" s="5" t="n"/>
      <c r="F1666" s="5" t="n"/>
    </row>
    <row r="1667" customFormat="1" s="85">
      <c r="A1667" s="2" t="n"/>
      <c r="B1667" s="64" t="n"/>
      <c r="C1667" s="2" t="n"/>
      <c r="D1667" s="2" t="n"/>
      <c r="E1667" s="5" t="n"/>
      <c r="F1667" s="5" t="n"/>
    </row>
    <row r="1668" customFormat="1" s="85">
      <c r="A1668" s="2" t="n"/>
      <c r="B1668" s="64" t="n"/>
      <c r="C1668" s="2" t="n"/>
      <c r="D1668" s="2" t="n"/>
      <c r="E1668" s="5" t="n"/>
      <c r="F1668" s="5" t="n"/>
    </row>
    <row r="1669" customFormat="1" s="85">
      <c r="A1669" s="2" t="n"/>
      <c r="B1669" s="64" t="n"/>
      <c r="C1669" s="2" t="n"/>
      <c r="D1669" s="2" t="n"/>
      <c r="E1669" s="5" t="n"/>
      <c r="F1669" s="5" t="n"/>
    </row>
    <row r="1670" customFormat="1" s="85">
      <c r="A1670" s="2" t="n"/>
      <c r="B1670" s="64" t="n"/>
      <c r="C1670" s="2" t="n"/>
      <c r="D1670" s="2" t="n"/>
      <c r="E1670" s="5" t="n"/>
      <c r="F1670" s="5" t="n"/>
    </row>
    <row r="1671" customFormat="1" s="85">
      <c r="A1671" s="2" t="n"/>
      <c r="B1671" s="64" t="n"/>
      <c r="C1671" s="2" t="n"/>
      <c r="D1671" s="2" t="n"/>
      <c r="E1671" s="5" t="n"/>
      <c r="F1671" s="5" t="n"/>
    </row>
    <row r="1672" customFormat="1" s="85">
      <c r="A1672" s="2" t="n"/>
      <c r="B1672" s="64" t="n"/>
      <c r="C1672" s="2" t="n"/>
      <c r="D1672" s="2" t="n"/>
      <c r="E1672" s="5" t="n"/>
      <c r="F1672" s="5" t="n"/>
    </row>
    <row r="1673" customFormat="1" s="85">
      <c r="A1673" s="2" t="n"/>
      <c r="B1673" s="64" t="n"/>
      <c r="C1673" s="2" t="n"/>
      <c r="D1673" s="2" t="n"/>
      <c r="E1673" s="5" t="n"/>
      <c r="F1673" s="5" t="n"/>
    </row>
    <row r="1674" customFormat="1" s="85">
      <c r="A1674" s="2" t="n"/>
      <c r="B1674" s="64" t="n"/>
      <c r="C1674" s="2" t="n"/>
      <c r="D1674" s="2" t="n"/>
      <c r="E1674" s="5" t="n"/>
      <c r="F1674" s="5" t="n"/>
    </row>
    <row r="1675" customFormat="1" s="85">
      <c r="A1675" s="2" t="n"/>
      <c r="B1675" s="64" t="n"/>
      <c r="C1675" s="2" t="n"/>
      <c r="D1675" s="2" t="n"/>
      <c r="E1675" s="5" t="n"/>
      <c r="F1675" s="5" t="n"/>
    </row>
    <row r="1676" customFormat="1" s="85">
      <c r="A1676" s="2" t="n"/>
      <c r="B1676" s="64" t="n"/>
      <c r="C1676" s="2" t="n"/>
      <c r="D1676" s="2" t="n"/>
      <c r="E1676" s="5" t="n"/>
      <c r="F1676" s="5" t="n"/>
    </row>
    <row r="1677" customFormat="1" s="85">
      <c r="A1677" s="2" t="n"/>
      <c r="B1677" s="64" t="n"/>
      <c r="C1677" s="2" t="n"/>
      <c r="D1677" s="2" t="n"/>
      <c r="E1677" s="5" t="n"/>
      <c r="F1677" s="5" t="n"/>
    </row>
    <row r="1678" customFormat="1" s="85">
      <c r="A1678" s="2" t="n"/>
      <c r="B1678" s="64" t="n"/>
      <c r="C1678" s="2" t="n"/>
      <c r="D1678" s="2" t="n"/>
      <c r="E1678" s="5" t="n"/>
      <c r="F1678" s="5" t="n"/>
    </row>
    <row r="1679" customFormat="1" s="85">
      <c r="A1679" s="2" t="n"/>
      <c r="B1679" s="64" t="n"/>
      <c r="C1679" s="2" t="n"/>
      <c r="D1679" s="2" t="n"/>
      <c r="E1679" s="5" t="n"/>
      <c r="F1679" s="5" t="n"/>
    </row>
    <row r="1680" customFormat="1" s="85">
      <c r="A1680" s="2" t="n"/>
      <c r="B1680" s="64" t="n"/>
      <c r="C1680" s="2" t="n"/>
      <c r="D1680" s="2" t="n"/>
      <c r="E1680" s="5" t="n"/>
      <c r="F1680" s="5" t="n"/>
    </row>
    <row r="1681" customFormat="1" s="85">
      <c r="A1681" s="2" t="n"/>
      <c r="B1681" s="64" t="n"/>
      <c r="C1681" s="2" t="n"/>
      <c r="D1681" s="2" t="n"/>
      <c r="E1681" s="5" t="n"/>
      <c r="F1681" s="5" t="n"/>
    </row>
    <row r="1682" customFormat="1" s="85">
      <c r="A1682" s="2" t="n"/>
      <c r="B1682" s="64" t="n"/>
      <c r="C1682" s="2" t="n"/>
      <c r="D1682" s="2" t="n"/>
      <c r="E1682" s="5" t="n"/>
      <c r="F1682" s="5" t="n"/>
    </row>
    <row r="1683" customFormat="1" s="85">
      <c r="A1683" s="2" t="n"/>
      <c r="B1683" s="64" t="n"/>
      <c r="C1683" s="2" t="n"/>
      <c r="D1683" s="2" t="n"/>
      <c r="E1683" s="5" t="n"/>
      <c r="F1683" s="5" t="n"/>
    </row>
    <row r="1684" customFormat="1" s="85">
      <c r="A1684" s="2" t="n"/>
      <c r="B1684" s="64" t="n"/>
      <c r="C1684" s="2" t="n"/>
      <c r="D1684" s="2" t="n"/>
      <c r="E1684" s="5" t="n"/>
      <c r="F1684" s="5" t="n"/>
    </row>
    <row r="1685" customFormat="1" s="85">
      <c r="A1685" s="2" t="n"/>
      <c r="B1685" s="64" t="n"/>
      <c r="C1685" s="2" t="n"/>
      <c r="D1685" s="2" t="n"/>
      <c r="E1685" s="5" t="n"/>
      <c r="F1685" s="5" t="n"/>
    </row>
    <row r="1686" customFormat="1" s="85">
      <c r="A1686" s="2" t="n"/>
      <c r="B1686" s="64" t="n"/>
      <c r="C1686" s="2" t="n"/>
      <c r="D1686" s="2" t="n"/>
      <c r="E1686" s="5" t="n"/>
      <c r="F1686" s="5" t="n"/>
    </row>
    <row r="1687" customFormat="1" s="85">
      <c r="A1687" s="2" t="n"/>
      <c r="B1687" s="64" t="n"/>
      <c r="C1687" s="2" t="n"/>
      <c r="D1687" s="2" t="n"/>
      <c r="E1687" s="5" t="n"/>
      <c r="F1687" s="5" t="n"/>
    </row>
    <row r="1688" customFormat="1" s="85">
      <c r="A1688" s="2" t="n"/>
      <c r="B1688" s="64" t="n"/>
      <c r="C1688" s="2" t="n"/>
      <c r="D1688" s="2" t="n"/>
      <c r="E1688" s="5" t="n"/>
      <c r="F1688" s="5" t="n"/>
    </row>
    <row r="1689" customFormat="1" s="85">
      <c r="A1689" s="2" t="n"/>
      <c r="B1689" s="64" t="n"/>
      <c r="C1689" s="2" t="n"/>
      <c r="D1689" s="2" t="n"/>
      <c r="E1689" s="5" t="n"/>
      <c r="F1689" s="5" t="n"/>
    </row>
    <row r="1690" customFormat="1" s="85">
      <c r="A1690" s="2" t="n"/>
      <c r="B1690" s="64" t="n"/>
      <c r="C1690" s="2" t="n"/>
      <c r="D1690" s="2" t="n"/>
      <c r="E1690" s="5" t="n"/>
      <c r="F1690" s="5" t="n"/>
    </row>
    <row r="1691" customFormat="1" s="85">
      <c r="A1691" s="2" t="n"/>
      <c r="B1691" s="64" t="n"/>
      <c r="C1691" s="2" t="n"/>
      <c r="D1691" s="2" t="n"/>
      <c r="E1691" s="5" t="n"/>
      <c r="F1691" s="5" t="n"/>
    </row>
    <row r="1692" customFormat="1" s="85">
      <c r="A1692" s="2" t="n"/>
      <c r="B1692" s="64" t="n"/>
      <c r="C1692" s="2" t="n"/>
      <c r="D1692" s="2" t="n"/>
      <c r="E1692" s="5" t="n"/>
      <c r="F1692" s="5" t="n"/>
    </row>
    <row r="1693" customFormat="1" s="85">
      <c r="A1693" s="2" t="n"/>
      <c r="B1693" s="64" t="n"/>
      <c r="C1693" s="2" t="n"/>
      <c r="D1693" s="2" t="n"/>
      <c r="E1693" s="5" t="n"/>
      <c r="F1693" s="5" t="n"/>
    </row>
    <row r="1694" customFormat="1" s="85">
      <c r="A1694" s="2" t="n"/>
      <c r="B1694" s="64" t="n"/>
      <c r="C1694" s="2" t="n"/>
      <c r="D1694" s="2" t="n"/>
      <c r="E1694" s="5" t="n"/>
      <c r="F1694" s="5" t="n"/>
    </row>
    <row r="1695" customFormat="1" s="85">
      <c r="A1695" s="2" t="n"/>
      <c r="B1695" s="64" t="n"/>
      <c r="C1695" s="2" t="n"/>
      <c r="D1695" s="2" t="n"/>
      <c r="E1695" s="5" t="n"/>
      <c r="F1695" s="5" t="n"/>
    </row>
    <row r="1696" customFormat="1" s="85">
      <c r="A1696" s="2" t="n"/>
      <c r="B1696" s="64" t="n"/>
      <c r="C1696" s="2" t="n"/>
      <c r="D1696" s="2" t="n"/>
      <c r="E1696" s="5" t="n"/>
      <c r="F1696" s="5" t="n"/>
    </row>
    <row r="1697" customFormat="1" s="85">
      <c r="A1697" s="2" t="n"/>
      <c r="B1697" s="64" t="n"/>
      <c r="C1697" s="2" t="n"/>
      <c r="D1697" s="2" t="n"/>
      <c r="E1697" s="5" t="n"/>
      <c r="F1697" s="5" t="n"/>
    </row>
    <row r="1698" customFormat="1" s="85">
      <c r="A1698" s="2" t="n"/>
      <c r="B1698" s="64" t="n"/>
      <c r="C1698" s="2" t="n"/>
      <c r="D1698" s="2" t="n"/>
      <c r="E1698" s="5" t="n"/>
      <c r="F1698" s="5" t="n"/>
    </row>
    <row r="1699" customFormat="1" s="85">
      <c r="A1699" s="2" t="n"/>
      <c r="B1699" s="64" t="n"/>
      <c r="C1699" s="2" t="n"/>
      <c r="D1699" s="2" t="n"/>
      <c r="E1699" s="5" t="n"/>
      <c r="F1699" s="5" t="n"/>
    </row>
    <row r="1700" customFormat="1" s="85">
      <c r="A1700" s="2" t="n"/>
      <c r="B1700" s="64" t="n"/>
      <c r="C1700" s="2" t="n"/>
      <c r="D1700" s="2" t="n"/>
      <c r="E1700" s="5" t="n"/>
      <c r="F1700" s="5" t="n"/>
    </row>
    <row r="1701" customFormat="1" s="85">
      <c r="A1701" s="2" t="n"/>
      <c r="B1701" s="64" t="n"/>
      <c r="C1701" s="2" t="n"/>
      <c r="D1701" s="2" t="n"/>
      <c r="E1701" s="5" t="n"/>
      <c r="F1701" s="5" t="n"/>
    </row>
    <row r="1702" customFormat="1" s="85">
      <c r="A1702" s="2" t="n"/>
      <c r="B1702" s="64" t="n"/>
      <c r="C1702" s="2" t="n"/>
      <c r="D1702" s="2" t="n"/>
      <c r="E1702" s="5" t="n"/>
      <c r="F1702" s="5" t="n"/>
    </row>
    <row r="1703" customFormat="1" s="85">
      <c r="A1703" s="2" t="n"/>
      <c r="B1703" s="64" t="n"/>
      <c r="C1703" s="2" t="n"/>
      <c r="D1703" s="2" t="n"/>
      <c r="E1703" s="5" t="n"/>
      <c r="F1703" s="5" t="n"/>
    </row>
    <row r="1704" customFormat="1" s="85">
      <c r="A1704" s="2" t="n"/>
      <c r="B1704" s="64" t="n"/>
      <c r="C1704" s="2" t="n"/>
      <c r="D1704" s="2" t="n"/>
      <c r="E1704" s="5" t="n"/>
      <c r="F1704" s="5" t="n"/>
    </row>
    <row r="1705" customFormat="1" s="85">
      <c r="A1705" s="2" t="n"/>
      <c r="B1705" s="64" t="n"/>
      <c r="C1705" s="2" t="n"/>
      <c r="D1705" s="2" t="n"/>
      <c r="E1705" s="5" t="n"/>
      <c r="F1705" s="5" t="n"/>
    </row>
    <row r="1706" customFormat="1" s="85">
      <c r="A1706" s="2" t="n"/>
      <c r="B1706" s="64" t="n"/>
      <c r="C1706" s="2" t="n"/>
      <c r="D1706" s="2" t="n"/>
      <c r="E1706" s="5" t="n"/>
      <c r="F1706" s="5" t="n"/>
    </row>
    <row r="1707" customFormat="1" s="85">
      <c r="A1707" s="2" t="n"/>
      <c r="B1707" s="64" t="n"/>
      <c r="C1707" s="2" t="n"/>
      <c r="D1707" s="2" t="n"/>
      <c r="E1707" s="5" t="n"/>
      <c r="F1707" s="5" t="n"/>
    </row>
    <row r="1708" customFormat="1" s="85">
      <c r="A1708" s="2" t="n"/>
      <c r="B1708" s="64" t="n"/>
      <c r="C1708" s="2" t="n"/>
      <c r="D1708" s="2" t="n"/>
      <c r="E1708" s="5" t="n"/>
      <c r="F1708" s="5" t="n"/>
    </row>
    <row r="1709" customFormat="1" s="85">
      <c r="A1709" s="2" t="n"/>
      <c r="B1709" s="64" t="n"/>
      <c r="C1709" s="2" t="n"/>
      <c r="D1709" s="2" t="n"/>
      <c r="E1709" s="5" t="n"/>
      <c r="F1709" s="5" t="n"/>
    </row>
    <row r="1710" customFormat="1" s="85">
      <c r="A1710" s="2" t="n"/>
      <c r="B1710" s="64" t="n"/>
      <c r="C1710" s="2" t="n"/>
      <c r="D1710" s="2" t="n"/>
      <c r="E1710" s="5" t="n"/>
      <c r="F1710" s="5" t="n"/>
    </row>
    <row r="1711" customFormat="1" s="85">
      <c r="A1711" s="2" t="n"/>
      <c r="B1711" s="64" t="n"/>
      <c r="C1711" s="2" t="n"/>
      <c r="D1711" s="2" t="n"/>
      <c r="E1711" s="5" t="n"/>
      <c r="F1711" s="5" t="n"/>
    </row>
    <row r="1712" customFormat="1" s="85">
      <c r="A1712" s="2" t="n"/>
      <c r="B1712" s="64" t="n"/>
      <c r="C1712" s="2" t="n"/>
      <c r="D1712" s="2" t="n"/>
      <c r="E1712" s="5" t="n"/>
      <c r="F1712" s="5" t="n"/>
    </row>
    <row r="1713" customFormat="1" s="85">
      <c r="A1713" s="2" t="n"/>
      <c r="B1713" s="64" t="n"/>
      <c r="C1713" s="2" t="n"/>
      <c r="D1713" s="2" t="n"/>
      <c r="E1713" s="5" t="n"/>
      <c r="F1713" s="5" t="n"/>
    </row>
    <row r="1714" customFormat="1" s="85">
      <c r="A1714" s="2" t="n"/>
      <c r="B1714" s="64" t="n"/>
      <c r="C1714" s="2" t="n"/>
      <c r="D1714" s="2" t="n"/>
      <c r="E1714" s="5" t="n"/>
      <c r="F1714" s="5" t="n"/>
    </row>
    <row r="1715" customFormat="1" s="85">
      <c r="A1715" s="2" t="n"/>
      <c r="B1715" s="64" t="n"/>
      <c r="C1715" s="2" t="n"/>
      <c r="D1715" s="2" t="n"/>
      <c r="E1715" s="5" t="n"/>
      <c r="F1715" s="5" t="n"/>
    </row>
    <row r="1716" customFormat="1" s="85">
      <c r="A1716" s="2" t="n"/>
      <c r="B1716" s="64" t="n"/>
      <c r="C1716" s="2" t="n"/>
      <c r="D1716" s="2" t="n"/>
      <c r="E1716" s="5" t="n"/>
      <c r="F1716" s="5" t="n"/>
    </row>
    <row r="1717" customFormat="1" s="85">
      <c r="A1717" s="2" t="n"/>
      <c r="B1717" s="64" t="n"/>
      <c r="C1717" s="2" t="n"/>
      <c r="D1717" s="2" t="n"/>
      <c r="E1717" s="5" t="n"/>
      <c r="F1717" s="5" t="n"/>
    </row>
    <row r="1718" customFormat="1" s="85">
      <c r="A1718" s="2" t="n"/>
      <c r="B1718" s="64" t="n"/>
      <c r="C1718" s="2" t="n"/>
      <c r="D1718" s="2" t="n"/>
      <c r="E1718" s="5" t="n"/>
      <c r="F1718" s="5" t="n"/>
    </row>
    <row r="1719" customFormat="1" s="85">
      <c r="A1719" s="2" t="n"/>
      <c r="B1719" s="64" t="n"/>
      <c r="C1719" s="2" t="n"/>
      <c r="D1719" s="2" t="n"/>
      <c r="E1719" s="5" t="n"/>
      <c r="F1719" s="5" t="n"/>
    </row>
    <row r="1720" customFormat="1" s="85">
      <c r="A1720" s="2" t="n"/>
      <c r="B1720" s="64" t="n"/>
      <c r="C1720" s="2" t="n"/>
      <c r="D1720" s="2" t="n"/>
      <c r="E1720" s="5" t="n"/>
      <c r="F1720" s="5" t="n"/>
    </row>
    <row r="1721" customFormat="1" s="85">
      <c r="A1721" s="2" t="n"/>
      <c r="B1721" s="64" t="n"/>
      <c r="C1721" s="2" t="n"/>
      <c r="D1721" s="2" t="n"/>
      <c r="E1721" s="5" t="n"/>
      <c r="F1721" s="5" t="n"/>
    </row>
    <row r="1722" customFormat="1" s="85">
      <c r="A1722" s="2" t="n"/>
      <c r="B1722" s="64" t="n"/>
      <c r="C1722" s="2" t="n"/>
      <c r="D1722" s="2" t="n"/>
      <c r="E1722" s="5" t="n"/>
      <c r="F1722" s="5" t="n"/>
    </row>
    <row r="1723" customFormat="1" s="85">
      <c r="A1723" s="2" t="n"/>
      <c r="B1723" s="64" t="n"/>
      <c r="C1723" s="2" t="n"/>
      <c r="D1723" s="2" t="n"/>
      <c r="E1723" s="5" t="n"/>
      <c r="F1723" s="5" t="n"/>
    </row>
    <row r="1724" customFormat="1" s="85">
      <c r="A1724" s="2" t="n"/>
      <c r="B1724" s="64" t="n"/>
      <c r="C1724" s="2" t="n"/>
      <c r="D1724" s="2" t="n"/>
      <c r="E1724" s="5" t="n"/>
      <c r="F1724" s="5" t="n"/>
    </row>
    <row r="1725" customFormat="1" s="85">
      <c r="A1725" s="2" t="n"/>
      <c r="B1725" s="64" t="n"/>
      <c r="C1725" s="2" t="n"/>
      <c r="D1725" s="2" t="n"/>
      <c r="E1725" s="5" t="n"/>
      <c r="F1725" s="5" t="n"/>
    </row>
    <row r="1726" customFormat="1" s="85">
      <c r="A1726" s="2" t="n"/>
      <c r="B1726" s="64" t="n"/>
      <c r="C1726" s="2" t="n"/>
      <c r="D1726" s="2" t="n"/>
      <c r="E1726" s="5" t="n"/>
      <c r="F1726" s="5" t="n"/>
    </row>
    <row r="1727" customFormat="1" s="85">
      <c r="A1727" s="2" t="n"/>
      <c r="B1727" s="64" t="n"/>
      <c r="C1727" s="2" t="n"/>
      <c r="D1727" s="2" t="n"/>
      <c r="E1727" s="5" t="n"/>
      <c r="F1727" s="5" t="n"/>
    </row>
    <row r="1728" customFormat="1" s="85">
      <c r="A1728" s="2" t="n"/>
      <c r="B1728" s="64" t="n"/>
      <c r="C1728" s="2" t="n"/>
      <c r="D1728" s="2" t="n"/>
      <c r="E1728" s="5" t="n"/>
      <c r="F1728" s="5" t="n"/>
    </row>
    <row r="1729" customFormat="1" s="85">
      <c r="A1729" s="2" t="n"/>
      <c r="B1729" s="64" t="n"/>
      <c r="C1729" s="2" t="n"/>
      <c r="D1729" s="2" t="n"/>
      <c r="E1729" s="5" t="n"/>
      <c r="F1729" s="5" t="n"/>
    </row>
    <row r="1730" customFormat="1" s="85">
      <c r="A1730" s="2" t="n"/>
      <c r="B1730" s="64" t="n"/>
      <c r="C1730" s="2" t="n"/>
      <c r="D1730" s="2" t="n"/>
      <c r="E1730" s="5" t="n"/>
      <c r="F1730" s="5" t="n"/>
    </row>
    <row r="1731" customFormat="1" s="85">
      <c r="A1731" s="2" t="n"/>
      <c r="B1731" s="64" t="n"/>
      <c r="C1731" s="2" t="n"/>
      <c r="D1731" s="2" t="n"/>
      <c r="E1731" s="5" t="n"/>
      <c r="F1731" s="5" t="n"/>
    </row>
    <row r="1732" customFormat="1" s="85">
      <c r="A1732" s="2" t="n"/>
      <c r="B1732" s="64" t="n"/>
      <c r="C1732" s="2" t="n"/>
      <c r="D1732" s="2" t="n"/>
      <c r="E1732" s="5" t="n"/>
      <c r="F1732" s="5" t="n"/>
    </row>
    <row r="1733" customFormat="1" s="85">
      <c r="A1733" s="2" t="n"/>
      <c r="B1733" s="64" t="n"/>
      <c r="C1733" s="2" t="n"/>
      <c r="D1733" s="2" t="n"/>
      <c r="E1733" s="5" t="n"/>
      <c r="F1733" s="5" t="n"/>
    </row>
    <row r="1734" customFormat="1" s="85">
      <c r="A1734" s="2" t="n"/>
      <c r="B1734" s="64" t="n"/>
      <c r="C1734" s="2" t="n"/>
      <c r="D1734" s="2" t="n"/>
      <c r="E1734" s="5" t="n"/>
      <c r="F1734" s="5" t="n"/>
    </row>
    <row r="1735" customFormat="1" s="85">
      <c r="A1735" s="2" t="n"/>
      <c r="B1735" s="64" t="n"/>
      <c r="C1735" s="2" t="n"/>
      <c r="D1735" s="2" t="n"/>
      <c r="E1735" s="5" t="n"/>
      <c r="F1735" s="5" t="n"/>
    </row>
    <row r="1736" customFormat="1" s="85">
      <c r="A1736" s="2" t="n"/>
      <c r="B1736" s="64" t="n"/>
      <c r="C1736" s="2" t="n"/>
      <c r="D1736" s="2" t="n"/>
      <c r="E1736" s="5" t="n"/>
      <c r="F1736" s="5" t="n"/>
    </row>
    <row r="1737" customFormat="1" s="85">
      <c r="A1737" s="2" t="n"/>
      <c r="B1737" s="64" t="n"/>
      <c r="C1737" s="2" t="n"/>
      <c r="D1737" s="2" t="n"/>
      <c r="E1737" s="5" t="n"/>
      <c r="F1737" s="5" t="n"/>
    </row>
    <row r="1738" customFormat="1" s="85">
      <c r="A1738" s="2" t="n"/>
      <c r="B1738" s="64" t="n"/>
      <c r="C1738" s="2" t="n"/>
      <c r="D1738" s="2" t="n"/>
      <c r="E1738" s="5" t="n"/>
      <c r="F1738" s="5" t="n"/>
    </row>
    <row r="1739" customFormat="1" s="85">
      <c r="A1739" s="2" t="n"/>
      <c r="B1739" s="64" t="n"/>
      <c r="C1739" s="2" t="n"/>
      <c r="D1739" s="2" t="n"/>
      <c r="E1739" s="5" t="n"/>
      <c r="F1739" s="5" t="n"/>
    </row>
    <row r="1740" customFormat="1" s="85">
      <c r="A1740" s="2" t="n"/>
      <c r="B1740" s="64" t="n"/>
      <c r="C1740" s="2" t="n"/>
      <c r="D1740" s="2" t="n"/>
      <c r="E1740" s="5" t="n"/>
      <c r="F1740" s="5" t="n"/>
    </row>
    <row r="1741" customFormat="1" s="85">
      <c r="A1741" s="2" t="n"/>
      <c r="B1741" s="64" t="n"/>
      <c r="C1741" s="2" t="n"/>
      <c r="D1741" s="2" t="n"/>
      <c r="E1741" s="5" t="n"/>
      <c r="F1741" s="5" t="n"/>
    </row>
    <row r="1742" customFormat="1" s="85">
      <c r="A1742" s="2" t="n"/>
      <c r="B1742" s="64" t="n"/>
      <c r="C1742" s="2" t="n"/>
      <c r="D1742" s="2" t="n"/>
      <c r="E1742" s="5" t="n"/>
      <c r="F1742" s="5" t="n"/>
    </row>
    <row r="1743" customFormat="1" s="85">
      <c r="A1743" s="2" t="n"/>
      <c r="B1743" s="64" t="n"/>
      <c r="C1743" s="2" t="n"/>
      <c r="D1743" s="2" t="n"/>
      <c r="E1743" s="5" t="n"/>
      <c r="F1743" s="5" t="n"/>
    </row>
    <row r="1744" customFormat="1" s="85">
      <c r="A1744" s="2" t="n"/>
      <c r="B1744" s="64" t="n"/>
      <c r="C1744" s="2" t="n"/>
      <c r="D1744" s="2" t="n"/>
      <c r="E1744" s="5" t="n"/>
      <c r="F1744" s="5" t="n"/>
    </row>
    <row r="1745" customFormat="1" s="85">
      <c r="A1745" s="2" t="n"/>
      <c r="B1745" s="64" t="n"/>
      <c r="C1745" s="2" t="n"/>
      <c r="D1745" s="2" t="n"/>
      <c r="E1745" s="5" t="n"/>
      <c r="F1745" s="5" t="n"/>
    </row>
    <row r="1746" customFormat="1" s="85">
      <c r="A1746" s="2" t="n"/>
      <c r="B1746" s="64" t="n"/>
      <c r="C1746" s="2" t="n"/>
      <c r="D1746" s="2" t="n"/>
      <c r="E1746" s="5" t="n"/>
      <c r="F1746" s="5" t="n"/>
    </row>
    <row r="1747" customFormat="1" s="85">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row r="1783">
      <c r="A1783" s="2" t="n"/>
      <c r="B1783" s="64" t="n"/>
      <c r="C1783" s="2" t="n"/>
      <c r="D1783" s="2" t="n"/>
      <c r="E1783" s="5" t="n"/>
      <c r="F1783" s="5" t="n"/>
    </row>
    <row r="1784">
      <c r="A1784" s="2" t="n"/>
      <c r="B1784" s="64" t="n"/>
      <c r="C1784" s="2" t="n"/>
      <c r="D1784" s="2" t="n"/>
      <c r="E1784" s="5" t="n"/>
      <c r="F1784" s="5" t="n"/>
    </row>
    <row r="1785">
      <c r="A1785" s="2" t="n"/>
      <c r="B1785" s="64" t="n"/>
      <c r="C1785" s="2" t="n"/>
      <c r="D1785" s="2" t="n"/>
      <c r="E1785" s="5" t="n"/>
      <c r="F1785" s="5" t="n"/>
    </row>
    <row r="1786">
      <c r="A1786" s="2" t="n"/>
      <c r="B1786" s="64" t="n"/>
      <c r="C1786" s="2" t="n"/>
      <c r="D1786" s="2" t="n"/>
      <c r="E1786" s="5" t="n"/>
      <c r="F1786" s="5" t="n"/>
    </row>
    <row r="1787">
      <c r="A1787" s="2" t="n"/>
      <c r="B1787" s="64" t="n"/>
      <c r="C1787" s="2" t="n"/>
      <c r="D1787" s="2" t="n"/>
      <c r="E1787" s="5" t="n"/>
      <c r="F1787" s="5" t="n"/>
    </row>
    <row r="1788">
      <c r="A1788" s="2" t="n"/>
      <c r="B1788" s="64" t="n"/>
      <c r="C1788" s="2" t="n"/>
      <c r="D1788" s="2" t="n"/>
      <c r="E1788" s="5" t="n"/>
      <c r="F1788" s="5" t="n"/>
    </row>
    <row r="1789">
      <c r="A1789" s="2" t="n"/>
      <c r="B1789" s="64" t="n"/>
      <c r="C1789" s="2" t="n"/>
      <c r="D1789" s="2" t="n"/>
      <c r="E1789" s="5" t="n"/>
      <c r="F1789" s="5" t="n"/>
    </row>
    <row r="1790">
      <c r="A1790" s="2" t="n"/>
      <c r="B1790" s="64" t="n"/>
      <c r="C1790" s="2" t="n"/>
      <c r="D1790" s="2" t="n"/>
      <c r="E1790" s="5" t="n"/>
      <c r="F1790" s="5" t="n"/>
    </row>
  </sheetData>
  <conditionalFormatting sqref="D761:D913">
    <cfRule type="colorScale" priority="43">
      <colorScale>
        <cfvo type="min"/>
        <cfvo type="percentile" val="50"/>
        <cfvo type="max"/>
        <color rgb="FFF8696B"/>
        <color rgb="FFFFEB84"/>
        <color rgb="FF63BE7B"/>
      </colorScale>
    </cfRule>
  </conditionalFormatting>
  <conditionalFormatting sqref="C761:C913">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15"/>
  <sheetViews>
    <sheetView zoomScale="120" zoomScaleNormal="120" workbookViewId="0">
      <pane ySplit="4" topLeftCell="A639" activePane="bottomLeft" state="frozen"/>
      <selection activeCell="N27" sqref="N27"/>
      <selection pane="bottomLeft" activeCell="U663" sqref="U663"/>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85" min="5" max="5"/>
    <col width="9.1640625" customWidth="1" style="85" min="6" max="175"/>
  </cols>
  <sheetData>
    <row r="1" customFormat="1" s="85">
      <c r="A1" s="7" t="inlineStr">
        <is>
          <t>CPIFABSL</t>
        </is>
      </c>
      <c r="B1" s="69" t="inlineStr">
        <is>
          <t>Consumer Price Index for All Urban Consumers: Food and Beverages (CPIFABSL), Index 1982-84=100, Monthly, Seasonally Adjusted</t>
        </is>
      </c>
      <c r="C1" s="2" t="n"/>
      <c r="D1" s="2" t="n"/>
    </row>
    <row r="2" customFormat="1" s="85">
      <c r="A2" s="2" t="n"/>
      <c r="B2" s="64" t="n"/>
      <c r="C2" s="2" t="n"/>
      <c r="D2" s="2" t="n"/>
    </row>
    <row r="3" ht="16" customFormat="1" customHeight="1" s="85"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85">
      <c r="A636" s="61" t="n">
        <v>43678</v>
      </c>
      <c r="B636" s="68">
        <f>VLOOKUP(Table3[[#This Row],[Date]],Database!A:E,4,)</f>
        <v/>
      </c>
      <c r="C636" s="14">
        <f>(B636-B635)/B635</f>
        <v/>
      </c>
      <c r="D636" s="14">
        <f>(B636-B624)/B624</f>
        <v/>
      </c>
    </row>
    <row r="637" customFormat="1" s="85">
      <c r="A637" s="61" t="n">
        <v>43709</v>
      </c>
      <c r="B637" s="68">
        <f>VLOOKUP(Table3[[#This Row],[Date]],Database!A:E,4,)</f>
        <v/>
      </c>
      <c r="C637" s="14">
        <f>(B637-B636)/B636</f>
        <v/>
      </c>
      <c r="D637" s="14">
        <f>(B637-B625)/B625</f>
        <v/>
      </c>
    </row>
    <row r="638" customFormat="1" s="85">
      <c r="A638" s="61" t="n">
        <v>43739</v>
      </c>
      <c r="B638" s="68">
        <f>VLOOKUP(Table3[[#This Row],[Date]],Database!A:E,4,)</f>
        <v/>
      </c>
      <c r="C638" s="14">
        <f>(B638-B637)/B637</f>
        <v/>
      </c>
      <c r="D638" s="14">
        <f>(B638-B626)/B626</f>
        <v/>
      </c>
    </row>
    <row r="639" customFormat="1" s="85">
      <c r="A639" s="61" t="n">
        <v>43770</v>
      </c>
      <c r="B639" s="68">
        <f>VLOOKUP(Table3[[#This Row],[Date]],Database!A:E,4,)</f>
        <v/>
      </c>
      <c r="C639" s="14">
        <f>(B639-B638)/B638</f>
        <v/>
      </c>
      <c r="D639" s="14">
        <f>(B639-B627)/B627</f>
        <v/>
      </c>
    </row>
    <row r="640" customFormat="1" s="85">
      <c r="A640" s="61" t="n">
        <v>43800</v>
      </c>
      <c r="B640" s="68">
        <f>VLOOKUP(Table3[[#This Row],[Date]],Database!A:E,4,)</f>
        <v/>
      </c>
      <c r="C640" s="14">
        <f>(B640-B639)/B639</f>
        <v/>
      </c>
      <c r="D640" s="14">
        <f>(B640-B628)/B628</f>
        <v/>
      </c>
    </row>
    <row r="641" customFormat="1" s="85">
      <c r="A641" s="61" t="n">
        <v>43831</v>
      </c>
      <c r="B641" s="68">
        <f>VLOOKUP(Table3[[#This Row],[Date]],Database!A:E,4,)</f>
        <v/>
      </c>
      <c r="C641" s="14">
        <f>(B641-B640)/B640</f>
        <v/>
      </c>
      <c r="D641" s="14">
        <f>(B641-B629)/B629</f>
        <v/>
      </c>
    </row>
    <row r="642" customFormat="1" s="85">
      <c r="A642" s="61" t="n">
        <v>43862</v>
      </c>
      <c r="B642" s="68">
        <f>VLOOKUP(Table3[[#This Row],[Date]],Database!A:E,4,)</f>
        <v/>
      </c>
      <c r="C642" s="14">
        <f>(B642-B641)/B641</f>
        <v/>
      </c>
      <c r="D642" s="14">
        <f>(B642-B630)/B630</f>
        <v/>
      </c>
    </row>
    <row r="643" customFormat="1" s="85">
      <c r="A643" s="61" t="n">
        <v>43891</v>
      </c>
      <c r="B643" s="68">
        <f>VLOOKUP(Table3[[#This Row],[Date]],Database!A:E,4,)</f>
        <v/>
      </c>
      <c r="C643" s="14">
        <f>(B643-B642)/B642</f>
        <v/>
      </c>
      <c r="D643" s="14">
        <f>(B643-B631)/B631</f>
        <v/>
      </c>
    </row>
    <row r="644" customFormat="1" s="85">
      <c r="A644" s="61" t="n">
        <v>43922</v>
      </c>
      <c r="B644" s="68">
        <f>VLOOKUP(Table3[[#This Row],[Date]],Database!A:E,4,)</f>
        <v/>
      </c>
      <c r="C644" s="14">
        <f>(B644-B643)/B643</f>
        <v/>
      </c>
      <c r="D644" s="14">
        <f>(B644-B632)/B632</f>
        <v/>
      </c>
    </row>
    <row r="645" customFormat="1" s="85">
      <c r="A645" s="61" t="n">
        <v>43952</v>
      </c>
      <c r="B645" s="68">
        <f>VLOOKUP(Table3[[#This Row],[Date]],Database!A:E,4,)</f>
        <v/>
      </c>
      <c r="C645" s="14">
        <f>(B645-B644)/B644</f>
        <v/>
      </c>
      <c r="D645" s="14">
        <f>(B645-B633)/B633</f>
        <v/>
      </c>
    </row>
    <row r="646" customFormat="1" s="85">
      <c r="A646" s="61" t="n">
        <v>43983</v>
      </c>
      <c r="B646" s="68">
        <f>VLOOKUP(Table3[[#This Row],[Date]],Database!A:E,4,)</f>
        <v/>
      </c>
      <c r="C646" s="14">
        <f>(B646-B645)/B645</f>
        <v/>
      </c>
      <c r="D646" s="14">
        <f>(B646-B634)/B634</f>
        <v/>
      </c>
    </row>
    <row r="647" customFormat="1" s="85">
      <c r="A647" s="61" t="n">
        <v>44013</v>
      </c>
      <c r="B647" s="68">
        <f>VLOOKUP(Table3[[#This Row],[Date]],Database!A:E,4,)</f>
        <v/>
      </c>
      <c r="C647" s="14">
        <f>(B647-B646)/B646</f>
        <v/>
      </c>
      <c r="D647" s="14">
        <f>(B647-B635)/B635</f>
        <v/>
      </c>
    </row>
    <row r="648" customFormat="1" s="85">
      <c r="A648" s="61" t="n">
        <v>44044</v>
      </c>
      <c r="B648" s="68">
        <f>VLOOKUP(Table3[[#This Row],[Date]],Database!A:E,4,)</f>
        <v/>
      </c>
      <c r="C648" s="14">
        <f>(B648-B647)/B647</f>
        <v/>
      </c>
      <c r="D648" s="14">
        <f>(B648-B636)/B636</f>
        <v/>
      </c>
    </row>
    <row r="649" customFormat="1" s="85">
      <c r="A649" s="61" t="n">
        <v>44075</v>
      </c>
      <c r="B649" s="68">
        <f>VLOOKUP(Table3[[#This Row],[Date]],Database!A:E,4,)</f>
        <v/>
      </c>
      <c r="C649" s="14">
        <f>(B649-B648)/B648</f>
        <v/>
      </c>
      <c r="D649" s="14">
        <f>(B649-B637)/B637</f>
        <v/>
      </c>
    </row>
    <row r="650" customFormat="1" s="85">
      <c r="A650" s="61" t="n">
        <v>44105</v>
      </c>
      <c r="B650" s="68">
        <f>VLOOKUP(Table3[[#This Row],[Date]],Database!A:E,4,)</f>
        <v/>
      </c>
      <c r="C650" s="14">
        <f>(B650-B649)/B649</f>
        <v/>
      </c>
      <c r="D650" s="14">
        <f>(B650-B638)/B638</f>
        <v/>
      </c>
    </row>
    <row r="651" customFormat="1" s="85">
      <c r="A651" s="61" t="n">
        <v>44136</v>
      </c>
      <c r="B651" s="68">
        <f>VLOOKUP(Table3[[#This Row],[Date]],Database!A:E,4,)</f>
        <v/>
      </c>
      <c r="C651" s="14">
        <f>(B651-B650)/B650</f>
        <v/>
      </c>
      <c r="D651" s="14">
        <f>(B651-B639)/B639</f>
        <v/>
      </c>
    </row>
    <row r="652" customFormat="1" s="85">
      <c r="A652" s="61" t="n">
        <v>44166</v>
      </c>
      <c r="B652" s="68">
        <f>VLOOKUP(Table3[[#This Row],[Date]],Database!A:E,4,)</f>
        <v/>
      </c>
      <c r="C652" s="14">
        <f>(B652-B651)/B651</f>
        <v/>
      </c>
      <c r="D652" s="14">
        <f>(B652-B640)/B640</f>
        <v/>
      </c>
    </row>
    <row r="653" customFormat="1" s="85">
      <c r="A653" s="61" t="n">
        <v>44197</v>
      </c>
      <c r="B653" s="68">
        <f>VLOOKUP(Table3[[#This Row],[Date]],Database!A:E,4,)</f>
        <v/>
      </c>
      <c r="C653" s="14">
        <f>(B653-B652)/B652</f>
        <v/>
      </c>
      <c r="D653" s="14">
        <f>(B653-B641)/B641</f>
        <v/>
      </c>
    </row>
    <row r="654" customFormat="1" s="85">
      <c r="A654" s="61" t="n">
        <v>44228</v>
      </c>
      <c r="B654" s="68">
        <f>VLOOKUP(Table3[[#This Row],[Date]],Database!A:E,4,)</f>
        <v/>
      </c>
      <c r="C654" s="14">
        <f>(B654-B653)/B653</f>
        <v/>
      </c>
      <c r="D654" s="14">
        <f>(B654-B642)/B642</f>
        <v/>
      </c>
    </row>
    <row r="655" customFormat="1" s="85">
      <c r="A655" s="61" t="n">
        <v>44256</v>
      </c>
      <c r="B655" s="68">
        <f>VLOOKUP(Table3[[#This Row],[Date]],Database!A:E,4,)</f>
        <v/>
      </c>
      <c r="C655" s="14">
        <f>(B655-B654)/B654</f>
        <v/>
      </c>
      <c r="D655" s="14">
        <f>(B655-B643)/B643</f>
        <v/>
      </c>
    </row>
    <row r="656" customFormat="1" s="85">
      <c r="A656" s="61" t="n">
        <v>44287</v>
      </c>
      <c r="B656" s="68">
        <f>VLOOKUP(Table3[[#This Row],[Date]],Database!A:E,4,)</f>
        <v/>
      </c>
      <c r="C656" s="14">
        <f>(B656-B655)/B655</f>
        <v/>
      </c>
      <c r="D656" s="14">
        <f>(B656-B644)/B644</f>
        <v/>
      </c>
    </row>
    <row r="657" customFormat="1" s="85">
      <c r="A657" s="61" t="n">
        <v>44317</v>
      </c>
      <c r="B657" s="68">
        <f>VLOOKUP(Table3[[#This Row],[Date]],Database!A:E,4,)</f>
        <v/>
      </c>
      <c r="C657" s="14">
        <f>(B657-B656)/B656</f>
        <v/>
      </c>
      <c r="D657" s="14">
        <f>(B657-B645)/B645</f>
        <v/>
      </c>
    </row>
    <row r="658" customFormat="1" s="85">
      <c r="A658" s="61" t="n">
        <v>44348</v>
      </c>
      <c r="B658" s="68">
        <f>VLOOKUP(Table3[[#This Row],[Date]],Database!A:E,4,)</f>
        <v/>
      </c>
      <c r="C658" s="14">
        <f>(B658-B657)/B657</f>
        <v/>
      </c>
      <c r="D658" s="14">
        <f>(B658-B646)/B646</f>
        <v/>
      </c>
    </row>
    <row r="659" customFormat="1" s="85">
      <c r="A659" s="61" t="n">
        <v>44378</v>
      </c>
      <c r="B659" s="68">
        <f>VLOOKUP(Table3[[#This Row],[Date]],Database!A:E,4,)</f>
        <v/>
      </c>
      <c r="C659" s="14">
        <f>(B659-B658)/B658</f>
        <v/>
      </c>
      <c r="D659" s="14">
        <f>(B659-B647)/B647</f>
        <v/>
      </c>
    </row>
    <row r="660" customFormat="1" s="85">
      <c r="A660" s="61" t="n">
        <v>44409</v>
      </c>
      <c r="B660" s="68">
        <f>VLOOKUP(Table3[[#This Row],[Date]],Database!A:E,4,)</f>
        <v/>
      </c>
      <c r="C660" s="14">
        <f>(B660-B659)/B659</f>
        <v/>
      </c>
      <c r="D660" s="14">
        <f>(B660-B648)/B648</f>
        <v/>
      </c>
    </row>
    <row r="661" customFormat="1" s="85">
      <c r="A661" s="61" t="n">
        <v>44440</v>
      </c>
      <c r="B661" s="68">
        <f>VLOOKUP(Table3[[#This Row],[Date]],Database!A:E,4,)</f>
        <v/>
      </c>
      <c r="C661" s="14">
        <f>(B661-B660)/B660</f>
        <v/>
      </c>
      <c r="D661" s="14">
        <f>(B661-B649)/B649</f>
        <v/>
      </c>
    </row>
    <row r="662" customFormat="1" s="85">
      <c r="A662" s="61" t="n">
        <v>44470</v>
      </c>
      <c r="B662" s="68">
        <f>VLOOKUP(Table3[[#This Row],[Date]],Database!A:E,4,)</f>
        <v/>
      </c>
      <c r="C662" s="14">
        <f>(B662-B661)/B661</f>
        <v/>
      </c>
      <c r="D662" s="14">
        <f>(B662-B650)/B650</f>
        <v/>
      </c>
    </row>
    <row r="663" customFormat="1" s="85">
      <c r="A663" s="61" t="n">
        <v>44501</v>
      </c>
      <c r="B663" s="68">
        <f>VLOOKUP(Table3[[#This Row],[Date]],Database!A:E,4,)</f>
        <v/>
      </c>
      <c r="C663" s="14">
        <f>(B663-B662)/B662</f>
        <v/>
      </c>
      <c r="D663" s="14">
        <f>(B663-B651)/B651</f>
        <v/>
      </c>
    </row>
    <row r="664" customFormat="1" s="85">
      <c r="A664" s="61" t="n">
        <v>44531</v>
      </c>
      <c r="B664" s="68">
        <f>VLOOKUP(Table3[[#This Row],[Date]],Database!A:E,4,)</f>
        <v/>
      </c>
      <c r="C664" s="14">
        <f>(B664-B663)/B663</f>
        <v/>
      </c>
      <c r="D664" s="14">
        <f>(B664-B652)/B652</f>
        <v/>
      </c>
    </row>
    <row r="665" customFormat="1" s="85">
      <c r="A665" s="61" t="n">
        <v>44562</v>
      </c>
      <c r="B665" s="68">
        <f>VLOOKUP(Table3[[#This Row],[Date]],Database!A:E,4,)</f>
        <v/>
      </c>
      <c r="C665" s="14">
        <f>(B665-B664)/B664</f>
        <v/>
      </c>
      <c r="D665" s="14">
        <f>(B665-B653)/B653</f>
        <v/>
      </c>
    </row>
    <row r="666" customFormat="1" s="85">
      <c r="A666" s="61" t="n">
        <v>44593</v>
      </c>
      <c r="B666" s="68">
        <f>VLOOKUP(Table3[[#This Row],[Date]],Database!A:E,4,)</f>
        <v/>
      </c>
      <c r="C666" s="14">
        <f>(B666-B665)/B665</f>
        <v/>
      </c>
      <c r="D666" s="14">
        <f>(B666-B654)/B654</f>
        <v/>
      </c>
    </row>
    <row r="667" customFormat="1" s="85">
      <c r="A667" s="61" t="n">
        <v>44621</v>
      </c>
      <c r="B667" s="68">
        <f>VLOOKUP(Table3[[#This Row],[Date]],Database!A:E,4,)</f>
        <v/>
      </c>
      <c r="C667" s="14">
        <f>(B667-B666)/B666</f>
        <v/>
      </c>
      <c r="D667" s="14">
        <f>(B667-B655)/B655</f>
        <v/>
      </c>
    </row>
    <row r="668" customFormat="1" s="85">
      <c r="A668" s="61" t="n">
        <v>44652</v>
      </c>
      <c r="B668" s="68">
        <f>VLOOKUP(Table3[[#This Row],[Date]],Database!A:E,4,)</f>
        <v/>
      </c>
      <c r="C668" s="14">
        <f>(B668-B667)/B667</f>
        <v/>
      </c>
      <c r="D668" s="14">
        <f>(B668-B656)/B656</f>
        <v/>
      </c>
    </row>
    <row r="669" customFormat="1" s="85">
      <c r="A669" s="61" t="n">
        <v>44682</v>
      </c>
      <c r="B669" s="68">
        <f>VLOOKUP(Table3[[#This Row],[Date]],Database!A:E,4,)</f>
        <v/>
      </c>
      <c r="C669" s="14">
        <f>(B669-B668)/B668</f>
        <v/>
      </c>
      <c r="D669" s="14">
        <f>(B669-B657)/B657</f>
        <v/>
      </c>
    </row>
    <row r="670" customFormat="1" s="85">
      <c r="A670" s="61" t="n">
        <v>44713</v>
      </c>
      <c r="B670" s="68">
        <f>VLOOKUP(Table3[[#This Row],[Date]],Database!A:E,4,)</f>
        <v/>
      </c>
      <c r="C670" s="14">
        <f>(B670-B669)/B669</f>
        <v/>
      </c>
      <c r="D670" s="14">
        <f>(B670-B658)/B658</f>
        <v/>
      </c>
    </row>
    <row r="671" customFormat="1" s="85">
      <c r="A671" s="61" t="n">
        <v>44743</v>
      </c>
      <c r="B671" s="68">
        <f>VLOOKUP(Table3[[#This Row],[Date]],Database!A:E,4,)</f>
        <v/>
      </c>
      <c r="C671" s="14">
        <f>(B671-B670)/B670</f>
        <v/>
      </c>
      <c r="D671" s="14">
        <f>(B671-B659)/B659</f>
        <v/>
      </c>
    </row>
    <row r="672" customFormat="1" s="85">
      <c r="A672" s="61" t="n">
        <v>44774</v>
      </c>
      <c r="B672" s="68">
        <f>VLOOKUP(Table3[[#This Row],[Date]],Database!A:E,4,)</f>
        <v/>
      </c>
      <c r="C672" s="14">
        <f>(B672-B671)/B671</f>
        <v/>
      </c>
      <c r="D672" s="14">
        <f>(B672-B660)/B660</f>
        <v/>
      </c>
    </row>
    <row r="673" customFormat="1" s="85">
      <c r="A673" s="61" t="n">
        <v>44805</v>
      </c>
      <c r="B673" s="68">
        <f>VLOOKUP(Table3[[#This Row],[Date]],Database!A:E,4,)</f>
        <v/>
      </c>
      <c r="C673" s="14">
        <f>(B673-B672)/B672</f>
        <v/>
      </c>
      <c r="D673" s="14">
        <f>(B673-B661)/B661</f>
        <v/>
      </c>
    </row>
    <row r="674" customFormat="1" s="85">
      <c r="A674" s="2" t="n"/>
      <c r="B674" s="64" t="n"/>
      <c r="C674" s="2" t="n"/>
      <c r="D674" s="2" t="n"/>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row r="908">
      <c r="A908" s="2" t="n"/>
      <c r="B908" s="64" t="n"/>
      <c r="C908" s="2" t="n"/>
      <c r="D908" s="2" t="n"/>
    </row>
    <row r="909">
      <c r="A909" s="2" t="n"/>
      <c r="B909" s="64" t="n"/>
      <c r="C909" s="2" t="n"/>
      <c r="D909" s="2" t="n"/>
    </row>
    <row r="910">
      <c r="A910" s="2" t="n"/>
      <c r="B910" s="64" t="n"/>
      <c r="C910" s="2" t="n"/>
      <c r="D910" s="2" t="n"/>
    </row>
    <row r="911">
      <c r="A911" s="2" t="n"/>
      <c r="B911" s="64" t="n"/>
      <c r="C911" s="2" t="n"/>
      <c r="D911" s="2" t="n"/>
    </row>
    <row r="912">
      <c r="A912" s="2" t="n"/>
      <c r="B912" s="64" t="n"/>
      <c r="C912" s="2" t="n"/>
      <c r="D912" s="2" t="n"/>
    </row>
    <row r="913">
      <c r="A913" s="2" t="n"/>
      <c r="B913" s="64" t="n"/>
      <c r="C913" s="2" t="n"/>
      <c r="D913" s="2" t="n"/>
    </row>
    <row r="914">
      <c r="A914" s="2" t="n"/>
      <c r="B914" s="64" t="n"/>
      <c r="C914" s="2" t="n"/>
      <c r="D914" s="2" t="n"/>
    </row>
    <row r="915">
      <c r="A915" s="2" t="n"/>
      <c r="B915" s="64" t="n"/>
      <c r="C915" s="2" t="n"/>
      <c r="D915" s="2" t="n"/>
    </row>
  </sheetData>
  <conditionalFormatting sqref="D521:D673">
    <cfRule type="colorScale" priority="35">
      <colorScale>
        <cfvo type="min"/>
        <cfvo type="percentile" val="50"/>
        <cfvo type="max"/>
        <color rgb="FFF8696B"/>
        <color rgb="FFFFEB84"/>
        <color rgb="FF63BE7B"/>
      </colorScale>
    </cfRule>
  </conditionalFormatting>
  <conditionalFormatting sqref="C521:C673">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66"/>
  <sheetViews>
    <sheetView zoomScale="110" zoomScaleNormal="110" workbookViewId="0">
      <pane ySplit="4" topLeftCell="A625" activePane="bottomLeft" state="frozen"/>
      <selection activeCell="N27" sqref="N27"/>
      <selection pane="bottomLeft" activeCell="Q673" sqref="Q673"/>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85" min="5" max="146"/>
  </cols>
  <sheetData>
    <row r="1" customFormat="1" s="85">
      <c r="A1" s="7" t="inlineStr">
        <is>
          <t>CPIENGSL</t>
        </is>
      </c>
      <c r="B1" s="70" t="inlineStr">
        <is>
          <t>Consumer Price Index for All Urban Consumers: Energy (CPIENGSL), Index 1982-84=100, Monthly, Seasonally Adjusted</t>
        </is>
      </c>
      <c r="C1" s="2" t="n"/>
      <c r="D1" s="2" t="n"/>
    </row>
    <row r="2" customFormat="1" s="85">
      <c r="A2" s="2" t="n"/>
      <c r="B2" s="64" t="n"/>
      <c r="C2" s="2" t="n"/>
      <c r="D2" s="2" t="n"/>
    </row>
    <row r="3" ht="16" customFormat="1" customHeight="1" s="85"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85">
      <c r="A636" s="61" t="n">
        <v>43678</v>
      </c>
      <c r="B636" s="68">
        <f>VLOOKUP(Table4[[#This Row],[Date]],Database!A:E,3,)</f>
        <v/>
      </c>
      <c r="C636" s="14">
        <f>(B636-B635)/B635</f>
        <v/>
      </c>
      <c r="D636" s="14">
        <f>(B636-B624)/B624</f>
        <v/>
      </c>
    </row>
    <row r="637" customFormat="1" s="85">
      <c r="A637" s="61" t="n">
        <v>43709</v>
      </c>
      <c r="B637" s="68">
        <f>VLOOKUP(Table4[[#This Row],[Date]],Database!A:E,3,)</f>
        <v/>
      </c>
      <c r="C637" s="14">
        <f>(B637-B636)/B636</f>
        <v/>
      </c>
      <c r="D637" s="14">
        <f>(B637-B625)/B625</f>
        <v/>
      </c>
    </row>
    <row r="638" customFormat="1" s="85">
      <c r="A638" s="61" t="n">
        <v>43739</v>
      </c>
      <c r="B638" s="68">
        <f>VLOOKUP(Table4[[#This Row],[Date]],Database!A:E,3,)</f>
        <v/>
      </c>
      <c r="C638" s="14">
        <f>(B638-B637)/B637</f>
        <v/>
      </c>
      <c r="D638" s="14">
        <f>(B638-B626)/B626</f>
        <v/>
      </c>
    </row>
    <row r="639" customFormat="1" s="85">
      <c r="A639" s="61" t="n">
        <v>43770</v>
      </c>
      <c r="B639" s="68">
        <f>VLOOKUP(Table4[[#This Row],[Date]],Database!A:E,3,)</f>
        <v/>
      </c>
      <c r="C639" s="14">
        <f>(B639-B638)/B638</f>
        <v/>
      </c>
      <c r="D639" s="14">
        <f>(B639-B627)/B627</f>
        <v/>
      </c>
    </row>
    <row r="640" customFormat="1" s="85">
      <c r="A640" s="61" t="n">
        <v>43800</v>
      </c>
      <c r="B640" s="68">
        <f>VLOOKUP(Table4[[#This Row],[Date]],Database!A:E,3,)</f>
        <v/>
      </c>
      <c r="C640" s="14">
        <f>(B640-B639)/B639</f>
        <v/>
      </c>
      <c r="D640" s="14">
        <f>(B640-B628)/B628</f>
        <v/>
      </c>
    </row>
    <row r="641" customFormat="1" s="85">
      <c r="A641" s="61" t="n">
        <v>43831</v>
      </c>
      <c r="B641" s="68">
        <f>VLOOKUP(Table4[[#This Row],[Date]],Database!A:E,3,)</f>
        <v/>
      </c>
      <c r="C641" s="14">
        <f>(B641-B640)/B640</f>
        <v/>
      </c>
      <c r="D641" s="14">
        <f>(B641-B629)/B629</f>
        <v/>
      </c>
    </row>
    <row r="642" customFormat="1" s="85">
      <c r="A642" s="61" t="n">
        <v>43862</v>
      </c>
      <c r="B642" s="68">
        <f>VLOOKUP(Table4[[#This Row],[Date]],Database!A:E,3,)</f>
        <v/>
      </c>
      <c r="C642" s="14">
        <f>(B642-B641)/B641</f>
        <v/>
      </c>
      <c r="D642" s="14">
        <f>(B642-B630)/B630</f>
        <v/>
      </c>
    </row>
    <row r="643" customFormat="1" s="85">
      <c r="A643" s="61" t="n">
        <v>43891</v>
      </c>
      <c r="B643" s="68">
        <f>VLOOKUP(Table4[[#This Row],[Date]],Database!A:E,3,)</f>
        <v/>
      </c>
      <c r="C643" s="14">
        <f>(B643-B642)/B642</f>
        <v/>
      </c>
      <c r="D643" s="14">
        <f>(B643-B631)/B631</f>
        <v/>
      </c>
    </row>
    <row r="644" customFormat="1" s="85">
      <c r="A644" s="61" t="n">
        <v>43922</v>
      </c>
      <c r="B644" s="68">
        <f>VLOOKUP(Table4[[#This Row],[Date]],Database!A:E,3,)</f>
        <v/>
      </c>
      <c r="C644" s="14">
        <f>(B644-B643)/B643</f>
        <v/>
      </c>
      <c r="D644" s="14">
        <f>(B644-B632)/B632</f>
        <v/>
      </c>
    </row>
    <row r="645" customFormat="1" s="85">
      <c r="A645" s="61" t="n">
        <v>43952</v>
      </c>
      <c r="B645" s="68">
        <f>VLOOKUP(Table4[[#This Row],[Date]],Database!A:E,3,)</f>
        <v/>
      </c>
      <c r="C645" s="14">
        <f>(B645-B644)/B644</f>
        <v/>
      </c>
      <c r="D645" s="14">
        <f>(B645-B633)/B633</f>
        <v/>
      </c>
    </row>
    <row r="646" customFormat="1" s="85">
      <c r="A646" s="61" t="n">
        <v>43983</v>
      </c>
      <c r="B646" s="68">
        <f>VLOOKUP(Table4[[#This Row],[Date]],Database!A:E,3,)</f>
        <v/>
      </c>
      <c r="C646" s="14">
        <f>(B646-B645)/B645</f>
        <v/>
      </c>
      <c r="D646" s="14">
        <f>(B646-B634)/B634</f>
        <v/>
      </c>
    </row>
    <row r="647" customFormat="1" s="85">
      <c r="A647" s="61" t="n">
        <v>44013</v>
      </c>
      <c r="B647" s="68">
        <f>VLOOKUP(Table4[[#This Row],[Date]],Database!A:E,3,)</f>
        <v/>
      </c>
      <c r="C647" s="14">
        <f>(B647-B646)/B646</f>
        <v/>
      </c>
      <c r="D647" s="14">
        <f>(B647-B635)/B635</f>
        <v/>
      </c>
    </row>
    <row r="648" customFormat="1" s="85">
      <c r="A648" s="61" t="n">
        <v>44044</v>
      </c>
      <c r="B648" s="68">
        <f>VLOOKUP(Table4[[#This Row],[Date]],Database!A:E,3,)</f>
        <v/>
      </c>
      <c r="C648" s="14">
        <f>(B648-B647)/B647</f>
        <v/>
      </c>
      <c r="D648" s="14">
        <f>(B648-B636)/B636</f>
        <v/>
      </c>
    </row>
    <row r="649" customFormat="1" s="85">
      <c r="A649" s="61" t="n">
        <v>44075</v>
      </c>
      <c r="B649" s="68">
        <f>VLOOKUP(Table4[[#This Row],[Date]],Database!A:E,3,)</f>
        <v/>
      </c>
      <c r="C649" s="14">
        <f>(B649-B648)/B648</f>
        <v/>
      </c>
      <c r="D649" s="14">
        <f>(B649-B637)/B637</f>
        <v/>
      </c>
    </row>
    <row r="650" customFormat="1" s="85">
      <c r="A650" s="61" t="n">
        <v>44105</v>
      </c>
      <c r="B650" s="68">
        <f>VLOOKUP(Table4[[#This Row],[Date]],Database!A:E,3,)</f>
        <v/>
      </c>
      <c r="C650" s="14">
        <f>(B650-B649)/B649</f>
        <v/>
      </c>
      <c r="D650" s="14">
        <f>(B650-B638)/B638</f>
        <v/>
      </c>
    </row>
    <row r="651" customFormat="1" s="85">
      <c r="A651" s="61" t="n">
        <v>44136</v>
      </c>
      <c r="B651" s="68">
        <f>VLOOKUP(Table4[[#This Row],[Date]],Database!A:E,3,)</f>
        <v/>
      </c>
      <c r="C651" s="14">
        <f>(B651-B650)/B650</f>
        <v/>
      </c>
      <c r="D651" s="14">
        <f>(B651-B639)/B639</f>
        <v/>
      </c>
    </row>
    <row r="652" customFormat="1" s="85">
      <c r="A652" s="61" t="n">
        <v>44166</v>
      </c>
      <c r="B652" s="68">
        <f>VLOOKUP(Table4[[#This Row],[Date]],Database!A:E,3,)</f>
        <v/>
      </c>
      <c r="C652" s="14">
        <f>(B652-B651)/B651</f>
        <v/>
      </c>
      <c r="D652" s="14">
        <f>(B652-B640)/B640</f>
        <v/>
      </c>
    </row>
    <row r="653" customFormat="1" s="85">
      <c r="A653" s="61" t="n">
        <v>44197</v>
      </c>
      <c r="B653" s="68">
        <f>VLOOKUP(Table4[[#This Row],[Date]],Database!A:E,3,)</f>
        <v/>
      </c>
      <c r="C653" s="14">
        <f>(B653-B652)/B652</f>
        <v/>
      </c>
      <c r="D653" s="14">
        <f>(B653-B641)/B641</f>
        <v/>
      </c>
    </row>
    <row r="654" customFormat="1" s="85">
      <c r="A654" s="61" t="n">
        <v>44228</v>
      </c>
      <c r="B654" s="68">
        <f>VLOOKUP(Table4[[#This Row],[Date]],Database!A:E,3,)</f>
        <v/>
      </c>
      <c r="C654" s="14">
        <f>(B654-B653)/B653</f>
        <v/>
      </c>
      <c r="D654" s="14">
        <f>(B654-B642)/B642</f>
        <v/>
      </c>
    </row>
    <row r="655" customFormat="1" s="85">
      <c r="A655" s="61" t="n">
        <v>44256</v>
      </c>
      <c r="B655" s="68">
        <f>VLOOKUP(Table4[[#This Row],[Date]],Database!A:E,3,)</f>
        <v/>
      </c>
      <c r="C655" s="14">
        <f>(B655-B654)/B654</f>
        <v/>
      </c>
      <c r="D655" s="14">
        <f>(B655-B643)/B643</f>
        <v/>
      </c>
    </row>
    <row r="656" customFormat="1" s="85">
      <c r="A656" s="61" t="n">
        <v>44287</v>
      </c>
      <c r="B656" s="68">
        <f>VLOOKUP(Table4[[#This Row],[Date]],Database!A:E,3,)</f>
        <v/>
      </c>
      <c r="C656" s="14">
        <f>(B656-B655)/B655</f>
        <v/>
      </c>
      <c r="D656" s="14">
        <f>(B656-B644)/B644</f>
        <v/>
      </c>
    </row>
    <row r="657" customFormat="1" s="85">
      <c r="A657" s="61" t="n">
        <v>44317</v>
      </c>
      <c r="B657" s="68">
        <f>VLOOKUP(Table4[[#This Row],[Date]],Database!A:E,3,)</f>
        <v/>
      </c>
      <c r="C657" s="14">
        <f>(B657-B656)/B656</f>
        <v/>
      </c>
      <c r="D657" s="14">
        <f>(B657-B645)/B645</f>
        <v/>
      </c>
    </row>
    <row r="658" customFormat="1" s="85">
      <c r="A658" s="61" t="n">
        <v>44348</v>
      </c>
      <c r="B658" s="68">
        <f>VLOOKUP(Table4[[#This Row],[Date]],Database!A:E,3,)</f>
        <v/>
      </c>
      <c r="C658" s="14">
        <f>(B658-B657)/B657</f>
        <v/>
      </c>
      <c r="D658" s="14">
        <f>(B658-B646)/B646</f>
        <v/>
      </c>
    </row>
    <row r="659" customFormat="1" s="85">
      <c r="A659" s="61" t="n">
        <v>44378</v>
      </c>
      <c r="B659" s="68">
        <f>VLOOKUP(Table4[[#This Row],[Date]],Database!A:E,3,)</f>
        <v/>
      </c>
      <c r="C659" s="14">
        <f>(B659-B658)/B658</f>
        <v/>
      </c>
      <c r="D659" s="14">
        <f>(B659-B647)/B647</f>
        <v/>
      </c>
    </row>
    <row r="660" customFormat="1" s="85">
      <c r="A660" s="61" t="n">
        <v>44409</v>
      </c>
      <c r="B660" s="68">
        <f>VLOOKUP(Table4[[#This Row],[Date]],Database!A:E,3,)</f>
        <v/>
      </c>
      <c r="C660" s="14">
        <f>(B660-B659)/B659</f>
        <v/>
      </c>
      <c r="D660" s="14">
        <f>(B660-B648)/B648</f>
        <v/>
      </c>
    </row>
    <row r="661" customFormat="1" s="85">
      <c r="A661" s="61" t="n">
        <v>44440</v>
      </c>
      <c r="B661" s="68">
        <f>VLOOKUP(Table4[[#This Row],[Date]],Database!A:E,3,)</f>
        <v/>
      </c>
      <c r="C661" s="14">
        <f>(B661-B660)/B660</f>
        <v/>
      </c>
      <c r="D661" s="14">
        <f>(B661-B649)/B649</f>
        <v/>
      </c>
    </row>
    <row r="662" customFormat="1" s="85">
      <c r="A662" s="61" t="n">
        <v>44470</v>
      </c>
      <c r="B662" s="68">
        <f>VLOOKUP(Table4[[#This Row],[Date]],Database!A:E,3,)</f>
        <v/>
      </c>
      <c r="C662" s="14">
        <f>(B662-B661)/B661</f>
        <v/>
      </c>
      <c r="D662" s="14">
        <f>(B662-B650)/B650</f>
        <v/>
      </c>
    </row>
    <row r="663" customFormat="1" s="85">
      <c r="A663" s="61" t="n">
        <v>44501</v>
      </c>
      <c r="B663" s="68">
        <f>VLOOKUP(Table4[[#This Row],[Date]],Database!A:E,3,)</f>
        <v/>
      </c>
      <c r="C663" s="14">
        <f>(B663-B662)/B662</f>
        <v/>
      </c>
      <c r="D663" s="14">
        <f>(B663-B651)/B651</f>
        <v/>
      </c>
    </row>
    <row r="664" customFormat="1" s="85">
      <c r="A664" s="61" t="n">
        <v>44531</v>
      </c>
      <c r="B664" s="68">
        <f>VLOOKUP(Table4[[#This Row],[Date]],Database!A:E,3,)</f>
        <v/>
      </c>
      <c r="C664" s="14">
        <f>(B664-B663)/B663</f>
        <v/>
      </c>
      <c r="D664" s="14">
        <f>(B664-B652)/B652</f>
        <v/>
      </c>
    </row>
    <row r="665" customFormat="1" s="85">
      <c r="A665" s="61" t="n">
        <v>44562</v>
      </c>
      <c r="B665" s="68">
        <f>VLOOKUP(Table4[[#This Row],[Date]],Database!A:E,3,)</f>
        <v/>
      </c>
      <c r="C665" s="14">
        <f>(B665-B664)/B664</f>
        <v/>
      </c>
      <c r="D665" s="14">
        <f>(B665-B653)/B653</f>
        <v/>
      </c>
    </row>
    <row r="666" customFormat="1" s="85">
      <c r="A666" s="61" t="n">
        <v>44593</v>
      </c>
      <c r="B666" s="68">
        <f>VLOOKUP(Table4[[#This Row],[Date]],Database!A:E,3,)</f>
        <v/>
      </c>
      <c r="C666" s="14">
        <f>(B666-B665)/B665</f>
        <v/>
      </c>
      <c r="D666" s="14">
        <f>(B666-B654)/B654</f>
        <v/>
      </c>
    </row>
    <row r="667" customFormat="1" s="85">
      <c r="A667" s="61" t="n">
        <v>44621</v>
      </c>
      <c r="B667" s="68">
        <f>VLOOKUP(Table4[[#This Row],[Date]],Database!A:E,3,)</f>
        <v/>
      </c>
      <c r="C667" s="14">
        <f>(B667-B666)/B666</f>
        <v/>
      </c>
      <c r="D667" s="14">
        <f>(B667-B655)/B655</f>
        <v/>
      </c>
    </row>
    <row r="668" customFormat="1" s="85">
      <c r="A668" s="61" t="n">
        <v>44652</v>
      </c>
      <c r="B668" s="68">
        <f>VLOOKUP(Table4[[#This Row],[Date]],Database!A:E,3,)</f>
        <v/>
      </c>
      <c r="C668" s="14">
        <f>(B668-B667)/B667</f>
        <v/>
      </c>
      <c r="D668" s="14">
        <f>(B668-B656)/B656</f>
        <v/>
      </c>
    </row>
    <row r="669" customFormat="1" s="85">
      <c r="A669" s="61" t="n">
        <v>44682</v>
      </c>
      <c r="B669" s="68">
        <f>VLOOKUP(Table4[[#This Row],[Date]],Database!A:E,3,)</f>
        <v/>
      </c>
      <c r="C669" s="14">
        <f>(B669-B668)/B668</f>
        <v/>
      </c>
      <c r="D669" s="14">
        <f>(B669-B657)/B657</f>
        <v/>
      </c>
    </row>
    <row r="670" customFormat="1" s="85">
      <c r="A670" s="61" t="n">
        <v>44713</v>
      </c>
      <c r="B670" s="68">
        <f>VLOOKUP(Table4[[#This Row],[Date]],Database!A:E,3,)</f>
        <v/>
      </c>
      <c r="C670" s="14">
        <f>(B670-B669)/B669</f>
        <v/>
      </c>
      <c r="D670" s="14">
        <f>(B670-B658)/B658</f>
        <v/>
      </c>
    </row>
    <row r="671" customFormat="1" s="85">
      <c r="A671" s="61" t="n">
        <v>44743</v>
      </c>
      <c r="B671" s="68">
        <f>VLOOKUP(Table4[[#This Row],[Date]],Database!A:E,3,)</f>
        <v/>
      </c>
      <c r="C671" s="14">
        <f>(B671-B670)/B670</f>
        <v/>
      </c>
      <c r="D671" s="14">
        <f>(B671-B659)/B659</f>
        <v/>
      </c>
    </row>
    <row r="672" customFormat="1" s="85">
      <c r="A672" s="61" t="n">
        <v>44774</v>
      </c>
      <c r="B672" s="68">
        <f>VLOOKUP(Table4[[#This Row],[Date]],Database!A:E,3,)</f>
        <v/>
      </c>
      <c r="C672" s="14">
        <f>(B672-B671)/B671</f>
        <v/>
      </c>
      <c r="D672" s="14">
        <f>(B672-B660)/B660</f>
        <v/>
      </c>
    </row>
    <row r="673" customFormat="1" s="85">
      <c r="A673" s="61" t="n">
        <v>44805</v>
      </c>
      <c r="B673" s="68">
        <f>VLOOKUP(Table4[[#This Row],[Date]],Database!A:E,3,)</f>
        <v/>
      </c>
      <c r="C673" s="14">
        <f>(B673-B672)/B672</f>
        <v/>
      </c>
      <c r="D673" s="14">
        <f>(B673-B661)/B661</f>
        <v/>
      </c>
    </row>
    <row r="674" customFormat="1" s="85">
      <c r="A674" s="2" t="n"/>
      <c r="B674" s="64" t="n"/>
      <c r="C674" s="2" t="n"/>
      <c r="D674" s="2" t="n"/>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ustomFormat="1" s="85">
      <c r="A877" s="2" t="n"/>
      <c r="B877" s="64" t="n"/>
      <c r="C877" s="2" t="n"/>
      <c r="D877" s="2" t="n"/>
    </row>
    <row r="878" customFormat="1" s="85">
      <c r="A878" s="2" t="n"/>
      <c r="B878" s="64" t="n"/>
      <c r="C878" s="2" t="n"/>
      <c r="D878" s="2" t="n"/>
    </row>
    <row r="879" customFormat="1" s="85">
      <c r="A879" s="2" t="n"/>
      <c r="B879" s="64" t="n"/>
      <c r="C879" s="2" t="n"/>
      <c r="D879" s="2" t="n"/>
    </row>
    <row r="880" customFormat="1" s="85">
      <c r="A880" s="2" t="n"/>
      <c r="B880" s="64" t="n"/>
      <c r="C880" s="2" t="n"/>
      <c r="D880" s="2" t="n"/>
    </row>
    <row r="881" customFormat="1" s="85">
      <c r="A881" s="2" t="n"/>
      <c r="B881" s="64" t="n"/>
      <c r="C881" s="2" t="n"/>
      <c r="D881" s="2" t="n"/>
    </row>
    <row r="882" customFormat="1" s="85">
      <c r="A882" s="2" t="n"/>
      <c r="B882" s="64" t="n"/>
      <c r="C882" s="2" t="n"/>
      <c r="D882" s="2" t="n"/>
    </row>
    <row r="883" customFormat="1" s="85">
      <c r="A883" s="2" t="n"/>
      <c r="B883" s="64" t="n"/>
      <c r="C883" s="2" t="n"/>
      <c r="D883" s="2" t="n"/>
    </row>
    <row r="884" customFormat="1" s="85">
      <c r="A884" s="2" t="n"/>
      <c r="B884" s="64" t="n"/>
      <c r="C884" s="2" t="n"/>
      <c r="D884" s="2" t="n"/>
    </row>
    <row r="885" customFormat="1" s="85">
      <c r="A885" s="2" t="n"/>
      <c r="B885" s="64" t="n"/>
      <c r="C885" s="2" t="n"/>
      <c r="D885" s="2" t="n"/>
    </row>
    <row r="886" customFormat="1" s="85">
      <c r="A886" s="2" t="n"/>
      <c r="B886" s="64" t="n"/>
      <c r="C886" s="2" t="n"/>
      <c r="D886" s="2" t="n"/>
    </row>
    <row r="887" customFormat="1" s="85">
      <c r="A887" s="2" t="n"/>
      <c r="B887" s="64" t="n"/>
      <c r="C887" s="2" t="n"/>
      <c r="D887" s="2" t="n"/>
    </row>
    <row r="888" customFormat="1" s="85">
      <c r="A888" s="2" t="n"/>
      <c r="B888" s="64" t="n"/>
      <c r="C888" s="2" t="n"/>
      <c r="D888" s="2" t="n"/>
    </row>
    <row r="889" customFormat="1" s="85">
      <c r="A889" s="2" t="n"/>
      <c r="B889" s="64" t="n"/>
      <c r="C889" s="2" t="n"/>
      <c r="D889" s="2" t="n"/>
    </row>
    <row r="890" customFormat="1" s="85">
      <c r="A890" s="2" t="n"/>
      <c r="B890" s="64" t="n"/>
      <c r="C890" s="2" t="n"/>
      <c r="D890" s="2" t="n"/>
    </row>
    <row r="891" customFormat="1" s="85">
      <c r="A891" s="2" t="n"/>
      <c r="B891" s="64" t="n"/>
      <c r="C891" s="2" t="n"/>
      <c r="D891" s="2" t="n"/>
    </row>
    <row r="892" customFormat="1" s="85">
      <c r="A892" s="2" t="n"/>
      <c r="B892" s="64" t="n"/>
      <c r="C892" s="2" t="n"/>
      <c r="D892" s="2" t="n"/>
    </row>
    <row r="893" customFormat="1" s="85">
      <c r="A893" s="2" t="n"/>
      <c r="B893" s="64" t="n"/>
      <c r="C893" s="2" t="n"/>
      <c r="D893" s="2" t="n"/>
    </row>
    <row r="894" customFormat="1" s="85">
      <c r="A894" s="2" t="n"/>
      <c r="B894" s="64" t="n"/>
      <c r="C894" s="2" t="n"/>
      <c r="D894" s="2" t="n"/>
    </row>
    <row r="895" customFormat="1" s="85">
      <c r="A895" s="2" t="n"/>
      <c r="B895" s="64" t="n"/>
      <c r="C895" s="2" t="n"/>
      <c r="D895" s="2" t="n"/>
    </row>
    <row r="896" customFormat="1" s="85">
      <c r="A896" s="2" t="n"/>
      <c r="B896" s="64" t="n"/>
      <c r="C896" s="2" t="n"/>
      <c r="D896" s="2" t="n"/>
    </row>
    <row r="897" customFormat="1" s="85">
      <c r="A897" s="2" t="n"/>
      <c r="B897" s="64" t="n"/>
      <c r="C897" s="2" t="n"/>
      <c r="D897" s="2" t="n"/>
    </row>
    <row r="898" customFormat="1" s="85">
      <c r="A898" s="2" t="n"/>
      <c r="B898" s="64" t="n"/>
      <c r="C898" s="2" t="n"/>
      <c r="D898" s="2" t="n"/>
    </row>
    <row r="899" customFormat="1" s="85">
      <c r="A899" s="2" t="n"/>
      <c r="B899" s="64" t="n"/>
      <c r="C899" s="2" t="n"/>
      <c r="D899" s="2" t="n"/>
    </row>
    <row r="900" customFormat="1" s="85">
      <c r="A900" s="2" t="n"/>
      <c r="B900" s="64" t="n"/>
      <c r="C900" s="2" t="n"/>
      <c r="D900" s="2" t="n"/>
    </row>
    <row r="901" customFormat="1" s="85">
      <c r="A901" s="2" t="n"/>
      <c r="B901" s="64" t="n"/>
      <c r="C901" s="2" t="n"/>
      <c r="D901" s="2" t="n"/>
    </row>
    <row r="902" customFormat="1" s="85">
      <c r="A902" s="2" t="n"/>
      <c r="B902" s="64" t="n"/>
      <c r="C902" s="2" t="n"/>
      <c r="D902" s="2" t="n"/>
    </row>
    <row r="903" customFormat="1" s="85">
      <c r="A903" s="2" t="n"/>
      <c r="B903" s="64" t="n"/>
      <c r="C903" s="2" t="n"/>
      <c r="D903" s="2" t="n"/>
    </row>
    <row r="904" customFormat="1" s="85">
      <c r="A904" s="2" t="n"/>
      <c r="B904" s="64" t="n"/>
      <c r="C904" s="2" t="n"/>
      <c r="D904" s="2" t="n"/>
    </row>
    <row r="905" customFormat="1" s="85">
      <c r="A905" s="2" t="n"/>
      <c r="B905" s="64" t="n"/>
      <c r="C905" s="2" t="n"/>
      <c r="D905" s="2" t="n"/>
    </row>
    <row r="906" customFormat="1" s="85">
      <c r="A906" s="2" t="n"/>
      <c r="B906" s="64" t="n"/>
      <c r="C906" s="2" t="n"/>
      <c r="D906" s="2" t="n"/>
    </row>
    <row r="907" customFormat="1" s="85">
      <c r="A907" s="2" t="n"/>
      <c r="B907" s="64" t="n"/>
      <c r="C907" s="2" t="n"/>
      <c r="D907" s="2" t="n"/>
    </row>
    <row r="908" customFormat="1" s="85">
      <c r="A908" s="2" t="n"/>
      <c r="B908" s="64" t="n"/>
      <c r="C908" s="2" t="n"/>
      <c r="D908" s="2" t="n"/>
    </row>
    <row r="909" customFormat="1" s="85">
      <c r="A909" s="2" t="n"/>
      <c r="B909" s="64" t="n"/>
      <c r="C909" s="2" t="n"/>
      <c r="D909" s="2" t="n"/>
    </row>
    <row r="910" customFormat="1" s="85">
      <c r="A910" s="2" t="n"/>
      <c r="B910" s="64" t="n"/>
      <c r="C910" s="2" t="n"/>
      <c r="D910" s="2" t="n"/>
    </row>
    <row r="911" customFormat="1" s="85">
      <c r="A911" s="2" t="n"/>
      <c r="B911" s="64" t="n"/>
      <c r="C911" s="2" t="n"/>
      <c r="D911" s="2" t="n"/>
    </row>
    <row r="912" customFormat="1" s="85">
      <c r="A912" s="2" t="n"/>
      <c r="B912" s="64" t="n"/>
      <c r="C912" s="2" t="n"/>
      <c r="D912" s="2" t="n"/>
    </row>
    <row r="913" customFormat="1" s="85">
      <c r="A913" s="2" t="n"/>
      <c r="B913" s="64" t="n"/>
      <c r="C913" s="2" t="n"/>
      <c r="D913" s="2" t="n"/>
    </row>
    <row r="914" customFormat="1" s="85">
      <c r="A914" s="2" t="n"/>
      <c r="B914" s="64" t="n"/>
      <c r="C914" s="2" t="n"/>
      <c r="D914" s="2" t="n"/>
    </row>
    <row r="915" customFormat="1" s="85">
      <c r="A915" s="2" t="n"/>
      <c r="B915" s="64" t="n"/>
      <c r="C915" s="2" t="n"/>
      <c r="D915" s="2" t="n"/>
    </row>
    <row r="916" customFormat="1" s="85">
      <c r="A916" s="2" t="n"/>
      <c r="B916" s="64" t="n"/>
      <c r="C916" s="2" t="n"/>
      <c r="D916" s="2" t="n"/>
    </row>
    <row r="917" customFormat="1" s="85">
      <c r="A917" s="2" t="n"/>
      <c r="B917" s="64" t="n"/>
      <c r="C917" s="2" t="n"/>
      <c r="D917" s="2" t="n"/>
    </row>
    <row r="918" customFormat="1" s="85">
      <c r="A918" s="2" t="n"/>
      <c r="B918" s="64" t="n"/>
      <c r="C918" s="2" t="n"/>
      <c r="D918" s="2" t="n"/>
    </row>
    <row r="919" customFormat="1" s="85">
      <c r="A919" s="2" t="n"/>
      <c r="B919" s="64" t="n"/>
      <c r="C919" s="2" t="n"/>
      <c r="D919" s="2" t="n"/>
    </row>
    <row r="920" customFormat="1" s="85">
      <c r="A920" s="2" t="n"/>
      <c r="B920" s="64" t="n"/>
      <c r="C920" s="2" t="n"/>
      <c r="D920" s="2" t="n"/>
    </row>
    <row r="921" customFormat="1" s="85">
      <c r="A921" s="2" t="n"/>
      <c r="B921" s="64" t="n"/>
      <c r="C921" s="2" t="n"/>
      <c r="D921" s="2" t="n"/>
    </row>
    <row r="922" customFormat="1" s="85">
      <c r="A922" s="2" t="n"/>
      <c r="B922" s="64" t="n"/>
      <c r="C922" s="2" t="n"/>
      <c r="D922" s="2" t="n"/>
    </row>
    <row r="923" customFormat="1" s="85">
      <c r="A923" s="2" t="n"/>
      <c r="B923" s="64" t="n"/>
      <c r="C923" s="2" t="n"/>
      <c r="D923" s="2" t="n"/>
    </row>
    <row r="924" customFormat="1" s="85">
      <c r="A924" s="2" t="n"/>
      <c r="B924" s="64" t="n"/>
      <c r="C924" s="2" t="n"/>
      <c r="D924" s="2" t="n"/>
    </row>
    <row r="925" customFormat="1" s="85">
      <c r="A925" s="2" t="n"/>
      <c r="B925" s="64" t="n"/>
      <c r="C925" s="2" t="n"/>
      <c r="D925" s="2" t="n"/>
    </row>
    <row r="926" customFormat="1" s="85">
      <c r="A926" s="2" t="n"/>
      <c r="B926" s="64" t="n"/>
      <c r="C926" s="2" t="n"/>
      <c r="D926" s="2" t="n"/>
    </row>
    <row r="927" customFormat="1" s="85">
      <c r="A927" s="2" t="n"/>
      <c r="B927" s="64" t="n"/>
      <c r="C927" s="2" t="n"/>
      <c r="D927" s="2" t="n"/>
    </row>
    <row r="928" customFormat="1" s="85">
      <c r="A928" s="2" t="n"/>
      <c r="B928" s="64" t="n"/>
      <c r="C928" s="2" t="n"/>
      <c r="D928" s="2" t="n"/>
    </row>
    <row r="929" customFormat="1" s="85">
      <c r="A929" s="2" t="n"/>
      <c r="B929" s="64" t="n"/>
      <c r="C929" s="2" t="n"/>
      <c r="D929" s="2" t="n"/>
    </row>
    <row r="930" customFormat="1" s="85">
      <c r="A930" s="2" t="n"/>
      <c r="B930" s="64" t="n"/>
      <c r="C930" s="2" t="n"/>
      <c r="D930" s="2" t="n"/>
    </row>
    <row r="931" customFormat="1" s="85">
      <c r="A931" s="2" t="n"/>
      <c r="B931" s="64" t="n"/>
      <c r="C931" s="2" t="n"/>
      <c r="D931" s="2" t="n"/>
    </row>
    <row r="932" customFormat="1" s="85">
      <c r="A932" s="2" t="n"/>
      <c r="B932" s="64" t="n"/>
      <c r="C932" s="2" t="n"/>
      <c r="D932" s="2" t="n"/>
    </row>
    <row r="933" customFormat="1" s="85">
      <c r="A933" s="2" t="n"/>
      <c r="B933" s="64" t="n"/>
      <c r="C933" s="2" t="n"/>
      <c r="D933" s="2" t="n"/>
    </row>
    <row r="934" customFormat="1" s="85">
      <c r="A934" s="2" t="n"/>
      <c r="B934" s="64" t="n"/>
      <c r="C934" s="2" t="n"/>
      <c r="D934" s="2" t="n"/>
    </row>
    <row r="935" customFormat="1" s="85">
      <c r="A935" s="2" t="n"/>
      <c r="B935" s="64" t="n"/>
      <c r="C935" s="2" t="n"/>
      <c r="D935" s="2" t="n"/>
    </row>
    <row r="936" customFormat="1" s="85">
      <c r="A936" s="2" t="n"/>
      <c r="B936" s="64" t="n"/>
      <c r="C936" s="2" t="n"/>
      <c r="D936" s="2" t="n"/>
    </row>
    <row r="937" customFormat="1" s="85">
      <c r="A937" s="2" t="n"/>
      <c r="B937" s="64" t="n"/>
      <c r="C937" s="2" t="n"/>
      <c r="D937" s="2" t="n"/>
    </row>
    <row r="938" customFormat="1" s="85">
      <c r="A938" s="2" t="n"/>
      <c r="B938" s="64" t="n"/>
      <c r="C938" s="2" t="n"/>
      <c r="D938" s="2" t="n"/>
    </row>
    <row r="939" customFormat="1" s="85">
      <c r="A939" s="2" t="n"/>
      <c r="B939" s="64" t="n"/>
      <c r="C939" s="2" t="n"/>
      <c r="D939" s="2" t="n"/>
    </row>
    <row r="940" customFormat="1" s="85">
      <c r="A940" s="2" t="n"/>
      <c r="B940" s="64" t="n"/>
      <c r="C940" s="2" t="n"/>
      <c r="D940" s="2" t="n"/>
    </row>
    <row r="941" customFormat="1" s="85">
      <c r="A941" s="2" t="n"/>
      <c r="B941" s="64" t="n"/>
      <c r="C941" s="2" t="n"/>
      <c r="D941" s="2" t="n"/>
    </row>
    <row r="942" customFormat="1" s="85">
      <c r="A942" s="2" t="n"/>
      <c r="B942" s="64" t="n"/>
      <c r="C942" s="2" t="n"/>
      <c r="D942" s="2" t="n"/>
    </row>
    <row r="943" customFormat="1" s="85">
      <c r="A943" s="2" t="n"/>
      <c r="B943" s="64" t="n"/>
      <c r="C943" s="2" t="n"/>
      <c r="D943" s="2" t="n"/>
    </row>
    <row r="944" customFormat="1" s="85">
      <c r="A944" s="2" t="n"/>
      <c r="B944" s="64" t="n"/>
      <c r="C944" s="2" t="n"/>
      <c r="D944" s="2" t="n"/>
    </row>
    <row r="945" customFormat="1" s="85">
      <c r="A945" s="2" t="n"/>
      <c r="B945" s="64" t="n"/>
      <c r="C945" s="2" t="n"/>
      <c r="D945" s="2" t="n"/>
    </row>
    <row r="946" customFormat="1" s="85">
      <c r="A946" s="2" t="n"/>
      <c r="B946" s="64" t="n"/>
      <c r="C946" s="2" t="n"/>
      <c r="D946" s="2" t="n"/>
    </row>
    <row r="947" customFormat="1" s="85">
      <c r="A947" s="2" t="n"/>
      <c r="B947" s="64" t="n"/>
      <c r="C947" s="2" t="n"/>
      <c r="D947" s="2" t="n"/>
    </row>
    <row r="948" customFormat="1" s="85">
      <c r="A948" s="2" t="n"/>
      <c r="B948" s="64" t="n"/>
      <c r="C948" s="2" t="n"/>
      <c r="D948" s="2" t="n"/>
    </row>
    <row r="949" customFormat="1" s="85">
      <c r="A949" s="2" t="n"/>
      <c r="B949" s="64" t="n"/>
      <c r="C949" s="2" t="n"/>
      <c r="D949" s="2" t="n"/>
    </row>
    <row r="950" customFormat="1" s="85">
      <c r="A950" s="2" t="n"/>
      <c r="B950" s="64" t="n"/>
      <c r="C950" s="2" t="n"/>
      <c r="D950" s="2" t="n"/>
    </row>
    <row r="951" customFormat="1" s="85">
      <c r="A951" s="2" t="n"/>
      <c r="B951" s="64" t="n"/>
      <c r="C951" s="2" t="n"/>
      <c r="D951" s="2" t="n"/>
    </row>
    <row r="952" customFormat="1" s="85">
      <c r="A952" s="2" t="n"/>
      <c r="B952" s="64" t="n"/>
      <c r="C952" s="2" t="n"/>
      <c r="D952" s="2" t="n"/>
    </row>
    <row r="953" customFormat="1" s="85">
      <c r="A953" s="2" t="n"/>
      <c r="B953" s="64" t="n"/>
      <c r="C953" s="2" t="n"/>
      <c r="D953" s="2" t="n"/>
    </row>
    <row r="954" customFormat="1" s="85">
      <c r="A954" s="2" t="n"/>
      <c r="B954" s="64" t="n"/>
      <c r="C954" s="2" t="n"/>
      <c r="D954" s="2" t="n"/>
    </row>
    <row r="955" customFormat="1" s="85">
      <c r="A955" s="2" t="n"/>
      <c r="B955" s="64" t="n"/>
      <c r="C955" s="2" t="n"/>
      <c r="D955" s="2" t="n"/>
    </row>
    <row r="956" customFormat="1" s="85">
      <c r="A956" s="2" t="n"/>
      <c r="B956" s="64" t="n"/>
      <c r="C956" s="2" t="n"/>
      <c r="D956" s="2" t="n"/>
    </row>
    <row r="957" customFormat="1" s="85">
      <c r="A957" s="2" t="n"/>
      <c r="B957" s="64" t="n"/>
      <c r="C957" s="2" t="n"/>
      <c r="D957" s="2" t="n"/>
    </row>
    <row r="958" customFormat="1" s="85">
      <c r="A958" s="2" t="n"/>
      <c r="B958" s="64" t="n"/>
      <c r="C958" s="2" t="n"/>
      <c r="D958" s="2" t="n"/>
    </row>
    <row r="959" customFormat="1" s="85">
      <c r="A959" s="2" t="n"/>
      <c r="B959" s="64" t="n"/>
      <c r="C959" s="2" t="n"/>
      <c r="D959" s="2" t="n"/>
    </row>
    <row r="960" customFormat="1" s="85">
      <c r="A960" s="2" t="n"/>
      <c r="B960" s="64" t="n"/>
      <c r="C960" s="2" t="n"/>
      <c r="D960" s="2" t="n"/>
    </row>
    <row r="961" customFormat="1" s="85">
      <c r="A961" s="2" t="n"/>
      <c r="B961" s="64" t="n"/>
      <c r="C961" s="2" t="n"/>
      <c r="D961" s="2" t="n"/>
    </row>
    <row r="962" customFormat="1" s="85">
      <c r="A962" s="2" t="n"/>
      <c r="B962" s="64" t="n"/>
      <c r="C962" s="2" t="n"/>
      <c r="D962" s="2" t="n"/>
    </row>
    <row r="963" customFormat="1" s="85">
      <c r="A963" s="2" t="n"/>
      <c r="B963" s="64" t="n"/>
      <c r="C963" s="2" t="n"/>
      <c r="D963" s="2" t="n"/>
    </row>
    <row r="964" customFormat="1" s="85">
      <c r="A964" s="2" t="n"/>
      <c r="B964" s="64" t="n"/>
      <c r="C964" s="2" t="n"/>
      <c r="D964" s="2" t="n"/>
    </row>
    <row r="965" customFormat="1" s="85">
      <c r="A965" s="2" t="n"/>
      <c r="B965" s="64" t="n"/>
      <c r="C965" s="2" t="n"/>
      <c r="D965" s="2" t="n"/>
    </row>
    <row r="966" customFormat="1" s="85">
      <c r="A966" s="2" t="n"/>
      <c r="B966" s="64" t="n"/>
      <c r="C966" s="2" t="n"/>
      <c r="D966" s="2" t="n"/>
    </row>
    <row r="967" customFormat="1" s="85">
      <c r="A967" s="2" t="n"/>
      <c r="B967" s="64" t="n"/>
      <c r="C967" s="2" t="n"/>
      <c r="D967" s="2" t="n"/>
    </row>
    <row r="968" customFormat="1" s="85">
      <c r="A968" s="2" t="n"/>
      <c r="B968" s="64" t="n"/>
      <c r="C968" s="2" t="n"/>
      <c r="D968" s="2" t="n"/>
    </row>
    <row r="969" customFormat="1" s="85">
      <c r="A969" s="2" t="n"/>
      <c r="B969" s="64" t="n"/>
      <c r="C969" s="2" t="n"/>
      <c r="D969" s="2" t="n"/>
    </row>
    <row r="970" customFormat="1" s="85">
      <c r="A970" s="2" t="n"/>
      <c r="B970" s="64" t="n"/>
      <c r="C970" s="2" t="n"/>
      <c r="D970" s="2" t="n"/>
    </row>
    <row r="971" customFormat="1" s="85">
      <c r="A971" s="2" t="n"/>
      <c r="B971" s="64" t="n"/>
      <c r="C971" s="2" t="n"/>
      <c r="D971" s="2" t="n"/>
    </row>
    <row r="972" customFormat="1" s="85">
      <c r="A972" s="2" t="n"/>
      <c r="B972" s="64" t="n"/>
      <c r="C972" s="2" t="n"/>
      <c r="D972" s="2" t="n"/>
    </row>
    <row r="973" customFormat="1" s="85">
      <c r="A973" s="2" t="n"/>
      <c r="B973" s="64" t="n"/>
      <c r="C973" s="2" t="n"/>
      <c r="D973" s="2" t="n"/>
    </row>
    <row r="974" customFormat="1" s="85">
      <c r="A974" s="2" t="n"/>
      <c r="B974" s="64" t="n"/>
      <c r="C974" s="2" t="n"/>
      <c r="D974" s="2" t="n"/>
    </row>
    <row r="975" customFormat="1" s="85">
      <c r="A975" s="2" t="n"/>
      <c r="B975" s="64" t="n"/>
      <c r="C975" s="2" t="n"/>
      <c r="D975" s="2" t="n"/>
    </row>
    <row r="976" customFormat="1" s="85">
      <c r="A976" s="2" t="n"/>
      <c r="B976" s="64" t="n"/>
      <c r="C976" s="2" t="n"/>
      <c r="D976" s="2" t="n"/>
    </row>
    <row r="977" customFormat="1" s="85">
      <c r="A977" s="2" t="n"/>
      <c r="B977" s="64" t="n"/>
      <c r="C977" s="2" t="n"/>
      <c r="D977" s="2" t="n"/>
    </row>
    <row r="978" customFormat="1" s="85">
      <c r="A978" s="2" t="n"/>
      <c r="B978" s="64" t="n"/>
      <c r="C978" s="2" t="n"/>
      <c r="D978" s="2" t="n"/>
    </row>
    <row r="979" customFormat="1" s="85">
      <c r="A979" s="2" t="n"/>
      <c r="B979" s="64" t="n"/>
      <c r="C979" s="2" t="n"/>
      <c r="D979" s="2" t="n"/>
    </row>
    <row r="980" customFormat="1" s="85">
      <c r="A980" s="2" t="n"/>
      <c r="B980" s="64" t="n"/>
      <c r="C980" s="2" t="n"/>
      <c r="D980" s="2" t="n"/>
    </row>
    <row r="981" customFormat="1" s="85">
      <c r="A981" s="2" t="n"/>
      <c r="B981" s="64" t="n"/>
      <c r="C981" s="2" t="n"/>
      <c r="D981" s="2" t="n"/>
    </row>
    <row r="982" customFormat="1" s="85">
      <c r="A982" s="2" t="n"/>
      <c r="B982" s="64" t="n"/>
      <c r="C982" s="2" t="n"/>
      <c r="D982" s="2" t="n"/>
    </row>
    <row r="983" customFormat="1" s="85">
      <c r="A983" s="2" t="n"/>
      <c r="B983" s="64" t="n"/>
      <c r="C983" s="2" t="n"/>
      <c r="D983" s="2" t="n"/>
    </row>
    <row r="984" customFormat="1" s="85">
      <c r="A984" s="2" t="n"/>
      <c r="B984" s="64" t="n"/>
      <c r="C984" s="2" t="n"/>
      <c r="D984" s="2" t="n"/>
    </row>
    <row r="985" customFormat="1" s="85">
      <c r="A985" s="2" t="n"/>
      <c r="B985" s="64" t="n"/>
      <c r="C985" s="2" t="n"/>
      <c r="D985" s="2" t="n"/>
    </row>
    <row r="986" customFormat="1" s="85">
      <c r="A986" s="2" t="n"/>
      <c r="B986" s="64" t="n"/>
      <c r="C986" s="2" t="n"/>
      <c r="D986" s="2" t="n"/>
    </row>
    <row r="987" customFormat="1" s="85">
      <c r="A987" s="2" t="n"/>
      <c r="B987" s="64" t="n"/>
      <c r="C987" s="2" t="n"/>
      <c r="D987" s="2" t="n"/>
    </row>
    <row r="988" customFormat="1" s="85">
      <c r="A988" s="2" t="n"/>
      <c r="B988" s="64" t="n"/>
      <c r="C988" s="2" t="n"/>
      <c r="D988" s="2" t="n"/>
    </row>
    <row r="989" customFormat="1" s="85">
      <c r="A989" s="2" t="n"/>
      <c r="B989" s="64" t="n"/>
      <c r="C989" s="2" t="n"/>
      <c r="D989" s="2" t="n"/>
    </row>
    <row r="990" customFormat="1" s="85">
      <c r="A990" s="2" t="n"/>
      <c r="B990" s="64" t="n"/>
      <c r="C990" s="2" t="n"/>
      <c r="D990" s="2" t="n"/>
    </row>
    <row r="991" customFormat="1" s="85">
      <c r="A991" s="2" t="n"/>
      <c r="B991" s="64" t="n"/>
      <c r="C991" s="2" t="n"/>
      <c r="D991" s="2" t="n"/>
    </row>
    <row r="992" customFormat="1" s="85">
      <c r="A992" s="2" t="n"/>
      <c r="B992" s="64" t="n"/>
      <c r="C992" s="2" t="n"/>
      <c r="D992" s="2" t="n"/>
    </row>
    <row r="993" customFormat="1" s="85">
      <c r="A993" s="2" t="n"/>
      <c r="B993" s="64" t="n"/>
      <c r="C993" s="2" t="n"/>
      <c r="D993" s="2" t="n"/>
    </row>
    <row r="994" customFormat="1" s="85">
      <c r="A994" s="2" t="n"/>
      <c r="B994" s="64" t="n"/>
      <c r="C994" s="2" t="n"/>
      <c r="D994" s="2" t="n"/>
    </row>
    <row r="995" customFormat="1" s="85">
      <c r="A995" s="2" t="n"/>
      <c r="B995" s="64" t="n"/>
      <c r="C995" s="2" t="n"/>
      <c r="D995" s="2" t="n"/>
    </row>
    <row r="996" customFormat="1" s="85">
      <c r="A996" s="2" t="n"/>
      <c r="B996" s="64" t="n"/>
      <c r="C996" s="2" t="n"/>
      <c r="D996" s="2" t="n"/>
    </row>
    <row r="997" customFormat="1" s="85">
      <c r="A997" s="2" t="n"/>
      <c r="B997" s="64" t="n"/>
      <c r="C997" s="2" t="n"/>
      <c r="D997" s="2" t="n"/>
    </row>
    <row r="998" customFormat="1" s="85">
      <c r="A998" s="2" t="n"/>
      <c r="B998" s="64" t="n"/>
      <c r="C998" s="2" t="n"/>
      <c r="D998" s="2" t="n"/>
    </row>
    <row r="999" customFormat="1" s="85">
      <c r="A999" s="2" t="n"/>
      <c r="B999" s="64" t="n"/>
      <c r="C999" s="2" t="n"/>
      <c r="D999" s="2" t="n"/>
    </row>
    <row r="1000" customFormat="1" s="85">
      <c r="A1000" s="2" t="n"/>
      <c r="B1000" s="64" t="n"/>
      <c r="C1000" s="2" t="n"/>
      <c r="D1000" s="2" t="n"/>
    </row>
    <row r="1001" customFormat="1" s="85">
      <c r="A1001" s="2" t="n"/>
      <c r="B1001" s="64" t="n"/>
      <c r="C1001" s="2" t="n"/>
      <c r="D1001" s="2" t="n"/>
    </row>
    <row r="1002" customFormat="1" s="85">
      <c r="A1002" s="2" t="n"/>
      <c r="B1002" s="64" t="n"/>
      <c r="C1002" s="2" t="n"/>
      <c r="D1002" s="2" t="n"/>
    </row>
    <row r="1003" customFormat="1" s="85">
      <c r="A1003" s="2" t="n"/>
      <c r="B1003" s="64" t="n"/>
      <c r="C1003" s="2" t="n"/>
      <c r="D1003" s="2" t="n"/>
    </row>
    <row r="1004" customFormat="1" s="85">
      <c r="A1004" s="2" t="n"/>
      <c r="B1004" s="64" t="n"/>
      <c r="C1004" s="2" t="n"/>
      <c r="D1004" s="2" t="n"/>
    </row>
    <row r="1005" customFormat="1" s="85">
      <c r="A1005" s="2" t="n"/>
      <c r="B1005" s="64" t="n"/>
      <c r="C1005" s="2" t="n"/>
      <c r="D1005" s="2" t="n"/>
    </row>
    <row r="1006" customFormat="1" s="85">
      <c r="A1006" s="2" t="n"/>
      <c r="B1006" s="64" t="n"/>
      <c r="C1006" s="2" t="n"/>
      <c r="D1006" s="2" t="n"/>
    </row>
    <row r="1007" customFormat="1" s="85">
      <c r="A1007" s="2" t="n"/>
      <c r="B1007" s="64" t="n"/>
      <c r="C1007" s="2" t="n"/>
      <c r="D1007" s="2" t="n"/>
    </row>
    <row r="1008" customFormat="1" s="85">
      <c r="A1008" s="2" t="n"/>
      <c r="B1008" s="64" t="n"/>
      <c r="C1008" s="2" t="n"/>
      <c r="D1008" s="2" t="n"/>
    </row>
    <row r="1009" customFormat="1" s="85">
      <c r="A1009" s="2" t="n"/>
      <c r="B1009" s="64" t="n"/>
      <c r="C1009" s="2" t="n"/>
      <c r="D1009" s="2" t="n"/>
    </row>
    <row r="1010" customFormat="1" s="85">
      <c r="A1010" s="2" t="n"/>
      <c r="B1010" s="64" t="n"/>
      <c r="C1010" s="2" t="n"/>
      <c r="D1010" s="2" t="n"/>
    </row>
    <row r="1011" customFormat="1" s="85">
      <c r="A1011" s="2" t="n"/>
      <c r="B1011" s="64" t="n"/>
      <c r="C1011" s="2" t="n"/>
      <c r="D1011" s="2" t="n"/>
    </row>
    <row r="1012" customFormat="1" s="85">
      <c r="A1012" s="2" t="n"/>
      <c r="B1012" s="64" t="n"/>
      <c r="C1012" s="2" t="n"/>
      <c r="D1012" s="2" t="n"/>
    </row>
    <row r="1013" customFormat="1" s="85">
      <c r="A1013" s="2" t="n"/>
      <c r="B1013" s="64" t="n"/>
      <c r="C1013" s="2" t="n"/>
      <c r="D1013" s="2" t="n"/>
    </row>
    <row r="1014" customFormat="1" s="85">
      <c r="A1014" s="2" t="n"/>
      <c r="B1014" s="64" t="n"/>
      <c r="C1014" s="2" t="n"/>
      <c r="D1014" s="2" t="n"/>
    </row>
    <row r="1015" customFormat="1" s="85">
      <c r="A1015" s="2" t="n"/>
      <c r="B1015" s="64" t="n"/>
      <c r="C1015" s="2" t="n"/>
      <c r="D1015" s="2" t="n"/>
    </row>
    <row r="1016" customFormat="1" s="85">
      <c r="A1016" s="2" t="n"/>
      <c r="B1016" s="64" t="n"/>
      <c r="C1016" s="2" t="n"/>
      <c r="D1016" s="2" t="n"/>
    </row>
    <row r="1017" customFormat="1" s="85">
      <c r="A1017" s="2" t="n"/>
      <c r="B1017" s="64" t="n"/>
      <c r="C1017" s="2" t="n"/>
      <c r="D1017" s="2" t="n"/>
    </row>
    <row r="1018" customFormat="1" s="85">
      <c r="A1018" s="2" t="n"/>
      <c r="B1018" s="64" t="n"/>
      <c r="C1018" s="2" t="n"/>
      <c r="D1018" s="2" t="n"/>
    </row>
    <row r="1019" customFormat="1" s="85">
      <c r="A1019" s="2" t="n"/>
      <c r="B1019" s="64" t="n"/>
      <c r="C1019" s="2" t="n"/>
      <c r="D1019" s="2" t="n"/>
    </row>
    <row r="1020" customFormat="1" s="85">
      <c r="A1020" s="2" t="n"/>
      <c r="B1020" s="64" t="n"/>
      <c r="C1020" s="2" t="n"/>
      <c r="D1020" s="2" t="n"/>
    </row>
    <row r="1021" customFormat="1" s="85">
      <c r="A1021" s="2" t="n"/>
      <c r="B1021" s="64" t="n"/>
      <c r="C1021" s="2" t="n"/>
      <c r="D1021" s="2" t="n"/>
    </row>
    <row r="1022" customFormat="1" s="85">
      <c r="A1022" s="2" t="n"/>
      <c r="B1022" s="64" t="n"/>
      <c r="C1022" s="2" t="n"/>
      <c r="D1022" s="2" t="n"/>
    </row>
    <row r="1023" customFormat="1" s="85">
      <c r="A1023" s="2" t="n"/>
      <c r="B1023" s="64" t="n"/>
      <c r="C1023" s="2" t="n"/>
      <c r="D1023" s="2" t="n"/>
    </row>
    <row r="1024" customFormat="1" s="85">
      <c r="A1024" s="2" t="n"/>
      <c r="B1024" s="64" t="n"/>
      <c r="C1024" s="2" t="n"/>
      <c r="D1024" s="2" t="n"/>
    </row>
    <row r="1025" customFormat="1" s="85">
      <c r="A1025" s="2" t="n"/>
      <c r="B1025" s="64" t="n"/>
      <c r="C1025" s="2" t="n"/>
      <c r="D1025" s="2" t="n"/>
    </row>
    <row r="1026" customFormat="1" s="85">
      <c r="A1026" s="2" t="n"/>
      <c r="B1026" s="64" t="n"/>
      <c r="C1026" s="2" t="n"/>
      <c r="D1026" s="2" t="n"/>
    </row>
    <row r="1027" customFormat="1" s="85">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row r="1059">
      <c r="A1059" s="2" t="n"/>
      <c r="B1059" s="64" t="n"/>
      <c r="C1059" s="2" t="n"/>
      <c r="D1059" s="2" t="n"/>
    </row>
    <row r="1060">
      <c r="A1060" s="2" t="n"/>
      <c r="B1060" s="64" t="n"/>
      <c r="C1060" s="2" t="n"/>
      <c r="D1060" s="2" t="n"/>
    </row>
    <row r="1061">
      <c r="A1061" s="2" t="n"/>
      <c r="B1061" s="64" t="n"/>
      <c r="C1061" s="2" t="n"/>
      <c r="D1061" s="2" t="n"/>
    </row>
    <row r="1062">
      <c r="A1062" s="2" t="n"/>
      <c r="B1062" s="64" t="n"/>
      <c r="C1062" s="2" t="n"/>
      <c r="D1062" s="2" t="n"/>
    </row>
    <row r="1063">
      <c r="A1063" s="2" t="n"/>
      <c r="B1063" s="64" t="n"/>
      <c r="C1063" s="2" t="n"/>
      <c r="D1063" s="2" t="n"/>
    </row>
    <row r="1064">
      <c r="A1064" s="2" t="n"/>
      <c r="B1064" s="64" t="n"/>
      <c r="C1064" s="2" t="n"/>
      <c r="D1064" s="2" t="n"/>
    </row>
    <row r="1065">
      <c r="A1065" s="2" t="n"/>
      <c r="B1065" s="64" t="n"/>
      <c r="C1065" s="2" t="n"/>
      <c r="D1065" s="2" t="n"/>
    </row>
    <row r="1066">
      <c r="A1066" s="2" t="n"/>
      <c r="B1066" s="64" t="n"/>
      <c r="C1066" s="2" t="n"/>
      <c r="D1066" s="2" t="n"/>
    </row>
  </sheetData>
  <conditionalFormatting sqref="C545:C673">
    <cfRule type="colorScale" priority="37">
      <colorScale>
        <cfvo type="min"/>
        <cfvo type="percentile" val="50"/>
        <cfvo type="max"/>
        <color rgb="FFF8696B"/>
        <color rgb="FFFFEB84"/>
        <color rgb="FF63BE7B"/>
      </colorScale>
    </cfRule>
  </conditionalFormatting>
  <conditionalFormatting sqref="D545:D673">
    <cfRule type="colorScale" priority="38">
      <colorScale>
        <cfvo type="min"/>
        <cfvo type="percentile" val="50"/>
        <cfvo type="max"/>
        <color rgb="FFF8696B"/>
        <color rgb="FFFFEB84"/>
        <color rgb="FF63BE7B"/>
      </colorScale>
    </cfRule>
  </conditionalFormatting>
  <conditionalFormatting sqref="D521:D673">
    <cfRule type="colorScale" priority="39">
      <colorScale>
        <cfvo type="min"/>
        <cfvo type="percentile" val="50"/>
        <cfvo type="max"/>
        <color rgb="FFF8696B"/>
        <color rgb="FFFFEB84"/>
        <color rgb="FF63BE7B"/>
      </colorScale>
    </cfRule>
  </conditionalFormatting>
  <conditionalFormatting sqref="C521:C673">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70"/>
  <sheetViews>
    <sheetView zoomScale="130" zoomScaleNormal="130" workbookViewId="0">
      <pane ySplit="4" topLeftCell="A648" activePane="bottomLeft" state="frozen"/>
      <selection activeCell="N27" sqref="N27"/>
      <selection pane="bottomLeft" activeCell="J674" sqref="J674"/>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85" min="7" max="189"/>
  </cols>
  <sheetData>
    <row r="1" customFormat="1" s="85">
      <c r="A1" s="7" t="inlineStr">
        <is>
          <t>CPILFESL</t>
        </is>
      </c>
      <c r="B1" s="63" t="inlineStr">
        <is>
          <t>Consumer Price Index for All Urban Consumers: All Items Less Food &amp; Energy (CPILFESL), Index 1982-84=100, Monthly, Seasonally Adjusted</t>
        </is>
      </c>
      <c r="C1" s="9" t="n"/>
      <c r="D1" s="2" t="n"/>
      <c r="E1" s="11" t="n"/>
      <c r="F1" s="5" t="n"/>
    </row>
    <row r="2" customFormat="1" s="85">
      <c r="A2" s="2" t="n"/>
      <c r="B2" s="64" t="n"/>
      <c r="C2" s="2" t="n"/>
      <c r="D2" s="2" t="n"/>
      <c r="E2" s="11" t="n"/>
      <c r="F2" s="5" t="n"/>
    </row>
    <row r="3" ht="16" customFormat="1" customHeight="1" s="85"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85">
      <c r="A636" s="61" t="n">
        <v>43678</v>
      </c>
      <c r="B636" s="68">
        <f>VLOOKUP(Table5[[#This Row],[Date]],Database!A:E,5,)</f>
        <v/>
      </c>
      <c r="C636" s="14">
        <f>(B636-B635)/B635</f>
        <v/>
      </c>
      <c r="D636" s="14">
        <f>(B636-B624)/B624</f>
        <v/>
      </c>
      <c r="E636" s="15">
        <f>VLOOKUP(Table5[[#This Row],[Date]],'Fed Fund New'!$A:$C,2,FALSE)</f>
        <v/>
      </c>
      <c r="F636" s="27" t="n">
        <v>0.02</v>
      </c>
      <c r="V636" s="10" t="n"/>
    </row>
    <row r="637" customFormat="1" s="85">
      <c r="A637" s="61" t="n">
        <v>43709</v>
      </c>
      <c r="B637" s="68">
        <f>VLOOKUP(Table5[[#This Row],[Date]],Database!A:E,5,)</f>
        <v/>
      </c>
      <c r="C637" s="14">
        <f>(B637-B636)/B636</f>
        <v/>
      </c>
      <c r="D637" s="14">
        <f>(B637-B625)/B625</f>
        <v/>
      </c>
      <c r="E637" s="15">
        <f>VLOOKUP(Table5[[#This Row],[Date]],'Fed Fund New'!$A:$C,2,FALSE)</f>
        <v/>
      </c>
      <c r="F637" s="27" t="n">
        <v>0.02</v>
      </c>
    </row>
    <row r="638" customFormat="1" s="85">
      <c r="A638" s="61" t="n">
        <v>43739</v>
      </c>
      <c r="B638" s="68">
        <f>VLOOKUP(Table5[[#This Row],[Date]],Database!A:E,5,)</f>
        <v/>
      </c>
      <c r="C638" s="14">
        <f>(B638-B637)/B637</f>
        <v/>
      </c>
      <c r="D638" s="14">
        <f>(B638-B626)/B626</f>
        <v/>
      </c>
      <c r="E638" s="15">
        <f>VLOOKUP(Table5[[#This Row],[Date]],'Fed Fund New'!$A:$C,2,FALSE)</f>
        <v/>
      </c>
      <c r="F638" s="27" t="n">
        <v>0.02</v>
      </c>
    </row>
    <row r="639" customFormat="1" s="85">
      <c r="A639" s="61" t="n">
        <v>43770</v>
      </c>
      <c r="B639" s="68">
        <f>VLOOKUP(Table5[[#This Row],[Date]],Database!A:E,5,)</f>
        <v/>
      </c>
      <c r="C639" s="14">
        <f>(B639-B638)/B638</f>
        <v/>
      </c>
      <c r="D639" s="14">
        <f>(B639-B627)/B627</f>
        <v/>
      </c>
      <c r="E639" s="15">
        <f>VLOOKUP(Table5[[#This Row],[Date]],'Fed Fund New'!$A:$C,2,FALSE)</f>
        <v/>
      </c>
      <c r="F639" s="27" t="n">
        <v>0.02</v>
      </c>
    </row>
    <row r="640" customFormat="1" s="85">
      <c r="A640" s="61" t="n">
        <v>43800</v>
      </c>
      <c r="B640" s="68">
        <f>VLOOKUP(Table5[[#This Row],[Date]],Database!A:E,5,)</f>
        <v/>
      </c>
      <c r="C640" s="14">
        <f>(B640-B639)/B639</f>
        <v/>
      </c>
      <c r="D640" s="14">
        <f>(B640-B628)/B628</f>
        <v/>
      </c>
      <c r="E640" s="15">
        <f>VLOOKUP(Table5[[#This Row],[Date]],'Fed Fund New'!$A:$C,2,FALSE)</f>
        <v/>
      </c>
      <c r="F640" s="27" t="n">
        <v>0.02</v>
      </c>
    </row>
    <row r="641" customFormat="1" s="85">
      <c r="A641" s="61" t="n">
        <v>43831</v>
      </c>
      <c r="B641" s="68">
        <f>VLOOKUP(Table5[[#This Row],[Date]],Database!A:E,5,)</f>
        <v/>
      </c>
      <c r="C641" s="14">
        <f>(B641-B640)/B640</f>
        <v/>
      </c>
      <c r="D641" s="14">
        <f>(B641-B629)/B629</f>
        <v/>
      </c>
      <c r="E641" s="15">
        <f>VLOOKUP(Table5[[#This Row],[Date]],'Fed Fund New'!$A:$C,2,FALSE)</f>
        <v/>
      </c>
      <c r="F641" s="27" t="n">
        <v>0.02</v>
      </c>
    </row>
    <row r="642" customFormat="1" s="85">
      <c r="A642" s="61" t="n">
        <v>43862</v>
      </c>
      <c r="B642" s="68">
        <f>VLOOKUP(Table5[[#This Row],[Date]],Database!A:E,5,)</f>
        <v/>
      </c>
      <c r="C642" s="14">
        <f>(B642-B641)/B641</f>
        <v/>
      </c>
      <c r="D642" s="14">
        <f>(B642-B630)/B630</f>
        <v/>
      </c>
      <c r="E642" s="15">
        <f>VLOOKUP(Table5[[#This Row],[Date]],'Fed Fund New'!$A:$C,2,FALSE)</f>
        <v/>
      </c>
      <c r="F642" s="27" t="n">
        <v>0.02</v>
      </c>
    </row>
    <row r="643" customFormat="1" s="85">
      <c r="A643" s="61" t="n">
        <v>43891</v>
      </c>
      <c r="B643" s="68">
        <f>VLOOKUP(Table5[[#This Row],[Date]],Database!A:E,5,)</f>
        <v/>
      </c>
      <c r="C643" s="14">
        <f>(B643-B642)/B642</f>
        <v/>
      </c>
      <c r="D643" s="14">
        <f>(B643-B631)/B631</f>
        <v/>
      </c>
      <c r="E643" s="15">
        <f>VLOOKUP(Table5[[#This Row],[Date]],'Fed Fund New'!$A:$C,2,FALSE)</f>
        <v/>
      </c>
      <c r="F643" s="27" t="n">
        <v>0.02</v>
      </c>
    </row>
    <row r="644" customFormat="1" s="85">
      <c r="A644" s="61" t="n">
        <v>43922</v>
      </c>
      <c r="B644" s="68">
        <f>VLOOKUP(Table5[[#This Row],[Date]],Database!A:E,5,)</f>
        <v/>
      </c>
      <c r="C644" s="14">
        <f>(B644-B643)/B643</f>
        <v/>
      </c>
      <c r="D644" s="14">
        <f>(B644-B632)/B632</f>
        <v/>
      </c>
      <c r="E644" s="15">
        <f>VLOOKUP(Table5[[#This Row],[Date]],'Fed Fund New'!$A:$C,2,FALSE)</f>
        <v/>
      </c>
      <c r="F644" s="27" t="n">
        <v>0.02</v>
      </c>
    </row>
    <row r="645" customFormat="1" s="85">
      <c r="A645" s="61" t="n">
        <v>43952</v>
      </c>
      <c r="B645" s="68">
        <f>VLOOKUP(Table5[[#This Row],[Date]],Database!A:E,5,)</f>
        <v/>
      </c>
      <c r="C645" s="14">
        <f>(B645-B644)/B644</f>
        <v/>
      </c>
      <c r="D645" s="14">
        <f>(B645-B633)/B633</f>
        <v/>
      </c>
      <c r="E645" s="15">
        <f>VLOOKUP(Table5[[#This Row],[Date]],'Fed Fund New'!$A:$C,2,FALSE)</f>
        <v/>
      </c>
      <c r="F645" s="27" t="n">
        <v>0.02</v>
      </c>
    </row>
    <row r="646" customFormat="1" s="85">
      <c r="A646" s="61" t="n">
        <v>43983</v>
      </c>
      <c r="B646" s="68">
        <f>VLOOKUP(Table5[[#This Row],[Date]],Database!A:E,5,)</f>
        <v/>
      </c>
      <c r="C646" s="14">
        <f>(B646-B645)/B645</f>
        <v/>
      </c>
      <c r="D646" s="14">
        <f>(B646-B634)/B634</f>
        <v/>
      </c>
      <c r="E646" s="15">
        <f>VLOOKUP(Table5[[#This Row],[Date]],'Fed Fund New'!$A:$C,2,FALSE)</f>
        <v/>
      </c>
      <c r="F646" s="27" t="n">
        <v>0.02</v>
      </c>
    </row>
    <row r="647" customFormat="1" s="85">
      <c r="A647" s="61" t="n">
        <v>44013</v>
      </c>
      <c r="B647" s="68">
        <f>VLOOKUP(Table5[[#This Row],[Date]],Database!A:E,5,)</f>
        <v/>
      </c>
      <c r="C647" s="14">
        <f>(B647-B646)/B646</f>
        <v/>
      </c>
      <c r="D647" s="14">
        <f>(B647-B635)/B635</f>
        <v/>
      </c>
      <c r="E647" s="15">
        <f>VLOOKUP(Table5[[#This Row],[Date]],'Fed Fund New'!$A:$C,2,FALSE)</f>
        <v/>
      </c>
      <c r="F647" s="27" t="n">
        <v>0.02</v>
      </c>
    </row>
    <row r="648" customFormat="1" s="85">
      <c r="A648" s="61" t="n">
        <v>44044</v>
      </c>
      <c r="B648" s="68">
        <f>VLOOKUP(Table5[[#This Row],[Date]],Database!A:E,5,)</f>
        <v/>
      </c>
      <c r="C648" s="14">
        <f>(B648-B647)/B647</f>
        <v/>
      </c>
      <c r="D648" s="14">
        <f>(B648-B636)/B636</f>
        <v/>
      </c>
      <c r="E648" s="15">
        <f>VLOOKUP(Table5[[#This Row],[Date]],'Fed Fund New'!$A:$C,2,FALSE)</f>
        <v/>
      </c>
      <c r="F648" s="27" t="n">
        <v>0.02</v>
      </c>
    </row>
    <row r="649" customFormat="1" s="85">
      <c r="A649" s="61" t="n">
        <v>44075</v>
      </c>
      <c r="B649" s="68">
        <f>VLOOKUP(Table5[[#This Row],[Date]],Database!A:E,5,)</f>
        <v/>
      </c>
      <c r="C649" s="14">
        <f>(B649-B648)/B648</f>
        <v/>
      </c>
      <c r="D649" s="14">
        <f>(B649-B637)/B637</f>
        <v/>
      </c>
      <c r="E649" s="15">
        <f>VLOOKUP(Table5[[#This Row],[Date]],'Fed Fund New'!$A:$C,2,FALSE)</f>
        <v/>
      </c>
      <c r="F649" s="27" t="n">
        <v>0.02</v>
      </c>
    </row>
    <row r="650" customFormat="1" s="85">
      <c r="A650" s="61" t="n">
        <v>44105</v>
      </c>
      <c r="B650" s="68">
        <f>VLOOKUP(Table5[[#This Row],[Date]],Database!A:E,5,)</f>
        <v/>
      </c>
      <c r="C650" s="14">
        <f>(B650-B649)/B649</f>
        <v/>
      </c>
      <c r="D650" s="14">
        <f>(B650-B638)/B638</f>
        <v/>
      </c>
      <c r="E650" s="15">
        <f>VLOOKUP(Table5[[#This Row],[Date]],'Fed Fund New'!$A:$C,2,FALSE)</f>
        <v/>
      </c>
      <c r="F650" s="27" t="n">
        <v>0.02</v>
      </c>
    </row>
    <row r="651" customFormat="1" s="85">
      <c r="A651" s="61" t="n">
        <v>44136</v>
      </c>
      <c r="B651" s="68">
        <f>VLOOKUP(Table5[[#This Row],[Date]],Database!A:E,5,)</f>
        <v/>
      </c>
      <c r="C651" s="14">
        <f>(B651-B650)/B650</f>
        <v/>
      </c>
      <c r="D651" s="14">
        <f>(B651-B639)/B639</f>
        <v/>
      </c>
      <c r="E651" s="15">
        <f>VLOOKUP(Table5[[#This Row],[Date]],'Fed Fund New'!$A:$C,2,FALSE)</f>
        <v/>
      </c>
      <c r="F651" s="27" t="n">
        <v>0.02</v>
      </c>
    </row>
    <row r="652" customFormat="1" s="85">
      <c r="A652" s="61" t="n">
        <v>44166</v>
      </c>
      <c r="B652" s="68">
        <f>VLOOKUP(Table5[[#This Row],[Date]],Database!A:E,5,)</f>
        <v/>
      </c>
      <c r="C652" s="14">
        <f>(B652-B651)/B651</f>
        <v/>
      </c>
      <c r="D652" s="14">
        <f>(B652-B640)/B640</f>
        <v/>
      </c>
      <c r="E652" s="15">
        <f>VLOOKUP(Table5[[#This Row],[Date]],'Fed Fund New'!$A:$C,2,FALSE)</f>
        <v/>
      </c>
      <c r="F652" s="27" t="n">
        <v>0.02</v>
      </c>
    </row>
    <row r="653" customFormat="1" s="85">
      <c r="A653" s="61" t="n">
        <v>44197</v>
      </c>
      <c r="B653" s="68">
        <f>VLOOKUP(Table5[[#This Row],[Date]],Database!A:E,5,)</f>
        <v/>
      </c>
      <c r="C653" s="14">
        <f>(B653-B652)/B652</f>
        <v/>
      </c>
      <c r="D653" s="14">
        <f>(B653-B641)/B641</f>
        <v/>
      </c>
      <c r="E653" s="15">
        <f>VLOOKUP(Table5[[#This Row],[Date]],'Fed Fund New'!$A:$C,2,FALSE)</f>
        <v/>
      </c>
      <c r="F653" s="27" t="n">
        <v>0.02</v>
      </c>
    </row>
    <row r="654" customFormat="1" s="85">
      <c r="A654" s="61" t="n">
        <v>44228</v>
      </c>
      <c r="B654" s="68">
        <f>VLOOKUP(Table5[[#This Row],[Date]],Database!A:E,5,)</f>
        <v/>
      </c>
      <c r="C654" s="14">
        <f>(B654-B653)/B653</f>
        <v/>
      </c>
      <c r="D654" s="14">
        <f>(B654-B642)/B642</f>
        <v/>
      </c>
      <c r="E654" s="15">
        <f>VLOOKUP(Table5[[#This Row],[Date]],'Fed Fund New'!$A:$C,2,FALSE)</f>
        <v/>
      </c>
      <c r="F654" s="27" t="n">
        <v>0.02</v>
      </c>
    </row>
    <row r="655" customFormat="1" s="85">
      <c r="A655" s="61" t="n">
        <v>44256</v>
      </c>
      <c r="B655" s="68">
        <f>VLOOKUP(Table5[[#This Row],[Date]],Database!A:E,5,)</f>
        <v/>
      </c>
      <c r="C655" s="14">
        <f>(B655-B654)/B654</f>
        <v/>
      </c>
      <c r="D655" s="14">
        <f>(B655-B643)/B643</f>
        <v/>
      </c>
      <c r="E655" s="15">
        <f>VLOOKUP(Table5[[#This Row],[Date]],'Fed Fund New'!$A:$C,2,FALSE)</f>
        <v/>
      </c>
      <c r="F655" s="27" t="n">
        <v>0.02</v>
      </c>
    </row>
    <row r="656" customFormat="1" s="85">
      <c r="A656" s="61" t="n">
        <v>44287</v>
      </c>
      <c r="B656" s="68">
        <f>VLOOKUP(Table5[[#This Row],[Date]],Database!A:E,5,)</f>
        <v/>
      </c>
      <c r="C656" s="14">
        <f>(B656-B655)/B655</f>
        <v/>
      </c>
      <c r="D656" s="14">
        <f>(B656-B644)/B644</f>
        <v/>
      </c>
      <c r="E656" s="15">
        <f>VLOOKUP(Table5[[#This Row],[Date]],'Fed Fund New'!$A:$C,2,FALSE)</f>
        <v/>
      </c>
      <c r="F656" s="27" t="n">
        <v>0.02</v>
      </c>
    </row>
    <row r="657" customFormat="1" s="85">
      <c r="A657" s="61" t="n">
        <v>44317</v>
      </c>
      <c r="B657" s="68">
        <f>VLOOKUP(Table5[[#This Row],[Date]],Database!A:E,5,)</f>
        <v/>
      </c>
      <c r="C657" s="14">
        <f>(B657-B656)/B656</f>
        <v/>
      </c>
      <c r="D657" s="14">
        <f>(B657-B645)/B645</f>
        <v/>
      </c>
      <c r="E657" s="15">
        <f>VLOOKUP(Table5[[#This Row],[Date]],'Fed Fund New'!$A:$C,2,FALSE)</f>
        <v/>
      </c>
      <c r="F657" s="27" t="n">
        <v>0.02</v>
      </c>
    </row>
    <row r="658" customFormat="1" s="85">
      <c r="A658" s="61" t="n">
        <v>44348</v>
      </c>
      <c r="B658" s="68">
        <f>VLOOKUP(Table5[[#This Row],[Date]],Database!A:E,5,)</f>
        <v/>
      </c>
      <c r="C658" s="14">
        <f>(B658-B657)/B657</f>
        <v/>
      </c>
      <c r="D658" s="14">
        <f>(B658-B646)/B646</f>
        <v/>
      </c>
      <c r="E658" s="15">
        <f>VLOOKUP(Table5[[#This Row],[Date]],'Fed Fund New'!$A:$C,2,FALSE)</f>
        <v/>
      </c>
      <c r="F658" s="27" t="n">
        <v>0.02</v>
      </c>
    </row>
    <row r="659" customFormat="1" s="85">
      <c r="A659" s="61" t="n">
        <v>44378</v>
      </c>
      <c r="B659" s="68">
        <f>VLOOKUP(Table5[[#This Row],[Date]],Database!A:E,5,)</f>
        <v/>
      </c>
      <c r="C659" s="14">
        <f>(B659-B658)/B658</f>
        <v/>
      </c>
      <c r="D659" s="14">
        <f>(B659-B647)/B647</f>
        <v/>
      </c>
      <c r="E659" s="15">
        <f>VLOOKUP(Table5[[#This Row],[Date]],'Fed Fund New'!$A:$C,2,FALSE)</f>
        <v/>
      </c>
      <c r="F659" s="27" t="n">
        <v>0.02</v>
      </c>
    </row>
    <row r="660" customFormat="1" s="85">
      <c r="A660" s="61" t="n">
        <v>44409</v>
      </c>
      <c r="B660" s="68">
        <f>VLOOKUP(Table5[[#This Row],[Date]],Database!A:E,5,)</f>
        <v/>
      </c>
      <c r="C660" s="14">
        <f>(B660-B659)/B659</f>
        <v/>
      </c>
      <c r="D660" s="14">
        <f>(B660-B648)/B648</f>
        <v/>
      </c>
      <c r="E660" s="15">
        <f>VLOOKUP(Table5[[#This Row],[Date]],'Fed Fund New'!$A:$C,2,FALSE)</f>
        <v/>
      </c>
      <c r="F660" s="27" t="n">
        <v>0.02</v>
      </c>
    </row>
    <row r="661" customFormat="1" s="85">
      <c r="A661" s="61" t="n">
        <v>44440</v>
      </c>
      <c r="B661" s="68">
        <f>VLOOKUP(Table5[[#This Row],[Date]],Database!A:E,5,)</f>
        <v/>
      </c>
      <c r="C661" s="14">
        <f>(B661-B660)/B660</f>
        <v/>
      </c>
      <c r="D661" s="14">
        <f>(B661-B649)/B649</f>
        <v/>
      </c>
      <c r="E661" s="15">
        <f>VLOOKUP(Table5[[#This Row],[Date]],'Fed Fund New'!$A:$C,2,FALSE)</f>
        <v/>
      </c>
      <c r="F661" s="27" t="n">
        <v>0.02</v>
      </c>
    </row>
    <row r="662" customFormat="1" s="85">
      <c r="A662" s="61" t="n">
        <v>44470</v>
      </c>
      <c r="B662" s="68">
        <f>VLOOKUP(Table5[[#This Row],[Date]],Database!A:E,5,)</f>
        <v/>
      </c>
      <c r="C662" s="14">
        <f>(B662-B661)/B661</f>
        <v/>
      </c>
      <c r="D662" s="14">
        <f>(B662-B650)/B650</f>
        <v/>
      </c>
      <c r="E662" s="15">
        <f>VLOOKUP(Table5[[#This Row],[Date]],'Fed Fund New'!$A:$C,2,FALSE)</f>
        <v/>
      </c>
      <c r="F662" s="27" t="n">
        <v>0.02</v>
      </c>
    </row>
    <row r="663" customFormat="1" s="85">
      <c r="A663" s="61" t="n">
        <v>44501</v>
      </c>
      <c r="B663" s="68">
        <f>VLOOKUP(Table5[[#This Row],[Date]],Database!A:E,5,)</f>
        <v/>
      </c>
      <c r="C663" s="14">
        <f>(B663-B662)/B662</f>
        <v/>
      </c>
      <c r="D663" s="14">
        <f>(B663-B651)/B651</f>
        <v/>
      </c>
      <c r="E663" s="15">
        <f>VLOOKUP(Table5[[#This Row],[Date]],'Fed Fund New'!$A:$C,2,FALSE)</f>
        <v/>
      </c>
      <c r="F663" s="27" t="n">
        <v>0.02</v>
      </c>
    </row>
    <row r="664" customFormat="1" s="85">
      <c r="A664" s="61" t="n">
        <v>44531</v>
      </c>
      <c r="B664" s="68">
        <f>VLOOKUP(Table5[[#This Row],[Date]],Database!A:E,5,)</f>
        <v/>
      </c>
      <c r="C664" s="14">
        <f>(B664-B663)/B663</f>
        <v/>
      </c>
      <c r="D664" s="14">
        <f>(B664-B652)/B652</f>
        <v/>
      </c>
      <c r="E664" s="15">
        <f>VLOOKUP(Table5[[#This Row],[Date]],'Fed Fund New'!$A:$C,2,FALSE)</f>
        <v/>
      </c>
      <c r="F664" s="27" t="n">
        <v>0.02</v>
      </c>
    </row>
    <row r="665" customFormat="1" s="85">
      <c r="A665" s="61" t="n">
        <v>44562</v>
      </c>
      <c r="B665" s="68">
        <f>VLOOKUP(Table5[[#This Row],[Date]],Database!A:E,5,)</f>
        <v/>
      </c>
      <c r="C665" s="14">
        <f>(B665-B664)/B664</f>
        <v/>
      </c>
      <c r="D665" s="14">
        <f>(B665-B653)/B653</f>
        <v/>
      </c>
      <c r="E665" s="15">
        <f>VLOOKUP(Table5[[#This Row],[Date]],'Fed Fund New'!$A:$C,2,FALSE)</f>
        <v/>
      </c>
      <c r="F665" s="27" t="n">
        <v>0.02</v>
      </c>
    </row>
    <row r="666" customFormat="1" s="85">
      <c r="A666" s="61" t="n">
        <v>44593</v>
      </c>
      <c r="B666" s="68">
        <f>VLOOKUP(Table5[[#This Row],[Date]],Database!A:E,5,)</f>
        <v/>
      </c>
      <c r="C666" s="14">
        <f>(B666-B665)/B665</f>
        <v/>
      </c>
      <c r="D666" s="14">
        <f>(B666-B654)/B654</f>
        <v/>
      </c>
      <c r="E666" s="15">
        <f>VLOOKUP(Table5[[#This Row],[Date]],'Fed Fund New'!$A:$C,2,FALSE)</f>
        <v/>
      </c>
      <c r="F666" s="27" t="n">
        <v>0.02</v>
      </c>
    </row>
    <row r="667" customFormat="1" s="85">
      <c r="A667" s="61" t="n">
        <v>44621</v>
      </c>
      <c r="B667" s="68">
        <f>VLOOKUP(Table5[[#This Row],[Date]],Database!A:E,5,)</f>
        <v/>
      </c>
      <c r="C667" s="14">
        <f>(B667-B666)/B666</f>
        <v/>
      </c>
      <c r="D667" s="14">
        <f>(B667-B655)/B655</f>
        <v/>
      </c>
      <c r="E667" s="15">
        <f>VLOOKUP(Table5[[#This Row],[Date]],'Fed Fund New'!$A:$C,2,FALSE)</f>
        <v/>
      </c>
      <c r="F667" s="27" t="n">
        <v>0.02</v>
      </c>
    </row>
    <row r="668" customFormat="1" s="85">
      <c r="A668" s="61" t="n">
        <v>44652</v>
      </c>
      <c r="B668" s="68">
        <f>VLOOKUP(Table5[[#This Row],[Date]],Database!A:E,5,)</f>
        <v/>
      </c>
      <c r="C668" s="14">
        <f>(B668-B667)/B667</f>
        <v/>
      </c>
      <c r="D668" s="14">
        <f>(B668-B656)/B656</f>
        <v/>
      </c>
      <c r="E668" s="15">
        <f>VLOOKUP(Table5[[#This Row],[Date]],'Fed Fund New'!$A:$C,2,FALSE)</f>
        <v/>
      </c>
      <c r="F668" s="27" t="n">
        <v>0.02</v>
      </c>
    </row>
    <row r="669" customFormat="1" s="85">
      <c r="A669" s="61" t="n">
        <v>44682</v>
      </c>
      <c r="B669" s="68">
        <f>VLOOKUP(Table5[[#This Row],[Date]],Database!A:E,5,)</f>
        <v/>
      </c>
      <c r="C669" s="14">
        <f>(B669-B668)/B668</f>
        <v/>
      </c>
      <c r="D669" s="14">
        <f>(B669-B657)/B657</f>
        <v/>
      </c>
      <c r="E669" s="15">
        <f>VLOOKUP(Table5[[#This Row],[Date]],'Fed Fund New'!$A:$C,2,FALSE)</f>
        <v/>
      </c>
      <c r="F669" s="27" t="n">
        <v>0.02</v>
      </c>
    </row>
    <row r="670" customFormat="1" s="85">
      <c r="A670" s="61" t="n">
        <v>44713</v>
      </c>
      <c r="B670" s="68">
        <f>VLOOKUP(Table5[[#This Row],[Date]],Database!A:E,5,)</f>
        <v/>
      </c>
      <c r="C670" s="14">
        <f>(B670-B669)/B669</f>
        <v/>
      </c>
      <c r="D670" s="14">
        <f>(B670-B658)/B658</f>
        <v/>
      </c>
      <c r="E670" s="15">
        <f>VLOOKUP(Table5[[#This Row],[Date]],'Fed Fund New'!$A:$C,2,FALSE)</f>
        <v/>
      </c>
      <c r="F670" s="27" t="n">
        <v>0.02</v>
      </c>
    </row>
    <row r="671" customFormat="1" s="85">
      <c r="A671" s="61" t="n">
        <v>44743</v>
      </c>
      <c r="B671" s="68">
        <f>VLOOKUP(Table5[[#This Row],[Date]],Database!A:E,5,)</f>
        <v/>
      </c>
      <c r="C671" s="14">
        <f>(B671-B670)/B670</f>
        <v/>
      </c>
      <c r="D671" s="14">
        <f>(B671-B659)/B659</f>
        <v/>
      </c>
      <c r="E671" s="15">
        <f>VLOOKUP(Table5[[#This Row],[Date]],'Fed Fund New'!$A:$C,2,FALSE)</f>
        <v/>
      </c>
      <c r="F671" s="27" t="n">
        <v>0.02</v>
      </c>
    </row>
    <row r="672" customFormat="1" s="85">
      <c r="A672" s="61" t="n">
        <v>44774</v>
      </c>
      <c r="B672" s="68">
        <f>VLOOKUP(Table5[[#This Row],[Date]],Database!A:E,5,)</f>
        <v/>
      </c>
      <c r="C672" s="14">
        <f>(B672-B671)/B671</f>
        <v/>
      </c>
      <c r="D672" s="14">
        <f>(B672-B660)/B660</f>
        <v/>
      </c>
      <c r="E672" s="15">
        <f>VLOOKUP(Table5[[#This Row],[Date]],'Fed Fund New'!$A:$C,2,FALSE)</f>
        <v/>
      </c>
      <c r="F672" s="27" t="n">
        <v>0.02</v>
      </c>
    </row>
    <row r="673" customFormat="1" s="85">
      <c r="A673" s="61" t="n">
        <v>44805</v>
      </c>
      <c r="B673" s="68">
        <f>VLOOKUP(Table5[[#This Row],[Date]],Database!A:E,5,)</f>
        <v/>
      </c>
      <c r="C673" s="14">
        <f>(B673-B672)/B672</f>
        <v/>
      </c>
      <c r="D673" s="14">
        <f>(B673-B661)/B661</f>
        <v/>
      </c>
      <c r="E673" s="15">
        <f>VLOOKUP(Table5[[#This Row],[Date]],'Fed Fund New'!$A:$C,2,FALSE)</f>
        <v/>
      </c>
      <c r="F673" s="27" t="n">
        <v>0.02</v>
      </c>
    </row>
    <row r="674" customFormat="1" s="85">
      <c r="A674" s="2" t="n"/>
      <c r="B674" s="64" t="n"/>
      <c r="C674" s="2" t="n"/>
      <c r="D674" s="2" t="n"/>
      <c r="E674" s="11" t="n"/>
      <c r="F674" s="5" t="n"/>
    </row>
    <row r="675" customFormat="1" s="85">
      <c r="A675" s="2" t="n"/>
      <c r="B675" s="64" t="n"/>
      <c r="C675" s="2" t="n"/>
      <c r="D675" s="2" t="n"/>
      <c r="E675" s="11" t="n"/>
      <c r="F675" s="5" t="n"/>
    </row>
    <row r="676" customFormat="1" s="85">
      <c r="A676" s="2" t="n"/>
      <c r="B676" s="64" t="n"/>
      <c r="C676" s="2" t="n"/>
      <c r="D676" s="2" t="n"/>
      <c r="E676" s="11" t="n"/>
      <c r="F676" s="5" t="n"/>
    </row>
    <row r="677" customFormat="1" s="85">
      <c r="A677" s="2" t="n"/>
      <c r="B677" s="64" t="n"/>
      <c r="C677" s="2" t="n"/>
      <c r="D677" s="2" t="n"/>
      <c r="E677" s="11" t="n"/>
      <c r="F677" s="5" t="n"/>
    </row>
    <row r="678" customFormat="1" s="85">
      <c r="A678" s="2" t="n"/>
      <c r="B678" s="64" t="n"/>
      <c r="C678" s="2" t="n"/>
      <c r="D678" s="2" t="n"/>
      <c r="E678" s="11" t="n"/>
      <c r="F678" s="5" t="n"/>
    </row>
    <row r="679" customFormat="1" s="85">
      <c r="A679" s="2" t="n"/>
      <c r="B679" s="64" t="n"/>
      <c r="C679" s="2" t="n"/>
      <c r="D679" s="2" t="n"/>
      <c r="E679" s="11" t="n"/>
      <c r="F679" s="5" t="n"/>
    </row>
    <row r="680" customFormat="1" s="85">
      <c r="A680" s="2" t="n"/>
      <c r="B680" s="64" t="n"/>
      <c r="C680" s="2" t="n"/>
      <c r="D680" s="2" t="n"/>
      <c r="E680" s="11" t="n"/>
      <c r="F680" s="5" t="n"/>
    </row>
    <row r="681" customFormat="1" s="85">
      <c r="A681" s="2" t="n"/>
      <c r="B681" s="64" t="n"/>
      <c r="C681" s="2" t="n"/>
      <c r="D681" s="2" t="n"/>
      <c r="E681" s="11" t="n"/>
      <c r="F681" s="5" t="n"/>
    </row>
    <row r="682" customFormat="1" s="85">
      <c r="A682" s="2" t="n"/>
      <c r="B682" s="64" t="n"/>
      <c r="C682" s="2" t="n"/>
      <c r="D682" s="2" t="n"/>
      <c r="E682" s="11" t="n"/>
      <c r="F682" s="5" t="n"/>
    </row>
    <row r="683" customFormat="1" s="85">
      <c r="A683" s="2" t="n"/>
      <c r="B683" s="64" t="n"/>
      <c r="C683" s="2" t="n"/>
      <c r="D683" s="2" t="n"/>
      <c r="E683" s="11" t="n"/>
      <c r="F683" s="5" t="n"/>
    </row>
    <row r="684" customFormat="1" s="85">
      <c r="A684" s="2" t="n"/>
      <c r="B684" s="64" t="n"/>
      <c r="C684" s="2" t="n"/>
      <c r="D684" s="2" t="n"/>
      <c r="E684" s="11" t="n"/>
      <c r="F684" s="5" t="n"/>
    </row>
    <row r="685" customFormat="1" s="85">
      <c r="A685" s="2" t="n"/>
      <c r="B685" s="64" t="n"/>
      <c r="C685" s="2" t="n"/>
      <c r="D685" s="2" t="n"/>
      <c r="E685" s="11" t="n"/>
      <c r="F685" s="5" t="n"/>
    </row>
    <row r="686" customFormat="1" s="85">
      <c r="A686" s="2" t="n"/>
      <c r="B686" s="64" t="n"/>
      <c r="C686" s="2" t="n"/>
      <c r="D686" s="2" t="n"/>
      <c r="E686" s="11" t="n"/>
      <c r="F686" s="5" t="n"/>
    </row>
    <row r="687" customFormat="1" s="85">
      <c r="A687" s="2" t="n"/>
      <c r="B687" s="64" t="n"/>
      <c r="C687" s="2" t="n"/>
      <c r="D687" s="2" t="n"/>
      <c r="E687" s="11" t="n"/>
      <c r="F687" s="5" t="n"/>
    </row>
    <row r="688" customFormat="1" s="85">
      <c r="A688" s="2" t="n"/>
      <c r="B688" s="64" t="n"/>
      <c r="C688" s="2" t="n"/>
      <c r="D688" s="2" t="n"/>
      <c r="E688" s="11" t="n"/>
      <c r="F688" s="5" t="n"/>
    </row>
    <row r="689" customFormat="1" s="85">
      <c r="A689" s="2" t="n"/>
      <c r="B689" s="64" t="n"/>
      <c r="C689" s="2" t="n"/>
      <c r="D689" s="2" t="n"/>
      <c r="E689" s="11" t="n"/>
      <c r="F689" s="5" t="n"/>
    </row>
    <row r="690" customFormat="1" s="85">
      <c r="A690" s="2" t="n"/>
      <c r="B690" s="64" t="n"/>
      <c r="C690" s="2" t="n"/>
      <c r="D690" s="2" t="n"/>
      <c r="E690" s="11" t="n"/>
      <c r="F690" s="5" t="n"/>
    </row>
    <row r="691" customFormat="1" s="85">
      <c r="A691" s="2" t="n"/>
      <c r="B691" s="64" t="n"/>
      <c r="C691" s="2" t="n"/>
      <c r="D691" s="2" t="n"/>
      <c r="E691" s="11" t="n"/>
      <c r="F691" s="5" t="n"/>
    </row>
    <row r="692" customFormat="1" s="85">
      <c r="A692" s="2" t="n"/>
      <c r="B692" s="64" t="n"/>
      <c r="C692" s="2" t="n"/>
      <c r="D692" s="2" t="n"/>
      <c r="E692" s="11" t="n"/>
      <c r="F692" s="5" t="n"/>
    </row>
    <row r="693" customFormat="1" s="85">
      <c r="A693" s="2" t="n"/>
      <c r="B693" s="64" t="n"/>
      <c r="C693" s="2" t="n"/>
      <c r="D693" s="2" t="n"/>
      <c r="E693" s="11" t="n"/>
      <c r="F693" s="5" t="n"/>
    </row>
    <row r="694" customFormat="1" s="85">
      <c r="A694" s="2" t="n"/>
      <c r="B694" s="64" t="n"/>
      <c r="C694" s="2" t="n"/>
      <c r="D694" s="2" t="n"/>
      <c r="E694" s="11" t="n"/>
      <c r="F694" s="5" t="n"/>
    </row>
    <row r="695" customFormat="1" s="85">
      <c r="A695" s="2" t="n"/>
      <c r="B695" s="64" t="n"/>
      <c r="C695" s="2" t="n"/>
      <c r="D695" s="2" t="n"/>
      <c r="E695" s="11" t="n"/>
      <c r="F695" s="5" t="n"/>
    </row>
    <row r="696" customFormat="1" s="85">
      <c r="A696" s="2" t="n"/>
      <c r="B696" s="64" t="n"/>
      <c r="C696" s="2" t="n"/>
      <c r="D696" s="2" t="n"/>
      <c r="E696" s="11" t="n"/>
      <c r="F696" s="5" t="n"/>
    </row>
    <row r="697" customFormat="1" s="85">
      <c r="A697" s="2" t="n"/>
      <c r="B697" s="64" t="n"/>
      <c r="C697" s="2" t="n"/>
      <c r="D697" s="2" t="n"/>
      <c r="E697" s="11" t="n"/>
      <c r="F697" s="5" t="n"/>
    </row>
    <row r="698" customFormat="1" s="85">
      <c r="A698" s="2" t="n"/>
      <c r="B698" s="64" t="n"/>
      <c r="C698" s="2" t="n"/>
      <c r="D698" s="2" t="n"/>
      <c r="E698" s="11" t="n"/>
      <c r="F698" s="5" t="n"/>
    </row>
    <row r="699" customFormat="1" s="85">
      <c r="A699" s="2" t="n"/>
      <c r="B699" s="64" t="n"/>
      <c r="C699" s="2" t="n"/>
      <c r="D699" s="2" t="n"/>
      <c r="E699" s="11" t="n"/>
      <c r="F699" s="5" t="n"/>
    </row>
    <row r="700" customFormat="1" s="85">
      <c r="A700" s="2" t="n"/>
      <c r="B700" s="64" t="n"/>
      <c r="C700" s="2" t="n"/>
      <c r="D700" s="2" t="n"/>
      <c r="E700" s="11" t="n"/>
      <c r="F700" s="5" t="n"/>
    </row>
    <row r="701" customFormat="1" s="85">
      <c r="A701" s="2" t="n"/>
      <c r="B701" s="64" t="n"/>
      <c r="C701" s="2" t="n"/>
      <c r="D701" s="2" t="n"/>
      <c r="E701" s="11" t="n"/>
      <c r="F701" s="5" t="n"/>
    </row>
    <row r="702" customFormat="1" s="85">
      <c r="A702" s="2" t="n"/>
      <c r="B702" s="64" t="n"/>
      <c r="C702" s="2" t="n"/>
      <c r="D702" s="2" t="n"/>
      <c r="E702" s="11" t="n"/>
      <c r="F702" s="5" t="n"/>
    </row>
    <row r="703" customFormat="1" s="85">
      <c r="A703" s="2" t="n"/>
      <c r="B703" s="64" t="n"/>
      <c r="C703" s="2" t="n"/>
      <c r="D703" s="2" t="n"/>
      <c r="E703" s="11" t="n"/>
      <c r="F703" s="5" t="n"/>
    </row>
    <row r="704" customFormat="1" s="85">
      <c r="A704" s="2" t="n"/>
      <c r="B704" s="64" t="n"/>
      <c r="C704" s="2" t="n"/>
      <c r="D704" s="2" t="n"/>
      <c r="E704" s="11" t="n"/>
      <c r="F704" s="5" t="n"/>
    </row>
    <row r="705" customFormat="1" s="85">
      <c r="A705" s="2" t="n"/>
      <c r="B705" s="64" t="n"/>
      <c r="C705" s="2" t="n"/>
      <c r="D705" s="2" t="n"/>
      <c r="E705" s="11" t="n"/>
      <c r="F705" s="5" t="n"/>
    </row>
    <row r="706" customFormat="1" s="85">
      <c r="A706" s="2" t="n"/>
      <c r="B706" s="64" t="n"/>
      <c r="C706" s="2" t="n"/>
      <c r="D706" s="2" t="n"/>
      <c r="E706" s="11" t="n"/>
      <c r="F706" s="5" t="n"/>
    </row>
    <row r="707" customFormat="1" s="85">
      <c r="A707" s="2" t="n"/>
      <c r="B707" s="64" t="n"/>
      <c r="C707" s="2" t="n"/>
      <c r="D707" s="2" t="n"/>
      <c r="E707" s="11" t="n"/>
      <c r="F707" s="5" t="n"/>
    </row>
    <row r="708" customFormat="1" s="85">
      <c r="A708" s="2" t="n"/>
      <c r="B708" s="64" t="n"/>
      <c r="C708" s="2" t="n"/>
      <c r="D708" s="2" t="n"/>
      <c r="E708" s="11" t="n"/>
      <c r="F708" s="5" t="n"/>
    </row>
    <row r="709" customFormat="1" s="85">
      <c r="A709" s="2" t="n"/>
      <c r="B709" s="64" t="n"/>
      <c r="C709" s="2" t="n"/>
      <c r="D709" s="2" t="n"/>
      <c r="E709" s="11" t="n"/>
      <c r="F709" s="5" t="n"/>
    </row>
    <row r="710" customFormat="1" s="85">
      <c r="A710" s="2" t="n"/>
      <c r="B710" s="64" t="n"/>
      <c r="C710" s="2" t="n"/>
      <c r="D710" s="2" t="n"/>
      <c r="E710" s="11" t="n"/>
      <c r="F710" s="5" t="n"/>
    </row>
    <row r="711" customFormat="1" s="85">
      <c r="A711" s="2" t="n"/>
      <c r="B711" s="64" t="n"/>
      <c r="C711" s="2" t="n"/>
      <c r="D711" s="2" t="n"/>
      <c r="E711" s="11" t="n"/>
      <c r="F711" s="5" t="n"/>
    </row>
    <row r="712" customFormat="1" s="85">
      <c r="A712" s="2" t="n"/>
      <c r="B712" s="64" t="n"/>
      <c r="C712" s="2" t="n"/>
      <c r="D712" s="2" t="n"/>
      <c r="E712" s="11" t="n"/>
      <c r="F712" s="5" t="n"/>
    </row>
    <row r="713" customFormat="1" s="85">
      <c r="A713" s="2" t="n"/>
      <c r="B713" s="64" t="n"/>
      <c r="C713" s="2" t="n"/>
      <c r="D713" s="2" t="n"/>
      <c r="E713" s="11" t="n"/>
      <c r="F713" s="5" t="n"/>
    </row>
    <row r="714" customFormat="1" s="85">
      <c r="A714" s="2" t="n"/>
      <c r="B714" s="64" t="n"/>
      <c r="C714" s="2" t="n"/>
      <c r="D714" s="2" t="n"/>
      <c r="E714" s="11" t="n"/>
      <c r="F714" s="5" t="n"/>
    </row>
    <row r="715" customFormat="1" s="85">
      <c r="A715" s="2" t="n"/>
      <c r="B715" s="64" t="n"/>
      <c r="C715" s="2" t="n"/>
      <c r="D715" s="2" t="n"/>
      <c r="E715" s="11" t="n"/>
      <c r="F715" s="5" t="n"/>
    </row>
    <row r="716" customFormat="1" s="85">
      <c r="A716" s="2" t="n"/>
      <c r="B716" s="64" t="n"/>
      <c r="C716" s="2" t="n"/>
      <c r="D716" s="2" t="n"/>
      <c r="E716" s="11" t="n"/>
      <c r="F716" s="5" t="n"/>
    </row>
    <row r="717" customFormat="1" s="85">
      <c r="A717" s="2" t="n"/>
      <c r="B717" s="64" t="n"/>
      <c r="C717" s="2" t="n"/>
      <c r="D717" s="2" t="n"/>
      <c r="E717" s="11" t="n"/>
      <c r="F717" s="5" t="n"/>
    </row>
    <row r="718" customFormat="1" s="85">
      <c r="A718" s="2" t="n"/>
      <c r="B718" s="64" t="n"/>
      <c r="C718" s="2" t="n"/>
      <c r="D718" s="2" t="n"/>
      <c r="E718" s="11" t="n"/>
      <c r="F718" s="5" t="n"/>
    </row>
    <row r="719" customFormat="1" s="85">
      <c r="A719" s="2" t="n"/>
      <c r="B719" s="64" t="n"/>
      <c r="C719" s="2" t="n"/>
      <c r="D719" s="2" t="n"/>
      <c r="E719" s="11" t="n"/>
      <c r="F719" s="5" t="n"/>
    </row>
    <row r="720" customFormat="1" s="85">
      <c r="A720" s="2" t="n"/>
      <c r="B720" s="64" t="n"/>
      <c r="C720" s="2" t="n"/>
      <c r="D720" s="2" t="n"/>
      <c r="E720" s="11" t="n"/>
      <c r="F720" s="5" t="n"/>
    </row>
    <row r="721" customFormat="1" s="85">
      <c r="A721" s="2" t="n"/>
      <c r="B721" s="64" t="n"/>
      <c r="C721" s="2" t="n"/>
      <c r="D721" s="2" t="n"/>
      <c r="E721" s="11" t="n"/>
      <c r="F721" s="5" t="n"/>
    </row>
    <row r="722" customFormat="1" s="85">
      <c r="A722" s="2" t="n"/>
      <c r="B722" s="64" t="n"/>
      <c r="C722" s="2" t="n"/>
      <c r="D722" s="2" t="n"/>
      <c r="E722" s="11" t="n"/>
      <c r="F722" s="5" t="n"/>
    </row>
    <row r="723" customFormat="1" s="85">
      <c r="A723" s="2" t="n"/>
      <c r="B723" s="64" t="n"/>
      <c r="C723" s="2" t="n"/>
      <c r="D723" s="2" t="n"/>
      <c r="E723" s="11" t="n"/>
      <c r="F723" s="5" t="n"/>
    </row>
    <row r="724" customFormat="1" s="85">
      <c r="A724" s="2" t="n"/>
      <c r="B724" s="64" t="n"/>
      <c r="C724" s="2" t="n"/>
      <c r="D724" s="2" t="n"/>
      <c r="E724" s="11" t="n"/>
      <c r="F724" s="5" t="n"/>
    </row>
    <row r="725" customFormat="1" s="85">
      <c r="A725" s="2" t="n"/>
      <c r="B725" s="64" t="n"/>
      <c r="C725" s="2" t="n"/>
      <c r="D725" s="2" t="n"/>
      <c r="E725" s="11" t="n"/>
      <c r="F725" s="5" t="n"/>
    </row>
    <row r="726" customFormat="1" s="85">
      <c r="A726" s="2" t="n"/>
      <c r="B726" s="64" t="n"/>
      <c r="C726" s="2" t="n"/>
      <c r="D726" s="2" t="n"/>
      <c r="E726" s="11" t="n"/>
      <c r="F726" s="5" t="n"/>
    </row>
    <row r="727" customFormat="1" s="85">
      <c r="A727" s="2" t="n"/>
      <c r="B727" s="64" t="n"/>
      <c r="C727" s="2" t="n"/>
      <c r="D727" s="2" t="n"/>
      <c r="E727" s="11" t="n"/>
      <c r="F727" s="5" t="n"/>
    </row>
    <row r="728" customFormat="1" s="85">
      <c r="A728" s="2" t="n"/>
      <c r="B728" s="64" t="n"/>
      <c r="C728" s="2" t="n"/>
      <c r="D728" s="2" t="n"/>
      <c r="E728" s="11" t="n"/>
      <c r="F728" s="5" t="n"/>
    </row>
    <row r="729" customFormat="1" s="85">
      <c r="A729" s="2" t="n"/>
      <c r="B729" s="64" t="n"/>
      <c r="C729" s="2" t="n"/>
      <c r="D729" s="2" t="n"/>
      <c r="E729" s="11" t="n"/>
      <c r="F729" s="5" t="n"/>
    </row>
    <row r="730" customFormat="1" s="85">
      <c r="A730" s="2" t="n"/>
      <c r="B730" s="64" t="n"/>
      <c r="C730" s="2" t="n"/>
      <c r="D730" s="2" t="n"/>
      <c r="E730" s="11" t="n"/>
      <c r="F730" s="5" t="n"/>
    </row>
    <row r="731" customFormat="1" s="85">
      <c r="A731" s="2" t="n"/>
      <c r="B731" s="64" t="n"/>
      <c r="C731" s="2" t="n"/>
      <c r="D731" s="2" t="n"/>
      <c r="E731" s="11" t="n"/>
      <c r="F731" s="5" t="n"/>
    </row>
    <row r="732" customFormat="1" s="85">
      <c r="A732" s="2" t="n"/>
      <c r="B732" s="64" t="n"/>
      <c r="C732" s="2" t="n"/>
      <c r="D732" s="2" t="n"/>
      <c r="E732" s="11" t="n"/>
      <c r="F732" s="5" t="n"/>
    </row>
    <row r="733" customFormat="1" s="85">
      <c r="A733" s="2" t="n"/>
      <c r="B733" s="64" t="n"/>
      <c r="C733" s="2" t="n"/>
      <c r="D733" s="2" t="n"/>
      <c r="E733" s="11" t="n"/>
      <c r="F733" s="5" t="n"/>
    </row>
    <row r="734" customFormat="1" s="85">
      <c r="A734" s="2" t="n"/>
      <c r="B734" s="64" t="n"/>
      <c r="C734" s="2" t="n"/>
      <c r="D734" s="2" t="n"/>
      <c r="E734" s="11" t="n"/>
      <c r="F734" s="5" t="n"/>
    </row>
    <row r="735" customFormat="1" s="85">
      <c r="A735" s="2" t="n"/>
      <c r="B735" s="64" t="n"/>
      <c r="C735" s="2" t="n"/>
      <c r="D735" s="2" t="n"/>
      <c r="E735" s="11" t="n"/>
      <c r="F735" s="5" t="n"/>
    </row>
    <row r="736" customFormat="1" s="85">
      <c r="A736" s="2" t="n"/>
      <c r="B736" s="64" t="n"/>
      <c r="C736" s="2" t="n"/>
      <c r="D736" s="2" t="n"/>
      <c r="E736" s="11" t="n"/>
      <c r="F736" s="5" t="n"/>
    </row>
    <row r="737" customFormat="1" s="85">
      <c r="A737" s="2" t="n"/>
      <c r="B737" s="64" t="n"/>
      <c r="C737" s="2" t="n"/>
      <c r="D737" s="2" t="n"/>
      <c r="E737" s="11" t="n"/>
      <c r="F737" s="5" t="n"/>
    </row>
    <row r="738" customFormat="1" s="85">
      <c r="A738" s="2" t="n"/>
      <c r="B738" s="64" t="n"/>
      <c r="C738" s="2" t="n"/>
      <c r="D738" s="2" t="n"/>
      <c r="E738" s="11" t="n"/>
      <c r="F738" s="5" t="n"/>
    </row>
    <row r="739" customFormat="1" s="85">
      <c r="A739" s="2" t="n"/>
      <c r="B739" s="64" t="n"/>
      <c r="C739" s="2" t="n"/>
      <c r="D739" s="2" t="n"/>
      <c r="E739" s="11" t="n"/>
      <c r="F739" s="5" t="n"/>
    </row>
    <row r="740" customFormat="1" s="85">
      <c r="A740" s="2" t="n"/>
      <c r="B740" s="64" t="n"/>
      <c r="C740" s="2" t="n"/>
      <c r="D740" s="2" t="n"/>
      <c r="E740" s="11" t="n"/>
      <c r="F740" s="5" t="n"/>
    </row>
    <row r="741" customFormat="1" s="85">
      <c r="A741" s="2" t="n"/>
      <c r="B741" s="64" t="n"/>
      <c r="C741" s="2" t="n"/>
      <c r="D741" s="2" t="n"/>
      <c r="E741" s="11" t="n"/>
      <c r="F741" s="5" t="n"/>
    </row>
    <row r="742" customFormat="1" s="85">
      <c r="A742" s="2" t="n"/>
      <c r="B742" s="64" t="n"/>
      <c r="C742" s="2" t="n"/>
      <c r="D742" s="2" t="n"/>
      <c r="E742" s="11" t="n"/>
      <c r="F742" s="5" t="n"/>
    </row>
    <row r="743" customFormat="1" s="85">
      <c r="A743" s="2" t="n"/>
      <c r="B743" s="64" t="n"/>
      <c r="C743" s="2" t="n"/>
      <c r="D743" s="2" t="n"/>
      <c r="E743" s="11" t="n"/>
      <c r="F743" s="5" t="n"/>
    </row>
    <row r="744" customFormat="1" s="85">
      <c r="A744" s="2" t="n"/>
      <c r="B744" s="64" t="n"/>
      <c r="C744" s="2" t="n"/>
      <c r="D744" s="2" t="n"/>
      <c r="E744" s="11" t="n"/>
      <c r="F744" s="5" t="n"/>
    </row>
    <row r="745" customFormat="1" s="85">
      <c r="A745" s="2" t="n"/>
      <c r="B745" s="64" t="n"/>
      <c r="C745" s="2" t="n"/>
      <c r="D745" s="2" t="n"/>
      <c r="E745" s="11" t="n"/>
      <c r="F745" s="5" t="n"/>
    </row>
    <row r="746" customFormat="1" s="85">
      <c r="A746" s="2" t="n"/>
      <c r="B746" s="64" t="n"/>
      <c r="C746" s="2" t="n"/>
      <c r="D746" s="2" t="n"/>
      <c r="E746" s="11" t="n"/>
      <c r="F746" s="5" t="n"/>
    </row>
    <row r="747" customFormat="1" s="85">
      <c r="A747" s="2" t="n"/>
      <c r="B747" s="64" t="n"/>
      <c r="C747" s="2" t="n"/>
      <c r="D747" s="2" t="n"/>
      <c r="E747" s="11" t="n"/>
      <c r="F747" s="5" t="n"/>
    </row>
    <row r="748" customFormat="1" s="85">
      <c r="A748" s="2" t="n"/>
      <c r="B748" s="64" t="n"/>
      <c r="C748" s="2" t="n"/>
      <c r="D748" s="2" t="n"/>
      <c r="E748" s="11" t="n"/>
      <c r="F748" s="5" t="n"/>
    </row>
    <row r="749" customFormat="1" s="85">
      <c r="A749" s="2" t="n"/>
      <c r="B749" s="64" t="n"/>
      <c r="C749" s="2" t="n"/>
      <c r="D749" s="2" t="n"/>
      <c r="E749" s="11" t="n"/>
      <c r="F749" s="5" t="n"/>
    </row>
    <row r="750" customFormat="1" s="85">
      <c r="A750" s="2" t="n"/>
      <c r="B750" s="64" t="n"/>
      <c r="C750" s="2" t="n"/>
      <c r="D750" s="2" t="n"/>
      <c r="E750" s="11" t="n"/>
      <c r="F750" s="5" t="n"/>
    </row>
    <row r="751" customFormat="1" s="85">
      <c r="A751" s="2" t="n"/>
      <c r="B751" s="64" t="n"/>
      <c r="C751" s="2" t="n"/>
      <c r="D751" s="2" t="n"/>
      <c r="E751" s="11" t="n"/>
      <c r="F751" s="5" t="n"/>
    </row>
    <row r="752" customFormat="1" s="85">
      <c r="A752" s="2" t="n"/>
      <c r="B752" s="64" t="n"/>
      <c r="C752" s="2" t="n"/>
      <c r="D752" s="2" t="n"/>
      <c r="E752" s="11" t="n"/>
      <c r="F752" s="5" t="n"/>
    </row>
    <row r="753" customFormat="1" s="85">
      <c r="A753" s="2" t="n"/>
      <c r="B753" s="64" t="n"/>
      <c r="C753" s="2" t="n"/>
      <c r="D753" s="2" t="n"/>
      <c r="E753" s="11" t="n"/>
      <c r="F753" s="5" t="n"/>
    </row>
    <row r="754" customFormat="1" s="85">
      <c r="A754" s="2" t="n"/>
      <c r="B754" s="64" t="n"/>
      <c r="C754" s="2" t="n"/>
      <c r="D754" s="2" t="n"/>
      <c r="E754" s="11" t="n"/>
      <c r="F754" s="5" t="n"/>
    </row>
    <row r="755" customFormat="1" s="85">
      <c r="A755" s="2" t="n"/>
      <c r="B755" s="64" t="n"/>
      <c r="C755" s="2" t="n"/>
      <c r="D755" s="2" t="n"/>
      <c r="E755" s="11" t="n"/>
      <c r="F755" s="5" t="n"/>
    </row>
    <row r="756" customFormat="1" s="85">
      <c r="A756" s="2" t="n"/>
      <c r="B756" s="64" t="n"/>
      <c r="C756" s="2" t="n"/>
      <c r="D756" s="2" t="n"/>
      <c r="E756" s="11" t="n"/>
      <c r="F756" s="5" t="n"/>
    </row>
    <row r="757" customFormat="1" s="85">
      <c r="A757" s="2" t="n"/>
      <c r="B757" s="64" t="n"/>
      <c r="C757" s="2" t="n"/>
      <c r="D757" s="2" t="n"/>
      <c r="E757" s="11" t="n"/>
      <c r="F757" s="5" t="n"/>
    </row>
    <row r="758" customFormat="1" s="85">
      <c r="A758" s="2" t="n"/>
      <c r="B758" s="64" t="n"/>
      <c r="C758" s="2" t="n"/>
      <c r="D758" s="2" t="n"/>
      <c r="E758" s="11" t="n"/>
      <c r="F758" s="5" t="n"/>
    </row>
    <row r="759" customFormat="1" s="85">
      <c r="A759" s="2" t="n"/>
      <c r="B759" s="64" t="n"/>
      <c r="C759" s="2" t="n"/>
      <c r="D759" s="2" t="n"/>
      <c r="E759" s="11" t="n"/>
      <c r="F759" s="5" t="n"/>
    </row>
    <row r="760" customFormat="1" s="85">
      <c r="A760" s="2" t="n"/>
      <c r="B760" s="64" t="n"/>
      <c r="C760" s="2" t="n"/>
      <c r="D760" s="2" t="n"/>
      <c r="E760" s="11" t="n"/>
      <c r="F760" s="5" t="n"/>
    </row>
    <row r="761" customFormat="1" s="85">
      <c r="A761" s="2" t="n"/>
      <c r="B761" s="64" t="n"/>
      <c r="C761" s="2" t="n"/>
      <c r="D761" s="2" t="n"/>
      <c r="E761" s="11" t="n"/>
      <c r="F761" s="5" t="n"/>
    </row>
    <row r="762" customFormat="1" s="85">
      <c r="A762" s="2" t="n"/>
      <c r="B762" s="64" t="n"/>
      <c r="C762" s="2" t="n"/>
      <c r="D762" s="2" t="n"/>
      <c r="E762" s="11" t="n"/>
      <c r="F762" s="5" t="n"/>
    </row>
    <row r="763" customFormat="1" s="85">
      <c r="A763" s="2" t="n"/>
      <c r="B763" s="64" t="n"/>
      <c r="C763" s="2" t="n"/>
      <c r="D763" s="2" t="n"/>
      <c r="E763" s="11" t="n"/>
      <c r="F763" s="5" t="n"/>
    </row>
    <row r="764" customFormat="1" s="85">
      <c r="A764" s="2" t="n"/>
      <c r="B764" s="64" t="n"/>
      <c r="C764" s="2" t="n"/>
      <c r="D764" s="2" t="n"/>
      <c r="E764" s="11" t="n"/>
      <c r="F764" s="5" t="n"/>
    </row>
    <row r="765" customFormat="1" s="85">
      <c r="A765" s="2" t="n"/>
      <c r="B765" s="64" t="n"/>
      <c r="C765" s="2" t="n"/>
      <c r="D765" s="2" t="n"/>
      <c r="E765" s="11" t="n"/>
      <c r="F765" s="5" t="n"/>
    </row>
    <row r="766" customFormat="1" s="85">
      <c r="A766" s="2" t="n"/>
      <c r="B766" s="64" t="n"/>
      <c r="C766" s="2" t="n"/>
      <c r="D766" s="2" t="n"/>
      <c r="E766" s="11" t="n"/>
      <c r="F766" s="5" t="n"/>
    </row>
    <row r="767" customFormat="1" s="85">
      <c r="A767" s="2" t="n"/>
      <c r="B767" s="64" t="n"/>
      <c r="C767" s="2" t="n"/>
      <c r="D767" s="2" t="n"/>
      <c r="E767" s="11" t="n"/>
      <c r="F767" s="5" t="n"/>
    </row>
    <row r="768" customFormat="1" s="85">
      <c r="A768" s="2" t="n"/>
      <c r="B768" s="64" t="n"/>
      <c r="C768" s="2" t="n"/>
      <c r="D768" s="2" t="n"/>
      <c r="E768" s="11" t="n"/>
      <c r="F768" s="5" t="n"/>
    </row>
    <row r="769" customFormat="1" s="85">
      <c r="A769" s="2" t="n"/>
      <c r="B769" s="64" t="n"/>
      <c r="C769" s="2" t="n"/>
      <c r="D769" s="2" t="n"/>
      <c r="E769" s="11" t="n"/>
      <c r="F769" s="5" t="n"/>
    </row>
    <row r="770" customFormat="1" s="85">
      <c r="A770" s="2" t="n"/>
      <c r="B770" s="64" t="n"/>
      <c r="C770" s="2" t="n"/>
      <c r="D770" s="2" t="n"/>
      <c r="E770" s="11" t="n"/>
      <c r="F770" s="5" t="n"/>
    </row>
    <row r="771" customFormat="1" s="85">
      <c r="A771" s="2" t="n"/>
      <c r="B771" s="64" t="n"/>
      <c r="C771" s="2" t="n"/>
      <c r="D771" s="2" t="n"/>
      <c r="E771" s="11" t="n"/>
      <c r="F771" s="5" t="n"/>
    </row>
    <row r="772" customFormat="1" s="85">
      <c r="A772" s="2" t="n"/>
      <c r="B772" s="64" t="n"/>
      <c r="C772" s="2" t="n"/>
      <c r="D772" s="2" t="n"/>
      <c r="E772" s="11" t="n"/>
      <c r="F772" s="5" t="n"/>
    </row>
    <row r="773" customFormat="1" s="85">
      <c r="A773" s="2" t="n"/>
      <c r="B773" s="64" t="n"/>
      <c r="C773" s="2" t="n"/>
      <c r="D773" s="2" t="n"/>
      <c r="E773" s="11" t="n"/>
      <c r="F773" s="5" t="n"/>
    </row>
    <row r="774" customFormat="1" s="85">
      <c r="A774" s="2" t="n"/>
      <c r="B774" s="64" t="n"/>
      <c r="C774" s="2" t="n"/>
      <c r="D774" s="2" t="n"/>
      <c r="E774" s="11" t="n"/>
      <c r="F774" s="5" t="n"/>
    </row>
    <row r="775" customFormat="1" s="85">
      <c r="A775" s="2" t="n"/>
      <c r="B775" s="64" t="n"/>
      <c r="C775" s="2" t="n"/>
      <c r="D775" s="2" t="n"/>
      <c r="E775" s="11" t="n"/>
      <c r="F775" s="5" t="n"/>
    </row>
    <row r="776" customFormat="1" s="85">
      <c r="A776" s="2" t="n"/>
      <c r="B776" s="64" t="n"/>
      <c r="C776" s="2" t="n"/>
      <c r="D776" s="2" t="n"/>
      <c r="E776" s="11" t="n"/>
      <c r="F776" s="5" t="n"/>
    </row>
    <row r="777" customFormat="1" s="85">
      <c r="A777" s="2" t="n"/>
      <c r="B777" s="64" t="n"/>
      <c r="C777" s="2" t="n"/>
      <c r="D777" s="2" t="n"/>
      <c r="E777" s="11" t="n"/>
      <c r="F777" s="5" t="n"/>
    </row>
    <row r="778" customFormat="1" s="85">
      <c r="A778" s="2" t="n"/>
      <c r="B778" s="64" t="n"/>
      <c r="C778" s="2" t="n"/>
      <c r="D778" s="2" t="n"/>
      <c r="E778" s="11" t="n"/>
      <c r="F778" s="5" t="n"/>
    </row>
    <row r="779" customFormat="1" s="85">
      <c r="A779" s="2" t="n"/>
      <c r="B779" s="64" t="n"/>
      <c r="C779" s="2" t="n"/>
      <c r="D779" s="2" t="n"/>
      <c r="E779" s="11" t="n"/>
      <c r="F779" s="5" t="n"/>
    </row>
    <row r="780" customFormat="1" s="85">
      <c r="A780" s="2" t="n"/>
      <c r="B780" s="64" t="n"/>
      <c r="C780" s="2" t="n"/>
      <c r="D780" s="2" t="n"/>
      <c r="E780" s="11" t="n"/>
      <c r="F780" s="5" t="n"/>
    </row>
    <row r="781" customFormat="1" s="85">
      <c r="A781" s="2" t="n"/>
      <c r="B781" s="64" t="n"/>
      <c r="C781" s="2" t="n"/>
      <c r="D781" s="2" t="n"/>
      <c r="E781" s="11" t="n"/>
      <c r="F781" s="5" t="n"/>
    </row>
    <row r="782" customFormat="1" s="85">
      <c r="A782" s="2" t="n"/>
      <c r="B782" s="64" t="n"/>
      <c r="C782" s="2" t="n"/>
      <c r="D782" s="2" t="n"/>
      <c r="E782" s="11" t="n"/>
      <c r="F782" s="5" t="n"/>
    </row>
    <row r="783" customFormat="1" s="85">
      <c r="A783" s="2" t="n"/>
      <c r="B783" s="64" t="n"/>
      <c r="C783" s="2" t="n"/>
      <c r="D783" s="2" t="n"/>
      <c r="E783" s="11" t="n"/>
      <c r="F783" s="5" t="n"/>
    </row>
    <row r="784" customFormat="1" s="85">
      <c r="A784" s="2" t="n"/>
      <c r="B784" s="64" t="n"/>
      <c r="C784" s="2" t="n"/>
      <c r="D784" s="2" t="n"/>
      <c r="E784" s="11" t="n"/>
      <c r="F784" s="5" t="n"/>
    </row>
    <row r="785" customFormat="1" s="85">
      <c r="A785" s="2" t="n"/>
      <c r="B785" s="64" t="n"/>
      <c r="C785" s="2" t="n"/>
      <c r="D785" s="2" t="n"/>
      <c r="E785" s="11" t="n"/>
      <c r="F785" s="5" t="n"/>
    </row>
    <row r="786" customFormat="1" s="85">
      <c r="A786" s="2" t="n"/>
      <c r="B786" s="64" t="n"/>
      <c r="C786" s="2" t="n"/>
      <c r="D786" s="2" t="n"/>
      <c r="E786" s="11" t="n"/>
      <c r="F786" s="5" t="n"/>
    </row>
    <row r="787" customFormat="1" s="85">
      <c r="A787" s="2" t="n"/>
      <c r="B787" s="64" t="n"/>
      <c r="C787" s="2" t="n"/>
      <c r="D787" s="2" t="n"/>
      <c r="E787" s="11" t="n"/>
      <c r="F787" s="5" t="n"/>
    </row>
    <row r="788" customFormat="1" s="85">
      <c r="A788" s="2" t="n"/>
      <c r="B788" s="64" t="n"/>
      <c r="C788" s="2" t="n"/>
      <c r="D788" s="2" t="n"/>
      <c r="E788" s="11" t="n"/>
      <c r="F788" s="5" t="n"/>
    </row>
    <row r="789" customFormat="1" s="85">
      <c r="A789" s="2" t="n"/>
      <c r="B789" s="64" t="n"/>
      <c r="C789" s="2" t="n"/>
      <c r="D789" s="2" t="n"/>
      <c r="E789" s="11" t="n"/>
      <c r="F789" s="5" t="n"/>
    </row>
    <row r="790" customFormat="1" s="85">
      <c r="A790" s="2" t="n"/>
      <c r="B790" s="64" t="n"/>
      <c r="C790" s="2" t="n"/>
      <c r="D790" s="2" t="n"/>
      <c r="E790" s="11" t="n"/>
      <c r="F790" s="5" t="n"/>
    </row>
    <row r="791" customFormat="1" s="85">
      <c r="A791" s="2" t="n"/>
      <c r="B791" s="64" t="n"/>
      <c r="C791" s="2" t="n"/>
      <c r="D791" s="2" t="n"/>
      <c r="E791" s="11" t="n"/>
      <c r="F791" s="5" t="n"/>
    </row>
    <row r="792" customFormat="1" s="85">
      <c r="A792" s="2" t="n"/>
      <c r="B792" s="64" t="n"/>
      <c r="C792" s="2" t="n"/>
      <c r="D792" s="2" t="n"/>
      <c r="E792" s="11" t="n"/>
      <c r="F792" s="5" t="n"/>
    </row>
    <row r="793" customFormat="1" s="85">
      <c r="A793" s="2" t="n"/>
      <c r="B793" s="64" t="n"/>
      <c r="C793" s="2" t="n"/>
      <c r="D793" s="2" t="n"/>
      <c r="E793" s="11" t="n"/>
      <c r="F793" s="5" t="n"/>
    </row>
    <row r="794" customFormat="1" s="85">
      <c r="A794" s="2" t="n"/>
      <c r="B794" s="64" t="n"/>
      <c r="C794" s="2" t="n"/>
      <c r="D794" s="2" t="n"/>
      <c r="E794" s="11" t="n"/>
      <c r="F794" s="5" t="n"/>
    </row>
    <row r="795" customFormat="1" s="85">
      <c r="A795" s="2" t="n"/>
      <c r="B795" s="64" t="n"/>
      <c r="C795" s="2" t="n"/>
      <c r="D795" s="2" t="n"/>
      <c r="E795" s="11" t="n"/>
      <c r="F795" s="5" t="n"/>
    </row>
    <row r="796" customFormat="1" s="85">
      <c r="A796" s="2" t="n"/>
      <c r="B796" s="64" t="n"/>
      <c r="C796" s="2" t="n"/>
      <c r="D796" s="2" t="n"/>
      <c r="E796" s="11" t="n"/>
      <c r="F796" s="5" t="n"/>
    </row>
    <row r="797" customFormat="1" s="85">
      <c r="A797" s="2" t="n"/>
      <c r="B797" s="64" t="n"/>
      <c r="C797" s="2" t="n"/>
      <c r="D797" s="2" t="n"/>
      <c r="E797" s="11" t="n"/>
      <c r="F797" s="5" t="n"/>
    </row>
    <row r="798" customFormat="1" s="85">
      <c r="A798" s="2" t="n"/>
      <c r="B798" s="64" t="n"/>
      <c r="C798" s="2" t="n"/>
      <c r="D798" s="2" t="n"/>
      <c r="E798" s="11" t="n"/>
      <c r="F798" s="5" t="n"/>
    </row>
    <row r="799" customFormat="1" s="85">
      <c r="A799" s="2" t="n"/>
      <c r="B799" s="64" t="n"/>
      <c r="C799" s="2" t="n"/>
      <c r="D799" s="2" t="n"/>
      <c r="E799" s="11" t="n"/>
      <c r="F799" s="5" t="n"/>
    </row>
    <row r="800" customFormat="1" s="85">
      <c r="A800" s="2" t="n"/>
      <c r="B800" s="64" t="n"/>
      <c r="C800" s="2" t="n"/>
      <c r="D800" s="2" t="n"/>
      <c r="E800" s="11" t="n"/>
      <c r="F800" s="5" t="n"/>
    </row>
    <row r="801" customFormat="1" s="85">
      <c r="A801" s="2" t="n"/>
      <c r="B801" s="64" t="n"/>
      <c r="C801" s="2" t="n"/>
      <c r="D801" s="2" t="n"/>
      <c r="E801" s="11" t="n"/>
      <c r="F801" s="5" t="n"/>
    </row>
    <row r="802" customFormat="1" s="85">
      <c r="A802" s="2" t="n"/>
      <c r="B802" s="64" t="n"/>
      <c r="C802" s="2" t="n"/>
      <c r="D802" s="2" t="n"/>
      <c r="E802" s="11" t="n"/>
      <c r="F802" s="5" t="n"/>
    </row>
    <row r="803" customFormat="1" s="85">
      <c r="A803" s="2" t="n"/>
      <c r="B803" s="64" t="n"/>
      <c r="C803" s="2" t="n"/>
      <c r="D803" s="2" t="n"/>
      <c r="E803" s="11" t="n"/>
      <c r="F803" s="5" t="n"/>
    </row>
    <row r="804" customFormat="1" s="85">
      <c r="A804" s="2" t="n"/>
      <c r="B804" s="64" t="n"/>
      <c r="C804" s="2" t="n"/>
      <c r="D804" s="2" t="n"/>
      <c r="E804" s="11" t="n"/>
      <c r="F804" s="5" t="n"/>
    </row>
    <row r="805" customFormat="1" s="85">
      <c r="A805" s="2" t="n"/>
      <c r="B805" s="64" t="n"/>
      <c r="C805" s="2" t="n"/>
      <c r="D805" s="2" t="n"/>
      <c r="E805" s="11" t="n"/>
      <c r="F805" s="5" t="n"/>
    </row>
    <row r="806" customFormat="1" s="85">
      <c r="A806" s="2" t="n"/>
      <c r="B806" s="64" t="n"/>
      <c r="C806" s="2" t="n"/>
      <c r="D806" s="2" t="n"/>
      <c r="E806" s="11" t="n"/>
      <c r="F806" s="5" t="n"/>
    </row>
    <row r="807" customFormat="1" s="85">
      <c r="A807" s="2" t="n"/>
      <c r="B807" s="64" t="n"/>
      <c r="C807" s="2" t="n"/>
      <c r="D807" s="2" t="n"/>
      <c r="E807" s="11" t="n"/>
      <c r="F807" s="5" t="n"/>
    </row>
    <row r="808" customFormat="1" s="85">
      <c r="A808" s="2" t="n"/>
      <c r="B808" s="64" t="n"/>
      <c r="C808" s="2" t="n"/>
      <c r="D808" s="2" t="n"/>
      <c r="E808" s="11" t="n"/>
      <c r="F808" s="5" t="n"/>
    </row>
    <row r="809" customFormat="1" s="85">
      <c r="A809" s="2" t="n"/>
      <c r="B809" s="64" t="n"/>
      <c r="C809" s="2" t="n"/>
      <c r="D809" s="2" t="n"/>
      <c r="E809" s="11" t="n"/>
      <c r="F809" s="5" t="n"/>
    </row>
    <row r="810" customFormat="1" s="85">
      <c r="A810" s="2" t="n"/>
      <c r="B810" s="64" t="n"/>
      <c r="C810" s="2" t="n"/>
      <c r="D810" s="2" t="n"/>
      <c r="E810" s="11" t="n"/>
      <c r="F810" s="5" t="n"/>
    </row>
    <row r="811" customFormat="1" s="85">
      <c r="A811" s="2" t="n"/>
      <c r="B811" s="64" t="n"/>
      <c r="C811" s="2" t="n"/>
      <c r="D811" s="2" t="n"/>
      <c r="E811" s="11" t="n"/>
      <c r="F811" s="5" t="n"/>
    </row>
    <row r="812" customFormat="1" s="85">
      <c r="A812" s="2" t="n"/>
      <c r="B812" s="64" t="n"/>
      <c r="C812" s="2" t="n"/>
      <c r="D812" s="2" t="n"/>
      <c r="E812" s="11" t="n"/>
      <c r="F812" s="5" t="n"/>
    </row>
    <row r="813" customFormat="1" s="85">
      <c r="A813" s="2" t="n"/>
      <c r="B813" s="64" t="n"/>
      <c r="C813" s="2" t="n"/>
      <c r="D813" s="2" t="n"/>
      <c r="E813" s="11" t="n"/>
      <c r="F813" s="5" t="n"/>
    </row>
    <row r="814" customFormat="1" s="85">
      <c r="A814" s="2" t="n"/>
      <c r="B814" s="64" t="n"/>
      <c r="C814" s="2" t="n"/>
      <c r="D814" s="2" t="n"/>
      <c r="E814" s="11" t="n"/>
      <c r="F814" s="5" t="n"/>
    </row>
    <row r="815" customFormat="1" s="85">
      <c r="A815" s="2" t="n"/>
      <c r="B815" s="64" t="n"/>
      <c r="C815" s="2" t="n"/>
      <c r="D815" s="2" t="n"/>
      <c r="E815" s="11" t="n"/>
      <c r="F815" s="5" t="n"/>
    </row>
    <row r="816" customFormat="1" s="85">
      <c r="A816" s="2" t="n"/>
      <c r="B816" s="64" t="n"/>
      <c r="C816" s="2" t="n"/>
      <c r="D816" s="2" t="n"/>
      <c r="E816" s="11" t="n"/>
      <c r="F816" s="5" t="n"/>
    </row>
    <row r="817" customFormat="1" s="85">
      <c r="A817" s="2" t="n"/>
      <c r="B817" s="64" t="n"/>
      <c r="C817" s="2" t="n"/>
      <c r="D817" s="2" t="n"/>
      <c r="E817" s="11" t="n"/>
      <c r="F817" s="5" t="n"/>
    </row>
    <row r="818" customFormat="1" s="85">
      <c r="A818" s="2" t="n"/>
      <c r="B818" s="64" t="n"/>
      <c r="C818" s="2" t="n"/>
      <c r="D818" s="2" t="n"/>
      <c r="E818" s="11" t="n"/>
      <c r="F818" s="5" t="n"/>
    </row>
    <row r="819" customFormat="1" s="85">
      <c r="A819" s="2" t="n"/>
      <c r="B819" s="64" t="n"/>
      <c r="C819" s="2" t="n"/>
      <c r="D819" s="2" t="n"/>
      <c r="E819" s="11" t="n"/>
      <c r="F819" s="5" t="n"/>
    </row>
    <row r="820" customFormat="1" s="85">
      <c r="A820" s="2" t="n"/>
      <c r="B820" s="64" t="n"/>
      <c r="C820" s="2" t="n"/>
      <c r="D820" s="2" t="n"/>
      <c r="E820" s="11" t="n"/>
      <c r="F820" s="5" t="n"/>
    </row>
    <row r="821" customFormat="1" s="85">
      <c r="A821" s="2" t="n"/>
      <c r="B821" s="64" t="n"/>
      <c r="C821" s="2" t="n"/>
      <c r="D821" s="2" t="n"/>
      <c r="E821" s="11" t="n"/>
      <c r="F821" s="5" t="n"/>
    </row>
    <row r="822" customFormat="1" s="85">
      <c r="A822" s="2" t="n"/>
      <c r="B822" s="64" t="n"/>
      <c r="C822" s="2" t="n"/>
      <c r="D822" s="2" t="n"/>
      <c r="E822" s="11" t="n"/>
      <c r="F822" s="5" t="n"/>
    </row>
    <row r="823" customFormat="1" s="85">
      <c r="A823" s="2" t="n"/>
      <c r="B823" s="64" t="n"/>
      <c r="C823" s="2" t="n"/>
      <c r="D823" s="2" t="n"/>
      <c r="E823" s="11" t="n"/>
      <c r="F823" s="5" t="n"/>
    </row>
    <row r="824" customFormat="1" s="85">
      <c r="A824" s="2" t="n"/>
      <c r="B824" s="64" t="n"/>
      <c r="C824" s="2" t="n"/>
      <c r="D824" s="2" t="n"/>
      <c r="E824" s="11" t="n"/>
      <c r="F824" s="5" t="n"/>
    </row>
    <row r="825" customFormat="1" s="85">
      <c r="A825" s="2" t="n"/>
      <c r="B825" s="64" t="n"/>
      <c r="C825" s="2" t="n"/>
      <c r="D825" s="2" t="n"/>
      <c r="E825" s="11" t="n"/>
      <c r="F825" s="5" t="n"/>
    </row>
    <row r="826" customFormat="1" s="85">
      <c r="A826" s="2" t="n"/>
      <c r="B826" s="64" t="n"/>
      <c r="C826" s="2" t="n"/>
      <c r="D826" s="2" t="n"/>
      <c r="E826" s="11" t="n"/>
      <c r="F826" s="5" t="n"/>
    </row>
    <row r="827" customFormat="1" s="85">
      <c r="A827" s="2" t="n"/>
      <c r="B827" s="64" t="n"/>
      <c r="C827" s="2" t="n"/>
      <c r="D827" s="2" t="n"/>
      <c r="E827" s="11" t="n"/>
      <c r="F827" s="5" t="n"/>
    </row>
    <row r="828" customFormat="1" s="85">
      <c r="A828" s="2" t="n"/>
      <c r="B828" s="64" t="n"/>
      <c r="C828" s="2" t="n"/>
      <c r="D828" s="2" t="n"/>
      <c r="E828" s="11" t="n"/>
      <c r="F828" s="5" t="n"/>
    </row>
    <row r="829" customFormat="1" s="85">
      <c r="A829" s="2" t="n"/>
      <c r="B829" s="64" t="n"/>
      <c r="C829" s="2" t="n"/>
      <c r="D829" s="2" t="n"/>
      <c r="E829" s="11" t="n"/>
      <c r="F829" s="5" t="n"/>
    </row>
    <row r="830" customFormat="1" s="85">
      <c r="A830" s="2" t="n"/>
      <c r="B830" s="64" t="n"/>
      <c r="C830" s="2" t="n"/>
      <c r="D830" s="2" t="n"/>
      <c r="E830" s="11" t="n"/>
      <c r="F830" s="5" t="n"/>
    </row>
    <row r="831" customFormat="1" s="85">
      <c r="A831" s="2" t="n"/>
      <c r="B831" s="64" t="n"/>
      <c r="C831" s="2" t="n"/>
      <c r="D831" s="2" t="n"/>
      <c r="E831" s="11" t="n"/>
      <c r="F831" s="5" t="n"/>
    </row>
    <row r="832" customFormat="1" s="85">
      <c r="A832" s="2" t="n"/>
      <c r="B832" s="64" t="n"/>
      <c r="C832" s="2" t="n"/>
      <c r="D832" s="2" t="n"/>
      <c r="E832" s="11" t="n"/>
      <c r="F832" s="5" t="n"/>
    </row>
    <row r="833" customFormat="1" s="85">
      <c r="A833" s="2" t="n"/>
      <c r="B833" s="64" t="n"/>
      <c r="C833" s="2" t="n"/>
      <c r="D833" s="2" t="n"/>
      <c r="E833" s="11" t="n"/>
      <c r="F833" s="5" t="n"/>
    </row>
    <row r="834" customFormat="1" s="85">
      <c r="A834" s="2" t="n"/>
      <c r="B834" s="64" t="n"/>
      <c r="C834" s="2" t="n"/>
      <c r="D834" s="2" t="n"/>
      <c r="E834" s="11" t="n"/>
      <c r="F834" s="5" t="n"/>
    </row>
    <row r="835" customFormat="1" s="85">
      <c r="A835" s="2" t="n"/>
      <c r="B835" s="64" t="n"/>
      <c r="C835" s="2" t="n"/>
      <c r="D835" s="2" t="n"/>
      <c r="E835" s="11" t="n"/>
      <c r="F835" s="5" t="n"/>
    </row>
    <row r="836" customFormat="1" s="85">
      <c r="A836" s="2" t="n"/>
      <c r="B836" s="64" t="n"/>
      <c r="C836" s="2" t="n"/>
      <c r="D836" s="2" t="n"/>
      <c r="E836" s="11" t="n"/>
      <c r="F836" s="5" t="n"/>
    </row>
    <row r="837" customFormat="1" s="85">
      <c r="A837" s="2" t="n"/>
      <c r="B837" s="64" t="n"/>
      <c r="C837" s="2" t="n"/>
      <c r="D837" s="2" t="n"/>
      <c r="E837" s="11" t="n"/>
      <c r="F837" s="5" t="n"/>
    </row>
    <row r="838" customFormat="1" s="85">
      <c r="A838" s="2" t="n"/>
      <c r="B838" s="64" t="n"/>
      <c r="C838" s="2" t="n"/>
      <c r="D838" s="2" t="n"/>
      <c r="E838" s="11" t="n"/>
      <c r="F838" s="5" t="n"/>
    </row>
    <row r="839" customFormat="1" s="85">
      <c r="A839" s="2" t="n"/>
      <c r="B839" s="64" t="n"/>
      <c r="C839" s="2" t="n"/>
      <c r="D839" s="2" t="n"/>
      <c r="E839" s="11" t="n"/>
      <c r="F839" s="5" t="n"/>
    </row>
    <row r="840" customFormat="1" s="85">
      <c r="A840" s="2" t="n"/>
      <c r="B840" s="64" t="n"/>
      <c r="C840" s="2" t="n"/>
      <c r="D840" s="2" t="n"/>
      <c r="E840" s="11" t="n"/>
      <c r="F840" s="5" t="n"/>
    </row>
    <row r="841" customFormat="1" s="85">
      <c r="A841" s="2" t="n"/>
      <c r="B841" s="64" t="n"/>
      <c r="C841" s="2" t="n"/>
      <c r="D841" s="2" t="n"/>
      <c r="E841" s="11" t="n"/>
      <c r="F841" s="5" t="n"/>
    </row>
    <row r="842" customFormat="1" s="85">
      <c r="A842" s="2" t="n"/>
      <c r="B842" s="64" t="n"/>
      <c r="C842" s="2" t="n"/>
      <c r="D842" s="2" t="n"/>
      <c r="E842" s="11" t="n"/>
      <c r="F842" s="5" t="n"/>
    </row>
    <row r="843" customFormat="1" s="85">
      <c r="A843" s="2" t="n"/>
      <c r="B843" s="64" t="n"/>
      <c r="C843" s="2" t="n"/>
      <c r="D843" s="2" t="n"/>
      <c r="E843" s="11" t="n"/>
      <c r="F843" s="5" t="n"/>
    </row>
    <row r="844" customFormat="1" s="85">
      <c r="A844" s="2" t="n"/>
      <c r="B844" s="64" t="n"/>
      <c r="C844" s="2" t="n"/>
      <c r="D844" s="2" t="n"/>
      <c r="E844" s="11" t="n"/>
      <c r="F844" s="5" t="n"/>
    </row>
    <row r="845" customFormat="1" s="85">
      <c r="A845" s="2" t="n"/>
      <c r="B845" s="64" t="n"/>
      <c r="C845" s="2" t="n"/>
      <c r="D845" s="2" t="n"/>
      <c r="E845" s="11" t="n"/>
      <c r="F845" s="5" t="n"/>
    </row>
    <row r="846" customFormat="1" s="85">
      <c r="A846" s="2" t="n"/>
      <c r="B846" s="64" t="n"/>
      <c r="C846" s="2" t="n"/>
      <c r="D846" s="2" t="n"/>
      <c r="E846" s="11" t="n"/>
      <c r="F846" s="5" t="n"/>
    </row>
    <row r="847" customFormat="1" s="85">
      <c r="A847" s="2" t="n"/>
      <c r="B847" s="64" t="n"/>
      <c r="C847" s="2" t="n"/>
      <c r="D847" s="2" t="n"/>
      <c r="E847" s="11" t="n"/>
      <c r="F847" s="5" t="n"/>
    </row>
    <row r="848" customFormat="1" s="85">
      <c r="A848" s="2" t="n"/>
      <c r="B848" s="64" t="n"/>
      <c r="C848" s="2" t="n"/>
      <c r="D848" s="2" t="n"/>
      <c r="E848" s="11" t="n"/>
      <c r="F848" s="5" t="n"/>
    </row>
    <row r="849" customFormat="1" s="85">
      <c r="A849" s="2" t="n"/>
      <c r="B849" s="64" t="n"/>
      <c r="C849" s="2" t="n"/>
      <c r="D849" s="2" t="n"/>
      <c r="E849" s="11" t="n"/>
      <c r="F849" s="5" t="n"/>
    </row>
    <row r="850" customFormat="1" s="85">
      <c r="A850" s="2" t="n"/>
      <c r="B850" s="64" t="n"/>
      <c r="C850" s="2" t="n"/>
      <c r="D850" s="2" t="n"/>
      <c r="E850" s="11" t="n"/>
      <c r="F850" s="5" t="n"/>
    </row>
    <row r="851" customFormat="1" s="85">
      <c r="A851" s="2" t="n"/>
      <c r="B851" s="64" t="n"/>
      <c r="C851" s="2" t="n"/>
      <c r="D851" s="2" t="n"/>
      <c r="E851" s="11" t="n"/>
      <c r="F851" s="5" t="n"/>
    </row>
    <row r="852" customFormat="1" s="85">
      <c r="A852" s="2" t="n"/>
      <c r="B852" s="64" t="n"/>
      <c r="C852" s="2" t="n"/>
      <c r="D852" s="2" t="n"/>
      <c r="E852" s="11" t="n"/>
      <c r="F852" s="5" t="n"/>
    </row>
    <row r="853" customFormat="1" s="85">
      <c r="A853" s="2" t="n"/>
      <c r="B853" s="64" t="n"/>
      <c r="C853" s="2" t="n"/>
      <c r="D853" s="2" t="n"/>
      <c r="E853" s="11" t="n"/>
      <c r="F853" s="5" t="n"/>
    </row>
    <row r="854" customFormat="1" s="85">
      <c r="A854" s="2" t="n"/>
      <c r="B854" s="64" t="n"/>
      <c r="C854" s="2" t="n"/>
      <c r="D854" s="2" t="n"/>
      <c r="E854" s="11" t="n"/>
      <c r="F854" s="5" t="n"/>
    </row>
    <row r="855" customFormat="1" s="85">
      <c r="A855" s="2" t="n"/>
      <c r="B855" s="64" t="n"/>
      <c r="C855" s="2" t="n"/>
      <c r="D855" s="2" t="n"/>
      <c r="E855" s="11" t="n"/>
      <c r="F855" s="5" t="n"/>
    </row>
    <row r="856" customFormat="1" s="85">
      <c r="A856" s="2" t="n"/>
      <c r="B856" s="64" t="n"/>
      <c r="C856" s="2" t="n"/>
      <c r="D856" s="2" t="n"/>
      <c r="E856" s="11" t="n"/>
      <c r="F856" s="5" t="n"/>
    </row>
    <row r="857" customFormat="1" s="85">
      <c r="A857" s="2" t="n"/>
      <c r="B857" s="64" t="n"/>
      <c r="C857" s="2" t="n"/>
      <c r="D857" s="2" t="n"/>
      <c r="E857" s="11" t="n"/>
      <c r="F857" s="5" t="n"/>
    </row>
    <row r="858" customFormat="1" s="85">
      <c r="A858" s="2" t="n"/>
      <c r="B858" s="64" t="n"/>
      <c r="C858" s="2" t="n"/>
      <c r="D858" s="2" t="n"/>
      <c r="E858" s="11" t="n"/>
      <c r="F858" s="5" t="n"/>
    </row>
    <row r="859" customFormat="1" s="85">
      <c r="A859" s="2" t="n"/>
      <c r="B859" s="64" t="n"/>
      <c r="C859" s="2" t="n"/>
      <c r="D859" s="2" t="n"/>
      <c r="E859" s="11" t="n"/>
      <c r="F859" s="5" t="n"/>
    </row>
    <row r="860" customFormat="1" s="85">
      <c r="A860" s="2" t="n"/>
      <c r="B860" s="64" t="n"/>
      <c r="C860" s="2" t="n"/>
      <c r="D860" s="2" t="n"/>
      <c r="E860" s="11" t="n"/>
      <c r="F860" s="5" t="n"/>
    </row>
    <row r="861" customFormat="1" s="85">
      <c r="A861" s="2" t="n"/>
      <c r="B861" s="64" t="n"/>
      <c r="C861" s="2" t="n"/>
      <c r="D861" s="2" t="n"/>
      <c r="E861" s="11" t="n"/>
      <c r="F861" s="5" t="n"/>
    </row>
    <row r="862" customFormat="1" s="85">
      <c r="A862" s="2" t="n"/>
      <c r="B862" s="64" t="n"/>
      <c r="C862" s="2" t="n"/>
      <c r="D862" s="2" t="n"/>
      <c r="E862" s="11" t="n"/>
      <c r="F862" s="5" t="n"/>
    </row>
    <row r="863" customFormat="1" s="85">
      <c r="A863" s="2" t="n"/>
      <c r="B863" s="64" t="n"/>
      <c r="C863" s="2" t="n"/>
      <c r="D863" s="2" t="n"/>
      <c r="E863" s="11" t="n"/>
      <c r="F863" s="5" t="n"/>
    </row>
    <row r="864" customFormat="1" s="85">
      <c r="A864" s="2" t="n"/>
      <c r="B864" s="64" t="n"/>
      <c r="C864" s="2" t="n"/>
      <c r="D864" s="2" t="n"/>
      <c r="E864" s="11" t="n"/>
      <c r="F864" s="5" t="n"/>
    </row>
    <row r="865" customFormat="1" s="85">
      <c r="A865" s="2" t="n"/>
      <c r="B865" s="64" t="n"/>
      <c r="C865" s="2" t="n"/>
      <c r="D865" s="2" t="n"/>
      <c r="E865" s="11" t="n"/>
      <c r="F865" s="5" t="n"/>
    </row>
    <row r="866" customFormat="1" s="85">
      <c r="A866" s="2" t="n"/>
      <c r="B866" s="64" t="n"/>
      <c r="C866" s="2" t="n"/>
      <c r="D866" s="2" t="n"/>
      <c r="E866" s="11" t="n"/>
      <c r="F866" s="5" t="n"/>
    </row>
    <row r="867" customFormat="1" s="85">
      <c r="A867" s="2" t="n"/>
      <c r="B867" s="64" t="n"/>
      <c r="C867" s="2" t="n"/>
      <c r="D867" s="2" t="n"/>
      <c r="E867" s="11" t="n"/>
      <c r="F867" s="5" t="n"/>
    </row>
    <row r="868" customFormat="1" s="85">
      <c r="A868" s="2" t="n"/>
      <c r="B868" s="64" t="n"/>
      <c r="C868" s="2" t="n"/>
      <c r="D868" s="2" t="n"/>
      <c r="E868" s="11" t="n"/>
      <c r="F868" s="5" t="n"/>
    </row>
    <row r="869" customFormat="1" s="85">
      <c r="A869" s="2" t="n"/>
      <c r="B869" s="64" t="n"/>
      <c r="C869" s="2" t="n"/>
      <c r="D869" s="2" t="n"/>
      <c r="E869" s="11" t="n"/>
      <c r="F869" s="5" t="n"/>
    </row>
    <row r="870" customFormat="1" s="85">
      <c r="A870" s="2" t="n"/>
      <c r="B870" s="64" t="n"/>
      <c r="C870" s="2" t="n"/>
      <c r="D870" s="2" t="n"/>
      <c r="E870" s="11" t="n"/>
      <c r="F870" s="5" t="n"/>
    </row>
    <row r="871" customFormat="1" s="85">
      <c r="A871" s="2" t="n"/>
      <c r="B871" s="64" t="n"/>
      <c r="C871" s="2" t="n"/>
      <c r="D871" s="2" t="n"/>
      <c r="E871" s="11" t="n"/>
      <c r="F871" s="5" t="n"/>
    </row>
    <row r="872" customFormat="1" s="85">
      <c r="A872" s="2" t="n"/>
      <c r="B872" s="64" t="n"/>
      <c r="C872" s="2" t="n"/>
      <c r="D872" s="2" t="n"/>
      <c r="E872" s="11" t="n"/>
      <c r="F872" s="5" t="n"/>
    </row>
    <row r="873" customFormat="1" s="85">
      <c r="A873" s="2" t="n"/>
      <c r="B873" s="64" t="n"/>
      <c r="C873" s="2" t="n"/>
      <c r="D873" s="2" t="n"/>
      <c r="E873" s="11" t="n"/>
      <c r="F873" s="5" t="n"/>
    </row>
    <row r="874" customFormat="1" s="85">
      <c r="A874" s="2" t="n"/>
      <c r="B874" s="64" t="n"/>
      <c r="C874" s="2" t="n"/>
      <c r="D874" s="2" t="n"/>
      <c r="E874" s="11" t="n"/>
      <c r="F874" s="5" t="n"/>
    </row>
    <row r="875" customFormat="1" s="85">
      <c r="A875" s="2" t="n"/>
      <c r="B875" s="64" t="n"/>
      <c r="C875" s="2" t="n"/>
      <c r="D875" s="2" t="n"/>
      <c r="E875" s="11" t="n"/>
      <c r="F875" s="5" t="n"/>
    </row>
    <row r="876" customFormat="1" s="85">
      <c r="A876" s="2" t="n"/>
      <c r="B876" s="64" t="n"/>
      <c r="C876" s="2" t="n"/>
      <c r="D876" s="2" t="n"/>
      <c r="E876" s="11" t="n"/>
      <c r="F876" s="5" t="n"/>
    </row>
    <row r="877" customFormat="1" s="85">
      <c r="A877" s="2" t="n"/>
      <c r="B877" s="64" t="n"/>
      <c r="C877" s="2" t="n"/>
      <c r="D877" s="2" t="n"/>
      <c r="E877" s="11" t="n"/>
      <c r="F877" s="5" t="n"/>
    </row>
    <row r="878" customFormat="1" s="85">
      <c r="A878" s="2" t="n"/>
      <c r="B878" s="64" t="n"/>
      <c r="C878" s="2" t="n"/>
      <c r="D878" s="2" t="n"/>
      <c r="E878" s="11" t="n"/>
      <c r="F878" s="5" t="n"/>
    </row>
    <row r="879" customFormat="1" s="85">
      <c r="A879" s="2" t="n"/>
      <c r="B879" s="64" t="n"/>
      <c r="C879" s="2" t="n"/>
      <c r="D879" s="2" t="n"/>
      <c r="E879" s="11" t="n"/>
      <c r="F879" s="5" t="n"/>
    </row>
    <row r="880" customFormat="1" s="85">
      <c r="A880" s="2" t="n"/>
      <c r="B880" s="64" t="n"/>
      <c r="C880" s="2" t="n"/>
      <c r="D880" s="2" t="n"/>
      <c r="E880" s="11" t="n"/>
      <c r="F880" s="5" t="n"/>
    </row>
    <row r="881" customFormat="1" s="85">
      <c r="A881" s="2" t="n"/>
      <c r="B881" s="64" t="n"/>
      <c r="C881" s="2" t="n"/>
      <c r="D881" s="2" t="n"/>
      <c r="E881" s="11" t="n"/>
      <c r="F881" s="5" t="n"/>
    </row>
    <row r="882" customFormat="1" s="85">
      <c r="A882" s="2" t="n"/>
      <c r="B882" s="64" t="n"/>
      <c r="C882" s="2" t="n"/>
      <c r="D882" s="2" t="n"/>
      <c r="E882" s="11" t="n"/>
      <c r="F882" s="5" t="n"/>
    </row>
    <row r="883" customFormat="1" s="85">
      <c r="A883" s="2" t="n"/>
      <c r="B883" s="64" t="n"/>
      <c r="C883" s="2" t="n"/>
      <c r="D883" s="2" t="n"/>
      <c r="E883" s="11" t="n"/>
      <c r="F883" s="5" t="n"/>
    </row>
    <row r="884" customFormat="1" s="85">
      <c r="A884" s="2" t="n"/>
      <c r="B884" s="64" t="n"/>
      <c r="C884" s="2" t="n"/>
      <c r="D884" s="2" t="n"/>
      <c r="E884" s="11" t="n"/>
      <c r="F884" s="5" t="n"/>
    </row>
    <row r="885" customFormat="1" s="85">
      <c r="A885" s="2" t="n"/>
      <c r="B885" s="64" t="n"/>
      <c r="C885" s="2" t="n"/>
      <c r="D885" s="2" t="n"/>
      <c r="E885" s="11" t="n"/>
      <c r="F885" s="5" t="n"/>
    </row>
    <row r="886" customFormat="1" s="85">
      <c r="A886" s="2" t="n"/>
      <c r="B886" s="64" t="n"/>
      <c r="C886" s="2" t="n"/>
      <c r="D886" s="2" t="n"/>
      <c r="E886" s="11" t="n"/>
      <c r="F886" s="5" t="n"/>
    </row>
    <row r="887" customFormat="1" s="85">
      <c r="A887" s="2" t="n"/>
      <c r="B887" s="64" t="n"/>
      <c r="C887" s="2" t="n"/>
      <c r="D887" s="2" t="n"/>
      <c r="E887" s="11" t="n"/>
      <c r="F887" s="5" t="n"/>
    </row>
    <row r="888" customFormat="1" s="85">
      <c r="A888" s="2" t="n"/>
      <c r="B888" s="64" t="n"/>
      <c r="C888" s="2" t="n"/>
      <c r="D888" s="2" t="n"/>
      <c r="E888" s="11" t="n"/>
      <c r="F888" s="5" t="n"/>
    </row>
    <row r="889" customFormat="1" s="85">
      <c r="A889" s="2" t="n"/>
      <c r="B889" s="64" t="n"/>
      <c r="C889" s="2" t="n"/>
      <c r="D889" s="2" t="n"/>
      <c r="E889" s="11" t="n"/>
      <c r="F889" s="5" t="n"/>
    </row>
    <row r="890" customFormat="1" s="85">
      <c r="A890" s="2" t="n"/>
      <c r="B890" s="64" t="n"/>
      <c r="C890" s="2" t="n"/>
      <c r="D890" s="2" t="n"/>
      <c r="E890" s="11" t="n"/>
      <c r="F890" s="5" t="n"/>
    </row>
    <row r="891" customFormat="1" s="85">
      <c r="A891" s="2" t="n"/>
      <c r="B891" s="64" t="n"/>
      <c r="C891" s="2" t="n"/>
      <c r="D891" s="2" t="n"/>
      <c r="E891" s="11" t="n"/>
      <c r="F891" s="5" t="n"/>
    </row>
    <row r="892" customFormat="1" s="85">
      <c r="A892" s="2" t="n"/>
      <c r="B892" s="64" t="n"/>
      <c r="C892" s="2" t="n"/>
      <c r="D892" s="2" t="n"/>
      <c r="E892" s="11" t="n"/>
      <c r="F892" s="5" t="n"/>
    </row>
    <row r="893" customFormat="1" s="85">
      <c r="A893" s="2" t="n"/>
      <c r="B893" s="64" t="n"/>
      <c r="C893" s="2" t="n"/>
      <c r="D893" s="2" t="n"/>
      <c r="E893" s="11" t="n"/>
      <c r="F893" s="5" t="n"/>
    </row>
    <row r="894" customFormat="1" s="85">
      <c r="A894" s="2" t="n"/>
      <c r="B894" s="64" t="n"/>
      <c r="C894" s="2" t="n"/>
      <c r="D894" s="2" t="n"/>
      <c r="E894" s="11" t="n"/>
      <c r="F894" s="5" t="n"/>
    </row>
    <row r="895" customFormat="1" s="85">
      <c r="A895" s="2" t="n"/>
      <c r="B895" s="64" t="n"/>
      <c r="C895" s="2" t="n"/>
      <c r="D895" s="2" t="n"/>
      <c r="E895" s="11" t="n"/>
      <c r="F895" s="5" t="n"/>
    </row>
    <row r="896" customFormat="1" s="85">
      <c r="A896" s="2" t="n"/>
      <c r="B896" s="64" t="n"/>
      <c r="C896" s="2" t="n"/>
      <c r="D896" s="2" t="n"/>
      <c r="E896" s="11" t="n"/>
      <c r="F896" s="5" t="n"/>
    </row>
    <row r="897" customFormat="1" s="85">
      <c r="A897" s="2" t="n"/>
      <c r="B897" s="64" t="n"/>
      <c r="C897" s="2" t="n"/>
      <c r="D897" s="2" t="n"/>
      <c r="E897" s="11" t="n"/>
      <c r="F897" s="5" t="n"/>
    </row>
    <row r="898" customFormat="1" s="85">
      <c r="A898" s="2" t="n"/>
      <c r="B898" s="64" t="n"/>
      <c r="C898" s="2" t="n"/>
      <c r="D898" s="2" t="n"/>
      <c r="E898" s="11" t="n"/>
      <c r="F898" s="5" t="n"/>
    </row>
    <row r="899" customFormat="1" s="85">
      <c r="A899" s="2" t="n"/>
      <c r="B899" s="64" t="n"/>
      <c r="C899" s="2" t="n"/>
      <c r="D899" s="2" t="n"/>
      <c r="E899" s="11" t="n"/>
      <c r="F899" s="5" t="n"/>
    </row>
    <row r="900" customFormat="1" s="85">
      <c r="A900" s="2" t="n"/>
      <c r="B900" s="64" t="n"/>
      <c r="C900" s="2" t="n"/>
      <c r="D900" s="2" t="n"/>
      <c r="E900" s="11" t="n"/>
      <c r="F900" s="5" t="n"/>
    </row>
    <row r="901" customFormat="1" s="85">
      <c r="A901" s="2" t="n"/>
      <c r="B901" s="64" t="n"/>
      <c r="C901" s="2" t="n"/>
      <c r="D901" s="2" t="n"/>
      <c r="E901" s="11" t="n"/>
      <c r="F901" s="5" t="n"/>
    </row>
    <row r="902" customFormat="1" s="85">
      <c r="A902" s="2" t="n"/>
      <c r="B902" s="64" t="n"/>
      <c r="C902" s="2" t="n"/>
      <c r="D902" s="2" t="n"/>
      <c r="E902" s="11" t="n"/>
      <c r="F902" s="5" t="n"/>
    </row>
    <row r="903" customFormat="1" s="85">
      <c r="A903" s="2" t="n"/>
      <c r="B903" s="64" t="n"/>
      <c r="C903" s="2" t="n"/>
      <c r="D903" s="2" t="n"/>
      <c r="E903" s="11" t="n"/>
      <c r="F903" s="5" t="n"/>
    </row>
    <row r="904" customFormat="1" s="85">
      <c r="A904" s="2" t="n"/>
      <c r="B904" s="64" t="n"/>
      <c r="C904" s="2" t="n"/>
      <c r="D904" s="2" t="n"/>
      <c r="E904" s="11" t="n"/>
      <c r="F904" s="5" t="n"/>
    </row>
    <row r="905" customFormat="1" s="85">
      <c r="A905" s="2" t="n"/>
      <c r="B905" s="64" t="n"/>
      <c r="C905" s="2" t="n"/>
      <c r="D905" s="2" t="n"/>
      <c r="E905" s="11" t="n"/>
      <c r="F905" s="5" t="n"/>
    </row>
    <row r="906" customFormat="1" s="85">
      <c r="A906" s="2" t="n"/>
      <c r="B906" s="64" t="n"/>
      <c r="C906" s="2" t="n"/>
      <c r="D906" s="2" t="n"/>
      <c r="E906" s="11" t="n"/>
      <c r="F906" s="5" t="n"/>
    </row>
    <row r="907" customFormat="1" s="85">
      <c r="A907" s="2" t="n"/>
      <c r="B907" s="64" t="n"/>
      <c r="C907" s="2" t="n"/>
      <c r="D907" s="2" t="n"/>
      <c r="E907" s="11" t="n"/>
      <c r="F907" s="5" t="n"/>
    </row>
    <row r="908" customFormat="1" s="85">
      <c r="A908" s="2" t="n"/>
      <c r="B908" s="64" t="n"/>
      <c r="C908" s="2" t="n"/>
      <c r="D908" s="2" t="n"/>
      <c r="E908" s="11" t="n"/>
      <c r="F908" s="5" t="n"/>
    </row>
    <row r="909" customFormat="1" s="85">
      <c r="A909" s="2" t="n"/>
      <c r="B909" s="64" t="n"/>
      <c r="C909" s="2" t="n"/>
      <c r="D909" s="2" t="n"/>
      <c r="E909" s="11" t="n"/>
      <c r="F909" s="5" t="n"/>
    </row>
    <row r="910" customFormat="1" s="85">
      <c r="A910" s="2" t="n"/>
      <c r="B910" s="64" t="n"/>
      <c r="C910" s="2" t="n"/>
      <c r="D910" s="2" t="n"/>
      <c r="E910" s="11" t="n"/>
      <c r="F910" s="5" t="n"/>
    </row>
    <row r="911" customFormat="1" s="85">
      <c r="A911" s="2" t="n"/>
      <c r="B911" s="64" t="n"/>
      <c r="C911" s="2" t="n"/>
      <c r="D911" s="2" t="n"/>
      <c r="E911" s="11" t="n"/>
      <c r="F911" s="5" t="n"/>
    </row>
    <row r="912" customFormat="1" s="85">
      <c r="A912" s="2" t="n"/>
      <c r="B912" s="64" t="n"/>
      <c r="C912" s="2" t="n"/>
      <c r="D912" s="2" t="n"/>
      <c r="E912" s="11" t="n"/>
      <c r="F912" s="5" t="n"/>
    </row>
    <row r="913" customFormat="1" s="85">
      <c r="A913" s="2" t="n"/>
      <c r="B913" s="64" t="n"/>
      <c r="C913" s="2" t="n"/>
      <c r="D913" s="2" t="n"/>
      <c r="E913" s="11" t="n"/>
      <c r="F913" s="5" t="n"/>
    </row>
    <row r="914" customFormat="1" s="85">
      <c r="A914" s="2" t="n"/>
      <c r="B914" s="64" t="n"/>
      <c r="C914" s="2" t="n"/>
      <c r="D914" s="2" t="n"/>
      <c r="E914" s="11" t="n"/>
      <c r="F914" s="5" t="n"/>
    </row>
    <row r="915" customFormat="1" s="85">
      <c r="A915" s="2" t="n"/>
      <c r="B915" s="64" t="n"/>
      <c r="C915" s="2" t="n"/>
      <c r="D915" s="2" t="n"/>
      <c r="E915" s="11" t="n"/>
      <c r="F915" s="5" t="n"/>
    </row>
    <row r="916" customFormat="1" s="85">
      <c r="A916" s="2" t="n"/>
      <c r="B916" s="64" t="n"/>
      <c r="C916" s="2" t="n"/>
      <c r="D916" s="2" t="n"/>
      <c r="E916" s="11" t="n"/>
      <c r="F916" s="5" t="n"/>
    </row>
    <row r="917" customFormat="1" s="85">
      <c r="A917" s="2" t="n"/>
      <c r="B917" s="64" t="n"/>
      <c r="C917" s="2" t="n"/>
      <c r="D917" s="2" t="n"/>
      <c r="E917" s="11" t="n"/>
      <c r="F917" s="5" t="n"/>
    </row>
    <row r="918" customFormat="1" s="85">
      <c r="A918" s="2" t="n"/>
      <c r="B918" s="64" t="n"/>
      <c r="C918" s="2" t="n"/>
      <c r="D918" s="2" t="n"/>
      <c r="E918" s="11" t="n"/>
      <c r="F918" s="5" t="n"/>
    </row>
    <row r="919" customFormat="1" s="85">
      <c r="A919" s="2" t="n"/>
      <c r="B919" s="64" t="n"/>
      <c r="C919" s="2" t="n"/>
      <c r="D919" s="2" t="n"/>
      <c r="E919" s="11" t="n"/>
      <c r="F919" s="5" t="n"/>
    </row>
    <row r="920" customFormat="1" s="85">
      <c r="A920" s="2" t="n"/>
      <c r="B920" s="64" t="n"/>
      <c r="C920" s="2" t="n"/>
      <c r="D920" s="2" t="n"/>
      <c r="E920" s="11" t="n"/>
      <c r="F920" s="5" t="n"/>
    </row>
    <row r="921" customFormat="1" s="85">
      <c r="A921" s="2" t="n"/>
      <c r="B921" s="64" t="n"/>
      <c r="C921" s="2" t="n"/>
      <c r="D921" s="2" t="n"/>
      <c r="E921" s="11" t="n"/>
      <c r="F921" s="5" t="n"/>
    </row>
    <row r="922" customFormat="1" s="85">
      <c r="A922" s="2" t="n"/>
      <c r="B922" s="64" t="n"/>
      <c r="C922" s="2" t="n"/>
      <c r="D922" s="2" t="n"/>
      <c r="E922" s="11" t="n"/>
      <c r="F922" s="5" t="n"/>
    </row>
    <row r="923" customFormat="1" s="85">
      <c r="A923" s="2" t="n"/>
      <c r="B923" s="64" t="n"/>
      <c r="C923" s="2" t="n"/>
      <c r="D923" s="2" t="n"/>
      <c r="E923" s="11" t="n"/>
      <c r="F923" s="5" t="n"/>
    </row>
    <row r="924" customFormat="1" s="85">
      <c r="A924" s="2" t="n"/>
      <c r="B924" s="64" t="n"/>
      <c r="C924" s="2" t="n"/>
      <c r="D924" s="2" t="n"/>
      <c r="E924" s="11" t="n"/>
      <c r="F924" s="5" t="n"/>
    </row>
    <row r="925" customFormat="1" s="85">
      <c r="A925" s="2" t="n"/>
      <c r="B925" s="64" t="n"/>
      <c r="C925" s="2" t="n"/>
      <c r="D925" s="2" t="n"/>
      <c r="E925" s="11" t="n"/>
      <c r="F925" s="5" t="n"/>
    </row>
    <row r="926" customFormat="1" s="85">
      <c r="A926" s="2" t="n"/>
      <c r="B926" s="64" t="n"/>
      <c r="C926" s="2" t="n"/>
      <c r="D926" s="2" t="n"/>
      <c r="E926" s="11" t="n"/>
      <c r="F926" s="5" t="n"/>
    </row>
    <row r="927" customFormat="1" s="85">
      <c r="A927" s="2" t="n"/>
      <c r="B927" s="64" t="n"/>
      <c r="C927" s="2" t="n"/>
      <c r="D927" s="2" t="n"/>
      <c r="E927" s="11" t="n"/>
      <c r="F927" s="5" t="n"/>
    </row>
    <row r="928" customFormat="1" s="85">
      <c r="A928" s="2" t="n"/>
      <c r="B928" s="64" t="n"/>
      <c r="C928" s="2" t="n"/>
      <c r="D928" s="2" t="n"/>
      <c r="E928" s="11" t="n"/>
      <c r="F928" s="5" t="n"/>
    </row>
    <row r="929" customFormat="1" s="85">
      <c r="A929" s="2" t="n"/>
      <c r="B929" s="64" t="n"/>
      <c r="C929" s="2" t="n"/>
      <c r="D929" s="2" t="n"/>
      <c r="E929" s="11" t="n"/>
      <c r="F929" s="5" t="n"/>
    </row>
    <row r="930" customFormat="1" s="85">
      <c r="A930" s="2" t="n"/>
      <c r="B930" s="64" t="n"/>
      <c r="C930" s="2" t="n"/>
      <c r="D930" s="2" t="n"/>
      <c r="E930" s="11" t="n"/>
      <c r="F930" s="5" t="n"/>
    </row>
    <row r="931" customFormat="1" s="85">
      <c r="A931" s="2" t="n"/>
      <c r="B931" s="64" t="n"/>
      <c r="C931" s="2" t="n"/>
      <c r="D931" s="2" t="n"/>
      <c r="E931" s="11" t="n"/>
      <c r="F931" s="5" t="n"/>
    </row>
    <row r="932" customFormat="1" s="85">
      <c r="A932" s="2" t="n"/>
      <c r="B932" s="64" t="n"/>
      <c r="C932" s="2" t="n"/>
      <c r="D932" s="2" t="n"/>
      <c r="E932" s="11" t="n"/>
      <c r="F932" s="5" t="n"/>
    </row>
    <row r="933" customFormat="1" s="85">
      <c r="A933" s="2" t="n"/>
      <c r="B933" s="64" t="n"/>
      <c r="C933" s="2" t="n"/>
      <c r="D933" s="2" t="n"/>
      <c r="E933" s="11" t="n"/>
      <c r="F933" s="5" t="n"/>
    </row>
    <row r="934" customFormat="1" s="85">
      <c r="A934" s="2" t="n"/>
      <c r="B934" s="64" t="n"/>
      <c r="C934" s="2" t="n"/>
      <c r="D934" s="2" t="n"/>
      <c r="E934" s="11" t="n"/>
      <c r="F934" s="5" t="n"/>
    </row>
    <row r="935" customFormat="1" s="85">
      <c r="A935" s="2" t="n"/>
      <c r="B935" s="64" t="n"/>
      <c r="C935" s="2" t="n"/>
      <c r="D935" s="2" t="n"/>
      <c r="E935" s="11" t="n"/>
      <c r="F935" s="5" t="n"/>
    </row>
    <row r="936" customFormat="1" s="85">
      <c r="A936" s="2" t="n"/>
      <c r="B936" s="64" t="n"/>
      <c r="C936" s="2" t="n"/>
      <c r="D936" s="2" t="n"/>
      <c r="E936" s="11" t="n"/>
      <c r="F936" s="5" t="n"/>
    </row>
    <row r="937" customFormat="1" s="85">
      <c r="A937" s="2" t="n"/>
      <c r="B937" s="64" t="n"/>
      <c r="C937" s="2" t="n"/>
      <c r="D937" s="2" t="n"/>
      <c r="E937" s="11" t="n"/>
      <c r="F937" s="5" t="n"/>
    </row>
    <row r="938" customFormat="1" s="85">
      <c r="A938" s="2" t="n"/>
      <c r="B938" s="64" t="n"/>
      <c r="C938" s="2" t="n"/>
      <c r="D938" s="2" t="n"/>
      <c r="E938" s="11" t="n"/>
      <c r="F938" s="5" t="n"/>
    </row>
    <row r="939" customFormat="1" s="85">
      <c r="A939" s="2" t="n"/>
      <c r="B939" s="64" t="n"/>
      <c r="C939" s="2" t="n"/>
      <c r="D939" s="2" t="n"/>
      <c r="E939" s="11" t="n"/>
      <c r="F939" s="5" t="n"/>
    </row>
    <row r="940" customFormat="1" s="85">
      <c r="A940" s="2" t="n"/>
      <c r="B940" s="64" t="n"/>
      <c r="C940" s="2" t="n"/>
      <c r="D940" s="2" t="n"/>
      <c r="E940" s="11" t="n"/>
      <c r="F940" s="5" t="n"/>
    </row>
    <row r="941" customFormat="1" s="85">
      <c r="A941" s="2" t="n"/>
      <c r="B941" s="64" t="n"/>
      <c r="C941" s="2" t="n"/>
      <c r="D941" s="2" t="n"/>
      <c r="E941" s="11" t="n"/>
      <c r="F941" s="5" t="n"/>
    </row>
    <row r="942" customFormat="1" s="85">
      <c r="A942" s="2" t="n"/>
      <c r="B942" s="64" t="n"/>
      <c r="C942" s="2" t="n"/>
      <c r="D942" s="2" t="n"/>
      <c r="E942" s="11" t="n"/>
      <c r="F942" s="5" t="n"/>
    </row>
    <row r="943" customFormat="1" s="85">
      <c r="A943" s="2" t="n"/>
      <c r="B943" s="64" t="n"/>
      <c r="C943" s="2" t="n"/>
      <c r="D943" s="2" t="n"/>
      <c r="E943" s="11" t="n"/>
      <c r="F943" s="5" t="n"/>
    </row>
    <row r="944" customFormat="1" s="85">
      <c r="A944" s="2" t="n"/>
      <c r="B944" s="64" t="n"/>
      <c r="C944" s="2" t="n"/>
      <c r="D944" s="2" t="n"/>
      <c r="E944" s="11" t="n"/>
      <c r="F944" s="5" t="n"/>
    </row>
    <row r="945" customFormat="1" s="85">
      <c r="A945" s="2" t="n"/>
      <c r="B945" s="64" t="n"/>
      <c r="C945" s="2" t="n"/>
      <c r="D945" s="2" t="n"/>
      <c r="E945" s="11" t="n"/>
      <c r="F945" s="5" t="n"/>
    </row>
    <row r="946" customFormat="1" s="85">
      <c r="A946" s="2" t="n"/>
      <c r="B946" s="64" t="n"/>
      <c r="C946" s="2" t="n"/>
      <c r="D946" s="2" t="n"/>
      <c r="E946" s="11" t="n"/>
      <c r="F946" s="5" t="n"/>
    </row>
    <row r="947" customFormat="1" s="85">
      <c r="A947" s="2" t="n"/>
      <c r="B947" s="64" t="n"/>
      <c r="C947" s="2" t="n"/>
      <c r="D947" s="2" t="n"/>
      <c r="E947" s="11" t="n"/>
      <c r="F947" s="5" t="n"/>
    </row>
    <row r="948" customFormat="1" s="85">
      <c r="A948" s="2" t="n"/>
      <c r="B948" s="64" t="n"/>
      <c r="C948" s="2" t="n"/>
      <c r="D948" s="2" t="n"/>
      <c r="E948" s="11" t="n"/>
      <c r="F948" s="5" t="n"/>
    </row>
    <row r="949" customFormat="1" s="85">
      <c r="A949" s="2" t="n"/>
      <c r="B949" s="64" t="n"/>
      <c r="C949" s="2" t="n"/>
      <c r="D949" s="2" t="n"/>
      <c r="E949" s="11" t="n"/>
      <c r="F949" s="5" t="n"/>
    </row>
    <row r="950" customFormat="1" s="85">
      <c r="A950" s="2" t="n"/>
      <c r="B950" s="64" t="n"/>
      <c r="C950" s="2" t="n"/>
      <c r="D950" s="2" t="n"/>
      <c r="E950" s="11" t="n"/>
      <c r="F950" s="5" t="n"/>
    </row>
    <row r="951" customFormat="1" s="85">
      <c r="A951" s="2" t="n"/>
      <c r="B951" s="64" t="n"/>
      <c r="C951" s="2" t="n"/>
      <c r="D951" s="2" t="n"/>
      <c r="E951" s="11" t="n"/>
      <c r="F951" s="5" t="n"/>
    </row>
    <row r="952" customFormat="1" s="85">
      <c r="A952" s="2" t="n"/>
      <c r="B952" s="64" t="n"/>
      <c r="C952" s="2" t="n"/>
      <c r="D952" s="2" t="n"/>
      <c r="E952" s="11" t="n"/>
      <c r="F952" s="5" t="n"/>
    </row>
    <row r="953" customFormat="1" s="85">
      <c r="A953" s="2" t="n"/>
      <c r="B953" s="64" t="n"/>
      <c r="C953" s="2" t="n"/>
      <c r="D953" s="2" t="n"/>
      <c r="E953" s="11" t="n"/>
      <c r="F953" s="5" t="n"/>
    </row>
    <row r="954" customFormat="1" s="85">
      <c r="A954" s="2" t="n"/>
      <c r="B954" s="64" t="n"/>
      <c r="C954" s="2" t="n"/>
      <c r="D954" s="2" t="n"/>
      <c r="E954" s="11" t="n"/>
      <c r="F954" s="5" t="n"/>
    </row>
    <row r="955" customFormat="1" s="85">
      <c r="A955" s="2" t="n"/>
      <c r="B955" s="64" t="n"/>
      <c r="C955" s="2" t="n"/>
      <c r="D955" s="2" t="n"/>
      <c r="E955" s="11" t="n"/>
      <c r="F955" s="5" t="n"/>
    </row>
    <row r="956" customFormat="1" s="85">
      <c r="A956" s="2" t="n"/>
      <c r="B956" s="64" t="n"/>
      <c r="C956" s="2" t="n"/>
      <c r="D956" s="2" t="n"/>
      <c r="E956" s="11" t="n"/>
      <c r="F956" s="5" t="n"/>
    </row>
    <row r="957" customFormat="1" s="85">
      <c r="A957" s="2" t="n"/>
      <c r="B957" s="64" t="n"/>
      <c r="C957" s="2" t="n"/>
      <c r="D957" s="2" t="n"/>
      <c r="E957" s="11" t="n"/>
      <c r="F957" s="5" t="n"/>
    </row>
    <row r="958" customFormat="1" s="85">
      <c r="A958" s="2" t="n"/>
      <c r="B958" s="64" t="n"/>
      <c r="C958" s="2" t="n"/>
      <c r="D958" s="2" t="n"/>
      <c r="E958" s="11" t="n"/>
      <c r="F958" s="5" t="n"/>
    </row>
    <row r="959" customFormat="1" s="85">
      <c r="A959" s="2" t="n"/>
      <c r="B959" s="64" t="n"/>
      <c r="C959" s="2" t="n"/>
      <c r="D959" s="2" t="n"/>
      <c r="E959" s="11" t="n"/>
      <c r="F959" s="5" t="n"/>
    </row>
    <row r="960" customFormat="1" s="85">
      <c r="A960" s="2" t="n"/>
      <c r="B960" s="64" t="n"/>
      <c r="C960" s="2" t="n"/>
      <c r="D960" s="2" t="n"/>
      <c r="E960" s="11" t="n"/>
      <c r="F960" s="5" t="n"/>
    </row>
    <row r="961" customFormat="1" s="85">
      <c r="A961" s="2" t="n"/>
      <c r="B961" s="64" t="n"/>
      <c r="C961" s="2" t="n"/>
      <c r="D961" s="2" t="n"/>
      <c r="E961" s="11" t="n"/>
      <c r="F961" s="5" t="n"/>
    </row>
    <row r="962" customFormat="1" s="85">
      <c r="A962" s="2" t="n"/>
      <c r="B962" s="64" t="n"/>
      <c r="C962" s="2" t="n"/>
      <c r="D962" s="2" t="n"/>
      <c r="E962" s="11" t="n"/>
      <c r="F962" s="5" t="n"/>
    </row>
    <row r="963" customFormat="1" s="85">
      <c r="A963" s="2" t="n"/>
      <c r="B963" s="64" t="n"/>
      <c r="C963" s="2" t="n"/>
      <c r="D963" s="2" t="n"/>
      <c r="E963" s="11" t="n"/>
      <c r="F963" s="5" t="n"/>
    </row>
    <row r="964" customFormat="1" s="85">
      <c r="A964" s="2" t="n"/>
      <c r="B964" s="64" t="n"/>
      <c r="C964" s="2" t="n"/>
      <c r="D964" s="2" t="n"/>
      <c r="E964" s="11" t="n"/>
      <c r="F964" s="5" t="n"/>
    </row>
    <row r="965" customFormat="1" s="85">
      <c r="A965" s="2" t="n"/>
      <c r="B965" s="64" t="n"/>
      <c r="C965" s="2" t="n"/>
      <c r="D965" s="2" t="n"/>
      <c r="E965" s="11" t="n"/>
      <c r="F965" s="5" t="n"/>
    </row>
    <row r="966" customFormat="1" s="85">
      <c r="A966" s="2" t="n"/>
      <c r="B966" s="64" t="n"/>
      <c r="C966" s="2" t="n"/>
      <c r="D966" s="2" t="n"/>
      <c r="E966" s="11" t="n"/>
      <c r="F966" s="5" t="n"/>
    </row>
    <row r="967" customFormat="1" s="85">
      <c r="A967" s="2" t="n"/>
      <c r="B967" s="64" t="n"/>
      <c r="C967" s="2" t="n"/>
      <c r="D967" s="2" t="n"/>
      <c r="E967" s="11" t="n"/>
      <c r="F967" s="5" t="n"/>
    </row>
    <row r="968" customFormat="1" s="85">
      <c r="A968" s="2" t="n"/>
      <c r="B968" s="64" t="n"/>
      <c r="C968" s="2" t="n"/>
      <c r="D968" s="2" t="n"/>
      <c r="E968" s="11" t="n"/>
      <c r="F968" s="5" t="n"/>
    </row>
    <row r="969" customFormat="1" s="85">
      <c r="A969" s="2" t="n"/>
      <c r="B969" s="64" t="n"/>
      <c r="C969" s="2" t="n"/>
      <c r="D969" s="2" t="n"/>
      <c r="E969" s="11" t="n"/>
      <c r="F969" s="5" t="n"/>
    </row>
    <row r="970" customFormat="1" s="85">
      <c r="A970" s="2" t="n"/>
      <c r="B970" s="64" t="n"/>
      <c r="C970" s="2" t="n"/>
      <c r="D970" s="2" t="n"/>
      <c r="E970" s="11" t="n"/>
      <c r="F970" s="5" t="n"/>
    </row>
    <row r="971" customFormat="1" s="85">
      <c r="A971" s="2" t="n"/>
      <c r="B971" s="64" t="n"/>
      <c r="C971" s="2" t="n"/>
      <c r="D971" s="2" t="n"/>
      <c r="E971" s="11" t="n"/>
      <c r="F971" s="5" t="n"/>
    </row>
    <row r="972" customFormat="1" s="85">
      <c r="A972" s="2" t="n"/>
      <c r="B972" s="64" t="n"/>
      <c r="C972" s="2" t="n"/>
      <c r="D972" s="2" t="n"/>
      <c r="E972" s="11" t="n"/>
      <c r="F972" s="5" t="n"/>
    </row>
    <row r="973" customFormat="1" s="85">
      <c r="A973" s="2" t="n"/>
      <c r="B973" s="64" t="n"/>
      <c r="C973" s="2" t="n"/>
      <c r="D973" s="2" t="n"/>
      <c r="E973" s="11" t="n"/>
      <c r="F973" s="5" t="n"/>
    </row>
    <row r="974" customFormat="1" s="85">
      <c r="A974" s="2" t="n"/>
      <c r="B974" s="64" t="n"/>
      <c r="C974" s="2" t="n"/>
      <c r="D974" s="2" t="n"/>
      <c r="E974" s="11" t="n"/>
      <c r="F974" s="5" t="n"/>
    </row>
    <row r="975" customFormat="1" s="85">
      <c r="A975" s="2" t="n"/>
      <c r="B975" s="64" t="n"/>
      <c r="C975" s="2" t="n"/>
      <c r="D975" s="2" t="n"/>
      <c r="E975" s="11" t="n"/>
      <c r="F975" s="5" t="n"/>
    </row>
    <row r="976" customFormat="1" s="85">
      <c r="A976" s="2" t="n"/>
      <c r="B976" s="64" t="n"/>
      <c r="C976" s="2" t="n"/>
      <c r="D976" s="2" t="n"/>
      <c r="E976" s="11" t="n"/>
      <c r="F976" s="5" t="n"/>
    </row>
    <row r="977" customFormat="1" s="85">
      <c r="A977" s="2" t="n"/>
      <c r="B977" s="64" t="n"/>
      <c r="C977" s="2" t="n"/>
      <c r="D977" s="2" t="n"/>
      <c r="E977" s="11" t="n"/>
      <c r="F977" s="5" t="n"/>
    </row>
    <row r="978" customFormat="1" s="85">
      <c r="A978" s="2" t="n"/>
      <c r="B978" s="64" t="n"/>
      <c r="C978" s="2" t="n"/>
      <c r="D978" s="2" t="n"/>
      <c r="E978" s="11" t="n"/>
      <c r="F978" s="5" t="n"/>
    </row>
    <row r="979" customFormat="1" s="85">
      <c r="A979" s="2" t="n"/>
      <c r="B979" s="64" t="n"/>
      <c r="C979" s="2" t="n"/>
      <c r="D979" s="2" t="n"/>
      <c r="E979" s="11" t="n"/>
      <c r="F979" s="5" t="n"/>
    </row>
    <row r="980" customFormat="1" s="85">
      <c r="A980" s="2" t="n"/>
      <c r="B980" s="64" t="n"/>
      <c r="C980" s="2" t="n"/>
      <c r="D980" s="2" t="n"/>
      <c r="E980" s="11" t="n"/>
      <c r="F980" s="5" t="n"/>
    </row>
    <row r="981" customFormat="1" s="85">
      <c r="A981" s="2" t="n"/>
      <c r="B981" s="64" t="n"/>
      <c r="C981" s="2" t="n"/>
      <c r="D981" s="2" t="n"/>
      <c r="E981" s="11" t="n"/>
      <c r="F981" s="5" t="n"/>
    </row>
    <row r="982" customFormat="1" s="85">
      <c r="A982" s="2" t="n"/>
      <c r="B982" s="64" t="n"/>
      <c r="C982" s="2" t="n"/>
      <c r="D982" s="2" t="n"/>
      <c r="E982" s="11" t="n"/>
      <c r="F982" s="5" t="n"/>
    </row>
    <row r="983" customFormat="1" s="85">
      <c r="A983" s="2" t="n"/>
      <c r="B983" s="64" t="n"/>
      <c r="C983" s="2" t="n"/>
      <c r="D983" s="2" t="n"/>
      <c r="E983" s="11" t="n"/>
      <c r="F983" s="5" t="n"/>
    </row>
    <row r="984" customFormat="1" s="85">
      <c r="A984" s="2" t="n"/>
      <c r="B984" s="64" t="n"/>
      <c r="C984" s="2" t="n"/>
      <c r="D984" s="2" t="n"/>
      <c r="E984" s="11" t="n"/>
      <c r="F984" s="5" t="n"/>
    </row>
    <row r="985" customFormat="1" s="85">
      <c r="A985" s="2" t="n"/>
      <c r="B985" s="64" t="n"/>
      <c r="C985" s="2" t="n"/>
      <c r="D985" s="2" t="n"/>
      <c r="E985" s="11" t="n"/>
      <c r="F985" s="5" t="n"/>
    </row>
    <row r="986" customFormat="1" s="85">
      <c r="A986" s="2" t="n"/>
      <c r="B986" s="64" t="n"/>
      <c r="C986" s="2" t="n"/>
      <c r="D986" s="2" t="n"/>
      <c r="E986" s="11" t="n"/>
      <c r="F986" s="5" t="n"/>
    </row>
    <row r="987" customFormat="1" s="85">
      <c r="A987" s="2" t="n"/>
      <c r="B987" s="64" t="n"/>
      <c r="C987" s="2" t="n"/>
      <c r="D987" s="2" t="n"/>
      <c r="E987" s="11" t="n"/>
      <c r="F987" s="5" t="n"/>
    </row>
    <row r="988" customFormat="1" s="85">
      <c r="A988" s="2" t="n"/>
      <c r="B988" s="64" t="n"/>
      <c r="C988" s="2" t="n"/>
      <c r="D988" s="2" t="n"/>
      <c r="E988" s="11" t="n"/>
      <c r="F988" s="5" t="n"/>
    </row>
    <row r="989" customFormat="1" s="85">
      <c r="A989" s="2" t="n"/>
      <c r="B989" s="64" t="n"/>
      <c r="C989" s="2" t="n"/>
      <c r="D989" s="2" t="n"/>
      <c r="E989" s="11" t="n"/>
      <c r="F989" s="5" t="n"/>
    </row>
    <row r="990" customFormat="1" s="85">
      <c r="A990" s="2" t="n"/>
      <c r="B990" s="64" t="n"/>
      <c r="C990" s="2" t="n"/>
      <c r="D990" s="2" t="n"/>
      <c r="E990" s="11" t="n"/>
      <c r="F990" s="5" t="n"/>
    </row>
    <row r="991" customFormat="1" s="85">
      <c r="A991" s="2" t="n"/>
      <c r="B991" s="64" t="n"/>
      <c r="C991" s="2" t="n"/>
      <c r="D991" s="2" t="n"/>
      <c r="E991" s="11" t="n"/>
      <c r="F991" s="5" t="n"/>
    </row>
    <row r="992" customFormat="1" s="85">
      <c r="A992" s="2" t="n"/>
      <c r="B992" s="64" t="n"/>
      <c r="C992" s="2" t="n"/>
      <c r="D992" s="2" t="n"/>
      <c r="E992" s="11" t="n"/>
      <c r="F992" s="5" t="n"/>
    </row>
    <row r="993" customFormat="1" s="85">
      <c r="A993" s="2" t="n"/>
      <c r="B993" s="64" t="n"/>
      <c r="C993" s="2" t="n"/>
      <c r="D993" s="2" t="n"/>
      <c r="E993" s="11" t="n"/>
      <c r="F993" s="5" t="n"/>
    </row>
    <row r="994" customFormat="1" s="85">
      <c r="A994" s="2" t="n"/>
      <c r="B994" s="64" t="n"/>
      <c r="C994" s="2" t="n"/>
      <c r="D994" s="2" t="n"/>
      <c r="E994" s="11" t="n"/>
      <c r="F994" s="5" t="n"/>
    </row>
    <row r="995" customFormat="1" s="85">
      <c r="A995" s="2" t="n"/>
      <c r="B995" s="64" t="n"/>
      <c r="C995" s="2" t="n"/>
      <c r="D995" s="2" t="n"/>
      <c r="E995" s="11" t="n"/>
      <c r="F995" s="5" t="n"/>
    </row>
    <row r="996" customFormat="1" s="85">
      <c r="A996" s="2" t="n"/>
      <c r="B996" s="64" t="n"/>
      <c r="C996" s="2" t="n"/>
      <c r="D996" s="2" t="n"/>
      <c r="E996" s="11" t="n"/>
      <c r="F996" s="5" t="n"/>
    </row>
    <row r="997" customFormat="1" s="85">
      <c r="A997" s="2" t="n"/>
      <c r="B997" s="64" t="n"/>
      <c r="C997" s="2" t="n"/>
      <c r="D997" s="2" t="n"/>
      <c r="E997" s="11" t="n"/>
      <c r="F997" s="5" t="n"/>
    </row>
    <row r="998" customFormat="1" s="85">
      <c r="A998" s="2" t="n"/>
      <c r="B998" s="64" t="n"/>
      <c r="C998" s="2" t="n"/>
      <c r="D998" s="2" t="n"/>
      <c r="E998" s="11" t="n"/>
      <c r="F998" s="5" t="n"/>
    </row>
    <row r="999" customFormat="1" s="85">
      <c r="A999" s="2" t="n"/>
      <c r="B999" s="64" t="n"/>
      <c r="C999" s="2" t="n"/>
      <c r="D999" s="2" t="n"/>
      <c r="E999" s="11" t="n"/>
      <c r="F999" s="5" t="n"/>
    </row>
    <row r="1000" customFormat="1" s="85">
      <c r="A1000" s="2" t="n"/>
      <c r="B1000" s="64" t="n"/>
      <c r="C1000" s="2" t="n"/>
      <c r="D1000" s="2" t="n"/>
      <c r="E1000" s="11" t="n"/>
      <c r="F1000" s="5" t="n"/>
    </row>
    <row r="1001" customFormat="1" s="85">
      <c r="A1001" s="2" t="n"/>
      <c r="B1001" s="64" t="n"/>
      <c r="C1001" s="2" t="n"/>
      <c r="D1001" s="2" t="n"/>
      <c r="E1001" s="11" t="n"/>
      <c r="F1001" s="5" t="n"/>
    </row>
    <row r="1002" customFormat="1" s="85">
      <c r="A1002" s="2" t="n"/>
      <c r="B1002" s="64" t="n"/>
      <c r="C1002" s="2" t="n"/>
      <c r="D1002" s="2" t="n"/>
      <c r="E1002" s="11" t="n"/>
      <c r="F1002" s="5" t="n"/>
    </row>
    <row r="1003" customFormat="1" s="85">
      <c r="A1003" s="2" t="n"/>
      <c r="B1003" s="64" t="n"/>
      <c r="C1003" s="2" t="n"/>
      <c r="D1003" s="2" t="n"/>
      <c r="E1003" s="11" t="n"/>
      <c r="F1003" s="5" t="n"/>
    </row>
    <row r="1004" customFormat="1" s="85">
      <c r="A1004" s="2" t="n"/>
      <c r="B1004" s="64" t="n"/>
      <c r="C1004" s="2" t="n"/>
      <c r="D1004" s="2" t="n"/>
      <c r="E1004" s="11" t="n"/>
      <c r="F1004" s="5" t="n"/>
    </row>
    <row r="1005" customFormat="1" s="85">
      <c r="A1005" s="2" t="n"/>
      <c r="B1005" s="64" t="n"/>
      <c r="C1005" s="2" t="n"/>
      <c r="D1005" s="2" t="n"/>
      <c r="E1005" s="11" t="n"/>
      <c r="F1005" s="5" t="n"/>
    </row>
    <row r="1006" customFormat="1" s="85">
      <c r="A1006" s="2" t="n"/>
      <c r="B1006" s="64" t="n"/>
      <c r="C1006" s="2" t="n"/>
      <c r="D1006" s="2" t="n"/>
      <c r="E1006" s="11" t="n"/>
      <c r="F1006" s="5" t="n"/>
    </row>
    <row r="1007" customFormat="1" s="85">
      <c r="A1007" s="2" t="n"/>
      <c r="B1007" s="64" t="n"/>
      <c r="C1007" s="2" t="n"/>
      <c r="D1007" s="2" t="n"/>
      <c r="E1007" s="11" t="n"/>
      <c r="F1007" s="5" t="n"/>
    </row>
    <row r="1008" customFormat="1" s="85">
      <c r="A1008" s="2" t="n"/>
      <c r="B1008" s="64" t="n"/>
      <c r="C1008" s="2" t="n"/>
      <c r="D1008" s="2" t="n"/>
      <c r="E1008" s="11" t="n"/>
      <c r="F1008" s="5" t="n"/>
    </row>
    <row r="1009" customFormat="1" s="85">
      <c r="A1009" s="2" t="n"/>
      <c r="B1009" s="64" t="n"/>
      <c r="C1009" s="2" t="n"/>
      <c r="D1009" s="2" t="n"/>
      <c r="E1009" s="11" t="n"/>
      <c r="F1009" s="5" t="n"/>
    </row>
    <row r="1010" customFormat="1" s="85">
      <c r="A1010" s="2" t="n"/>
      <c r="B1010" s="64" t="n"/>
      <c r="C1010" s="2" t="n"/>
      <c r="D1010" s="2" t="n"/>
      <c r="E1010" s="11" t="n"/>
      <c r="F1010" s="5" t="n"/>
    </row>
    <row r="1011" customFormat="1" s="85">
      <c r="A1011" s="2" t="n"/>
      <c r="B1011" s="64" t="n"/>
      <c r="C1011" s="2" t="n"/>
      <c r="D1011" s="2" t="n"/>
      <c r="E1011" s="11" t="n"/>
      <c r="F1011" s="5" t="n"/>
    </row>
    <row r="1012" customFormat="1" s="85">
      <c r="A1012" s="2" t="n"/>
      <c r="B1012" s="64" t="n"/>
      <c r="C1012" s="2" t="n"/>
      <c r="D1012" s="2" t="n"/>
      <c r="E1012" s="11" t="n"/>
      <c r="F1012" s="5" t="n"/>
    </row>
    <row r="1013" customFormat="1" s="85">
      <c r="A1013" s="2" t="n"/>
      <c r="B1013" s="64" t="n"/>
      <c r="C1013" s="2" t="n"/>
      <c r="D1013" s="2" t="n"/>
      <c r="E1013" s="11" t="n"/>
      <c r="F1013" s="5" t="n"/>
    </row>
    <row r="1014" customFormat="1" s="85">
      <c r="A1014" s="2" t="n"/>
      <c r="B1014" s="64" t="n"/>
      <c r="C1014" s="2" t="n"/>
      <c r="D1014" s="2" t="n"/>
      <c r="E1014" s="11" t="n"/>
      <c r="F1014" s="5" t="n"/>
    </row>
    <row r="1015" customFormat="1" s="85">
      <c r="A1015" s="2" t="n"/>
      <c r="B1015" s="64" t="n"/>
      <c r="C1015" s="2" t="n"/>
      <c r="D1015" s="2" t="n"/>
      <c r="E1015" s="11" t="n"/>
      <c r="F1015" s="5" t="n"/>
    </row>
    <row r="1016" customFormat="1" s="85">
      <c r="A1016" s="2" t="n"/>
      <c r="B1016" s="64" t="n"/>
      <c r="C1016" s="2" t="n"/>
      <c r="D1016" s="2" t="n"/>
      <c r="E1016" s="11" t="n"/>
      <c r="F1016" s="5" t="n"/>
    </row>
    <row r="1017" customFormat="1" s="85">
      <c r="A1017" s="2" t="n"/>
      <c r="B1017" s="64" t="n"/>
      <c r="C1017" s="2" t="n"/>
      <c r="D1017" s="2" t="n"/>
      <c r="E1017" s="11" t="n"/>
      <c r="F1017" s="5" t="n"/>
    </row>
    <row r="1018" customFormat="1" s="85">
      <c r="A1018" s="2" t="n"/>
      <c r="B1018" s="64" t="n"/>
      <c r="C1018" s="2" t="n"/>
      <c r="D1018" s="2" t="n"/>
      <c r="E1018" s="11" t="n"/>
      <c r="F1018" s="5" t="n"/>
    </row>
    <row r="1019" customFormat="1" s="85">
      <c r="A1019" s="2" t="n"/>
      <c r="B1019" s="64" t="n"/>
      <c r="C1019" s="2" t="n"/>
      <c r="D1019" s="2" t="n"/>
      <c r="E1019" s="11" t="n"/>
      <c r="F1019" s="5" t="n"/>
    </row>
    <row r="1020" customFormat="1" s="85">
      <c r="A1020" s="2" t="n"/>
      <c r="B1020" s="64" t="n"/>
      <c r="C1020" s="2" t="n"/>
      <c r="D1020" s="2" t="n"/>
      <c r="E1020" s="11" t="n"/>
      <c r="F1020" s="5" t="n"/>
    </row>
    <row r="1021" customFormat="1" s="85">
      <c r="A1021" s="2" t="n"/>
      <c r="B1021" s="64" t="n"/>
      <c r="C1021" s="2" t="n"/>
      <c r="D1021" s="2" t="n"/>
      <c r="E1021" s="11" t="n"/>
      <c r="F1021" s="5" t="n"/>
    </row>
    <row r="1022" customFormat="1" s="85">
      <c r="A1022" s="2" t="n"/>
      <c r="B1022" s="64" t="n"/>
      <c r="C1022" s="2" t="n"/>
      <c r="D1022" s="2" t="n"/>
      <c r="E1022" s="11" t="n"/>
      <c r="F1022" s="5" t="n"/>
    </row>
    <row r="1023" customFormat="1" s="85">
      <c r="A1023" s="2" t="n"/>
      <c r="B1023" s="64" t="n"/>
      <c r="C1023" s="2" t="n"/>
      <c r="D1023" s="2" t="n"/>
      <c r="E1023" s="11" t="n"/>
      <c r="F1023" s="5" t="n"/>
    </row>
    <row r="1024" customFormat="1" s="85">
      <c r="A1024" s="2" t="n"/>
      <c r="B1024" s="64" t="n"/>
      <c r="C1024" s="2" t="n"/>
      <c r="D1024" s="2" t="n"/>
      <c r="E1024" s="11" t="n"/>
      <c r="F1024" s="5" t="n"/>
    </row>
    <row r="1025" customFormat="1" s="85">
      <c r="A1025" s="2" t="n"/>
      <c r="B1025" s="64" t="n"/>
      <c r="C1025" s="2" t="n"/>
      <c r="D1025" s="2" t="n"/>
      <c r="E1025" s="11" t="n"/>
      <c r="F1025" s="5" t="n"/>
    </row>
    <row r="1026" customFormat="1" s="85">
      <c r="A1026" s="2" t="n"/>
      <c r="B1026" s="64" t="n"/>
      <c r="C1026" s="2" t="n"/>
      <c r="D1026" s="2" t="n"/>
      <c r="E1026" s="11" t="n"/>
      <c r="F1026" s="5" t="n"/>
    </row>
    <row r="1027" customFormat="1" s="85">
      <c r="A1027" s="2" t="n"/>
      <c r="B1027" s="64" t="n"/>
      <c r="C1027" s="2" t="n"/>
      <c r="D1027" s="2" t="n"/>
      <c r="E1027" s="11" t="n"/>
      <c r="F1027" s="5" t="n"/>
    </row>
    <row r="1028" customFormat="1" s="85">
      <c r="A1028" s="2" t="n"/>
      <c r="B1028" s="64" t="n"/>
      <c r="C1028" s="2" t="n"/>
      <c r="D1028" s="2" t="n"/>
      <c r="E1028" s="11" t="n"/>
      <c r="F1028" s="5" t="n"/>
    </row>
    <row r="1029" customFormat="1" s="85">
      <c r="A1029" s="2" t="n"/>
      <c r="B1029" s="64" t="n"/>
      <c r="C1029" s="2" t="n"/>
      <c r="D1029" s="2" t="n"/>
      <c r="E1029" s="11" t="n"/>
      <c r="F1029" s="5" t="n"/>
    </row>
    <row r="1030" customFormat="1" s="85">
      <c r="A1030" s="2" t="n"/>
      <c r="B1030" s="64" t="n"/>
      <c r="C1030" s="2" t="n"/>
      <c r="D1030" s="2" t="n"/>
      <c r="E1030" s="11" t="n"/>
      <c r="F1030" s="5" t="n"/>
    </row>
    <row r="1031" customFormat="1" s="85">
      <c r="A1031" s="2" t="n"/>
      <c r="B1031" s="64" t="n"/>
      <c r="C1031" s="2" t="n"/>
      <c r="D1031" s="2" t="n"/>
      <c r="E1031" s="11" t="n"/>
      <c r="F1031" s="5" t="n"/>
    </row>
    <row r="1032" customFormat="1" s="85">
      <c r="A1032" s="2" t="n"/>
      <c r="B1032" s="64" t="n"/>
      <c r="C1032" s="2" t="n"/>
      <c r="D1032" s="2" t="n"/>
      <c r="E1032" s="11" t="n"/>
      <c r="F1032" s="5" t="n"/>
    </row>
    <row r="1033" customFormat="1" s="85">
      <c r="A1033" s="2" t="n"/>
      <c r="B1033" s="64" t="n"/>
      <c r="C1033" s="2" t="n"/>
      <c r="D1033" s="2" t="n"/>
      <c r="E1033" s="11" t="n"/>
      <c r="F1033" s="5" t="n"/>
    </row>
    <row r="1034" customFormat="1" s="85">
      <c r="A1034" s="2" t="n"/>
      <c r="B1034" s="64" t="n"/>
      <c r="C1034" s="2" t="n"/>
      <c r="D1034" s="2" t="n"/>
      <c r="E1034" s="11" t="n"/>
      <c r="F1034" s="5" t="n"/>
    </row>
    <row r="1035" customFormat="1" s="85">
      <c r="A1035" s="2" t="n"/>
      <c r="B1035" s="64" t="n"/>
      <c r="C1035" s="2" t="n"/>
      <c r="D1035" s="2" t="n"/>
      <c r="E1035" s="11" t="n"/>
      <c r="F1035" s="5" t="n"/>
    </row>
    <row r="1036" customFormat="1" s="85">
      <c r="A1036" s="2" t="n"/>
      <c r="B1036" s="64" t="n"/>
      <c r="C1036" s="2" t="n"/>
      <c r="D1036" s="2" t="n"/>
      <c r="E1036" s="11" t="n"/>
      <c r="F1036" s="5" t="n"/>
    </row>
    <row r="1037" customFormat="1" s="85">
      <c r="A1037" s="2" t="n"/>
      <c r="B1037" s="64" t="n"/>
      <c r="C1037" s="2" t="n"/>
      <c r="D1037" s="2" t="n"/>
      <c r="E1037" s="11" t="n"/>
      <c r="F1037" s="5" t="n"/>
    </row>
    <row r="1038" customFormat="1" s="85">
      <c r="A1038" s="2" t="n"/>
      <c r="B1038" s="64" t="n"/>
      <c r="C1038" s="2" t="n"/>
      <c r="D1038" s="2" t="n"/>
      <c r="E1038" s="11" t="n"/>
      <c r="F1038" s="5" t="n"/>
    </row>
    <row r="1039" customFormat="1" s="85">
      <c r="A1039" s="2" t="n"/>
      <c r="B1039" s="64" t="n"/>
      <c r="C1039" s="2" t="n"/>
      <c r="D1039" s="2" t="n"/>
      <c r="E1039" s="11" t="n"/>
      <c r="F1039" s="5" t="n"/>
    </row>
    <row r="1040" customFormat="1" s="85">
      <c r="A1040" s="2" t="n"/>
      <c r="B1040" s="64" t="n"/>
      <c r="C1040" s="2" t="n"/>
      <c r="D1040" s="2" t="n"/>
      <c r="E1040" s="11" t="n"/>
      <c r="F1040" s="5" t="n"/>
    </row>
    <row r="1041" customFormat="1" s="85">
      <c r="A1041" s="2" t="n"/>
      <c r="B1041" s="64" t="n"/>
      <c r="C1041" s="2" t="n"/>
      <c r="D1041" s="2" t="n"/>
      <c r="E1041" s="11" t="n"/>
      <c r="F1041" s="5" t="n"/>
    </row>
    <row r="1042" customFormat="1" s="85">
      <c r="A1042" s="2" t="n"/>
      <c r="B1042" s="64" t="n"/>
      <c r="C1042" s="2" t="n"/>
      <c r="D1042" s="2" t="n"/>
      <c r="E1042" s="11" t="n"/>
      <c r="F1042" s="5" t="n"/>
    </row>
    <row r="1043" customFormat="1" s="85">
      <c r="A1043" s="2" t="n"/>
      <c r="B1043" s="64" t="n"/>
      <c r="C1043" s="2" t="n"/>
      <c r="D1043" s="2" t="n"/>
      <c r="E1043" s="11" t="n"/>
      <c r="F1043" s="5" t="n"/>
    </row>
    <row r="1044" customFormat="1" s="85">
      <c r="A1044" s="2" t="n"/>
      <c r="B1044" s="64" t="n"/>
      <c r="C1044" s="2" t="n"/>
      <c r="D1044" s="2" t="n"/>
      <c r="E1044" s="11" t="n"/>
      <c r="F1044" s="5" t="n"/>
    </row>
    <row r="1045" customFormat="1" s="85">
      <c r="A1045" s="2" t="n"/>
      <c r="B1045" s="64" t="n"/>
      <c r="C1045" s="2" t="n"/>
      <c r="D1045" s="2" t="n"/>
      <c r="E1045" s="11" t="n"/>
      <c r="F1045" s="5" t="n"/>
    </row>
    <row r="1046" customFormat="1" s="85">
      <c r="A1046" s="2" t="n"/>
      <c r="B1046" s="64" t="n"/>
      <c r="C1046" s="2" t="n"/>
      <c r="D1046" s="2" t="n"/>
      <c r="E1046" s="11" t="n"/>
      <c r="F1046" s="5" t="n"/>
    </row>
    <row r="1047" customFormat="1" s="85">
      <c r="A1047" s="2" t="n"/>
      <c r="B1047" s="64" t="n"/>
      <c r="C1047" s="2" t="n"/>
      <c r="D1047" s="2" t="n"/>
      <c r="E1047" s="11" t="n"/>
      <c r="F1047" s="5" t="n"/>
    </row>
    <row r="1048" customFormat="1" s="85">
      <c r="A1048" s="2" t="n"/>
      <c r="B1048" s="64" t="n"/>
      <c r="C1048" s="2" t="n"/>
      <c r="D1048" s="2" t="n"/>
      <c r="E1048" s="11" t="n"/>
      <c r="F1048" s="5" t="n"/>
    </row>
    <row r="1049" customFormat="1" s="85">
      <c r="A1049" s="2" t="n"/>
      <c r="B1049" s="64" t="n"/>
      <c r="C1049" s="2" t="n"/>
      <c r="D1049" s="2" t="n"/>
      <c r="E1049" s="11" t="n"/>
      <c r="F1049" s="5" t="n"/>
    </row>
    <row r="1050" customFormat="1" s="85">
      <c r="A1050" s="2" t="n"/>
      <c r="B1050" s="64" t="n"/>
      <c r="C1050" s="2" t="n"/>
      <c r="D1050" s="2" t="n"/>
      <c r="E1050" s="11" t="n"/>
      <c r="F1050" s="5" t="n"/>
    </row>
    <row r="1051" customFormat="1" s="85">
      <c r="A1051" s="2" t="n"/>
      <c r="B1051" s="64" t="n"/>
      <c r="C1051" s="2" t="n"/>
      <c r="D1051" s="2" t="n"/>
      <c r="E1051" s="11" t="n"/>
      <c r="F1051" s="5" t="n"/>
    </row>
    <row r="1052" customFormat="1" s="85">
      <c r="A1052" s="2" t="n"/>
      <c r="B1052" s="64" t="n"/>
      <c r="C1052" s="2" t="n"/>
      <c r="D1052" s="2" t="n"/>
      <c r="E1052" s="11" t="n"/>
      <c r="F1052" s="5" t="n"/>
    </row>
    <row r="1053" customFormat="1" s="85">
      <c r="A1053" s="2" t="n"/>
      <c r="B1053" s="64" t="n"/>
      <c r="C1053" s="2" t="n"/>
      <c r="D1053" s="2" t="n"/>
      <c r="E1053" s="11" t="n"/>
      <c r="F1053" s="5" t="n"/>
    </row>
    <row r="1054" customFormat="1" s="85">
      <c r="A1054" s="2" t="n"/>
      <c r="B1054" s="64" t="n"/>
      <c r="C1054" s="2" t="n"/>
      <c r="D1054" s="2" t="n"/>
      <c r="E1054" s="11" t="n"/>
      <c r="F1054" s="5" t="n"/>
    </row>
    <row r="1055" customFormat="1" s="85">
      <c r="A1055" s="2" t="n"/>
      <c r="B1055" s="64" t="n"/>
      <c r="C1055" s="2" t="n"/>
      <c r="D1055" s="2" t="n"/>
      <c r="E1055" s="11" t="n"/>
      <c r="F1055" s="5" t="n"/>
    </row>
    <row r="1056" customFormat="1" s="85">
      <c r="A1056" s="2" t="n"/>
      <c r="B1056" s="64" t="n"/>
      <c r="C1056" s="2" t="n"/>
      <c r="D1056" s="2" t="n"/>
      <c r="E1056" s="11" t="n"/>
      <c r="F1056" s="5" t="n"/>
    </row>
    <row r="1057" customFormat="1" s="85">
      <c r="A1057" s="2" t="n"/>
      <c r="B1057" s="64" t="n"/>
      <c r="C1057" s="2" t="n"/>
      <c r="D1057" s="2" t="n"/>
      <c r="E1057" s="11" t="n"/>
      <c r="F1057" s="5" t="n"/>
    </row>
    <row r="1058" customFormat="1" s="85">
      <c r="A1058" s="2" t="n"/>
      <c r="B1058" s="64" t="n"/>
      <c r="C1058" s="2" t="n"/>
      <c r="D1058" s="2" t="n"/>
      <c r="E1058" s="11" t="n"/>
      <c r="F1058" s="5" t="n"/>
    </row>
    <row r="1059" customFormat="1" s="85">
      <c r="A1059" s="2" t="n"/>
      <c r="B1059" s="64" t="n"/>
      <c r="C1059" s="2" t="n"/>
      <c r="D1059" s="2" t="n"/>
      <c r="E1059" s="11" t="n"/>
      <c r="F1059" s="5" t="n"/>
    </row>
    <row r="1060" customFormat="1" s="85">
      <c r="A1060" s="2" t="n"/>
      <c r="B1060" s="64" t="n"/>
      <c r="C1060" s="2" t="n"/>
      <c r="D1060" s="2" t="n"/>
      <c r="E1060" s="11" t="n"/>
      <c r="F1060" s="5" t="n"/>
    </row>
    <row r="1061" customFormat="1" s="85">
      <c r="A1061" s="2" t="n"/>
      <c r="B1061" s="64" t="n"/>
      <c r="C1061" s="2" t="n"/>
      <c r="D1061" s="2" t="n"/>
      <c r="E1061" s="11" t="n"/>
      <c r="F1061" s="5" t="n"/>
    </row>
    <row r="1062" customFormat="1" s="85">
      <c r="A1062" s="2" t="n"/>
      <c r="B1062" s="64" t="n"/>
      <c r="C1062" s="2" t="n"/>
      <c r="D1062" s="2" t="n"/>
      <c r="E1062" s="11" t="n"/>
      <c r="F1062" s="5" t="n"/>
    </row>
    <row r="1063" customFormat="1" s="85">
      <c r="A1063" s="2" t="n"/>
      <c r="B1063" s="64" t="n"/>
      <c r="C1063" s="2" t="n"/>
      <c r="D1063" s="2" t="n"/>
      <c r="E1063" s="11" t="n"/>
      <c r="F1063" s="5" t="n"/>
    </row>
    <row r="1064" customFormat="1" s="85">
      <c r="A1064" s="2" t="n"/>
      <c r="B1064" s="64" t="n"/>
      <c r="C1064" s="2" t="n"/>
      <c r="D1064" s="2" t="n"/>
      <c r="E1064" s="11" t="n"/>
      <c r="F1064" s="5" t="n"/>
    </row>
    <row r="1065" customFormat="1" s="85">
      <c r="A1065" s="2" t="n"/>
      <c r="B1065" s="64" t="n"/>
      <c r="C1065" s="2" t="n"/>
      <c r="D1065" s="2" t="n"/>
      <c r="E1065" s="11" t="n"/>
      <c r="F1065" s="5" t="n"/>
    </row>
    <row r="1066" customFormat="1" s="85">
      <c r="A1066" s="2" t="n"/>
      <c r="B1066" s="64" t="n"/>
      <c r="C1066" s="2" t="n"/>
      <c r="D1066" s="2" t="n"/>
      <c r="E1066" s="11" t="n"/>
      <c r="F1066" s="5" t="n"/>
    </row>
    <row r="1067" customFormat="1" s="85">
      <c r="A1067" s="2" t="n"/>
      <c r="B1067" s="64" t="n"/>
      <c r="C1067" s="2" t="n"/>
      <c r="D1067" s="2" t="n"/>
      <c r="E1067" s="11" t="n"/>
      <c r="F1067" s="5" t="n"/>
    </row>
    <row r="1068" customFormat="1" s="85">
      <c r="A1068" s="2" t="n"/>
      <c r="B1068" s="64" t="n"/>
      <c r="C1068" s="2" t="n"/>
      <c r="D1068" s="2" t="n"/>
      <c r="E1068" s="11" t="n"/>
      <c r="F1068" s="5" t="n"/>
    </row>
    <row r="1069" customFormat="1" s="85">
      <c r="A1069" s="2" t="n"/>
      <c r="B1069" s="64" t="n"/>
      <c r="C1069" s="2" t="n"/>
      <c r="D1069" s="2" t="n"/>
      <c r="E1069" s="11" t="n"/>
      <c r="F1069" s="5" t="n"/>
    </row>
    <row r="1070" customFormat="1" s="85">
      <c r="A1070" s="2" t="n"/>
      <c r="B1070" s="64" t="n"/>
      <c r="C1070" s="2" t="n"/>
      <c r="D1070" s="2" t="n"/>
      <c r="E1070" s="11" t="n"/>
      <c r="F1070" s="5" t="n"/>
    </row>
    <row r="1071" customFormat="1" s="85">
      <c r="A1071" s="2" t="n"/>
      <c r="B1071" s="64" t="n"/>
      <c r="C1071" s="2" t="n"/>
      <c r="D1071" s="2" t="n"/>
      <c r="E1071" s="11" t="n"/>
      <c r="F1071" s="5" t="n"/>
    </row>
    <row r="1072" customFormat="1" s="85">
      <c r="A1072" s="2" t="n"/>
      <c r="B1072" s="64" t="n"/>
      <c r="C1072" s="2" t="n"/>
      <c r="D1072" s="2" t="n"/>
      <c r="E1072" s="11" t="n"/>
      <c r="F1072" s="5" t="n"/>
    </row>
    <row r="1073" customFormat="1" s="85">
      <c r="A1073" s="2" t="n"/>
      <c r="B1073" s="64" t="n"/>
      <c r="C1073" s="2" t="n"/>
      <c r="D1073" s="2" t="n"/>
      <c r="E1073" s="11" t="n"/>
      <c r="F1073" s="5" t="n"/>
    </row>
    <row r="1074" customFormat="1" s="85">
      <c r="A1074" s="2" t="n"/>
      <c r="B1074" s="64" t="n"/>
      <c r="C1074" s="2" t="n"/>
      <c r="D1074" s="2" t="n"/>
      <c r="E1074" s="11" t="n"/>
      <c r="F1074" s="5" t="n"/>
    </row>
    <row r="1075" customFormat="1" s="85">
      <c r="A1075" s="2" t="n"/>
      <c r="B1075" s="64" t="n"/>
      <c r="C1075" s="2" t="n"/>
      <c r="D1075" s="2" t="n"/>
      <c r="E1075" s="11" t="n"/>
      <c r="F1075" s="5" t="n"/>
    </row>
    <row r="1076" customFormat="1" s="85">
      <c r="A1076" s="2" t="n"/>
      <c r="B1076" s="64" t="n"/>
      <c r="C1076" s="2" t="n"/>
      <c r="D1076" s="2" t="n"/>
      <c r="E1076" s="11" t="n"/>
      <c r="F1076" s="5" t="n"/>
    </row>
    <row r="1077" customFormat="1" s="85">
      <c r="A1077" s="2" t="n"/>
      <c r="B1077" s="64" t="n"/>
      <c r="C1077" s="2" t="n"/>
      <c r="D1077" s="2" t="n"/>
      <c r="E1077" s="11" t="n"/>
      <c r="F1077" s="5" t="n"/>
    </row>
    <row r="1078" customFormat="1" s="85">
      <c r="A1078" s="2" t="n"/>
      <c r="B1078" s="64" t="n"/>
      <c r="C1078" s="2" t="n"/>
      <c r="D1078" s="2" t="n"/>
      <c r="E1078" s="11" t="n"/>
      <c r="F1078" s="5" t="n"/>
    </row>
    <row r="1079" customFormat="1" s="85">
      <c r="A1079" s="2" t="n"/>
      <c r="B1079" s="64" t="n"/>
      <c r="C1079" s="2" t="n"/>
      <c r="D1079" s="2" t="n"/>
      <c r="E1079" s="11" t="n"/>
      <c r="F1079" s="5" t="n"/>
    </row>
    <row r="1080" customFormat="1" s="85">
      <c r="A1080" s="2" t="n"/>
      <c r="B1080" s="64" t="n"/>
      <c r="C1080" s="2" t="n"/>
      <c r="D1080" s="2" t="n"/>
      <c r="E1080" s="11" t="n"/>
      <c r="F1080" s="5" t="n"/>
    </row>
    <row r="1081" customFormat="1" s="85">
      <c r="A1081" s="2" t="n"/>
      <c r="B1081" s="64" t="n"/>
      <c r="C1081" s="2" t="n"/>
      <c r="D1081" s="2" t="n"/>
      <c r="E1081" s="11" t="n"/>
      <c r="F1081" s="5" t="n"/>
    </row>
    <row r="1082" customFormat="1" s="85">
      <c r="A1082" s="2" t="n"/>
      <c r="B1082" s="64" t="n"/>
      <c r="C1082" s="2" t="n"/>
      <c r="D1082" s="2" t="n"/>
      <c r="E1082" s="11" t="n"/>
      <c r="F1082" s="5" t="n"/>
    </row>
    <row r="1083" customFormat="1" s="85">
      <c r="A1083" s="2" t="n"/>
      <c r="B1083" s="64" t="n"/>
      <c r="C1083" s="2" t="n"/>
      <c r="D1083" s="2" t="n"/>
      <c r="E1083" s="11" t="n"/>
      <c r="F1083" s="5" t="n"/>
    </row>
    <row r="1084" customFormat="1" s="85">
      <c r="A1084" s="2" t="n"/>
      <c r="B1084" s="64" t="n"/>
      <c r="C1084" s="2" t="n"/>
      <c r="D1084" s="2" t="n"/>
      <c r="E1084" s="11" t="n"/>
      <c r="F1084" s="5" t="n"/>
    </row>
    <row r="1085" customFormat="1" s="85">
      <c r="A1085" s="2" t="n"/>
      <c r="B1085" s="64" t="n"/>
      <c r="C1085" s="2" t="n"/>
      <c r="D1085" s="2" t="n"/>
      <c r="E1085" s="11" t="n"/>
      <c r="F1085" s="5" t="n"/>
    </row>
    <row r="1086" customFormat="1" s="85">
      <c r="A1086" s="2" t="n"/>
      <c r="B1086" s="64" t="n"/>
      <c r="C1086" s="2" t="n"/>
      <c r="D1086" s="2" t="n"/>
      <c r="E1086" s="11" t="n"/>
      <c r="F1086" s="5" t="n"/>
    </row>
    <row r="1087" customFormat="1" s="85">
      <c r="A1087" s="2" t="n"/>
      <c r="B1087" s="64" t="n"/>
      <c r="C1087" s="2" t="n"/>
      <c r="D1087" s="2" t="n"/>
      <c r="E1087" s="11" t="n"/>
      <c r="F1087" s="5" t="n"/>
    </row>
    <row r="1088" customFormat="1" s="85">
      <c r="A1088" s="2" t="n"/>
      <c r="B1088" s="64" t="n"/>
      <c r="C1088" s="2" t="n"/>
      <c r="D1088" s="2" t="n"/>
      <c r="E1088" s="11" t="n"/>
      <c r="F1088" s="5" t="n"/>
    </row>
    <row r="1089" customFormat="1" s="85">
      <c r="A1089" s="2" t="n"/>
      <c r="B1089" s="64" t="n"/>
      <c r="C1089" s="2" t="n"/>
      <c r="D1089" s="2" t="n"/>
      <c r="E1089" s="11" t="n"/>
      <c r="F1089" s="5" t="n"/>
    </row>
    <row r="1090" customFormat="1" s="85">
      <c r="A1090" s="2" t="n"/>
      <c r="B1090" s="64" t="n"/>
      <c r="C1090" s="2" t="n"/>
      <c r="D1090" s="2" t="n"/>
      <c r="E1090" s="11" t="n"/>
      <c r="F1090" s="5" t="n"/>
    </row>
    <row r="1091" customFormat="1" s="85">
      <c r="A1091" s="2" t="n"/>
      <c r="B1091" s="64" t="n"/>
      <c r="C1091" s="2" t="n"/>
      <c r="D1091" s="2" t="n"/>
      <c r="E1091" s="11" t="n"/>
      <c r="F1091" s="5" t="n"/>
    </row>
    <row r="1092" customFormat="1" s="85">
      <c r="A1092" s="2" t="n"/>
      <c r="B1092" s="64" t="n"/>
      <c r="C1092" s="2" t="n"/>
      <c r="D1092" s="2" t="n"/>
      <c r="E1092" s="11" t="n"/>
      <c r="F1092" s="5" t="n"/>
    </row>
    <row r="1093" customFormat="1" s="85">
      <c r="A1093" s="2" t="n"/>
      <c r="B1093" s="64" t="n"/>
      <c r="C1093" s="2" t="n"/>
      <c r="D1093" s="2" t="n"/>
      <c r="E1093" s="11" t="n"/>
      <c r="F1093" s="5" t="n"/>
    </row>
    <row r="1094" customFormat="1" s="85">
      <c r="A1094" s="2" t="n"/>
      <c r="B1094" s="64" t="n"/>
      <c r="C1094" s="2" t="n"/>
      <c r="D1094" s="2" t="n"/>
      <c r="E1094" s="11" t="n"/>
      <c r="F1094" s="5" t="n"/>
    </row>
    <row r="1095" customFormat="1" s="85">
      <c r="A1095" s="2" t="n"/>
      <c r="B1095" s="64" t="n"/>
      <c r="C1095" s="2" t="n"/>
      <c r="D1095" s="2" t="n"/>
      <c r="E1095" s="11" t="n"/>
      <c r="F1095" s="5" t="n"/>
    </row>
    <row r="1096" customFormat="1" s="85">
      <c r="A1096" s="2" t="n"/>
      <c r="B1096" s="64" t="n"/>
      <c r="C1096" s="2" t="n"/>
      <c r="D1096" s="2" t="n"/>
      <c r="E1096" s="11" t="n"/>
      <c r="F1096" s="5" t="n"/>
    </row>
    <row r="1097" customFormat="1" s="85">
      <c r="A1097" s="2" t="n"/>
      <c r="B1097" s="64" t="n"/>
      <c r="C1097" s="2" t="n"/>
      <c r="D1097" s="2" t="n"/>
      <c r="E1097" s="11" t="n"/>
      <c r="F1097" s="5" t="n"/>
    </row>
    <row r="1098" customFormat="1" s="85">
      <c r="A1098" s="2" t="n"/>
      <c r="B1098" s="64" t="n"/>
      <c r="C1098" s="2" t="n"/>
      <c r="D1098" s="2" t="n"/>
      <c r="E1098" s="11" t="n"/>
      <c r="F1098" s="5" t="n"/>
    </row>
    <row r="1099" customFormat="1" s="85">
      <c r="A1099" s="2" t="n"/>
      <c r="B1099" s="64" t="n"/>
      <c r="C1099" s="2" t="n"/>
      <c r="D1099" s="2" t="n"/>
      <c r="E1099" s="11" t="n"/>
      <c r="F1099" s="5" t="n"/>
    </row>
    <row r="1100" customFormat="1" s="85">
      <c r="A1100" s="2" t="n"/>
      <c r="B1100" s="64" t="n"/>
      <c r="C1100" s="2" t="n"/>
      <c r="D1100" s="2" t="n"/>
      <c r="E1100" s="11" t="n"/>
      <c r="F1100" s="5" t="n"/>
    </row>
    <row r="1101" customFormat="1" s="85">
      <c r="A1101" s="2" t="n"/>
      <c r="B1101" s="64" t="n"/>
      <c r="C1101" s="2" t="n"/>
      <c r="D1101" s="2" t="n"/>
      <c r="E1101" s="11" t="n"/>
      <c r="F1101" s="5" t="n"/>
    </row>
    <row r="1102" customFormat="1" s="85">
      <c r="A1102" s="2" t="n"/>
      <c r="B1102" s="64" t="n"/>
      <c r="C1102" s="2" t="n"/>
      <c r="D1102" s="2" t="n"/>
      <c r="E1102" s="11" t="n"/>
      <c r="F1102" s="5" t="n"/>
    </row>
    <row r="1103" customFormat="1" s="85">
      <c r="A1103" s="2" t="n"/>
      <c r="B1103" s="64" t="n"/>
      <c r="C1103" s="2" t="n"/>
      <c r="D1103" s="2" t="n"/>
      <c r="E1103" s="11" t="n"/>
      <c r="F1103" s="5" t="n"/>
    </row>
    <row r="1104" customFormat="1" s="85">
      <c r="A1104" s="2" t="n"/>
      <c r="B1104" s="64" t="n"/>
      <c r="C1104" s="2" t="n"/>
      <c r="D1104" s="2" t="n"/>
      <c r="E1104" s="11" t="n"/>
      <c r="F1104" s="5" t="n"/>
    </row>
    <row r="1105" customFormat="1" s="85">
      <c r="A1105" s="2" t="n"/>
      <c r="B1105" s="64" t="n"/>
      <c r="C1105" s="2" t="n"/>
      <c r="D1105" s="2" t="n"/>
      <c r="E1105" s="11" t="n"/>
      <c r="F1105" s="5" t="n"/>
    </row>
    <row r="1106" customFormat="1" s="85">
      <c r="A1106" s="2" t="n"/>
      <c r="B1106" s="64" t="n"/>
      <c r="C1106" s="2" t="n"/>
      <c r="D1106" s="2" t="n"/>
      <c r="E1106" s="11" t="n"/>
      <c r="F1106" s="5" t="n"/>
    </row>
    <row r="1107" customFormat="1" s="85">
      <c r="A1107" s="2" t="n"/>
      <c r="B1107" s="64" t="n"/>
      <c r="C1107" s="2" t="n"/>
      <c r="D1107" s="2" t="n"/>
      <c r="E1107" s="11" t="n"/>
      <c r="F1107" s="5" t="n"/>
    </row>
    <row r="1108" customFormat="1" s="85">
      <c r="A1108" s="2" t="n"/>
      <c r="B1108" s="64" t="n"/>
      <c r="C1108" s="2" t="n"/>
      <c r="D1108" s="2" t="n"/>
      <c r="E1108" s="11" t="n"/>
      <c r="F1108" s="5" t="n"/>
    </row>
    <row r="1109" customFormat="1" s="85">
      <c r="A1109" s="2" t="n"/>
      <c r="B1109" s="64" t="n"/>
      <c r="C1109" s="2" t="n"/>
      <c r="D1109" s="2" t="n"/>
      <c r="E1109" s="11" t="n"/>
      <c r="F1109" s="5" t="n"/>
    </row>
    <row r="1110" customFormat="1" s="85">
      <c r="A1110" s="2" t="n"/>
      <c r="B1110" s="64" t="n"/>
      <c r="C1110" s="2" t="n"/>
      <c r="D1110" s="2" t="n"/>
      <c r="E1110" s="11" t="n"/>
      <c r="F1110" s="5" t="n"/>
    </row>
    <row r="1111" customFormat="1" s="85">
      <c r="A1111" s="2" t="n"/>
      <c r="B1111" s="64" t="n"/>
      <c r="C1111" s="2" t="n"/>
      <c r="D1111" s="2" t="n"/>
      <c r="E1111" s="11" t="n"/>
      <c r="F1111" s="5" t="n"/>
    </row>
    <row r="1112" customFormat="1" s="85">
      <c r="A1112" s="2" t="n"/>
      <c r="B1112" s="64" t="n"/>
      <c r="C1112" s="2" t="n"/>
      <c r="D1112" s="2" t="n"/>
      <c r="E1112" s="11" t="n"/>
      <c r="F1112" s="5" t="n"/>
    </row>
    <row r="1113" customFormat="1" s="85">
      <c r="A1113" s="2" t="n"/>
      <c r="B1113" s="64" t="n"/>
      <c r="C1113" s="2" t="n"/>
      <c r="D1113" s="2" t="n"/>
      <c r="E1113" s="11" t="n"/>
      <c r="F1113" s="5" t="n"/>
    </row>
    <row r="1114" customFormat="1" s="85">
      <c r="A1114" s="2" t="n"/>
      <c r="B1114" s="64" t="n"/>
      <c r="C1114" s="2" t="n"/>
      <c r="D1114" s="2" t="n"/>
      <c r="E1114" s="11" t="n"/>
      <c r="F1114" s="5" t="n"/>
    </row>
    <row r="1115" customFormat="1" s="85">
      <c r="A1115" s="2" t="n"/>
      <c r="B1115" s="64" t="n"/>
      <c r="C1115" s="2" t="n"/>
      <c r="D1115" s="2" t="n"/>
      <c r="E1115" s="11" t="n"/>
      <c r="F1115" s="5" t="n"/>
    </row>
    <row r="1116" customFormat="1" s="85">
      <c r="A1116" s="2" t="n"/>
      <c r="B1116" s="64" t="n"/>
      <c r="C1116" s="2" t="n"/>
      <c r="D1116" s="2" t="n"/>
      <c r="E1116" s="11" t="n"/>
      <c r="F1116" s="5" t="n"/>
    </row>
    <row r="1117" customFormat="1" s="85">
      <c r="A1117" s="2" t="n"/>
      <c r="B1117" s="64" t="n"/>
      <c r="C1117" s="2" t="n"/>
      <c r="D1117" s="2" t="n"/>
      <c r="E1117" s="11" t="n"/>
      <c r="F1117" s="5" t="n"/>
    </row>
    <row r="1118" customFormat="1" s="85">
      <c r="A1118" s="2" t="n"/>
      <c r="B1118" s="64" t="n"/>
      <c r="C1118" s="2" t="n"/>
      <c r="D1118" s="2" t="n"/>
      <c r="E1118" s="11" t="n"/>
      <c r="F1118" s="5" t="n"/>
    </row>
    <row r="1119" customFormat="1" s="85">
      <c r="A1119" s="2" t="n"/>
      <c r="B1119" s="64" t="n"/>
      <c r="C1119" s="2" t="n"/>
      <c r="D1119" s="2" t="n"/>
      <c r="E1119" s="11" t="n"/>
      <c r="F1119" s="5" t="n"/>
    </row>
    <row r="1120" customFormat="1" s="85">
      <c r="A1120" s="2" t="n"/>
      <c r="B1120" s="64" t="n"/>
      <c r="C1120" s="2" t="n"/>
      <c r="D1120" s="2" t="n"/>
      <c r="E1120" s="11" t="n"/>
      <c r="F1120" s="5" t="n"/>
    </row>
    <row r="1121" customFormat="1" s="85">
      <c r="A1121" s="2" t="n"/>
      <c r="B1121" s="64" t="n"/>
      <c r="C1121" s="2" t="n"/>
      <c r="D1121" s="2" t="n"/>
      <c r="E1121" s="11" t="n"/>
      <c r="F1121" s="5" t="n"/>
    </row>
    <row r="1122" customFormat="1" s="85">
      <c r="A1122" s="2" t="n"/>
      <c r="B1122" s="64" t="n"/>
      <c r="C1122" s="2" t="n"/>
      <c r="D1122" s="2" t="n"/>
      <c r="E1122" s="11" t="n"/>
      <c r="F1122" s="5" t="n"/>
    </row>
    <row r="1123" customFormat="1" s="85">
      <c r="A1123" s="2" t="n"/>
      <c r="B1123" s="64" t="n"/>
      <c r="C1123" s="2" t="n"/>
      <c r="D1123" s="2" t="n"/>
      <c r="E1123" s="11" t="n"/>
      <c r="F1123" s="5" t="n"/>
    </row>
    <row r="1124" customFormat="1" s="85">
      <c r="A1124" s="2" t="n"/>
      <c r="B1124" s="64" t="n"/>
      <c r="C1124" s="2" t="n"/>
      <c r="D1124" s="2" t="n"/>
      <c r="E1124" s="11" t="n"/>
      <c r="F1124" s="5" t="n"/>
    </row>
    <row r="1125" customFormat="1" s="85">
      <c r="A1125" s="2" t="n"/>
      <c r="B1125" s="64" t="n"/>
      <c r="C1125" s="2" t="n"/>
      <c r="D1125" s="2" t="n"/>
      <c r="E1125" s="11" t="n"/>
      <c r="F1125" s="5" t="n"/>
    </row>
    <row r="1126" customFormat="1" s="85">
      <c r="A1126" s="2" t="n"/>
      <c r="B1126" s="64" t="n"/>
      <c r="C1126" s="2" t="n"/>
      <c r="D1126" s="2" t="n"/>
      <c r="E1126" s="11" t="n"/>
      <c r="F1126" s="5" t="n"/>
    </row>
    <row r="1127" customFormat="1" s="85">
      <c r="A1127" s="2" t="n"/>
      <c r="B1127" s="64" t="n"/>
      <c r="C1127" s="2" t="n"/>
      <c r="D1127" s="2" t="n"/>
      <c r="E1127" s="11" t="n"/>
      <c r="F1127" s="5" t="n"/>
    </row>
    <row r="1128" customFormat="1" s="85">
      <c r="A1128" s="2" t="n"/>
      <c r="B1128" s="64" t="n"/>
      <c r="C1128" s="2" t="n"/>
      <c r="D1128" s="2" t="n"/>
      <c r="E1128" s="11" t="n"/>
      <c r="F1128" s="5" t="n"/>
    </row>
    <row r="1129" customFormat="1" s="85">
      <c r="A1129" s="2" t="n"/>
      <c r="B1129" s="64" t="n"/>
      <c r="C1129" s="2" t="n"/>
      <c r="D1129" s="2" t="n"/>
      <c r="E1129" s="11" t="n"/>
      <c r="F1129" s="5" t="n"/>
    </row>
    <row r="1130" customFormat="1" s="85">
      <c r="A1130" s="2" t="n"/>
      <c r="B1130" s="64" t="n"/>
      <c r="C1130" s="2" t="n"/>
      <c r="D1130" s="2" t="n"/>
      <c r="E1130" s="11" t="n"/>
      <c r="F1130" s="5" t="n"/>
    </row>
    <row r="1131" customFormat="1" s="85">
      <c r="A1131" s="2" t="n"/>
      <c r="B1131" s="64" t="n"/>
      <c r="C1131" s="2" t="n"/>
      <c r="D1131" s="2" t="n"/>
      <c r="E1131" s="11" t="n"/>
      <c r="F1131" s="5" t="n"/>
    </row>
    <row r="1132" customFormat="1" s="85">
      <c r="A1132" s="2" t="n"/>
      <c r="B1132" s="64" t="n"/>
      <c r="C1132" s="2" t="n"/>
      <c r="D1132" s="2" t="n"/>
      <c r="E1132" s="11" t="n"/>
      <c r="F1132" s="5" t="n"/>
    </row>
    <row r="1133" customFormat="1" s="85">
      <c r="A1133" s="2" t="n"/>
      <c r="B1133" s="64" t="n"/>
      <c r="C1133" s="2" t="n"/>
      <c r="D1133" s="2" t="n"/>
      <c r="E1133" s="11" t="n"/>
      <c r="F1133" s="5" t="n"/>
    </row>
    <row r="1134" customFormat="1" s="85">
      <c r="A1134" s="2" t="n"/>
      <c r="B1134" s="64" t="n"/>
      <c r="C1134" s="2" t="n"/>
      <c r="D1134" s="2" t="n"/>
      <c r="E1134" s="11" t="n"/>
      <c r="F1134" s="5" t="n"/>
    </row>
    <row r="1135" customFormat="1" s="85">
      <c r="A1135" s="2" t="n"/>
      <c r="B1135" s="64" t="n"/>
      <c r="C1135" s="2" t="n"/>
      <c r="D1135" s="2" t="n"/>
      <c r="E1135" s="11" t="n"/>
      <c r="F1135" s="5" t="n"/>
    </row>
    <row r="1136" customFormat="1" s="85">
      <c r="A1136" s="2" t="n"/>
      <c r="B1136" s="64" t="n"/>
      <c r="C1136" s="2" t="n"/>
      <c r="D1136" s="2" t="n"/>
      <c r="E1136" s="11" t="n"/>
      <c r="F1136" s="5" t="n"/>
    </row>
    <row r="1137" customFormat="1" s="85">
      <c r="A1137" s="2" t="n"/>
      <c r="B1137" s="64" t="n"/>
      <c r="C1137" s="2" t="n"/>
      <c r="D1137" s="2" t="n"/>
      <c r="E1137" s="11" t="n"/>
      <c r="F1137" s="5" t="n"/>
    </row>
    <row r="1138" customFormat="1" s="85">
      <c r="A1138" s="2" t="n"/>
      <c r="B1138" s="64" t="n"/>
      <c r="C1138" s="2" t="n"/>
      <c r="D1138" s="2" t="n"/>
      <c r="E1138" s="11" t="n"/>
      <c r="F1138" s="5" t="n"/>
    </row>
    <row r="1139" customFormat="1" s="85">
      <c r="A1139" s="2" t="n"/>
      <c r="B1139" s="64" t="n"/>
      <c r="C1139" s="2" t="n"/>
      <c r="D1139" s="2" t="n"/>
      <c r="E1139" s="11" t="n"/>
      <c r="F1139" s="5" t="n"/>
    </row>
    <row r="1140" customFormat="1" s="85">
      <c r="A1140" s="2" t="n"/>
      <c r="B1140" s="64" t="n"/>
      <c r="C1140" s="2" t="n"/>
      <c r="D1140" s="2" t="n"/>
      <c r="E1140" s="11" t="n"/>
      <c r="F1140" s="5" t="n"/>
    </row>
    <row r="1141" customFormat="1" s="85">
      <c r="A1141" s="2" t="n"/>
      <c r="B1141" s="64" t="n"/>
      <c r="C1141" s="2" t="n"/>
      <c r="D1141" s="2" t="n"/>
      <c r="E1141" s="11" t="n"/>
      <c r="F1141" s="5" t="n"/>
    </row>
    <row r="1142" customFormat="1" s="85">
      <c r="A1142" s="2" t="n"/>
      <c r="B1142" s="64" t="n"/>
      <c r="C1142" s="2" t="n"/>
      <c r="D1142" s="2" t="n"/>
      <c r="E1142" s="11" t="n"/>
      <c r="F1142" s="5" t="n"/>
    </row>
    <row r="1143" customFormat="1" s="85">
      <c r="A1143" s="2" t="n"/>
      <c r="B1143" s="64" t="n"/>
      <c r="C1143" s="2" t="n"/>
      <c r="D1143" s="2" t="n"/>
      <c r="E1143" s="11" t="n"/>
      <c r="F1143" s="5" t="n"/>
    </row>
    <row r="1144" customFormat="1" s="85">
      <c r="A1144" s="2" t="n"/>
      <c r="B1144" s="64" t="n"/>
      <c r="C1144" s="2" t="n"/>
      <c r="D1144" s="2" t="n"/>
      <c r="E1144" s="11" t="n"/>
      <c r="F1144" s="5" t="n"/>
    </row>
    <row r="1145" customFormat="1" s="85">
      <c r="A1145" s="2" t="n"/>
      <c r="B1145" s="64" t="n"/>
      <c r="C1145" s="2" t="n"/>
      <c r="D1145" s="2" t="n"/>
      <c r="E1145" s="11" t="n"/>
      <c r="F1145" s="5" t="n"/>
    </row>
    <row r="1146" customFormat="1" s="85">
      <c r="A1146" s="2" t="n"/>
      <c r="B1146" s="64" t="n"/>
      <c r="C1146" s="2" t="n"/>
      <c r="D1146" s="2" t="n"/>
      <c r="E1146" s="11" t="n"/>
      <c r="F1146" s="5" t="n"/>
    </row>
    <row r="1147" customFormat="1" s="85">
      <c r="A1147" s="2" t="n"/>
      <c r="B1147" s="64" t="n"/>
      <c r="C1147" s="2" t="n"/>
      <c r="D1147" s="2" t="n"/>
      <c r="E1147" s="11" t="n"/>
      <c r="F1147" s="5" t="n"/>
    </row>
    <row r="1148" customFormat="1" s="85">
      <c r="A1148" s="2" t="n"/>
      <c r="B1148" s="64" t="n"/>
      <c r="C1148" s="2" t="n"/>
      <c r="D1148" s="2" t="n"/>
      <c r="E1148" s="11" t="n"/>
      <c r="F1148" s="5" t="n"/>
    </row>
    <row r="1149" customFormat="1" s="85">
      <c r="A1149" s="2" t="n"/>
      <c r="B1149" s="64" t="n"/>
      <c r="C1149" s="2" t="n"/>
      <c r="D1149" s="2" t="n"/>
      <c r="E1149" s="11" t="n"/>
      <c r="F1149" s="5" t="n"/>
    </row>
    <row r="1150" customFormat="1" s="85">
      <c r="A1150" s="2" t="n"/>
      <c r="B1150" s="64" t="n"/>
      <c r="C1150" s="2" t="n"/>
      <c r="D1150" s="2" t="n"/>
      <c r="E1150" s="11" t="n"/>
      <c r="F1150" s="5" t="n"/>
    </row>
    <row r="1151" customFormat="1" s="85">
      <c r="A1151" s="2" t="n"/>
      <c r="B1151" s="64" t="n"/>
      <c r="C1151" s="2" t="n"/>
      <c r="D1151" s="2" t="n"/>
      <c r="E1151" s="11" t="n"/>
      <c r="F1151" s="5" t="n"/>
    </row>
    <row r="1152" customFormat="1" s="85">
      <c r="A1152" s="2" t="n"/>
      <c r="B1152" s="64" t="n"/>
      <c r="C1152" s="2" t="n"/>
      <c r="D1152" s="2" t="n"/>
      <c r="E1152" s="11" t="n"/>
      <c r="F1152" s="5" t="n"/>
    </row>
    <row r="1153" customFormat="1" s="85">
      <c r="A1153" s="2" t="n"/>
      <c r="B1153" s="64" t="n"/>
      <c r="C1153" s="2" t="n"/>
      <c r="D1153" s="2" t="n"/>
      <c r="E1153" s="11" t="n"/>
      <c r="F1153" s="5" t="n"/>
    </row>
    <row r="1154" customFormat="1" s="85">
      <c r="A1154" s="2" t="n"/>
      <c r="B1154" s="64" t="n"/>
      <c r="C1154" s="2" t="n"/>
      <c r="D1154" s="2" t="n"/>
      <c r="E1154" s="11" t="n"/>
      <c r="F1154" s="5" t="n"/>
    </row>
    <row r="1155" customFormat="1" s="85">
      <c r="A1155" s="2" t="n"/>
      <c r="B1155" s="64" t="n"/>
      <c r="C1155" s="2" t="n"/>
      <c r="D1155" s="2" t="n"/>
      <c r="E1155" s="11" t="n"/>
      <c r="F1155" s="5" t="n"/>
    </row>
    <row r="1156" customFormat="1" s="85">
      <c r="A1156" s="2" t="n"/>
      <c r="B1156" s="64" t="n"/>
      <c r="C1156" s="2" t="n"/>
      <c r="D1156" s="2" t="n"/>
      <c r="E1156" s="11" t="n"/>
      <c r="F1156" s="5" t="n"/>
    </row>
    <row r="1157" customFormat="1" s="85">
      <c r="A1157" s="2" t="n"/>
      <c r="B1157" s="64" t="n"/>
      <c r="C1157" s="2" t="n"/>
      <c r="D1157" s="2" t="n"/>
      <c r="E1157" s="11" t="n"/>
      <c r="F1157" s="5" t="n"/>
    </row>
    <row r="1158" customFormat="1" s="85">
      <c r="A1158" s="2" t="n"/>
      <c r="B1158" s="64" t="n"/>
      <c r="C1158" s="2" t="n"/>
      <c r="D1158" s="2" t="n"/>
      <c r="E1158" s="11" t="n"/>
      <c r="F1158" s="5" t="n"/>
    </row>
    <row r="1159" customFormat="1" s="85">
      <c r="A1159" s="2" t="n"/>
      <c r="B1159" s="64" t="n"/>
      <c r="C1159" s="2" t="n"/>
      <c r="D1159" s="2" t="n"/>
      <c r="E1159" s="11" t="n"/>
      <c r="F1159" s="5" t="n"/>
    </row>
    <row r="1160" customFormat="1" s="85">
      <c r="A1160" s="2" t="n"/>
      <c r="B1160" s="64" t="n"/>
      <c r="C1160" s="2" t="n"/>
      <c r="D1160" s="2" t="n"/>
      <c r="E1160" s="11" t="n"/>
      <c r="F1160" s="5" t="n"/>
    </row>
    <row r="1161" customFormat="1" s="85">
      <c r="A1161" s="2" t="n"/>
      <c r="B1161" s="64" t="n"/>
      <c r="C1161" s="2" t="n"/>
      <c r="D1161" s="2" t="n"/>
      <c r="E1161" s="11" t="n"/>
      <c r="F1161" s="5" t="n"/>
    </row>
    <row r="1162" customFormat="1" s="85">
      <c r="A1162" s="2" t="n"/>
      <c r="B1162" s="64" t="n"/>
      <c r="C1162" s="2" t="n"/>
      <c r="D1162" s="2" t="n"/>
      <c r="E1162" s="11" t="n"/>
      <c r="F1162" s="5" t="n"/>
    </row>
    <row r="1163" customFormat="1" s="85">
      <c r="A1163" s="2" t="n"/>
      <c r="B1163" s="64" t="n"/>
      <c r="C1163" s="2" t="n"/>
      <c r="D1163" s="2" t="n"/>
      <c r="E1163" s="11" t="n"/>
      <c r="F1163" s="5" t="n"/>
    </row>
    <row r="1164" customFormat="1" s="85">
      <c r="A1164" s="2" t="n"/>
      <c r="B1164" s="64" t="n"/>
      <c r="C1164" s="2" t="n"/>
      <c r="D1164" s="2" t="n"/>
      <c r="E1164" s="11" t="n"/>
      <c r="F1164" s="5" t="n"/>
    </row>
    <row r="1165" customFormat="1" s="85">
      <c r="A1165" s="2" t="n"/>
      <c r="B1165" s="64" t="n"/>
      <c r="C1165" s="2" t="n"/>
      <c r="D1165" s="2" t="n"/>
      <c r="E1165" s="11" t="n"/>
      <c r="F1165" s="5" t="n"/>
    </row>
    <row r="1166" customFormat="1" s="85">
      <c r="A1166" s="2" t="n"/>
      <c r="B1166" s="64" t="n"/>
      <c r="C1166" s="2" t="n"/>
      <c r="D1166" s="2" t="n"/>
      <c r="E1166" s="11" t="n"/>
      <c r="F1166" s="5" t="n"/>
    </row>
    <row r="1167" customFormat="1" s="85">
      <c r="A1167" s="2" t="n"/>
      <c r="B1167" s="64" t="n"/>
      <c r="C1167" s="2" t="n"/>
      <c r="D1167" s="2" t="n"/>
      <c r="E1167" s="11" t="n"/>
      <c r="F1167" s="5" t="n"/>
    </row>
    <row r="1168" customFormat="1" s="85">
      <c r="A1168" s="2" t="n"/>
      <c r="B1168" s="64" t="n"/>
      <c r="C1168" s="2" t="n"/>
      <c r="D1168" s="2" t="n"/>
      <c r="E1168" s="11" t="n"/>
      <c r="F1168" s="5" t="n"/>
    </row>
    <row r="1169" customFormat="1" s="85">
      <c r="A1169" s="2" t="n"/>
      <c r="B1169" s="64" t="n"/>
      <c r="C1169" s="2" t="n"/>
      <c r="D1169" s="2" t="n"/>
      <c r="E1169" s="11" t="n"/>
      <c r="F1169" s="5" t="n"/>
    </row>
    <row r="1170" customFormat="1" s="85">
      <c r="A1170" s="2" t="n"/>
      <c r="B1170" s="64" t="n"/>
      <c r="C1170" s="2" t="n"/>
      <c r="D1170" s="2" t="n"/>
      <c r="E1170" s="11" t="n"/>
      <c r="F1170" s="5" t="n"/>
    </row>
    <row r="1171" customFormat="1" s="85">
      <c r="A1171" s="2" t="n"/>
      <c r="B1171" s="64" t="n"/>
      <c r="C1171" s="2" t="n"/>
      <c r="D1171" s="2" t="n"/>
      <c r="E1171" s="11" t="n"/>
      <c r="F1171" s="5" t="n"/>
    </row>
    <row r="1172" customFormat="1" s="85">
      <c r="A1172" s="2" t="n"/>
      <c r="B1172" s="64" t="n"/>
      <c r="C1172" s="2" t="n"/>
      <c r="D1172" s="2" t="n"/>
      <c r="E1172" s="11" t="n"/>
      <c r="F1172" s="5" t="n"/>
    </row>
    <row r="1173" customFormat="1" s="85">
      <c r="A1173" s="2" t="n"/>
      <c r="B1173" s="64" t="n"/>
      <c r="C1173" s="2" t="n"/>
      <c r="D1173" s="2" t="n"/>
      <c r="E1173" s="11" t="n"/>
      <c r="F1173" s="5" t="n"/>
    </row>
    <row r="1174" customFormat="1" s="85">
      <c r="A1174" s="2" t="n"/>
      <c r="B1174" s="64" t="n"/>
      <c r="C1174" s="2" t="n"/>
      <c r="D1174" s="2" t="n"/>
      <c r="E1174" s="11" t="n"/>
      <c r="F1174" s="5" t="n"/>
    </row>
    <row r="1175" customFormat="1" s="85">
      <c r="A1175" s="2" t="n"/>
      <c r="B1175" s="64" t="n"/>
      <c r="C1175" s="2" t="n"/>
      <c r="D1175" s="2" t="n"/>
      <c r="E1175" s="11" t="n"/>
      <c r="F1175" s="5" t="n"/>
    </row>
    <row r="1176" customFormat="1" s="85">
      <c r="A1176" s="2" t="n"/>
      <c r="B1176" s="64" t="n"/>
      <c r="C1176" s="2" t="n"/>
      <c r="D1176" s="2" t="n"/>
      <c r="E1176" s="11" t="n"/>
      <c r="F1176" s="5" t="n"/>
    </row>
    <row r="1177" customFormat="1" s="85">
      <c r="A1177" s="2" t="n"/>
      <c r="B1177" s="64" t="n"/>
      <c r="C1177" s="2" t="n"/>
      <c r="D1177" s="2" t="n"/>
      <c r="E1177" s="11" t="n"/>
      <c r="F1177" s="5" t="n"/>
    </row>
    <row r="1178" customFormat="1" s="85">
      <c r="A1178" s="2" t="n"/>
      <c r="B1178" s="64" t="n"/>
      <c r="C1178" s="2" t="n"/>
      <c r="D1178" s="2" t="n"/>
      <c r="E1178" s="11" t="n"/>
      <c r="F1178" s="5" t="n"/>
    </row>
    <row r="1179" customFormat="1" s="85">
      <c r="A1179" s="2" t="n"/>
      <c r="B1179" s="64" t="n"/>
      <c r="C1179" s="2" t="n"/>
      <c r="D1179" s="2" t="n"/>
      <c r="E1179" s="11" t="n"/>
      <c r="F1179" s="5" t="n"/>
    </row>
    <row r="1180" customFormat="1" s="85">
      <c r="A1180" s="2" t="n"/>
      <c r="B1180" s="64" t="n"/>
      <c r="C1180" s="2" t="n"/>
      <c r="D1180" s="2" t="n"/>
      <c r="E1180" s="11" t="n"/>
      <c r="F1180" s="5" t="n"/>
    </row>
    <row r="1181" customFormat="1" s="85">
      <c r="A1181" s="2" t="n"/>
      <c r="B1181" s="64" t="n"/>
      <c r="C1181" s="2" t="n"/>
      <c r="D1181" s="2" t="n"/>
      <c r="E1181" s="11" t="n"/>
      <c r="F1181" s="5" t="n"/>
    </row>
    <row r="1182" customFormat="1" s="85">
      <c r="A1182" s="2" t="n"/>
      <c r="B1182" s="64" t="n"/>
      <c r="C1182" s="2" t="n"/>
      <c r="D1182" s="2" t="n"/>
      <c r="E1182" s="11" t="n"/>
      <c r="F1182" s="5" t="n"/>
    </row>
    <row r="1183" customFormat="1" s="85">
      <c r="A1183" s="2" t="n"/>
      <c r="B1183" s="64" t="n"/>
      <c r="C1183" s="2" t="n"/>
      <c r="D1183" s="2" t="n"/>
      <c r="E1183" s="11" t="n"/>
      <c r="F1183" s="5" t="n"/>
    </row>
    <row r="1184" customFormat="1" s="85">
      <c r="A1184" s="2" t="n"/>
      <c r="B1184" s="64" t="n"/>
      <c r="C1184" s="2" t="n"/>
      <c r="D1184" s="2" t="n"/>
      <c r="E1184" s="11" t="n"/>
      <c r="F1184" s="5" t="n"/>
    </row>
    <row r="1185" customFormat="1" s="85">
      <c r="A1185" s="2" t="n"/>
      <c r="B1185" s="64" t="n"/>
      <c r="C1185" s="2" t="n"/>
      <c r="D1185" s="2" t="n"/>
      <c r="E1185" s="11" t="n"/>
      <c r="F1185" s="5" t="n"/>
    </row>
    <row r="1186" customFormat="1" s="85">
      <c r="A1186" s="2" t="n"/>
      <c r="B1186" s="64" t="n"/>
      <c r="C1186" s="2" t="n"/>
      <c r="D1186" s="2" t="n"/>
      <c r="E1186" s="11" t="n"/>
      <c r="F1186" s="5" t="n"/>
    </row>
    <row r="1187" customFormat="1" s="85">
      <c r="A1187" s="2" t="n"/>
      <c r="B1187" s="64" t="n"/>
      <c r="C1187" s="2" t="n"/>
      <c r="D1187" s="2" t="n"/>
      <c r="E1187" s="11" t="n"/>
      <c r="F1187" s="5" t="n"/>
    </row>
    <row r="1188" customFormat="1" s="85">
      <c r="A1188" s="2" t="n"/>
      <c r="B1188" s="64" t="n"/>
      <c r="C1188" s="2" t="n"/>
      <c r="D1188" s="2" t="n"/>
      <c r="E1188" s="11" t="n"/>
      <c r="F1188" s="5" t="n"/>
    </row>
    <row r="1189" customFormat="1" s="85">
      <c r="A1189" s="2" t="n"/>
      <c r="B1189" s="64" t="n"/>
      <c r="C1189" s="2" t="n"/>
      <c r="D1189" s="2" t="n"/>
      <c r="E1189" s="11" t="n"/>
      <c r="F1189" s="5" t="n"/>
    </row>
    <row r="1190" customFormat="1" s="85">
      <c r="A1190" s="2" t="n"/>
      <c r="B1190" s="64" t="n"/>
      <c r="C1190" s="2" t="n"/>
      <c r="D1190" s="2" t="n"/>
      <c r="E1190" s="11" t="n"/>
      <c r="F1190" s="5" t="n"/>
    </row>
    <row r="1191" customFormat="1" s="85">
      <c r="A1191" s="2" t="n"/>
      <c r="B1191" s="64" t="n"/>
      <c r="C1191" s="2" t="n"/>
      <c r="D1191" s="2" t="n"/>
      <c r="E1191" s="11" t="n"/>
      <c r="F1191" s="5" t="n"/>
    </row>
    <row r="1192" customFormat="1" s="85">
      <c r="A1192" s="2" t="n"/>
      <c r="B1192" s="64" t="n"/>
      <c r="C1192" s="2" t="n"/>
      <c r="D1192" s="2" t="n"/>
      <c r="E1192" s="11" t="n"/>
      <c r="F1192" s="5" t="n"/>
    </row>
    <row r="1193" customFormat="1" s="85">
      <c r="A1193" s="2" t="n"/>
      <c r="B1193" s="64" t="n"/>
      <c r="C1193" s="2" t="n"/>
      <c r="D1193" s="2" t="n"/>
      <c r="E1193" s="11" t="n"/>
      <c r="F1193" s="5" t="n"/>
    </row>
    <row r="1194" customFormat="1" s="85">
      <c r="A1194" s="2" t="n"/>
      <c r="B1194" s="64" t="n"/>
      <c r="C1194" s="2" t="n"/>
      <c r="D1194" s="2" t="n"/>
      <c r="E1194" s="11" t="n"/>
      <c r="F1194" s="5" t="n"/>
    </row>
    <row r="1195" customFormat="1" s="85">
      <c r="A1195" s="2" t="n"/>
      <c r="B1195" s="64" t="n"/>
      <c r="C1195" s="2" t="n"/>
      <c r="D1195" s="2" t="n"/>
      <c r="E1195" s="11" t="n"/>
      <c r="F1195" s="5" t="n"/>
    </row>
    <row r="1196" customFormat="1" s="85">
      <c r="A1196" s="2" t="n"/>
      <c r="B1196" s="64" t="n"/>
      <c r="C1196" s="2" t="n"/>
      <c r="D1196" s="2" t="n"/>
      <c r="E1196" s="11" t="n"/>
      <c r="F1196" s="5" t="n"/>
    </row>
    <row r="1197" customFormat="1" s="85">
      <c r="A1197" s="2" t="n"/>
      <c r="B1197" s="64" t="n"/>
      <c r="C1197" s="2" t="n"/>
      <c r="D1197" s="2" t="n"/>
      <c r="E1197" s="11" t="n"/>
      <c r="F1197" s="5" t="n"/>
    </row>
    <row r="1198" customFormat="1" s="85">
      <c r="A1198" s="2" t="n"/>
      <c r="B1198" s="64" t="n"/>
      <c r="C1198" s="2" t="n"/>
      <c r="D1198" s="2" t="n"/>
      <c r="E1198" s="11" t="n"/>
      <c r="F1198" s="5" t="n"/>
    </row>
    <row r="1199" customFormat="1" s="85">
      <c r="A1199" s="2" t="n"/>
      <c r="B1199" s="64" t="n"/>
      <c r="C1199" s="2" t="n"/>
      <c r="D1199" s="2" t="n"/>
      <c r="E1199" s="11" t="n"/>
      <c r="F1199" s="5" t="n"/>
    </row>
    <row r="1200" customFormat="1" s="85">
      <c r="A1200" s="2" t="n"/>
      <c r="B1200" s="64" t="n"/>
      <c r="C1200" s="2" t="n"/>
      <c r="D1200" s="2" t="n"/>
      <c r="E1200" s="11" t="n"/>
      <c r="F1200" s="5" t="n"/>
    </row>
    <row r="1201" customFormat="1" s="85">
      <c r="A1201" s="2" t="n"/>
      <c r="B1201" s="64" t="n"/>
      <c r="C1201" s="2" t="n"/>
      <c r="D1201" s="2" t="n"/>
      <c r="E1201" s="11" t="n"/>
      <c r="F1201" s="5" t="n"/>
    </row>
    <row r="1202" customFormat="1" s="85">
      <c r="A1202" s="2" t="n"/>
      <c r="B1202" s="64" t="n"/>
      <c r="C1202" s="2" t="n"/>
      <c r="D1202" s="2" t="n"/>
      <c r="E1202" s="11" t="n"/>
      <c r="F1202" s="5" t="n"/>
    </row>
    <row r="1203" customFormat="1" s="85">
      <c r="A1203" s="2" t="n"/>
      <c r="B1203" s="64" t="n"/>
      <c r="C1203" s="2" t="n"/>
      <c r="D1203" s="2" t="n"/>
      <c r="E1203" s="11" t="n"/>
      <c r="F1203" s="5" t="n"/>
    </row>
    <row r="1204" customFormat="1" s="85">
      <c r="A1204" s="2" t="n"/>
      <c r="B1204" s="64" t="n"/>
      <c r="C1204" s="2" t="n"/>
      <c r="D1204" s="2" t="n"/>
      <c r="E1204" s="11" t="n"/>
      <c r="F1204" s="5" t="n"/>
    </row>
    <row r="1205" customFormat="1" s="85">
      <c r="A1205" s="2" t="n"/>
      <c r="B1205" s="64" t="n"/>
      <c r="C1205" s="2" t="n"/>
      <c r="D1205" s="2" t="n"/>
      <c r="E1205" s="11" t="n"/>
      <c r="F1205" s="5" t="n"/>
    </row>
    <row r="1206" customFormat="1" s="85">
      <c r="A1206" s="2" t="n"/>
      <c r="B1206" s="64" t="n"/>
      <c r="C1206" s="2" t="n"/>
      <c r="D1206" s="2" t="n"/>
      <c r="E1206" s="11" t="n"/>
      <c r="F1206" s="5" t="n"/>
    </row>
    <row r="1207" customFormat="1" s="85">
      <c r="A1207" s="2" t="n"/>
      <c r="B1207" s="64" t="n"/>
      <c r="C1207" s="2" t="n"/>
      <c r="D1207" s="2" t="n"/>
      <c r="E1207" s="11" t="n"/>
      <c r="F1207" s="5" t="n"/>
    </row>
    <row r="1208" customFormat="1" s="85">
      <c r="A1208" s="2" t="n"/>
      <c r="B1208" s="64" t="n"/>
      <c r="C1208" s="2" t="n"/>
      <c r="D1208" s="2" t="n"/>
      <c r="E1208" s="11" t="n"/>
      <c r="F1208" s="5" t="n"/>
    </row>
    <row r="1209" customFormat="1" s="85">
      <c r="A1209" s="2" t="n"/>
      <c r="B1209" s="64" t="n"/>
      <c r="C1209" s="2" t="n"/>
      <c r="D1209" s="2" t="n"/>
      <c r="E1209" s="11" t="n"/>
      <c r="F1209" s="5" t="n"/>
    </row>
    <row r="1210" customFormat="1" s="85">
      <c r="A1210" s="2" t="n"/>
      <c r="B1210" s="64" t="n"/>
      <c r="C1210" s="2" t="n"/>
      <c r="D1210" s="2" t="n"/>
      <c r="E1210" s="11" t="n"/>
      <c r="F1210" s="5" t="n"/>
    </row>
    <row r="1211" customFormat="1" s="85">
      <c r="A1211" s="2" t="n"/>
      <c r="B1211" s="64" t="n"/>
      <c r="C1211" s="2" t="n"/>
      <c r="D1211" s="2" t="n"/>
      <c r="E1211" s="11" t="n"/>
      <c r="F1211" s="5" t="n"/>
    </row>
    <row r="1212" customFormat="1" s="85">
      <c r="A1212" s="2" t="n"/>
      <c r="B1212" s="64" t="n"/>
      <c r="C1212" s="2" t="n"/>
      <c r="D1212" s="2" t="n"/>
      <c r="E1212" s="11" t="n"/>
      <c r="F1212" s="5" t="n"/>
    </row>
    <row r="1213" customFormat="1" s="85">
      <c r="A1213" s="2" t="n"/>
      <c r="B1213" s="64" t="n"/>
      <c r="C1213" s="2" t="n"/>
      <c r="D1213" s="2" t="n"/>
      <c r="E1213" s="11" t="n"/>
      <c r="F1213" s="5" t="n"/>
    </row>
    <row r="1214" customFormat="1" s="85">
      <c r="A1214" s="2" t="n"/>
      <c r="B1214" s="64" t="n"/>
      <c r="C1214" s="2" t="n"/>
      <c r="D1214" s="2" t="n"/>
      <c r="E1214" s="11" t="n"/>
      <c r="F1214" s="5" t="n"/>
    </row>
    <row r="1215" customFormat="1" s="85">
      <c r="A1215" s="2" t="n"/>
      <c r="B1215" s="64" t="n"/>
      <c r="C1215" s="2" t="n"/>
      <c r="D1215" s="2" t="n"/>
      <c r="E1215" s="11" t="n"/>
      <c r="F1215" s="5" t="n"/>
    </row>
    <row r="1216" customFormat="1" s="85">
      <c r="A1216" s="2" t="n"/>
      <c r="B1216" s="64" t="n"/>
      <c r="C1216" s="2" t="n"/>
      <c r="D1216" s="2" t="n"/>
      <c r="E1216" s="11" t="n"/>
      <c r="F1216" s="5" t="n"/>
    </row>
    <row r="1217" customFormat="1" s="85">
      <c r="A1217" s="2" t="n"/>
      <c r="B1217" s="64" t="n"/>
      <c r="C1217" s="2" t="n"/>
      <c r="D1217" s="2" t="n"/>
      <c r="E1217" s="11" t="n"/>
      <c r="F1217" s="5" t="n"/>
    </row>
    <row r="1218" customFormat="1" s="85">
      <c r="A1218" s="2" t="n"/>
      <c r="B1218" s="64" t="n"/>
      <c r="C1218" s="2" t="n"/>
      <c r="D1218" s="2" t="n"/>
      <c r="E1218" s="11" t="n"/>
      <c r="F1218" s="5" t="n"/>
    </row>
    <row r="1219" customFormat="1" s="85">
      <c r="A1219" s="2" t="n"/>
      <c r="B1219" s="64" t="n"/>
      <c r="C1219" s="2" t="n"/>
      <c r="D1219" s="2" t="n"/>
      <c r="E1219" s="11" t="n"/>
      <c r="F1219" s="5" t="n"/>
    </row>
    <row r="1220" customFormat="1" s="85">
      <c r="A1220" s="2" t="n"/>
      <c r="B1220" s="64" t="n"/>
      <c r="C1220" s="2" t="n"/>
      <c r="D1220" s="2" t="n"/>
      <c r="E1220" s="11" t="n"/>
      <c r="F1220" s="5" t="n"/>
    </row>
    <row r="1221" customFormat="1" s="85">
      <c r="A1221" s="2" t="n"/>
      <c r="B1221" s="64" t="n"/>
      <c r="C1221" s="2" t="n"/>
      <c r="D1221" s="2" t="n"/>
      <c r="E1221" s="11" t="n"/>
      <c r="F1221" s="5" t="n"/>
    </row>
    <row r="1222" customFormat="1" s="85">
      <c r="A1222" s="2" t="n"/>
      <c r="B1222" s="64" t="n"/>
      <c r="C1222" s="2" t="n"/>
      <c r="D1222" s="2" t="n"/>
      <c r="E1222" s="11" t="n"/>
      <c r="F1222" s="5" t="n"/>
    </row>
    <row r="1223" customFormat="1" s="85">
      <c r="A1223" s="2" t="n"/>
      <c r="B1223" s="64" t="n"/>
      <c r="C1223" s="2" t="n"/>
      <c r="D1223" s="2" t="n"/>
      <c r="E1223" s="11" t="n"/>
      <c r="F1223" s="5" t="n"/>
    </row>
    <row r="1224" customFormat="1" s="85">
      <c r="A1224" s="2" t="n"/>
      <c r="B1224" s="64" t="n"/>
      <c r="C1224" s="2" t="n"/>
      <c r="D1224" s="2" t="n"/>
      <c r="E1224" s="11" t="n"/>
      <c r="F1224" s="5" t="n"/>
    </row>
    <row r="1225" customFormat="1" s="85">
      <c r="A1225" s="2" t="n"/>
      <c r="B1225" s="64" t="n"/>
      <c r="C1225" s="2" t="n"/>
      <c r="D1225" s="2" t="n"/>
      <c r="E1225" s="11" t="n"/>
      <c r="F1225" s="5" t="n"/>
    </row>
    <row r="1226" customFormat="1" s="85">
      <c r="A1226" s="2" t="n"/>
      <c r="B1226" s="64" t="n"/>
      <c r="C1226" s="2" t="n"/>
      <c r="D1226" s="2" t="n"/>
      <c r="E1226" s="11" t="n"/>
      <c r="F1226" s="5" t="n"/>
    </row>
    <row r="1227" customFormat="1" s="85">
      <c r="A1227" s="2" t="n"/>
      <c r="B1227" s="64" t="n"/>
      <c r="C1227" s="2" t="n"/>
      <c r="D1227" s="2" t="n"/>
      <c r="E1227" s="11" t="n"/>
      <c r="F1227" s="5" t="n"/>
    </row>
    <row r="1228" customFormat="1" s="85">
      <c r="A1228" s="2" t="n"/>
      <c r="B1228" s="64" t="n"/>
      <c r="C1228" s="2" t="n"/>
      <c r="D1228" s="2" t="n"/>
      <c r="E1228" s="11" t="n"/>
      <c r="F1228" s="5" t="n"/>
    </row>
    <row r="1229" customFormat="1" s="85">
      <c r="A1229" s="2" t="n"/>
      <c r="B1229" s="64" t="n"/>
      <c r="C1229" s="2" t="n"/>
      <c r="D1229" s="2" t="n"/>
      <c r="E1229" s="11" t="n"/>
      <c r="F1229" s="5" t="n"/>
    </row>
    <row r="1230" customFormat="1" s="85">
      <c r="A1230" s="2" t="n"/>
      <c r="B1230" s="64" t="n"/>
      <c r="C1230" s="2" t="n"/>
      <c r="D1230" s="2" t="n"/>
      <c r="E1230" s="11" t="n"/>
      <c r="F1230" s="5" t="n"/>
    </row>
    <row r="1231" customFormat="1" s="85">
      <c r="A1231" s="2" t="n"/>
      <c r="B1231" s="64" t="n"/>
      <c r="C1231" s="2" t="n"/>
      <c r="D1231" s="2" t="n"/>
      <c r="E1231" s="11" t="n"/>
      <c r="F1231" s="5" t="n"/>
    </row>
    <row r="1232" customFormat="1" s="85">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row r="1263">
      <c r="A1263" s="2" t="n"/>
      <c r="B1263" s="64" t="n"/>
      <c r="C1263" s="2" t="n"/>
      <c r="D1263" s="2" t="n"/>
      <c r="E1263" s="11" t="n"/>
      <c r="F1263" s="5" t="n"/>
    </row>
    <row r="1264">
      <c r="A1264" s="2" t="n"/>
      <c r="B1264" s="64" t="n"/>
      <c r="C1264" s="2" t="n"/>
      <c r="D1264" s="2" t="n"/>
      <c r="E1264" s="11" t="n"/>
      <c r="F1264" s="5" t="n"/>
    </row>
    <row r="1265">
      <c r="A1265" s="2" t="n"/>
      <c r="B1265" s="64" t="n"/>
      <c r="C1265" s="2" t="n"/>
      <c r="D1265" s="2" t="n"/>
      <c r="E1265" s="11" t="n"/>
      <c r="F1265" s="5" t="n"/>
    </row>
    <row r="1266">
      <c r="A1266" s="2" t="n"/>
      <c r="B1266" s="64" t="n"/>
      <c r="C1266" s="2" t="n"/>
      <c r="D1266" s="2" t="n"/>
      <c r="E1266" s="11" t="n"/>
      <c r="F1266" s="5" t="n"/>
    </row>
    <row r="1267">
      <c r="A1267" s="2" t="n"/>
      <c r="B1267" s="64" t="n"/>
      <c r="C1267" s="2" t="n"/>
      <c r="D1267" s="2" t="n"/>
      <c r="E1267" s="11" t="n"/>
      <c r="F1267" s="5" t="n"/>
    </row>
    <row r="1268">
      <c r="A1268" s="2" t="n"/>
      <c r="B1268" s="64" t="n"/>
      <c r="C1268" s="2" t="n"/>
      <c r="D1268" s="2" t="n"/>
      <c r="E1268" s="11" t="n"/>
      <c r="F1268" s="5" t="n"/>
    </row>
    <row r="1269">
      <c r="A1269" s="2" t="n"/>
      <c r="B1269" s="64" t="n"/>
      <c r="C1269" s="2" t="n"/>
      <c r="D1269" s="2" t="n"/>
      <c r="E1269" s="11" t="n"/>
      <c r="F1269" s="5" t="n"/>
    </row>
    <row r="1270">
      <c r="A1270" s="2" t="n"/>
      <c r="B1270" s="64" t="n"/>
      <c r="C1270" s="2" t="n"/>
      <c r="D1270" s="2" t="n"/>
      <c r="E1270" s="11" t="n"/>
      <c r="F1270" s="5" t="n"/>
    </row>
  </sheetData>
  <conditionalFormatting sqref="C545:C673">
    <cfRule type="colorScale" priority="32">
      <colorScale>
        <cfvo type="min"/>
        <cfvo type="percentile" val="50"/>
        <cfvo type="max"/>
        <color rgb="FFF8696B"/>
        <color rgb="FFFFEB84"/>
        <color rgb="FF63BE7B"/>
      </colorScale>
    </cfRule>
  </conditionalFormatting>
  <conditionalFormatting sqref="D545:D673">
    <cfRule type="colorScale" priority="33">
      <colorScale>
        <cfvo type="min"/>
        <cfvo type="percentile" val="50"/>
        <cfvo type="max"/>
        <color rgb="FFF8696B"/>
        <color rgb="FFFFEB84"/>
        <color rgb="FF63BE7B"/>
      </colorScale>
    </cfRule>
  </conditionalFormatting>
  <conditionalFormatting sqref="C521:C673">
    <cfRule type="colorScale" priority="2">
      <colorScale>
        <cfvo type="min"/>
        <cfvo type="percentile" val="50"/>
        <cfvo type="max"/>
        <color rgb="FFF8696B"/>
        <color rgb="FFFFEB84"/>
        <color rgb="FF63BE7B"/>
      </colorScale>
    </cfRule>
  </conditionalFormatting>
  <conditionalFormatting sqref="D521:D673">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160" zoomScaleNormal="160" workbookViewId="0">
      <selection activeCell="O16" sqref="O16"/>
    </sheetView>
  </sheetViews>
  <sheetFormatPr baseColWidth="10" defaultColWidth="9.1640625" defaultRowHeight="15"/>
  <cols>
    <col width="9.1640625" customWidth="1" style="85" min="1" max="2"/>
    <col width="18.6640625" customWidth="1" style="85" min="3" max="3"/>
    <col width="13.6640625" customWidth="1" style="85" min="4" max="4"/>
    <col width="9.1640625" customWidth="1" style="85" min="5" max="6"/>
    <col width="15.33203125" customWidth="1" style="85" min="7" max="7"/>
    <col width="14" customWidth="1" style="85" min="8" max="8"/>
    <col width="13.33203125" customWidth="1" style="85" min="9" max="9"/>
    <col width="9.1640625" customWidth="1" style="85" min="10" max="18"/>
    <col width="9.1640625" customWidth="1" style="85" min="19"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44805</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2022-10-15T02:18:42Z</dcterms:modified>
  <cp:lastModifiedBy>Mark Mukherjee</cp:lastModifiedBy>
</cp:coreProperties>
</file>