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hidden" minimized="0" showHorizontalScroll="1" showVerticalScroll="1" showSheetTabs="1" xWindow="0" yWindow="0" windowWidth="28800" windowHeight="180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CPI!$A$5:$A$1037</f>
              <numCache>
                <formatCode>[$-409]mmm\-yy;@</formatCode>
                <ptCount val="1033"/>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numCache>
            </numRef>
          </cat>
          <val>
            <numRef>
              <f>CPI!$D$5:$D$1037</f>
              <numCache>
                <formatCode>0.00%</formatCode>
                <ptCount val="1033"/>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CPI!$A$17:$A$918</f>
              <numCache>
                <formatCode>[$-409]mmm\-yy;@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CPI!$D$17:$D$918</f>
              <numCache>
                <formatCode>0.00%</formatCode>
                <ptCount val="902"/>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CPI!$A$641:$A$918</f>
              <numCache>
                <formatCode>[$-409]mmm\-yy;@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CPI!$D$641:$D$918</f>
              <numCache>
                <formatCode>0.00%</formatCode>
                <ptCount val="278"/>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CPI!$A$809:$A$918</f>
              <numCache>
                <formatCode>[$-409]mmm\-yy;@</formatCode>
                <ptCount val="11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CPI!$D$809:$D$918</f>
              <numCache>
                <formatCode>0.00%</formatCode>
                <ptCount val="110"/>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CPI!$A$293:$A$929</f>
              <numCache>
                <formatCode>[$-409]mmm\-yy;@</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CPI!$D$293:$D$929</f>
              <numCache>
                <formatCode>0.00%</formatCode>
                <ptCount val="637"/>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CPI!$A$293:$A$911</f>
              <numCache>
                <formatCode>[$-409]mmm\-yy;@</formatCode>
                <ptCount val="61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CPI!$E$293:$E$911</f>
              <numCache>
                <formatCode>0.00</formatCode>
                <ptCount val="619"/>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Food'!$D$17:$D$908</f>
              <numCache>
                <formatCode>0.00%</formatCode>
                <ptCount val="892"/>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Food'!$D$401:$D$908</f>
              <numCache>
                <formatCode>0.00%</formatCode>
                <ptCount val="508"/>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Food'!$D$569:$D$908</f>
              <numCache>
                <formatCode>0.00%</formatCode>
                <ptCount val="340"/>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Energy'!$D$17:$D$908</f>
              <numCache>
                <formatCode>0.00%</formatCode>
                <ptCount val="892"/>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Energy'!$D$401:$D$908</f>
              <numCache>
                <formatCode>0.00%</formatCode>
                <ptCount val="508"/>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Energy'!$D$569:$D$908</f>
              <numCache>
                <formatCode>0.00%</formatCode>
                <ptCount val="340"/>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CPI'!$D$53:$D$672</f>
              <numCache>
                <formatCode>0.00%</formatCode>
                <ptCount val="620"/>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CPI'!$E$53:$E$672</f>
              <numCache>
                <formatCode>0.00</formatCode>
                <ptCount val="620"/>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'Core CPI'!$D$17:$D$908</f>
              <numCache>
                <formatCode>0.00%</formatCode>
                <ptCount val="892"/>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'Core CPI'!$D$401:$D$908</f>
              <numCache>
                <formatCode>0.00%</formatCode>
                <ptCount val="508"/>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CPI'!$A$449:$A$682</f>
              <numCache>
                <formatCode>[$-409]mmm\-yy;@</formatCode>
                <ptCount val="23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CPI'!$C$449:$C$682</f>
              <numCache>
                <formatCode>0.00%</formatCode>
                <ptCount val="23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0" headerRowCount="1" totalsRowShown="0" headerRowDxfId="35" dataDxfId="33" headerRowBorderDxfId="34">
  <autoFilter ref="A4:F910"/>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0" headerRowCount="1" totalsRowShown="0" headerRowDxfId="26" dataDxfId="24" headerRowBorderDxfId="25" tableBorderDxfId="23">
  <autoFilter ref="A4:D670"/>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0" headerRowCount="1" totalsRowShown="0" headerRowDxfId="18" dataDxfId="16" headerRowBorderDxfId="17" tableBorderDxfId="15">
  <autoFilter ref="A4:D670"/>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0" headerRowCount="1" totalsRowShown="0" headerRowDxfId="10" dataDxfId="8" headerRowBorderDxfId="9">
  <autoFilter ref="A4:F670"/>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31"/>
    <col width="9.1640625" customWidth="1" style="77" min="32"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9"/>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9"/>
  <sheetViews>
    <sheetView tabSelected="1"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8"/>
    <col width="9.1640625" customWidth="1" style="77" min="19"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77">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77">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77">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61" t="n">
        <v>44621</v>
      </c>
      <c r="B667" s="68">
        <f>VLOOKUP(Table3[[#This Row],[Date]],Database!A:E,4,)</f>
        <v/>
      </c>
      <c r="C667" s="14">
        <f>(B667-B666)/B666</f>
        <v/>
      </c>
      <c r="D667" s="14">
        <f>(B667-B655)/B655</f>
        <v/>
      </c>
    </row>
    <row r="668" customFormat="1" s="77">
      <c r="A668" s="61" t="n">
        <v>44652</v>
      </c>
      <c r="B668" s="68">
        <f>VLOOKUP(Table3[[#This Row],[Date]],Database!A:E,4,)</f>
        <v/>
      </c>
      <c r="C668" s="14">
        <f>(B668-B667)/B667</f>
        <v/>
      </c>
      <c r="D668" s="14">
        <f>(B668-B656)/B656</f>
        <v/>
      </c>
    </row>
    <row r="669" customFormat="1" s="77">
      <c r="A669" s="61" t="n">
        <v>44682</v>
      </c>
      <c r="B669" s="68">
        <f>VLOOKUP(Table3[[#This Row],[Date]],Database!A:E,4,)</f>
        <v/>
      </c>
      <c r="C669" s="14">
        <f>(B669-B668)/B668</f>
        <v/>
      </c>
      <c r="D669" s="14">
        <f>(B669-B657)/B657</f>
        <v/>
      </c>
    </row>
    <row r="670" customFormat="1" s="77">
      <c r="A670" s="61" t="n">
        <v>44713</v>
      </c>
      <c r="B670" s="68">
        <f>VLOOKUP(Table3[[#This Row],[Date]],Database!A:E,4,)</f>
        <v/>
      </c>
      <c r="C670" s="14">
        <f>(B670-B669)/B669</f>
        <v/>
      </c>
      <c r="D670" s="14">
        <f>(B670-B658)/B658</f>
        <v/>
      </c>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61" t="n">
        <v>44621</v>
      </c>
      <c r="B667" s="68">
        <f>VLOOKUP(Table4[[#This Row],[Date]],Database!A:E,3,)</f>
        <v/>
      </c>
      <c r="C667" s="14">
        <f>(B667-B666)/B666</f>
        <v/>
      </c>
      <c r="D667" s="14">
        <f>(B667-B655)/B655</f>
        <v/>
      </c>
    </row>
    <row r="668" customFormat="1" s="77">
      <c r="A668" s="61" t="n">
        <v>44652</v>
      </c>
      <c r="B668" s="68">
        <f>VLOOKUP(Table4[[#This Row],[Date]],Database!A:E,3,)</f>
        <v/>
      </c>
      <c r="C668" s="14">
        <f>(B668-B667)/B667</f>
        <v/>
      </c>
      <c r="D668" s="14">
        <f>(B668-B656)/B656</f>
        <v/>
      </c>
    </row>
    <row r="669" customFormat="1" s="77">
      <c r="A669" s="61" t="n">
        <v>44682</v>
      </c>
      <c r="B669" s="68">
        <f>VLOOKUP(Table4[[#This Row],[Date]],Database!A:E,3,)</f>
        <v/>
      </c>
      <c r="C669" s="14">
        <f>(B669-B668)/B668</f>
        <v/>
      </c>
      <c r="D669" s="14">
        <f>(B669-B657)/B657</f>
        <v/>
      </c>
    </row>
    <row r="670" customFormat="1" s="77">
      <c r="A670" s="61" t="n">
        <v>44713</v>
      </c>
      <c r="B670" s="68">
        <f>VLOOKUP(Table4[[#This Row],[Date]],Database!A:E,3,)</f>
        <v/>
      </c>
      <c r="C670" s="14">
        <f>(B670-B669)/B669</f>
        <v/>
      </c>
      <c r="D670" s="14">
        <f>(B670-B658)/B658</f>
        <v/>
      </c>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61" t="n">
        <v>44621</v>
      </c>
      <c r="B667" s="68">
        <f>VLOOKUP(Table5[[#This Row],[Date]],Database!A:E,5,)</f>
        <v/>
      </c>
      <c r="C667" s="14">
        <f>(B667-B666)/B666</f>
        <v/>
      </c>
      <c r="D667" s="14">
        <f>(B667-B655)/B655</f>
        <v/>
      </c>
      <c r="E667" s="15">
        <f>VLOOKUP(Table5[[#This Row],[Date]],'Fed Fund New'!$A:$C,2,FALSE)</f>
        <v/>
      </c>
      <c r="F667" s="27" t="n">
        <v>0.02</v>
      </c>
    </row>
    <row r="668" customFormat="1" s="77">
      <c r="A668" s="61" t="n">
        <v>44652</v>
      </c>
      <c r="B668" s="68">
        <f>VLOOKUP(Table5[[#This Row],[Date]],Database!A:E,5,)</f>
        <v/>
      </c>
      <c r="C668" s="14">
        <f>(B668-B667)/B667</f>
        <v/>
      </c>
      <c r="D668" s="14">
        <f>(B668-B656)/B656</f>
        <v/>
      </c>
      <c r="E668" s="15">
        <f>VLOOKUP(Table5[[#This Row],[Date]],'Fed Fund New'!$A:$C,2,FALSE)</f>
        <v/>
      </c>
      <c r="F668" s="27" t="n">
        <v>0.02</v>
      </c>
    </row>
    <row r="669" customFormat="1" s="77">
      <c r="A669" s="61" t="n">
        <v>44682</v>
      </c>
      <c r="B669" s="68">
        <f>VLOOKUP(Table5[[#This Row],[Date]],Database!A:E,5,)</f>
        <v/>
      </c>
      <c r="C669" s="14">
        <f>(B669-B668)/B668</f>
        <v/>
      </c>
      <c r="D669" s="14">
        <f>(B669-B657)/B657</f>
        <v/>
      </c>
      <c r="E669" s="15">
        <f>VLOOKUP(Table5[[#This Row],[Date]],'Fed Fund New'!$A:$C,2,FALSE)</f>
        <v/>
      </c>
      <c r="F669" s="27" t="n">
        <v>0.02</v>
      </c>
    </row>
    <row r="670" customFormat="1" s="77">
      <c r="A670" s="61" t="n">
        <v>44713</v>
      </c>
      <c r="B670" s="68">
        <f>VLOOKUP(Table5[[#This Row],[Date]],Database!A:E,5,)</f>
        <v/>
      </c>
      <c r="C670" s="14">
        <f>(B670-B669)/B669</f>
        <v/>
      </c>
      <c r="D670" s="14">
        <f>(B670-B658)/B658</f>
        <v/>
      </c>
      <c r="E670" s="15">
        <f>VLOOKUP(Table5[[#This Row],[Date]],'Fed Fund New'!$A:$C,2,FALSE)</f>
        <v/>
      </c>
      <c r="F670" s="27" t="n">
        <v>0.02</v>
      </c>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I6" sqref="G2:I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21"/>
    <col width="9.1640625" customWidth="1" style="77" min="22"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44713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2022-09-17T11:01:11Z</dcterms:modified>
  <cp:lastModifiedBy>Mark Mukherjee</cp:lastModifiedBy>
</cp:coreProperties>
</file>