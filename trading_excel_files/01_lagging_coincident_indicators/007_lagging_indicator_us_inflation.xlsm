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5AAFED6-BF34-384C-A833-F5B9A4552E9C}"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4" i="8" l="1"/>
  <c r="E665" i="7"/>
  <c r="C665" i="7"/>
  <c r="B665" i="7"/>
  <c r="E664" i="7"/>
  <c r="B664" i="7"/>
  <c r="E663" i="7"/>
  <c r="B663" i="7"/>
  <c r="D663" i="7" s="1"/>
  <c r="E662" i="7"/>
  <c r="B662" i="7"/>
  <c r="E661" i="7"/>
  <c r="B661" i="7"/>
  <c r="D661" i="7" s="1"/>
  <c r="E660" i="7"/>
  <c r="B660" i="7"/>
  <c r="E659" i="7"/>
  <c r="B659" i="7"/>
  <c r="E658" i="7"/>
  <c r="B658" i="7"/>
  <c r="E657" i="7"/>
  <c r="C657" i="7"/>
  <c r="B657" i="7"/>
  <c r="E656" i="7"/>
  <c r="B656" i="7"/>
  <c r="E655" i="7"/>
  <c r="B655" i="7"/>
  <c r="D655" i="7" s="1"/>
  <c r="E654" i="7"/>
  <c r="B654" i="7"/>
  <c r="E653" i="7"/>
  <c r="B653" i="7"/>
  <c r="D653" i="7" s="1"/>
  <c r="E652" i="7"/>
  <c r="B652" i="7"/>
  <c r="E651" i="7"/>
  <c r="B651" i="7"/>
  <c r="E650" i="7"/>
  <c r="B650" i="7"/>
  <c r="E649" i="7"/>
  <c r="C649" i="7"/>
  <c r="B649" i="7"/>
  <c r="E648" i="7"/>
  <c r="B648" i="7"/>
  <c r="E647" i="7"/>
  <c r="B647" i="7"/>
  <c r="D647" i="7" s="1"/>
  <c r="E646" i="7"/>
  <c r="B646" i="7"/>
  <c r="E645" i="7"/>
  <c r="B645" i="7"/>
  <c r="D645" i="7" s="1"/>
  <c r="E644" i="7"/>
  <c r="B644" i="7"/>
  <c r="E643" i="7"/>
  <c r="B643" i="7"/>
  <c r="E642" i="7"/>
  <c r="B642" i="7"/>
  <c r="E641" i="7"/>
  <c r="C641" i="7"/>
  <c r="B641" i="7"/>
  <c r="E640" i="7"/>
  <c r="B640" i="7"/>
  <c r="E639" i="7"/>
  <c r="B639" i="7"/>
  <c r="D639" i="7" s="1"/>
  <c r="E638" i="7"/>
  <c r="B638" i="7"/>
  <c r="E637" i="7"/>
  <c r="B637" i="7"/>
  <c r="D637" i="7" s="1"/>
  <c r="E636" i="7"/>
  <c r="B636" i="7"/>
  <c r="E635" i="7"/>
  <c r="B635" i="7"/>
  <c r="E634" i="7"/>
  <c r="B634" i="7"/>
  <c r="E633" i="7"/>
  <c r="C633" i="7"/>
  <c r="B633" i="7"/>
  <c r="E632" i="7"/>
  <c r="B632" i="7"/>
  <c r="E631" i="7"/>
  <c r="B631" i="7"/>
  <c r="D631" i="7" s="1"/>
  <c r="E630" i="7"/>
  <c r="B630" i="7"/>
  <c r="E629" i="7"/>
  <c r="B629" i="7"/>
  <c r="D629" i="7" s="1"/>
  <c r="E628" i="7"/>
  <c r="B628" i="7"/>
  <c r="E627" i="7"/>
  <c r="B627" i="7"/>
  <c r="E626" i="7"/>
  <c r="B626" i="7"/>
  <c r="E625" i="7"/>
  <c r="C625" i="7"/>
  <c r="B625" i="7"/>
  <c r="E624" i="7"/>
  <c r="B624" i="7"/>
  <c r="E623" i="7"/>
  <c r="B623" i="7"/>
  <c r="D623" i="7" s="1"/>
  <c r="E622" i="7"/>
  <c r="B622" i="7"/>
  <c r="E621" i="7"/>
  <c r="B621" i="7"/>
  <c r="D621" i="7" s="1"/>
  <c r="E620" i="7"/>
  <c r="B620" i="7"/>
  <c r="E619" i="7"/>
  <c r="B619" i="7"/>
  <c r="C619" i="7" s="1"/>
  <c r="E618" i="7"/>
  <c r="B618" i="7"/>
  <c r="E617" i="7"/>
  <c r="C617" i="7"/>
  <c r="B617" i="7"/>
  <c r="E616" i="7"/>
  <c r="B616" i="7"/>
  <c r="E615" i="7"/>
  <c r="B615" i="7"/>
  <c r="D615" i="7" s="1"/>
  <c r="E614" i="7"/>
  <c r="B614" i="7"/>
  <c r="E613" i="7"/>
  <c r="B613" i="7"/>
  <c r="D613" i="7" s="1"/>
  <c r="E612" i="7"/>
  <c r="B612" i="7"/>
  <c r="E611" i="7"/>
  <c r="B611" i="7"/>
  <c r="C611" i="7" s="1"/>
  <c r="E610" i="7"/>
  <c r="B610" i="7"/>
  <c r="E609" i="7"/>
  <c r="C609" i="7"/>
  <c r="B609" i="7"/>
  <c r="E608" i="7"/>
  <c r="B608" i="7"/>
  <c r="E607" i="7"/>
  <c r="B607" i="7"/>
  <c r="D607" i="7" s="1"/>
  <c r="E606" i="7"/>
  <c r="B606" i="7"/>
  <c r="E605" i="7"/>
  <c r="B605" i="7"/>
  <c r="D605" i="7" s="1"/>
  <c r="E604" i="7"/>
  <c r="B604" i="7"/>
  <c r="E603" i="7"/>
  <c r="B603" i="7"/>
  <c r="C603" i="7" s="1"/>
  <c r="E602" i="7"/>
  <c r="B602" i="7"/>
  <c r="E601" i="7"/>
  <c r="C601" i="7"/>
  <c r="B601" i="7"/>
  <c r="E600" i="7"/>
  <c r="B600" i="7"/>
  <c r="E599" i="7"/>
  <c r="D599" i="7"/>
  <c r="B599" i="7"/>
  <c r="D611" i="7" s="1"/>
  <c r="E598" i="7"/>
  <c r="B598" i="7"/>
  <c r="E597" i="7"/>
  <c r="B597" i="7"/>
  <c r="E596" i="7"/>
  <c r="B596" i="7"/>
  <c r="E595" i="7"/>
  <c r="B595" i="7"/>
  <c r="E594" i="7"/>
  <c r="B594" i="7"/>
  <c r="E593" i="7"/>
  <c r="C593" i="7"/>
  <c r="B593" i="7"/>
  <c r="E592" i="7"/>
  <c r="B592" i="7"/>
  <c r="E591" i="7"/>
  <c r="B591" i="7"/>
  <c r="D603" i="7" s="1"/>
  <c r="E590" i="7"/>
  <c r="B590" i="7"/>
  <c r="E589" i="7"/>
  <c r="B589" i="7"/>
  <c r="E588" i="7"/>
  <c r="B588" i="7"/>
  <c r="E587" i="7"/>
  <c r="B587" i="7"/>
  <c r="C587" i="7" s="1"/>
  <c r="E586" i="7"/>
  <c r="B586" i="7"/>
  <c r="E585" i="7"/>
  <c r="C585" i="7"/>
  <c r="B585" i="7"/>
  <c r="E584" i="7"/>
  <c r="B584" i="7"/>
  <c r="E583" i="7"/>
  <c r="B583" i="7"/>
  <c r="D595" i="7" s="1"/>
  <c r="E582" i="7"/>
  <c r="B582" i="7"/>
  <c r="E581" i="7"/>
  <c r="B581" i="7"/>
  <c r="E580" i="7"/>
  <c r="B580" i="7"/>
  <c r="E579" i="7"/>
  <c r="B579" i="7"/>
  <c r="E578" i="7"/>
  <c r="B578" i="7"/>
  <c r="E577" i="7"/>
  <c r="D577" i="7"/>
  <c r="B577" i="7"/>
  <c r="E576" i="7"/>
  <c r="B576" i="7"/>
  <c r="E575" i="7"/>
  <c r="B575" i="7"/>
  <c r="D587" i="7" s="1"/>
  <c r="E574" i="7"/>
  <c r="D574" i="7"/>
  <c r="B574" i="7"/>
  <c r="E573" i="7"/>
  <c r="B573" i="7"/>
  <c r="D573" i="7" s="1"/>
  <c r="E572" i="7"/>
  <c r="D572" i="7"/>
  <c r="B572" i="7"/>
  <c r="E571" i="7"/>
  <c r="B571" i="7"/>
  <c r="E570" i="7"/>
  <c r="B570" i="7"/>
  <c r="E569" i="7"/>
  <c r="B569" i="7"/>
  <c r="E568" i="7"/>
  <c r="B568" i="7"/>
  <c r="D568" i="7" s="1"/>
  <c r="E567" i="7"/>
  <c r="B567" i="7"/>
  <c r="E566" i="7"/>
  <c r="B566" i="7"/>
  <c r="E565" i="7"/>
  <c r="D565" i="7"/>
  <c r="B565" i="7"/>
  <c r="E564" i="7"/>
  <c r="B564" i="7"/>
  <c r="E563" i="7"/>
  <c r="D563" i="7"/>
  <c r="C563" i="7"/>
  <c r="B563" i="7"/>
  <c r="E562" i="7"/>
  <c r="B562" i="7"/>
  <c r="E561" i="7"/>
  <c r="D561" i="7"/>
  <c r="C561" i="7"/>
  <c r="B561" i="7"/>
  <c r="E560" i="7"/>
  <c r="B560" i="7"/>
  <c r="E559" i="7"/>
  <c r="D559" i="7"/>
  <c r="B559" i="7"/>
  <c r="C559" i="7" s="1"/>
  <c r="E558" i="7"/>
  <c r="D558" i="7"/>
  <c r="B558" i="7"/>
  <c r="E557" i="7"/>
  <c r="B557" i="7"/>
  <c r="C557" i="7" s="1"/>
  <c r="E556" i="7"/>
  <c r="D556" i="7"/>
  <c r="B556" i="7"/>
  <c r="E555" i="7"/>
  <c r="B555" i="7"/>
  <c r="E554" i="7"/>
  <c r="B554" i="7"/>
  <c r="C554" i="7" s="1"/>
  <c r="E553" i="7"/>
  <c r="B553" i="7"/>
  <c r="E552" i="7"/>
  <c r="B552" i="7"/>
  <c r="E551" i="7"/>
  <c r="B551" i="7"/>
  <c r="E550" i="7"/>
  <c r="B550" i="7"/>
  <c r="E549" i="7"/>
  <c r="D549" i="7"/>
  <c r="B549" i="7"/>
  <c r="E548" i="7"/>
  <c r="B548" i="7"/>
  <c r="E547" i="7"/>
  <c r="D547" i="7"/>
  <c r="C547" i="7"/>
  <c r="B547" i="7"/>
  <c r="E546" i="7"/>
  <c r="B546" i="7"/>
  <c r="E545" i="7"/>
  <c r="C545" i="7"/>
  <c r="B545" i="7"/>
  <c r="D545" i="7" s="1"/>
  <c r="E544" i="7"/>
  <c r="B544" i="7"/>
  <c r="E543" i="7"/>
  <c r="D543" i="7"/>
  <c r="C543" i="7"/>
  <c r="B543" i="7"/>
  <c r="E542" i="7"/>
  <c r="D542" i="7"/>
  <c r="B542" i="7"/>
  <c r="E541" i="7"/>
  <c r="B541" i="7"/>
  <c r="E540" i="7"/>
  <c r="D540" i="7"/>
  <c r="B540" i="7"/>
  <c r="E539" i="7"/>
  <c r="B539" i="7"/>
  <c r="E538" i="7"/>
  <c r="B538" i="7"/>
  <c r="E537" i="7"/>
  <c r="B537" i="7"/>
  <c r="E536" i="7"/>
  <c r="B536" i="7"/>
  <c r="E535" i="7"/>
  <c r="B535" i="7"/>
  <c r="C535" i="7" s="1"/>
  <c r="E534" i="7"/>
  <c r="B534" i="7"/>
  <c r="E533" i="7"/>
  <c r="D533" i="7"/>
  <c r="B533" i="7"/>
  <c r="E532" i="7"/>
  <c r="B532" i="7"/>
  <c r="E531" i="7"/>
  <c r="D531" i="7"/>
  <c r="C531" i="7"/>
  <c r="B531" i="7"/>
  <c r="E530" i="7"/>
  <c r="B530" i="7"/>
  <c r="E529" i="7"/>
  <c r="D529" i="7"/>
  <c r="C529" i="7"/>
  <c r="B529" i="7"/>
  <c r="E528" i="7"/>
  <c r="B528" i="7"/>
  <c r="E527" i="7"/>
  <c r="C527" i="7"/>
  <c r="B527" i="7"/>
  <c r="D527" i="7" s="1"/>
  <c r="E526" i="7"/>
  <c r="D526" i="7"/>
  <c r="B526" i="7"/>
  <c r="E525" i="7"/>
  <c r="B525" i="7"/>
  <c r="E524" i="7"/>
  <c r="D524" i="7"/>
  <c r="B524" i="7"/>
  <c r="E523" i="7"/>
  <c r="B523" i="7"/>
  <c r="E522" i="7"/>
  <c r="B522" i="7"/>
  <c r="C522" i="7" s="1"/>
  <c r="E521" i="7"/>
  <c r="B521" i="7"/>
  <c r="E520" i="7"/>
  <c r="B520" i="7"/>
  <c r="E519" i="7"/>
  <c r="B519" i="7"/>
  <c r="E518" i="7"/>
  <c r="D518" i="7"/>
  <c r="B518" i="7"/>
  <c r="E517" i="7"/>
  <c r="D517" i="7"/>
  <c r="B517" i="7"/>
  <c r="E516" i="7"/>
  <c r="B516" i="7"/>
  <c r="E515" i="7"/>
  <c r="D515" i="7"/>
  <c r="C515" i="7"/>
  <c r="B515" i="7"/>
  <c r="E514" i="7"/>
  <c r="B514" i="7"/>
  <c r="E513" i="7"/>
  <c r="B513" i="7"/>
  <c r="E512" i="7"/>
  <c r="B512" i="7"/>
  <c r="E511" i="7"/>
  <c r="C511" i="7"/>
  <c r="B511" i="7"/>
  <c r="E510" i="7"/>
  <c r="D510" i="7"/>
  <c r="B510" i="7"/>
  <c r="E509" i="7"/>
  <c r="B509" i="7"/>
  <c r="E508" i="7"/>
  <c r="B508" i="7"/>
  <c r="D520" i="7" s="1"/>
  <c r="E507" i="7"/>
  <c r="B507" i="7"/>
  <c r="E506" i="7"/>
  <c r="D506" i="7"/>
  <c r="B506" i="7"/>
  <c r="C506" i="7" s="1"/>
  <c r="E505" i="7"/>
  <c r="B505" i="7"/>
  <c r="E504" i="7"/>
  <c r="B504" i="7"/>
  <c r="E503" i="7"/>
  <c r="B503" i="7"/>
  <c r="E502" i="7"/>
  <c r="B502" i="7"/>
  <c r="E501" i="7"/>
  <c r="D501" i="7"/>
  <c r="C501" i="7"/>
  <c r="B501" i="7"/>
  <c r="E500" i="7"/>
  <c r="B500" i="7"/>
  <c r="E499" i="7"/>
  <c r="C499" i="7"/>
  <c r="B499" i="7"/>
  <c r="D499" i="7" s="1"/>
  <c r="E498" i="7"/>
  <c r="B498" i="7"/>
  <c r="E497" i="7"/>
  <c r="B497" i="7"/>
  <c r="E496" i="7"/>
  <c r="C496" i="7"/>
  <c r="B496" i="7"/>
  <c r="E495" i="7"/>
  <c r="B495" i="7"/>
  <c r="C495" i="7" s="1"/>
  <c r="E494" i="7"/>
  <c r="C494" i="7"/>
  <c r="B494" i="7"/>
  <c r="D494" i="7" s="1"/>
  <c r="E493" i="7"/>
  <c r="B493" i="7"/>
  <c r="D505" i="7" s="1"/>
  <c r="E492" i="7"/>
  <c r="B492" i="7"/>
  <c r="E491" i="7"/>
  <c r="B491" i="7"/>
  <c r="D503" i="7" s="1"/>
  <c r="E490" i="7"/>
  <c r="B490" i="7"/>
  <c r="E489" i="7"/>
  <c r="D489" i="7"/>
  <c r="B489" i="7"/>
  <c r="E488" i="7"/>
  <c r="B488" i="7"/>
  <c r="C489" i="7" s="1"/>
  <c r="E487" i="7"/>
  <c r="D487" i="7"/>
  <c r="C487" i="7"/>
  <c r="B487" i="7"/>
  <c r="E486" i="7"/>
  <c r="B486" i="7"/>
  <c r="D498" i="7" s="1"/>
  <c r="E485" i="7"/>
  <c r="B485" i="7"/>
  <c r="E484" i="7"/>
  <c r="B484" i="7"/>
  <c r="C484" i="7" s="1"/>
  <c r="E483" i="7"/>
  <c r="B483" i="7"/>
  <c r="E482" i="7"/>
  <c r="B482" i="7"/>
  <c r="E481" i="7"/>
  <c r="B481" i="7"/>
  <c r="E480" i="7"/>
  <c r="C480" i="7"/>
  <c r="B480" i="7"/>
  <c r="D480" i="7" s="1"/>
  <c r="E479" i="7"/>
  <c r="B479" i="7"/>
  <c r="E478" i="7"/>
  <c r="B478" i="7"/>
  <c r="D478" i="7" s="1"/>
  <c r="E477" i="7"/>
  <c r="B477" i="7"/>
  <c r="E476" i="7"/>
  <c r="C476" i="7"/>
  <c r="B476" i="7"/>
  <c r="E475" i="7"/>
  <c r="D475" i="7"/>
  <c r="B475" i="7"/>
  <c r="C475" i="7" s="1"/>
  <c r="E474" i="7"/>
  <c r="B474" i="7"/>
  <c r="E473" i="7"/>
  <c r="D473" i="7"/>
  <c r="C473" i="7"/>
  <c r="B473" i="7"/>
  <c r="E472" i="7"/>
  <c r="B472" i="7"/>
  <c r="E471" i="7"/>
  <c r="B471" i="7"/>
  <c r="C471" i="7" s="1"/>
  <c r="E470" i="7"/>
  <c r="B470" i="7"/>
  <c r="E469" i="7"/>
  <c r="D469" i="7"/>
  <c r="C469" i="7"/>
  <c r="B469" i="7"/>
  <c r="C470" i="7" s="1"/>
  <c r="E468" i="7"/>
  <c r="B468" i="7"/>
  <c r="D468" i="7" s="1"/>
  <c r="E467" i="7"/>
  <c r="C467" i="7"/>
  <c r="B467" i="7"/>
  <c r="E466" i="7"/>
  <c r="C466" i="7"/>
  <c r="B466" i="7"/>
  <c r="E465" i="7"/>
  <c r="B465" i="7"/>
  <c r="E464" i="7"/>
  <c r="C464" i="7"/>
  <c r="B464" i="7"/>
  <c r="D464" i="7" s="1"/>
  <c r="E463" i="7"/>
  <c r="B463" i="7"/>
  <c r="C463" i="7" s="1"/>
  <c r="E462" i="7"/>
  <c r="B462" i="7"/>
  <c r="D462" i="7" s="1"/>
  <c r="E461" i="7"/>
  <c r="B461" i="7"/>
  <c r="D461" i="7" s="1"/>
  <c r="E460" i="7"/>
  <c r="C460" i="7"/>
  <c r="B460" i="7"/>
  <c r="E459" i="7"/>
  <c r="D459" i="7"/>
  <c r="B459" i="7"/>
  <c r="E458" i="7"/>
  <c r="B458" i="7"/>
  <c r="E457" i="7"/>
  <c r="D457" i="7"/>
  <c r="C457" i="7"/>
  <c r="B457" i="7"/>
  <c r="E456" i="7"/>
  <c r="B456" i="7"/>
  <c r="E455" i="7"/>
  <c r="B455" i="7"/>
  <c r="D455" i="7" s="1"/>
  <c r="E454" i="7"/>
  <c r="B454" i="7"/>
  <c r="E453" i="7"/>
  <c r="B453" i="7"/>
  <c r="E452" i="7"/>
  <c r="B452" i="7"/>
  <c r="D452" i="7" s="1"/>
  <c r="E451" i="7"/>
  <c r="C451" i="7"/>
  <c r="B451" i="7"/>
  <c r="E450" i="7"/>
  <c r="B450" i="7"/>
  <c r="E449" i="7"/>
  <c r="B449" i="7"/>
  <c r="E448" i="7"/>
  <c r="C448" i="7"/>
  <c r="B448" i="7"/>
  <c r="E447" i="7"/>
  <c r="B447" i="7"/>
  <c r="E446" i="7"/>
  <c r="B446" i="7"/>
  <c r="D446" i="7" s="1"/>
  <c r="E445" i="7"/>
  <c r="B445" i="7"/>
  <c r="E444" i="7"/>
  <c r="C444" i="7"/>
  <c r="B444" i="7"/>
  <c r="E443" i="7"/>
  <c r="D443" i="7"/>
  <c r="B443" i="7"/>
  <c r="C443" i="7" s="1"/>
  <c r="E442" i="7"/>
  <c r="B442" i="7"/>
  <c r="E441" i="7"/>
  <c r="D441" i="7"/>
  <c r="C441" i="7"/>
  <c r="B441" i="7"/>
  <c r="E440" i="7"/>
  <c r="B440" i="7"/>
  <c r="E439" i="7"/>
  <c r="B439" i="7"/>
  <c r="C439" i="7" s="1"/>
  <c r="E438" i="7"/>
  <c r="C438" i="7"/>
  <c r="B438" i="7"/>
  <c r="E437" i="7"/>
  <c r="D437" i="7"/>
  <c r="B437" i="7"/>
  <c r="E436" i="7"/>
  <c r="B436" i="7"/>
  <c r="C437" i="7" s="1"/>
  <c r="E435" i="7"/>
  <c r="C435" i="7"/>
  <c r="B435" i="7"/>
  <c r="E434" i="7"/>
  <c r="B434" i="7"/>
  <c r="E433" i="7"/>
  <c r="B433" i="7"/>
  <c r="C434" i="7" s="1"/>
  <c r="E432" i="7"/>
  <c r="C432" i="7"/>
  <c r="B432" i="7"/>
  <c r="D432" i="7" s="1"/>
  <c r="E431" i="7"/>
  <c r="B431" i="7"/>
  <c r="E430" i="7"/>
  <c r="B430" i="7"/>
  <c r="E429" i="7"/>
  <c r="C429" i="7"/>
  <c r="B429" i="7"/>
  <c r="D429" i="7" s="1"/>
  <c r="E428" i="7"/>
  <c r="B428" i="7"/>
  <c r="E427" i="7"/>
  <c r="B427" i="7"/>
  <c r="E426" i="7"/>
  <c r="B426" i="7"/>
  <c r="E425" i="7"/>
  <c r="D425" i="7"/>
  <c r="C425" i="7"/>
  <c r="B425" i="7"/>
  <c r="E424" i="7"/>
  <c r="B424" i="7"/>
  <c r="E423" i="7"/>
  <c r="D423" i="7"/>
  <c r="C423" i="7"/>
  <c r="B423" i="7"/>
  <c r="E422" i="7"/>
  <c r="C422" i="7"/>
  <c r="B422" i="7"/>
  <c r="E421" i="7"/>
  <c r="D421" i="7"/>
  <c r="C421" i="7"/>
  <c r="B421" i="7"/>
  <c r="E420" i="7"/>
  <c r="B420" i="7"/>
  <c r="E419" i="7"/>
  <c r="B419" i="7"/>
  <c r="E418" i="7"/>
  <c r="C418" i="7"/>
  <c r="B418" i="7"/>
  <c r="E417" i="7"/>
  <c r="B417" i="7"/>
  <c r="E416" i="7"/>
  <c r="B416" i="7"/>
  <c r="D416" i="7" s="1"/>
  <c r="E415" i="7"/>
  <c r="D415" i="7"/>
  <c r="B415" i="7"/>
  <c r="E414" i="7"/>
  <c r="C414" i="7"/>
  <c r="B414" i="7"/>
  <c r="D414" i="7" s="1"/>
  <c r="E413" i="7"/>
  <c r="C413" i="7"/>
  <c r="B413" i="7"/>
  <c r="D413" i="7" s="1"/>
  <c r="E412" i="7"/>
  <c r="B412" i="7"/>
  <c r="C412" i="7" s="1"/>
  <c r="E411" i="7"/>
  <c r="B411" i="7"/>
  <c r="E410" i="7"/>
  <c r="B410" i="7"/>
  <c r="E409" i="7"/>
  <c r="D409" i="7"/>
  <c r="C409" i="7"/>
  <c r="B409" i="7"/>
  <c r="E408" i="7"/>
  <c r="B408" i="7"/>
  <c r="E407" i="7"/>
  <c r="C407" i="7"/>
  <c r="B407" i="7"/>
  <c r="E406" i="7"/>
  <c r="B406" i="7"/>
  <c r="E405" i="7"/>
  <c r="B405" i="7"/>
  <c r="C406" i="7" s="1"/>
  <c r="E404" i="7"/>
  <c r="B404" i="7"/>
  <c r="E403" i="7"/>
  <c r="C403" i="7"/>
  <c r="B403" i="7"/>
  <c r="D403" i="7" s="1"/>
  <c r="E402" i="7"/>
  <c r="C402" i="7"/>
  <c r="B402" i="7"/>
  <c r="E401" i="7"/>
  <c r="B401" i="7"/>
  <c r="E400" i="7"/>
  <c r="C400" i="7"/>
  <c r="B400" i="7"/>
  <c r="E399" i="7"/>
  <c r="B399" i="7"/>
  <c r="D399" i="7" s="1"/>
  <c r="E398" i="7"/>
  <c r="B398" i="7"/>
  <c r="E397" i="7"/>
  <c r="C397" i="7"/>
  <c r="B397" i="7"/>
  <c r="E396" i="7"/>
  <c r="B396" i="7"/>
  <c r="E395" i="7"/>
  <c r="B395" i="7"/>
  <c r="C395" i="7" s="1"/>
  <c r="E394" i="7"/>
  <c r="C394" i="7"/>
  <c r="B394" i="7"/>
  <c r="E393" i="7"/>
  <c r="B393" i="7"/>
  <c r="E392" i="7"/>
  <c r="B392" i="7"/>
  <c r="E391" i="7"/>
  <c r="B391" i="7"/>
  <c r="C391" i="7" s="1"/>
  <c r="E390" i="7"/>
  <c r="D390" i="7"/>
  <c r="B390" i="7"/>
  <c r="C390" i="7" s="1"/>
  <c r="E389" i="7"/>
  <c r="D389" i="7"/>
  <c r="B389" i="7"/>
  <c r="E388" i="7"/>
  <c r="B388" i="7"/>
  <c r="E387" i="7"/>
  <c r="D387" i="7"/>
  <c r="C387" i="7"/>
  <c r="B387" i="7"/>
  <c r="E386" i="7"/>
  <c r="B386" i="7"/>
  <c r="E385" i="7"/>
  <c r="B385" i="7"/>
  <c r="D385" i="7" s="1"/>
  <c r="E384" i="7"/>
  <c r="B384" i="7"/>
  <c r="E383" i="7"/>
  <c r="B383" i="7"/>
  <c r="E382" i="7"/>
  <c r="B382" i="7"/>
  <c r="D382" i="7" s="1"/>
  <c r="E381" i="7"/>
  <c r="B381" i="7"/>
  <c r="E380" i="7"/>
  <c r="D380" i="7"/>
  <c r="B380" i="7"/>
  <c r="E379" i="7"/>
  <c r="B379" i="7"/>
  <c r="E378" i="7"/>
  <c r="B378" i="7"/>
  <c r="C378" i="7" s="1"/>
  <c r="E377" i="7"/>
  <c r="B377" i="7"/>
  <c r="E376" i="7"/>
  <c r="D376" i="7"/>
  <c r="B376" i="7"/>
  <c r="E375" i="7"/>
  <c r="B375" i="7"/>
  <c r="E374" i="7"/>
  <c r="B374" i="7"/>
  <c r="E373" i="7"/>
  <c r="D373" i="7"/>
  <c r="B373" i="7"/>
  <c r="C373" i="7" s="1"/>
  <c r="E372" i="7"/>
  <c r="B372" i="7"/>
  <c r="E371" i="7"/>
  <c r="D371" i="7"/>
  <c r="C371" i="7"/>
  <c r="B371" i="7"/>
  <c r="E370" i="7"/>
  <c r="B370" i="7"/>
  <c r="E369" i="7"/>
  <c r="C369" i="7"/>
  <c r="B369" i="7"/>
  <c r="D369" i="7" s="1"/>
  <c r="E368" i="7"/>
  <c r="B368" i="7"/>
  <c r="E367" i="7"/>
  <c r="D367" i="7"/>
  <c r="C367" i="7"/>
  <c r="B367" i="7"/>
  <c r="E366" i="7"/>
  <c r="B366" i="7"/>
  <c r="D366" i="7" s="1"/>
  <c r="E365" i="7"/>
  <c r="C365" i="7"/>
  <c r="B365" i="7"/>
  <c r="E364" i="7"/>
  <c r="D364" i="7"/>
  <c r="B364" i="7"/>
  <c r="E363" i="7"/>
  <c r="B363" i="7"/>
  <c r="E362" i="7"/>
  <c r="B362" i="7"/>
  <c r="C362" i="7" s="1"/>
  <c r="E361" i="7"/>
  <c r="B361" i="7"/>
  <c r="E360" i="7"/>
  <c r="B360" i="7"/>
  <c r="E359" i="7"/>
  <c r="B359" i="7"/>
  <c r="C359" i="7" s="1"/>
  <c r="E358" i="7"/>
  <c r="D358" i="7"/>
  <c r="B358" i="7"/>
  <c r="E357" i="7"/>
  <c r="D357" i="7"/>
  <c r="B357" i="7"/>
  <c r="E356" i="7"/>
  <c r="B356" i="7"/>
  <c r="E355" i="7"/>
  <c r="D355" i="7"/>
  <c r="C355" i="7"/>
  <c r="B355" i="7"/>
  <c r="E354" i="7"/>
  <c r="B354" i="7"/>
  <c r="E353" i="7"/>
  <c r="B353" i="7"/>
  <c r="D353" i="7" s="1"/>
  <c r="E352" i="7"/>
  <c r="B352" i="7"/>
  <c r="E351" i="7"/>
  <c r="B351" i="7"/>
  <c r="D351" i="7" s="1"/>
  <c r="E350" i="7"/>
  <c r="B350" i="7"/>
  <c r="D350" i="7" s="1"/>
  <c r="E349" i="7"/>
  <c r="B349" i="7"/>
  <c r="E348" i="7"/>
  <c r="D348" i="7"/>
  <c r="B348" i="7"/>
  <c r="E347" i="7"/>
  <c r="B347" i="7"/>
  <c r="E346" i="7"/>
  <c r="B346" i="7"/>
  <c r="C346" i="7" s="1"/>
  <c r="E345" i="7"/>
  <c r="B345" i="7"/>
  <c r="E344" i="7"/>
  <c r="B344" i="7"/>
  <c r="E343" i="7"/>
  <c r="B343" i="7"/>
  <c r="E342" i="7"/>
  <c r="B342" i="7"/>
  <c r="E341" i="7"/>
  <c r="D341" i="7"/>
  <c r="B341" i="7"/>
  <c r="C341" i="7" s="1"/>
  <c r="E340" i="7"/>
  <c r="B340" i="7"/>
  <c r="E339" i="7"/>
  <c r="D339" i="7"/>
  <c r="C339" i="7"/>
  <c r="B339" i="7"/>
  <c r="E338" i="7"/>
  <c r="B338" i="7"/>
  <c r="E337" i="7"/>
  <c r="B337" i="7"/>
  <c r="D337" i="7" s="1"/>
  <c r="E336" i="7"/>
  <c r="B336" i="7"/>
  <c r="E335" i="7"/>
  <c r="D335" i="7"/>
  <c r="C335" i="7"/>
  <c r="B335" i="7"/>
  <c r="E334" i="7"/>
  <c r="B334" i="7"/>
  <c r="D334" i="7" s="1"/>
  <c r="E333" i="7"/>
  <c r="C333" i="7"/>
  <c r="B333" i="7"/>
  <c r="E332" i="7"/>
  <c r="D332" i="7"/>
  <c r="B332" i="7"/>
  <c r="E331" i="7"/>
  <c r="B331" i="7"/>
  <c r="E330" i="7"/>
  <c r="D330" i="7"/>
  <c r="B330" i="7"/>
  <c r="C330" i="7" s="1"/>
  <c r="E329" i="7"/>
  <c r="B329" i="7"/>
  <c r="E328" i="7"/>
  <c r="B328" i="7"/>
  <c r="E327" i="7"/>
  <c r="B327" i="7"/>
  <c r="C327" i="7" s="1"/>
  <c r="E326" i="7"/>
  <c r="D326" i="7"/>
  <c r="B326" i="7"/>
  <c r="E325" i="7"/>
  <c r="D325" i="7"/>
  <c r="B325" i="7"/>
  <c r="E324" i="7"/>
  <c r="B324" i="7"/>
  <c r="E323" i="7"/>
  <c r="D323" i="7"/>
  <c r="C323" i="7"/>
  <c r="B323" i="7"/>
  <c r="E322" i="7"/>
  <c r="B322" i="7"/>
  <c r="E321" i="7"/>
  <c r="D321" i="7"/>
  <c r="C321" i="7"/>
  <c r="B321" i="7"/>
  <c r="E320" i="7"/>
  <c r="B320" i="7"/>
  <c r="E319" i="7"/>
  <c r="B319" i="7"/>
  <c r="D319" i="7" s="1"/>
  <c r="E318" i="7"/>
  <c r="B318" i="7"/>
  <c r="D318" i="7" s="1"/>
  <c r="E317" i="7"/>
  <c r="B317" i="7"/>
  <c r="E316" i="7"/>
  <c r="D316" i="7"/>
  <c r="B316" i="7"/>
  <c r="E315" i="7"/>
  <c r="B315" i="7"/>
  <c r="E314" i="7"/>
  <c r="B314" i="7"/>
  <c r="C314" i="7" s="1"/>
  <c r="E313" i="7"/>
  <c r="B313" i="7"/>
  <c r="E312" i="7"/>
  <c r="B312" i="7"/>
  <c r="C312" i="7" s="1"/>
  <c r="E311" i="7"/>
  <c r="B311" i="7"/>
  <c r="E310" i="7"/>
  <c r="B310" i="7"/>
  <c r="E309" i="7"/>
  <c r="D309" i="7"/>
  <c r="B309" i="7"/>
  <c r="C309" i="7" s="1"/>
  <c r="E308" i="7"/>
  <c r="B308" i="7"/>
  <c r="E307" i="7"/>
  <c r="D307" i="7"/>
  <c r="C307" i="7"/>
  <c r="B307" i="7"/>
  <c r="E306" i="7"/>
  <c r="B306" i="7"/>
  <c r="E305" i="7"/>
  <c r="C305" i="7"/>
  <c r="B305" i="7"/>
  <c r="D305" i="7" s="1"/>
  <c r="E304" i="7"/>
  <c r="B304" i="7"/>
  <c r="E303" i="7"/>
  <c r="D303" i="7"/>
  <c r="C303" i="7"/>
  <c r="B303" i="7"/>
  <c r="E302" i="7"/>
  <c r="B302" i="7"/>
  <c r="E301" i="7"/>
  <c r="C301" i="7"/>
  <c r="B301" i="7"/>
  <c r="D301" i="7" s="1"/>
  <c r="E300" i="7"/>
  <c r="B300" i="7"/>
  <c r="E299" i="7"/>
  <c r="B299" i="7"/>
  <c r="E298" i="7"/>
  <c r="B298" i="7"/>
  <c r="C298" i="7" s="1"/>
  <c r="E297" i="7"/>
  <c r="B297" i="7"/>
  <c r="E296" i="7"/>
  <c r="B296" i="7"/>
  <c r="E295" i="7"/>
  <c r="B295" i="7"/>
  <c r="D295" i="7" s="1"/>
  <c r="E294" i="7"/>
  <c r="B294" i="7"/>
  <c r="C294" i="7" s="1"/>
  <c r="E293" i="7"/>
  <c r="B293" i="7"/>
  <c r="D293" i="7" s="1"/>
  <c r="E292" i="7"/>
  <c r="C292" i="7"/>
  <c r="B292" i="7"/>
  <c r="D304" i="7" s="1"/>
  <c r="E291" i="7"/>
  <c r="B291" i="7"/>
  <c r="D291" i="7" s="1"/>
  <c r="E290" i="7"/>
  <c r="B290" i="7"/>
  <c r="D290" i="7" s="1"/>
  <c r="E289" i="7"/>
  <c r="B289" i="7"/>
  <c r="D289" i="7" s="1"/>
  <c r="E288" i="7"/>
  <c r="B288" i="7"/>
  <c r="E287" i="7"/>
  <c r="B287" i="7"/>
  <c r="D287" i="7" s="1"/>
  <c r="E286" i="7"/>
  <c r="B286" i="7"/>
  <c r="C286" i="7" s="1"/>
  <c r="E285" i="7"/>
  <c r="B285" i="7"/>
  <c r="D297" i="7" s="1"/>
  <c r="E284" i="7"/>
  <c r="C284" i="7"/>
  <c r="B284" i="7"/>
  <c r="E283" i="7"/>
  <c r="B283" i="7"/>
  <c r="D283" i="7" s="1"/>
  <c r="E282" i="7"/>
  <c r="B282" i="7"/>
  <c r="D282" i="7" s="1"/>
  <c r="E281" i="7"/>
  <c r="B281" i="7"/>
  <c r="D281" i="7" s="1"/>
  <c r="E280" i="7"/>
  <c r="B280" i="7"/>
  <c r="E279" i="7"/>
  <c r="B279" i="7"/>
  <c r="D279" i="7" s="1"/>
  <c r="E278" i="7"/>
  <c r="B278" i="7"/>
  <c r="C278" i="7" s="1"/>
  <c r="E277" i="7"/>
  <c r="B277" i="7"/>
  <c r="D277" i="7" s="1"/>
  <c r="E276" i="7"/>
  <c r="C276" i="7"/>
  <c r="B276" i="7"/>
  <c r="E275" i="7"/>
  <c r="B275" i="7"/>
  <c r="E274" i="7"/>
  <c r="B274" i="7"/>
  <c r="D274" i="7" s="1"/>
  <c r="E273" i="7"/>
  <c r="B273" i="7"/>
  <c r="E272" i="7"/>
  <c r="B272" i="7"/>
  <c r="E271" i="7"/>
  <c r="B271" i="7"/>
  <c r="D271" i="7" s="1"/>
  <c r="E270" i="7"/>
  <c r="B270" i="7"/>
  <c r="C270" i="7" s="1"/>
  <c r="E269" i="7"/>
  <c r="B269" i="7"/>
  <c r="D269" i="7" s="1"/>
  <c r="E268" i="7"/>
  <c r="C268" i="7"/>
  <c r="B268" i="7"/>
  <c r="E267" i="7"/>
  <c r="B267" i="7"/>
  <c r="E266" i="7"/>
  <c r="B266" i="7"/>
  <c r="D266" i="7" s="1"/>
  <c r="E265" i="7"/>
  <c r="B265" i="7"/>
  <c r="E264" i="7"/>
  <c r="B264" i="7"/>
  <c r="E263" i="7"/>
  <c r="B263" i="7"/>
  <c r="E262" i="7"/>
  <c r="B262" i="7"/>
  <c r="C262" i="7" s="1"/>
  <c r="E261" i="7"/>
  <c r="B261" i="7"/>
  <c r="E260" i="7"/>
  <c r="C260" i="7"/>
  <c r="B260" i="7"/>
  <c r="E259" i="7"/>
  <c r="B259" i="7"/>
  <c r="E258" i="7"/>
  <c r="B258" i="7"/>
  <c r="D258" i="7" s="1"/>
  <c r="E257" i="7"/>
  <c r="B257" i="7"/>
  <c r="E256" i="7"/>
  <c r="B256" i="7"/>
  <c r="E255" i="7"/>
  <c r="B255" i="7"/>
  <c r="E254" i="7"/>
  <c r="B254" i="7"/>
  <c r="E253" i="7"/>
  <c r="B253" i="7"/>
  <c r="E252" i="7"/>
  <c r="C252" i="7"/>
  <c r="B252" i="7"/>
  <c r="E251" i="7"/>
  <c r="B251" i="7"/>
  <c r="E250" i="7"/>
  <c r="B250" i="7"/>
  <c r="D250" i="7" s="1"/>
  <c r="E249" i="7"/>
  <c r="B249" i="7"/>
  <c r="E248" i="7"/>
  <c r="B248" i="7"/>
  <c r="E247" i="7"/>
  <c r="B247" i="7"/>
  <c r="E246" i="7"/>
  <c r="B246" i="7"/>
  <c r="C246" i="7" s="1"/>
  <c r="E245" i="7"/>
  <c r="B245" i="7"/>
  <c r="E244" i="7"/>
  <c r="C244" i="7"/>
  <c r="B244" i="7"/>
  <c r="E243" i="7"/>
  <c r="B243" i="7"/>
  <c r="E242" i="7"/>
  <c r="B242" i="7"/>
  <c r="D242" i="7" s="1"/>
  <c r="E241" i="7"/>
  <c r="B241" i="7"/>
  <c r="E240" i="7"/>
  <c r="B240" i="7"/>
  <c r="E239" i="7"/>
  <c r="B239" i="7"/>
  <c r="E238" i="7"/>
  <c r="B238" i="7"/>
  <c r="E237" i="7"/>
  <c r="B237" i="7"/>
  <c r="E236" i="7"/>
  <c r="D236" i="7"/>
  <c r="C236" i="7"/>
  <c r="B236" i="7"/>
  <c r="E235" i="7"/>
  <c r="B235" i="7"/>
  <c r="E234" i="7"/>
  <c r="B234" i="7"/>
  <c r="E233" i="7"/>
  <c r="B233" i="7"/>
  <c r="E232" i="7"/>
  <c r="B232" i="7"/>
  <c r="E231" i="7"/>
  <c r="B231" i="7"/>
  <c r="E230" i="7"/>
  <c r="B230" i="7"/>
  <c r="C230" i="7" s="1"/>
  <c r="E229" i="7"/>
  <c r="B229" i="7"/>
  <c r="E228" i="7"/>
  <c r="C228" i="7"/>
  <c r="B228" i="7"/>
  <c r="E227" i="7"/>
  <c r="B227" i="7"/>
  <c r="E226" i="7"/>
  <c r="B226" i="7"/>
  <c r="D226" i="7" s="1"/>
  <c r="E225" i="7"/>
  <c r="B225" i="7"/>
  <c r="E224" i="7"/>
  <c r="B224" i="7"/>
  <c r="E223" i="7"/>
  <c r="B223" i="7"/>
  <c r="E222" i="7"/>
  <c r="B222" i="7"/>
  <c r="E221" i="7"/>
  <c r="B221" i="7"/>
  <c r="E220" i="7"/>
  <c r="C220" i="7"/>
  <c r="B220" i="7"/>
  <c r="E219" i="7"/>
  <c r="B219" i="7"/>
  <c r="E218" i="7"/>
  <c r="D218" i="7"/>
  <c r="B218" i="7"/>
  <c r="C218" i="7" s="1"/>
  <c r="E217" i="7"/>
  <c r="B217" i="7"/>
  <c r="E216" i="7"/>
  <c r="B216" i="7"/>
  <c r="E215" i="7"/>
  <c r="B215" i="7"/>
  <c r="E214" i="7"/>
  <c r="B214" i="7"/>
  <c r="C214" i="7" s="1"/>
  <c r="E213" i="7"/>
  <c r="B213" i="7"/>
  <c r="E212" i="7"/>
  <c r="C212" i="7"/>
  <c r="B212" i="7"/>
  <c r="E211" i="7"/>
  <c r="B211" i="7"/>
  <c r="E210" i="7"/>
  <c r="B210" i="7"/>
  <c r="D210" i="7" s="1"/>
  <c r="E209" i="7"/>
  <c r="B209" i="7"/>
  <c r="E208" i="7"/>
  <c r="B208" i="7"/>
  <c r="E207" i="7"/>
  <c r="B207" i="7"/>
  <c r="E206" i="7"/>
  <c r="B206" i="7"/>
  <c r="E205" i="7"/>
  <c r="B205" i="7"/>
  <c r="E204" i="7"/>
  <c r="D204" i="7"/>
  <c r="C204" i="7"/>
  <c r="B204" i="7"/>
  <c r="E203" i="7"/>
  <c r="B203" i="7"/>
  <c r="E202" i="7"/>
  <c r="B202" i="7"/>
  <c r="C202" i="7" s="1"/>
  <c r="E201" i="7"/>
  <c r="B201" i="7"/>
  <c r="E200" i="7"/>
  <c r="B200" i="7"/>
  <c r="E199" i="7"/>
  <c r="B199" i="7"/>
  <c r="E198" i="7"/>
  <c r="B198" i="7"/>
  <c r="C198" i="7" s="1"/>
  <c r="E197" i="7"/>
  <c r="B197" i="7"/>
  <c r="E196" i="7"/>
  <c r="C196" i="7"/>
  <c r="B196" i="7"/>
  <c r="E195" i="7"/>
  <c r="B195" i="7"/>
  <c r="E194" i="7"/>
  <c r="B194" i="7"/>
  <c r="D194" i="7" s="1"/>
  <c r="E193" i="7"/>
  <c r="B193" i="7"/>
  <c r="E192" i="7"/>
  <c r="B192" i="7"/>
  <c r="E191" i="7"/>
  <c r="B191" i="7"/>
  <c r="E190" i="7"/>
  <c r="B190" i="7"/>
  <c r="E189" i="7"/>
  <c r="B189" i="7"/>
  <c r="E188" i="7"/>
  <c r="C188" i="7"/>
  <c r="B188" i="7"/>
  <c r="E187" i="7"/>
  <c r="B187" i="7"/>
  <c r="E186" i="7"/>
  <c r="D186" i="7"/>
  <c r="B186" i="7"/>
  <c r="C186" i="7" s="1"/>
  <c r="E185" i="7"/>
  <c r="B185" i="7"/>
  <c r="E184" i="7"/>
  <c r="B184" i="7"/>
  <c r="E183" i="7"/>
  <c r="B183" i="7"/>
  <c r="E182" i="7"/>
  <c r="B182" i="7"/>
  <c r="C182" i="7" s="1"/>
  <c r="E181" i="7"/>
  <c r="B181" i="7"/>
  <c r="E180" i="7"/>
  <c r="C180" i="7"/>
  <c r="B180" i="7"/>
  <c r="E179" i="7"/>
  <c r="B179" i="7"/>
  <c r="E178" i="7"/>
  <c r="B178" i="7"/>
  <c r="D178" i="7" s="1"/>
  <c r="E177" i="7"/>
  <c r="B177" i="7"/>
  <c r="E176" i="7"/>
  <c r="B176" i="7"/>
  <c r="E175" i="7"/>
  <c r="B175" i="7"/>
  <c r="E174" i="7"/>
  <c r="B174" i="7"/>
  <c r="E173" i="7"/>
  <c r="B173" i="7"/>
  <c r="E172" i="7"/>
  <c r="C172" i="7"/>
  <c r="B172" i="7"/>
  <c r="E171" i="7"/>
  <c r="B171" i="7"/>
  <c r="E170" i="7"/>
  <c r="D170" i="7"/>
  <c r="C170" i="7"/>
  <c r="B170" i="7"/>
  <c r="E169" i="7"/>
  <c r="B169" i="7"/>
  <c r="E168" i="7"/>
  <c r="B168" i="7"/>
  <c r="E167" i="7"/>
  <c r="B167" i="7"/>
  <c r="E166" i="7"/>
  <c r="B166" i="7"/>
  <c r="C166" i="7" s="1"/>
  <c r="E165" i="7"/>
  <c r="B165" i="7"/>
  <c r="E164" i="7"/>
  <c r="C164" i="7"/>
  <c r="B164" i="7"/>
  <c r="E163" i="7"/>
  <c r="B163" i="7"/>
  <c r="E162" i="7"/>
  <c r="B162" i="7"/>
  <c r="D162" i="7" s="1"/>
  <c r="E161" i="7"/>
  <c r="B161" i="7"/>
  <c r="E160" i="7"/>
  <c r="B160" i="7"/>
  <c r="D172" i="7" s="1"/>
  <c r="E159" i="7"/>
  <c r="B159" i="7"/>
  <c r="E158" i="7"/>
  <c r="B158" i="7"/>
  <c r="E157" i="7"/>
  <c r="B157" i="7"/>
  <c r="E156" i="7"/>
  <c r="D156" i="7"/>
  <c r="C156" i="7"/>
  <c r="B156" i="7"/>
  <c r="E155" i="7"/>
  <c r="B155" i="7"/>
  <c r="E154" i="7"/>
  <c r="B154" i="7"/>
  <c r="D154" i="7" s="1"/>
  <c r="E153" i="7"/>
  <c r="B153" i="7"/>
  <c r="E152" i="7"/>
  <c r="B152" i="7"/>
  <c r="E151" i="7"/>
  <c r="B151" i="7"/>
  <c r="E150" i="7"/>
  <c r="B150" i="7"/>
  <c r="C150" i="7" s="1"/>
  <c r="E149" i="7"/>
  <c r="B149" i="7"/>
  <c r="E148" i="7"/>
  <c r="C148" i="7"/>
  <c r="B148" i="7"/>
  <c r="E147" i="7"/>
  <c r="B147" i="7"/>
  <c r="E146" i="7"/>
  <c r="B146" i="7"/>
  <c r="D146" i="7" s="1"/>
  <c r="E145" i="7"/>
  <c r="B145" i="7"/>
  <c r="E144" i="7"/>
  <c r="B144" i="7"/>
  <c r="E143" i="7"/>
  <c r="B143" i="7"/>
  <c r="E142" i="7"/>
  <c r="B142" i="7"/>
  <c r="E141" i="7"/>
  <c r="B141" i="7"/>
  <c r="E140" i="7"/>
  <c r="C140" i="7"/>
  <c r="B140" i="7"/>
  <c r="E139" i="7"/>
  <c r="B139" i="7"/>
  <c r="E138" i="7"/>
  <c r="B138" i="7"/>
  <c r="C138" i="7" s="1"/>
  <c r="E137" i="7"/>
  <c r="B137" i="7"/>
  <c r="E136" i="7"/>
  <c r="B136" i="7"/>
  <c r="E135" i="7"/>
  <c r="B135" i="7"/>
  <c r="E134" i="7"/>
  <c r="B134" i="7"/>
  <c r="C134" i="7" s="1"/>
  <c r="E133" i="7"/>
  <c r="B133" i="7"/>
  <c r="E132" i="7"/>
  <c r="C132" i="7"/>
  <c r="B132" i="7"/>
  <c r="E131" i="7"/>
  <c r="B131" i="7"/>
  <c r="E130" i="7"/>
  <c r="B130" i="7"/>
  <c r="D130" i="7" s="1"/>
  <c r="E129" i="7"/>
  <c r="B129" i="7"/>
  <c r="E128" i="7"/>
  <c r="B128" i="7"/>
  <c r="E127" i="7"/>
  <c r="B127" i="7"/>
  <c r="E126" i="7"/>
  <c r="B126" i="7"/>
  <c r="E125" i="7"/>
  <c r="B125" i="7"/>
  <c r="E124" i="7"/>
  <c r="D124" i="7"/>
  <c r="C124" i="7"/>
  <c r="B124" i="7"/>
  <c r="E123" i="7"/>
  <c r="B123" i="7"/>
  <c r="E122" i="7"/>
  <c r="B122" i="7"/>
  <c r="E121" i="7"/>
  <c r="B121" i="7"/>
  <c r="E120" i="7"/>
  <c r="B120" i="7"/>
  <c r="E119" i="7"/>
  <c r="B119" i="7"/>
  <c r="E118" i="7"/>
  <c r="B118" i="7"/>
  <c r="C118" i="7" s="1"/>
  <c r="E117" i="7"/>
  <c r="B117" i="7"/>
  <c r="E116" i="7"/>
  <c r="C116" i="7"/>
  <c r="B116" i="7"/>
  <c r="E115" i="7"/>
  <c r="B115" i="7"/>
  <c r="E114" i="7"/>
  <c r="B114" i="7"/>
  <c r="D114" i="7" s="1"/>
  <c r="E113" i="7"/>
  <c r="B113" i="7"/>
  <c r="E112" i="7"/>
  <c r="B112" i="7"/>
  <c r="E111" i="7"/>
  <c r="B111" i="7"/>
  <c r="E110" i="7"/>
  <c r="B110" i="7"/>
  <c r="E109" i="7"/>
  <c r="B109" i="7"/>
  <c r="E108" i="7"/>
  <c r="D108" i="7"/>
  <c r="C108" i="7"/>
  <c r="B108" i="7"/>
  <c r="E107" i="7"/>
  <c r="B107" i="7"/>
  <c r="E106" i="7"/>
  <c r="B106" i="7"/>
  <c r="E105" i="7"/>
  <c r="B105" i="7"/>
  <c r="E104" i="7"/>
  <c r="B104" i="7"/>
  <c r="E103" i="7"/>
  <c r="B103" i="7"/>
  <c r="E102" i="7"/>
  <c r="B102" i="7"/>
  <c r="C102" i="7" s="1"/>
  <c r="E101" i="7"/>
  <c r="B101" i="7"/>
  <c r="E100" i="7"/>
  <c r="C100" i="7"/>
  <c r="B100" i="7"/>
  <c r="E99" i="7"/>
  <c r="B99" i="7"/>
  <c r="E98" i="7"/>
  <c r="B98" i="7"/>
  <c r="D98" i="7" s="1"/>
  <c r="E97" i="7"/>
  <c r="B97" i="7"/>
  <c r="E96" i="7"/>
  <c r="B96" i="7"/>
  <c r="E95" i="7"/>
  <c r="B95" i="7"/>
  <c r="E94" i="7"/>
  <c r="B94" i="7"/>
  <c r="E93" i="7"/>
  <c r="B93" i="7"/>
  <c r="E92" i="7"/>
  <c r="C92" i="7"/>
  <c r="B92" i="7"/>
  <c r="E91" i="7"/>
  <c r="B91" i="7"/>
  <c r="E90" i="7"/>
  <c r="D90" i="7"/>
  <c r="B90" i="7"/>
  <c r="C90" i="7" s="1"/>
  <c r="E89" i="7"/>
  <c r="B89" i="7"/>
  <c r="E88" i="7"/>
  <c r="B88" i="7"/>
  <c r="E87" i="7"/>
  <c r="B87" i="7"/>
  <c r="E86" i="7"/>
  <c r="B86" i="7"/>
  <c r="C86" i="7" s="1"/>
  <c r="E85" i="7"/>
  <c r="B85" i="7"/>
  <c r="E84" i="7"/>
  <c r="C84" i="7"/>
  <c r="B84" i="7"/>
  <c r="E83" i="7"/>
  <c r="B83" i="7"/>
  <c r="E82" i="7"/>
  <c r="B82" i="7"/>
  <c r="D82" i="7" s="1"/>
  <c r="E81" i="7"/>
  <c r="B81" i="7"/>
  <c r="E80" i="7"/>
  <c r="B80" i="7"/>
  <c r="E79" i="7"/>
  <c r="B79" i="7"/>
  <c r="E78" i="7"/>
  <c r="B78" i="7"/>
  <c r="E77" i="7"/>
  <c r="B77" i="7"/>
  <c r="E76" i="7"/>
  <c r="D76" i="7"/>
  <c r="C76" i="7"/>
  <c r="B76" i="7"/>
  <c r="E75" i="7"/>
  <c r="B75" i="7"/>
  <c r="E74" i="7"/>
  <c r="B74" i="7"/>
  <c r="C74" i="7" s="1"/>
  <c r="E73" i="7"/>
  <c r="B73" i="7"/>
  <c r="E72" i="7"/>
  <c r="B72" i="7"/>
  <c r="E71" i="7"/>
  <c r="D71" i="7"/>
  <c r="B71" i="7"/>
  <c r="C71" i="7" s="1"/>
  <c r="E70" i="7"/>
  <c r="B70" i="7"/>
  <c r="E69" i="7"/>
  <c r="B69" i="7"/>
  <c r="C69" i="7" s="1"/>
  <c r="E68" i="7"/>
  <c r="B68" i="7"/>
  <c r="C68" i="7" s="1"/>
  <c r="E67" i="7"/>
  <c r="D67" i="7"/>
  <c r="B67" i="7"/>
  <c r="C67" i="7" s="1"/>
  <c r="E66" i="7"/>
  <c r="D66" i="7"/>
  <c r="B66" i="7"/>
  <c r="E65" i="7"/>
  <c r="B65" i="7"/>
  <c r="E64" i="7"/>
  <c r="D64" i="7"/>
  <c r="C64" i="7"/>
  <c r="B64" i="7"/>
  <c r="E63" i="7"/>
  <c r="B63" i="7"/>
  <c r="E62" i="7"/>
  <c r="C62" i="7"/>
  <c r="B62" i="7"/>
  <c r="D62" i="7" s="1"/>
  <c r="E61" i="7"/>
  <c r="B61" i="7"/>
  <c r="E60" i="7"/>
  <c r="B60" i="7"/>
  <c r="D60" i="7" s="1"/>
  <c r="E59" i="7"/>
  <c r="B59" i="7"/>
  <c r="E58" i="7"/>
  <c r="B58" i="7"/>
  <c r="E57" i="7"/>
  <c r="D57" i="7"/>
  <c r="B57" i="7"/>
  <c r="E56" i="7"/>
  <c r="B56" i="7"/>
  <c r="E55" i="7"/>
  <c r="B55" i="7"/>
  <c r="C55" i="7" s="1"/>
  <c r="E54" i="7"/>
  <c r="B54" i="7"/>
  <c r="E53" i="7"/>
  <c r="B53" i="7"/>
  <c r="C53" i="7" s="1"/>
  <c r="E52" i="7"/>
  <c r="B52" i="7"/>
  <c r="E51" i="7"/>
  <c r="B51" i="7"/>
  <c r="E50" i="7"/>
  <c r="D50" i="7"/>
  <c r="B50" i="7"/>
  <c r="E49" i="7"/>
  <c r="B49" i="7"/>
  <c r="E48" i="7"/>
  <c r="D48" i="7"/>
  <c r="C48" i="7"/>
  <c r="B48" i="7"/>
  <c r="E47" i="7"/>
  <c r="B47" i="7"/>
  <c r="D59" i="7" s="1"/>
  <c r="E46" i="7"/>
  <c r="B46" i="7"/>
  <c r="D46" i="7" s="1"/>
  <c r="E45" i="7"/>
  <c r="B45" i="7"/>
  <c r="E44" i="7"/>
  <c r="D44" i="7"/>
  <c r="B44" i="7"/>
  <c r="C44" i="7" s="1"/>
  <c r="E43" i="7"/>
  <c r="B43" i="7"/>
  <c r="E42" i="7"/>
  <c r="B42" i="7"/>
  <c r="E41" i="7"/>
  <c r="D41" i="7"/>
  <c r="B41" i="7"/>
  <c r="E40" i="7"/>
  <c r="B40" i="7"/>
  <c r="E39" i="7"/>
  <c r="B39" i="7"/>
  <c r="C39" i="7" s="1"/>
  <c r="E38" i="7"/>
  <c r="B38" i="7"/>
  <c r="E37" i="7"/>
  <c r="B37" i="7"/>
  <c r="C37" i="7" s="1"/>
  <c r="E36" i="7"/>
  <c r="B36" i="7"/>
  <c r="C36" i="7" s="1"/>
  <c r="E35" i="7"/>
  <c r="D35" i="7"/>
  <c r="B35" i="7"/>
  <c r="C35" i="7" s="1"/>
  <c r="E34" i="7"/>
  <c r="D34" i="7"/>
  <c r="B34" i="7"/>
  <c r="E33" i="7"/>
  <c r="B33" i="7"/>
  <c r="E32" i="7"/>
  <c r="D32" i="7"/>
  <c r="C32" i="7"/>
  <c r="B32" i="7"/>
  <c r="E31" i="7"/>
  <c r="B31" i="7"/>
  <c r="D43" i="7" s="1"/>
  <c r="E30" i="7"/>
  <c r="B30" i="7"/>
  <c r="D30" i="7" s="1"/>
  <c r="E29" i="7"/>
  <c r="B29" i="7"/>
  <c r="E28" i="7"/>
  <c r="B28" i="7"/>
  <c r="D28" i="7" s="1"/>
  <c r="E27" i="7"/>
  <c r="B27" i="7"/>
  <c r="E26" i="7"/>
  <c r="B26" i="7"/>
  <c r="E25" i="7"/>
  <c r="D25" i="7"/>
  <c r="B25" i="7"/>
  <c r="E24" i="7"/>
  <c r="B24" i="7"/>
  <c r="E23" i="7"/>
  <c r="B23" i="7"/>
  <c r="C23" i="7" s="1"/>
  <c r="E22" i="7"/>
  <c r="B22" i="7"/>
  <c r="D22" i="7" s="1"/>
  <c r="E21" i="7"/>
  <c r="B21" i="7"/>
  <c r="C21" i="7" s="1"/>
  <c r="E20" i="7"/>
  <c r="D20" i="7"/>
  <c r="B20" i="7"/>
  <c r="E19" i="7"/>
  <c r="D19" i="7"/>
  <c r="B19" i="7"/>
  <c r="C19" i="7" s="1"/>
  <c r="E18" i="7"/>
  <c r="B18" i="7"/>
  <c r="E17" i="7"/>
  <c r="B17" i="7"/>
  <c r="E16" i="7"/>
  <c r="B16" i="7"/>
  <c r="E15" i="7"/>
  <c r="B15" i="7"/>
  <c r="E14" i="7"/>
  <c r="B14" i="7"/>
  <c r="C14" i="7" s="1"/>
  <c r="E13" i="7"/>
  <c r="B13" i="7"/>
  <c r="C13" i="7" s="1"/>
  <c r="E12" i="7"/>
  <c r="C12" i="7"/>
  <c r="B12" i="7"/>
  <c r="E11" i="7"/>
  <c r="C11" i="7"/>
  <c r="B11" i="7"/>
  <c r="E10" i="7"/>
  <c r="B10" i="7"/>
  <c r="C10" i="7" s="1"/>
  <c r="E9" i="7"/>
  <c r="C9" i="7"/>
  <c r="B9" i="7"/>
  <c r="E8" i="7"/>
  <c r="B8" i="7"/>
  <c r="E7" i="7"/>
  <c r="B7" i="7"/>
  <c r="E6" i="7"/>
  <c r="B6" i="7"/>
  <c r="C6" i="7" s="1"/>
  <c r="E5" i="7"/>
  <c r="B5" i="7"/>
  <c r="B665" i="6"/>
  <c r="B664" i="6"/>
  <c r="B663" i="6"/>
  <c r="C663" i="6" s="1"/>
  <c r="C662" i="6"/>
  <c r="B662" i="6"/>
  <c r="D662" i="6" s="1"/>
  <c r="C661" i="6"/>
  <c r="B661" i="6"/>
  <c r="B660" i="6"/>
  <c r="C659" i="6"/>
  <c r="B659" i="6"/>
  <c r="D659" i="6" s="1"/>
  <c r="B658" i="6"/>
  <c r="B657" i="6"/>
  <c r="B656" i="6"/>
  <c r="D656" i="6" s="1"/>
  <c r="B655" i="6"/>
  <c r="C655" i="6" s="1"/>
  <c r="C654" i="6"/>
  <c r="B654" i="6"/>
  <c r="D654" i="6" s="1"/>
  <c r="C653" i="6"/>
  <c r="B653" i="6"/>
  <c r="B652" i="6"/>
  <c r="D652" i="6" s="1"/>
  <c r="B651" i="6"/>
  <c r="C651" i="6" s="1"/>
  <c r="B650" i="6"/>
  <c r="B649" i="6"/>
  <c r="B648" i="6"/>
  <c r="D648" i="6" s="1"/>
  <c r="B647" i="6"/>
  <c r="C647" i="6" s="1"/>
  <c r="C646" i="6"/>
  <c r="B646" i="6"/>
  <c r="D646" i="6" s="1"/>
  <c r="C645" i="6"/>
  <c r="B645" i="6"/>
  <c r="B644" i="6"/>
  <c r="D644" i="6" s="1"/>
  <c r="B643" i="6"/>
  <c r="B642" i="6"/>
  <c r="B641" i="6"/>
  <c r="C640" i="6"/>
  <c r="B640" i="6"/>
  <c r="D640" i="6" s="1"/>
  <c r="B639" i="6"/>
  <c r="C639" i="6" s="1"/>
  <c r="C638" i="6"/>
  <c r="B638" i="6"/>
  <c r="D638" i="6" s="1"/>
  <c r="C637" i="6"/>
  <c r="B637" i="6"/>
  <c r="B636" i="6"/>
  <c r="B635" i="6"/>
  <c r="B634" i="6"/>
  <c r="B633" i="6"/>
  <c r="C632" i="6"/>
  <c r="B632" i="6"/>
  <c r="D632" i="6" s="1"/>
  <c r="B631" i="6"/>
  <c r="C631" i="6" s="1"/>
  <c r="C630" i="6"/>
  <c r="B630" i="6"/>
  <c r="D630" i="6" s="1"/>
  <c r="C629" i="6"/>
  <c r="B629" i="6"/>
  <c r="B628" i="6"/>
  <c r="D628" i="6" s="1"/>
  <c r="D627" i="6"/>
  <c r="B627" i="6"/>
  <c r="C627" i="6" s="1"/>
  <c r="B626" i="6"/>
  <c r="B625" i="6"/>
  <c r="B624" i="6"/>
  <c r="D624" i="6" s="1"/>
  <c r="B623" i="6"/>
  <c r="C623" i="6" s="1"/>
  <c r="C622" i="6"/>
  <c r="B622" i="6"/>
  <c r="D622" i="6" s="1"/>
  <c r="C621" i="6"/>
  <c r="B621" i="6"/>
  <c r="B620" i="6"/>
  <c r="C619" i="6"/>
  <c r="B619" i="6"/>
  <c r="D619" i="6" s="1"/>
  <c r="B618" i="6"/>
  <c r="B617" i="6"/>
  <c r="B616" i="6"/>
  <c r="D616" i="6" s="1"/>
  <c r="B615" i="6"/>
  <c r="C615" i="6" s="1"/>
  <c r="C614" i="6"/>
  <c r="B614" i="6"/>
  <c r="D614" i="6" s="1"/>
  <c r="C613" i="6"/>
  <c r="B613" i="6"/>
  <c r="B612" i="6"/>
  <c r="B611" i="6"/>
  <c r="D611" i="6" s="1"/>
  <c r="B610" i="6"/>
  <c r="B609" i="6"/>
  <c r="C608" i="6"/>
  <c r="B608" i="6"/>
  <c r="D608" i="6" s="1"/>
  <c r="B607" i="6"/>
  <c r="C607" i="6" s="1"/>
  <c r="C606" i="6"/>
  <c r="B606" i="6"/>
  <c r="D606" i="6" s="1"/>
  <c r="C605" i="6"/>
  <c r="B605" i="6"/>
  <c r="B604" i="6"/>
  <c r="D604" i="6" s="1"/>
  <c r="D603" i="6"/>
  <c r="C603" i="6"/>
  <c r="B603" i="6"/>
  <c r="B602" i="6"/>
  <c r="B601" i="6"/>
  <c r="B600" i="6"/>
  <c r="B599" i="6"/>
  <c r="C599" i="6" s="1"/>
  <c r="C598" i="6"/>
  <c r="B598" i="6"/>
  <c r="D598" i="6" s="1"/>
  <c r="C597" i="6"/>
  <c r="B597" i="6"/>
  <c r="B596" i="6"/>
  <c r="B595" i="6"/>
  <c r="D595" i="6" s="1"/>
  <c r="B594" i="6"/>
  <c r="B593" i="6"/>
  <c r="B592" i="6"/>
  <c r="D592" i="6" s="1"/>
  <c r="B591" i="6"/>
  <c r="C591" i="6" s="1"/>
  <c r="C590" i="6"/>
  <c r="B590" i="6"/>
  <c r="D590" i="6" s="1"/>
  <c r="D589" i="6"/>
  <c r="C589" i="6"/>
  <c r="B589" i="6"/>
  <c r="B588" i="6"/>
  <c r="B587" i="6"/>
  <c r="D587" i="6" s="1"/>
  <c r="B586" i="6"/>
  <c r="B585" i="6"/>
  <c r="B584" i="6"/>
  <c r="D584" i="6" s="1"/>
  <c r="B583" i="6"/>
  <c r="C583" i="6" s="1"/>
  <c r="C582" i="6"/>
  <c r="B582" i="6"/>
  <c r="D581" i="6"/>
  <c r="C581" i="6"/>
  <c r="B581" i="6"/>
  <c r="B580" i="6"/>
  <c r="D580" i="6" s="1"/>
  <c r="B579" i="6"/>
  <c r="C579" i="6" s="1"/>
  <c r="D578" i="6"/>
  <c r="B578" i="6"/>
  <c r="B577" i="6"/>
  <c r="D577" i="6" s="1"/>
  <c r="B576" i="6"/>
  <c r="D576" i="6" s="1"/>
  <c r="B575" i="6"/>
  <c r="B574" i="6"/>
  <c r="C573" i="6"/>
  <c r="B573" i="6"/>
  <c r="D573" i="6" s="1"/>
  <c r="B572" i="6"/>
  <c r="C572" i="6" s="1"/>
  <c r="D571" i="6"/>
  <c r="C571" i="6"/>
  <c r="B571" i="6"/>
  <c r="B570" i="6"/>
  <c r="B569" i="6"/>
  <c r="B568" i="6"/>
  <c r="C567" i="6"/>
  <c r="B567" i="6"/>
  <c r="D567" i="6" s="1"/>
  <c r="B566" i="6"/>
  <c r="C566" i="6" s="1"/>
  <c r="C565" i="6"/>
  <c r="B565" i="6"/>
  <c r="D565" i="6" s="1"/>
  <c r="D564" i="6"/>
  <c r="B564" i="6"/>
  <c r="B563" i="6"/>
  <c r="B562" i="6"/>
  <c r="C562" i="6" s="1"/>
  <c r="D561" i="6"/>
  <c r="B561" i="6"/>
  <c r="B560" i="6"/>
  <c r="C560" i="6" s="1"/>
  <c r="D559" i="6"/>
  <c r="C559" i="6"/>
  <c r="B559" i="6"/>
  <c r="B558" i="6"/>
  <c r="C557" i="6"/>
  <c r="B557" i="6"/>
  <c r="C556" i="6"/>
  <c r="B556" i="6"/>
  <c r="B555" i="6"/>
  <c r="B554" i="6"/>
  <c r="D554" i="6" s="1"/>
  <c r="D553" i="6"/>
  <c r="B553" i="6"/>
  <c r="B552" i="6"/>
  <c r="C553" i="6" s="1"/>
  <c r="B551" i="6"/>
  <c r="B550" i="6"/>
  <c r="D549" i="6"/>
  <c r="C549" i="6"/>
  <c r="B549" i="6"/>
  <c r="B548" i="6"/>
  <c r="B547" i="6"/>
  <c r="C547" i="6" s="1"/>
  <c r="D546" i="6"/>
  <c r="C546" i="6"/>
  <c r="B546" i="6"/>
  <c r="B545" i="6"/>
  <c r="D544" i="6"/>
  <c r="C544" i="6"/>
  <c r="B544" i="6"/>
  <c r="C545" i="6" s="1"/>
  <c r="B543" i="6"/>
  <c r="B542" i="6"/>
  <c r="B541" i="6"/>
  <c r="D541" i="6" s="1"/>
  <c r="B540" i="6"/>
  <c r="B539" i="6"/>
  <c r="B538" i="6"/>
  <c r="C538" i="6" s="1"/>
  <c r="D537" i="6"/>
  <c r="B537" i="6"/>
  <c r="C536" i="6"/>
  <c r="B536" i="6"/>
  <c r="D535" i="6"/>
  <c r="C535" i="6"/>
  <c r="B535" i="6"/>
  <c r="B534" i="6"/>
  <c r="B533" i="6"/>
  <c r="D532" i="6"/>
  <c r="C532" i="6"/>
  <c r="B532" i="6"/>
  <c r="B531" i="6"/>
  <c r="B530" i="6"/>
  <c r="D530" i="6" s="1"/>
  <c r="D529" i="6"/>
  <c r="C529" i="6"/>
  <c r="B529" i="6"/>
  <c r="B528" i="6"/>
  <c r="D528" i="6" s="1"/>
  <c r="D527" i="6"/>
  <c r="B527" i="6"/>
  <c r="C528" i="6" s="1"/>
  <c r="D526" i="6"/>
  <c r="B526" i="6"/>
  <c r="C526" i="6" s="1"/>
  <c r="B525" i="6"/>
  <c r="D525" i="6" s="1"/>
  <c r="B524" i="6"/>
  <c r="C523" i="6"/>
  <c r="B523" i="6"/>
  <c r="C522" i="6"/>
  <c r="B522" i="6"/>
  <c r="C521" i="6"/>
  <c r="B521" i="6"/>
  <c r="D520" i="6"/>
  <c r="B520" i="6"/>
  <c r="B519" i="6"/>
  <c r="D518" i="6"/>
  <c r="B518" i="6"/>
  <c r="C518" i="6" s="1"/>
  <c r="D517" i="6"/>
  <c r="B517" i="6"/>
  <c r="B516" i="6"/>
  <c r="C515" i="6"/>
  <c r="B515" i="6"/>
  <c r="D515" i="6" s="1"/>
  <c r="D514" i="6"/>
  <c r="C514" i="6"/>
  <c r="B514" i="6"/>
  <c r="B513" i="6"/>
  <c r="B512" i="6"/>
  <c r="B511" i="6"/>
  <c r="B510" i="6"/>
  <c r="B509" i="6"/>
  <c r="D521" i="6" s="1"/>
  <c r="B508" i="6"/>
  <c r="B507" i="6"/>
  <c r="D506" i="6"/>
  <c r="B506" i="6"/>
  <c r="C506" i="6" s="1"/>
  <c r="D505" i="6"/>
  <c r="B505" i="6"/>
  <c r="B504" i="6"/>
  <c r="C504" i="6" s="1"/>
  <c r="D503" i="6"/>
  <c r="C503" i="6"/>
  <c r="B503" i="6"/>
  <c r="B502" i="6"/>
  <c r="C501" i="6"/>
  <c r="B501" i="6"/>
  <c r="D500" i="6"/>
  <c r="C500" i="6"/>
  <c r="B500" i="6"/>
  <c r="B499" i="6"/>
  <c r="D511" i="6" s="1"/>
  <c r="B498" i="6"/>
  <c r="C498" i="6" s="1"/>
  <c r="D497" i="6"/>
  <c r="C497" i="6"/>
  <c r="B497" i="6"/>
  <c r="B496" i="6"/>
  <c r="D495" i="6"/>
  <c r="C495" i="6"/>
  <c r="B495" i="6"/>
  <c r="C496" i="6" s="1"/>
  <c r="D494" i="6"/>
  <c r="B494" i="6"/>
  <c r="C494" i="6" s="1"/>
  <c r="B493" i="6"/>
  <c r="D493" i="6" s="1"/>
  <c r="B492" i="6"/>
  <c r="C493" i="6" s="1"/>
  <c r="C491" i="6"/>
  <c r="B491" i="6"/>
  <c r="C490" i="6"/>
  <c r="B490" i="6"/>
  <c r="D490" i="6" s="1"/>
  <c r="C489" i="6"/>
  <c r="B489" i="6"/>
  <c r="D488" i="6"/>
  <c r="B488" i="6"/>
  <c r="B487" i="6"/>
  <c r="B486" i="6"/>
  <c r="C486" i="6" s="1"/>
  <c r="D485" i="6"/>
  <c r="B485" i="6"/>
  <c r="B484" i="6"/>
  <c r="C483" i="6"/>
  <c r="B483" i="6"/>
  <c r="D483" i="6" s="1"/>
  <c r="D482" i="6"/>
  <c r="C482" i="6"/>
  <c r="B482" i="6"/>
  <c r="B481" i="6"/>
  <c r="C480" i="6"/>
  <c r="B480" i="6"/>
  <c r="C481" i="6" s="1"/>
  <c r="B479" i="6"/>
  <c r="C479" i="6" s="1"/>
  <c r="B478" i="6"/>
  <c r="C477" i="6"/>
  <c r="B477" i="6"/>
  <c r="D477" i="6" s="1"/>
  <c r="B476" i="6"/>
  <c r="B475" i="6"/>
  <c r="D474" i="6"/>
  <c r="C474" i="6"/>
  <c r="B474" i="6"/>
  <c r="D473" i="6"/>
  <c r="B473" i="6"/>
  <c r="B472" i="6"/>
  <c r="D471" i="6"/>
  <c r="C471" i="6"/>
  <c r="B471" i="6"/>
  <c r="B470" i="6"/>
  <c r="B469" i="6"/>
  <c r="D468" i="6"/>
  <c r="C468" i="6"/>
  <c r="B468" i="6"/>
  <c r="B467" i="6"/>
  <c r="D479" i="6" s="1"/>
  <c r="C466" i="6"/>
  <c r="B466" i="6"/>
  <c r="D465" i="6"/>
  <c r="C465" i="6"/>
  <c r="B465" i="6"/>
  <c r="B464" i="6"/>
  <c r="B463" i="6"/>
  <c r="C464" i="6" s="1"/>
  <c r="D462" i="6"/>
  <c r="B462" i="6"/>
  <c r="C462" i="6" s="1"/>
  <c r="B461" i="6"/>
  <c r="D461" i="6" s="1"/>
  <c r="C460" i="6"/>
  <c r="B460" i="6"/>
  <c r="C459" i="6"/>
  <c r="B459" i="6"/>
  <c r="D459" i="6" s="1"/>
  <c r="C458" i="6"/>
  <c r="B458" i="6"/>
  <c r="C457" i="6"/>
  <c r="B457" i="6"/>
  <c r="D456" i="6"/>
  <c r="B456" i="6"/>
  <c r="B455" i="6"/>
  <c r="B454" i="6"/>
  <c r="C454" i="6" s="1"/>
  <c r="D453" i="6"/>
  <c r="B453" i="6"/>
  <c r="B452" i="6"/>
  <c r="B451" i="6"/>
  <c r="D451" i="6" s="1"/>
  <c r="D450" i="6"/>
  <c r="C450" i="6"/>
  <c r="B450" i="6"/>
  <c r="B449" i="6"/>
  <c r="C448" i="6"/>
  <c r="B448" i="6"/>
  <c r="B447" i="6"/>
  <c r="B446" i="6"/>
  <c r="B445" i="6"/>
  <c r="C445" i="6" s="1"/>
  <c r="D444" i="6"/>
  <c r="B444" i="6"/>
  <c r="B443" i="6"/>
  <c r="D442" i="6"/>
  <c r="C442" i="6"/>
  <c r="B442" i="6"/>
  <c r="D441" i="6"/>
  <c r="B441" i="6"/>
  <c r="B440" i="6"/>
  <c r="D439" i="6"/>
  <c r="C439" i="6"/>
  <c r="B439" i="6"/>
  <c r="B438" i="6"/>
  <c r="B437" i="6"/>
  <c r="D436" i="6"/>
  <c r="C436" i="6"/>
  <c r="B436" i="6"/>
  <c r="B435" i="6"/>
  <c r="D447" i="6" s="1"/>
  <c r="C434" i="6"/>
  <c r="B434" i="6"/>
  <c r="D433" i="6"/>
  <c r="C433" i="6"/>
  <c r="B433" i="6"/>
  <c r="B432" i="6"/>
  <c r="B431" i="6"/>
  <c r="C432" i="6" s="1"/>
  <c r="D430" i="6"/>
  <c r="B430" i="6"/>
  <c r="C430" i="6" s="1"/>
  <c r="B429" i="6"/>
  <c r="D429" i="6" s="1"/>
  <c r="C428" i="6"/>
  <c r="B428" i="6"/>
  <c r="C427" i="6"/>
  <c r="B427" i="6"/>
  <c r="D427" i="6" s="1"/>
  <c r="C426" i="6"/>
  <c r="B426" i="6"/>
  <c r="C425" i="6"/>
  <c r="B425" i="6"/>
  <c r="D424" i="6"/>
  <c r="B424" i="6"/>
  <c r="B423" i="6"/>
  <c r="B422" i="6"/>
  <c r="C422" i="6" s="1"/>
  <c r="D421" i="6"/>
  <c r="B421" i="6"/>
  <c r="B420" i="6"/>
  <c r="B419" i="6"/>
  <c r="D419" i="6" s="1"/>
  <c r="D418" i="6"/>
  <c r="C418" i="6"/>
  <c r="B418" i="6"/>
  <c r="B417" i="6"/>
  <c r="C416" i="6"/>
  <c r="B416" i="6"/>
  <c r="B415" i="6"/>
  <c r="B414" i="6"/>
  <c r="B413" i="6"/>
  <c r="C413" i="6" s="1"/>
  <c r="D412" i="6"/>
  <c r="B412" i="6"/>
  <c r="B411" i="6"/>
  <c r="D410" i="6"/>
  <c r="C410" i="6"/>
  <c r="B410" i="6"/>
  <c r="D409" i="6"/>
  <c r="B409" i="6"/>
  <c r="B408" i="6"/>
  <c r="D407" i="6"/>
  <c r="C407" i="6"/>
  <c r="B407" i="6"/>
  <c r="B406" i="6"/>
  <c r="B405" i="6"/>
  <c r="D404" i="6"/>
  <c r="C404" i="6"/>
  <c r="B404" i="6"/>
  <c r="B403" i="6"/>
  <c r="D415" i="6" s="1"/>
  <c r="C402" i="6"/>
  <c r="B402" i="6"/>
  <c r="D401" i="6"/>
  <c r="C401" i="6"/>
  <c r="B401" i="6"/>
  <c r="B400" i="6"/>
  <c r="B399" i="6"/>
  <c r="C400" i="6" s="1"/>
  <c r="D398" i="6"/>
  <c r="B398" i="6"/>
  <c r="C398" i="6" s="1"/>
  <c r="B397" i="6"/>
  <c r="C396" i="6"/>
  <c r="B396" i="6"/>
  <c r="C395" i="6"/>
  <c r="B395" i="6"/>
  <c r="C394" i="6"/>
  <c r="B394" i="6"/>
  <c r="D393" i="6"/>
  <c r="C393" i="6"/>
  <c r="B393" i="6"/>
  <c r="B392" i="6"/>
  <c r="B391" i="6"/>
  <c r="B390" i="6"/>
  <c r="C390" i="6" s="1"/>
  <c r="B389" i="6"/>
  <c r="C388" i="6"/>
  <c r="B388" i="6"/>
  <c r="D388" i="6" s="1"/>
  <c r="C387" i="6"/>
  <c r="B387" i="6"/>
  <c r="B386" i="6"/>
  <c r="B385" i="6"/>
  <c r="D384" i="6"/>
  <c r="B384" i="6"/>
  <c r="B383" i="6"/>
  <c r="B382" i="6"/>
  <c r="C382" i="6" s="1"/>
  <c r="B381" i="6"/>
  <c r="B380" i="6"/>
  <c r="D380" i="6" s="1"/>
  <c r="D379" i="6"/>
  <c r="C379" i="6"/>
  <c r="B379" i="6"/>
  <c r="B378" i="6"/>
  <c r="B377" i="6"/>
  <c r="B376" i="6"/>
  <c r="B375" i="6"/>
  <c r="B374" i="6"/>
  <c r="C374" i="6" s="1"/>
  <c r="B373" i="6"/>
  <c r="C372" i="6"/>
  <c r="B372" i="6"/>
  <c r="D372" i="6" s="1"/>
  <c r="C371" i="6"/>
  <c r="B371" i="6"/>
  <c r="B370" i="6"/>
  <c r="B369" i="6"/>
  <c r="D368" i="6"/>
  <c r="B368" i="6"/>
  <c r="B367" i="6"/>
  <c r="B366" i="6"/>
  <c r="C366" i="6" s="1"/>
  <c r="B365" i="6"/>
  <c r="B364" i="6"/>
  <c r="D364" i="6" s="1"/>
  <c r="D363" i="6"/>
  <c r="C363" i="6"/>
  <c r="B363" i="6"/>
  <c r="B362" i="6"/>
  <c r="B361" i="6"/>
  <c r="B360" i="6"/>
  <c r="B359" i="6"/>
  <c r="B358" i="6"/>
  <c r="C358" i="6" s="1"/>
  <c r="B357" i="6"/>
  <c r="C356" i="6"/>
  <c r="B356" i="6"/>
  <c r="D356" i="6" s="1"/>
  <c r="C355" i="6"/>
  <c r="B355" i="6"/>
  <c r="B354" i="6"/>
  <c r="B353" i="6"/>
  <c r="D352" i="6"/>
  <c r="B352" i="6"/>
  <c r="B351" i="6"/>
  <c r="B350" i="6"/>
  <c r="C350" i="6" s="1"/>
  <c r="B349" i="6"/>
  <c r="B348" i="6"/>
  <c r="D348" i="6" s="1"/>
  <c r="D347" i="6"/>
  <c r="C347" i="6"/>
  <c r="B347" i="6"/>
  <c r="B346" i="6"/>
  <c r="B345" i="6"/>
  <c r="B344" i="6"/>
  <c r="B343" i="6"/>
  <c r="B342" i="6"/>
  <c r="C342" i="6" s="1"/>
  <c r="B341" i="6"/>
  <c r="C340" i="6"/>
  <c r="B340" i="6"/>
  <c r="D340" i="6" s="1"/>
  <c r="C339" i="6"/>
  <c r="B339" i="6"/>
  <c r="B338" i="6"/>
  <c r="B337" i="6"/>
  <c r="D336" i="6"/>
  <c r="B336" i="6"/>
  <c r="B335" i="6"/>
  <c r="B334" i="6"/>
  <c r="C334" i="6" s="1"/>
  <c r="B333" i="6"/>
  <c r="B332" i="6"/>
  <c r="D332" i="6" s="1"/>
  <c r="D331" i="6"/>
  <c r="C331" i="6"/>
  <c r="B331" i="6"/>
  <c r="B330" i="6"/>
  <c r="B329" i="6"/>
  <c r="B328" i="6"/>
  <c r="B327" i="6"/>
  <c r="B326" i="6"/>
  <c r="C326" i="6" s="1"/>
  <c r="B325" i="6"/>
  <c r="C324" i="6"/>
  <c r="B324" i="6"/>
  <c r="D324" i="6" s="1"/>
  <c r="C323" i="6"/>
  <c r="B323" i="6"/>
  <c r="B322" i="6"/>
  <c r="B321" i="6"/>
  <c r="D320" i="6"/>
  <c r="B320" i="6"/>
  <c r="B319" i="6"/>
  <c r="B318" i="6"/>
  <c r="C318" i="6" s="1"/>
  <c r="B317" i="6"/>
  <c r="B316" i="6"/>
  <c r="D316" i="6" s="1"/>
  <c r="D315" i="6"/>
  <c r="C315" i="6"/>
  <c r="B315" i="6"/>
  <c r="B314" i="6"/>
  <c r="B313" i="6"/>
  <c r="B312" i="6"/>
  <c r="B311" i="6"/>
  <c r="B310" i="6"/>
  <c r="C310" i="6" s="1"/>
  <c r="B309" i="6"/>
  <c r="C308" i="6"/>
  <c r="B308" i="6"/>
  <c r="D308" i="6" s="1"/>
  <c r="C307" i="6"/>
  <c r="B307" i="6"/>
  <c r="B306" i="6"/>
  <c r="B305" i="6"/>
  <c r="D304" i="6"/>
  <c r="B304" i="6"/>
  <c r="B303" i="6"/>
  <c r="B302" i="6"/>
  <c r="C302" i="6" s="1"/>
  <c r="B301" i="6"/>
  <c r="B300" i="6"/>
  <c r="D299" i="6"/>
  <c r="C299" i="6"/>
  <c r="B299" i="6"/>
  <c r="B298" i="6"/>
  <c r="B297" i="6"/>
  <c r="B296" i="6"/>
  <c r="B295" i="6"/>
  <c r="B294" i="6"/>
  <c r="C294" i="6" s="1"/>
  <c r="B293" i="6"/>
  <c r="C292" i="6"/>
  <c r="B292" i="6"/>
  <c r="D292" i="6" s="1"/>
  <c r="C291" i="6"/>
  <c r="B291" i="6"/>
  <c r="B290" i="6"/>
  <c r="B289" i="6"/>
  <c r="D288" i="6"/>
  <c r="B288" i="6"/>
  <c r="B287" i="6"/>
  <c r="B286" i="6"/>
  <c r="C286" i="6" s="1"/>
  <c r="B285" i="6"/>
  <c r="B284" i="6"/>
  <c r="D283" i="6"/>
  <c r="C283" i="6"/>
  <c r="B283" i="6"/>
  <c r="B282" i="6"/>
  <c r="B281" i="6"/>
  <c r="B280" i="6"/>
  <c r="B279" i="6"/>
  <c r="B278" i="6"/>
  <c r="C278" i="6" s="1"/>
  <c r="B277" i="6"/>
  <c r="C276" i="6"/>
  <c r="B276" i="6"/>
  <c r="D276" i="6" s="1"/>
  <c r="C275" i="6"/>
  <c r="B275" i="6"/>
  <c r="B274" i="6"/>
  <c r="B273" i="6"/>
  <c r="D272" i="6"/>
  <c r="B272" i="6"/>
  <c r="B271" i="6"/>
  <c r="B270" i="6"/>
  <c r="C270" i="6" s="1"/>
  <c r="B269" i="6"/>
  <c r="B268" i="6"/>
  <c r="D267" i="6"/>
  <c r="C267" i="6"/>
  <c r="B267" i="6"/>
  <c r="B266" i="6"/>
  <c r="B265" i="6"/>
  <c r="B264" i="6"/>
  <c r="B263" i="6"/>
  <c r="B262" i="6"/>
  <c r="C262" i="6" s="1"/>
  <c r="B261" i="6"/>
  <c r="C260" i="6"/>
  <c r="B260" i="6"/>
  <c r="D260" i="6" s="1"/>
  <c r="D259" i="6"/>
  <c r="C259" i="6"/>
  <c r="B259" i="6"/>
  <c r="B258" i="6"/>
  <c r="B257" i="6"/>
  <c r="D256" i="6"/>
  <c r="C256" i="6"/>
  <c r="B256" i="6"/>
  <c r="B255" i="6"/>
  <c r="C254" i="6"/>
  <c r="B254" i="6"/>
  <c r="D254" i="6" s="1"/>
  <c r="D253" i="6"/>
  <c r="B253" i="6"/>
  <c r="C253" i="6" s="1"/>
  <c r="C252" i="6"/>
  <c r="B252" i="6"/>
  <c r="D252" i="6" s="1"/>
  <c r="B251" i="6"/>
  <c r="C251" i="6" s="1"/>
  <c r="B250" i="6"/>
  <c r="B249" i="6"/>
  <c r="D248" i="6"/>
  <c r="B248" i="6"/>
  <c r="B247" i="6"/>
  <c r="C248" i="6" s="1"/>
  <c r="B246" i="6"/>
  <c r="D246" i="6" s="1"/>
  <c r="D245" i="6"/>
  <c r="B245" i="6"/>
  <c r="C245" i="6" s="1"/>
  <c r="B244" i="6"/>
  <c r="D244" i="6" s="1"/>
  <c r="B243" i="6"/>
  <c r="B242" i="6"/>
  <c r="D242" i="6" s="1"/>
  <c r="D241" i="6"/>
  <c r="C241" i="6"/>
  <c r="B241" i="6"/>
  <c r="C242" i="6" s="1"/>
  <c r="B240" i="6"/>
  <c r="B239" i="6"/>
  <c r="C238" i="6"/>
  <c r="B238" i="6"/>
  <c r="D238" i="6" s="1"/>
  <c r="B237" i="6"/>
  <c r="C237" i="6" s="1"/>
  <c r="B236" i="6"/>
  <c r="D236" i="6" s="1"/>
  <c r="D235" i="6"/>
  <c r="B235" i="6"/>
  <c r="C236" i="6" s="1"/>
  <c r="B234" i="6"/>
  <c r="D234" i="6" s="1"/>
  <c r="B233" i="6"/>
  <c r="C234" i="6" s="1"/>
  <c r="C232" i="6"/>
  <c r="B232" i="6"/>
  <c r="B231" i="6"/>
  <c r="C231" i="6" s="1"/>
  <c r="B230" i="6"/>
  <c r="B229" i="6"/>
  <c r="C228" i="6"/>
  <c r="B228" i="6"/>
  <c r="B227" i="6"/>
  <c r="C227" i="6" s="1"/>
  <c r="B226" i="6"/>
  <c r="D225" i="6"/>
  <c r="B225" i="6"/>
  <c r="D224" i="6"/>
  <c r="B224" i="6"/>
  <c r="D223" i="6"/>
  <c r="B223" i="6"/>
  <c r="C224" i="6" s="1"/>
  <c r="D222" i="6"/>
  <c r="C222" i="6"/>
  <c r="B222" i="6"/>
  <c r="B221" i="6"/>
  <c r="B220" i="6"/>
  <c r="D220" i="6" s="1"/>
  <c r="C219" i="6"/>
  <c r="B219" i="6"/>
  <c r="D219" i="6" s="1"/>
  <c r="C218" i="6"/>
  <c r="B218" i="6"/>
  <c r="B217" i="6"/>
  <c r="C217" i="6" s="1"/>
  <c r="B216" i="6"/>
  <c r="B215" i="6"/>
  <c r="B214" i="6"/>
  <c r="C214" i="6" s="1"/>
  <c r="B213" i="6"/>
  <c r="C212" i="6"/>
  <c r="B212" i="6"/>
  <c r="D212" i="6" s="1"/>
  <c r="B211" i="6"/>
  <c r="C211" i="6" s="1"/>
  <c r="B210" i="6"/>
  <c r="D209" i="6"/>
  <c r="C209" i="6"/>
  <c r="B209" i="6"/>
  <c r="C210" i="6" s="1"/>
  <c r="B208" i="6"/>
  <c r="D207" i="6"/>
  <c r="B207" i="6"/>
  <c r="C208" i="6" s="1"/>
  <c r="B206" i="6"/>
  <c r="D206" i="6" s="1"/>
  <c r="B205" i="6"/>
  <c r="B204" i="6"/>
  <c r="D204" i="6" s="1"/>
  <c r="B203" i="6"/>
  <c r="C202" i="6"/>
  <c r="B202" i="6"/>
  <c r="D202" i="6" s="1"/>
  <c r="B201" i="6"/>
  <c r="C201" i="6" s="1"/>
  <c r="C200" i="6"/>
  <c r="B200" i="6"/>
  <c r="B199" i="6"/>
  <c r="C199" i="6" s="1"/>
  <c r="B198" i="6"/>
  <c r="C198" i="6" s="1"/>
  <c r="B197" i="6"/>
  <c r="B196" i="6"/>
  <c r="B195" i="6"/>
  <c r="C195" i="6" s="1"/>
  <c r="B194" i="6"/>
  <c r="B193" i="6"/>
  <c r="D192" i="6"/>
  <c r="B192" i="6"/>
  <c r="D191" i="6"/>
  <c r="B191" i="6"/>
  <c r="C192" i="6" s="1"/>
  <c r="B190" i="6"/>
  <c r="D189" i="6"/>
  <c r="B189" i="6"/>
  <c r="B188" i="6"/>
  <c r="D188" i="6" s="1"/>
  <c r="B187" i="6"/>
  <c r="D187" i="6" s="1"/>
  <c r="C186" i="6"/>
  <c r="B186" i="6"/>
  <c r="B185" i="6"/>
  <c r="C185" i="6" s="1"/>
  <c r="C184" i="6"/>
  <c r="B184" i="6"/>
  <c r="B183" i="6"/>
  <c r="C183" i="6" s="1"/>
  <c r="B182" i="6"/>
  <c r="C182" i="6" s="1"/>
  <c r="B181" i="6"/>
  <c r="B180" i="6"/>
  <c r="B179" i="6"/>
  <c r="C179" i="6" s="1"/>
  <c r="B178" i="6"/>
  <c r="C177" i="6"/>
  <c r="B177" i="6"/>
  <c r="C178" i="6" s="1"/>
  <c r="B176" i="6"/>
  <c r="D175" i="6"/>
  <c r="B175" i="6"/>
  <c r="C176" i="6" s="1"/>
  <c r="D174" i="6"/>
  <c r="B174" i="6"/>
  <c r="C174" i="6" s="1"/>
  <c r="B173" i="6"/>
  <c r="B172" i="6"/>
  <c r="D172" i="6" s="1"/>
  <c r="B171" i="6"/>
  <c r="D171" i="6" s="1"/>
  <c r="C170" i="6"/>
  <c r="B170" i="6"/>
  <c r="B169" i="6"/>
  <c r="C169" i="6" s="1"/>
  <c r="B168" i="6"/>
  <c r="B167" i="6"/>
  <c r="B166" i="6"/>
  <c r="B165" i="6"/>
  <c r="B164" i="6"/>
  <c r="D164" i="6" s="1"/>
  <c r="D163" i="6"/>
  <c r="B163" i="6"/>
  <c r="C163" i="6" s="1"/>
  <c r="B162" i="6"/>
  <c r="B161" i="6"/>
  <c r="D160" i="6"/>
  <c r="B160" i="6"/>
  <c r="B159" i="6"/>
  <c r="C158" i="6"/>
  <c r="B158" i="6"/>
  <c r="D158" i="6" s="1"/>
  <c r="B157" i="6"/>
  <c r="D157" i="6" s="1"/>
  <c r="B156" i="6"/>
  <c r="D155" i="6"/>
  <c r="C155" i="6"/>
  <c r="B155" i="6"/>
  <c r="B154" i="6"/>
  <c r="B153" i="6"/>
  <c r="D152" i="6"/>
  <c r="C152" i="6"/>
  <c r="B152" i="6"/>
  <c r="B151" i="6"/>
  <c r="C151" i="6" s="1"/>
  <c r="B150" i="6"/>
  <c r="B149" i="6"/>
  <c r="B148" i="6"/>
  <c r="B147" i="6"/>
  <c r="B146" i="6"/>
  <c r="D146" i="6" s="1"/>
  <c r="B145" i="6"/>
  <c r="C145" i="6" s="1"/>
  <c r="C144" i="6"/>
  <c r="B144" i="6"/>
  <c r="D143" i="6"/>
  <c r="C143" i="6"/>
  <c r="B143" i="6"/>
  <c r="B142" i="6"/>
  <c r="D142" i="6" s="1"/>
  <c r="D141" i="6"/>
  <c r="B141" i="6"/>
  <c r="D140" i="6"/>
  <c r="C140" i="6"/>
  <c r="B140" i="6"/>
  <c r="B139" i="6"/>
  <c r="C138" i="6"/>
  <c r="B138" i="6"/>
  <c r="D137" i="6"/>
  <c r="C137" i="6"/>
  <c r="B137" i="6"/>
  <c r="B136" i="6"/>
  <c r="B135" i="6"/>
  <c r="C136" i="6" s="1"/>
  <c r="D134" i="6"/>
  <c r="B134" i="6"/>
  <c r="C134" i="6" s="1"/>
  <c r="B133" i="6"/>
  <c r="B132" i="6"/>
  <c r="D131" i="6"/>
  <c r="B131" i="6"/>
  <c r="C131" i="6" s="1"/>
  <c r="B130" i="6"/>
  <c r="D129" i="6"/>
  <c r="B129" i="6"/>
  <c r="C130" i="6" s="1"/>
  <c r="D128" i="6"/>
  <c r="B128" i="6"/>
  <c r="B127" i="6"/>
  <c r="B126" i="6"/>
  <c r="C126" i="6" s="1"/>
  <c r="B125" i="6"/>
  <c r="D125" i="6" s="1"/>
  <c r="B124" i="6"/>
  <c r="B123" i="6"/>
  <c r="D123" i="6" s="1"/>
  <c r="B122" i="6"/>
  <c r="C122" i="6" s="1"/>
  <c r="B121" i="6"/>
  <c r="D120" i="6"/>
  <c r="C120" i="6"/>
  <c r="B120" i="6"/>
  <c r="B119" i="6"/>
  <c r="B118" i="6"/>
  <c r="D118" i="6" s="1"/>
  <c r="D117" i="6"/>
  <c r="B117" i="6"/>
  <c r="C117" i="6" s="1"/>
  <c r="B116" i="6"/>
  <c r="C116" i="6" s="1"/>
  <c r="B115" i="6"/>
  <c r="B114" i="6"/>
  <c r="D114" i="6" s="1"/>
  <c r="B113" i="6"/>
  <c r="C113" i="6" s="1"/>
  <c r="C112" i="6"/>
  <c r="B112" i="6"/>
  <c r="D111" i="6"/>
  <c r="C111" i="6"/>
  <c r="B111" i="6"/>
  <c r="B110" i="6"/>
  <c r="D110" i="6" s="1"/>
  <c r="B109" i="6"/>
  <c r="D108" i="6"/>
  <c r="C108" i="6"/>
  <c r="B108" i="6"/>
  <c r="B107" i="6"/>
  <c r="B106" i="6"/>
  <c r="D105" i="6"/>
  <c r="C105" i="6"/>
  <c r="B105" i="6"/>
  <c r="B104" i="6"/>
  <c r="D103" i="6"/>
  <c r="B103" i="6"/>
  <c r="C104" i="6" s="1"/>
  <c r="D102" i="6"/>
  <c r="B102" i="6"/>
  <c r="C102" i="6" s="1"/>
  <c r="B101" i="6"/>
  <c r="D100" i="6"/>
  <c r="B100" i="6"/>
  <c r="D112" i="6" s="1"/>
  <c r="D99" i="6"/>
  <c r="B99" i="6"/>
  <c r="C99" i="6" s="1"/>
  <c r="B98" i="6"/>
  <c r="B97" i="6"/>
  <c r="C98" i="6" s="1"/>
  <c r="D96" i="6"/>
  <c r="B96" i="6"/>
  <c r="B95" i="6"/>
  <c r="C94" i="6"/>
  <c r="B94" i="6"/>
  <c r="D94" i="6" s="1"/>
  <c r="B93" i="6"/>
  <c r="D93" i="6" s="1"/>
  <c r="B92" i="6"/>
  <c r="D91" i="6"/>
  <c r="C91" i="6"/>
  <c r="B91" i="6"/>
  <c r="B90" i="6"/>
  <c r="B89" i="6"/>
  <c r="D88" i="6"/>
  <c r="C88" i="6"/>
  <c r="B88" i="6"/>
  <c r="B87" i="6"/>
  <c r="C87" i="6" s="1"/>
  <c r="B86" i="6"/>
  <c r="B85" i="6"/>
  <c r="B84" i="6"/>
  <c r="C84" i="6" s="1"/>
  <c r="C83" i="6"/>
  <c r="B83" i="6"/>
  <c r="B82" i="6"/>
  <c r="D82" i="6" s="1"/>
  <c r="B81" i="6"/>
  <c r="C81" i="6" s="1"/>
  <c r="C80" i="6"/>
  <c r="B80" i="6"/>
  <c r="D79" i="6"/>
  <c r="C79" i="6"/>
  <c r="B79" i="6"/>
  <c r="B78" i="6"/>
  <c r="D78" i="6" s="1"/>
  <c r="D77" i="6"/>
  <c r="B77" i="6"/>
  <c r="D76" i="6"/>
  <c r="C76" i="6"/>
  <c r="B76" i="6"/>
  <c r="B75" i="6"/>
  <c r="D75" i="6" s="1"/>
  <c r="C74" i="6"/>
  <c r="B74" i="6"/>
  <c r="D73" i="6"/>
  <c r="C73" i="6"/>
  <c r="B73" i="6"/>
  <c r="B72" i="6"/>
  <c r="B71" i="6"/>
  <c r="C72" i="6" s="1"/>
  <c r="D70" i="6"/>
  <c r="B70" i="6"/>
  <c r="C70" i="6" s="1"/>
  <c r="B69" i="6"/>
  <c r="B68" i="6"/>
  <c r="D67" i="6"/>
  <c r="B67" i="6"/>
  <c r="C67" i="6" s="1"/>
  <c r="B66" i="6"/>
  <c r="D65" i="6"/>
  <c r="B65" i="6"/>
  <c r="C66" i="6" s="1"/>
  <c r="D64" i="6"/>
  <c r="B64" i="6"/>
  <c r="B63" i="6"/>
  <c r="D62" i="6"/>
  <c r="B62" i="6"/>
  <c r="C62" i="6" s="1"/>
  <c r="B61" i="6"/>
  <c r="B60" i="6"/>
  <c r="B59" i="6"/>
  <c r="D59" i="6" s="1"/>
  <c r="B58" i="6"/>
  <c r="C58" i="6" s="1"/>
  <c r="B57" i="6"/>
  <c r="D56" i="6"/>
  <c r="B56" i="6"/>
  <c r="C56" i="6" s="1"/>
  <c r="B55" i="6"/>
  <c r="C55" i="6" s="1"/>
  <c r="B54" i="6"/>
  <c r="D54" i="6" s="1"/>
  <c r="D53" i="6"/>
  <c r="C53" i="6"/>
  <c r="B53" i="6"/>
  <c r="B52" i="6"/>
  <c r="C51" i="6"/>
  <c r="B51" i="6"/>
  <c r="B50" i="6"/>
  <c r="C50" i="6" s="1"/>
  <c r="B49" i="6"/>
  <c r="D48" i="6"/>
  <c r="B48" i="6"/>
  <c r="C48" i="6" s="1"/>
  <c r="B47" i="6"/>
  <c r="C47" i="6" s="1"/>
  <c r="C46" i="6"/>
  <c r="B46" i="6"/>
  <c r="D46" i="6" s="1"/>
  <c r="D45" i="6"/>
  <c r="C45" i="6"/>
  <c r="B45" i="6"/>
  <c r="B44" i="6"/>
  <c r="B43" i="6"/>
  <c r="D42" i="6"/>
  <c r="B42" i="6"/>
  <c r="C42" i="6" s="1"/>
  <c r="B41" i="6"/>
  <c r="D40" i="6"/>
  <c r="B40" i="6"/>
  <c r="C40" i="6" s="1"/>
  <c r="B39" i="6"/>
  <c r="B38" i="6"/>
  <c r="D38" i="6" s="1"/>
  <c r="D37" i="6"/>
  <c r="C37" i="6"/>
  <c r="B37" i="6"/>
  <c r="B36" i="6"/>
  <c r="B35" i="6"/>
  <c r="D34" i="6"/>
  <c r="B34" i="6"/>
  <c r="C34" i="6" s="1"/>
  <c r="B33" i="6"/>
  <c r="D32" i="6"/>
  <c r="B32" i="6"/>
  <c r="C32" i="6" s="1"/>
  <c r="B31" i="6"/>
  <c r="B30" i="6"/>
  <c r="D30" i="6" s="1"/>
  <c r="D29" i="6"/>
  <c r="C29" i="6"/>
  <c r="B29" i="6"/>
  <c r="B28" i="6"/>
  <c r="B27" i="6"/>
  <c r="D26" i="6"/>
  <c r="B26" i="6"/>
  <c r="C26" i="6" s="1"/>
  <c r="B25" i="6"/>
  <c r="B24" i="6"/>
  <c r="C24" i="6" s="1"/>
  <c r="B23" i="6"/>
  <c r="C23" i="6" s="1"/>
  <c r="C22" i="6"/>
  <c r="B22" i="6"/>
  <c r="D22" i="6" s="1"/>
  <c r="C21" i="6"/>
  <c r="B21" i="6"/>
  <c r="B20" i="6"/>
  <c r="B19" i="6"/>
  <c r="D18" i="6"/>
  <c r="B18" i="6"/>
  <c r="C18" i="6" s="1"/>
  <c r="B17" i="6"/>
  <c r="C16" i="6"/>
  <c r="B16" i="6"/>
  <c r="C15" i="6"/>
  <c r="B15" i="6"/>
  <c r="B14" i="6"/>
  <c r="C14" i="6" s="1"/>
  <c r="B13" i="6"/>
  <c r="C13" i="6" s="1"/>
  <c r="C12" i="6"/>
  <c r="B12" i="6"/>
  <c r="D24" i="6" s="1"/>
  <c r="C11" i="6"/>
  <c r="B11" i="6"/>
  <c r="B10" i="6"/>
  <c r="B9" i="6"/>
  <c r="C9" i="6" s="1"/>
  <c r="C8" i="6"/>
  <c r="B8" i="6"/>
  <c r="C7" i="6"/>
  <c r="B7" i="6"/>
  <c r="B6" i="6"/>
  <c r="C6" i="6" s="1"/>
  <c r="B5" i="6"/>
  <c r="B665" i="5"/>
  <c r="D665" i="5" s="1"/>
  <c r="D664" i="5"/>
  <c r="B664" i="5"/>
  <c r="C664" i="5" s="1"/>
  <c r="B663" i="5"/>
  <c r="D663" i="5" s="1"/>
  <c r="B662" i="5"/>
  <c r="B661" i="5"/>
  <c r="B660" i="5"/>
  <c r="D660" i="5" s="1"/>
  <c r="C659" i="5"/>
  <c r="B659" i="5"/>
  <c r="B658" i="5"/>
  <c r="D658" i="5" s="1"/>
  <c r="B657" i="5"/>
  <c r="C658" i="5" s="1"/>
  <c r="D656" i="5"/>
  <c r="B656" i="5"/>
  <c r="C656" i="5" s="1"/>
  <c r="B655" i="5"/>
  <c r="D654" i="5"/>
  <c r="C654" i="5"/>
  <c r="B654" i="5"/>
  <c r="B653" i="5"/>
  <c r="B652" i="5"/>
  <c r="D652" i="5" s="1"/>
  <c r="C651" i="5"/>
  <c r="B651" i="5"/>
  <c r="C650" i="5"/>
  <c r="B650" i="5"/>
  <c r="D650" i="5" s="1"/>
  <c r="D649" i="5"/>
  <c r="B649" i="5"/>
  <c r="C649" i="5" s="1"/>
  <c r="B648" i="5"/>
  <c r="B647" i="5"/>
  <c r="D646" i="5"/>
  <c r="C646" i="5"/>
  <c r="B646" i="5"/>
  <c r="B645" i="5"/>
  <c r="B644" i="5"/>
  <c r="D644" i="5" s="1"/>
  <c r="D643" i="5"/>
  <c r="C643" i="5"/>
  <c r="B643" i="5"/>
  <c r="C642" i="5"/>
  <c r="B642" i="5"/>
  <c r="B641" i="5"/>
  <c r="C641" i="5" s="1"/>
  <c r="B640" i="5"/>
  <c r="B639" i="5"/>
  <c r="D638" i="5"/>
  <c r="C638" i="5"/>
  <c r="B638" i="5"/>
  <c r="B637" i="5"/>
  <c r="C636" i="5"/>
  <c r="B636" i="5"/>
  <c r="D635" i="5"/>
  <c r="C635" i="5"/>
  <c r="B635" i="5"/>
  <c r="B634" i="5"/>
  <c r="B633" i="5"/>
  <c r="D632" i="5"/>
  <c r="B632" i="5"/>
  <c r="C632" i="5" s="1"/>
  <c r="B631" i="5"/>
  <c r="D631" i="5" s="1"/>
  <c r="B630" i="5"/>
  <c r="B629" i="5"/>
  <c r="B628" i="5"/>
  <c r="D628" i="5" s="1"/>
  <c r="C627" i="5"/>
  <c r="B627" i="5"/>
  <c r="B626" i="5"/>
  <c r="D626" i="5" s="1"/>
  <c r="B625" i="5"/>
  <c r="C626" i="5" s="1"/>
  <c r="D624" i="5"/>
  <c r="B624" i="5"/>
  <c r="C624" i="5" s="1"/>
  <c r="B623" i="5"/>
  <c r="B622" i="5"/>
  <c r="C622" i="5" s="1"/>
  <c r="B621" i="5"/>
  <c r="B620" i="5"/>
  <c r="D620" i="5" s="1"/>
  <c r="C619" i="5"/>
  <c r="B619" i="5"/>
  <c r="C618" i="5"/>
  <c r="B618" i="5"/>
  <c r="D618" i="5" s="1"/>
  <c r="D617" i="5"/>
  <c r="B617" i="5"/>
  <c r="C617" i="5" s="1"/>
  <c r="B616" i="5"/>
  <c r="B615" i="5"/>
  <c r="D614" i="5"/>
  <c r="C614" i="5"/>
  <c r="B614" i="5"/>
  <c r="B613" i="5"/>
  <c r="B612" i="5"/>
  <c r="D612" i="5" s="1"/>
  <c r="D611" i="5"/>
  <c r="C611" i="5"/>
  <c r="B611" i="5"/>
  <c r="C610" i="5"/>
  <c r="B610" i="5"/>
  <c r="B609" i="5"/>
  <c r="C609" i="5" s="1"/>
  <c r="B608" i="5"/>
  <c r="B607" i="5"/>
  <c r="D606" i="5"/>
  <c r="C606" i="5"/>
  <c r="B606" i="5"/>
  <c r="B605" i="5"/>
  <c r="B604" i="5"/>
  <c r="D603" i="5"/>
  <c r="C603" i="5"/>
  <c r="B603" i="5"/>
  <c r="B602" i="5"/>
  <c r="C601" i="5"/>
  <c r="B601" i="5"/>
  <c r="D600" i="5"/>
  <c r="B600" i="5"/>
  <c r="C600" i="5" s="1"/>
  <c r="B599" i="5"/>
  <c r="D599" i="5" s="1"/>
  <c r="B598" i="5"/>
  <c r="B597" i="5"/>
  <c r="B596" i="5"/>
  <c r="D596" i="5" s="1"/>
  <c r="C595" i="5"/>
  <c r="B595" i="5"/>
  <c r="B594" i="5"/>
  <c r="D594" i="5" s="1"/>
  <c r="B593" i="5"/>
  <c r="C594" i="5" s="1"/>
  <c r="D592" i="5"/>
  <c r="B592" i="5"/>
  <c r="C592" i="5" s="1"/>
  <c r="B591" i="5"/>
  <c r="B590" i="5"/>
  <c r="D590" i="5" s="1"/>
  <c r="B589" i="5"/>
  <c r="B588" i="5"/>
  <c r="D588" i="5" s="1"/>
  <c r="C587" i="5"/>
  <c r="B587" i="5"/>
  <c r="C586" i="5"/>
  <c r="B586" i="5"/>
  <c r="D586" i="5" s="1"/>
  <c r="D585" i="5"/>
  <c r="B585" i="5"/>
  <c r="C585" i="5" s="1"/>
  <c r="B584" i="5"/>
  <c r="B583" i="5"/>
  <c r="D582" i="5"/>
  <c r="C582" i="5"/>
  <c r="B582" i="5"/>
  <c r="B581" i="5"/>
  <c r="B580" i="5"/>
  <c r="D580" i="5" s="1"/>
  <c r="D579" i="5"/>
  <c r="C579" i="5"/>
  <c r="B579" i="5"/>
  <c r="C578" i="5"/>
  <c r="B578" i="5"/>
  <c r="B577" i="5"/>
  <c r="C577" i="5" s="1"/>
  <c r="D576" i="5"/>
  <c r="B576" i="5"/>
  <c r="B575" i="5"/>
  <c r="C574" i="5"/>
  <c r="B574" i="5"/>
  <c r="B573" i="5"/>
  <c r="B572" i="5"/>
  <c r="D571" i="5"/>
  <c r="C571" i="5"/>
  <c r="B571" i="5"/>
  <c r="B570" i="5"/>
  <c r="C569" i="5"/>
  <c r="B569" i="5"/>
  <c r="D568" i="5"/>
  <c r="B568" i="5"/>
  <c r="C568" i="5" s="1"/>
  <c r="D567" i="5"/>
  <c r="B567" i="5"/>
  <c r="B566" i="5"/>
  <c r="C565" i="5"/>
  <c r="B565" i="5"/>
  <c r="C564" i="5"/>
  <c r="B564" i="5"/>
  <c r="C563" i="5"/>
  <c r="B563" i="5"/>
  <c r="D562" i="5"/>
  <c r="C562" i="5"/>
  <c r="B562" i="5"/>
  <c r="D574" i="5" s="1"/>
  <c r="D561" i="5"/>
  <c r="B561" i="5"/>
  <c r="B560" i="5"/>
  <c r="C560" i="5" s="1"/>
  <c r="D559" i="5"/>
  <c r="C559" i="5"/>
  <c r="B559" i="5"/>
  <c r="B558" i="5"/>
  <c r="C558" i="5" s="1"/>
  <c r="C557" i="5"/>
  <c r="B557" i="5"/>
  <c r="D556" i="5"/>
  <c r="C556" i="5"/>
  <c r="B556" i="5"/>
  <c r="B555" i="5"/>
  <c r="C554" i="5"/>
  <c r="B554" i="5"/>
  <c r="C555" i="5" s="1"/>
  <c r="D553" i="5"/>
  <c r="B553" i="5"/>
  <c r="C553" i="5" s="1"/>
  <c r="B552" i="5"/>
  <c r="D564" i="5" s="1"/>
  <c r="B551" i="5"/>
  <c r="D563" i="5" s="1"/>
  <c r="D550" i="5"/>
  <c r="B550" i="5"/>
  <c r="C550" i="5" s="1"/>
  <c r="B549" i="5"/>
  <c r="B548" i="5"/>
  <c r="D548" i="5" s="1"/>
  <c r="D547" i="5"/>
  <c r="B547" i="5"/>
  <c r="B546" i="5"/>
  <c r="B545" i="5"/>
  <c r="C545" i="5" s="1"/>
  <c r="B544" i="5"/>
  <c r="D544" i="5" s="1"/>
  <c r="B543" i="5"/>
  <c r="B542" i="5"/>
  <c r="B541" i="5"/>
  <c r="D541" i="5" s="1"/>
  <c r="B540" i="5"/>
  <c r="D539" i="5"/>
  <c r="C539" i="5"/>
  <c r="B539" i="5"/>
  <c r="B538" i="5"/>
  <c r="B537" i="5"/>
  <c r="D536" i="5"/>
  <c r="B536" i="5"/>
  <c r="C536" i="5" s="1"/>
  <c r="D535" i="5"/>
  <c r="B535" i="5"/>
  <c r="B534" i="5"/>
  <c r="B533" i="5"/>
  <c r="C532" i="5"/>
  <c r="B532" i="5"/>
  <c r="C531" i="5"/>
  <c r="B531" i="5"/>
  <c r="D530" i="5"/>
  <c r="C530" i="5"/>
  <c r="B530" i="5"/>
  <c r="D529" i="5"/>
  <c r="B529" i="5"/>
  <c r="B528" i="5"/>
  <c r="C528" i="5" s="1"/>
  <c r="D527" i="5"/>
  <c r="C527" i="5"/>
  <c r="B527" i="5"/>
  <c r="B526" i="5"/>
  <c r="C526" i="5" s="1"/>
  <c r="C525" i="5"/>
  <c r="B525" i="5"/>
  <c r="D525" i="5" s="1"/>
  <c r="D524" i="5"/>
  <c r="C524" i="5"/>
  <c r="B524" i="5"/>
  <c r="B523" i="5"/>
  <c r="B522" i="5"/>
  <c r="D521" i="5"/>
  <c r="B521" i="5"/>
  <c r="C521" i="5" s="1"/>
  <c r="B520" i="5"/>
  <c r="D532" i="5" s="1"/>
  <c r="B519" i="5"/>
  <c r="D531" i="5" s="1"/>
  <c r="D518" i="5"/>
  <c r="B518" i="5"/>
  <c r="C518" i="5" s="1"/>
  <c r="B517" i="5"/>
  <c r="C516" i="5"/>
  <c r="B516" i="5"/>
  <c r="D516" i="5" s="1"/>
  <c r="D515" i="5"/>
  <c r="B515" i="5"/>
  <c r="B514" i="5"/>
  <c r="C513" i="5"/>
  <c r="B513" i="5"/>
  <c r="B512" i="5"/>
  <c r="D512" i="5" s="1"/>
  <c r="B511" i="5"/>
  <c r="B510" i="5"/>
  <c r="B509" i="5"/>
  <c r="D509" i="5" s="1"/>
  <c r="B508" i="5"/>
  <c r="D507" i="5"/>
  <c r="C507" i="5"/>
  <c r="B507" i="5"/>
  <c r="B506" i="5"/>
  <c r="B505" i="5"/>
  <c r="D504" i="5"/>
  <c r="B504" i="5"/>
  <c r="C504" i="5" s="1"/>
  <c r="D503" i="5"/>
  <c r="B503" i="5"/>
  <c r="B502" i="5"/>
  <c r="B501" i="5"/>
  <c r="C500" i="5"/>
  <c r="B500" i="5"/>
  <c r="C499" i="5"/>
  <c r="B499" i="5"/>
  <c r="D498" i="5"/>
  <c r="C498" i="5"/>
  <c r="B498" i="5"/>
  <c r="D497" i="5"/>
  <c r="B497" i="5"/>
  <c r="C497" i="5" s="1"/>
  <c r="D496" i="5"/>
  <c r="B496" i="5"/>
  <c r="C496" i="5" s="1"/>
  <c r="D495" i="5"/>
  <c r="C495" i="5"/>
  <c r="B495" i="5"/>
  <c r="B494" i="5"/>
  <c r="B493" i="5"/>
  <c r="D493" i="5" s="1"/>
  <c r="D492" i="5"/>
  <c r="C492" i="5"/>
  <c r="B492" i="5"/>
  <c r="B491" i="5"/>
  <c r="B490" i="5"/>
  <c r="D489" i="5"/>
  <c r="B489" i="5"/>
  <c r="C489" i="5" s="1"/>
  <c r="B488" i="5"/>
  <c r="D500" i="5" s="1"/>
  <c r="B487" i="5"/>
  <c r="D499" i="5" s="1"/>
  <c r="D486" i="5"/>
  <c r="B486" i="5"/>
  <c r="C486" i="5" s="1"/>
  <c r="B485" i="5"/>
  <c r="B484" i="5"/>
  <c r="C484" i="5" s="1"/>
  <c r="D483" i="5"/>
  <c r="B483" i="5"/>
  <c r="B482" i="5"/>
  <c r="D481" i="5"/>
  <c r="C481" i="5"/>
  <c r="B481" i="5"/>
  <c r="B480" i="5"/>
  <c r="D480" i="5" s="1"/>
  <c r="B479" i="5"/>
  <c r="B478" i="5"/>
  <c r="D478" i="5" s="1"/>
  <c r="B477" i="5"/>
  <c r="D477" i="5" s="1"/>
  <c r="B476" i="5"/>
  <c r="D475" i="5"/>
  <c r="C475" i="5"/>
  <c r="B475" i="5"/>
  <c r="B474" i="5"/>
  <c r="B473" i="5"/>
  <c r="B472" i="5"/>
  <c r="D471" i="5"/>
  <c r="B471" i="5"/>
  <c r="B470" i="5"/>
  <c r="B469" i="5"/>
  <c r="D469" i="5" s="1"/>
  <c r="C468" i="5"/>
  <c r="B468" i="5"/>
  <c r="C467" i="5"/>
  <c r="B467" i="5"/>
  <c r="D466" i="5"/>
  <c r="C466" i="5"/>
  <c r="B466" i="5"/>
  <c r="D465" i="5"/>
  <c r="B465" i="5"/>
  <c r="C465" i="5" s="1"/>
  <c r="D464" i="5"/>
  <c r="B464" i="5"/>
  <c r="C464" i="5" s="1"/>
  <c r="D463" i="5"/>
  <c r="C463" i="5"/>
  <c r="B463" i="5"/>
  <c r="B462" i="5"/>
  <c r="B461" i="5"/>
  <c r="D460" i="5"/>
  <c r="C460" i="5"/>
  <c r="B460" i="5"/>
  <c r="B459" i="5"/>
  <c r="B458" i="5"/>
  <c r="D457" i="5"/>
  <c r="B457" i="5"/>
  <c r="C457" i="5" s="1"/>
  <c r="B456" i="5"/>
  <c r="D468" i="5" s="1"/>
  <c r="B455" i="5"/>
  <c r="D467" i="5" s="1"/>
  <c r="D454" i="5"/>
  <c r="B454" i="5"/>
  <c r="C454" i="5" s="1"/>
  <c r="B453" i="5"/>
  <c r="D452" i="5"/>
  <c r="C452" i="5"/>
  <c r="B452" i="5"/>
  <c r="D451" i="5"/>
  <c r="B451" i="5"/>
  <c r="B450" i="5"/>
  <c r="B449" i="5"/>
  <c r="D449" i="5" s="1"/>
  <c r="B448" i="5"/>
  <c r="D448" i="5" s="1"/>
  <c r="B447" i="5"/>
  <c r="B446" i="5"/>
  <c r="D446" i="5" s="1"/>
  <c r="B445" i="5"/>
  <c r="D445" i="5" s="1"/>
  <c r="B444" i="5"/>
  <c r="D443" i="5"/>
  <c r="C443" i="5"/>
  <c r="B443" i="5"/>
  <c r="B442" i="5"/>
  <c r="B441" i="5"/>
  <c r="B440" i="5"/>
  <c r="C440" i="5" s="1"/>
  <c r="B439" i="5"/>
  <c r="C438" i="5"/>
  <c r="B438" i="5"/>
  <c r="B437" i="5"/>
  <c r="D437" i="5" s="1"/>
  <c r="C436" i="5"/>
  <c r="B436" i="5"/>
  <c r="C435" i="5"/>
  <c r="B435" i="5"/>
  <c r="D434" i="5"/>
  <c r="C434" i="5"/>
  <c r="B434" i="5"/>
  <c r="B433" i="5"/>
  <c r="B432" i="5"/>
  <c r="D431" i="5"/>
  <c r="C431" i="5"/>
  <c r="B431" i="5"/>
  <c r="B430" i="5"/>
  <c r="B429" i="5"/>
  <c r="D429" i="5" s="1"/>
  <c r="C428" i="5"/>
  <c r="B428" i="5"/>
  <c r="B427" i="5"/>
  <c r="C427" i="5" s="1"/>
  <c r="D426" i="5"/>
  <c r="B426" i="5"/>
  <c r="C426" i="5" s="1"/>
  <c r="B425" i="5"/>
  <c r="B424" i="5"/>
  <c r="D423" i="5"/>
  <c r="C423" i="5"/>
  <c r="B423" i="5"/>
  <c r="D435" i="5" s="1"/>
  <c r="B422" i="5"/>
  <c r="B421" i="5"/>
  <c r="C420" i="5"/>
  <c r="B420" i="5"/>
  <c r="B419" i="5"/>
  <c r="C419" i="5" s="1"/>
  <c r="D418" i="5"/>
  <c r="B418" i="5"/>
  <c r="D430" i="5" s="1"/>
  <c r="B417" i="5"/>
  <c r="B416" i="5"/>
  <c r="D415" i="5"/>
  <c r="C415" i="5"/>
  <c r="B415" i="5"/>
  <c r="D427" i="5" s="1"/>
  <c r="B414" i="5"/>
  <c r="B413" i="5"/>
  <c r="C412" i="5"/>
  <c r="B412" i="5"/>
  <c r="B411" i="5"/>
  <c r="C411" i="5" s="1"/>
  <c r="D410" i="5"/>
  <c r="B410" i="5"/>
  <c r="D422" i="5" s="1"/>
  <c r="B409" i="5"/>
  <c r="B408" i="5"/>
  <c r="D407" i="5"/>
  <c r="C407" i="5"/>
  <c r="B407" i="5"/>
  <c r="D419" i="5" s="1"/>
  <c r="B406" i="5"/>
  <c r="B405" i="5"/>
  <c r="C404" i="5"/>
  <c r="B404" i="5"/>
  <c r="B403" i="5"/>
  <c r="C403" i="5" s="1"/>
  <c r="D402" i="5"/>
  <c r="B402" i="5"/>
  <c r="D414" i="5" s="1"/>
  <c r="B401" i="5"/>
  <c r="B400" i="5"/>
  <c r="D399" i="5"/>
  <c r="C399" i="5"/>
  <c r="B399" i="5"/>
  <c r="D411" i="5" s="1"/>
  <c r="B398" i="5"/>
  <c r="B397" i="5"/>
  <c r="C396" i="5"/>
  <c r="B396" i="5"/>
  <c r="B395" i="5"/>
  <c r="C395" i="5" s="1"/>
  <c r="D394" i="5"/>
  <c r="B394" i="5"/>
  <c r="D406" i="5" s="1"/>
  <c r="B393" i="5"/>
  <c r="B392" i="5"/>
  <c r="D391" i="5"/>
  <c r="C391" i="5"/>
  <c r="B391" i="5"/>
  <c r="D403" i="5" s="1"/>
  <c r="B390" i="5"/>
  <c r="B389" i="5"/>
  <c r="C388" i="5"/>
  <c r="B388" i="5"/>
  <c r="B387" i="5"/>
  <c r="C387" i="5" s="1"/>
  <c r="D386" i="5"/>
  <c r="B386" i="5"/>
  <c r="D398" i="5" s="1"/>
  <c r="B385" i="5"/>
  <c r="B384" i="5"/>
  <c r="D383" i="5"/>
  <c r="C383" i="5"/>
  <c r="B383" i="5"/>
  <c r="D395" i="5" s="1"/>
  <c r="B382" i="5"/>
  <c r="B381" i="5"/>
  <c r="C380" i="5"/>
  <c r="B380" i="5"/>
  <c r="B379" i="5"/>
  <c r="C379" i="5" s="1"/>
  <c r="D378" i="5"/>
  <c r="B378" i="5"/>
  <c r="D390" i="5" s="1"/>
  <c r="B377" i="5"/>
  <c r="B376" i="5"/>
  <c r="D375" i="5"/>
  <c r="C375" i="5"/>
  <c r="B375" i="5"/>
  <c r="D387" i="5" s="1"/>
  <c r="B374" i="5"/>
  <c r="B373" i="5"/>
  <c r="C372" i="5"/>
  <c r="B372" i="5"/>
  <c r="B371" i="5"/>
  <c r="C371" i="5" s="1"/>
  <c r="D370" i="5"/>
  <c r="B370" i="5"/>
  <c r="D382" i="5" s="1"/>
  <c r="B369" i="5"/>
  <c r="B368" i="5"/>
  <c r="D367" i="5"/>
  <c r="C367" i="5"/>
  <c r="B367" i="5"/>
  <c r="D379" i="5" s="1"/>
  <c r="B366" i="5"/>
  <c r="B365" i="5"/>
  <c r="C364" i="5"/>
  <c r="B364" i="5"/>
  <c r="B363" i="5"/>
  <c r="C363" i="5" s="1"/>
  <c r="D362" i="5"/>
  <c r="B362" i="5"/>
  <c r="D374" i="5" s="1"/>
  <c r="B361" i="5"/>
  <c r="B360" i="5"/>
  <c r="D359" i="5"/>
  <c r="C359" i="5"/>
  <c r="B359" i="5"/>
  <c r="D371" i="5" s="1"/>
  <c r="B358" i="5"/>
  <c r="B357" i="5"/>
  <c r="C356" i="5"/>
  <c r="B356" i="5"/>
  <c r="B355" i="5"/>
  <c r="C355" i="5" s="1"/>
  <c r="D354" i="5"/>
  <c r="B354" i="5"/>
  <c r="D366" i="5" s="1"/>
  <c r="B353" i="5"/>
  <c r="B352" i="5"/>
  <c r="D351" i="5"/>
  <c r="C351" i="5"/>
  <c r="B351" i="5"/>
  <c r="D363" i="5" s="1"/>
  <c r="B350" i="5"/>
  <c r="B349" i="5"/>
  <c r="C348" i="5"/>
  <c r="B348" i="5"/>
  <c r="B347" i="5"/>
  <c r="C347" i="5" s="1"/>
  <c r="D346" i="5"/>
  <c r="B346" i="5"/>
  <c r="D358" i="5" s="1"/>
  <c r="B345" i="5"/>
  <c r="B344" i="5"/>
  <c r="D343" i="5"/>
  <c r="C343" i="5"/>
  <c r="B343" i="5"/>
  <c r="D355" i="5" s="1"/>
  <c r="B342" i="5"/>
  <c r="B341" i="5"/>
  <c r="C340" i="5"/>
  <c r="B340" i="5"/>
  <c r="B339" i="5"/>
  <c r="C339" i="5" s="1"/>
  <c r="D338" i="5"/>
  <c r="B338" i="5"/>
  <c r="D350" i="5" s="1"/>
  <c r="B337" i="5"/>
  <c r="B336" i="5"/>
  <c r="D335" i="5"/>
  <c r="C335" i="5"/>
  <c r="B335" i="5"/>
  <c r="D347" i="5" s="1"/>
  <c r="B334" i="5"/>
  <c r="C333" i="5"/>
  <c r="B333" i="5"/>
  <c r="C332" i="5"/>
  <c r="B332" i="5"/>
  <c r="B331" i="5"/>
  <c r="C331" i="5" s="1"/>
  <c r="D330" i="5"/>
  <c r="B330" i="5"/>
  <c r="D342" i="5" s="1"/>
  <c r="B329" i="5"/>
  <c r="B328" i="5"/>
  <c r="D327" i="5"/>
  <c r="C327" i="5"/>
  <c r="B327" i="5"/>
  <c r="D339" i="5" s="1"/>
  <c r="B326" i="5"/>
  <c r="C325" i="5"/>
  <c r="B325" i="5"/>
  <c r="C324" i="5"/>
  <c r="B324" i="5"/>
  <c r="B323" i="5"/>
  <c r="C323" i="5" s="1"/>
  <c r="D322" i="5"/>
  <c r="B322" i="5"/>
  <c r="D334" i="5" s="1"/>
  <c r="B321" i="5"/>
  <c r="B320" i="5"/>
  <c r="D319" i="5"/>
  <c r="C319" i="5"/>
  <c r="B319" i="5"/>
  <c r="D331" i="5" s="1"/>
  <c r="B318" i="5"/>
  <c r="C317" i="5"/>
  <c r="B317" i="5"/>
  <c r="C316" i="5"/>
  <c r="B316" i="5"/>
  <c r="B315" i="5"/>
  <c r="C315" i="5" s="1"/>
  <c r="D314" i="5"/>
  <c r="B314" i="5"/>
  <c r="D326" i="5" s="1"/>
  <c r="B313" i="5"/>
  <c r="B312" i="5"/>
  <c r="D311" i="5"/>
  <c r="C311" i="5"/>
  <c r="B311" i="5"/>
  <c r="D323" i="5" s="1"/>
  <c r="B310" i="5"/>
  <c r="C309" i="5"/>
  <c r="B309" i="5"/>
  <c r="C308" i="5"/>
  <c r="B308" i="5"/>
  <c r="B307" i="5"/>
  <c r="C307" i="5" s="1"/>
  <c r="D306" i="5"/>
  <c r="B306" i="5"/>
  <c r="D318" i="5" s="1"/>
  <c r="B305" i="5"/>
  <c r="B304" i="5"/>
  <c r="D303" i="5"/>
  <c r="C303" i="5"/>
  <c r="B303" i="5"/>
  <c r="D315" i="5" s="1"/>
  <c r="B302" i="5"/>
  <c r="C301" i="5"/>
  <c r="B301" i="5"/>
  <c r="C300" i="5"/>
  <c r="B300" i="5"/>
  <c r="B299" i="5"/>
  <c r="C299" i="5" s="1"/>
  <c r="D298" i="5"/>
  <c r="B298" i="5"/>
  <c r="D310" i="5" s="1"/>
  <c r="B297" i="5"/>
  <c r="B296" i="5"/>
  <c r="D295" i="5"/>
  <c r="C295" i="5"/>
  <c r="B295" i="5"/>
  <c r="D307" i="5" s="1"/>
  <c r="B294" i="5"/>
  <c r="C293" i="5"/>
  <c r="B293" i="5"/>
  <c r="C292" i="5"/>
  <c r="B292" i="5"/>
  <c r="B291" i="5"/>
  <c r="C291" i="5" s="1"/>
  <c r="D290" i="5"/>
  <c r="B290" i="5"/>
  <c r="D302" i="5" s="1"/>
  <c r="B289" i="5"/>
  <c r="B288" i="5"/>
  <c r="D287" i="5"/>
  <c r="C287" i="5"/>
  <c r="B287" i="5"/>
  <c r="D299" i="5" s="1"/>
  <c r="B286" i="5"/>
  <c r="C285" i="5"/>
  <c r="B285" i="5"/>
  <c r="C284" i="5"/>
  <c r="B284" i="5"/>
  <c r="B283" i="5"/>
  <c r="C283" i="5" s="1"/>
  <c r="D282" i="5"/>
  <c r="B282" i="5"/>
  <c r="D294" i="5" s="1"/>
  <c r="B281" i="5"/>
  <c r="B280" i="5"/>
  <c r="D279" i="5"/>
  <c r="C279" i="5"/>
  <c r="B279" i="5"/>
  <c r="D291" i="5" s="1"/>
  <c r="B278" i="5"/>
  <c r="C277" i="5"/>
  <c r="B277" i="5"/>
  <c r="C276" i="5"/>
  <c r="B276" i="5"/>
  <c r="B275" i="5"/>
  <c r="C275" i="5" s="1"/>
  <c r="D274" i="5"/>
  <c r="B274" i="5"/>
  <c r="D286" i="5" s="1"/>
  <c r="B273" i="5"/>
  <c r="B272" i="5"/>
  <c r="D271" i="5"/>
  <c r="C271" i="5"/>
  <c r="B271" i="5"/>
  <c r="D283" i="5" s="1"/>
  <c r="B270" i="5"/>
  <c r="C269" i="5"/>
  <c r="B269" i="5"/>
  <c r="C268" i="5"/>
  <c r="B268" i="5"/>
  <c r="B267" i="5"/>
  <c r="C267" i="5" s="1"/>
  <c r="D266" i="5"/>
  <c r="B266" i="5"/>
  <c r="D278" i="5" s="1"/>
  <c r="B265" i="5"/>
  <c r="B264" i="5"/>
  <c r="D263" i="5"/>
  <c r="C263" i="5"/>
  <c r="B263" i="5"/>
  <c r="D275" i="5" s="1"/>
  <c r="B262" i="5"/>
  <c r="C261" i="5"/>
  <c r="B261" i="5"/>
  <c r="C260" i="5"/>
  <c r="B260" i="5"/>
  <c r="B259" i="5"/>
  <c r="C259" i="5" s="1"/>
  <c r="D258" i="5"/>
  <c r="B258" i="5"/>
  <c r="D270" i="5" s="1"/>
  <c r="B257" i="5"/>
  <c r="B256" i="5"/>
  <c r="D255" i="5"/>
  <c r="C255" i="5"/>
  <c r="B255" i="5"/>
  <c r="D267" i="5" s="1"/>
  <c r="B254" i="5"/>
  <c r="C253" i="5"/>
  <c r="B253" i="5"/>
  <c r="C252" i="5"/>
  <c r="B252" i="5"/>
  <c r="B251" i="5"/>
  <c r="C251" i="5" s="1"/>
  <c r="D250" i="5"/>
  <c r="B250" i="5"/>
  <c r="D262" i="5" s="1"/>
  <c r="B249" i="5"/>
  <c r="B248" i="5"/>
  <c r="D247" i="5"/>
  <c r="C247" i="5"/>
  <c r="B247" i="5"/>
  <c r="D259" i="5" s="1"/>
  <c r="B246" i="5"/>
  <c r="C245" i="5"/>
  <c r="B245" i="5"/>
  <c r="C244" i="5"/>
  <c r="B244" i="5"/>
  <c r="B243" i="5"/>
  <c r="C243" i="5" s="1"/>
  <c r="D242" i="5"/>
  <c r="B242" i="5"/>
  <c r="D254" i="5" s="1"/>
  <c r="B241" i="5"/>
  <c r="B240" i="5"/>
  <c r="D239" i="5"/>
  <c r="C239" i="5"/>
  <c r="B239" i="5"/>
  <c r="D251" i="5" s="1"/>
  <c r="B238" i="5"/>
  <c r="C237" i="5"/>
  <c r="B237" i="5"/>
  <c r="C236" i="5"/>
  <c r="B236" i="5"/>
  <c r="B235" i="5"/>
  <c r="C235" i="5" s="1"/>
  <c r="D234" i="5"/>
  <c r="B234" i="5"/>
  <c r="D246" i="5" s="1"/>
  <c r="B233" i="5"/>
  <c r="B232" i="5"/>
  <c r="D231" i="5"/>
  <c r="C231" i="5"/>
  <c r="B231" i="5"/>
  <c r="D243" i="5" s="1"/>
  <c r="B230" i="5"/>
  <c r="C229" i="5"/>
  <c r="B229" i="5"/>
  <c r="C228" i="5"/>
  <c r="B228" i="5"/>
  <c r="B227" i="5"/>
  <c r="C227" i="5" s="1"/>
  <c r="D226" i="5"/>
  <c r="B226" i="5"/>
  <c r="D238" i="5" s="1"/>
  <c r="B225" i="5"/>
  <c r="B224" i="5"/>
  <c r="D223" i="5"/>
  <c r="C223" i="5"/>
  <c r="B223" i="5"/>
  <c r="D235" i="5" s="1"/>
  <c r="B222" i="5"/>
  <c r="C221" i="5"/>
  <c r="B221" i="5"/>
  <c r="C220" i="5"/>
  <c r="B220" i="5"/>
  <c r="B219" i="5"/>
  <c r="C219" i="5" s="1"/>
  <c r="D218" i="5"/>
  <c r="B218" i="5"/>
  <c r="D230" i="5" s="1"/>
  <c r="B217" i="5"/>
  <c r="B216" i="5"/>
  <c r="D215" i="5"/>
  <c r="C215" i="5"/>
  <c r="B215" i="5"/>
  <c r="D227" i="5" s="1"/>
  <c r="B214" i="5"/>
  <c r="C213" i="5"/>
  <c r="B213" i="5"/>
  <c r="C212" i="5"/>
  <c r="B212" i="5"/>
  <c r="B211" i="5"/>
  <c r="C211" i="5" s="1"/>
  <c r="D210" i="5"/>
  <c r="B210" i="5"/>
  <c r="D222" i="5" s="1"/>
  <c r="B209" i="5"/>
  <c r="B208" i="5"/>
  <c r="D207" i="5"/>
  <c r="C207" i="5"/>
  <c r="B207" i="5"/>
  <c r="D219" i="5" s="1"/>
  <c r="B206" i="5"/>
  <c r="C205" i="5"/>
  <c r="B205" i="5"/>
  <c r="C204" i="5"/>
  <c r="B204" i="5"/>
  <c r="B203" i="5"/>
  <c r="C203" i="5" s="1"/>
  <c r="D202" i="5"/>
  <c r="B202" i="5"/>
  <c r="D214" i="5" s="1"/>
  <c r="B201" i="5"/>
  <c r="B200" i="5"/>
  <c r="D199" i="5"/>
  <c r="C199" i="5"/>
  <c r="B199" i="5"/>
  <c r="D211" i="5" s="1"/>
  <c r="B198" i="5"/>
  <c r="C197" i="5"/>
  <c r="B197" i="5"/>
  <c r="D196" i="5"/>
  <c r="C196" i="5"/>
  <c r="B196" i="5"/>
  <c r="B195" i="5"/>
  <c r="C195" i="5" s="1"/>
  <c r="D194" i="5"/>
  <c r="B194" i="5"/>
  <c r="D206" i="5" s="1"/>
  <c r="B193" i="5"/>
  <c r="B192" i="5"/>
  <c r="D191" i="5"/>
  <c r="C191" i="5"/>
  <c r="B191" i="5"/>
  <c r="D203" i="5" s="1"/>
  <c r="B190" i="5"/>
  <c r="B189" i="5"/>
  <c r="D188" i="5"/>
  <c r="C188" i="5"/>
  <c r="B188" i="5"/>
  <c r="B187" i="5"/>
  <c r="B186" i="5"/>
  <c r="B185" i="5"/>
  <c r="C185" i="5" s="1"/>
  <c r="B184" i="5"/>
  <c r="D183" i="5"/>
  <c r="B183" i="5"/>
  <c r="D195" i="5" s="1"/>
  <c r="B182" i="5"/>
  <c r="C181" i="5"/>
  <c r="B181" i="5"/>
  <c r="C180" i="5"/>
  <c r="B180" i="5"/>
  <c r="D179" i="5"/>
  <c r="B179" i="5"/>
  <c r="C178" i="5"/>
  <c r="B178" i="5"/>
  <c r="D190" i="5" s="1"/>
  <c r="B177" i="5"/>
  <c r="B176" i="5"/>
  <c r="C177" i="5" s="1"/>
  <c r="B175" i="5"/>
  <c r="C174" i="5"/>
  <c r="B174" i="5"/>
  <c r="B173" i="5"/>
  <c r="D173" i="5" s="1"/>
  <c r="C172" i="5"/>
  <c r="B172" i="5"/>
  <c r="D172" i="5" s="1"/>
  <c r="B171" i="5"/>
  <c r="C171" i="5" s="1"/>
  <c r="B170" i="5"/>
  <c r="D182" i="5" s="1"/>
  <c r="C169" i="5"/>
  <c r="B169" i="5"/>
  <c r="D169" i="5" s="1"/>
  <c r="B168" i="5"/>
  <c r="D167" i="5"/>
  <c r="C167" i="5"/>
  <c r="B167" i="5"/>
  <c r="B166" i="5"/>
  <c r="B165" i="5"/>
  <c r="D177" i="5" s="1"/>
  <c r="C164" i="5"/>
  <c r="B164" i="5"/>
  <c r="D163" i="5"/>
  <c r="B163" i="5"/>
  <c r="B162" i="5"/>
  <c r="D162" i="5" s="1"/>
  <c r="D161" i="5"/>
  <c r="B161" i="5"/>
  <c r="B160" i="5"/>
  <c r="C161" i="5" s="1"/>
  <c r="C159" i="5"/>
  <c r="B159" i="5"/>
  <c r="D159" i="5" s="1"/>
  <c r="C158" i="5"/>
  <c r="B158" i="5"/>
  <c r="B157" i="5"/>
  <c r="D157" i="5" s="1"/>
  <c r="B156" i="5"/>
  <c r="D156" i="5" s="1"/>
  <c r="B155" i="5"/>
  <c r="C155" i="5" s="1"/>
  <c r="B154" i="5"/>
  <c r="B153" i="5"/>
  <c r="D153" i="5" s="1"/>
  <c r="B152" i="5"/>
  <c r="C151" i="5"/>
  <c r="B151" i="5"/>
  <c r="B150" i="5"/>
  <c r="B149" i="5"/>
  <c r="C148" i="5"/>
  <c r="B148" i="5"/>
  <c r="B147" i="5"/>
  <c r="D146" i="5"/>
  <c r="B146" i="5"/>
  <c r="C146" i="5" s="1"/>
  <c r="D145" i="5"/>
  <c r="B145" i="5"/>
  <c r="B144" i="5"/>
  <c r="C145" i="5" s="1"/>
  <c r="B143" i="5"/>
  <c r="D155" i="5" s="1"/>
  <c r="D142" i="5"/>
  <c r="C142" i="5"/>
  <c r="B142" i="5"/>
  <c r="B141" i="5"/>
  <c r="D141" i="5" s="1"/>
  <c r="C140" i="5"/>
  <c r="B140" i="5"/>
  <c r="D140" i="5" s="1"/>
  <c r="B139" i="5"/>
  <c r="C139" i="5" s="1"/>
  <c r="B138" i="5"/>
  <c r="C138" i="5" s="1"/>
  <c r="B137" i="5"/>
  <c r="B136" i="5"/>
  <c r="D136" i="5" s="1"/>
  <c r="B135" i="5"/>
  <c r="C135" i="5" s="1"/>
  <c r="C134" i="5"/>
  <c r="B134" i="5"/>
  <c r="D133" i="5"/>
  <c r="C133" i="5"/>
  <c r="B133" i="5"/>
  <c r="B132" i="5"/>
  <c r="D132" i="5" s="1"/>
  <c r="D131" i="5"/>
  <c r="B131" i="5"/>
  <c r="D130" i="5"/>
  <c r="C130" i="5"/>
  <c r="B130" i="5"/>
  <c r="B129" i="5"/>
  <c r="B128" i="5"/>
  <c r="D127" i="5"/>
  <c r="C127" i="5"/>
  <c r="B127" i="5"/>
  <c r="B126" i="5"/>
  <c r="D125" i="5"/>
  <c r="B125" i="5"/>
  <c r="C126" i="5" s="1"/>
  <c r="D124" i="5"/>
  <c r="C124" i="5"/>
  <c r="B124" i="5"/>
  <c r="B123" i="5"/>
  <c r="D122" i="5"/>
  <c r="C122" i="5"/>
  <c r="B122" i="5"/>
  <c r="D134" i="5" s="1"/>
  <c r="D121" i="5"/>
  <c r="C121" i="5"/>
  <c r="B121" i="5"/>
  <c r="B120" i="5"/>
  <c r="C119" i="5"/>
  <c r="B119" i="5"/>
  <c r="C120" i="5" s="1"/>
  <c r="D118" i="5"/>
  <c r="B118" i="5"/>
  <c r="B117" i="5"/>
  <c r="D116" i="5"/>
  <c r="C116" i="5"/>
  <c r="B116" i="5"/>
  <c r="B115" i="5"/>
  <c r="B114" i="5"/>
  <c r="B113" i="5"/>
  <c r="D113" i="5" s="1"/>
  <c r="B112" i="5"/>
  <c r="B111" i="5"/>
  <c r="D110" i="5"/>
  <c r="C110" i="5"/>
  <c r="B110" i="5"/>
  <c r="B109" i="5"/>
  <c r="B108" i="5"/>
  <c r="D108" i="5" s="1"/>
  <c r="B107" i="5"/>
  <c r="C107" i="5" s="1"/>
  <c r="B106" i="5"/>
  <c r="C106" i="5" s="1"/>
  <c r="C105" i="5"/>
  <c r="B105" i="5"/>
  <c r="B104" i="5"/>
  <c r="D104" i="5" s="1"/>
  <c r="B103" i="5"/>
  <c r="C103" i="5" s="1"/>
  <c r="C102" i="5"/>
  <c r="B102" i="5"/>
  <c r="D101" i="5"/>
  <c r="C101" i="5"/>
  <c r="B101" i="5"/>
  <c r="B100" i="5"/>
  <c r="D100" i="5" s="1"/>
  <c r="B99" i="5"/>
  <c r="D98" i="5"/>
  <c r="C98" i="5"/>
  <c r="B98" i="5"/>
  <c r="B97" i="5"/>
  <c r="D97" i="5" s="1"/>
  <c r="C96" i="5"/>
  <c r="B96" i="5"/>
  <c r="D95" i="5"/>
  <c r="C95" i="5"/>
  <c r="B95" i="5"/>
  <c r="B94" i="5"/>
  <c r="D93" i="5"/>
  <c r="C93" i="5"/>
  <c r="B93" i="5"/>
  <c r="C94" i="5" s="1"/>
  <c r="D92" i="5"/>
  <c r="C92" i="5"/>
  <c r="B92" i="5"/>
  <c r="B91" i="5"/>
  <c r="D90" i="5"/>
  <c r="B90" i="5"/>
  <c r="D102" i="5" s="1"/>
  <c r="D89" i="5"/>
  <c r="C89" i="5"/>
  <c r="B89" i="5"/>
  <c r="B88" i="5"/>
  <c r="D87" i="5"/>
  <c r="C87" i="5"/>
  <c r="B87" i="5"/>
  <c r="C88" i="5" s="1"/>
  <c r="D86" i="5"/>
  <c r="B86" i="5"/>
  <c r="B85" i="5"/>
  <c r="B84" i="5"/>
  <c r="D84" i="5" s="1"/>
  <c r="B83" i="5"/>
  <c r="B82" i="5"/>
  <c r="D81" i="5"/>
  <c r="C81" i="5"/>
  <c r="B81" i="5"/>
  <c r="B80" i="5"/>
  <c r="B79" i="5"/>
  <c r="D78" i="5"/>
  <c r="C78" i="5"/>
  <c r="B78" i="5"/>
  <c r="B77" i="5"/>
  <c r="C77" i="5" s="1"/>
  <c r="C76" i="5"/>
  <c r="B76" i="5"/>
  <c r="B75" i="5"/>
  <c r="C75" i="5" s="1"/>
  <c r="B74" i="5"/>
  <c r="C74" i="5" s="1"/>
  <c r="C73" i="5"/>
  <c r="B73" i="5"/>
  <c r="C72" i="5"/>
  <c r="B72" i="5"/>
  <c r="D72" i="5" s="1"/>
  <c r="B71" i="5"/>
  <c r="C71" i="5" s="1"/>
  <c r="C70" i="5"/>
  <c r="B70" i="5"/>
  <c r="D69" i="5"/>
  <c r="C69" i="5"/>
  <c r="B69" i="5"/>
  <c r="B68" i="5"/>
  <c r="D68" i="5" s="1"/>
  <c r="B67" i="5"/>
  <c r="D66" i="5"/>
  <c r="C66" i="5"/>
  <c r="B66" i="5"/>
  <c r="B65" i="5"/>
  <c r="B64" i="5"/>
  <c r="D63" i="5"/>
  <c r="C63" i="5"/>
  <c r="B63" i="5"/>
  <c r="B62" i="5"/>
  <c r="C61" i="5"/>
  <c r="B61" i="5"/>
  <c r="C62" i="5" s="1"/>
  <c r="D60" i="5"/>
  <c r="C60" i="5"/>
  <c r="B60" i="5"/>
  <c r="B59" i="5"/>
  <c r="B58" i="5"/>
  <c r="D70" i="5" s="1"/>
  <c r="D57" i="5"/>
  <c r="C57" i="5"/>
  <c r="B57" i="5"/>
  <c r="B56" i="5"/>
  <c r="B55" i="5"/>
  <c r="C56" i="5" s="1"/>
  <c r="D54" i="5"/>
  <c r="B54" i="5"/>
  <c r="B53" i="5"/>
  <c r="B52" i="5"/>
  <c r="C52" i="5" s="1"/>
  <c r="B51" i="5"/>
  <c r="B50" i="5"/>
  <c r="D49" i="5"/>
  <c r="B49" i="5"/>
  <c r="D61" i="5" s="1"/>
  <c r="B48" i="5"/>
  <c r="B47" i="5"/>
  <c r="D46" i="5"/>
  <c r="C46" i="5"/>
  <c r="B46" i="5"/>
  <c r="B45" i="5"/>
  <c r="B44" i="5"/>
  <c r="D43" i="5"/>
  <c r="B43" i="5"/>
  <c r="C43" i="5" s="1"/>
  <c r="B42" i="5"/>
  <c r="B41" i="5"/>
  <c r="C40" i="5"/>
  <c r="B40" i="5"/>
  <c r="D40" i="5" s="1"/>
  <c r="B39" i="5"/>
  <c r="C39" i="5" s="1"/>
  <c r="C38" i="5"/>
  <c r="B38" i="5"/>
  <c r="D37" i="5"/>
  <c r="C37" i="5"/>
  <c r="B37" i="5"/>
  <c r="B36" i="5"/>
  <c r="D36" i="5" s="1"/>
  <c r="B35" i="5"/>
  <c r="D34" i="5"/>
  <c r="C34" i="5"/>
  <c r="B34" i="5"/>
  <c r="B33" i="5"/>
  <c r="B32" i="5"/>
  <c r="D31" i="5"/>
  <c r="C31" i="5"/>
  <c r="B31" i="5"/>
  <c r="B30" i="5"/>
  <c r="B29" i="5"/>
  <c r="C30" i="5" s="1"/>
  <c r="D28" i="5"/>
  <c r="C28" i="5"/>
  <c r="B28" i="5"/>
  <c r="B27" i="5"/>
  <c r="B26" i="5"/>
  <c r="D38" i="5" s="1"/>
  <c r="D25" i="5"/>
  <c r="C25" i="5"/>
  <c r="B25" i="5"/>
  <c r="B24" i="5"/>
  <c r="D23" i="5"/>
  <c r="B23" i="5"/>
  <c r="C24" i="5" s="1"/>
  <c r="D22" i="5"/>
  <c r="B22" i="5"/>
  <c r="B21" i="5"/>
  <c r="D20" i="5"/>
  <c r="C20" i="5"/>
  <c r="B20" i="5"/>
  <c r="B19" i="5"/>
  <c r="B18" i="5"/>
  <c r="B17" i="5"/>
  <c r="D17" i="5" s="1"/>
  <c r="B16" i="5"/>
  <c r="B15" i="5"/>
  <c r="C15" i="5" s="1"/>
  <c r="B14" i="5"/>
  <c r="C14" i="5" s="1"/>
  <c r="B13" i="5"/>
  <c r="C13" i="5" s="1"/>
  <c r="B12" i="5"/>
  <c r="C12" i="5" s="1"/>
  <c r="C11" i="5"/>
  <c r="B11" i="5"/>
  <c r="B10" i="5"/>
  <c r="C9" i="5"/>
  <c r="B9" i="5"/>
  <c r="C10" i="5" s="1"/>
  <c r="B8" i="5"/>
  <c r="C8" i="5" s="1"/>
  <c r="C7" i="5"/>
  <c r="B7" i="5"/>
  <c r="D19" i="5" s="1"/>
  <c r="B6" i="5"/>
  <c r="C6" i="5" s="1"/>
  <c r="B5" i="5"/>
  <c r="F905" i="4"/>
  <c r="E905" i="4"/>
  <c r="D905" i="4"/>
  <c r="C905" i="4"/>
  <c r="B905" i="4"/>
  <c r="F904" i="4"/>
  <c r="E904" i="4"/>
  <c r="C904" i="4"/>
  <c r="B904" i="4"/>
  <c r="F903" i="4"/>
  <c r="E903" i="4"/>
  <c r="B903" i="4"/>
  <c r="F902" i="4"/>
  <c r="E902" i="4"/>
  <c r="B902" i="4"/>
  <c r="F901" i="4"/>
  <c r="E901" i="4"/>
  <c r="B901" i="4"/>
  <c r="F900" i="4"/>
  <c r="E900" i="4"/>
  <c r="D900" i="4"/>
  <c r="C900" i="4"/>
  <c r="B900" i="4"/>
  <c r="C901" i="4" s="1"/>
  <c r="F899" i="4"/>
  <c r="E899" i="4"/>
  <c r="B899" i="4"/>
  <c r="F898" i="4"/>
  <c r="E898" i="4"/>
  <c r="D898" i="4"/>
  <c r="B898" i="4"/>
  <c r="F897" i="4"/>
  <c r="E897" i="4"/>
  <c r="D897" i="4"/>
  <c r="C897" i="4"/>
  <c r="B897" i="4"/>
  <c r="C898" i="4" s="1"/>
  <c r="F896" i="4"/>
  <c r="E896" i="4"/>
  <c r="B896" i="4"/>
  <c r="F895" i="4"/>
  <c r="E895" i="4"/>
  <c r="D895" i="4"/>
  <c r="B895" i="4"/>
  <c r="C896" i="4" s="1"/>
  <c r="F894" i="4"/>
  <c r="E894" i="4"/>
  <c r="B894" i="4"/>
  <c r="C895" i="4" s="1"/>
  <c r="F893" i="4"/>
  <c r="E893" i="4"/>
  <c r="D893" i="4"/>
  <c r="B893" i="4"/>
  <c r="F892" i="4"/>
  <c r="E892" i="4"/>
  <c r="B892" i="4"/>
  <c r="F891" i="4"/>
  <c r="E891" i="4"/>
  <c r="B891" i="4"/>
  <c r="F890" i="4"/>
  <c r="E890" i="4"/>
  <c r="B890" i="4"/>
  <c r="D890" i="4" s="1"/>
  <c r="F889" i="4"/>
  <c r="E889" i="4"/>
  <c r="B889" i="4"/>
  <c r="F888" i="4"/>
  <c r="E888" i="4"/>
  <c r="D888" i="4"/>
  <c r="B888" i="4"/>
  <c r="F887" i="4"/>
  <c r="E887" i="4"/>
  <c r="D887" i="4"/>
  <c r="C887" i="4"/>
  <c r="B887" i="4"/>
  <c r="C888" i="4" s="1"/>
  <c r="F886" i="4"/>
  <c r="E886" i="4"/>
  <c r="B886" i="4"/>
  <c r="F885" i="4"/>
  <c r="E885" i="4"/>
  <c r="D885" i="4"/>
  <c r="B885" i="4"/>
  <c r="F884" i="4"/>
  <c r="E884" i="4"/>
  <c r="B884" i="4"/>
  <c r="C885" i="4" s="1"/>
  <c r="F883" i="4"/>
  <c r="E883" i="4"/>
  <c r="B883" i="4"/>
  <c r="F882" i="4"/>
  <c r="E882" i="4"/>
  <c r="B882" i="4"/>
  <c r="D882" i="4" s="1"/>
  <c r="F881" i="4"/>
  <c r="E881" i="4"/>
  <c r="B881" i="4"/>
  <c r="F880" i="4"/>
  <c r="E880" i="4"/>
  <c r="B880" i="4"/>
  <c r="D880" i="4" s="1"/>
  <c r="F879" i="4"/>
  <c r="E879" i="4"/>
  <c r="B879" i="4"/>
  <c r="F878" i="4"/>
  <c r="E878" i="4"/>
  <c r="B878" i="4"/>
  <c r="F877" i="4"/>
  <c r="E877" i="4"/>
  <c r="D877" i="4"/>
  <c r="C877" i="4"/>
  <c r="B877" i="4"/>
  <c r="C878" i="4" s="1"/>
  <c r="F876" i="4"/>
  <c r="E876" i="4"/>
  <c r="B876" i="4"/>
  <c r="F875" i="4"/>
  <c r="E875" i="4"/>
  <c r="B875" i="4"/>
  <c r="C876" i="4" s="1"/>
  <c r="F874" i="4"/>
  <c r="E874" i="4"/>
  <c r="B874" i="4"/>
  <c r="D874" i="4" s="1"/>
  <c r="F873" i="4"/>
  <c r="E873" i="4"/>
  <c r="B873" i="4"/>
  <c r="F872" i="4"/>
  <c r="E872" i="4"/>
  <c r="B872" i="4"/>
  <c r="D872" i="4" s="1"/>
  <c r="F871" i="4"/>
  <c r="E871" i="4"/>
  <c r="B871" i="4"/>
  <c r="F870" i="4"/>
  <c r="E870" i="4"/>
  <c r="B870" i="4"/>
  <c r="F869" i="4"/>
  <c r="E869" i="4"/>
  <c r="D869" i="4"/>
  <c r="C869" i="4"/>
  <c r="B869" i="4"/>
  <c r="F868" i="4"/>
  <c r="E868" i="4"/>
  <c r="B868" i="4"/>
  <c r="F867" i="4"/>
  <c r="E867" i="4"/>
  <c r="B867" i="4"/>
  <c r="C868" i="4" s="1"/>
  <c r="F866" i="4"/>
  <c r="E866" i="4"/>
  <c r="B866" i="4"/>
  <c r="D866" i="4" s="1"/>
  <c r="F865" i="4"/>
  <c r="E865" i="4"/>
  <c r="B865" i="4"/>
  <c r="F864" i="4"/>
  <c r="E864" i="4"/>
  <c r="B864" i="4"/>
  <c r="D864" i="4" s="1"/>
  <c r="F863" i="4"/>
  <c r="E863" i="4"/>
  <c r="B863" i="4"/>
  <c r="F862" i="4"/>
  <c r="E862" i="4"/>
  <c r="B862" i="4"/>
  <c r="F861" i="4"/>
  <c r="E861" i="4"/>
  <c r="D861" i="4"/>
  <c r="C861" i="4"/>
  <c r="B861" i="4"/>
  <c r="F860" i="4"/>
  <c r="E860" i="4"/>
  <c r="B860" i="4"/>
  <c r="F859" i="4"/>
  <c r="E859" i="4"/>
  <c r="B859" i="4"/>
  <c r="C860" i="4" s="1"/>
  <c r="F858" i="4"/>
  <c r="E858" i="4"/>
  <c r="B858" i="4"/>
  <c r="D858" i="4" s="1"/>
  <c r="F857" i="4"/>
  <c r="E857" i="4"/>
  <c r="B857" i="4"/>
  <c r="F856" i="4"/>
  <c r="E856" i="4"/>
  <c r="B856" i="4"/>
  <c r="D856" i="4" s="1"/>
  <c r="F855" i="4"/>
  <c r="E855" i="4"/>
  <c r="B855" i="4"/>
  <c r="F854" i="4"/>
  <c r="E854" i="4"/>
  <c r="B854" i="4"/>
  <c r="F853" i="4"/>
  <c r="E853" i="4"/>
  <c r="D853" i="4"/>
  <c r="C853" i="4"/>
  <c r="B853" i="4"/>
  <c r="F852" i="4"/>
  <c r="E852" i="4"/>
  <c r="B852" i="4"/>
  <c r="F851" i="4"/>
  <c r="E851" i="4"/>
  <c r="B851" i="4"/>
  <c r="C852" i="4" s="1"/>
  <c r="F850" i="4"/>
  <c r="E850" i="4"/>
  <c r="B850" i="4"/>
  <c r="D850" i="4" s="1"/>
  <c r="F849" i="4"/>
  <c r="E849" i="4"/>
  <c r="B849" i="4"/>
  <c r="F848" i="4"/>
  <c r="E848" i="4"/>
  <c r="B848" i="4"/>
  <c r="D848" i="4" s="1"/>
  <c r="F847" i="4"/>
  <c r="E847" i="4"/>
  <c r="B847" i="4"/>
  <c r="F846" i="4"/>
  <c r="E846" i="4"/>
  <c r="B846" i="4"/>
  <c r="F845" i="4"/>
  <c r="E845" i="4"/>
  <c r="D845" i="4"/>
  <c r="C845" i="4"/>
  <c r="B845" i="4"/>
  <c r="F844" i="4"/>
  <c r="E844" i="4"/>
  <c r="B844" i="4"/>
  <c r="F843" i="4"/>
  <c r="E843" i="4"/>
  <c r="B843" i="4"/>
  <c r="C844" i="4" s="1"/>
  <c r="F842" i="4"/>
  <c r="E842" i="4"/>
  <c r="B842" i="4"/>
  <c r="D842" i="4" s="1"/>
  <c r="F841" i="4"/>
  <c r="E841" i="4"/>
  <c r="B841" i="4"/>
  <c r="F840" i="4"/>
  <c r="E840" i="4"/>
  <c r="B840" i="4"/>
  <c r="D840" i="4" s="1"/>
  <c r="F839" i="4"/>
  <c r="E839" i="4"/>
  <c r="B839" i="4"/>
  <c r="F838" i="4"/>
  <c r="E838" i="4"/>
  <c r="B838" i="4"/>
  <c r="F837" i="4"/>
  <c r="E837" i="4"/>
  <c r="D837" i="4"/>
  <c r="C837" i="4"/>
  <c r="B837" i="4"/>
  <c r="F836" i="4"/>
  <c r="E836" i="4"/>
  <c r="B836" i="4"/>
  <c r="F835" i="4"/>
  <c r="E835" i="4"/>
  <c r="B835" i="4"/>
  <c r="C836" i="4" s="1"/>
  <c r="F834" i="4"/>
  <c r="E834" i="4"/>
  <c r="B834" i="4"/>
  <c r="D834" i="4" s="1"/>
  <c r="F833" i="4"/>
  <c r="E833" i="4"/>
  <c r="B833" i="4"/>
  <c r="F832" i="4"/>
  <c r="E832" i="4"/>
  <c r="B832" i="4"/>
  <c r="D832" i="4" s="1"/>
  <c r="F831" i="4"/>
  <c r="E831" i="4"/>
  <c r="B831" i="4"/>
  <c r="F830" i="4"/>
  <c r="E830" i="4"/>
  <c r="B830" i="4"/>
  <c r="F829" i="4"/>
  <c r="E829" i="4"/>
  <c r="D829" i="4"/>
  <c r="C829" i="4"/>
  <c r="B829" i="4"/>
  <c r="F828" i="4"/>
  <c r="E828" i="4"/>
  <c r="B828" i="4"/>
  <c r="F827" i="4"/>
  <c r="E827" i="4"/>
  <c r="B827" i="4"/>
  <c r="C828" i="4" s="1"/>
  <c r="F826" i="4"/>
  <c r="E826" i="4"/>
  <c r="B826" i="4"/>
  <c r="D826" i="4" s="1"/>
  <c r="F825" i="4"/>
  <c r="E825" i="4"/>
  <c r="B825" i="4"/>
  <c r="F824" i="4"/>
  <c r="E824" i="4"/>
  <c r="B824" i="4"/>
  <c r="D824" i="4" s="1"/>
  <c r="F823" i="4"/>
  <c r="E823" i="4"/>
  <c r="B823" i="4"/>
  <c r="F822" i="4"/>
  <c r="E822" i="4"/>
  <c r="B822" i="4"/>
  <c r="F821" i="4"/>
  <c r="E821" i="4"/>
  <c r="D821" i="4"/>
  <c r="C821" i="4"/>
  <c r="B821" i="4"/>
  <c r="F820" i="4"/>
  <c r="E820" i="4"/>
  <c r="B820" i="4"/>
  <c r="F819" i="4"/>
  <c r="E819" i="4"/>
  <c r="B819" i="4"/>
  <c r="C820" i="4" s="1"/>
  <c r="F818" i="4"/>
  <c r="E818" i="4"/>
  <c r="B818" i="4"/>
  <c r="D818" i="4" s="1"/>
  <c r="F817" i="4"/>
  <c r="E817" i="4"/>
  <c r="B817" i="4"/>
  <c r="F816" i="4"/>
  <c r="E816" i="4"/>
  <c r="B816" i="4"/>
  <c r="D816" i="4" s="1"/>
  <c r="F815" i="4"/>
  <c r="E815" i="4"/>
  <c r="B815" i="4"/>
  <c r="F814" i="4"/>
  <c r="E814" i="4"/>
  <c r="B814" i="4"/>
  <c r="F813" i="4"/>
  <c r="E813" i="4"/>
  <c r="D813" i="4"/>
  <c r="C813" i="4"/>
  <c r="B813" i="4"/>
  <c r="F812" i="4"/>
  <c r="E812" i="4"/>
  <c r="B812" i="4"/>
  <c r="F811" i="4"/>
  <c r="E811" i="4"/>
  <c r="B811" i="4"/>
  <c r="C812" i="4" s="1"/>
  <c r="F810" i="4"/>
  <c r="E810" i="4"/>
  <c r="B810" i="4"/>
  <c r="D810" i="4" s="1"/>
  <c r="F809" i="4"/>
  <c r="E809" i="4"/>
  <c r="B809" i="4"/>
  <c r="F808" i="4"/>
  <c r="E808" i="4"/>
  <c r="B808" i="4"/>
  <c r="D808" i="4" s="1"/>
  <c r="F807" i="4"/>
  <c r="E807" i="4"/>
  <c r="B807" i="4"/>
  <c r="F806" i="4"/>
  <c r="E806" i="4"/>
  <c r="B806" i="4"/>
  <c r="F805" i="4"/>
  <c r="E805" i="4"/>
  <c r="D805" i="4"/>
  <c r="C805" i="4"/>
  <c r="B805" i="4"/>
  <c r="F804" i="4"/>
  <c r="E804" i="4"/>
  <c r="B804" i="4"/>
  <c r="F803" i="4"/>
  <c r="E803" i="4"/>
  <c r="B803" i="4"/>
  <c r="C804" i="4" s="1"/>
  <c r="F802" i="4"/>
  <c r="E802" i="4"/>
  <c r="B802" i="4"/>
  <c r="D802" i="4" s="1"/>
  <c r="F801" i="4"/>
  <c r="E801" i="4"/>
  <c r="B801" i="4"/>
  <c r="F800" i="4"/>
  <c r="E800" i="4"/>
  <c r="B800" i="4"/>
  <c r="D800" i="4" s="1"/>
  <c r="F799" i="4"/>
  <c r="E799" i="4"/>
  <c r="B799" i="4"/>
  <c r="F798" i="4"/>
  <c r="E798" i="4"/>
  <c r="B798" i="4"/>
  <c r="F797" i="4"/>
  <c r="E797" i="4"/>
  <c r="D797" i="4"/>
  <c r="C797" i="4"/>
  <c r="B797" i="4"/>
  <c r="F796" i="4"/>
  <c r="E796" i="4"/>
  <c r="B796" i="4"/>
  <c r="F795" i="4"/>
  <c r="E795" i="4"/>
  <c r="B795" i="4"/>
  <c r="C796" i="4" s="1"/>
  <c r="F794" i="4"/>
  <c r="E794" i="4"/>
  <c r="B794" i="4"/>
  <c r="D794" i="4" s="1"/>
  <c r="F793" i="4"/>
  <c r="E793" i="4"/>
  <c r="B793" i="4"/>
  <c r="F792" i="4"/>
  <c r="E792" i="4"/>
  <c r="B792" i="4"/>
  <c r="D792" i="4" s="1"/>
  <c r="F791" i="4"/>
  <c r="E791" i="4"/>
  <c r="B791" i="4"/>
  <c r="F790" i="4"/>
  <c r="E790" i="4"/>
  <c r="B790" i="4"/>
  <c r="F789" i="4"/>
  <c r="E789" i="4"/>
  <c r="D789" i="4"/>
  <c r="C789" i="4"/>
  <c r="B789" i="4"/>
  <c r="F788" i="4"/>
  <c r="E788" i="4"/>
  <c r="B788" i="4"/>
  <c r="F787" i="4"/>
  <c r="E787" i="4"/>
  <c r="B787" i="4"/>
  <c r="C788" i="4" s="1"/>
  <c r="F786" i="4"/>
  <c r="E786" i="4"/>
  <c r="B786" i="4"/>
  <c r="D786" i="4" s="1"/>
  <c r="F785" i="4"/>
  <c r="E785" i="4"/>
  <c r="B785" i="4"/>
  <c r="F784" i="4"/>
  <c r="E784" i="4"/>
  <c r="B784" i="4"/>
  <c r="D784" i="4" s="1"/>
  <c r="F783" i="4"/>
  <c r="E783" i="4"/>
  <c r="B783" i="4"/>
  <c r="F782" i="4"/>
  <c r="E782" i="4"/>
  <c r="B782" i="4"/>
  <c r="F781" i="4"/>
  <c r="E781" i="4"/>
  <c r="D781" i="4"/>
  <c r="C781" i="4"/>
  <c r="B781" i="4"/>
  <c r="F780" i="4"/>
  <c r="E780" i="4"/>
  <c r="B780" i="4"/>
  <c r="F779" i="4"/>
  <c r="E779" i="4"/>
  <c r="B779" i="4"/>
  <c r="C780" i="4" s="1"/>
  <c r="F778" i="4"/>
  <c r="E778" i="4"/>
  <c r="B778" i="4"/>
  <c r="D778" i="4" s="1"/>
  <c r="F777" i="4"/>
  <c r="E777" i="4"/>
  <c r="B777" i="4"/>
  <c r="F776" i="4"/>
  <c r="E776" i="4"/>
  <c r="B776" i="4"/>
  <c r="D776" i="4" s="1"/>
  <c r="F775" i="4"/>
  <c r="E775" i="4"/>
  <c r="B775" i="4"/>
  <c r="F774" i="4"/>
  <c r="E774" i="4"/>
  <c r="B774" i="4"/>
  <c r="F773" i="4"/>
  <c r="E773" i="4"/>
  <c r="D773" i="4"/>
  <c r="C773" i="4"/>
  <c r="B773" i="4"/>
  <c r="F772" i="4"/>
  <c r="E772" i="4"/>
  <c r="B772" i="4"/>
  <c r="F771" i="4"/>
  <c r="E771" i="4"/>
  <c r="D771" i="4"/>
  <c r="B771" i="4"/>
  <c r="C772" i="4" s="1"/>
  <c r="F770" i="4"/>
  <c r="E770" i="4"/>
  <c r="B770" i="4"/>
  <c r="D770" i="4" s="1"/>
  <c r="F769" i="4"/>
  <c r="E769" i="4"/>
  <c r="B769" i="4"/>
  <c r="F768" i="4"/>
  <c r="E768" i="4"/>
  <c r="B768" i="4"/>
  <c r="D768" i="4" s="1"/>
  <c r="F767" i="4"/>
  <c r="E767" i="4"/>
  <c r="B767" i="4"/>
  <c r="F766" i="4"/>
  <c r="E766" i="4"/>
  <c r="B766" i="4"/>
  <c r="F765" i="4"/>
  <c r="E765" i="4"/>
  <c r="D765" i="4"/>
  <c r="C765" i="4"/>
  <c r="B765" i="4"/>
  <c r="F764" i="4"/>
  <c r="E764" i="4"/>
  <c r="B764" i="4"/>
  <c r="F763" i="4"/>
  <c r="E763" i="4"/>
  <c r="D763" i="4"/>
  <c r="B763" i="4"/>
  <c r="C764" i="4" s="1"/>
  <c r="F762" i="4"/>
  <c r="E762" i="4"/>
  <c r="B762" i="4"/>
  <c r="D762" i="4" s="1"/>
  <c r="F761" i="4"/>
  <c r="E761" i="4"/>
  <c r="B761" i="4"/>
  <c r="F760" i="4"/>
  <c r="E760" i="4"/>
  <c r="C760" i="4"/>
  <c r="B760" i="4"/>
  <c r="D760" i="4" s="1"/>
  <c r="F759" i="4"/>
  <c r="E759" i="4"/>
  <c r="B759" i="4"/>
  <c r="F758" i="4"/>
  <c r="E758" i="4"/>
  <c r="C758" i="4"/>
  <c r="B758" i="4"/>
  <c r="F757" i="4"/>
  <c r="E757" i="4"/>
  <c r="D757" i="4"/>
  <c r="C757" i="4"/>
  <c r="B757" i="4"/>
  <c r="D769" i="4" s="1"/>
  <c r="F756" i="4"/>
  <c r="E756" i="4"/>
  <c r="B756" i="4"/>
  <c r="D756" i="4" s="1"/>
  <c r="F755" i="4"/>
  <c r="E755" i="4"/>
  <c r="B755" i="4"/>
  <c r="C756" i="4" s="1"/>
  <c r="F754" i="4"/>
  <c r="E754" i="4"/>
  <c r="C754" i="4"/>
  <c r="B754" i="4"/>
  <c r="D754" i="4" s="1"/>
  <c r="F753" i="4"/>
  <c r="E753" i="4"/>
  <c r="B753" i="4"/>
  <c r="F752" i="4"/>
  <c r="E752" i="4"/>
  <c r="D752" i="4"/>
  <c r="B752" i="4"/>
  <c r="C752" i="4" s="1"/>
  <c r="F751" i="4"/>
  <c r="E751" i="4"/>
  <c r="B751" i="4"/>
  <c r="F750" i="4"/>
  <c r="E750" i="4"/>
  <c r="D750" i="4"/>
  <c r="B750" i="4"/>
  <c r="F749" i="4"/>
  <c r="E749" i="4"/>
  <c r="B749" i="4"/>
  <c r="D749" i="4" s="1"/>
  <c r="F748" i="4"/>
  <c r="E748" i="4"/>
  <c r="B748" i="4"/>
  <c r="F747" i="4"/>
  <c r="E747" i="4"/>
  <c r="B747" i="4"/>
  <c r="C748" i="4" s="1"/>
  <c r="F746" i="4"/>
  <c r="E746" i="4"/>
  <c r="C746" i="4"/>
  <c r="B746" i="4"/>
  <c r="D746" i="4" s="1"/>
  <c r="F745" i="4"/>
  <c r="E745" i="4"/>
  <c r="B745" i="4"/>
  <c r="C745" i="4" s="1"/>
  <c r="F744" i="4"/>
  <c r="E744" i="4"/>
  <c r="D744" i="4"/>
  <c r="B744" i="4"/>
  <c r="F743" i="4"/>
  <c r="E743" i="4"/>
  <c r="B743" i="4"/>
  <c r="D755" i="4" s="1"/>
  <c r="F742" i="4"/>
  <c r="E742" i="4"/>
  <c r="B742" i="4"/>
  <c r="F741" i="4"/>
  <c r="E741" i="4"/>
  <c r="D741" i="4"/>
  <c r="C741" i="4"/>
  <c r="B741" i="4"/>
  <c r="D753" i="4" s="1"/>
  <c r="F740" i="4"/>
  <c r="E740" i="4"/>
  <c r="B740" i="4"/>
  <c r="F739" i="4"/>
  <c r="E739" i="4"/>
  <c r="B739" i="4"/>
  <c r="C740" i="4" s="1"/>
  <c r="F738" i="4"/>
  <c r="E738" i="4"/>
  <c r="B738" i="4"/>
  <c r="D738" i="4" s="1"/>
  <c r="F737" i="4"/>
  <c r="E737" i="4"/>
  <c r="B737" i="4"/>
  <c r="F736" i="4"/>
  <c r="E736" i="4"/>
  <c r="B736" i="4"/>
  <c r="D736" i="4" s="1"/>
  <c r="F735" i="4"/>
  <c r="E735" i="4"/>
  <c r="B735" i="4"/>
  <c r="C735" i="4" s="1"/>
  <c r="F734" i="4"/>
  <c r="E734" i="4"/>
  <c r="C734" i="4"/>
  <c r="B734" i="4"/>
  <c r="F733" i="4"/>
  <c r="E733" i="4"/>
  <c r="C733" i="4"/>
  <c r="B733" i="4"/>
  <c r="D745" i="4" s="1"/>
  <c r="F732" i="4"/>
  <c r="E732" i="4"/>
  <c r="C732" i="4"/>
  <c r="B732" i="4"/>
  <c r="F731" i="4"/>
  <c r="E731" i="4"/>
  <c r="B731" i="4"/>
  <c r="F730" i="4"/>
  <c r="E730" i="4"/>
  <c r="B730" i="4"/>
  <c r="D730" i="4" s="1"/>
  <c r="F729" i="4"/>
  <c r="E729" i="4"/>
  <c r="B729" i="4"/>
  <c r="F728" i="4"/>
  <c r="E728" i="4"/>
  <c r="D728" i="4"/>
  <c r="B728" i="4"/>
  <c r="F727" i="4"/>
  <c r="E727" i="4"/>
  <c r="B727" i="4"/>
  <c r="C727" i="4" s="1"/>
  <c r="F726" i="4"/>
  <c r="E726" i="4"/>
  <c r="B726" i="4"/>
  <c r="F725" i="4"/>
  <c r="E725" i="4"/>
  <c r="D725" i="4"/>
  <c r="C725" i="4"/>
  <c r="B725" i="4"/>
  <c r="C726" i="4" s="1"/>
  <c r="F724" i="4"/>
  <c r="E724" i="4"/>
  <c r="B724" i="4"/>
  <c r="F723" i="4"/>
  <c r="E723" i="4"/>
  <c r="B723" i="4"/>
  <c r="C724" i="4" s="1"/>
  <c r="F722" i="4"/>
  <c r="E722" i="4"/>
  <c r="B722" i="4"/>
  <c r="D722" i="4" s="1"/>
  <c r="F721" i="4"/>
  <c r="E721" i="4"/>
  <c r="B721" i="4"/>
  <c r="D733" i="4" s="1"/>
  <c r="F720" i="4"/>
  <c r="E720" i="4"/>
  <c r="B720" i="4"/>
  <c r="D720" i="4" s="1"/>
  <c r="F719" i="4"/>
  <c r="E719" i="4"/>
  <c r="B719" i="4"/>
  <c r="C719" i="4" s="1"/>
  <c r="F718" i="4"/>
  <c r="E718" i="4"/>
  <c r="C718" i="4"/>
  <c r="B718" i="4"/>
  <c r="F717" i="4"/>
  <c r="E717" i="4"/>
  <c r="C717" i="4"/>
  <c r="B717" i="4"/>
  <c r="D729" i="4" s="1"/>
  <c r="F716" i="4"/>
  <c r="E716" i="4"/>
  <c r="C716" i="4"/>
  <c r="B716" i="4"/>
  <c r="F715" i="4"/>
  <c r="E715" i="4"/>
  <c r="B715" i="4"/>
  <c r="F714" i="4"/>
  <c r="E714" i="4"/>
  <c r="B714" i="4"/>
  <c r="D714" i="4" s="1"/>
  <c r="F713" i="4"/>
  <c r="E713" i="4"/>
  <c r="B713" i="4"/>
  <c r="F712" i="4"/>
  <c r="E712" i="4"/>
  <c r="B712" i="4"/>
  <c r="F711" i="4"/>
  <c r="E711" i="4"/>
  <c r="B711" i="4"/>
  <c r="C711" i="4" s="1"/>
  <c r="F710" i="4"/>
  <c r="E710" i="4"/>
  <c r="D710" i="4"/>
  <c r="B710" i="4"/>
  <c r="F709" i="4"/>
  <c r="E709" i="4"/>
  <c r="C709" i="4"/>
  <c r="B709" i="4"/>
  <c r="C710" i="4" s="1"/>
  <c r="F708" i="4"/>
  <c r="E708" i="4"/>
  <c r="B708" i="4"/>
  <c r="F707" i="4"/>
  <c r="E707" i="4"/>
  <c r="D707" i="4"/>
  <c r="B707" i="4"/>
  <c r="C708" i="4" s="1"/>
  <c r="F706" i="4"/>
  <c r="E706" i="4"/>
  <c r="B706" i="4"/>
  <c r="D706" i="4" s="1"/>
  <c r="F705" i="4"/>
  <c r="E705" i="4"/>
  <c r="B705" i="4"/>
  <c r="D717" i="4" s="1"/>
  <c r="F704" i="4"/>
  <c r="E704" i="4"/>
  <c r="B704" i="4"/>
  <c r="D704" i="4" s="1"/>
  <c r="F703" i="4"/>
  <c r="E703" i="4"/>
  <c r="D703" i="4"/>
  <c r="B703" i="4"/>
  <c r="C703" i="4" s="1"/>
  <c r="F702" i="4"/>
  <c r="E702" i="4"/>
  <c r="C702" i="4"/>
  <c r="B702" i="4"/>
  <c r="F701" i="4"/>
  <c r="E701" i="4"/>
  <c r="D701" i="4"/>
  <c r="B701" i="4"/>
  <c r="D713" i="4" s="1"/>
  <c r="F700" i="4"/>
  <c r="E700" i="4"/>
  <c r="C700" i="4"/>
  <c r="B700" i="4"/>
  <c r="F699" i="4"/>
  <c r="E699" i="4"/>
  <c r="B699" i="4"/>
  <c r="F698" i="4"/>
  <c r="E698" i="4"/>
  <c r="D698" i="4"/>
  <c r="B698" i="4"/>
  <c r="C699" i="4" s="1"/>
  <c r="F697" i="4"/>
  <c r="E697" i="4"/>
  <c r="B697" i="4"/>
  <c r="C697" i="4" s="1"/>
  <c r="F696" i="4"/>
  <c r="E696" i="4"/>
  <c r="D696" i="4"/>
  <c r="B696" i="4"/>
  <c r="F695" i="4"/>
  <c r="E695" i="4"/>
  <c r="D695" i="4"/>
  <c r="C695" i="4"/>
  <c r="B695" i="4"/>
  <c r="C696" i="4" s="1"/>
  <c r="F694" i="4"/>
  <c r="E694" i="4"/>
  <c r="B694" i="4"/>
  <c r="F693" i="4"/>
  <c r="E693" i="4"/>
  <c r="D693" i="4"/>
  <c r="B693" i="4"/>
  <c r="C694" i="4" s="1"/>
  <c r="F692" i="4"/>
  <c r="E692" i="4"/>
  <c r="B692" i="4"/>
  <c r="D692" i="4" s="1"/>
  <c r="F691" i="4"/>
  <c r="E691" i="4"/>
  <c r="D691" i="4"/>
  <c r="B691" i="4"/>
  <c r="F690" i="4"/>
  <c r="E690" i="4"/>
  <c r="D690" i="4"/>
  <c r="C690" i="4"/>
  <c r="B690" i="4"/>
  <c r="D702" i="4" s="1"/>
  <c r="F689" i="4"/>
  <c r="E689" i="4"/>
  <c r="B689" i="4"/>
  <c r="F688" i="4"/>
  <c r="E688" i="4"/>
  <c r="D688" i="4"/>
  <c r="B688" i="4"/>
  <c r="C688" i="4" s="1"/>
  <c r="F687" i="4"/>
  <c r="E687" i="4"/>
  <c r="B687" i="4"/>
  <c r="D699" i="4" s="1"/>
  <c r="F686" i="4"/>
  <c r="E686" i="4"/>
  <c r="D686" i="4"/>
  <c r="B686" i="4"/>
  <c r="F685" i="4"/>
  <c r="E685" i="4"/>
  <c r="D685" i="4"/>
  <c r="C685" i="4"/>
  <c r="B685" i="4"/>
  <c r="C686" i="4" s="1"/>
  <c r="F684" i="4"/>
  <c r="E684" i="4"/>
  <c r="B684" i="4"/>
  <c r="D684" i="4" s="1"/>
  <c r="F683" i="4"/>
  <c r="E683" i="4"/>
  <c r="D683" i="4"/>
  <c r="B683" i="4"/>
  <c r="C684" i="4" s="1"/>
  <c r="F682" i="4"/>
  <c r="E682" i="4"/>
  <c r="B682" i="4"/>
  <c r="D694" i="4" s="1"/>
  <c r="F681" i="4"/>
  <c r="E681" i="4"/>
  <c r="D681" i="4"/>
  <c r="B681" i="4"/>
  <c r="F680" i="4"/>
  <c r="E680" i="4"/>
  <c r="C680" i="4"/>
  <c r="B680" i="4"/>
  <c r="D680" i="4" s="1"/>
  <c r="F679" i="4"/>
  <c r="E679" i="4"/>
  <c r="D679" i="4"/>
  <c r="C679" i="4"/>
  <c r="B679" i="4"/>
  <c r="F678" i="4"/>
  <c r="E678" i="4"/>
  <c r="D678" i="4"/>
  <c r="B678" i="4"/>
  <c r="F677" i="4"/>
  <c r="E677" i="4"/>
  <c r="B677" i="4"/>
  <c r="D689" i="4" s="1"/>
  <c r="F676" i="4"/>
  <c r="E676" i="4"/>
  <c r="B676" i="4"/>
  <c r="D676" i="4" s="1"/>
  <c r="F675" i="4"/>
  <c r="E675" i="4"/>
  <c r="C675" i="4"/>
  <c r="B675" i="4"/>
  <c r="D675" i="4" s="1"/>
  <c r="F674" i="4"/>
  <c r="E674" i="4"/>
  <c r="D674" i="4"/>
  <c r="B674" i="4"/>
  <c r="F673" i="4"/>
  <c r="E673" i="4"/>
  <c r="D673" i="4"/>
  <c r="B673" i="4"/>
  <c r="C673" i="4" s="1"/>
  <c r="F672" i="4"/>
  <c r="E672" i="4"/>
  <c r="B672" i="4"/>
  <c r="F671" i="4"/>
  <c r="E671" i="4"/>
  <c r="D671" i="4"/>
  <c r="C671" i="4"/>
  <c r="B671" i="4"/>
  <c r="C672" i="4" s="1"/>
  <c r="F670" i="4"/>
  <c r="E670" i="4"/>
  <c r="C670" i="4"/>
  <c r="B670" i="4"/>
  <c r="F669" i="4"/>
  <c r="E669" i="4"/>
  <c r="D669" i="4"/>
  <c r="B669" i="4"/>
  <c r="F668" i="4"/>
  <c r="E668" i="4"/>
  <c r="C668" i="4"/>
  <c r="B668" i="4"/>
  <c r="F667" i="4"/>
  <c r="E667" i="4"/>
  <c r="B667" i="4"/>
  <c r="F666" i="4"/>
  <c r="E666" i="4"/>
  <c r="D666" i="4"/>
  <c r="B666" i="4"/>
  <c r="C667" i="4" s="1"/>
  <c r="F665" i="4"/>
  <c r="E665" i="4"/>
  <c r="B665" i="4"/>
  <c r="C665" i="4" s="1"/>
  <c r="F664" i="4"/>
  <c r="E664" i="4"/>
  <c r="D664" i="4"/>
  <c r="B664" i="4"/>
  <c r="F663" i="4"/>
  <c r="E663" i="4"/>
  <c r="D663" i="4"/>
  <c r="C663" i="4"/>
  <c r="B663" i="4"/>
  <c r="C664" i="4" s="1"/>
  <c r="F662" i="4"/>
  <c r="E662" i="4"/>
  <c r="B662" i="4"/>
  <c r="F661" i="4"/>
  <c r="E661" i="4"/>
  <c r="D661" i="4"/>
  <c r="B661" i="4"/>
  <c r="C662" i="4" s="1"/>
  <c r="F660" i="4"/>
  <c r="E660" i="4"/>
  <c r="B660" i="4"/>
  <c r="D660" i="4" s="1"/>
  <c r="F659" i="4"/>
  <c r="E659" i="4"/>
  <c r="D659" i="4"/>
  <c r="B659" i="4"/>
  <c r="F658" i="4"/>
  <c r="E658" i="4"/>
  <c r="D658" i="4"/>
  <c r="C658" i="4"/>
  <c r="B658" i="4"/>
  <c r="D670" i="4" s="1"/>
  <c r="F657" i="4"/>
  <c r="E657" i="4"/>
  <c r="B657" i="4"/>
  <c r="F656" i="4"/>
  <c r="E656" i="4"/>
  <c r="D656" i="4"/>
  <c r="B656" i="4"/>
  <c r="C656" i="4" s="1"/>
  <c r="F655" i="4"/>
  <c r="E655" i="4"/>
  <c r="B655" i="4"/>
  <c r="D667" i="4" s="1"/>
  <c r="F654" i="4"/>
  <c r="E654" i="4"/>
  <c r="D654" i="4"/>
  <c r="B654" i="4"/>
  <c r="F653" i="4"/>
  <c r="E653" i="4"/>
  <c r="D653" i="4"/>
  <c r="C653" i="4"/>
  <c r="B653" i="4"/>
  <c r="C654" i="4" s="1"/>
  <c r="F652" i="4"/>
  <c r="E652" i="4"/>
  <c r="B652" i="4"/>
  <c r="D652" i="4" s="1"/>
  <c r="F651" i="4"/>
  <c r="E651" i="4"/>
  <c r="D651" i="4"/>
  <c r="B651" i="4"/>
  <c r="C652" i="4" s="1"/>
  <c r="F650" i="4"/>
  <c r="E650" i="4"/>
  <c r="B650" i="4"/>
  <c r="D662" i="4" s="1"/>
  <c r="F649" i="4"/>
  <c r="E649" i="4"/>
  <c r="D649" i="4"/>
  <c r="B649" i="4"/>
  <c r="F648" i="4"/>
  <c r="E648" i="4"/>
  <c r="C648" i="4"/>
  <c r="B648" i="4"/>
  <c r="D648" i="4" s="1"/>
  <c r="F647" i="4"/>
  <c r="E647" i="4"/>
  <c r="D647" i="4"/>
  <c r="C647" i="4"/>
  <c r="B647" i="4"/>
  <c r="F646" i="4"/>
  <c r="E646" i="4"/>
  <c r="D646" i="4"/>
  <c r="B646" i="4"/>
  <c r="F645" i="4"/>
  <c r="E645" i="4"/>
  <c r="B645" i="4"/>
  <c r="D657" i="4" s="1"/>
  <c r="F644" i="4"/>
  <c r="E644" i="4"/>
  <c r="B644" i="4"/>
  <c r="D644" i="4" s="1"/>
  <c r="F643" i="4"/>
  <c r="E643" i="4"/>
  <c r="C643" i="4"/>
  <c r="B643" i="4"/>
  <c r="D643" i="4" s="1"/>
  <c r="F642" i="4"/>
  <c r="E642" i="4"/>
  <c r="D642" i="4"/>
  <c r="B642" i="4"/>
  <c r="F641" i="4"/>
  <c r="E641" i="4"/>
  <c r="D641" i="4"/>
  <c r="B641" i="4"/>
  <c r="C641" i="4" s="1"/>
  <c r="F640" i="4"/>
  <c r="E640" i="4"/>
  <c r="B640" i="4"/>
  <c r="F639" i="4"/>
  <c r="E639" i="4"/>
  <c r="D639" i="4"/>
  <c r="C639" i="4"/>
  <c r="B639" i="4"/>
  <c r="C640" i="4" s="1"/>
  <c r="F638" i="4"/>
  <c r="E638" i="4"/>
  <c r="C638" i="4"/>
  <c r="B638" i="4"/>
  <c r="F637" i="4"/>
  <c r="E637" i="4"/>
  <c r="D637" i="4"/>
  <c r="B637" i="4"/>
  <c r="F636" i="4"/>
  <c r="E636" i="4"/>
  <c r="C636" i="4"/>
  <c r="B636" i="4"/>
  <c r="F635" i="4"/>
  <c r="E635" i="4"/>
  <c r="B635" i="4"/>
  <c r="F634" i="4"/>
  <c r="E634" i="4"/>
  <c r="D634" i="4"/>
  <c r="B634" i="4"/>
  <c r="C635" i="4" s="1"/>
  <c r="F633" i="4"/>
  <c r="E633" i="4"/>
  <c r="B633" i="4"/>
  <c r="C633" i="4" s="1"/>
  <c r="F632" i="4"/>
  <c r="E632" i="4"/>
  <c r="D632" i="4"/>
  <c r="B632" i="4"/>
  <c r="F631" i="4"/>
  <c r="E631" i="4"/>
  <c r="D631" i="4"/>
  <c r="C631" i="4"/>
  <c r="B631" i="4"/>
  <c r="C632" i="4" s="1"/>
  <c r="F630" i="4"/>
  <c r="E630" i="4"/>
  <c r="B630" i="4"/>
  <c r="F629" i="4"/>
  <c r="E629" i="4"/>
  <c r="D629" i="4"/>
  <c r="B629" i="4"/>
  <c r="C630" i="4" s="1"/>
  <c r="F628" i="4"/>
  <c r="E628" i="4"/>
  <c r="B628" i="4"/>
  <c r="D628" i="4" s="1"/>
  <c r="F627" i="4"/>
  <c r="E627" i="4"/>
  <c r="D627" i="4"/>
  <c r="B627" i="4"/>
  <c r="F626" i="4"/>
  <c r="E626" i="4"/>
  <c r="D626" i="4"/>
  <c r="C626" i="4"/>
  <c r="B626" i="4"/>
  <c r="D638" i="4" s="1"/>
  <c r="F625" i="4"/>
  <c r="E625" i="4"/>
  <c r="B625" i="4"/>
  <c r="F624" i="4"/>
  <c r="E624" i="4"/>
  <c r="D624" i="4"/>
  <c r="B624" i="4"/>
  <c r="C624" i="4" s="1"/>
  <c r="F623" i="4"/>
  <c r="E623" i="4"/>
  <c r="B623" i="4"/>
  <c r="D635" i="4" s="1"/>
  <c r="F622" i="4"/>
  <c r="E622" i="4"/>
  <c r="D622" i="4"/>
  <c r="B622" i="4"/>
  <c r="F621" i="4"/>
  <c r="E621" i="4"/>
  <c r="D621" i="4"/>
  <c r="C621" i="4"/>
  <c r="B621" i="4"/>
  <c r="C622" i="4" s="1"/>
  <c r="F620" i="4"/>
  <c r="E620" i="4"/>
  <c r="B620" i="4"/>
  <c r="D620" i="4" s="1"/>
  <c r="F619" i="4"/>
  <c r="E619" i="4"/>
  <c r="D619" i="4"/>
  <c r="B619" i="4"/>
  <c r="C620" i="4" s="1"/>
  <c r="F618" i="4"/>
  <c r="E618" i="4"/>
  <c r="B618" i="4"/>
  <c r="D630" i="4" s="1"/>
  <c r="F617" i="4"/>
  <c r="E617" i="4"/>
  <c r="D617" i="4"/>
  <c r="B617" i="4"/>
  <c r="F616" i="4"/>
  <c r="E616" i="4"/>
  <c r="C616" i="4"/>
  <c r="B616" i="4"/>
  <c r="D616" i="4" s="1"/>
  <c r="F615" i="4"/>
  <c r="E615" i="4"/>
  <c r="D615" i="4"/>
  <c r="C615" i="4"/>
  <c r="B615" i="4"/>
  <c r="F614" i="4"/>
  <c r="E614" i="4"/>
  <c r="D614" i="4"/>
  <c r="B614" i="4"/>
  <c r="F613" i="4"/>
  <c r="E613" i="4"/>
  <c r="B613" i="4"/>
  <c r="D625" i="4" s="1"/>
  <c r="F612" i="4"/>
  <c r="E612" i="4"/>
  <c r="B612" i="4"/>
  <c r="D612" i="4" s="1"/>
  <c r="F611" i="4"/>
  <c r="E611" i="4"/>
  <c r="C611" i="4"/>
  <c r="B611" i="4"/>
  <c r="D611" i="4" s="1"/>
  <c r="F610" i="4"/>
  <c r="E610" i="4"/>
  <c r="B610" i="4"/>
  <c r="F609" i="4"/>
  <c r="E609" i="4"/>
  <c r="D609" i="4"/>
  <c r="B609" i="4"/>
  <c r="C609" i="4" s="1"/>
  <c r="F608" i="4"/>
  <c r="E608" i="4"/>
  <c r="B608" i="4"/>
  <c r="F607" i="4"/>
  <c r="E607" i="4"/>
  <c r="D607" i="4"/>
  <c r="C607" i="4"/>
  <c r="B607" i="4"/>
  <c r="C608" i="4" s="1"/>
  <c r="F606" i="4"/>
  <c r="E606" i="4"/>
  <c r="C606" i="4"/>
  <c r="B606" i="4"/>
  <c r="F605" i="4"/>
  <c r="E605" i="4"/>
  <c r="B605" i="4"/>
  <c r="F604" i="4"/>
  <c r="E604" i="4"/>
  <c r="C604" i="4"/>
  <c r="B604" i="4"/>
  <c r="D604" i="4" s="1"/>
  <c r="F603" i="4"/>
  <c r="E603" i="4"/>
  <c r="B603" i="4"/>
  <c r="F602" i="4"/>
  <c r="E602" i="4"/>
  <c r="B602" i="4"/>
  <c r="C603" i="4" s="1"/>
  <c r="F601" i="4"/>
  <c r="E601" i="4"/>
  <c r="C601" i="4"/>
  <c r="B601" i="4"/>
  <c r="D601" i="4" s="1"/>
  <c r="F600" i="4"/>
  <c r="E600" i="4"/>
  <c r="B600" i="4"/>
  <c r="F599" i="4"/>
  <c r="E599" i="4"/>
  <c r="D599" i="4"/>
  <c r="B599" i="4"/>
  <c r="C600" i="4" s="1"/>
  <c r="F598" i="4"/>
  <c r="E598" i="4"/>
  <c r="B598" i="4"/>
  <c r="D598" i="4" s="1"/>
  <c r="F597" i="4"/>
  <c r="E597" i="4"/>
  <c r="B597" i="4"/>
  <c r="F596" i="4"/>
  <c r="E596" i="4"/>
  <c r="D596" i="4"/>
  <c r="C596" i="4"/>
  <c r="B596" i="4"/>
  <c r="D608" i="4" s="1"/>
  <c r="F595" i="4"/>
  <c r="E595" i="4"/>
  <c r="B595" i="4"/>
  <c r="F594" i="4"/>
  <c r="E594" i="4"/>
  <c r="B594" i="4"/>
  <c r="C595" i="4" s="1"/>
  <c r="F593" i="4"/>
  <c r="E593" i="4"/>
  <c r="C593" i="4"/>
  <c r="B593" i="4"/>
  <c r="D593" i="4" s="1"/>
  <c r="F592" i="4"/>
  <c r="E592" i="4"/>
  <c r="B592" i="4"/>
  <c r="F591" i="4"/>
  <c r="E591" i="4"/>
  <c r="D591" i="4"/>
  <c r="B591" i="4"/>
  <c r="D603" i="4" s="1"/>
  <c r="F590" i="4"/>
  <c r="E590" i="4"/>
  <c r="B590" i="4"/>
  <c r="D590" i="4" s="1"/>
  <c r="F589" i="4"/>
  <c r="E589" i="4"/>
  <c r="B589" i="4"/>
  <c r="F588" i="4"/>
  <c r="E588" i="4"/>
  <c r="D588" i="4"/>
  <c r="C588" i="4"/>
  <c r="B588" i="4"/>
  <c r="D600" i="4" s="1"/>
  <c r="F587" i="4"/>
  <c r="E587" i="4"/>
  <c r="B587" i="4"/>
  <c r="F586" i="4"/>
  <c r="E586" i="4"/>
  <c r="B586" i="4"/>
  <c r="C587" i="4" s="1"/>
  <c r="F585" i="4"/>
  <c r="E585" i="4"/>
  <c r="C585" i="4"/>
  <c r="B585" i="4"/>
  <c r="D585" i="4" s="1"/>
  <c r="F584" i="4"/>
  <c r="E584" i="4"/>
  <c r="B584" i="4"/>
  <c r="F583" i="4"/>
  <c r="E583" i="4"/>
  <c r="D583" i="4"/>
  <c r="B583" i="4"/>
  <c r="D595" i="4" s="1"/>
  <c r="F582" i="4"/>
  <c r="E582" i="4"/>
  <c r="B582" i="4"/>
  <c r="D582" i="4" s="1"/>
  <c r="F581" i="4"/>
  <c r="E581" i="4"/>
  <c r="B581" i="4"/>
  <c r="F580" i="4"/>
  <c r="E580" i="4"/>
  <c r="D580" i="4"/>
  <c r="C580" i="4"/>
  <c r="B580" i="4"/>
  <c r="D592" i="4" s="1"/>
  <c r="F579" i="4"/>
  <c r="E579" i="4"/>
  <c r="B579" i="4"/>
  <c r="F578" i="4"/>
  <c r="E578" i="4"/>
  <c r="B578" i="4"/>
  <c r="C579" i="4" s="1"/>
  <c r="F577" i="4"/>
  <c r="E577" i="4"/>
  <c r="C577" i="4"/>
  <c r="B577" i="4"/>
  <c r="D577" i="4" s="1"/>
  <c r="F576" i="4"/>
  <c r="E576" i="4"/>
  <c r="B576" i="4"/>
  <c r="F575" i="4"/>
  <c r="E575" i="4"/>
  <c r="D575" i="4"/>
  <c r="B575" i="4"/>
  <c r="D587" i="4" s="1"/>
  <c r="F574" i="4"/>
  <c r="E574" i="4"/>
  <c r="B574" i="4"/>
  <c r="D574" i="4" s="1"/>
  <c r="F573" i="4"/>
  <c r="E573" i="4"/>
  <c r="B573" i="4"/>
  <c r="F572" i="4"/>
  <c r="E572" i="4"/>
  <c r="D572" i="4"/>
  <c r="C572" i="4"/>
  <c r="B572" i="4"/>
  <c r="D584" i="4" s="1"/>
  <c r="F571" i="4"/>
  <c r="E571" i="4"/>
  <c r="B571" i="4"/>
  <c r="F570" i="4"/>
  <c r="E570" i="4"/>
  <c r="B570" i="4"/>
  <c r="C571" i="4" s="1"/>
  <c r="F569" i="4"/>
  <c r="E569" i="4"/>
  <c r="C569" i="4"/>
  <c r="B569" i="4"/>
  <c r="D569" i="4" s="1"/>
  <c r="F568" i="4"/>
  <c r="E568" i="4"/>
  <c r="B568" i="4"/>
  <c r="F567" i="4"/>
  <c r="E567" i="4"/>
  <c r="D567" i="4"/>
  <c r="B567" i="4"/>
  <c r="D579" i="4" s="1"/>
  <c r="F566" i="4"/>
  <c r="E566" i="4"/>
  <c r="B566" i="4"/>
  <c r="D566" i="4" s="1"/>
  <c r="F565" i="4"/>
  <c r="E565" i="4"/>
  <c r="B565" i="4"/>
  <c r="F564" i="4"/>
  <c r="E564" i="4"/>
  <c r="D564" i="4"/>
  <c r="C564" i="4"/>
  <c r="B564" i="4"/>
  <c r="D576" i="4" s="1"/>
  <c r="F563" i="4"/>
  <c r="E563" i="4"/>
  <c r="B563" i="4"/>
  <c r="F562" i="4"/>
  <c r="E562" i="4"/>
  <c r="B562" i="4"/>
  <c r="C563" i="4" s="1"/>
  <c r="F561" i="4"/>
  <c r="E561" i="4"/>
  <c r="C561" i="4"/>
  <c r="B561" i="4"/>
  <c r="D561" i="4" s="1"/>
  <c r="F560" i="4"/>
  <c r="E560" i="4"/>
  <c r="B560" i="4"/>
  <c r="F559" i="4"/>
  <c r="E559" i="4"/>
  <c r="D559" i="4"/>
  <c r="B559" i="4"/>
  <c r="D571" i="4" s="1"/>
  <c r="F558" i="4"/>
  <c r="E558" i="4"/>
  <c r="B558" i="4"/>
  <c r="D558" i="4" s="1"/>
  <c r="F557" i="4"/>
  <c r="E557" i="4"/>
  <c r="B557" i="4"/>
  <c r="F556" i="4"/>
  <c r="E556" i="4"/>
  <c r="D556" i="4"/>
  <c r="C556" i="4"/>
  <c r="B556" i="4"/>
  <c r="D568" i="4" s="1"/>
  <c r="F555" i="4"/>
  <c r="E555" i="4"/>
  <c r="B555" i="4"/>
  <c r="F554" i="4"/>
  <c r="E554" i="4"/>
  <c r="B554" i="4"/>
  <c r="C555" i="4" s="1"/>
  <c r="F553" i="4"/>
  <c r="E553" i="4"/>
  <c r="C553" i="4"/>
  <c r="B553" i="4"/>
  <c r="D553" i="4" s="1"/>
  <c r="F552" i="4"/>
  <c r="E552" i="4"/>
  <c r="B552" i="4"/>
  <c r="F551" i="4"/>
  <c r="E551" i="4"/>
  <c r="D551" i="4"/>
  <c r="B551" i="4"/>
  <c r="D563" i="4" s="1"/>
  <c r="F550" i="4"/>
  <c r="E550" i="4"/>
  <c r="B550" i="4"/>
  <c r="D550" i="4" s="1"/>
  <c r="F549" i="4"/>
  <c r="E549" i="4"/>
  <c r="B549" i="4"/>
  <c r="F548" i="4"/>
  <c r="E548" i="4"/>
  <c r="D548" i="4"/>
  <c r="C548" i="4"/>
  <c r="B548" i="4"/>
  <c r="D560" i="4" s="1"/>
  <c r="F547" i="4"/>
  <c r="E547" i="4"/>
  <c r="B547" i="4"/>
  <c r="F546" i="4"/>
  <c r="E546" i="4"/>
  <c r="B546" i="4"/>
  <c r="C547" i="4" s="1"/>
  <c r="F545" i="4"/>
  <c r="E545" i="4"/>
  <c r="C545" i="4"/>
  <c r="B545" i="4"/>
  <c r="D545" i="4" s="1"/>
  <c r="F544" i="4"/>
  <c r="E544" i="4"/>
  <c r="B544" i="4"/>
  <c r="F543" i="4"/>
  <c r="E543" i="4"/>
  <c r="D543" i="4"/>
  <c r="B543" i="4"/>
  <c r="D555" i="4" s="1"/>
  <c r="F542" i="4"/>
  <c r="E542" i="4"/>
  <c r="B542" i="4"/>
  <c r="F541" i="4"/>
  <c r="E541" i="4"/>
  <c r="B541" i="4"/>
  <c r="F540" i="4"/>
  <c r="E540" i="4"/>
  <c r="D540" i="4"/>
  <c r="C540" i="4"/>
  <c r="B540" i="4"/>
  <c r="D552" i="4" s="1"/>
  <c r="F539" i="4"/>
  <c r="E539" i="4"/>
  <c r="B539" i="4"/>
  <c r="F538" i="4"/>
  <c r="E538" i="4"/>
  <c r="B538" i="4"/>
  <c r="C539" i="4" s="1"/>
  <c r="F537" i="4"/>
  <c r="E537" i="4"/>
  <c r="C537" i="4"/>
  <c r="B537" i="4"/>
  <c r="D537" i="4" s="1"/>
  <c r="F536" i="4"/>
  <c r="E536" i="4"/>
  <c r="B536" i="4"/>
  <c r="F535" i="4"/>
  <c r="E535" i="4"/>
  <c r="D535" i="4"/>
  <c r="B535" i="4"/>
  <c r="D547" i="4" s="1"/>
  <c r="F534" i="4"/>
  <c r="E534" i="4"/>
  <c r="B534" i="4"/>
  <c r="F533" i="4"/>
  <c r="E533" i="4"/>
  <c r="B533" i="4"/>
  <c r="F532" i="4"/>
  <c r="E532" i="4"/>
  <c r="D532" i="4"/>
  <c r="C532" i="4"/>
  <c r="B532" i="4"/>
  <c r="D544" i="4" s="1"/>
  <c r="F531" i="4"/>
  <c r="E531" i="4"/>
  <c r="B531" i="4"/>
  <c r="F530" i="4"/>
  <c r="E530" i="4"/>
  <c r="B530" i="4"/>
  <c r="C531" i="4" s="1"/>
  <c r="F529" i="4"/>
  <c r="E529" i="4"/>
  <c r="C529" i="4"/>
  <c r="B529" i="4"/>
  <c r="D529" i="4" s="1"/>
  <c r="F528" i="4"/>
  <c r="E528" i="4"/>
  <c r="B528" i="4"/>
  <c r="F527" i="4"/>
  <c r="E527" i="4"/>
  <c r="D527" i="4"/>
  <c r="B527" i="4"/>
  <c r="D539" i="4" s="1"/>
  <c r="F526" i="4"/>
  <c r="E526" i="4"/>
  <c r="B526" i="4"/>
  <c r="F525" i="4"/>
  <c r="E525" i="4"/>
  <c r="B525" i="4"/>
  <c r="F524" i="4"/>
  <c r="E524" i="4"/>
  <c r="D524" i="4"/>
  <c r="C524" i="4"/>
  <c r="B524" i="4"/>
  <c r="D536" i="4" s="1"/>
  <c r="F523" i="4"/>
  <c r="E523" i="4"/>
  <c r="B523" i="4"/>
  <c r="F522" i="4"/>
  <c r="E522" i="4"/>
  <c r="B522" i="4"/>
  <c r="C523" i="4" s="1"/>
  <c r="F521" i="4"/>
  <c r="E521" i="4"/>
  <c r="C521" i="4"/>
  <c r="B521" i="4"/>
  <c r="D521" i="4" s="1"/>
  <c r="F520" i="4"/>
  <c r="E520" i="4"/>
  <c r="B520" i="4"/>
  <c r="F519" i="4"/>
  <c r="E519" i="4"/>
  <c r="D519" i="4"/>
  <c r="B519" i="4"/>
  <c r="D531" i="4" s="1"/>
  <c r="F518" i="4"/>
  <c r="E518" i="4"/>
  <c r="B518" i="4"/>
  <c r="F517" i="4"/>
  <c r="E517" i="4"/>
  <c r="B517" i="4"/>
  <c r="F516" i="4"/>
  <c r="E516" i="4"/>
  <c r="D516" i="4"/>
  <c r="C516" i="4"/>
  <c r="B516" i="4"/>
  <c r="D528" i="4" s="1"/>
  <c r="F515" i="4"/>
  <c r="E515" i="4"/>
  <c r="B515" i="4"/>
  <c r="F514" i="4"/>
  <c r="E514" i="4"/>
  <c r="B514" i="4"/>
  <c r="C515" i="4" s="1"/>
  <c r="F513" i="4"/>
  <c r="E513" i="4"/>
  <c r="C513" i="4"/>
  <c r="B513" i="4"/>
  <c r="F512" i="4"/>
  <c r="E512" i="4"/>
  <c r="B512" i="4"/>
  <c r="F511" i="4"/>
  <c r="E511" i="4"/>
  <c r="D511" i="4"/>
  <c r="B511" i="4"/>
  <c r="D523" i="4" s="1"/>
  <c r="F510" i="4"/>
  <c r="E510" i="4"/>
  <c r="B510" i="4"/>
  <c r="F509" i="4"/>
  <c r="E509" i="4"/>
  <c r="B509" i="4"/>
  <c r="F508" i="4"/>
  <c r="E508" i="4"/>
  <c r="D508" i="4"/>
  <c r="C508" i="4"/>
  <c r="B508" i="4"/>
  <c r="D520" i="4" s="1"/>
  <c r="F507" i="4"/>
  <c r="E507" i="4"/>
  <c r="B507" i="4"/>
  <c r="F506" i="4"/>
  <c r="E506" i="4"/>
  <c r="B506" i="4"/>
  <c r="C507" i="4" s="1"/>
  <c r="F505" i="4"/>
  <c r="E505" i="4"/>
  <c r="B505" i="4"/>
  <c r="F504" i="4"/>
  <c r="E504" i="4"/>
  <c r="B504" i="4"/>
  <c r="F503" i="4"/>
  <c r="E503" i="4"/>
  <c r="B503" i="4"/>
  <c r="F502" i="4"/>
  <c r="E502" i="4"/>
  <c r="B502" i="4"/>
  <c r="F501" i="4"/>
  <c r="E501" i="4"/>
  <c r="B501" i="4"/>
  <c r="F500" i="4"/>
  <c r="E500" i="4"/>
  <c r="D500" i="4"/>
  <c r="C500" i="4"/>
  <c r="B500" i="4"/>
  <c r="F499" i="4"/>
  <c r="E499" i="4"/>
  <c r="B499" i="4"/>
  <c r="F498" i="4"/>
  <c r="E498" i="4"/>
  <c r="D498" i="4"/>
  <c r="B498" i="4"/>
  <c r="C499" i="4" s="1"/>
  <c r="F497" i="4"/>
  <c r="E497" i="4"/>
  <c r="B497" i="4"/>
  <c r="C498" i="4" s="1"/>
  <c r="F496" i="4"/>
  <c r="E496" i="4"/>
  <c r="B496" i="4"/>
  <c r="F495" i="4"/>
  <c r="E495" i="4"/>
  <c r="B495" i="4"/>
  <c r="F494" i="4"/>
  <c r="E494" i="4"/>
  <c r="B494" i="4"/>
  <c r="F493" i="4"/>
  <c r="E493" i="4"/>
  <c r="B493" i="4"/>
  <c r="F492" i="4"/>
  <c r="E492" i="4"/>
  <c r="D492" i="4"/>
  <c r="C492" i="4"/>
  <c r="B492" i="4"/>
  <c r="F491" i="4"/>
  <c r="E491" i="4"/>
  <c r="B491" i="4"/>
  <c r="F490" i="4"/>
  <c r="E490" i="4"/>
  <c r="D490" i="4"/>
  <c r="B490" i="4"/>
  <c r="C491" i="4" s="1"/>
  <c r="F489" i="4"/>
  <c r="E489" i="4"/>
  <c r="B489" i="4"/>
  <c r="D489" i="4" s="1"/>
  <c r="F488" i="4"/>
  <c r="E488" i="4"/>
  <c r="B488" i="4"/>
  <c r="F487" i="4"/>
  <c r="E487" i="4"/>
  <c r="B487" i="4"/>
  <c r="F486" i="4"/>
  <c r="E486" i="4"/>
  <c r="B486" i="4"/>
  <c r="F485" i="4"/>
  <c r="E485" i="4"/>
  <c r="B485" i="4"/>
  <c r="F484" i="4"/>
  <c r="E484" i="4"/>
  <c r="D484" i="4"/>
  <c r="C484" i="4"/>
  <c r="B484" i="4"/>
  <c r="F483" i="4"/>
  <c r="E483" i="4"/>
  <c r="B483" i="4"/>
  <c r="F482" i="4"/>
  <c r="E482" i="4"/>
  <c r="D482" i="4"/>
  <c r="B482" i="4"/>
  <c r="C483" i="4" s="1"/>
  <c r="F481" i="4"/>
  <c r="E481" i="4"/>
  <c r="B481" i="4"/>
  <c r="D481" i="4" s="1"/>
  <c r="F480" i="4"/>
  <c r="E480" i="4"/>
  <c r="B480" i="4"/>
  <c r="F479" i="4"/>
  <c r="E479" i="4"/>
  <c r="B479" i="4"/>
  <c r="F478" i="4"/>
  <c r="E478" i="4"/>
  <c r="B478" i="4"/>
  <c r="F477" i="4"/>
  <c r="E477" i="4"/>
  <c r="B477" i="4"/>
  <c r="F476" i="4"/>
  <c r="E476" i="4"/>
  <c r="D476" i="4"/>
  <c r="C476" i="4"/>
  <c r="B476" i="4"/>
  <c r="F475" i="4"/>
  <c r="E475" i="4"/>
  <c r="B475" i="4"/>
  <c r="F474" i="4"/>
  <c r="E474" i="4"/>
  <c r="D474" i="4"/>
  <c r="B474" i="4"/>
  <c r="C475" i="4" s="1"/>
  <c r="F473" i="4"/>
  <c r="E473" i="4"/>
  <c r="B473" i="4"/>
  <c r="D473" i="4" s="1"/>
  <c r="F472" i="4"/>
  <c r="E472" i="4"/>
  <c r="B472" i="4"/>
  <c r="F471" i="4"/>
  <c r="E471" i="4"/>
  <c r="B471" i="4"/>
  <c r="D471" i="4" s="1"/>
  <c r="F470" i="4"/>
  <c r="E470" i="4"/>
  <c r="B470" i="4"/>
  <c r="F469" i="4"/>
  <c r="E469" i="4"/>
  <c r="B469" i="4"/>
  <c r="F468" i="4"/>
  <c r="E468" i="4"/>
  <c r="D468" i="4"/>
  <c r="C468" i="4"/>
  <c r="B468" i="4"/>
  <c r="F467" i="4"/>
  <c r="E467" i="4"/>
  <c r="B467" i="4"/>
  <c r="F466" i="4"/>
  <c r="E466" i="4"/>
  <c r="D466" i="4"/>
  <c r="B466" i="4"/>
  <c r="C467" i="4" s="1"/>
  <c r="F465" i="4"/>
  <c r="E465" i="4"/>
  <c r="B465" i="4"/>
  <c r="D465" i="4" s="1"/>
  <c r="F464" i="4"/>
  <c r="E464" i="4"/>
  <c r="B464" i="4"/>
  <c r="F463" i="4"/>
  <c r="E463" i="4"/>
  <c r="B463" i="4"/>
  <c r="F462" i="4"/>
  <c r="E462" i="4"/>
  <c r="B462" i="4"/>
  <c r="F461" i="4"/>
  <c r="E461" i="4"/>
  <c r="B461" i="4"/>
  <c r="F460" i="4"/>
  <c r="E460" i="4"/>
  <c r="D460" i="4"/>
  <c r="C460" i="4"/>
  <c r="B460" i="4"/>
  <c r="F459" i="4"/>
  <c r="E459" i="4"/>
  <c r="B459" i="4"/>
  <c r="F458" i="4"/>
  <c r="E458" i="4"/>
  <c r="D458" i="4"/>
  <c r="B458" i="4"/>
  <c r="C459" i="4" s="1"/>
  <c r="F457" i="4"/>
  <c r="E457" i="4"/>
  <c r="B457" i="4"/>
  <c r="D457" i="4" s="1"/>
  <c r="F456" i="4"/>
  <c r="E456" i="4"/>
  <c r="B456" i="4"/>
  <c r="F455" i="4"/>
  <c r="E455" i="4"/>
  <c r="B455" i="4"/>
  <c r="F454" i="4"/>
  <c r="E454" i="4"/>
  <c r="B454" i="4"/>
  <c r="F453" i="4"/>
  <c r="E453" i="4"/>
  <c r="B453" i="4"/>
  <c r="F452" i="4"/>
  <c r="E452" i="4"/>
  <c r="D452" i="4"/>
  <c r="C452" i="4"/>
  <c r="B452" i="4"/>
  <c r="F451" i="4"/>
  <c r="E451" i="4"/>
  <c r="B451" i="4"/>
  <c r="F450" i="4"/>
  <c r="E450" i="4"/>
  <c r="D450" i="4"/>
  <c r="B450" i="4"/>
  <c r="C451" i="4" s="1"/>
  <c r="F449" i="4"/>
  <c r="E449" i="4"/>
  <c r="B449" i="4"/>
  <c r="D449" i="4" s="1"/>
  <c r="F448" i="4"/>
  <c r="E448" i="4"/>
  <c r="B448" i="4"/>
  <c r="F447" i="4"/>
  <c r="E447" i="4"/>
  <c r="B447" i="4"/>
  <c r="D447" i="4" s="1"/>
  <c r="F446" i="4"/>
  <c r="E446" i="4"/>
  <c r="B446" i="4"/>
  <c r="F445" i="4"/>
  <c r="E445" i="4"/>
  <c r="B445" i="4"/>
  <c r="F444" i="4"/>
  <c r="E444" i="4"/>
  <c r="D444" i="4"/>
  <c r="C444" i="4"/>
  <c r="B444" i="4"/>
  <c r="F443" i="4"/>
  <c r="E443" i="4"/>
  <c r="B443" i="4"/>
  <c r="F442" i="4"/>
  <c r="E442" i="4"/>
  <c r="D442" i="4"/>
  <c r="B442" i="4"/>
  <c r="C443" i="4" s="1"/>
  <c r="F441" i="4"/>
  <c r="E441" i="4"/>
  <c r="B441" i="4"/>
  <c r="D441" i="4" s="1"/>
  <c r="F440" i="4"/>
  <c r="E440" i="4"/>
  <c r="B440" i="4"/>
  <c r="F439" i="4"/>
  <c r="E439" i="4"/>
  <c r="B439" i="4"/>
  <c r="F438" i="4"/>
  <c r="E438" i="4"/>
  <c r="B438" i="4"/>
  <c r="F437" i="4"/>
  <c r="E437" i="4"/>
  <c r="B437" i="4"/>
  <c r="F436" i="4"/>
  <c r="E436" i="4"/>
  <c r="D436" i="4"/>
  <c r="C436" i="4"/>
  <c r="B436" i="4"/>
  <c r="F435" i="4"/>
  <c r="E435" i="4"/>
  <c r="B435" i="4"/>
  <c r="F434" i="4"/>
  <c r="E434" i="4"/>
  <c r="D434" i="4"/>
  <c r="B434" i="4"/>
  <c r="C435" i="4" s="1"/>
  <c r="F433" i="4"/>
  <c r="E433" i="4"/>
  <c r="B433" i="4"/>
  <c r="D433" i="4" s="1"/>
  <c r="F432" i="4"/>
  <c r="E432" i="4"/>
  <c r="B432" i="4"/>
  <c r="F431" i="4"/>
  <c r="E431" i="4"/>
  <c r="B431" i="4"/>
  <c r="F430" i="4"/>
  <c r="E430" i="4"/>
  <c r="B430" i="4"/>
  <c r="F429" i="4"/>
  <c r="E429" i="4"/>
  <c r="B429" i="4"/>
  <c r="F428" i="4"/>
  <c r="E428" i="4"/>
  <c r="D428" i="4"/>
  <c r="C428" i="4"/>
  <c r="B428" i="4"/>
  <c r="F427" i="4"/>
  <c r="E427" i="4"/>
  <c r="B427" i="4"/>
  <c r="F426" i="4"/>
  <c r="E426" i="4"/>
  <c r="D426" i="4"/>
  <c r="B426" i="4"/>
  <c r="C427" i="4" s="1"/>
  <c r="F425" i="4"/>
  <c r="E425" i="4"/>
  <c r="B425" i="4"/>
  <c r="D425" i="4" s="1"/>
  <c r="F424" i="4"/>
  <c r="E424" i="4"/>
  <c r="B424" i="4"/>
  <c r="F423" i="4"/>
  <c r="E423" i="4"/>
  <c r="B423" i="4"/>
  <c r="F422" i="4"/>
  <c r="E422" i="4"/>
  <c r="B422" i="4"/>
  <c r="F421" i="4"/>
  <c r="E421" i="4"/>
  <c r="B421" i="4"/>
  <c r="F420" i="4"/>
  <c r="E420" i="4"/>
  <c r="D420" i="4"/>
  <c r="C420" i="4"/>
  <c r="B420" i="4"/>
  <c r="F419" i="4"/>
  <c r="E419" i="4"/>
  <c r="B419" i="4"/>
  <c r="F418" i="4"/>
  <c r="E418" i="4"/>
  <c r="D418" i="4"/>
  <c r="B418" i="4"/>
  <c r="C419" i="4" s="1"/>
  <c r="F417" i="4"/>
  <c r="E417" i="4"/>
  <c r="B417" i="4"/>
  <c r="D417" i="4" s="1"/>
  <c r="F416" i="4"/>
  <c r="E416" i="4"/>
  <c r="B416" i="4"/>
  <c r="F415" i="4"/>
  <c r="E415" i="4"/>
  <c r="B415" i="4"/>
  <c r="F414" i="4"/>
  <c r="E414" i="4"/>
  <c r="B414" i="4"/>
  <c r="F413" i="4"/>
  <c r="E413" i="4"/>
  <c r="B413" i="4"/>
  <c r="F412" i="4"/>
  <c r="E412" i="4"/>
  <c r="D412" i="4"/>
  <c r="C412" i="4"/>
  <c r="B412" i="4"/>
  <c r="F411" i="4"/>
  <c r="E411" i="4"/>
  <c r="B411" i="4"/>
  <c r="F410" i="4"/>
  <c r="E410" i="4"/>
  <c r="D410" i="4"/>
  <c r="B410" i="4"/>
  <c r="C411" i="4" s="1"/>
  <c r="F409" i="4"/>
  <c r="E409" i="4"/>
  <c r="B409" i="4"/>
  <c r="D409" i="4" s="1"/>
  <c r="F408" i="4"/>
  <c r="E408" i="4"/>
  <c r="B408" i="4"/>
  <c r="F407" i="4"/>
  <c r="E407" i="4"/>
  <c r="B407" i="4"/>
  <c r="D407" i="4" s="1"/>
  <c r="F406" i="4"/>
  <c r="E406" i="4"/>
  <c r="B406" i="4"/>
  <c r="F405" i="4"/>
  <c r="E405" i="4"/>
  <c r="B405" i="4"/>
  <c r="F404" i="4"/>
  <c r="E404" i="4"/>
  <c r="D404" i="4"/>
  <c r="C404" i="4"/>
  <c r="B404" i="4"/>
  <c r="F403" i="4"/>
  <c r="E403" i="4"/>
  <c r="B403" i="4"/>
  <c r="F402" i="4"/>
  <c r="E402" i="4"/>
  <c r="D402" i="4"/>
  <c r="B402" i="4"/>
  <c r="C403" i="4" s="1"/>
  <c r="F401" i="4"/>
  <c r="E401" i="4"/>
  <c r="B401" i="4"/>
  <c r="D401" i="4" s="1"/>
  <c r="F400" i="4"/>
  <c r="E400" i="4"/>
  <c r="B400" i="4"/>
  <c r="F399" i="4"/>
  <c r="E399" i="4"/>
  <c r="B399" i="4"/>
  <c r="D399" i="4" s="1"/>
  <c r="F398" i="4"/>
  <c r="E398" i="4"/>
  <c r="B398" i="4"/>
  <c r="F397" i="4"/>
  <c r="E397" i="4"/>
  <c r="B397" i="4"/>
  <c r="F396" i="4"/>
  <c r="E396" i="4"/>
  <c r="D396" i="4"/>
  <c r="C396" i="4"/>
  <c r="B396" i="4"/>
  <c r="F395" i="4"/>
  <c r="E395" i="4"/>
  <c r="B395" i="4"/>
  <c r="F394" i="4"/>
  <c r="E394" i="4"/>
  <c r="D394" i="4"/>
  <c r="B394" i="4"/>
  <c r="C395" i="4" s="1"/>
  <c r="F393" i="4"/>
  <c r="E393" i="4"/>
  <c r="B393" i="4"/>
  <c r="D393" i="4" s="1"/>
  <c r="F392" i="4"/>
  <c r="E392" i="4"/>
  <c r="B392" i="4"/>
  <c r="F391" i="4"/>
  <c r="E391" i="4"/>
  <c r="B391" i="4"/>
  <c r="D391" i="4" s="1"/>
  <c r="F390" i="4"/>
  <c r="E390" i="4"/>
  <c r="B390" i="4"/>
  <c r="F389" i="4"/>
  <c r="E389" i="4"/>
  <c r="B389" i="4"/>
  <c r="F388" i="4"/>
  <c r="E388" i="4"/>
  <c r="D388" i="4"/>
  <c r="C388" i="4"/>
  <c r="B388" i="4"/>
  <c r="F387" i="4"/>
  <c r="E387" i="4"/>
  <c r="B387" i="4"/>
  <c r="F386" i="4"/>
  <c r="E386" i="4"/>
  <c r="D386" i="4"/>
  <c r="B386" i="4"/>
  <c r="C387" i="4" s="1"/>
  <c r="F385" i="4"/>
  <c r="E385" i="4"/>
  <c r="B385" i="4"/>
  <c r="D385" i="4" s="1"/>
  <c r="F384" i="4"/>
  <c r="E384" i="4"/>
  <c r="B384" i="4"/>
  <c r="F383" i="4"/>
  <c r="E383" i="4"/>
  <c r="B383" i="4"/>
  <c r="F382" i="4"/>
  <c r="E382" i="4"/>
  <c r="B382" i="4"/>
  <c r="F381" i="4"/>
  <c r="E381" i="4"/>
  <c r="B381" i="4"/>
  <c r="F380" i="4"/>
  <c r="E380" i="4"/>
  <c r="D380" i="4"/>
  <c r="C380" i="4"/>
  <c r="B380" i="4"/>
  <c r="F379" i="4"/>
  <c r="E379" i="4"/>
  <c r="B379" i="4"/>
  <c r="F378" i="4"/>
  <c r="E378" i="4"/>
  <c r="D378" i="4"/>
  <c r="B378" i="4"/>
  <c r="C379" i="4" s="1"/>
  <c r="F377" i="4"/>
  <c r="E377" i="4"/>
  <c r="B377" i="4"/>
  <c r="D377" i="4" s="1"/>
  <c r="F376" i="4"/>
  <c r="E376" i="4"/>
  <c r="B376" i="4"/>
  <c r="F375" i="4"/>
  <c r="E375" i="4"/>
  <c r="B375" i="4"/>
  <c r="F374" i="4"/>
  <c r="E374" i="4"/>
  <c r="B374" i="4"/>
  <c r="F373" i="4"/>
  <c r="E373" i="4"/>
  <c r="B373" i="4"/>
  <c r="F372" i="4"/>
  <c r="E372" i="4"/>
  <c r="D372" i="4"/>
  <c r="C372" i="4"/>
  <c r="B372" i="4"/>
  <c r="F371" i="4"/>
  <c r="E371" i="4"/>
  <c r="B371" i="4"/>
  <c r="F370" i="4"/>
  <c r="E370" i="4"/>
  <c r="D370" i="4"/>
  <c r="B370" i="4"/>
  <c r="C371" i="4" s="1"/>
  <c r="F369" i="4"/>
  <c r="E369" i="4"/>
  <c r="B369" i="4"/>
  <c r="D369" i="4" s="1"/>
  <c r="F368" i="4"/>
  <c r="E368" i="4"/>
  <c r="B368" i="4"/>
  <c r="F367" i="4"/>
  <c r="E367" i="4"/>
  <c r="B367" i="4"/>
  <c r="F366" i="4"/>
  <c r="E366" i="4"/>
  <c r="B366" i="4"/>
  <c r="F365" i="4"/>
  <c r="E365" i="4"/>
  <c r="B365" i="4"/>
  <c r="F364" i="4"/>
  <c r="E364" i="4"/>
  <c r="D364" i="4"/>
  <c r="C364" i="4"/>
  <c r="B364" i="4"/>
  <c r="F363" i="4"/>
  <c r="E363" i="4"/>
  <c r="B363" i="4"/>
  <c r="F362" i="4"/>
  <c r="E362" i="4"/>
  <c r="D362" i="4"/>
  <c r="B362" i="4"/>
  <c r="C363" i="4" s="1"/>
  <c r="F361" i="4"/>
  <c r="E361" i="4"/>
  <c r="B361" i="4"/>
  <c r="D361" i="4" s="1"/>
  <c r="F360" i="4"/>
  <c r="E360" i="4"/>
  <c r="B360" i="4"/>
  <c r="F359" i="4"/>
  <c r="E359" i="4"/>
  <c r="B359" i="4"/>
  <c r="F358" i="4"/>
  <c r="E358" i="4"/>
  <c r="B358" i="4"/>
  <c r="F357" i="4"/>
  <c r="E357" i="4"/>
  <c r="B357" i="4"/>
  <c r="F356" i="4"/>
  <c r="E356" i="4"/>
  <c r="D356" i="4"/>
  <c r="C356" i="4"/>
  <c r="B356" i="4"/>
  <c r="F355" i="4"/>
  <c r="E355" i="4"/>
  <c r="B355" i="4"/>
  <c r="F354" i="4"/>
  <c r="E354" i="4"/>
  <c r="D354" i="4"/>
  <c r="B354" i="4"/>
  <c r="C355" i="4" s="1"/>
  <c r="F353" i="4"/>
  <c r="E353" i="4"/>
  <c r="B353" i="4"/>
  <c r="D353" i="4" s="1"/>
  <c r="F352" i="4"/>
  <c r="E352" i="4"/>
  <c r="B352" i="4"/>
  <c r="F351" i="4"/>
  <c r="E351" i="4"/>
  <c r="B351" i="4"/>
  <c r="F350" i="4"/>
  <c r="E350" i="4"/>
  <c r="B350" i="4"/>
  <c r="F349" i="4"/>
  <c r="E349" i="4"/>
  <c r="B349" i="4"/>
  <c r="F348" i="4"/>
  <c r="E348" i="4"/>
  <c r="D348" i="4"/>
  <c r="C348" i="4"/>
  <c r="B348" i="4"/>
  <c r="F347" i="4"/>
  <c r="E347" i="4"/>
  <c r="B347" i="4"/>
  <c r="F346" i="4"/>
  <c r="E346" i="4"/>
  <c r="D346" i="4"/>
  <c r="B346" i="4"/>
  <c r="C347" i="4" s="1"/>
  <c r="F345" i="4"/>
  <c r="E345" i="4"/>
  <c r="B345" i="4"/>
  <c r="D345" i="4" s="1"/>
  <c r="F344" i="4"/>
  <c r="E344" i="4"/>
  <c r="B344" i="4"/>
  <c r="F343" i="4"/>
  <c r="E343" i="4"/>
  <c r="B343" i="4"/>
  <c r="C343" i="4" s="1"/>
  <c r="F342" i="4"/>
  <c r="E342" i="4"/>
  <c r="B342" i="4"/>
  <c r="F341" i="4"/>
  <c r="E341" i="4"/>
  <c r="B341" i="4"/>
  <c r="F340" i="4"/>
  <c r="E340" i="4"/>
  <c r="D340" i="4"/>
  <c r="C340" i="4"/>
  <c r="B340" i="4"/>
  <c r="F339" i="4"/>
  <c r="E339" i="4"/>
  <c r="B339" i="4"/>
  <c r="F338" i="4"/>
  <c r="E338" i="4"/>
  <c r="D338" i="4"/>
  <c r="B338" i="4"/>
  <c r="C339" i="4" s="1"/>
  <c r="F337" i="4"/>
  <c r="E337" i="4"/>
  <c r="B337" i="4"/>
  <c r="D337" i="4" s="1"/>
  <c r="F336" i="4"/>
  <c r="E336" i="4"/>
  <c r="B336" i="4"/>
  <c r="F335" i="4"/>
  <c r="E335" i="4"/>
  <c r="B335" i="4"/>
  <c r="F334" i="4"/>
  <c r="E334" i="4"/>
  <c r="B334" i="4"/>
  <c r="F333" i="4"/>
  <c r="E333" i="4"/>
  <c r="B333" i="4"/>
  <c r="F332" i="4"/>
  <c r="E332" i="4"/>
  <c r="D332" i="4"/>
  <c r="C332" i="4"/>
  <c r="B332" i="4"/>
  <c r="F331" i="4"/>
  <c r="E331" i="4"/>
  <c r="B331" i="4"/>
  <c r="F330" i="4"/>
  <c r="E330" i="4"/>
  <c r="D330" i="4"/>
  <c r="B330" i="4"/>
  <c r="C331" i="4" s="1"/>
  <c r="F329" i="4"/>
  <c r="E329" i="4"/>
  <c r="B329" i="4"/>
  <c r="D329" i="4" s="1"/>
  <c r="F328" i="4"/>
  <c r="E328" i="4"/>
  <c r="B328" i="4"/>
  <c r="F327" i="4"/>
  <c r="E327" i="4"/>
  <c r="B327" i="4"/>
  <c r="F326" i="4"/>
  <c r="E326" i="4"/>
  <c r="B326" i="4"/>
  <c r="F325" i="4"/>
  <c r="E325" i="4"/>
  <c r="B325" i="4"/>
  <c r="F324" i="4"/>
  <c r="E324" i="4"/>
  <c r="D324" i="4"/>
  <c r="C324" i="4"/>
  <c r="B324" i="4"/>
  <c r="F323" i="4"/>
  <c r="E323" i="4"/>
  <c r="B323" i="4"/>
  <c r="F322" i="4"/>
  <c r="E322" i="4"/>
  <c r="D322" i="4"/>
  <c r="B322" i="4"/>
  <c r="C323" i="4" s="1"/>
  <c r="F321" i="4"/>
  <c r="E321" i="4"/>
  <c r="B321" i="4"/>
  <c r="D321" i="4" s="1"/>
  <c r="F320" i="4"/>
  <c r="E320" i="4"/>
  <c r="B320" i="4"/>
  <c r="F319" i="4"/>
  <c r="E319" i="4"/>
  <c r="B319" i="4"/>
  <c r="F318" i="4"/>
  <c r="E318" i="4"/>
  <c r="B318" i="4"/>
  <c r="F317" i="4"/>
  <c r="E317" i="4"/>
  <c r="B317" i="4"/>
  <c r="F316" i="4"/>
  <c r="E316" i="4"/>
  <c r="D316" i="4"/>
  <c r="C316" i="4"/>
  <c r="B316" i="4"/>
  <c r="F315" i="4"/>
  <c r="E315" i="4"/>
  <c r="B315" i="4"/>
  <c r="F314" i="4"/>
  <c r="E314" i="4"/>
  <c r="D314" i="4"/>
  <c r="B314" i="4"/>
  <c r="C315" i="4" s="1"/>
  <c r="F313" i="4"/>
  <c r="E313" i="4"/>
  <c r="B313" i="4"/>
  <c r="D313" i="4" s="1"/>
  <c r="F312" i="4"/>
  <c r="E312" i="4"/>
  <c r="B312" i="4"/>
  <c r="F311" i="4"/>
  <c r="E311" i="4"/>
  <c r="B311" i="4"/>
  <c r="D311" i="4" s="1"/>
  <c r="F310" i="4"/>
  <c r="E310" i="4"/>
  <c r="B310" i="4"/>
  <c r="F309" i="4"/>
  <c r="E309" i="4"/>
  <c r="B309" i="4"/>
  <c r="F308" i="4"/>
  <c r="E308" i="4"/>
  <c r="D308" i="4"/>
  <c r="C308" i="4"/>
  <c r="B308" i="4"/>
  <c r="F307" i="4"/>
  <c r="E307" i="4"/>
  <c r="B307" i="4"/>
  <c r="F306" i="4"/>
  <c r="E306" i="4"/>
  <c r="D306" i="4"/>
  <c r="B306" i="4"/>
  <c r="C307" i="4" s="1"/>
  <c r="F305" i="4"/>
  <c r="E305" i="4"/>
  <c r="B305" i="4"/>
  <c r="D305" i="4" s="1"/>
  <c r="F304" i="4"/>
  <c r="E304" i="4"/>
  <c r="B304" i="4"/>
  <c r="F303" i="4"/>
  <c r="E303" i="4"/>
  <c r="B303" i="4"/>
  <c r="F302" i="4"/>
  <c r="E302" i="4"/>
  <c r="B302" i="4"/>
  <c r="F301" i="4"/>
  <c r="E301" i="4"/>
  <c r="B301" i="4"/>
  <c r="F300" i="4"/>
  <c r="E300" i="4"/>
  <c r="D300" i="4"/>
  <c r="C300" i="4"/>
  <c r="B300" i="4"/>
  <c r="F299" i="4"/>
  <c r="E299" i="4"/>
  <c r="B299" i="4"/>
  <c r="F298" i="4"/>
  <c r="E298" i="4"/>
  <c r="D298" i="4"/>
  <c r="B298" i="4"/>
  <c r="C299" i="4" s="1"/>
  <c r="F297" i="4"/>
  <c r="E297" i="4"/>
  <c r="B297" i="4"/>
  <c r="D297" i="4" s="1"/>
  <c r="F296" i="4"/>
  <c r="E296" i="4"/>
  <c r="B296" i="4"/>
  <c r="F295" i="4"/>
  <c r="E295" i="4"/>
  <c r="B295" i="4"/>
  <c r="D295" i="4" s="1"/>
  <c r="F294" i="4"/>
  <c r="E294" i="4"/>
  <c r="B294" i="4"/>
  <c r="F293" i="4"/>
  <c r="E293" i="4"/>
  <c r="B293" i="4"/>
  <c r="F292" i="4"/>
  <c r="E292" i="4"/>
  <c r="D292" i="4"/>
  <c r="C292" i="4"/>
  <c r="B292" i="4"/>
  <c r="F291" i="4"/>
  <c r="E291" i="4"/>
  <c r="B291" i="4"/>
  <c r="F290" i="4"/>
  <c r="E290" i="4"/>
  <c r="D290" i="4"/>
  <c r="B290" i="4"/>
  <c r="C291" i="4" s="1"/>
  <c r="F289" i="4"/>
  <c r="E289" i="4"/>
  <c r="B289" i="4"/>
  <c r="D289" i="4" s="1"/>
  <c r="F288" i="4"/>
  <c r="E288" i="4"/>
  <c r="B288" i="4"/>
  <c r="F287" i="4"/>
  <c r="E287" i="4"/>
  <c r="B287" i="4"/>
  <c r="D287" i="4" s="1"/>
  <c r="F286" i="4"/>
  <c r="E286" i="4"/>
  <c r="B286" i="4"/>
  <c r="F285" i="4"/>
  <c r="E285" i="4"/>
  <c r="B285" i="4"/>
  <c r="F284" i="4"/>
  <c r="E284" i="4"/>
  <c r="D284" i="4"/>
  <c r="B284" i="4"/>
  <c r="C284" i="4" s="1"/>
  <c r="F283" i="4"/>
  <c r="E283" i="4"/>
  <c r="B283" i="4"/>
  <c r="F282" i="4"/>
  <c r="E282" i="4"/>
  <c r="D282" i="4"/>
  <c r="B282" i="4"/>
  <c r="C283" i="4" s="1"/>
  <c r="F281" i="4"/>
  <c r="E281" i="4"/>
  <c r="B281" i="4"/>
  <c r="D281" i="4" s="1"/>
  <c r="F280" i="4"/>
  <c r="E280" i="4"/>
  <c r="B280" i="4"/>
  <c r="F279" i="4"/>
  <c r="E279" i="4"/>
  <c r="B279" i="4"/>
  <c r="D279" i="4" s="1"/>
  <c r="F278" i="4"/>
  <c r="E278" i="4"/>
  <c r="B278" i="4"/>
  <c r="F277" i="4"/>
  <c r="E277" i="4"/>
  <c r="B277" i="4"/>
  <c r="F276" i="4"/>
  <c r="E276" i="4"/>
  <c r="D276" i="4"/>
  <c r="B276" i="4"/>
  <c r="C276" i="4" s="1"/>
  <c r="F275" i="4"/>
  <c r="E275" i="4"/>
  <c r="B275" i="4"/>
  <c r="F274" i="4"/>
  <c r="E274" i="4"/>
  <c r="D274" i="4"/>
  <c r="B274" i="4"/>
  <c r="C275" i="4" s="1"/>
  <c r="F273" i="4"/>
  <c r="E273" i="4"/>
  <c r="B273" i="4"/>
  <c r="D273" i="4" s="1"/>
  <c r="F272" i="4"/>
  <c r="E272" i="4"/>
  <c r="B272" i="4"/>
  <c r="F271" i="4"/>
  <c r="E271" i="4"/>
  <c r="B271" i="4"/>
  <c r="D271" i="4" s="1"/>
  <c r="F270" i="4"/>
  <c r="E270" i="4"/>
  <c r="B270" i="4"/>
  <c r="F269" i="4"/>
  <c r="E269" i="4"/>
  <c r="B269" i="4"/>
  <c r="F268" i="4"/>
  <c r="E268" i="4"/>
  <c r="D268" i="4"/>
  <c r="B268" i="4"/>
  <c r="C268" i="4" s="1"/>
  <c r="F267" i="4"/>
  <c r="E267" i="4"/>
  <c r="B267" i="4"/>
  <c r="F266" i="4"/>
  <c r="E266" i="4"/>
  <c r="D266" i="4"/>
  <c r="B266" i="4"/>
  <c r="C267" i="4" s="1"/>
  <c r="F265" i="4"/>
  <c r="E265" i="4"/>
  <c r="B265" i="4"/>
  <c r="D265" i="4" s="1"/>
  <c r="F264" i="4"/>
  <c r="E264" i="4"/>
  <c r="B264" i="4"/>
  <c r="F263" i="4"/>
  <c r="E263" i="4"/>
  <c r="B263" i="4"/>
  <c r="F262" i="4"/>
  <c r="E262" i="4"/>
  <c r="B262" i="4"/>
  <c r="F261" i="4"/>
  <c r="E261" i="4"/>
  <c r="B261" i="4"/>
  <c r="F260" i="4"/>
  <c r="E260" i="4"/>
  <c r="D260" i="4"/>
  <c r="B260" i="4"/>
  <c r="C260" i="4" s="1"/>
  <c r="F259" i="4"/>
  <c r="E259" i="4"/>
  <c r="B259" i="4"/>
  <c r="F258" i="4"/>
  <c r="E258" i="4"/>
  <c r="D258" i="4"/>
  <c r="B258" i="4"/>
  <c r="C259" i="4" s="1"/>
  <c r="F257" i="4"/>
  <c r="E257" i="4"/>
  <c r="B257" i="4"/>
  <c r="D257" i="4" s="1"/>
  <c r="F256" i="4"/>
  <c r="E256" i="4"/>
  <c r="B256" i="4"/>
  <c r="F255" i="4"/>
  <c r="E255" i="4"/>
  <c r="B255" i="4"/>
  <c r="D255" i="4" s="1"/>
  <c r="F254" i="4"/>
  <c r="E254" i="4"/>
  <c r="B254" i="4"/>
  <c r="F253" i="4"/>
  <c r="E253" i="4"/>
  <c r="B253" i="4"/>
  <c r="F252" i="4"/>
  <c r="E252" i="4"/>
  <c r="D252" i="4"/>
  <c r="B252" i="4"/>
  <c r="C252" i="4" s="1"/>
  <c r="F251" i="4"/>
  <c r="E251" i="4"/>
  <c r="B251" i="4"/>
  <c r="F250" i="4"/>
  <c r="E250" i="4"/>
  <c r="D250" i="4"/>
  <c r="B250" i="4"/>
  <c r="C251" i="4" s="1"/>
  <c r="F249" i="4"/>
  <c r="E249" i="4"/>
  <c r="B249" i="4"/>
  <c r="D249" i="4" s="1"/>
  <c r="F248" i="4"/>
  <c r="E248" i="4"/>
  <c r="B248" i="4"/>
  <c r="F247" i="4"/>
  <c r="E247" i="4"/>
  <c r="B247" i="4"/>
  <c r="F246" i="4"/>
  <c r="E246" i="4"/>
  <c r="B246" i="4"/>
  <c r="F245" i="4"/>
  <c r="E245" i="4"/>
  <c r="B245" i="4"/>
  <c r="F244" i="4"/>
  <c r="E244" i="4"/>
  <c r="D244" i="4"/>
  <c r="B244" i="4"/>
  <c r="C244" i="4" s="1"/>
  <c r="F243" i="4"/>
  <c r="E243" i="4"/>
  <c r="B243" i="4"/>
  <c r="F242" i="4"/>
  <c r="E242" i="4"/>
  <c r="D242" i="4"/>
  <c r="B242" i="4"/>
  <c r="C243" i="4" s="1"/>
  <c r="F241" i="4"/>
  <c r="E241" i="4"/>
  <c r="B241" i="4"/>
  <c r="D241" i="4" s="1"/>
  <c r="F240" i="4"/>
  <c r="E240" i="4"/>
  <c r="B240" i="4"/>
  <c r="F239" i="4"/>
  <c r="E239" i="4"/>
  <c r="B239" i="4"/>
  <c r="F238" i="4"/>
  <c r="E238" i="4"/>
  <c r="B238" i="4"/>
  <c r="F237" i="4"/>
  <c r="E237" i="4"/>
  <c r="B237" i="4"/>
  <c r="F236" i="4"/>
  <c r="E236" i="4"/>
  <c r="D236" i="4"/>
  <c r="B236" i="4"/>
  <c r="C236" i="4" s="1"/>
  <c r="F235" i="4"/>
  <c r="E235" i="4"/>
  <c r="B235" i="4"/>
  <c r="F234" i="4"/>
  <c r="E234" i="4"/>
  <c r="D234" i="4"/>
  <c r="B234" i="4"/>
  <c r="C235" i="4" s="1"/>
  <c r="F233" i="4"/>
  <c r="E233" i="4"/>
  <c r="B233" i="4"/>
  <c r="D233" i="4" s="1"/>
  <c r="F232" i="4"/>
  <c r="E232" i="4"/>
  <c r="B232" i="4"/>
  <c r="F231" i="4"/>
  <c r="E231" i="4"/>
  <c r="B231" i="4"/>
  <c r="D231" i="4" s="1"/>
  <c r="F230" i="4"/>
  <c r="E230" i="4"/>
  <c r="B230" i="4"/>
  <c r="F229" i="4"/>
  <c r="E229" i="4"/>
  <c r="B229" i="4"/>
  <c r="F228" i="4"/>
  <c r="E228" i="4"/>
  <c r="D228" i="4"/>
  <c r="B228" i="4"/>
  <c r="C228" i="4" s="1"/>
  <c r="F227" i="4"/>
  <c r="E227" i="4"/>
  <c r="B227" i="4"/>
  <c r="F226" i="4"/>
  <c r="E226" i="4"/>
  <c r="D226" i="4"/>
  <c r="B226" i="4"/>
  <c r="C227" i="4" s="1"/>
  <c r="F225" i="4"/>
  <c r="E225" i="4"/>
  <c r="B225" i="4"/>
  <c r="D225" i="4" s="1"/>
  <c r="F224" i="4"/>
  <c r="E224" i="4"/>
  <c r="B224" i="4"/>
  <c r="F223" i="4"/>
  <c r="E223" i="4"/>
  <c r="B223" i="4"/>
  <c r="F222" i="4"/>
  <c r="E222" i="4"/>
  <c r="B222" i="4"/>
  <c r="F221" i="4"/>
  <c r="E221" i="4"/>
  <c r="B221" i="4"/>
  <c r="F220" i="4"/>
  <c r="E220" i="4"/>
  <c r="D220" i="4"/>
  <c r="B220" i="4"/>
  <c r="C220" i="4" s="1"/>
  <c r="F219" i="4"/>
  <c r="E219" i="4"/>
  <c r="B219" i="4"/>
  <c r="F218" i="4"/>
  <c r="E218" i="4"/>
  <c r="D218" i="4"/>
  <c r="B218" i="4"/>
  <c r="C219" i="4" s="1"/>
  <c r="F217" i="4"/>
  <c r="E217" i="4"/>
  <c r="B217" i="4"/>
  <c r="D217" i="4" s="1"/>
  <c r="F216" i="4"/>
  <c r="E216" i="4"/>
  <c r="B216" i="4"/>
  <c r="F215" i="4"/>
  <c r="E215" i="4"/>
  <c r="B215" i="4"/>
  <c r="F214" i="4"/>
  <c r="E214" i="4"/>
  <c r="B214" i="4"/>
  <c r="F213" i="4"/>
  <c r="E213" i="4"/>
  <c r="B213" i="4"/>
  <c r="F212" i="4"/>
  <c r="E212" i="4"/>
  <c r="D212" i="4"/>
  <c r="B212" i="4"/>
  <c r="C212" i="4" s="1"/>
  <c r="F211" i="4"/>
  <c r="E211" i="4"/>
  <c r="B211" i="4"/>
  <c r="F210" i="4"/>
  <c r="E210" i="4"/>
  <c r="D210" i="4"/>
  <c r="B210" i="4"/>
  <c r="C211" i="4" s="1"/>
  <c r="F209" i="4"/>
  <c r="E209" i="4"/>
  <c r="B209" i="4"/>
  <c r="D209" i="4" s="1"/>
  <c r="F208" i="4"/>
  <c r="E208" i="4"/>
  <c r="B208" i="4"/>
  <c r="F207" i="4"/>
  <c r="E207" i="4"/>
  <c r="B207" i="4"/>
  <c r="F206" i="4"/>
  <c r="E206" i="4"/>
  <c r="B206" i="4"/>
  <c r="F205" i="4"/>
  <c r="E205" i="4"/>
  <c r="B205" i="4"/>
  <c r="F204" i="4"/>
  <c r="E204" i="4"/>
  <c r="D204" i="4"/>
  <c r="B204" i="4"/>
  <c r="C204" i="4" s="1"/>
  <c r="F203" i="4"/>
  <c r="E203" i="4"/>
  <c r="B203" i="4"/>
  <c r="F202" i="4"/>
  <c r="E202" i="4"/>
  <c r="D202" i="4"/>
  <c r="B202" i="4"/>
  <c r="C203" i="4" s="1"/>
  <c r="F201" i="4"/>
  <c r="E201" i="4"/>
  <c r="B201" i="4"/>
  <c r="D201" i="4" s="1"/>
  <c r="F200" i="4"/>
  <c r="E200" i="4"/>
  <c r="B200" i="4"/>
  <c r="F199" i="4"/>
  <c r="E199" i="4"/>
  <c r="B199" i="4"/>
  <c r="F198" i="4"/>
  <c r="E198" i="4"/>
  <c r="B198" i="4"/>
  <c r="F197" i="4"/>
  <c r="E197" i="4"/>
  <c r="B197" i="4"/>
  <c r="F196" i="4"/>
  <c r="E196" i="4"/>
  <c r="D196" i="4"/>
  <c r="B196" i="4"/>
  <c r="C196" i="4" s="1"/>
  <c r="F195" i="4"/>
  <c r="E195" i="4"/>
  <c r="B195" i="4"/>
  <c r="F194" i="4"/>
  <c r="E194" i="4"/>
  <c r="D194" i="4"/>
  <c r="B194" i="4"/>
  <c r="C195" i="4" s="1"/>
  <c r="F193" i="4"/>
  <c r="E193" i="4"/>
  <c r="B193" i="4"/>
  <c r="D193" i="4" s="1"/>
  <c r="F192" i="4"/>
  <c r="E192" i="4"/>
  <c r="B192" i="4"/>
  <c r="F191" i="4"/>
  <c r="E191" i="4"/>
  <c r="B191" i="4"/>
  <c r="D191" i="4" s="1"/>
  <c r="F190" i="4"/>
  <c r="E190" i="4"/>
  <c r="B190" i="4"/>
  <c r="F189" i="4"/>
  <c r="E189" i="4"/>
  <c r="B189" i="4"/>
  <c r="F188" i="4"/>
  <c r="E188" i="4"/>
  <c r="D188" i="4"/>
  <c r="B188" i="4"/>
  <c r="C188" i="4" s="1"/>
  <c r="F187" i="4"/>
  <c r="E187" i="4"/>
  <c r="B187" i="4"/>
  <c r="F186" i="4"/>
  <c r="E186" i="4"/>
  <c r="D186" i="4"/>
  <c r="B186" i="4"/>
  <c r="C187" i="4" s="1"/>
  <c r="F185" i="4"/>
  <c r="E185" i="4"/>
  <c r="B185" i="4"/>
  <c r="D185" i="4" s="1"/>
  <c r="F184" i="4"/>
  <c r="E184" i="4"/>
  <c r="B184" i="4"/>
  <c r="F183" i="4"/>
  <c r="E183" i="4"/>
  <c r="B183" i="4"/>
  <c r="D183" i="4" s="1"/>
  <c r="F182" i="4"/>
  <c r="E182" i="4"/>
  <c r="B182" i="4"/>
  <c r="F181" i="4"/>
  <c r="E181" i="4"/>
  <c r="B181" i="4"/>
  <c r="F180" i="4"/>
  <c r="E180" i="4"/>
  <c r="D180" i="4"/>
  <c r="B180" i="4"/>
  <c r="C180" i="4" s="1"/>
  <c r="F179" i="4"/>
  <c r="E179" i="4"/>
  <c r="B179" i="4"/>
  <c r="F178" i="4"/>
  <c r="E178" i="4"/>
  <c r="D178" i="4"/>
  <c r="B178" i="4"/>
  <c r="C179" i="4" s="1"/>
  <c r="F177" i="4"/>
  <c r="E177" i="4"/>
  <c r="B177" i="4"/>
  <c r="D177" i="4" s="1"/>
  <c r="F176" i="4"/>
  <c r="E176" i="4"/>
  <c r="B176" i="4"/>
  <c r="F175" i="4"/>
  <c r="E175" i="4"/>
  <c r="B175" i="4"/>
  <c r="F174" i="4"/>
  <c r="E174" i="4"/>
  <c r="B174" i="4"/>
  <c r="F173" i="4"/>
  <c r="E173" i="4"/>
  <c r="B173" i="4"/>
  <c r="F172" i="4"/>
  <c r="E172" i="4"/>
  <c r="D172" i="4"/>
  <c r="B172" i="4"/>
  <c r="C172" i="4" s="1"/>
  <c r="F171" i="4"/>
  <c r="E171" i="4"/>
  <c r="B171" i="4"/>
  <c r="F170" i="4"/>
  <c r="E170" i="4"/>
  <c r="D170" i="4"/>
  <c r="B170" i="4"/>
  <c r="C171" i="4" s="1"/>
  <c r="F169" i="4"/>
  <c r="E169" i="4"/>
  <c r="B169" i="4"/>
  <c r="D169" i="4" s="1"/>
  <c r="F168" i="4"/>
  <c r="E168" i="4"/>
  <c r="B168" i="4"/>
  <c r="F167" i="4"/>
  <c r="E167" i="4"/>
  <c r="B167" i="4"/>
  <c r="D167" i="4" s="1"/>
  <c r="F166" i="4"/>
  <c r="E166" i="4"/>
  <c r="B166" i="4"/>
  <c r="F165" i="4"/>
  <c r="E165" i="4"/>
  <c r="B165" i="4"/>
  <c r="F164" i="4"/>
  <c r="E164" i="4"/>
  <c r="D164" i="4"/>
  <c r="B164" i="4"/>
  <c r="C164" i="4" s="1"/>
  <c r="F163" i="4"/>
  <c r="E163" i="4"/>
  <c r="B163" i="4"/>
  <c r="F162" i="4"/>
  <c r="E162" i="4"/>
  <c r="D162" i="4"/>
  <c r="B162" i="4"/>
  <c r="C163" i="4" s="1"/>
  <c r="F161" i="4"/>
  <c r="E161" i="4"/>
  <c r="B161" i="4"/>
  <c r="D161" i="4" s="1"/>
  <c r="F160" i="4"/>
  <c r="E160" i="4"/>
  <c r="B160" i="4"/>
  <c r="F159" i="4"/>
  <c r="E159" i="4"/>
  <c r="B159" i="4"/>
  <c r="D159" i="4" s="1"/>
  <c r="F158" i="4"/>
  <c r="E158" i="4"/>
  <c r="B158" i="4"/>
  <c r="F157" i="4"/>
  <c r="E157" i="4"/>
  <c r="B157" i="4"/>
  <c r="F156" i="4"/>
  <c r="E156" i="4"/>
  <c r="D156" i="4"/>
  <c r="B156" i="4"/>
  <c r="C156" i="4" s="1"/>
  <c r="F155" i="4"/>
  <c r="E155" i="4"/>
  <c r="B155" i="4"/>
  <c r="F154" i="4"/>
  <c r="E154" i="4"/>
  <c r="D154" i="4"/>
  <c r="B154" i="4"/>
  <c r="C155" i="4" s="1"/>
  <c r="F153" i="4"/>
  <c r="E153" i="4"/>
  <c r="B153" i="4"/>
  <c r="D153" i="4" s="1"/>
  <c r="F152" i="4"/>
  <c r="E152" i="4"/>
  <c r="B152" i="4"/>
  <c r="F151" i="4"/>
  <c r="E151" i="4"/>
  <c r="B151" i="4"/>
  <c r="D151" i="4" s="1"/>
  <c r="F150" i="4"/>
  <c r="E150" i="4"/>
  <c r="B150" i="4"/>
  <c r="F149" i="4"/>
  <c r="E149" i="4"/>
  <c r="B149" i="4"/>
  <c r="F148" i="4"/>
  <c r="E148" i="4"/>
  <c r="D148" i="4"/>
  <c r="B148" i="4"/>
  <c r="C148" i="4" s="1"/>
  <c r="F147" i="4"/>
  <c r="E147" i="4"/>
  <c r="B147" i="4"/>
  <c r="F146" i="4"/>
  <c r="E146" i="4"/>
  <c r="D146" i="4"/>
  <c r="B146" i="4"/>
  <c r="C147" i="4" s="1"/>
  <c r="F145" i="4"/>
  <c r="E145" i="4"/>
  <c r="B145" i="4"/>
  <c r="D145" i="4" s="1"/>
  <c r="F144" i="4"/>
  <c r="E144" i="4"/>
  <c r="B144" i="4"/>
  <c r="F143" i="4"/>
  <c r="E143" i="4"/>
  <c r="B143" i="4"/>
  <c r="F142" i="4"/>
  <c r="E142" i="4"/>
  <c r="B142" i="4"/>
  <c r="F141" i="4"/>
  <c r="E141" i="4"/>
  <c r="B141" i="4"/>
  <c r="F140" i="4"/>
  <c r="E140" i="4"/>
  <c r="D140" i="4"/>
  <c r="B140" i="4"/>
  <c r="C140" i="4" s="1"/>
  <c r="F139" i="4"/>
  <c r="E139" i="4"/>
  <c r="B139" i="4"/>
  <c r="F138" i="4"/>
  <c r="E138" i="4"/>
  <c r="D138" i="4"/>
  <c r="B138" i="4"/>
  <c r="C139" i="4" s="1"/>
  <c r="F137" i="4"/>
  <c r="E137" i="4"/>
  <c r="B137" i="4"/>
  <c r="D137" i="4" s="1"/>
  <c r="F136" i="4"/>
  <c r="E136" i="4"/>
  <c r="B136" i="4"/>
  <c r="F135" i="4"/>
  <c r="E135" i="4"/>
  <c r="B135" i="4"/>
  <c r="F134" i="4"/>
  <c r="E134" i="4"/>
  <c r="B134" i="4"/>
  <c r="F133" i="4"/>
  <c r="E133" i="4"/>
  <c r="B133" i="4"/>
  <c r="F132" i="4"/>
  <c r="E132" i="4"/>
  <c r="D132" i="4"/>
  <c r="B132" i="4"/>
  <c r="C132" i="4" s="1"/>
  <c r="F131" i="4"/>
  <c r="E131" i="4"/>
  <c r="B131" i="4"/>
  <c r="F130" i="4"/>
  <c r="E130" i="4"/>
  <c r="D130" i="4"/>
  <c r="B130" i="4"/>
  <c r="C131" i="4" s="1"/>
  <c r="F129" i="4"/>
  <c r="E129" i="4"/>
  <c r="B129" i="4"/>
  <c r="D129" i="4" s="1"/>
  <c r="F128" i="4"/>
  <c r="E128" i="4"/>
  <c r="B128" i="4"/>
  <c r="F127" i="4"/>
  <c r="E127" i="4"/>
  <c r="B127" i="4"/>
  <c r="D127" i="4" s="1"/>
  <c r="F126" i="4"/>
  <c r="E126" i="4"/>
  <c r="B126" i="4"/>
  <c r="F125" i="4"/>
  <c r="E125" i="4"/>
  <c r="B125" i="4"/>
  <c r="F124" i="4"/>
  <c r="E124" i="4"/>
  <c r="D124" i="4"/>
  <c r="B124" i="4"/>
  <c r="C124" i="4" s="1"/>
  <c r="F123" i="4"/>
  <c r="E123" i="4"/>
  <c r="B123" i="4"/>
  <c r="F122" i="4"/>
  <c r="E122" i="4"/>
  <c r="D122" i="4"/>
  <c r="B122" i="4"/>
  <c r="C123" i="4" s="1"/>
  <c r="F121" i="4"/>
  <c r="E121" i="4"/>
  <c r="B121" i="4"/>
  <c r="D121" i="4" s="1"/>
  <c r="F120" i="4"/>
  <c r="E120" i="4"/>
  <c r="B120" i="4"/>
  <c r="F119" i="4"/>
  <c r="E119" i="4"/>
  <c r="B119" i="4"/>
  <c r="F118" i="4"/>
  <c r="E118" i="4"/>
  <c r="B118" i="4"/>
  <c r="F117" i="4"/>
  <c r="E117" i="4"/>
  <c r="B117" i="4"/>
  <c r="F116" i="4"/>
  <c r="E116" i="4"/>
  <c r="D116" i="4"/>
  <c r="B116" i="4"/>
  <c r="C116" i="4" s="1"/>
  <c r="F115" i="4"/>
  <c r="E115" i="4"/>
  <c r="B115" i="4"/>
  <c r="F114" i="4"/>
  <c r="E114" i="4"/>
  <c r="D114" i="4"/>
  <c r="B114" i="4"/>
  <c r="C115" i="4" s="1"/>
  <c r="F113" i="4"/>
  <c r="E113" i="4"/>
  <c r="B113" i="4"/>
  <c r="D113" i="4" s="1"/>
  <c r="F112" i="4"/>
  <c r="E112" i="4"/>
  <c r="B112" i="4"/>
  <c r="F111" i="4"/>
  <c r="E111" i="4"/>
  <c r="B111" i="4"/>
  <c r="F110" i="4"/>
  <c r="E110" i="4"/>
  <c r="B110" i="4"/>
  <c r="F109" i="4"/>
  <c r="E109" i="4"/>
  <c r="B109" i="4"/>
  <c r="F108" i="4"/>
  <c r="E108" i="4"/>
  <c r="D108" i="4"/>
  <c r="B108" i="4"/>
  <c r="C108" i="4" s="1"/>
  <c r="F107" i="4"/>
  <c r="E107" i="4"/>
  <c r="B107" i="4"/>
  <c r="F106" i="4"/>
  <c r="E106" i="4"/>
  <c r="D106" i="4"/>
  <c r="B106" i="4"/>
  <c r="C107" i="4" s="1"/>
  <c r="F105" i="4"/>
  <c r="E105" i="4"/>
  <c r="B105" i="4"/>
  <c r="F104" i="4"/>
  <c r="E104" i="4"/>
  <c r="B104" i="4"/>
  <c r="F103" i="4"/>
  <c r="E103" i="4"/>
  <c r="B103" i="4"/>
  <c r="F102" i="4"/>
  <c r="E102" i="4"/>
  <c r="B102" i="4"/>
  <c r="F101" i="4"/>
  <c r="E101" i="4"/>
  <c r="B101" i="4"/>
  <c r="F100" i="4"/>
  <c r="E100" i="4"/>
  <c r="D100" i="4"/>
  <c r="B100" i="4"/>
  <c r="C100" i="4" s="1"/>
  <c r="F99" i="4"/>
  <c r="E99" i="4"/>
  <c r="B99" i="4"/>
  <c r="F98" i="4"/>
  <c r="E98" i="4"/>
  <c r="D98" i="4"/>
  <c r="B98" i="4"/>
  <c r="C99" i="4" s="1"/>
  <c r="F97" i="4"/>
  <c r="E97" i="4"/>
  <c r="B97" i="4"/>
  <c r="D109" i="4" s="1"/>
  <c r="F96" i="4"/>
  <c r="E96" i="4"/>
  <c r="B96" i="4"/>
  <c r="F95" i="4"/>
  <c r="E95" i="4"/>
  <c r="B95" i="4"/>
  <c r="D95" i="4" s="1"/>
  <c r="F94" i="4"/>
  <c r="E94" i="4"/>
  <c r="B94" i="4"/>
  <c r="F93" i="4"/>
  <c r="E93" i="4"/>
  <c r="B93" i="4"/>
  <c r="D93" i="4" s="1"/>
  <c r="F92" i="4"/>
  <c r="E92" i="4"/>
  <c r="B92" i="4"/>
  <c r="D104" i="4" s="1"/>
  <c r="F91" i="4"/>
  <c r="E91" i="4"/>
  <c r="B91" i="4"/>
  <c r="C91" i="4" s="1"/>
  <c r="F90" i="4"/>
  <c r="E90" i="4"/>
  <c r="D90" i="4"/>
  <c r="B90" i="4"/>
  <c r="C90" i="4" s="1"/>
  <c r="F89" i="4"/>
  <c r="E89" i="4"/>
  <c r="D89" i="4"/>
  <c r="B89" i="4"/>
  <c r="D101" i="4" s="1"/>
  <c r="F88" i="4"/>
  <c r="E88" i="4"/>
  <c r="B88" i="4"/>
  <c r="D88" i="4" s="1"/>
  <c r="F87" i="4"/>
  <c r="E87" i="4"/>
  <c r="C87" i="4"/>
  <c r="B87" i="4"/>
  <c r="D99" i="4" s="1"/>
  <c r="F86" i="4"/>
  <c r="E86" i="4"/>
  <c r="D86" i="4"/>
  <c r="C86" i="4"/>
  <c r="B86" i="4"/>
  <c r="F85" i="4"/>
  <c r="E85" i="4"/>
  <c r="B85" i="4"/>
  <c r="D85" i="4" s="1"/>
  <c r="F84" i="4"/>
  <c r="E84" i="4"/>
  <c r="B84" i="4"/>
  <c r="D96" i="4" s="1"/>
  <c r="F83" i="4"/>
  <c r="E83" i="4"/>
  <c r="B83" i="4"/>
  <c r="C83" i="4" s="1"/>
  <c r="F82" i="4"/>
  <c r="E82" i="4"/>
  <c r="D82" i="4"/>
  <c r="B82" i="4"/>
  <c r="C82" i="4" s="1"/>
  <c r="F81" i="4"/>
  <c r="E81" i="4"/>
  <c r="D81" i="4"/>
  <c r="B81" i="4"/>
  <c r="C81" i="4" s="1"/>
  <c r="F80" i="4"/>
  <c r="E80" i="4"/>
  <c r="B80" i="4"/>
  <c r="D80" i="4" s="1"/>
  <c r="F79" i="4"/>
  <c r="E79" i="4"/>
  <c r="C79" i="4"/>
  <c r="B79" i="4"/>
  <c r="F78" i="4"/>
  <c r="E78" i="4"/>
  <c r="D78" i="4"/>
  <c r="C78" i="4"/>
  <c r="B78" i="4"/>
  <c r="F77" i="4"/>
  <c r="E77" i="4"/>
  <c r="B77" i="4"/>
  <c r="D77" i="4" s="1"/>
  <c r="F76" i="4"/>
  <c r="E76" i="4"/>
  <c r="B76" i="4"/>
  <c r="C76" i="4" s="1"/>
  <c r="F75" i="4"/>
  <c r="E75" i="4"/>
  <c r="B75" i="4"/>
  <c r="D87" i="4" s="1"/>
  <c r="F74" i="4"/>
  <c r="E74" i="4"/>
  <c r="D74" i="4"/>
  <c r="B74" i="4"/>
  <c r="C74" i="4" s="1"/>
  <c r="F73" i="4"/>
  <c r="E73" i="4"/>
  <c r="D73" i="4"/>
  <c r="B73" i="4"/>
  <c r="C73" i="4" s="1"/>
  <c r="F72" i="4"/>
  <c r="E72" i="4"/>
  <c r="B72" i="4"/>
  <c r="C72" i="4" s="1"/>
  <c r="F71" i="4"/>
  <c r="E71" i="4"/>
  <c r="C71" i="4"/>
  <c r="B71" i="4"/>
  <c r="F70" i="4"/>
  <c r="E70" i="4"/>
  <c r="D70" i="4"/>
  <c r="C70" i="4"/>
  <c r="B70" i="4"/>
  <c r="F69" i="4"/>
  <c r="E69" i="4"/>
  <c r="B69" i="4"/>
  <c r="D69" i="4" s="1"/>
  <c r="F68" i="4"/>
  <c r="E68" i="4"/>
  <c r="B68" i="4"/>
  <c r="C68" i="4" s="1"/>
  <c r="F67" i="4"/>
  <c r="E67" i="4"/>
  <c r="B67" i="4"/>
  <c r="D79" i="4" s="1"/>
  <c r="F66" i="4"/>
  <c r="E66" i="4"/>
  <c r="B66" i="4"/>
  <c r="D66" i="4" s="1"/>
  <c r="F65" i="4"/>
  <c r="E65" i="4"/>
  <c r="D65" i="4"/>
  <c r="B65" i="4"/>
  <c r="C65" i="4" s="1"/>
  <c r="F64" i="4"/>
  <c r="E64" i="4"/>
  <c r="B64" i="4"/>
  <c r="D64" i="4" s="1"/>
  <c r="F63" i="4"/>
  <c r="E63" i="4"/>
  <c r="C63" i="4"/>
  <c r="B63" i="4"/>
  <c r="F62" i="4"/>
  <c r="E62" i="4"/>
  <c r="D62" i="4"/>
  <c r="C62" i="4"/>
  <c r="B62" i="4"/>
  <c r="F61" i="4"/>
  <c r="E61" i="4"/>
  <c r="B61" i="4"/>
  <c r="D61" i="4" s="1"/>
  <c r="F60" i="4"/>
  <c r="E60" i="4"/>
  <c r="B60" i="4"/>
  <c r="D60" i="4" s="1"/>
  <c r="F59" i="4"/>
  <c r="E59" i="4"/>
  <c r="B59" i="4"/>
  <c r="D71" i="4" s="1"/>
  <c r="F58" i="4"/>
  <c r="E58" i="4"/>
  <c r="B58" i="4"/>
  <c r="D58" i="4" s="1"/>
  <c r="F57" i="4"/>
  <c r="E57" i="4"/>
  <c r="D57" i="4"/>
  <c r="B57" i="4"/>
  <c r="C57" i="4" s="1"/>
  <c r="F56" i="4"/>
  <c r="E56" i="4"/>
  <c r="B56" i="4"/>
  <c r="C56" i="4" s="1"/>
  <c r="F55" i="4"/>
  <c r="E55" i="4"/>
  <c r="C55" i="4"/>
  <c r="B55" i="4"/>
  <c r="F54" i="4"/>
  <c r="E54" i="4"/>
  <c r="D54" i="4"/>
  <c r="C54" i="4"/>
  <c r="B54" i="4"/>
  <c r="F53" i="4"/>
  <c r="E53" i="4"/>
  <c r="B53" i="4"/>
  <c r="D53" i="4" s="1"/>
  <c r="F52" i="4"/>
  <c r="E52" i="4"/>
  <c r="B52" i="4"/>
  <c r="D52" i="4" s="1"/>
  <c r="F51" i="4"/>
  <c r="E51" i="4"/>
  <c r="B51" i="4"/>
  <c r="D63" i="4" s="1"/>
  <c r="F50" i="4"/>
  <c r="E50" i="4"/>
  <c r="B50" i="4"/>
  <c r="D50" i="4" s="1"/>
  <c r="F49" i="4"/>
  <c r="E49" i="4"/>
  <c r="D49" i="4"/>
  <c r="B49" i="4"/>
  <c r="C49" i="4" s="1"/>
  <c r="F48" i="4"/>
  <c r="E48" i="4"/>
  <c r="B48" i="4"/>
  <c r="C48" i="4" s="1"/>
  <c r="F47" i="4"/>
  <c r="E47" i="4"/>
  <c r="C47" i="4"/>
  <c r="B47" i="4"/>
  <c r="F46" i="4"/>
  <c r="E46" i="4"/>
  <c r="D46" i="4"/>
  <c r="C46" i="4"/>
  <c r="B46" i="4"/>
  <c r="F45" i="4"/>
  <c r="E45" i="4"/>
  <c r="B45" i="4"/>
  <c r="D45" i="4" s="1"/>
  <c r="F44" i="4"/>
  <c r="E44" i="4"/>
  <c r="B44" i="4"/>
  <c r="C44" i="4" s="1"/>
  <c r="F43" i="4"/>
  <c r="E43" i="4"/>
  <c r="B43" i="4"/>
  <c r="D55" i="4" s="1"/>
  <c r="F42" i="4"/>
  <c r="E42" i="4"/>
  <c r="B42" i="4"/>
  <c r="C42" i="4" s="1"/>
  <c r="F41" i="4"/>
  <c r="E41" i="4"/>
  <c r="D41" i="4"/>
  <c r="B41" i="4"/>
  <c r="C41" i="4" s="1"/>
  <c r="F40" i="4"/>
  <c r="E40" i="4"/>
  <c r="B40" i="4"/>
  <c r="D40" i="4" s="1"/>
  <c r="F39" i="4"/>
  <c r="E39" i="4"/>
  <c r="C39" i="4"/>
  <c r="B39" i="4"/>
  <c r="F38" i="4"/>
  <c r="E38" i="4"/>
  <c r="D38" i="4"/>
  <c r="C38" i="4"/>
  <c r="B38" i="4"/>
  <c r="F37" i="4"/>
  <c r="E37" i="4"/>
  <c r="B37" i="4"/>
  <c r="D37" i="4" s="1"/>
  <c r="F36" i="4"/>
  <c r="E36" i="4"/>
  <c r="B36" i="4"/>
  <c r="C36" i="4" s="1"/>
  <c r="F35" i="4"/>
  <c r="E35" i="4"/>
  <c r="B35" i="4"/>
  <c r="C35" i="4" s="1"/>
  <c r="F34" i="4"/>
  <c r="E34" i="4"/>
  <c r="B34" i="4"/>
  <c r="C34" i="4" s="1"/>
  <c r="F33" i="4"/>
  <c r="E33" i="4"/>
  <c r="D33" i="4"/>
  <c r="B33" i="4"/>
  <c r="C33" i="4" s="1"/>
  <c r="F32" i="4"/>
  <c r="E32" i="4"/>
  <c r="B32" i="4"/>
  <c r="C32" i="4" s="1"/>
  <c r="F31" i="4"/>
  <c r="E31" i="4"/>
  <c r="C31" i="4"/>
  <c r="B31" i="4"/>
  <c r="F30" i="4"/>
  <c r="E30" i="4"/>
  <c r="D30" i="4"/>
  <c r="C30" i="4"/>
  <c r="B30" i="4"/>
  <c r="F29" i="4"/>
  <c r="E29" i="4"/>
  <c r="B29" i="4"/>
  <c r="D29" i="4" s="1"/>
  <c r="F28" i="4"/>
  <c r="E28" i="4"/>
  <c r="B28" i="4"/>
  <c r="D28" i="4" s="1"/>
  <c r="F27" i="4"/>
  <c r="E27" i="4"/>
  <c r="B27" i="4"/>
  <c r="C27" i="4" s="1"/>
  <c r="F26" i="4"/>
  <c r="E26" i="4"/>
  <c r="B26" i="4"/>
  <c r="D26" i="4" s="1"/>
  <c r="F25" i="4"/>
  <c r="E25" i="4"/>
  <c r="D25" i="4"/>
  <c r="B25" i="4"/>
  <c r="C25" i="4" s="1"/>
  <c r="F24" i="4"/>
  <c r="E24" i="4"/>
  <c r="B24" i="4"/>
  <c r="D24" i="4" s="1"/>
  <c r="F23" i="4"/>
  <c r="E23" i="4"/>
  <c r="C23" i="4"/>
  <c r="B23" i="4"/>
  <c r="F22" i="4"/>
  <c r="E22" i="4"/>
  <c r="D22" i="4"/>
  <c r="C22" i="4"/>
  <c r="B22" i="4"/>
  <c r="F21" i="4"/>
  <c r="E21" i="4"/>
  <c r="B21" i="4"/>
  <c r="D21" i="4" s="1"/>
  <c r="F20" i="4"/>
  <c r="E20" i="4"/>
  <c r="B20" i="4"/>
  <c r="D20" i="4" s="1"/>
  <c r="F19" i="4"/>
  <c r="E19" i="4"/>
  <c r="B19" i="4"/>
  <c r="D31" i="4" s="1"/>
  <c r="F18" i="4"/>
  <c r="E18" i="4"/>
  <c r="B18" i="4"/>
  <c r="D18" i="4" s="1"/>
  <c r="F17" i="4"/>
  <c r="E17" i="4"/>
  <c r="D17" i="4"/>
  <c r="B17" i="4"/>
  <c r="C17" i="4" s="1"/>
  <c r="F16" i="4"/>
  <c r="E16" i="4"/>
  <c r="B16" i="4"/>
  <c r="C16" i="4" s="1"/>
  <c r="F15" i="4"/>
  <c r="E15" i="4"/>
  <c r="B15" i="4"/>
  <c r="C15" i="4" s="1"/>
  <c r="F14" i="4"/>
  <c r="E14" i="4"/>
  <c r="B14" i="4"/>
  <c r="C14" i="4" s="1"/>
  <c r="F13" i="4"/>
  <c r="E13" i="4"/>
  <c r="B13" i="4"/>
  <c r="C13" i="4" s="1"/>
  <c r="F12" i="4"/>
  <c r="E12" i="4"/>
  <c r="B12" i="4"/>
  <c r="C12" i="4" s="1"/>
  <c r="F11" i="4"/>
  <c r="E11" i="4"/>
  <c r="B11" i="4"/>
  <c r="C11" i="4" s="1"/>
  <c r="F10" i="4"/>
  <c r="E10" i="4"/>
  <c r="B10" i="4"/>
  <c r="C10" i="4" s="1"/>
  <c r="F9" i="4"/>
  <c r="E9" i="4"/>
  <c r="B9" i="4"/>
  <c r="C9" i="4" s="1"/>
  <c r="F8" i="4"/>
  <c r="E8" i="4"/>
  <c r="B8" i="4"/>
  <c r="C8" i="4" s="1"/>
  <c r="F7" i="4"/>
  <c r="E7" i="4"/>
  <c r="B7" i="4"/>
  <c r="C7" i="4" s="1"/>
  <c r="F6" i="4"/>
  <c r="E6" i="4"/>
  <c r="B6" i="4"/>
  <c r="C6" i="4" s="1"/>
  <c r="F5" i="4"/>
  <c r="E5" i="4"/>
  <c r="B5" i="4"/>
  <c r="N23" i="1"/>
  <c r="N22" i="1"/>
  <c r="P16" i="1" s="1"/>
  <c r="Q19" i="1"/>
  <c r="P19" i="1"/>
  <c r="Q18" i="1"/>
  <c r="Q17" i="1"/>
  <c r="Q16" i="1"/>
  <c r="C59" i="4" l="1"/>
  <c r="C75" i="4"/>
  <c r="D27" i="4"/>
  <c r="C80" i="4"/>
  <c r="D83" i="4"/>
  <c r="D105" i="4"/>
  <c r="D131" i="4"/>
  <c r="C120" i="4"/>
  <c r="D155" i="4"/>
  <c r="C144" i="4"/>
  <c r="D211" i="4"/>
  <c r="C200" i="4"/>
  <c r="D251" i="4"/>
  <c r="C240" i="4"/>
  <c r="D275" i="4"/>
  <c r="C264" i="4"/>
  <c r="D315" i="4"/>
  <c r="C304" i="4"/>
  <c r="D379" i="4"/>
  <c r="C368" i="4"/>
  <c r="C29" i="4"/>
  <c r="D32" i="4"/>
  <c r="C37" i="4"/>
  <c r="P17" i="1"/>
  <c r="D34" i="4"/>
  <c r="D42" i="4"/>
  <c r="C20" i="4"/>
  <c r="D23" i="4"/>
  <c r="C28" i="4"/>
  <c r="D39" i="4"/>
  <c r="D47" i="4"/>
  <c r="C52" i="4"/>
  <c r="C60" i="4"/>
  <c r="P18" i="1"/>
  <c r="D36" i="4"/>
  <c r="D44" i="4"/>
  <c r="D68" i="4"/>
  <c r="D76" i="4"/>
  <c r="D84" i="4"/>
  <c r="C89" i="4"/>
  <c r="D92" i="4"/>
  <c r="D94" i="4"/>
  <c r="C94" i="4"/>
  <c r="C98" i="4"/>
  <c r="D102" i="4"/>
  <c r="C102" i="4"/>
  <c r="C106" i="4"/>
  <c r="D110" i="4"/>
  <c r="C110" i="4"/>
  <c r="C114" i="4"/>
  <c r="D118" i="4"/>
  <c r="C118" i="4"/>
  <c r="C122" i="4"/>
  <c r="D126" i="4"/>
  <c r="C126" i="4"/>
  <c r="C130" i="4"/>
  <c r="D134" i="4"/>
  <c r="C134" i="4"/>
  <c r="C138" i="4"/>
  <c r="D142" i="4"/>
  <c r="C142" i="4"/>
  <c r="C146" i="4"/>
  <c r="D150" i="4"/>
  <c r="C150" i="4"/>
  <c r="C154" i="4"/>
  <c r="D158" i="4"/>
  <c r="C158" i="4"/>
  <c r="C162" i="4"/>
  <c r="D166" i="4"/>
  <c r="C166" i="4"/>
  <c r="C170" i="4"/>
  <c r="D174" i="4"/>
  <c r="C174" i="4"/>
  <c r="C178" i="4"/>
  <c r="D182" i="4"/>
  <c r="C182" i="4"/>
  <c r="C186" i="4"/>
  <c r="D190" i="4"/>
  <c r="C190" i="4"/>
  <c r="C194" i="4"/>
  <c r="D198" i="4"/>
  <c r="C198" i="4"/>
  <c r="C202" i="4"/>
  <c r="D206" i="4"/>
  <c r="C206" i="4"/>
  <c r="C210" i="4"/>
  <c r="D214" i="4"/>
  <c r="C214" i="4"/>
  <c r="C218" i="4"/>
  <c r="D222" i="4"/>
  <c r="C222" i="4"/>
  <c r="C226" i="4"/>
  <c r="D230" i="4"/>
  <c r="C230" i="4"/>
  <c r="C234" i="4"/>
  <c r="D238" i="4"/>
  <c r="C238" i="4"/>
  <c r="C242" i="4"/>
  <c r="D246" i="4"/>
  <c r="C246" i="4"/>
  <c r="C250" i="4"/>
  <c r="D254" i="4"/>
  <c r="C254" i="4"/>
  <c r="C258" i="4"/>
  <c r="D262" i="4"/>
  <c r="C262" i="4"/>
  <c r="C266" i="4"/>
  <c r="D270" i="4"/>
  <c r="C270" i="4"/>
  <c r="C274" i="4"/>
  <c r="D278" i="4"/>
  <c r="C278" i="4"/>
  <c r="C282" i="4"/>
  <c r="D286" i="4"/>
  <c r="C286" i="4"/>
  <c r="C290" i="4"/>
  <c r="D294" i="4"/>
  <c r="C294" i="4"/>
  <c r="C298" i="4"/>
  <c r="D302" i="4"/>
  <c r="C302" i="4"/>
  <c r="C306" i="4"/>
  <c r="D310" i="4"/>
  <c r="C310" i="4"/>
  <c r="C314" i="4"/>
  <c r="D318" i="4"/>
  <c r="C318" i="4"/>
  <c r="C322" i="4"/>
  <c r="D326" i="4"/>
  <c r="C326" i="4"/>
  <c r="C330" i="4"/>
  <c r="D334" i="4"/>
  <c r="C334" i="4"/>
  <c r="C338" i="4"/>
  <c r="D342" i="4"/>
  <c r="C342" i="4"/>
  <c r="C346" i="4"/>
  <c r="D350" i="4"/>
  <c r="C350" i="4"/>
  <c r="C354" i="4"/>
  <c r="D358" i="4"/>
  <c r="C358" i="4"/>
  <c r="C362" i="4"/>
  <c r="D366" i="4"/>
  <c r="C366" i="4"/>
  <c r="C370" i="4"/>
  <c r="D374" i="4"/>
  <c r="C374" i="4"/>
  <c r="C378" i="4"/>
  <c r="D382" i="4"/>
  <c r="C382" i="4"/>
  <c r="C386" i="4"/>
  <c r="D390" i="4"/>
  <c r="C390" i="4"/>
  <c r="C394" i="4"/>
  <c r="D398" i="4"/>
  <c r="C398" i="4"/>
  <c r="C402" i="4"/>
  <c r="D406" i="4"/>
  <c r="C406" i="4"/>
  <c r="C410" i="4"/>
  <c r="D414" i="4"/>
  <c r="C414" i="4"/>
  <c r="C418" i="4"/>
  <c r="D422" i="4"/>
  <c r="C422" i="4"/>
  <c r="C426" i="4"/>
  <c r="D430" i="4"/>
  <c r="C430" i="4"/>
  <c r="C434" i="4"/>
  <c r="D438" i="4"/>
  <c r="C438" i="4"/>
  <c r="C442" i="4"/>
  <c r="D446" i="4"/>
  <c r="C446" i="4"/>
  <c r="C450" i="4"/>
  <c r="D454" i="4"/>
  <c r="C454" i="4"/>
  <c r="C458" i="4"/>
  <c r="D462" i="4"/>
  <c r="C462" i="4"/>
  <c r="C466" i="4"/>
  <c r="D470" i="4"/>
  <c r="C470" i="4"/>
  <c r="C474" i="4"/>
  <c r="D478" i="4"/>
  <c r="C478" i="4"/>
  <c r="C482" i="4"/>
  <c r="D486" i="4"/>
  <c r="C486" i="4"/>
  <c r="C490" i="4"/>
  <c r="D494" i="4"/>
  <c r="C494" i="4"/>
  <c r="D506" i="4"/>
  <c r="D502" i="4"/>
  <c r="C502" i="4"/>
  <c r="D514" i="4"/>
  <c r="D518" i="4"/>
  <c r="C518" i="4"/>
  <c r="D530" i="4"/>
  <c r="D534" i="4"/>
  <c r="C534" i="4"/>
  <c r="D546" i="4"/>
  <c r="D371" i="4"/>
  <c r="C360" i="4"/>
  <c r="D427" i="4"/>
  <c r="C416" i="4"/>
  <c r="D451" i="4"/>
  <c r="C440" i="4"/>
  <c r="D467" i="4"/>
  <c r="C456" i="4"/>
  <c r="D475" i="4"/>
  <c r="C464" i="4"/>
  <c r="D491" i="4"/>
  <c r="C480" i="4"/>
  <c r="D499" i="4"/>
  <c r="C488" i="4"/>
  <c r="D507" i="4"/>
  <c r="C496" i="4"/>
  <c r="D497" i="4"/>
  <c r="D509" i="4"/>
  <c r="D515" i="4"/>
  <c r="C504" i="4"/>
  <c r="D505" i="4"/>
  <c r="D517" i="4"/>
  <c r="C506" i="4"/>
  <c r="D115" i="4"/>
  <c r="C104" i="4"/>
  <c r="D72" i="4"/>
  <c r="C51" i="4"/>
  <c r="D19" i="4"/>
  <c r="K7" i="4" s="1"/>
  <c r="C24" i="4"/>
  <c r="D35" i="4"/>
  <c r="C40" i="4"/>
  <c r="C64" i="4"/>
  <c r="D75" i="4"/>
  <c r="C88" i="4"/>
  <c r="D91" i="4"/>
  <c r="D123" i="4"/>
  <c r="C112" i="4"/>
  <c r="D147" i="4"/>
  <c r="C136" i="4"/>
  <c r="D187" i="4"/>
  <c r="C176" i="4"/>
  <c r="D219" i="4"/>
  <c r="C208" i="4"/>
  <c r="D227" i="4"/>
  <c r="C216" i="4"/>
  <c r="D235" i="4"/>
  <c r="C224" i="4"/>
  <c r="D259" i="4"/>
  <c r="C248" i="4"/>
  <c r="D331" i="4"/>
  <c r="C320" i="4"/>
  <c r="D339" i="4"/>
  <c r="C328" i="4"/>
  <c r="D347" i="4"/>
  <c r="C336" i="4"/>
  <c r="D355" i="4"/>
  <c r="C344" i="4"/>
  <c r="D363" i="4"/>
  <c r="C352" i="4"/>
  <c r="D387" i="4"/>
  <c r="C376" i="4"/>
  <c r="D395" i="4"/>
  <c r="C384" i="4"/>
  <c r="D435" i="4"/>
  <c r="C424" i="4"/>
  <c r="D443" i="4"/>
  <c r="C432" i="4"/>
  <c r="C21" i="4"/>
  <c r="C45" i="4"/>
  <c r="D48" i="4"/>
  <c r="C53" i="4"/>
  <c r="D56" i="4"/>
  <c r="C61" i="4"/>
  <c r="C69" i="4"/>
  <c r="C77" i="4"/>
  <c r="C85" i="4"/>
  <c r="C93" i="4"/>
  <c r="C95" i="4"/>
  <c r="C97" i="4"/>
  <c r="C103" i="4"/>
  <c r="C105" i="4"/>
  <c r="C111" i="4"/>
  <c r="C113" i="4"/>
  <c r="C119" i="4"/>
  <c r="C121" i="4"/>
  <c r="C127" i="4"/>
  <c r="C129" i="4"/>
  <c r="C135" i="4"/>
  <c r="C137" i="4"/>
  <c r="C143" i="4"/>
  <c r="C145" i="4"/>
  <c r="C151" i="4"/>
  <c r="C153" i="4"/>
  <c r="C159" i="4"/>
  <c r="C161" i="4"/>
  <c r="C167" i="4"/>
  <c r="C169" i="4"/>
  <c r="C175" i="4"/>
  <c r="C177" i="4"/>
  <c r="C183" i="4"/>
  <c r="C185" i="4"/>
  <c r="C191" i="4"/>
  <c r="C193" i="4"/>
  <c r="C199" i="4"/>
  <c r="C201" i="4"/>
  <c r="C207" i="4"/>
  <c r="C209" i="4"/>
  <c r="C215" i="4"/>
  <c r="C217" i="4"/>
  <c r="C223" i="4"/>
  <c r="C225" i="4"/>
  <c r="C231" i="4"/>
  <c r="C233" i="4"/>
  <c r="C239" i="4"/>
  <c r="C241" i="4"/>
  <c r="C247" i="4"/>
  <c r="C249" i="4"/>
  <c r="C255" i="4"/>
  <c r="C257" i="4"/>
  <c r="C263" i="4"/>
  <c r="C265" i="4"/>
  <c r="C271" i="4"/>
  <c r="C273" i="4"/>
  <c r="C279" i="4"/>
  <c r="C281" i="4"/>
  <c r="C287" i="4"/>
  <c r="C289" i="4"/>
  <c r="C295" i="4"/>
  <c r="C297" i="4"/>
  <c r="C303" i="4"/>
  <c r="C305" i="4"/>
  <c r="C311" i="4"/>
  <c r="C313" i="4"/>
  <c r="C319" i="4"/>
  <c r="C321" i="4"/>
  <c r="C327" i="4"/>
  <c r="C329" i="4"/>
  <c r="C335" i="4"/>
  <c r="C337" i="4"/>
  <c r="C345" i="4"/>
  <c r="C351" i="4"/>
  <c r="C353" i="4"/>
  <c r="C359" i="4"/>
  <c r="C361" i="4"/>
  <c r="C367" i="4"/>
  <c r="C369" i="4"/>
  <c r="C375" i="4"/>
  <c r="C377" i="4"/>
  <c r="C383" i="4"/>
  <c r="C385" i="4"/>
  <c r="C391" i="4"/>
  <c r="C393" i="4"/>
  <c r="C399" i="4"/>
  <c r="C401" i="4"/>
  <c r="C407" i="4"/>
  <c r="C409" i="4"/>
  <c r="C415" i="4"/>
  <c r="C417" i="4"/>
  <c r="C423" i="4"/>
  <c r="C425" i="4"/>
  <c r="C431" i="4"/>
  <c r="C433" i="4"/>
  <c r="C439" i="4"/>
  <c r="C441" i="4"/>
  <c r="C447" i="4"/>
  <c r="C449" i="4"/>
  <c r="C455" i="4"/>
  <c r="C457" i="4"/>
  <c r="C463" i="4"/>
  <c r="C465" i="4"/>
  <c r="C471" i="4"/>
  <c r="C473" i="4"/>
  <c r="C479" i="4"/>
  <c r="C481" i="4"/>
  <c r="C487" i="4"/>
  <c r="C489" i="4"/>
  <c r="C495" i="4"/>
  <c r="C497" i="4"/>
  <c r="C503" i="4"/>
  <c r="C505" i="4"/>
  <c r="C18" i="4"/>
  <c r="K6" i="4" s="1"/>
  <c r="C26" i="4"/>
  <c r="C50" i="4"/>
  <c r="C58" i="4"/>
  <c r="C66" i="4"/>
  <c r="D103" i="4"/>
  <c r="D111" i="4"/>
  <c r="D117" i="4"/>
  <c r="D119" i="4"/>
  <c r="D125" i="4"/>
  <c r="D133" i="4"/>
  <c r="D135" i="4"/>
  <c r="D141" i="4"/>
  <c r="D143" i="4"/>
  <c r="D149" i="4"/>
  <c r="D157" i="4"/>
  <c r="D165" i="4"/>
  <c r="D173" i="4"/>
  <c r="D175" i="4"/>
  <c r="D181" i="4"/>
  <c r="D189" i="4"/>
  <c r="D197" i="4"/>
  <c r="D199" i="4"/>
  <c r="D205" i="4"/>
  <c r="D207" i="4"/>
  <c r="D213" i="4"/>
  <c r="D215" i="4"/>
  <c r="D221" i="4"/>
  <c r="D223" i="4"/>
  <c r="D229" i="4"/>
  <c r="D237" i="4"/>
  <c r="D239" i="4"/>
  <c r="D245" i="4"/>
  <c r="D247" i="4"/>
  <c r="D253" i="4"/>
  <c r="D261" i="4"/>
  <c r="D263" i="4"/>
  <c r="D269" i="4"/>
  <c r="D277" i="4"/>
  <c r="D285" i="4"/>
  <c r="D293" i="4"/>
  <c r="D301" i="4"/>
  <c r="D303" i="4"/>
  <c r="D309" i="4"/>
  <c r="D317" i="4"/>
  <c r="D319" i="4"/>
  <c r="D325" i="4"/>
  <c r="D327" i="4"/>
  <c r="D333" i="4"/>
  <c r="D335" i="4"/>
  <c r="D341" i="4"/>
  <c r="D343" i="4"/>
  <c r="D349" i="4"/>
  <c r="D351" i="4"/>
  <c r="D357" i="4"/>
  <c r="D359" i="4"/>
  <c r="D365" i="4"/>
  <c r="D367" i="4"/>
  <c r="D373" i="4"/>
  <c r="D375" i="4"/>
  <c r="D381" i="4"/>
  <c r="D383" i="4"/>
  <c r="D389" i="4"/>
  <c r="D397" i="4"/>
  <c r="D405" i="4"/>
  <c r="D413" i="4"/>
  <c r="D415" i="4"/>
  <c r="D421" i="4"/>
  <c r="D423" i="4"/>
  <c r="D429" i="4"/>
  <c r="D431" i="4"/>
  <c r="D437" i="4"/>
  <c r="D439" i="4"/>
  <c r="D445" i="4"/>
  <c r="D453" i="4"/>
  <c r="D455" i="4"/>
  <c r="D461" i="4"/>
  <c r="D463" i="4"/>
  <c r="D469" i="4"/>
  <c r="D477" i="4"/>
  <c r="D479" i="4"/>
  <c r="D485" i="4"/>
  <c r="D487" i="4"/>
  <c r="D493" i="4"/>
  <c r="D495" i="4"/>
  <c r="D501" i="4"/>
  <c r="D503" i="4"/>
  <c r="D510" i="4"/>
  <c r="C510" i="4"/>
  <c r="D522" i="4"/>
  <c r="D526" i="4"/>
  <c r="C526" i="4"/>
  <c r="D538" i="4"/>
  <c r="D542" i="4"/>
  <c r="C542" i="4"/>
  <c r="D554" i="4"/>
  <c r="C19" i="4"/>
  <c r="C43" i="4"/>
  <c r="D59" i="4"/>
  <c r="D67" i="4"/>
  <c r="D107" i="4"/>
  <c r="C96" i="4"/>
  <c r="D163" i="4"/>
  <c r="C152" i="4"/>
  <c r="D171" i="4"/>
  <c r="C160" i="4"/>
  <c r="D179" i="4"/>
  <c r="C168" i="4"/>
  <c r="D203" i="4"/>
  <c r="C192" i="4"/>
  <c r="D403" i="4"/>
  <c r="C392" i="4"/>
  <c r="C67" i="4"/>
  <c r="D43" i="4"/>
  <c r="D51" i="4"/>
  <c r="D97" i="4"/>
  <c r="D139" i="4"/>
  <c r="C128" i="4"/>
  <c r="D195" i="4"/>
  <c r="C184" i="4"/>
  <c r="D243" i="4"/>
  <c r="C232" i="4"/>
  <c r="D267" i="4"/>
  <c r="C256" i="4"/>
  <c r="D283" i="4"/>
  <c r="C272" i="4"/>
  <c r="D291" i="4"/>
  <c r="C280" i="4"/>
  <c r="D299" i="4"/>
  <c r="C288" i="4"/>
  <c r="D307" i="4"/>
  <c r="C296" i="4"/>
  <c r="D323" i="4"/>
  <c r="C312" i="4"/>
  <c r="D411" i="4"/>
  <c r="C400" i="4"/>
  <c r="D419" i="4"/>
  <c r="C408" i="4"/>
  <c r="D459" i="4"/>
  <c r="C448" i="4"/>
  <c r="D483" i="4"/>
  <c r="C472" i="4"/>
  <c r="C84" i="4"/>
  <c r="C92" i="4"/>
  <c r="D112" i="4"/>
  <c r="C101" i="4"/>
  <c r="D120" i="4"/>
  <c r="C109" i="4"/>
  <c r="D128" i="4"/>
  <c r="C117" i="4"/>
  <c r="D136" i="4"/>
  <c r="C125" i="4"/>
  <c r="D144" i="4"/>
  <c r="C133" i="4"/>
  <c r="D152" i="4"/>
  <c r="C141" i="4"/>
  <c r="D160" i="4"/>
  <c r="C149" i="4"/>
  <c r="D168" i="4"/>
  <c r="C157" i="4"/>
  <c r="D176" i="4"/>
  <c r="C165" i="4"/>
  <c r="D184" i="4"/>
  <c r="C173" i="4"/>
  <c r="D192" i="4"/>
  <c r="C181" i="4"/>
  <c r="D200" i="4"/>
  <c r="C189" i="4"/>
  <c r="D208" i="4"/>
  <c r="C197" i="4"/>
  <c r="D216" i="4"/>
  <c r="C205" i="4"/>
  <c r="D224" i="4"/>
  <c r="C213" i="4"/>
  <c r="D232" i="4"/>
  <c r="C221" i="4"/>
  <c r="D240" i="4"/>
  <c r="C229" i="4"/>
  <c r="D248" i="4"/>
  <c r="C237" i="4"/>
  <c r="D256" i="4"/>
  <c r="C245" i="4"/>
  <c r="D264" i="4"/>
  <c r="C253" i="4"/>
  <c r="D272" i="4"/>
  <c r="C261" i="4"/>
  <c r="D280" i="4"/>
  <c r="C269" i="4"/>
  <c r="D288" i="4"/>
  <c r="C277" i="4"/>
  <c r="D296" i="4"/>
  <c r="C285" i="4"/>
  <c r="D304" i="4"/>
  <c r="C293" i="4"/>
  <c r="D312" i="4"/>
  <c r="C301" i="4"/>
  <c r="D320" i="4"/>
  <c r="C309" i="4"/>
  <c r="D328" i="4"/>
  <c r="C317" i="4"/>
  <c r="D336" i="4"/>
  <c r="C325" i="4"/>
  <c r="D344" i="4"/>
  <c r="C333" i="4"/>
  <c r="D352" i="4"/>
  <c r="C341" i="4"/>
  <c r="D360" i="4"/>
  <c r="C349" i="4"/>
  <c r="D368" i="4"/>
  <c r="C357" i="4"/>
  <c r="D376" i="4"/>
  <c r="C365" i="4"/>
  <c r="D384" i="4"/>
  <c r="C373" i="4"/>
  <c r="D392" i="4"/>
  <c r="C381" i="4"/>
  <c r="D400" i="4"/>
  <c r="C389" i="4"/>
  <c r="D408" i="4"/>
  <c r="C397" i="4"/>
  <c r="D416" i="4"/>
  <c r="C405" i="4"/>
  <c r="D424" i="4"/>
  <c r="C413" i="4"/>
  <c r="D432" i="4"/>
  <c r="C421" i="4"/>
  <c r="D440" i="4"/>
  <c r="C429" i="4"/>
  <c r="D448" i="4"/>
  <c r="C437" i="4"/>
  <c r="D456" i="4"/>
  <c r="C445" i="4"/>
  <c r="D464" i="4"/>
  <c r="C453" i="4"/>
  <c r="D472" i="4"/>
  <c r="C461" i="4"/>
  <c r="D480" i="4"/>
  <c r="C469" i="4"/>
  <c r="D488" i="4"/>
  <c r="C477" i="4"/>
  <c r="D496" i="4"/>
  <c r="C485" i="4"/>
  <c r="D504" i="4"/>
  <c r="C493" i="4"/>
  <c r="D512" i="4"/>
  <c r="C501" i="4"/>
  <c r="D513" i="4"/>
  <c r="D525" i="4"/>
  <c r="C514" i="4"/>
  <c r="C509" i="4"/>
  <c r="C517" i="4"/>
  <c r="C525" i="4"/>
  <c r="C533" i="4"/>
  <c r="C541" i="4"/>
  <c r="C549" i="4"/>
  <c r="C557" i="4"/>
  <c r="C565" i="4"/>
  <c r="C573" i="4"/>
  <c r="C581" i="4"/>
  <c r="C589" i="4"/>
  <c r="C597" i="4"/>
  <c r="D605" i="4"/>
  <c r="D610" i="4"/>
  <c r="C617" i="4"/>
  <c r="C627" i="4"/>
  <c r="C649" i="4"/>
  <c r="C659" i="4"/>
  <c r="C681" i="4"/>
  <c r="C691" i="4"/>
  <c r="C742" i="4"/>
  <c r="C744" i="4"/>
  <c r="D759" i="4"/>
  <c r="C759" i="4"/>
  <c r="C761" i="4"/>
  <c r="D777" i="4"/>
  <c r="C766" i="4"/>
  <c r="D785" i="4"/>
  <c r="C774" i="4"/>
  <c r="D793" i="4"/>
  <c r="C782" i="4"/>
  <c r="D801" i="4"/>
  <c r="C790" i="4"/>
  <c r="D809" i="4"/>
  <c r="C798" i="4"/>
  <c r="D817" i="4"/>
  <c r="C806" i="4"/>
  <c r="D825" i="4"/>
  <c r="C814" i="4"/>
  <c r="D833" i="4"/>
  <c r="C822" i="4"/>
  <c r="D841" i="4"/>
  <c r="C830" i="4"/>
  <c r="D849" i="4"/>
  <c r="C838" i="4"/>
  <c r="D857" i="4"/>
  <c r="C846" i="4"/>
  <c r="D865" i="4"/>
  <c r="C854" i="4"/>
  <c r="D873" i="4"/>
  <c r="C862" i="4"/>
  <c r="D881" i="4"/>
  <c r="C870" i="4"/>
  <c r="D889" i="4"/>
  <c r="C889" i="4"/>
  <c r="C899" i="4"/>
  <c r="D899" i="4"/>
  <c r="D901" i="4"/>
  <c r="D52" i="5"/>
  <c r="D67" i="5"/>
  <c r="D105" i="5"/>
  <c r="D126" i="5"/>
  <c r="D114" i="5"/>
  <c r="C114" i="5"/>
  <c r="D184" i="5"/>
  <c r="C184" i="5"/>
  <c r="D189" i="5"/>
  <c r="C190" i="5"/>
  <c r="D201" i="5"/>
  <c r="C189" i="5"/>
  <c r="D208" i="5"/>
  <c r="C208" i="5"/>
  <c r="D220" i="5"/>
  <c r="D272" i="5"/>
  <c r="C272" i="5"/>
  <c r="D284" i="5"/>
  <c r="D336" i="5"/>
  <c r="C336" i="5"/>
  <c r="D348" i="5"/>
  <c r="D352" i="5"/>
  <c r="C352" i="5"/>
  <c r="D364" i="5"/>
  <c r="D368" i="5"/>
  <c r="C368" i="5"/>
  <c r="D380" i="5"/>
  <c r="D384" i="5"/>
  <c r="C384" i="5"/>
  <c r="D396" i="5"/>
  <c r="D400" i="5"/>
  <c r="C400" i="5"/>
  <c r="D412" i="5"/>
  <c r="D416" i="5"/>
  <c r="C416" i="5"/>
  <c r="D428" i="5"/>
  <c r="C432" i="5"/>
  <c r="D432" i="5"/>
  <c r="D510" i="5"/>
  <c r="C510" i="5"/>
  <c r="D558" i="5"/>
  <c r="D546" i="5"/>
  <c r="C546" i="5"/>
  <c r="C547" i="5"/>
  <c r="C522" i="4"/>
  <c r="C530" i="4"/>
  <c r="D533" i="4"/>
  <c r="C538" i="4"/>
  <c r="D541" i="4"/>
  <c r="C546" i="4"/>
  <c r="D549" i="4"/>
  <c r="C554" i="4"/>
  <c r="D557" i="4"/>
  <c r="C562" i="4"/>
  <c r="D565" i="4"/>
  <c r="C570" i="4"/>
  <c r="D573" i="4"/>
  <c r="C578" i="4"/>
  <c r="D581" i="4"/>
  <c r="C586" i="4"/>
  <c r="D589" i="4"/>
  <c r="C594" i="4"/>
  <c r="D597" i="4"/>
  <c r="C602" i="4"/>
  <c r="C612" i="4"/>
  <c r="C629" i="4"/>
  <c r="C634" i="4"/>
  <c r="C644" i="4"/>
  <c r="C661" i="4"/>
  <c r="C666" i="4"/>
  <c r="C676" i="4"/>
  <c r="C693" i="4"/>
  <c r="C698" i="4"/>
  <c r="C705" i="4"/>
  <c r="C712" i="4"/>
  <c r="D719" i="4"/>
  <c r="C721" i="4"/>
  <c r="D726" i="4"/>
  <c r="C728" i="4"/>
  <c r="D735" i="4"/>
  <c r="C737" i="4"/>
  <c r="D742" i="4"/>
  <c r="D748" i="4"/>
  <c r="D761" i="4"/>
  <c r="C763" i="4"/>
  <c r="D767" i="4"/>
  <c r="C767" i="4"/>
  <c r="C769" i="4"/>
  <c r="C771" i="4"/>
  <c r="D775" i="4"/>
  <c r="C775" i="4"/>
  <c r="C777" i="4"/>
  <c r="C779" i="4"/>
  <c r="D783" i="4"/>
  <c r="C783" i="4"/>
  <c r="C785" i="4"/>
  <c r="C787" i="4"/>
  <c r="D791" i="4"/>
  <c r="C791" i="4"/>
  <c r="C793" i="4"/>
  <c r="C795" i="4"/>
  <c r="D799" i="4"/>
  <c r="C799" i="4"/>
  <c r="C801" i="4"/>
  <c r="C803" i="4"/>
  <c r="D807" i="4"/>
  <c r="C807" i="4"/>
  <c r="C809" i="4"/>
  <c r="C811" i="4"/>
  <c r="D815" i="4"/>
  <c r="C815" i="4"/>
  <c r="C817" i="4"/>
  <c r="C819" i="4"/>
  <c r="D823" i="4"/>
  <c r="C823" i="4"/>
  <c r="C825" i="4"/>
  <c r="C827" i="4"/>
  <c r="D831" i="4"/>
  <c r="C831" i="4"/>
  <c r="C833" i="4"/>
  <c r="C835" i="4"/>
  <c r="D839" i="4"/>
  <c r="C839" i="4"/>
  <c r="C841" i="4"/>
  <c r="C843" i="4"/>
  <c r="D847" i="4"/>
  <c r="C847" i="4"/>
  <c r="C849" i="4"/>
  <c r="C851" i="4"/>
  <c r="D855" i="4"/>
  <c r="C855" i="4"/>
  <c r="C857" i="4"/>
  <c r="C859" i="4"/>
  <c r="D863" i="4"/>
  <c r="C863" i="4"/>
  <c r="C865" i="4"/>
  <c r="C867" i="4"/>
  <c r="D871" i="4"/>
  <c r="C871" i="4"/>
  <c r="C873" i="4"/>
  <c r="C875" i="4"/>
  <c r="D879" i="4"/>
  <c r="C879" i="4"/>
  <c r="C881" i="4"/>
  <c r="D883" i="4"/>
  <c r="C35" i="5"/>
  <c r="C36" i="5"/>
  <c r="D44" i="5"/>
  <c r="D53" i="5"/>
  <c r="C53" i="5"/>
  <c r="C54" i="5"/>
  <c r="D64" i="5"/>
  <c r="C65" i="5"/>
  <c r="D143" i="5"/>
  <c r="D248" i="5"/>
  <c r="C248" i="5"/>
  <c r="D260" i="5"/>
  <c r="D312" i="5"/>
  <c r="C312" i="5"/>
  <c r="D324" i="5"/>
  <c r="C459" i="5"/>
  <c r="D458" i="5"/>
  <c r="C458" i="5"/>
  <c r="C506" i="5"/>
  <c r="D505" i="5"/>
  <c r="C505" i="5"/>
  <c r="C511" i="4"/>
  <c r="C519" i="4"/>
  <c r="C527" i="4"/>
  <c r="C535" i="4"/>
  <c r="C543" i="4"/>
  <c r="C551" i="4"/>
  <c r="C559" i="4"/>
  <c r="D562" i="4"/>
  <c r="C567" i="4"/>
  <c r="D570" i="4"/>
  <c r="C575" i="4"/>
  <c r="D578" i="4"/>
  <c r="C583" i="4"/>
  <c r="D586" i="4"/>
  <c r="C591" i="4"/>
  <c r="D594" i="4"/>
  <c r="C599" i="4"/>
  <c r="D602" i="4"/>
  <c r="C614" i="4"/>
  <c r="C619" i="4"/>
  <c r="D636" i="4"/>
  <c r="C646" i="4"/>
  <c r="C651" i="4"/>
  <c r="D668" i="4"/>
  <c r="C678" i="4"/>
  <c r="C683" i="4"/>
  <c r="D700" i="4"/>
  <c r="D705" i="4"/>
  <c r="C707" i="4"/>
  <c r="D712" i="4"/>
  <c r="C714" i="4"/>
  <c r="D716" i="4"/>
  <c r="D721" i="4"/>
  <c r="C723" i="4"/>
  <c r="C730" i="4"/>
  <c r="D732" i="4"/>
  <c r="D737" i="4"/>
  <c r="C739" i="4"/>
  <c r="C750" i="4"/>
  <c r="D779" i="4"/>
  <c r="D787" i="4"/>
  <c r="D795" i="4"/>
  <c r="D803" i="4"/>
  <c r="D811" i="4"/>
  <c r="D819" i="4"/>
  <c r="D827" i="4"/>
  <c r="D835" i="4"/>
  <c r="D843" i="4"/>
  <c r="D851" i="4"/>
  <c r="D859" i="4"/>
  <c r="D867" i="4"/>
  <c r="D875" i="4"/>
  <c r="D35" i="5"/>
  <c r="C44" i="5"/>
  <c r="C49" i="5"/>
  <c r="C64" i="5"/>
  <c r="D73" i="5"/>
  <c r="D94" i="5"/>
  <c r="D82" i="5"/>
  <c r="C82" i="5"/>
  <c r="C90" i="5"/>
  <c r="D119" i="5"/>
  <c r="D139" i="5"/>
  <c r="C143" i="5"/>
  <c r="D151" i="5"/>
  <c r="C156" i="5"/>
  <c r="D168" i="5"/>
  <c r="C168" i="5"/>
  <c r="D180" i="5"/>
  <c r="D185" i="5"/>
  <c r="D224" i="5"/>
  <c r="C224" i="5"/>
  <c r="D236" i="5"/>
  <c r="D288" i="5"/>
  <c r="C288" i="5"/>
  <c r="D300" i="5"/>
  <c r="C449" i="5"/>
  <c r="D476" i="5"/>
  <c r="C476" i="5"/>
  <c r="C523" i="5"/>
  <c r="D522" i="5"/>
  <c r="C522" i="5"/>
  <c r="D723" i="4"/>
  <c r="D739" i="4"/>
  <c r="D904" i="4"/>
  <c r="C893" i="4"/>
  <c r="D902" i="4"/>
  <c r="D21" i="5"/>
  <c r="C21" i="5"/>
  <c r="C22" i="5"/>
  <c r="D32" i="5"/>
  <c r="C33" i="5"/>
  <c r="C45" i="5"/>
  <c r="D65" i="5"/>
  <c r="D123" i="5"/>
  <c r="D111" i="5"/>
  <c r="C111" i="5"/>
  <c r="C112" i="5"/>
  <c r="C131" i="5"/>
  <c r="C132" i="5"/>
  <c r="D152" i="5"/>
  <c r="C152" i="5"/>
  <c r="D164" i="5"/>
  <c r="D181" i="5"/>
  <c r="D193" i="5"/>
  <c r="C182" i="5"/>
  <c r="D198" i="5"/>
  <c r="D186" i="5"/>
  <c r="C186" i="5"/>
  <c r="D200" i="5"/>
  <c r="C200" i="5"/>
  <c r="D212" i="5"/>
  <c r="D264" i="5"/>
  <c r="C264" i="5"/>
  <c r="D276" i="5"/>
  <c r="D328" i="5"/>
  <c r="C328" i="5"/>
  <c r="D340" i="5"/>
  <c r="C472" i="5"/>
  <c r="D484" i="5"/>
  <c r="C493" i="5"/>
  <c r="D501" i="5"/>
  <c r="C501" i="5"/>
  <c r="D709" i="4"/>
  <c r="D743" i="4"/>
  <c r="C743" i="4"/>
  <c r="D896" i="4"/>
  <c r="D884" i="4"/>
  <c r="C884" i="4"/>
  <c r="C890" i="4"/>
  <c r="C892" i="4"/>
  <c r="D894" i="4"/>
  <c r="C894" i="4"/>
  <c r="C902" i="4"/>
  <c r="C17" i="5"/>
  <c r="C32" i="5"/>
  <c r="D41" i="5"/>
  <c r="D62" i="5"/>
  <c r="D50" i="5"/>
  <c r="C50" i="5"/>
  <c r="C58" i="5"/>
  <c r="D107" i="5"/>
  <c r="D148" i="5"/>
  <c r="D165" i="5"/>
  <c r="C166" i="5"/>
  <c r="D240" i="5"/>
  <c r="C240" i="5"/>
  <c r="D252" i="5"/>
  <c r="D304" i="5"/>
  <c r="C304" i="5"/>
  <c r="D316" i="5"/>
  <c r="D344" i="5"/>
  <c r="C344" i="5"/>
  <c r="D356" i="5"/>
  <c r="D360" i="5"/>
  <c r="C360" i="5"/>
  <c r="D372" i="5"/>
  <c r="D376" i="5"/>
  <c r="C376" i="5"/>
  <c r="D388" i="5"/>
  <c r="D392" i="5"/>
  <c r="C392" i="5"/>
  <c r="D404" i="5"/>
  <c r="D408" i="5"/>
  <c r="C408" i="5"/>
  <c r="D420" i="5"/>
  <c r="D424" i="5"/>
  <c r="C424" i="5"/>
  <c r="D436" i="5"/>
  <c r="D444" i="5"/>
  <c r="C444" i="5"/>
  <c r="D472" i="5"/>
  <c r="D542" i="5"/>
  <c r="D554" i="5"/>
  <c r="C542" i="5"/>
  <c r="C550" i="4"/>
  <c r="C558" i="4"/>
  <c r="C566" i="4"/>
  <c r="C574" i="4"/>
  <c r="C582" i="4"/>
  <c r="C590" i="4"/>
  <c r="C598" i="4"/>
  <c r="D606" i="4"/>
  <c r="C613" i="4"/>
  <c r="C618" i="4"/>
  <c r="C623" i="4"/>
  <c r="C628" i="4"/>
  <c r="D633" i="4"/>
  <c r="C645" i="4"/>
  <c r="C650" i="4"/>
  <c r="C655" i="4"/>
  <c r="C660" i="4"/>
  <c r="D665" i="4"/>
  <c r="C677" i="4"/>
  <c r="C682" i="4"/>
  <c r="C687" i="4"/>
  <c r="C692" i="4"/>
  <c r="D697" i="4"/>
  <c r="C704" i="4"/>
  <c r="D711" i="4"/>
  <c r="C713" i="4"/>
  <c r="D718" i="4"/>
  <c r="C720" i="4"/>
  <c r="D727" i="4"/>
  <c r="C729" i="4"/>
  <c r="D734" i="4"/>
  <c r="C736" i="4"/>
  <c r="C747" i="4"/>
  <c r="C749" i="4"/>
  <c r="D758" i="4"/>
  <c r="C762" i="4"/>
  <c r="D764" i="4"/>
  <c r="C768" i="4"/>
  <c r="C770" i="4"/>
  <c r="D772" i="4"/>
  <c r="C776" i="4"/>
  <c r="C778" i="4"/>
  <c r="D780" i="4"/>
  <c r="C784" i="4"/>
  <c r="C786" i="4"/>
  <c r="D788" i="4"/>
  <c r="C792" i="4"/>
  <c r="C794" i="4"/>
  <c r="D796" i="4"/>
  <c r="C800" i="4"/>
  <c r="C802" i="4"/>
  <c r="D804" i="4"/>
  <c r="C808" i="4"/>
  <c r="C810" i="4"/>
  <c r="D812" i="4"/>
  <c r="C816" i="4"/>
  <c r="C818" i="4"/>
  <c r="D820" i="4"/>
  <c r="C824" i="4"/>
  <c r="C826" i="4"/>
  <c r="D828" i="4"/>
  <c r="C832" i="4"/>
  <c r="C834" i="4"/>
  <c r="D836" i="4"/>
  <c r="C840" i="4"/>
  <c r="C842" i="4"/>
  <c r="D844" i="4"/>
  <c r="C848" i="4"/>
  <c r="C850" i="4"/>
  <c r="D852" i="4"/>
  <c r="C856" i="4"/>
  <c r="C858" i="4"/>
  <c r="D860" i="4"/>
  <c r="C864" i="4"/>
  <c r="C866" i="4"/>
  <c r="D868" i="4"/>
  <c r="C872" i="4"/>
  <c r="C874" i="4"/>
  <c r="D876" i="4"/>
  <c r="C880" i="4"/>
  <c r="C882" i="4"/>
  <c r="D892" i="4"/>
  <c r="C29" i="5"/>
  <c r="D33" i="5"/>
  <c r="C41" i="5"/>
  <c r="C55" i="5"/>
  <c r="D58" i="5"/>
  <c r="D91" i="5"/>
  <c r="D79" i="5"/>
  <c r="C79" i="5"/>
  <c r="C80" i="5"/>
  <c r="C84" i="5"/>
  <c r="C99" i="5"/>
  <c r="C100" i="5"/>
  <c r="D117" i="5"/>
  <c r="C117" i="5"/>
  <c r="C118" i="5"/>
  <c r="D128" i="5"/>
  <c r="C129" i="5"/>
  <c r="C136" i="5"/>
  <c r="D149" i="5"/>
  <c r="C150" i="5"/>
  <c r="C153" i="5"/>
  <c r="C162" i="5"/>
  <c r="C165" i="5"/>
  <c r="D174" i="5"/>
  <c r="D178" i="5"/>
  <c r="D192" i="5"/>
  <c r="C192" i="5"/>
  <c r="D204" i="5"/>
  <c r="D216" i="5"/>
  <c r="C216" i="5"/>
  <c r="D228" i="5"/>
  <c r="D280" i="5"/>
  <c r="C280" i="5"/>
  <c r="D292" i="5"/>
  <c r="C491" i="5"/>
  <c r="D490" i="5"/>
  <c r="C490" i="5"/>
  <c r="D513" i="5"/>
  <c r="C538" i="5"/>
  <c r="D537" i="5"/>
  <c r="C537" i="5"/>
  <c r="D613" i="4"/>
  <c r="D618" i="4"/>
  <c r="D623" i="4"/>
  <c r="C625" i="4"/>
  <c r="D645" i="4"/>
  <c r="D650" i="4"/>
  <c r="D655" i="4"/>
  <c r="C657" i="4"/>
  <c r="D677" i="4"/>
  <c r="D682" i="4"/>
  <c r="D687" i="4"/>
  <c r="C689" i="4"/>
  <c r="C706" i="4"/>
  <c r="D708" i="4"/>
  <c r="C715" i="4"/>
  <c r="C722" i="4"/>
  <c r="D724" i="4"/>
  <c r="C731" i="4"/>
  <c r="C738" i="4"/>
  <c r="D740" i="4"/>
  <c r="D747" i="4"/>
  <c r="D751" i="4"/>
  <c r="C751" i="4"/>
  <c r="C753" i="4"/>
  <c r="D766" i="4"/>
  <c r="D774" i="4"/>
  <c r="D782" i="4"/>
  <c r="D790" i="4"/>
  <c r="D798" i="4"/>
  <c r="D806" i="4"/>
  <c r="D814" i="4"/>
  <c r="D822" i="4"/>
  <c r="D830" i="4"/>
  <c r="D838" i="4"/>
  <c r="D846" i="4"/>
  <c r="D854" i="4"/>
  <c r="D862" i="4"/>
  <c r="D870" i="4"/>
  <c r="D878" i="4"/>
  <c r="D30" i="5"/>
  <c r="D18" i="5"/>
  <c r="C18" i="5"/>
  <c r="C26" i="5"/>
  <c r="D29" i="5"/>
  <c r="C42" i="5"/>
  <c r="D55" i="5"/>
  <c r="D75" i="5"/>
  <c r="D99" i="5"/>
  <c r="C108" i="5"/>
  <c r="C113" i="5"/>
  <c r="C128" i="5"/>
  <c r="D137" i="5"/>
  <c r="C149" i="5"/>
  <c r="C154" i="5"/>
  <c r="D158" i="5"/>
  <c r="D175" i="5"/>
  <c r="D187" i="5"/>
  <c r="C193" i="5"/>
  <c r="D256" i="5"/>
  <c r="C256" i="5"/>
  <c r="D268" i="5"/>
  <c r="D320" i="5"/>
  <c r="C320" i="5"/>
  <c r="D332" i="5"/>
  <c r="D440" i="5"/>
  <c r="D461" i="5"/>
  <c r="C512" i="4"/>
  <c r="C520" i="4"/>
  <c r="C528" i="4"/>
  <c r="C536" i="4"/>
  <c r="C544" i="4"/>
  <c r="C552" i="4"/>
  <c r="C560" i="4"/>
  <c r="C568" i="4"/>
  <c r="C576" i="4"/>
  <c r="C584" i="4"/>
  <c r="C592" i="4"/>
  <c r="C605" i="4"/>
  <c r="C610" i="4"/>
  <c r="C637" i="4"/>
  <c r="D640" i="4"/>
  <c r="C642" i="4"/>
  <c r="C669" i="4"/>
  <c r="D672" i="4"/>
  <c r="C674" i="4"/>
  <c r="C701" i="4"/>
  <c r="D715" i="4"/>
  <c r="D731" i="4"/>
  <c r="C755" i="4"/>
  <c r="C903" i="4"/>
  <c r="C23" i="5"/>
  <c r="D26" i="5"/>
  <c r="D59" i="5"/>
  <c r="D47" i="5"/>
  <c r="C47" i="5"/>
  <c r="C48" i="5"/>
  <c r="C67" i="5"/>
  <c r="C68" i="5"/>
  <c r="D76" i="5"/>
  <c r="D85" i="5"/>
  <c r="C85" i="5"/>
  <c r="C86" i="5"/>
  <c r="D96" i="5"/>
  <c r="C97" i="5"/>
  <c r="C104" i="5"/>
  <c r="C109" i="5"/>
  <c r="C125" i="5"/>
  <c r="D129" i="5"/>
  <c r="C137" i="5"/>
  <c r="D171" i="5"/>
  <c r="C175" i="5"/>
  <c r="D232" i="5"/>
  <c r="C232" i="5"/>
  <c r="D244" i="5"/>
  <c r="D296" i="5"/>
  <c r="C296" i="5"/>
  <c r="D308" i="5"/>
  <c r="C461" i="5"/>
  <c r="D533" i="5"/>
  <c r="C533" i="5"/>
  <c r="C883" i="4"/>
  <c r="D903" i="4"/>
  <c r="C16" i="5"/>
  <c r="D39" i="5"/>
  <c r="D42" i="5"/>
  <c r="D45" i="5"/>
  <c r="D51" i="5"/>
  <c r="D71" i="5"/>
  <c r="D74" i="5"/>
  <c r="D77" i="5"/>
  <c r="D83" i="5"/>
  <c r="D103" i="5"/>
  <c r="D106" i="5"/>
  <c r="D109" i="5"/>
  <c r="D115" i="5"/>
  <c r="D135" i="5"/>
  <c r="D138" i="5"/>
  <c r="D154" i="5"/>
  <c r="D170" i="5"/>
  <c r="D508" i="5"/>
  <c r="C508" i="5"/>
  <c r="C529" i="5"/>
  <c r="D545" i="5"/>
  <c r="D565" i="5"/>
  <c r="D577" i="5"/>
  <c r="C570" i="5"/>
  <c r="D569" i="5"/>
  <c r="C602" i="5"/>
  <c r="D601" i="5"/>
  <c r="D622" i="5"/>
  <c r="D640" i="5"/>
  <c r="C52" i="6"/>
  <c r="D51" i="6"/>
  <c r="D83" i="6"/>
  <c r="D126" i="6"/>
  <c r="D135" i="6"/>
  <c r="C149" i="6"/>
  <c r="C150" i="6"/>
  <c r="D149" i="6"/>
  <c r="C197" i="6"/>
  <c r="D197" i="6"/>
  <c r="D203" i="6"/>
  <c r="C203" i="6"/>
  <c r="D228" i="6"/>
  <c r="D240" i="6"/>
  <c r="D284" i="6"/>
  <c r="D296" i="6"/>
  <c r="C284" i="6"/>
  <c r="C322" i="6"/>
  <c r="D333" i="6"/>
  <c r="D321" i="6"/>
  <c r="C321" i="6"/>
  <c r="D484" i="6"/>
  <c r="C484" i="6"/>
  <c r="C485" i="6"/>
  <c r="C51" i="7"/>
  <c r="D51" i="7"/>
  <c r="C634" i="5"/>
  <c r="D633" i="5"/>
  <c r="C20" i="6"/>
  <c r="D19" i="6"/>
  <c r="D101" i="6"/>
  <c r="D89" i="6"/>
  <c r="C89" i="6"/>
  <c r="D127" i="6"/>
  <c r="C127" i="6"/>
  <c r="C128" i="6"/>
  <c r="D144" i="6"/>
  <c r="D132" i="6"/>
  <c r="C165" i="6"/>
  <c r="D165" i="6"/>
  <c r="D177" i="6"/>
  <c r="C274" i="6"/>
  <c r="D285" i="6"/>
  <c r="D273" i="6"/>
  <c r="C273" i="6"/>
  <c r="D279" i="6"/>
  <c r="C279" i="6"/>
  <c r="C280" i="6"/>
  <c r="D291" i="6"/>
  <c r="D526" i="5"/>
  <c r="D514" i="5"/>
  <c r="C514" i="5"/>
  <c r="C515" i="5"/>
  <c r="C567" i="5"/>
  <c r="D566" i="5"/>
  <c r="C583" i="5"/>
  <c r="D595" i="5"/>
  <c r="C596" i="5"/>
  <c r="C633" i="5"/>
  <c r="C19" i="6"/>
  <c r="C44" i="6"/>
  <c r="D43" i="6"/>
  <c r="C71" i="6"/>
  <c r="C132" i="6"/>
  <c r="C162" i="6"/>
  <c r="D173" i="6"/>
  <c r="C166" i="6"/>
  <c r="C171" i="6"/>
  <c r="C194" i="6"/>
  <c r="D193" i="6"/>
  <c r="D205" i="6"/>
  <c r="C215" i="6"/>
  <c r="C216" i="6"/>
  <c r="C525" i="6"/>
  <c r="D524" i="6"/>
  <c r="C524" i="6"/>
  <c r="C474" i="5"/>
  <c r="D473" i="5"/>
  <c r="D494" i="5"/>
  <c r="D482" i="5"/>
  <c r="C482" i="5"/>
  <c r="C483" i="5"/>
  <c r="C494" i="5"/>
  <c r="C535" i="5"/>
  <c r="D534" i="5"/>
  <c r="C551" i="5"/>
  <c r="C566" i="5"/>
  <c r="C575" i="5"/>
  <c r="D587" i="5"/>
  <c r="D583" i="5"/>
  <c r="C597" i="5"/>
  <c r="D597" i="5"/>
  <c r="D609" i="5"/>
  <c r="C615" i="5"/>
  <c r="D627" i="5"/>
  <c r="C628" i="5"/>
  <c r="C665" i="5"/>
  <c r="C38" i="6"/>
  <c r="C43" i="6"/>
  <c r="D71" i="6"/>
  <c r="C85" i="6"/>
  <c r="C86" i="6"/>
  <c r="D85" i="6"/>
  <c r="C109" i="6"/>
  <c r="C110" i="6"/>
  <c r="C118" i="6"/>
  <c r="C123" i="6"/>
  <c r="D156" i="6"/>
  <c r="D168" i="6"/>
  <c r="C156" i="6"/>
  <c r="C161" i="6"/>
  <c r="C167" i="6"/>
  <c r="C168" i="6"/>
  <c r="D183" i="6"/>
  <c r="C193" i="6"/>
  <c r="D215" i="6"/>
  <c r="C258" i="6"/>
  <c r="D269" i="6"/>
  <c r="D257" i="6"/>
  <c r="C257" i="6"/>
  <c r="D268" i="6"/>
  <c r="D280" i="6"/>
  <c r="C268" i="6"/>
  <c r="C306" i="6"/>
  <c r="D317" i="6"/>
  <c r="D305" i="6"/>
  <c r="C305" i="6"/>
  <c r="D311" i="6"/>
  <c r="C311" i="6"/>
  <c r="C312" i="6"/>
  <c r="D323" i="6"/>
  <c r="C201" i="5"/>
  <c r="C209" i="5"/>
  <c r="C217" i="5"/>
  <c r="C225" i="5"/>
  <c r="C233" i="5"/>
  <c r="C241" i="5"/>
  <c r="C249" i="5"/>
  <c r="C257" i="5"/>
  <c r="C265" i="5"/>
  <c r="C273" i="5"/>
  <c r="C281" i="5"/>
  <c r="C289" i="5"/>
  <c r="C297" i="5"/>
  <c r="C305" i="5"/>
  <c r="C313" i="5"/>
  <c r="C321" i="5"/>
  <c r="C329" i="5"/>
  <c r="C337" i="5"/>
  <c r="C345" i="5"/>
  <c r="C353" i="5"/>
  <c r="C361" i="5"/>
  <c r="C369" i="5"/>
  <c r="C377" i="5"/>
  <c r="C385" i="5"/>
  <c r="C393" i="5"/>
  <c r="C401" i="5"/>
  <c r="C409" i="5"/>
  <c r="C417" i="5"/>
  <c r="C425" i="5"/>
  <c r="C442" i="5"/>
  <c r="D441" i="5"/>
  <c r="D462" i="5"/>
  <c r="D450" i="5"/>
  <c r="C450" i="5"/>
  <c r="C451" i="5"/>
  <c r="C462" i="5"/>
  <c r="C469" i="5"/>
  <c r="C473" i="5"/>
  <c r="C478" i="5"/>
  <c r="C503" i="5"/>
  <c r="D502" i="5"/>
  <c r="C519" i="5"/>
  <c r="C534" i="5"/>
  <c r="D555" i="5"/>
  <c r="D543" i="5"/>
  <c r="C543" i="5"/>
  <c r="D551" i="5"/>
  <c r="D575" i="5"/>
  <c r="C589" i="5"/>
  <c r="D589" i="5"/>
  <c r="C593" i="5"/>
  <c r="D598" i="5"/>
  <c r="C598" i="5"/>
  <c r="C607" i="5"/>
  <c r="D619" i="5"/>
  <c r="D615" i="5"/>
  <c r="C629" i="5"/>
  <c r="D629" i="5"/>
  <c r="D641" i="5"/>
  <c r="C647" i="5"/>
  <c r="D659" i="5"/>
  <c r="C660" i="5"/>
  <c r="C36" i="6"/>
  <c r="D35" i="6"/>
  <c r="C39" i="6"/>
  <c r="D63" i="6"/>
  <c r="C63" i="6"/>
  <c r="C64" i="6"/>
  <c r="D80" i="6"/>
  <c r="D68" i="6"/>
  <c r="D109" i="6"/>
  <c r="C119" i="6"/>
  <c r="D161" i="6"/>
  <c r="D167" i="6"/>
  <c r="C206" i="6"/>
  <c r="D263" i="6"/>
  <c r="C263" i="6"/>
  <c r="C264" i="6"/>
  <c r="D275" i="6"/>
  <c r="D128" i="7"/>
  <c r="C128" i="7"/>
  <c r="D140" i="7"/>
  <c r="D24" i="5"/>
  <c r="C27" i="5"/>
  <c r="D56" i="5"/>
  <c r="C59" i="5"/>
  <c r="D88" i="5"/>
  <c r="C91" i="5"/>
  <c r="D120" i="5"/>
  <c r="C123" i="5"/>
  <c r="C147" i="5"/>
  <c r="C163" i="5"/>
  <c r="C179" i="5"/>
  <c r="C198" i="5"/>
  <c r="D197" i="5"/>
  <c r="C206" i="5"/>
  <c r="D205" i="5"/>
  <c r="D209" i="5"/>
  <c r="C214" i="5"/>
  <c r="D213" i="5"/>
  <c r="D217" i="5"/>
  <c r="C222" i="5"/>
  <c r="D221" i="5"/>
  <c r="D225" i="5"/>
  <c r="C230" i="5"/>
  <c r="D229" i="5"/>
  <c r="D233" i="5"/>
  <c r="C238" i="5"/>
  <c r="D237" i="5"/>
  <c r="D241" i="5"/>
  <c r="C246" i="5"/>
  <c r="D245" i="5"/>
  <c r="D249" i="5"/>
  <c r="C254" i="5"/>
  <c r="D253" i="5"/>
  <c r="D257" i="5"/>
  <c r="C262" i="5"/>
  <c r="D261" i="5"/>
  <c r="D265" i="5"/>
  <c r="C270" i="5"/>
  <c r="D269" i="5"/>
  <c r="D273" i="5"/>
  <c r="C278" i="5"/>
  <c r="D277" i="5"/>
  <c r="D281" i="5"/>
  <c r="C286" i="5"/>
  <c r="D285" i="5"/>
  <c r="D289" i="5"/>
  <c r="C294" i="5"/>
  <c r="D293" i="5"/>
  <c r="D297" i="5"/>
  <c r="C302" i="5"/>
  <c r="D301" i="5"/>
  <c r="D305" i="5"/>
  <c r="C310" i="5"/>
  <c r="D309" i="5"/>
  <c r="D313" i="5"/>
  <c r="C318" i="5"/>
  <c r="D317" i="5"/>
  <c r="D321" i="5"/>
  <c r="C326" i="5"/>
  <c r="D325" i="5"/>
  <c r="D329" i="5"/>
  <c r="C334" i="5"/>
  <c r="D333" i="5"/>
  <c r="D337" i="5"/>
  <c r="C342" i="5"/>
  <c r="D341" i="5"/>
  <c r="D345" i="5"/>
  <c r="C350" i="5"/>
  <c r="D349" i="5"/>
  <c r="D353" i="5"/>
  <c r="C358" i="5"/>
  <c r="D357" i="5"/>
  <c r="D361" i="5"/>
  <c r="C366" i="5"/>
  <c r="D365" i="5"/>
  <c r="D369" i="5"/>
  <c r="C374" i="5"/>
  <c r="D373" i="5"/>
  <c r="D377" i="5"/>
  <c r="C382" i="5"/>
  <c r="D381" i="5"/>
  <c r="D385" i="5"/>
  <c r="C390" i="5"/>
  <c r="D389" i="5"/>
  <c r="D393" i="5"/>
  <c r="C398" i="5"/>
  <c r="D397" i="5"/>
  <c r="D401" i="5"/>
  <c r="C406" i="5"/>
  <c r="D405" i="5"/>
  <c r="D409" i="5"/>
  <c r="C414" i="5"/>
  <c r="D413" i="5"/>
  <c r="D417" i="5"/>
  <c r="D433" i="5"/>
  <c r="C422" i="5"/>
  <c r="D421" i="5"/>
  <c r="D425" i="5"/>
  <c r="C433" i="5"/>
  <c r="C441" i="5"/>
  <c r="C446" i="5"/>
  <c r="C471" i="5"/>
  <c r="D470" i="5"/>
  <c r="C487" i="5"/>
  <c r="C502" i="5"/>
  <c r="D523" i="5"/>
  <c r="D511" i="5"/>
  <c r="C511" i="5"/>
  <c r="D519" i="5"/>
  <c r="C548" i="5"/>
  <c r="C576" i="5"/>
  <c r="D593" i="5"/>
  <c r="D607" i="5"/>
  <c r="C621" i="5"/>
  <c r="D621" i="5"/>
  <c r="C625" i="5"/>
  <c r="D630" i="5"/>
  <c r="C630" i="5"/>
  <c r="C639" i="5"/>
  <c r="D651" i="5"/>
  <c r="D647" i="5"/>
  <c r="C661" i="5"/>
  <c r="D661" i="5"/>
  <c r="C30" i="6"/>
  <c r="C35" i="6"/>
  <c r="C68" i="6"/>
  <c r="C114" i="6"/>
  <c r="D147" i="6"/>
  <c r="D190" i="6"/>
  <c r="C190" i="6"/>
  <c r="D300" i="6"/>
  <c r="D312" i="6"/>
  <c r="C300" i="6"/>
  <c r="C513" i="6"/>
  <c r="D512" i="6"/>
  <c r="C512" i="6"/>
  <c r="D886" i="4"/>
  <c r="C891" i="4"/>
  <c r="D27" i="5"/>
  <c r="D144" i="5"/>
  <c r="C144" i="5"/>
  <c r="D147" i="5"/>
  <c r="D150" i="5"/>
  <c r="D160" i="5"/>
  <c r="C160" i="5"/>
  <c r="D166" i="5"/>
  <c r="D176" i="5"/>
  <c r="C176" i="5"/>
  <c r="C341" i="5"/>
  <c r="C349" i="5"/>
  <c r="C357" i="5"/>
  <c r="C365" i="5"/>
  <c r="C373" i="5"/>
  <c r="C381" i="5"/>
  <c r="C389" i="5"/>
  <c r="C397" i="5"/>
  <c r="C405" i="5"/>
  <c r="C413" i="5"/>
  <c r="C421" i="5"/>
  <c r="C429" i="5"/>
  <c r="C437" i="5"/>
  <c r="C455" i="5"/>
  <c r="C470" i="5"/>
  <c r="D491" i="5"/>
  <c r="D479" i="5"/>
  <c r="C479" i="5"/>
  <c r="D487" i="5"/>
  <c r="D560" i="5"/>
  <c r="D572" i="5"/>
  <c r="D584" i="5"/>
  <c r="C590" i="5"/>
  <c r="D604" i="5"/>
  <c r="D616" i="5"/>
  <c r="C608" i="5"/>
  <c r="D625" i="5"/>
  <c r="D639" i="5"/>
  <c r="C653" i="5"/>
  <c r="D653" i="5"/>
  <c r="C657" i="5"/>
  <c r="D662" i="5"/>
  <c r="C662" i="5"/>
  <c r="D21" i="6"/>
  <c r="C28" i="6"/>
  <c r="D27" i="6"/>
  <c r="C31" i="6"/>
  <c r="C59" i="6"/>
  <c r="D104" i="6"/>
  <c r="D92" i="6"/>
  <c r="C92" i="6"/>
  <c r="C97" i="6"/>
  <c r="D106" i="6"/>
  <c r="C107" i="6"/>
  <c r="C106" i="6"/>
  <c r="C147" i="6"/>
  <c r="D153" i="6"/>
  <c r="C153" i="6"/>
  <c r="D179" i="6"/>
  <c r="D196" i="6"/>
  <c r="D208" i="6"/>
  <c r="D243" i="6"/>
  <c r="C243" i="6"/>
  <c r="C250" i="6"/>
  <c r="D261" i="6"/>
  <c r="D249" i="6"/>
  <c r="C249" i="6"/>
  <c r="C290" i="6"/>
  <c r="D301" i="6"/>
  <c r="D289" i="6"/>
  <c r="C289" i="6"/>
  <c r="D295" i="6"/>
  <c r="C295" i="6"/>
  <c r="C296" i="6"/>
  <c r="D307" i="6"/>
  <c r="D122" i="7"/>
  <c r="C122" i="7"/>
  <c r="C886" i="4"/>
  <c r="D891" i="4"/>
  <c r="C19" i="5"/>
  <c r="D48" i="5"/>
  <c r="C51" i="5"/>
  <c r="D80" i="5"/>
  <c r="C83" i="5"/>
  <c r="D112" i="5"/>
  <c r="C115" i="5"/>
  <c r="C141" i="5"/>
  <c r="C157" i="5"/>
  <c r="C170" i="5"/>
  <c r="C173" i="5"/>
  <c r="C183" i="5"/>
  <c r="C187" i="5"/>
  <c r="C194" i="5"/>
  <c r="C202" i="5"/>
  <c r="C210" i="5"/>
  <c r="C218" i="5"/>
  <c r="C226" i="5"/>
  <c r="C234" i="5"/>
  <c r="C242" i="5"/>
  <c r="C250" i="5"/>
  <c r="C258" i="5"/>
  <c r="C266" i="5"/>
  <c r="C274" i="5"/>
  <c r="C282" i="5"/>
  <c r="C290" i="5"/>
  <c r="C298" i="5"/>
  <c r="C306" i="5"/>
  <c r="C314" i="5"/>
  <c r="C322" i="5"/>
  <c r="C330" i="5"/>
  <c r="C338" i="5"/>
  <c r="C346" i="5"/>
  <c r="C354" i="5"/>
  <c r="C362" i="5"/>
  <c r="C370" i="5"/>
  <c r="C378" i="5"/>
  <c r="C386" i="5"/>
  <c r="C394" i="5"/>
  <c r="C402" i="5"/>
  <c r="C410" i="5"/>
  <c r="C418" i="5"/>
  <c r="C430" i="5"/>
  <c r="C439" i="5"/>
  <c r="D438" i="5"/>
  <c r="D459" i="5"/>
  <c r="D447" i="5"/>
  <c r="C447" i="5"/>
  <c r="D455" i="5"/>
  <c r="D528" i="5"/>
  <c r="D540" i="5"/>
  <c r="C540" i="5"/>
  <c r="D557" i="5"/>
  <c r="C561" i="5"/>
  <c r="C572" i="5"/>
  <c r="C604" i="5"/>
  <c r="D608" i="5"/>
  <c r="D636" i="5"/>
  <c r="D648" i="5"/>
  <c r="C640" i="5"/>
  <c r="D657" i="5"/>
  <c r="C27" i="6"/>
  <c r="D50" i="6"/>
  <c r="C54" i="6"/>
  <c r="D97" i="6"/>
  <c r="C135" i="6"/>
  <c r="D139" i="6"/>
  <c r="C148" i="6"/>
  <c r="D180" i="6"/>
  <c r="C180" i="6"/>
  <c r="C196" i="6"/>
  <c r="D227" i="6"/>
  <c r="D643" i="6"/>
  <c r="C643" i="6"/>
  <c r="D439" i="5"/>
  <c r="D442" i="5"/>
  <c r="C445" i="5"/>
  <c r="D474" i="5"/>
  <c r="C477" i="5"/>
  <c r="D506" i="5"/>
  <c r="C509" i="5"/>
  <c r="D538" i="5"/>
  <c r="C541" i="5"/>
  <c r="D578" i="5"/>
  <c r="C588" i="5"/>
  <c r="D610" i="5"/>
  <c r="C620" i="5"/>
  <c r="D642" i="5"/>
  <c r="C652" i="5"/>
  <c r="D17" i="6"/>
  <c r="C17" i="6"/>
  <c r="D25" i="6"/>
  <c r="C25" i="6"/>
  <c r="D33" i="6"/>
  <c r="C33" i="6"/>
  <c r="D41" i="6"/>
  <c r="C41" i="6"/>
  <c r="D49" i="6"/>
  <c r="C49" i="6"/>
  <c r="D69" i="6"/>
  <c r="D57" i="6"/>
  <c r="C57" i="6"/>
  <c r="D74" i="6"/>
  <c r="C75" i="6"/>
  <c r="C82" i="6"/>
  <c r="C100" i="6"/>
  <c r="D133" i="6"/>
  <c r="D121" i="6"/>
  <c r="C121" i="6"/>
  <c r="D138" i="6"/>
  <c r="C139" i="6"/>
  <c r="C146" i="6"/>
  <c r="C164" i="6"/>
  <c r="D170" i="6"/>
  <c r="C187" i="6"/>
  <c r="D195" i="6"/>
  <c r="C213" i="6"/>
  <c r="D213" i="6"/>
  <c r="D231" i="6"/>
  <c r="C246" i="6"/>
  <c r="D271" i="6"/>
  <c r="C271" i="6"/>
  <c r="C272" i="6"/>
  <c r="D287" i="6"/>
  <c r="C287" i="6"/>
  <c r="C288" i="6"/>
  <c r="D303" i="6"/>
  <c r="C303" i="6"/>
  <c r="C304" i="6"/>
  <c r="D319" i="6"/>
  <c r="C319" i="6"/>
  <c r="C320" i="6"/>
  <c r="D335" i="6"/>
  <c r="C335" i="6"/>
  <c r="C336" i="6"/>
  <c r="D351" i="6"/>
  <c r="C351" i="6"/>
  <c r="C352" i="6"/>
  <c r="D367" i="6"/>
  <c r="C367" i="6"/>
  <c r="C368" i="6"/>
  <c r="D383" i="6"/>
  <c r="C383" i="6"/>
  <c r="C384" i="6"/>
  <c r="C415" i="6"/>
  <c r="C419" i="6"/>
  <c r="C447" i="6"/>
  <c r="C451" i="6"/>
  <c r="C492" i="6"/>
  <c r="D496" i="6"/>
  <c r="C537" i="6"/>
  <c r="D548" i="6"/>
  <c r="D536" i="6"/>
  <c r="C541" i="6"/>
  <c r="C576" i="6"/>
  <c r="C624" i="6"/>
  <c r="C7" i="7"/>
  <c r="C8" i="7"/>
  <c r="D54" i="7"/>
  <c r="C417" i="6"/>
  <c r="D416" i="6"/>
  <c r="D420" i="6"/>
  <c r="C420" i="6"/>
  <c r="C421" i="6"/>
  <c r="C449" i="6"/>
  <c r="D448" i="6"/>
  <c r="D452" i="6"/>
  <c r="C452" i="6"/>
  <c r="C453" i="6"/>
  <c r="D492" i="6"/>
  <c r="D569" i="6"/>
  <c r="D557" i="6"/>
  <c r="D664" i="6"/>
  <c r="C664" i="6"/>
  <c r="D74" i="7"/>
  <c r="D77" i="7"/>
  <c r="C77" i="7"/>
  <c r="D240" i="7"/>
  <c r="C240" i="7"/>
  <c r="D252" i="7"/>
  <c r="C154" i="7"/>
  <c r="C338" i="6"/>
  <c r="D349" i="6"/>
  <c r="D337" i="6"/>
  <c r="C337" i="6"/>
  <c r="C354" i="6"/>
  <c r="D365" i="6"/>
  <c r="D353" i="6"/>
  <c r="C353" i="6"/>
  <c r="C370" i="6"/>
  <c r="D381" i="6"/>
  <c r="D369" i="6"/>
  <c r="C369" i="6"/>
  <c r="C386" i="6"/>
  <c r="D385" i="6"/>
  <c r="C385" i="6"/>
  <c r="D411" i="6"/>
  <c r="C411" i="6"/>
  <c r="D443" i="6"/>
  <c r="C443" i="6"/>
  <c r="D475" i="6"/>
  <c r="C475" i="6"/>
  <c r="D480" i="6"/>
  <c r="D516" i="6"/>
  <c r="C516" i="6"/>
  <c r="C517" i="6"/>
  <c r="D545" i="6"/>
  <c r="D533" i="6"/>
  <c r="C533" i="6"/>
  <c r="D563" i="6"/>
  <c r="C563" i="6"/>
  <c r="C564" i="6"/>
  <c r="D42" i="7"/>
  <c r="D234" i="7"/>
  <c r="C234" i="7"/>
  <c r="D327" i="6"/>
  <c r="C327" i="6"/>
  <c r="C328" i="6"/>
  <c r="D343" i="6"/>
  <c r="C343" i="6"/>
  <c r="C344" i="6"/>
  <c r="D359" i="6"/>
  <c r="C359" i="6"/>
  <c r="C360" i="6"/>
  <c r="D375" i="6"/>
  <c r="C375" i="6"/>
  <c r="C376" i="6"/>
  <c r="D391" i="6"/>
  <c r="C391" i="6"/>
  <c r="C392" i="6"/>
  <c r="C399" i="6"/>
  <c r="C412" i="6"/>
  <c r="C431" i="6"/>
  <c r="C444" i="6"/>
  <c r="C463" i="6"/>
  <c r="C476" i="6"/>
  <c r="D600" i="6"/>
  <c r="C600" i="6"/>
  <c r="C648" i="6"/>
  <c r="D39" i="7"/>
  <c r="C42" i="7"/>
  <c r="D93" i="7"/>
  <c r="C93" i="7"/>
  <c r="D119" i="7"/>
  <c r="C119" i="7"/>
  <c r="D125" i="7"/>
  <c r="C125" i="7"/>
  <c r="D453" i="5"/>
  <c r="C456" i="5"/>
  <c r="D485" i="5"/>
  <c r="C488" i="5"/>
  <c r="D517" i="5"/>
  <c r="C520" i="5"/>
  <c r="D549" i="5"/>
  <c r="C552" i="5"/>
  <c r="C573" i="5"/>
  <c r="D573" i="5"/>
  <c r="C584" i="5"/>
  <c r="C591" i="5"/>
  <c r="C605" i="5"/>
  <c r="D605" i="5"/>
  <c r="C616" i="5"/>
  <c r="C623" i="5"/>
  <c r="C637" i="5"/>
  <c r="D637" i="5"/>
  <c r="C648" i="5"/>
  <c r="C655" i="5"/>
  <c r="C10" i="6"/>
  <c r="D72" i="6"/>
  <c r="D60" i="6"/>
  <c r="C60" i="6"/>
  <c r="C90" i="6"/>
  <c r="D115" i="6"/>
  <c r="D136" i="6"/>
  <c r="D124" i="6"/>
  <c r="C124" i="6"/>
  <c r="C154" i="6"/>
  <c r="D176" i="6"/>
  <c r="D186" i="6"/>
  <c r="D211" i="6"/>
  <c r="D221" i="6"/>
  <c r="C226" i="6"/>
  <c r="D237" i="6"/>
  <c r="C229" i="6"/>
  <c r="D229" i="6"/>
  <c r="D239" i="6"/>
  <c r="C239" i="6"/>
  <c r="C240" i="6"/>
  <c r="C316" i="6"/>
  <c r="C332" i="6"/>
  <c r="C348" i="6"/>
  <c r="C364" i="6"/>
  <c r="C380" i="6"/>
  <c r="D399" i="6"/>
  <c r="C409" i="6"/>
  <c r="D408" i="6"/>
  <c r="C408" i="6"/>
  <c r="D423" i="6"/>
  <c r="C423" i="6"/>
  <c r="C424" i="6"/>
  <c r="D431" i="6"/>
  <c r="C441" i="6"/>
  <c r="D440" i="6"/>
  <c r="C440" i="6"/>
  <c r="D455" i="6"/>
  <c r="C455" i="6"/>
  <c r="C456" i="6"/>
  <c r="D463" i="6"/>
  <c r="C473" i="6"/>
  <c r="D472" i="6"/>
  <c r="C472" i="6"/>
  <c r="D507" i="6"/>
  <c r="C507" i="6"/>
  <c r="D539" i="6"/>
  <c r="C539" i="6"/>
  <c r="C554" i="6"/>
  <c r="D579" i="6"/>
  <c r="C595" i="6"/>
  <c r="C30" i="7"/>
  <c r="D112" i="7"/>
  <c r="C112" i="7"/>
  <c r="D202" i="7"/>
  <c r="D205" i="7"/>
  <c r="C205" i="7"/>
  <c r="C453" i="5"/>
  <c r="D456" i="5"/>
  <c r="C485" i="5"/>
  <c r="D488" i="5"/>
  <c r="C517" i="5"/>
  <c r="D520" i="5"/>
  <c r="C549" i="5"/>
  <c r="D552" i="5"/>
  <c r="D570" i="5"/>
  <c r="C580" i="5"/>
  <c r="D591" i="5"/>
  <c r="D602" i="5"/>
  <c r="C612" i="5"/>
  <c r="D623" i="5"/>
  <c r="D634" i="5"/>
  <c r="C644" i="5"/>
  <c r="D655" i="5"/>
  <c r="D20" i="6"/>
  <c r="D28" i="6"/>
  <c r="D36" i="6"/>
  <c r="D44" i="6"/>
  <c r="D52" i="6"/>
  <c r="D61" i="6"/>
  <c r="C65" i="6"/>
  <c r="C77" i="6"/>
  <c r="C78" i="6"/>
  <c r="D86" i="6"/>
  <c r="D95" i="6"/>
  <c r="C95" i="6"/>
  <c r="C96" i="6"/>
  <c r="C103" i="6"/>
  <c r="D107" i="6"/>
  <c r="C115" i="6"/>
  <c r="C129" i="6"/>
  <c r="C141" i="6"/>
  <c r="C142" i="6"/>
  <c r="D150" i="6"/>
  <c r="D159" i="6"/>
  <c r="C159" i="6"/>
  <c r="C160" i="6"/>
  <c r="C181" i="6"/>
  <c r="D181" i="6"/>
  <c r="D199" i="6"/>
  <c r="C225" i="6"/>
  <c r="C230" i="6"/>
  <c r="C235" i="6"/>
  <c r="D264" i="6"/>
  <c r="D328" i="6"/>
  <c r="D344" i="6"/>
  <c r="D360" i="6"/>
  <c r="D376" i="6"/>
  <c r="D392" i="6"/>
  <c r="C397" i="6"/>
  <c r="D396" i="6"/>
  <c r="D400" i="6"/>
  <c r="C429" i="6"/>
  <c r="D428" i="6"/>
  <c r="D432" i="6"/>
  <c r="C461" i="6"/>
  <c r="D460" i="6"/>
  <c r="D464" i="6"/>
  <c r="C508" i="6"/>
  <c r="C540" i="6"/>
  <c r="D575" i="6"/>
  <c r="C584" i="6"/>
  <c r="D87" i="7"/>
  <c r="C87" i="7"/>
  <c r="D173" i="7"/>
  <c r="C173" i="7"/>
  <c r="D199" i="7"/>
  <c r="C199" i="7"/>
  <c r="C448" i="5"/>
  <c r="C480" i="5"/>
  <c r="C512" i="5"/>
  <c r="C544" i="5"/>
  <c r="C581" i="5"/>
  <c r="D581" i="5"/>
  <c r="C599" i="5"/>
  <c r="C613" i="5"/>
  <c r="D613" i="5"/>
  <c r="C631" i="5"/>
  <c r="C645" i="5"/>
  <c r="D645" i="5"/>
  <c r="C663" i="5"/>
  <c r="D218" i="6"/>
  <c r="C266" i="6"/>
  <c r="D277" i="6"/>
  <c r="D265" i="6"/>
  <c r="C265" i="6"/>
  <c r="C282" i="6"/>
  <c r="D293" i="6"/>
  <c r="D281" i="6"/>
  <c r="C281" i="6"/>
  <c r="C298" i="6"/>
  <c r="D309" i="6"/>
  <c r="D297" i="6"/>
  <c r="C297" i="6"/>
  <c r="C314" i="6"/>
  <c r="D325" i="6"/>
  <c r="D313" i="6"/>
  <c r="C313" i="6"/>
  <c r="C330" i="6"/>
  <c r="D341" i="6"/>
  <c r="D329" i="6"/>
  <c r="C329" i="6"/>
  <c r="D339" i="6"/>
  <c r="C346" i="6"/>
  <c r="D357" i="6"/>
  <c r="D345" i="6"/>
  <c r="C345" i="6"/>
  <c r="D355" i="6"/>
  <c r="C362" i="6"/>
  <c r="D373" i="6"/>
  <c r="D361" i="6"/>
  <c r="C361" i="6"/>
  <c r="D371" i="6"/>
  <c r="C378" i="6"/>
  <c r="D389" i="6"/>
  <c r="D377" i="6"/>
  <c r="C377" i="6"/>
  <c r="D387" i="6"/>
  <c r="C414" i="6"/>
  <c r="D414" i="6"/>
  <c r="C446" i="6"/>
  <c r="D446" i="6"/>
  <c r="C505" i="6"/>
  <c r="D504" i="6"/>
  <c r="D509" i="6"/>
  <c r="C509" i="6"/>
  <c r="D635" i="6"/>
  <c r="C635" i="6"/>
  <c r="D17" i="7"/>
  <c r="C17" i="7"/>
  <c r="D80" i="7"/>
  <c r="C80" i="7"/>
  <c r="D92" i="7"/>
  <c r="D106" i="7"/>
  <c r="C106" i="7"/>
  <c r="D167" i="7"/>
  <c r="C167" i="7"/>
  <c r="D23" i="6"/>
  <c r="D31" i="6"/>
  <c r="D39" i="6"/>
  <c r="D47" i="6"/>
  <c r="D55" i="6"/>
  <c r="D81" i="6"/>
  <c r="D84" i="6"/>
  <c r="D87" i="6"/>
  <c r="D113" i="6"/>
  <c r="D116" i="6"/>
  <c r="D119" i="6"/>
  <c r="D145" i="6"/>
  <c r="D148" i="6"/>
  <c r="D151" i="6"/>
  <c r="D166" i="6"/>
  <c r="D169" i="6"/>
  <c r="C173" i="6"/>
  <c r="D182" i="6"/>
  <c r="D185" i="6"/>
  <c r="C189" i="6"/>
  <c r="D198" i="6"/>
  <c r="D201" i="6"/>
  <c r="C205" i="6"/>
  <c r="D214" i="6"/>
  <c r="D217" i="6"/>
  <c r="C221" i="6"/>
  <c r="D230" i="6"/>
  <c r="D233" i="6"/>
  <c r="C244" i="6"/>
  <c r="D251" i="6"/>
  <c r="D255" i="6"/>
  <c r="C255" i="6"/>
  <c r="D262" i="6"/>
  <c r="D270" i="6"/>
  <c r="D278" i="6"/>
  <c r="D286" i="6"/>
  <c r="D294" i="6"/>
  <c r="D302" i="6"/>
  <c r="D310" i="6"/>
  <c r="D318" i="6"/>
  <c r="D326" i="6"/>
  <c r="D334" i="6"/>
  <c r="D342" i="6"/>
  <c r="D350" i="6"/>
  <c r="D358" i="6"/>
  <c r="D366" i="6"/>
  <c r="D374" i="6"/>
  <c r="D382" i="6"/>
  <c r="D390" i="6"/>
  <c r="D402" i="6"/>
  <c r="D413" i="6"/>
  <c r="D422" i="6"/>
  <c r="D434" i="6"/>
  <c r="D445" i="6"/>
  <c r="D454" i="6"/>
  <c r="D466" i="6"/>
  <c r="C478" i="6"/>
  <c r="D478" i="6"/>
  <c r="D487" i="6"/>
  <c r="C487" i="6"/>
  <c r="C488" i="6"/>
  <c r="C511" i="6"/>
  <c r="C527" i="6"/>
  <c r="D538" i="6"/>
  <c r="D556" i="6"/>
  <c r="D588" i="6"/>
  <c r="C592" i="6"/>
  <c r="D612" i="6"/>
  <c r="D651" i="6"/>
  <c r="C656" i="6"/>
  <c r="D135" i="7"/>
  <c r="C135" i="7"/>
  <c r="D138" i="7"/>
  <c r="D141" i="7"/>
  <c r="C141" i="7"/>
  <c r="D176" i="7"/>
  <c r="C176" i="7"/>
  <c r="D215" i="7"/>
  <c r="C215" i="7"/>
  <c r="D221" i="7"/>
  <c r="C221" i="7"/>
  <c r="D256" i="7"/>
  <c r="C256" i="7"/>
  <c r="D208" i="7"/>
  <c r="C208" i="7"/>
  <c r="C250" i="7"/>
  <c r="D160" i="7"/>
  <c r="C160" i="7"/>
  <c r="D247" i="7"/>
  <c r="C247" i="7"/>
  <c r="D253" i="7"/>
  <c r="C253" i="7"/>
  <c r="D66" i="6"/>
  <c r="C69" i="6"/>
  <c r="D98" i="6"/>
  <c r="C101" i="6"/>
  <c r="D130" i="6"/>
  <c r="C133" i="6"/>
  <c r="D162" i="6"/>
  <c r="C175" i="6"/>
  <c r="D178" i="6"/>
  <c r="D184" i="6"/>
  <c r="C191" i="6"/>
  <c r="D194" i="6"/>
  <c r="D200" i="6"/>
  <c r="C207" i="6"/>
  <c r="D210" i="6"/>
  <c r="D216" i="6"/>
  <c r="C223" i="6"/>
  <c r="D226" i="6"/>
  <c r="D232" i="6"/>
  <c r="D250" i="6"/>
  <c r="C261" i="6"/>
  <c r="C269" i="6"/>
  <c r="C277" i="6"/>
  <c r="C285" i="6"/>
  <c r="C293" i="6"/>
  <c r="C301" i="6"/>
  <c r="C309" i="6"/>
  <c r="C317" i="6"/>
  <c r="C325" i="6"/>
  <c r="C333" i="6"/>
  <c r="C341" i="6"/>
  <c r="C349" i="6"/>
  <c r="C357" i="6"/>
  <c r="C365" i="6"/>
  <c r="C373" i="6"/>
  <c r="C381" i="6"/>
  <c r="C389" i="6"/>
  <c r="D489" i="6"/>
  <c r="D513" i="6"/>
  <c r="D501" i="6"/>
  <c r="D522" i="6"/>
  <c r="C550" i="6"/>
  <c r="D550" i="6"/>
  <c r="D562" i="6"/>
  <c r="D620" i="6"/>
  <c r="D24" i="7"/>
  <c r="C24" i="7"/>
  <c r="D36" i="7"/>
  <c r="C33" i="7"/>
  <c r="D33" i="7"/>
  <c r="C34" i="7"/>
  <c r="D56" i="7"/>
  <c r="C56" i="7"/>
  <c r="D68" i="7"/>
  <c r="C65" i="7"/>
  <c r="D65" i="7"/>
  <c r="C66" i="7"/>
  <c r="D151" i="7"/>
  <c r="C151" i="7"/>
  <c r="D157" i="7"/>
  <c r="C157" i="7"/>
  <c r="D188" i="7"/>
  <c r="D192" i="7"/>
  <c r="C192" i="7"/>
  <c r="D268" i="7"/>
  <c r="D272" i="7"/>
  <c r="C272" i="7"/>
  <c r="D284" i="7"/>
  <c r="D315" i="7"/>
  <c r="C315" i="7"/>
  <c r="D247" i="6"/>
  <c r="C247" i="6"/>
  <c r="D397" i="6"/>
  <c r="D417" i="6"/>
  <c r="D405" i="6"/>
  <c r="D425" i="6"/>
  <c r="D449" i="6"/>
  <c r="D437" i="6"/>
  <c r="D457" i="6"/>
  <c r="D481" i="6"/>
  <c r="D469" i="6"/>
  <c r="C542" i="6"/>
  <c r="D542" i="6"/>
  <c r="D551" i="6"/>
  <c r="D568" i="6"/>
  <c r="C569" i="6"/>
  <c r="C568" i="6"/>
  <c r="C587" i="6"/>
  <c r="D596" i="6"/>
  <c r="C611" i="6"/>
  <c r="D660" i="6"/>
  <c r="D103" i="7"/>
  <c r="C103" i="7"/>
  <c r="D109" i="7"/>
  <c r="C109" i="7"/>
  <c r="D144" i="7"/>
  <c r="C144" i="7"/>
  <c r="D231" i="7"/>
  <c r="C231" i="7"/>
  <c r="D237" i="7"/>
  <c r="C237" i="7"/>
  <c r="D58" i="6"/>
  <c r="C61" i="6"/>
  <c r="D90" i="6"/>
  <c r="C93" i="6"/>
  <c r="D122" i="6"/>
  <c r="C125" i="6"/>
  <c r="D154" i="6"/>
  <c r="C157" i="6"/>
  <c r="C172" i="6"/>
  <c r="C188" i="6"/>
  <c r="C204" i="6"/>
  <c r="C220" i="6"/>
  <c r="C233" i="6"/>
  <c r="D258" i="6"/>
  <c r="D266" i="6"/>
  <c r="D274" i="6"/>
  <c r="D282" i="6"/>
  <c r="D290" i="6"/>
  <c r="D298" i="6"/>
  <c r="D306" i="6"/>
  <c r="D314" i="6"/>
  <c r="D322" i="6"/>
  <c r="D330" i="6"/>
  <c r="D338" i="6"/>
  <c r="D346" i="6"/>
  <c r="D354" i="6"/>
  <c r="D362" i="6"/>
  <c r="D370" i="6"/>
  <c r="D378" i="6"/>
  <c r="D386" i="6"/>
  <c r="D394" i="6"/>
  <c r="C405" i="6"/>
  <c r="D426" i="6"/>
  <c r="C437" i="6"/>
  <c r="D458" i="6"/>
  <c r="C469" i="6"/>
  <c r="D486" i="6"/>
  <c r="D498" i="6"/>
  <c r="C510" i="6"/>
  <c r="D510" i="6"/>
  <c r="D519" i="6"/>
  <c r="C519" i="6"/>
  <c r="C520" i="6"/>
  <c r="C530" i="6"/>
  <c r="C543" i="6"/>
  <c r="D547" i="6"/>
  <c r="C548" i="6"/>
  <c r="C551" i="6"/>
  <c r="D560" i="6"/>
  <c r="C561" i="6"/>
  <c r="C616" i="6"/>
  <c r="D636" i="6"/>
  <c r="D21" i="7"/>
  <c r="C28" i="7"/>
  <c r="D53" i="7"/>
  <c r="C60" i="7"/>
  <c r="D96" i="7"/>
  <c r="C96" i="7"/>
  <c r="D183" i="7"/>
  <c r="C183" i="7"/>
  <c r="D189" i="7"/>
  <c r="C189" i="7"/>
  <c r="D220" i="7"/>
  <c r="D224" i="7"/>
  <c r="C224" i="7"/>
  <c r="C266" i="7"/>
  <c r="D395" i="6"/>
  <c r="D476" i="6"/>
  <c r="D491" i="6"/>
  <c r="D508" i="6"/>
  <c r="D523" i="6"/>
  <c r="D540" i="6"/>
  <c r="D543" i="6"/>
  <c r="D552" i="6"/>
  <c r="D574" i="6"/>
  <c r="C574" i="6"/>
  <c r="C575" i="6"/>
  <c r="D582" i="6"/>
  <c r="D586" i="6"/>
  <c r="D594" i="6"/>
  <c r="D602" i="6"/>
  <c r="D610" i="6"/>
  <c r="D618" i="6"/>
  <c r="D626" i="6"/>
  <c r="D634" i="6"/>
  <c r="D642" i="6"/>
  <c r="D650" i="6"/>
  <c r="D658" i="6"/>
  <c r="C15" i="7"/>
  <c r="D27" i="7"/>
  <c r="C16" i="7"/>
  <c r="C18" i="7"/>
  <c r="D38" i="7"/>
  <c r="D70" i="7"/>
  <c r="D313" i="7"/>
  <c r="C376" i="7"/>
  <c r="C377" i="7"/>
  <c r="D383" i="7"/>
  <c r="C383" i="7"/>
  <c r="D288" i="7"/>
  <c r="C288" i="7"/>
  <c r="D300" i="7"/>
  <c r="C310" i="7"/>
  <c r="D310" i="7"/>
  <c r="C282" i="7"/>
  <c r="D298" i="7"/>
  <c r="D345" i="7"/>
  <c r="D333" i="7"/>
  <c r="C342" i="7"/>
  <c r="D354" i="7"/>
  <c r="D342" i="7"/>
  <c r="D513" i="7"/>
  <c r="C513" i="7"/>
  <c r="D263" i="7"/>
  <c r="C263" i="7"/>
  <c r="D365" i="7"/>
  <c r="D397" i="7"/>
  <c r="C324" i="7"/>
  <c r="D324" i="7"/>
  <c r="C353" i="7"/>
  <c r="D362" i="7"/>
  <c r="D40" i="7"/>
  <c r="C40" i="7"/>
  <c r="D52" i="7"/>
  <c r="D72" i="7"/>
  <c r="C72" i="7"/>
  <c r="C78" i="7"/>
  <c r="D84" i="7"/>
  <c r="D88" i="7"/>
  <c r="C88" i="7"/>
  <c r="C94" i="7"/>
  <c r="D100" i="7"/>
  <c r="D104" i="7"/>
  <c r="C104" i="7"/>
  <c r="C110" i="7"/>
  <c r="D116" i="7"/>
  <c r="D120" i="7"/>
  <c r="C120" i="7"/>
  <c r="C126" i="7"/>
  <c r="D132" i="7"/>
  <c r="D136" i="7"/>
  <c r="C136" i="7"/>
  <c r="C142" i="7"/>
  <c r="D148" i="7"/>
  <c r="D152" i="7"/>
  <c r="C152" i="7"/>
  <c r="C158" i="7"/>
  <c r="D164" i="7"/>
  <c r="D168" i="7"/>
  <c r="C168" i="7"/>
  <c r="C174" i="7"/>
  <c r="D180" i="7"/>
  <c r="D184" i="7"/>
  <c r="C184" i="7"/>
  <c r="C190" i="7"/>
  <c r="D196" i="7"/>
  <c r="D200" i="7"/>
  <c r="C200" i="7"/>
  <c r="C206" i="7"/>
  <c r="D212" i="7"/>
  <c r="D216" i="7"/>
  <c r="C216" i="7"/>
  <c r="C222" i="7"/>
  <c r="D228" i="7"/>
  <c r="D232" i="7"/>
  <c r="C232" i="7"/>
  <c r="C238" i="7"/>
  <c r="D244" i="7"/>
  <c r="D248" i="7"/>
  <c r="C248" i="7"/>
  <c r="C254" i="7"/>
  <c r="D260" i="7"/>
  <c r="D264" i="7"/>
  <c r="C264" i="7"/>
  <c r="D276" i="7"/>
  <c r="D280" i="7"/>
  <c r="C280" i="7"/>
  <c r="D292" i="7"/>
  <c r="D296" i="7"/>
  <c r="C296" i="7"/>
  <c r="D347" i="7"/>
  <c r="C347" i="7"/>
  <c r="C356" i="7"/>
  <c r="D356" i="7"/>
  <c r="C385" i="7"/>
  <c r="C455" i="7"/>
  <c r="D403" i="6"/>
  <c r="C406" i="6"/>
  <c r="D435" i="6"/>
  <c r="C438" i="6"/>
  <c r="D467" i="6"/>
  <c r="C470" i="6"/>
  <c r="D499" i="6"/>
  <c r="C502" i="6"/>
  <c r="D531" i="6"/>
  <c r="C534" i="6"/>
  <c r="D555" i="6"/>
  <c r="C558" i="6"/>
  <c r="D585" i="6"/>
  <c r="C585" i="6"/>
  <c r="C586" i="6"/>
  <c r="D593" i="6"/>
  <c r="C593" i="6"/>
  <c r="C594" i="6"/>
  <c r="D601" i="6"/>
  <c r="C601" i="6"/>
  <c r="C602" i="6"/>
  <c r="D609" i="6"/>
  <c r="C609" i="6"/>
  <c r="C610" i="6"/>
  <c r="D617" i="6"/>
  <c r="C617" i="6"/>
  <c r="C618" i="6"/>
  <c r="D625" i="6"/>
  <c r="C625" i="6"/>
  <c r="C626" i="6"/>
  <c r="D633" i="6"/>
  <c r="C633" i="6"/>
  <c r="C634" i="6"/>
  <c r="D641" i="6"/>
  <c r="C641" i="6"/>
  <c r="C642" i="6"/>
  <c r="D649" i="6"/>
  <c r="C649" i="6"/>
  <c r="C650" i="6"/>
  <c r="D657" i="6"/>
  <c r="C657" i="6"/>
  <c r="C658" i="6"/>
  <c r="D665" i="6"/>
  <c r="C665" i="6"/>
  <c r="C20" i="7"/>
  <c r="D26" i="7"/>
  <c r="D37" i="7"/>
  <c r="C46" i="7"/>
  <c r="D58" i="7"/>
  <c r="D69" i="7"/>
  <c r="C82" i="7"/>
  <c r="C98" i="7"/>
  <c r="C114" i="7"/>
  <c r="C130" i="7"/>
  <c r="C146" i="7"/>
  <c r="C162" i="7"/>
  <c r="C178" i="7"/>
  <c r="C194" i="7"/>
  <c r="C210" i="7"/>
  <c r="C226" i="7"/>
  <c r="C242" i="7"/>
  <c r="C258" i="7"/>
  <c r="C274" i="7"/>
  <c r="C290" i="7"/>
  <c r="D312" i="7"/>
  <c r="C319" i="7"/>
  <c r="C344" i="7"/>
  <c r="C345" i="7"/>
  <c r="C388" i="7"/>
  <c r="D388" i="7"/>
  <c r="C403" i="6"/>
  <c r="D406" i="6"/>
  <c r="C435" i="6"/>
  <c r="D438" i="6"/>
  <c r="C467" i="6"/>
  <c r="D470" i="6"/>
  <c r="C499" i="6"/>
  <c r="D502" i="6"/>
  <c r="C531" i="6"/>
  <c r="D534" i="6"/>
  <c r="C552" i="6"/>
  <c r="C555" i="6"/>
  <c r="D597" i="6"/>
  <c r="D605" i="6"/>
  <c r="D613" i="6"/>
  <c r="D621" i="6"/>
  <c r="D629" i="6"/>
  <c r="D637" i="6"/>
  <c r="D645" i="6"/>
  <c r="D653" i="6"/>
  <c r="D661" i="6"/>
  <c r="D23" i="7"/>
  <c r="C26" i="7"/>
  <c r="C49" i="7"/>
  <c r="D49" i="7"/>
  <c r="C50" i="7"/>
  <c r="C52" i="7"/>
  <c r="D55" i="7"/>
  <c r="C58" i="7"/>
  <c r="D79" i="7"/>
  <c r="C79" i="7"/>
  <c r="D85" i="7"/>
  <c r="C85" i="7"/>
  <c r="D95" i="7"/>
  <c r="C95" i="7"/>
  <c r="D101" i="7"/>
  <c r="C101" i="7"/>
  <c r="D111" i="7"/>
  <c r="C111" i="7"/>
  <c r="D117" i="7"/>
  <c r="C117" i="7"/>
  <c r="D127" i="7"/>
  <c r="C127" i="7"/>
  <c r="D133" i="7"/>
  <c r="C133" i="7"/>
  <c r="D143" i="7"/>
  <c r="C143" i="7"/>
  <c r="D149" i="7"/>
  <c r="C149" i="7"/>
  <c r="D159" i="7"/>
  <c r="C159" i="7"/>
  <c r="D165" i="7"/>
  <c r="C165" i="7"/>
  <c r="D175" i="7"/>
  <c r="C175" i="7"/>
  <c r="D181" i="7"/>
  <c r="C181" i="7"/>
  <c r="D191" i="7"/>
  <c r="C191" i="7"/>
  <c r="D197" i="7"/>
  <c r="C197" i="7"/>
  <c r="D207" i="7"/>
  <c r="C207" i="7"/>
  <c r="D213" i="7"/>
  <c r="C213" i="7"/>
  <c r="D223" i="7"/>
  <c r="C223" i="7"/>
  <c r="D229" i="7"/>
  <c r="C229" i="7"/>
  <c r="D239" i="7"/>
  <c r="C239" i="7"/>
  <c r="D245" i="7"/>
  <c r="C245" i="7"/>
  <c r="D255" i="7"/>
  <c r="C255" i="7"/>
  <c r="D261" i="7"/>
  <c r="C261" i="7"/>
  <c r="D344" i="7"/>
  <c r="C351" i="7"/>
  <c r="D379" i="7"/>
  <c r="C379" i="7"/>
  <c r="D426" i="7"/>
  <c r="C426" i="7"/>
  <c r="D558" i="6"/>
  <c r="D566" i="6"/>
  <c r="D572" i="6"/>
  <c r="C578" i="6"/>
  <c r="D583" i="6"/>
  <c r="D591" i="6"/>
  <c r="D599" i="6"/>
  <c r="D607" i="6"/>
  <c r="D615" i="6"/>
  <c r="D623" i="6"/>
  <c r="D631" i="6"/>
  <c r="D639" i="6"/>
  <c r="D647" i="6"/>
  <c r="D655" i="6"/>
  <c r="D663" i="6"/>
  <c r="D18" i="7"/>
  <c r="C25" i="7"/>
  <c r="C41" i="7"/>
  <c r="C57" i="7"/>
  <c r="D73" i="7"/>
  <c r="C73" i="7"/>
  <c r="D78" i="7"/>
  <c r="D81" i="7"/>
  <c r="C81" i="7"/>
  <c r="D86" i="7"/>
  <c r="D89" i="7"/>
  <c r="C89" i="7"/>
  <c r="D94" i="7"/>
  <c r="D97" i="7"/>
  <c r="C97" i="7"/>
  <c r="D102" i="7"/>
  <c r="D105" i="7"/>
  <c r="C105" i="7"/>
  <c r="D110" i="7"/>
  <c r="D113" i="7"/>
  <c r="C113" i="7"/>
  <c r="D118" i="7"/>
  <c r="D121" i="7"/>
  <c r="C121" i="7"/>
  <c r="D126" i="7"/>
  <c r="D129" i="7"/>
  <c r="C129" i="7"/>
  <c r="D134" i="7"/>
  <c r="D137" i="7"/>
  <c r="C137" i="7"/>
  <c r="D142" i="7"/>
  <c r="D145" i="7"/>
  <c r="C145" i="7"/>
  <c r="D150" i="7"/>
  <c r="D153" i="7"/>
  <c r="C153" i="7"/>
  <c r="D158" i="7"/>
  <c r="D161" i="7"/>
  <c r="C161" i="7"/>
  <c r="D166" i="7"/>
  <c r="D169" i="7"/>
  <c r="C169" i="7"/>
  <c r="D174" i="7"/>
  <c r="D177" i="7"/>
  <c r="C177" i="7"/>
  <c r="D182" i="7"/>
  <c r="D185" i="7"/>
  <c r="C185" i="7"/>
  <c r="D190" i="7"/>
  <c r="D193" i="7"/>
  <c r="C193" i="7"/>
  <c r="D198" i="7"/>
  <c r="D201" i="7"/>
  <c r="C201" i="7"/>
  <c r="D206" i="7"/>
  <c r="D209" i="7"/>
  <c r="C209" i="7"/>
  <c r="D214" i="7"/>
  <c r="D217" i="7"/>
  <c r="C217" i="7"/>
  <c r="D222" i="7"/>
  <c r="D225" i="7"/>
  <c r="C225" i="7"/>
  <c r="D230" i="7"/>
  <c r="D233" i="7"/>
  <c r="C233" i="7"/>
  <c r="D238" i="7"/>
  <c r="D241" i="7"/>
  <c r="C241" i="7"/>
  <c r="D246" i="7"/>
  <c r="D249" i="7"/>
  <c r="C249" i="7"/>
  <c r="D254" i="7"/>
  <c r="D257" i="7"/>
  <c r="C257" i="7"/>
  <c r="D262" i="7"/>
  <c r="D265" i="7"/>
  <c r="D270" i="7"/>
  <c r="D273" i="7"/>
  <c r="D278" i="7"/>
  <c r="D286" i="7"/>
  <c r="D294" i="7"/>
  <c r="C297" i="7"/>
  <c r="C326" i="7"/>
  <c r="D338" i="7"/>
  <c r="D329" i="7"/>
  <c r="C358" i="7"/>
  <c r="D370" i="7"/>
  <c r="D400" i="7"/>
  <c r="C401" i="7"/>
  <c r="D460" i="7"/>
  <c r="C461" i="7"/>
  <c r="D479" i="7"/>
  <c r="D467" i="7"/>
  <c r="D555" i="7"/>
  <c r="C555" i="7"/>
  <c r="D567" i="7"/>
  <c r="D458" i="7"/>
  <c r="C458" i="7"/>
  <c r="C374" i="7"/>
  <c r="D386" i="7"/>
  <c r="D377" i="7"/>
  <c r="D398" i="7"/>
  <c r="C398" i="7"/>
  <c r="D419" i="7"/>
  <c r="D431" i="7"/>
  <c r="C427" i="7"/>
  <c r="D430" i="7"/>
  <c r="C430" i="7"/>
  <c r="D449" i="7"/>
  <c r="C449" i="7"/>
  <c r="C450" i="7"/>
  <c r="D490" i="7"/>
  <c r="C490" i="7"/>
  <c r="D497" i="7"/>
  <c r="C497" i="7"/>
  <c r="D507" i="7"/>
  <c r="C507" i="7"/>
  <c r="D519" i="7"/>
  <c r="C31" i="7"/>
  <c r="C47" i="7"/>
  <c r="C63" i="7"/>
  <c r="D299" i="7"/>
  <c r="C299" i="7"/>
  <c r="D302" i="7"/>
  <c r="C325" i="7"/>
  <c r="C328" i="7"/>
  <c r="C329" i="7"/>
  <c r="D331" i="7"/>
  <c r="C331" i="7"/>
  <c r="C357" i="7"/>
  <c r="C360" i="7"/>
  <c r="C361" i="7"/>
  <c r="D363" i="7"/>
  <c r="C363" i="7"/>
  <c r="D374" i="7"/>
  <c r="C389" i="7"/>
  <c r="D392" i="7"/>
  <c r="C392" i="7"/>
  <c r="C393" i="7"/>
  <c r="D395" i="7"/>
  <c r="D407" i="7"/>
  <c r="D410" i="7"/>
  <c r="C410" i="7"/>
  <c r="C416" i="7"/>
  <c r="C419" i="7"/>
  <c r="D427" i="7"/>
  <c r="C446" i="7"/>
  <c r="C454" i="7"/>
  <c r="D453" i="7"/>
  <c r="C453" i="7"/>
  <c r="C504" i="7"/>
  <c r="C505" i="7"/>
  <c r="D504" i="7"/>
  <c r="C580" i="6"/>
  <c r="C588" i="6"/>
  <c r="C596" i="6"/>
  <c r="C604" i="6"/>
  <c r="C612" i="6"/>
  <c r="C620" i="6"/>
  <c r="C628" i="6"/>
  <c r="C636" i="6"/>
  <c r="C644" i="6"/>
  <c r="C652" i="6"/>
  <c r="C660" i="6"/>
  <c r="C22" i="7"/>
  <c r="C29" i="7"/>
  <c r="D31" i="7"/>
  <c r="C38" i="7"/>
  <c r="C45" i="7"/>
  <c r="D47" i="7"/>
  <c r="C54" i="7"/>
  <c r="C61" i="7"/>
  <c r="D63" i="7"/>
  <c r="C70" i="7"/>
  <c r="D75" i="7"/>
  <c r="C75" i="7"/>
  <c r="D83" i="7"/>
  <c r="C83" i="7"/>
  <c r="D91" i="7"/>
  <c r="C91" i="7"/>
  <c r="D99" i="7"/>
  <c r="C99" i="7"/>
  <c r="D107" i="7"/>
  <c r="C107" i="7"/>
  <c r="D115" i="7"/>
  <c r="C115" i="7"/>
  <c r="D123" i="7"/>
  <c r="C123" i="7"/>
  <c r="D131" i="7"/>
  <c r="C131" i="7"/>
  <c r="D139" i="7"/>
  <c r="C139" i="7"/>
  <c r="D147" i="7"/>
  <c r="C147" i="7"/>
  <c r="D155" i="7"/>
  <c r="C155" i="7"/>
  <c r="D163" i="7"/>
  <c r="C163" i="7"/>
  <c r="D171" i="7"/>
  <c r="C171" i="7"/>
  <c r="D179" i="7"/>
  <c r="C179" i="7"/>
  <c r="D187" i="7"/>
  <c r="C187" i="7"/>
  <c r="D195" i="7"/>
  <c r="C195" i="7"/>
  <c r="D203" i="7"/>
  <c r="C203" i="7"/>
  <c r="D211" i="7"/>
  <c r="C211" i="7"/>
  <c r="D219" i="7"/>
  <c r="C219" i="7"/>
  <c r="D227" i="7"/>
  <c r="C227" i="7"/>
  <c r="D235" i="7"/>
  <c r="C235" i="7"/>
  <c r="D243" i="7"/>
  <c r="C243" i="7"/>
  <c r="D251" i="7"/>
  <c r="C251" i="7"/>
  <c r="D259" i="7"/>
  <c r="C259" i="7"/>
  <c r="D267" i="7"/>
  <c r="D275" i="7"/>
  <c r="D317" i="7"/>
  <c r="D328" i="7"/>
  <c r="C337" i="7"/>
  <c r="D361" i="7"/>
  <c r="D349" i="7"/>
  <c r="D360" i="7"/>
  <c r="D393" i="7"/>
  <c r="D381" i="7"/>
  <c r="C405" i="7"/>
  <c r="D481" i="7"/>
  <c r="C481" i="7"/>
  <c r="C482" i="7"/>
  <c r="C486" i="7"/>
  <c r="D485" i="7"/>
  <c r="C27" i="7"/>
  <c r="D29" i="7"/>
  <c r="C43" i="7"/>
  <c r="D45" i="7"/>
  <c r="C59" i="7"/>
  <c r="D61" i="7"/>
  <c r="C308" i="7"/>
  <c r="D308" i="7"/>
  <c r="C311" i="7"/>
  <c r="D314" i="7"/>
  <c r="C317" i="7"/>
  <c r="C340" i="7"/>
  <c r="D340" i="7"/>
  <c r="C343" i="7"/>
  <c r="D346" i="7"/>
  <c r="C349" i="7"/>
  <c r="C372" i="7"/>
  <c r="D372" i="7"/>
  <c r="C375" i="7"/>
  <c r="D378" i="7"/>
  <c r="C381" i="7"/>
  <c r="D405" i="7"/>
  <c r="C411" i="7"/>
  <c r="D411" i="7"/>
  <c r="D447" i="7"/>
  <c r="D435" i="7"/>
  <c r="C478" i="7"/>
  <c r="C485" i="7"/>
  <c r="C300" i="7"/>
  <c r="D311" i="7"/>
  <c r="C316" i="7"/>
  <c r="D327" i="7"/>
  <c r="C332" i="7"/>
  <c r="D343" i="7"/>
  <c r="C348" i="7"/>
  <c r="D359" i="7"/>
  <c r="C364" i="7"/>
  <c r="D375" i="7"/>
  <c r="C380" i="7"/>
  <c r="D391" i="7"/>
  <c r="D394" i="7"/>
  <c r="C415" i="7"/>
  <c r="D439" i="7"/>
  <c r="D442" i="7"/>
  <c r="C442" i="7"/>
  <c r="D445" i="7"/>
  <c r="D471" i="7"/>
  <c r="D474" i="7"/>
  <c r="C474" i="7"/>
  <c r="D477" i="7"/>
  <c r="C538" i="7"/>
  <c r="D538" i="7"/>
  <c r="C566" i="7"/>
  <c r="D566" i="7"/>
  <c r="C570" i="7"/>
  <c r="D570" i="7"/>
  <c r="C552" i="7"/>
  <c r="C553" i="7"/>
  <c r="D552" i="7"/>
  <c r="C306" i="7"/>
  <c r="C322" i="7"/>
  <c r="C338" i="7"/>
  <c r="C354" i="7"/>
  <c r="C370" i="7"/>
  <c r="C386" i="7"/>
  <c r="D401" i="7"/>
  <c r="D433" i="7"/>
  <c r="C433" i="7"/>
  <c r="D436" i="7"/>
  <c r="C436" i="7"/>
  <c r="D444" i="7"/>
  <c r="C445" i="7"/>
  <c r="C447" i="7"/>
  <c r="D476" i="7"/>
  <c r="C477" i="7"/>
  <c r="C479" i="7"/>
  <c r="D511" i="7"/>
  <c r="C265" i="7"/>
  <c r="C267" i="7"/>
  <c r="C269" i="7"/>
  <c r="C271" i="7"/>
  <c r="C273" i="7"/>
  <c r="C275" i="7"/>
  <c r="C277" i="7"/>
  <c r="C279" i="7"/>
  <c r="C281" i="7"/>
  <c r="C283" i="7"/>
  <c r="C285" i="7"/>
  <c r="C287" i="7"/>
  <c r="C289" i="7"/>
  <c r="C291" i="7"/>
  <c r="C293" i="7"/>
  <c r="C295" i="7"/>
  <c r="C304" i="7"/>
  <c r="D306" i="7"/>
  <c r="C313" i="7"/>
  <c r="C320" i="7"/>
  <c r="D322" i="7"/>
  <c r="C336" i="7"/>
  <c r="C352" i="7"/>
  <c r="C368" i="7"/>
  <c r="C384" i="7"/>
  <c r="D396" i="7"/>
  <c r="D417" i="7"/>
  <c r="C417" i="7"/>
  <c r="D420" i="7"/>
  <c r="C420" i="7"/>
  <c r="D428" i="7"/>
  <c r="C459" i="7"/>
  <c r="D465" i="7"/>
  <c r="C465" i="7"/>
  <c r="D495" i="7"/>
  <c r="D483" i="7"/>
  <c r="D492" i="7"/>
  <c r="C493" i="7"/>
  <c r="D285" i="7"/>
  <c r="C302" i="7"/>
  <c r="C318" i="7"/>
  <c r="D320" i="7"/>
  <c r="C334" i="7"/>
  <c r="D336" i="7"/>
  <c r="C350" i="7"/>
  <c r="D352" i="7"/>
  <c r="C366" i="7"/>
  <c r="D368" i="7"/>
  <c r="C382" i="7"/>
  <c r="D384" i="7"/>
  <c r="C396" i="7"/>
  <c r="C399" i="7"/>
  <c r="D404" i="7"/>
  <c r="C404" i="7"/>
  <c r="D412" i="7"/>
  <c r="C428" i="7"/>
  <c r="C431" i="7"/>
  <c r="D448" i="7"/>
  <c r="D463" i="7"/>
  <c r="D451" i="7"/>
  <c r="C462" i="7"/>
  <c r="C483" i="7"/>
  <c r="C492" i="7"/>
  <c r="D553" i="7"/>
  <c r="D541" i="7"/>
  <c r="C541" i="7"/>
  <c r="D402" i="7"/>
  <c r="D418" i="7"/>
  <c r="D434" i="7"/>
  <c r="D450" i="7"/>
  <c r="C452" i="7"/>
  <c r="D466" i="7"/>
  <c r="C468" i="7"/>
  <c r="D482" i="7"/>
  <c r="C491" i="7"/>
  <c r="D493" i="7"/>
  <c r="C503" i="7"/>
  <c r="D521" i="7"/>
  <c r="D509" i="7"/>
  <c r="C520" i="7"/>
  <c r="C521" i="7"/>
  <c r="D523" i="7"/>
  <c r="C523" i="7"/>
  <c r="D535" i="7"/>
  <c r="C534" i="7"/>
  <c r="D546" i="7"/>
  <c r="C548" i="7"/>
  <c r="D548" i="7"/>
  <c r="C549" i="7"/>
  <c r="C551" i="7"/>
  <c r="D554" i="7"/>
  <c r="D491" i="7"/>
  <c r="C509" i="7"/>
  <c r="D534" i="7"/>
  <c r="D581" i="7"/>
  <c r="C581" i="7"/>
  <c r="D593" i="7"/>
  <c r="D597" i="7"/>
  <c r="C597" i="7"/>
  <c r="D609" i="7"/>
  <c r="C591" i="7"/>
  <c r="C518" i="7"/>
  <c r="D530" i="7"/>
  <c r="C532" i="7"/>
  <c r="D532" i="7"/>
  <c r="C533" i="7"/>
  <c r="C575" i="7"/>
  <c r="C578" i="7"/>
  <c r="D578" i="7"/>
  <c r="C588" i="7"/>
  <c r="D588" i="7"/>
  <c r="D591" i="7"/>
  <c r="C594" i="7"/>
  <c r="D594" i="7"/>
  <c r="C604" i="7"/>
  <c r="D604" i="7"/>
  <c r="D575" i="7"/>
  <c r="D408" i="7"/>
  <c r="D424" i="7"/>
  <c r="D440" i="7"/>
  <c r="D456" i="7"/>
  <c r="D472" i="7"/>
  <c r="D488" i="7"/>
  <c r="C502" i="7"/>
  <c r="D514" i="7"/>
  <c r="C508" i="7"/>
  <c r="D537" i="7"/>
  <c r="D525" i="7"/>
  <c r="C536" i="7"/>
  <c r="C537" i="7"/>
  <c r="D539" i="7"/>
  <c r="C539" i="7"/>
  <c r="D551" i="7"/>
  <c r="C550" i="7"/>
  <c r="D562" i="7"/>
  <c r="C564" i="7"/>
  <c r="D576" i="7"/>
  <c r="D564" i="7"/>
  <c r="C565" i="7"/>
  <c r="C567" i="7"/>
  <c r="C573" i="7"/>
  <c r="C579" i="7"/>
  <c r="D585" i="7"/>
  <c r="D589" i="7"/>
  <c r="C589" i="7"/>
  <c r="C595" i="7"/>
  <c r="D601" i="7"/>
  <c r="D406" i="7"/>
  <c r="C408" i="7"/>
  <c r="D422" i="7"/>
  <c r="C424" i="7"/>
  <c r="D438" i="7"/>
  <c r="C440" i="7"/>
  <c r="D454" i="7"/>
  <c r="C456" i="7"/>
  <c r="D470" i="7"/>
  <c r="C472" i="7"/>
  <c r="D486" i="7"/>
  <c r="C488" i="7"/>
  <c r="D502" i="7"/>
  <c r="D508" i="7"/>
  <c r="C516" i="7"/>
  <c r="D516" i="7"/>
  <c r="C517" i="7"/>
  <c r="C519" i="7"/>
  <c r="D522" i="7"/>
  <c r="C525" i="7"/>
  <c r="D536" i="7"/>
  <c r="D550" i="7"/>
  <c r="C583" i="7"/>
  <c r="C599" i="7"/>
  <c r="D496" i="7"/>
  <c r="D484" i="7"/>
  <c r="C500" i="7"/>
  <c r="D500" i="7"/>
  <c r="D569" i="7"/>
  <c r="D557" i="7"/>
  <c r="C568" i="7"/>
  <c r="C569" i="7"/>
  <c r="D571" i="7"/>
  <c r="C571" i="7"/>
  <c r="C580" i="7"/>
  <c r="D580" i="7"/>
  <c r="D583" i="7"/>
  <c r="C586" i="7"/>
  <c r="D586" i="7"/>
  <c r="C596" i="7"/>
  <c r="D596" i="7"/>
  <c r="C602" i="7"/>
  <c r="D602" i="7"/>
  <c r="C524" i="7"/>
  <c r="C540" i="7"/>
  <c r="C556" i="7"/>
  <c r="C572" i="7"/>
  <c r="D579" i="7"/>
  <c r="C582" i="7"/>
  <c r="D582" i="7"/>
  <c r="C590" i="7"/>
  <c r="D590" i="7"/>
  <c r="C598" i="7"/>
  <c r="D598" i="7"/>
  <c r="C606" i="7"/>
  <c r="D606" i="7"/>
  <c r="C614" i="7"/>
  <c r="D614" i="7"/>
  <c r="D619" i="7"/>
  <c r="C622" i="7"/>
  <c r="D622" i="7"/>
  <c r="D627" i="7"/>
  <c r="C630" i="7"/>
  <c r="D630" i="7"/>
  <c r="D635" i="7"/>
  <c r="C638" i="7"/>
  <c r="D638" i="7"/>
  <c r="D643" i="7"/>
  <c r="C646" i="7"/>
  <c r="D646" i="7"/>
  <c r="D651" i="7"/>
  <c r="C654" i="7"/>
  <c r="D654" i="7"/>
  <c r="D659" i="7"/>
  <c r="C662" i="7"/>
  <c r="D662" i="7"/>
  <c r="C612" i="7"/>
  <c r="D612" i="7"/>
  <c r="D617" i="7"/>
  <c r="C620" i="7"/>
  <c r="D620" i="7"/>
  <c r="D625" i="7"/>
  <c r="C628" i="7"/>
  <c r="D628" i="7"/>
  <c r="D633" i="7"/>
  <c r="C636" i="7"/>
  <c r="D636" i="7"/>
  <c r="D641" i="7"/>
  <c r="C644" i="7"/>
  <c r="D644" i="7"/>
  <c r="D649" i="7"/>
  <c r="C652" i="7"/>
  <c r="D652" i="7"/>
  <c r="D657" i="7"/>
  <c r="C660" i="7"/>
  <c r="D660" i="7"/>
  <c r="D665" i="7"/>
  <c r="C607" i="7"/>
  <c r="C615" i="7"/>
  <c r="C623" i="7"/>
  <c r="C631" i="7"/>
  <c r="C639" i="7"/>
  <c r="C647" i="7"/>
  <c r="C655" i="7"/>
  <c r="C663" i="7"/>
  <c r="C610" i="7"/>
  <c r="D610" i="7"/>
  <c r="C618" i="7"/>
  <c r="D618" i="7"/>
  <c r="C626" i="7"/>
  <c r="D626" i="7"/>
  <c r="C634" i="7"/>
  <c r="D634" i="7"/>
  <c r="C642" i="7"/>
  <c r="D642" i="7"/>
  <c r="C650" i="7"/>
  <c r="D650" i="7"/>
  <c r="C658" i="7"/>
  <c r="D658" i="7"/>
  <c r="H3" i="8"/>
  <c r="H6" i="8"/>
  <c r="D3" i="8"/>
  <c r="C498" i="7"/>
  <c r="C514" i="7"/>
  <c r="C530" i="7"/>
  <c r="C546" i="7"/>
  <c r="C562" i="7"/>
  <c r="C605" i="7"/>
  <c r="C613" i="7"/>
  <c r="C621" i="7"/>
  <c r="C629" i="7"/>
  <c r="C637" i="7"/>
  <c r="C645" i="7"/>
  <c r="C653" i="7"/>
  <c r="C661" i="7"/>
  <c r="H4" i="8"/>
  <c r="C512" i="7"/>
  <c r="C528" i="7"/>
  <c r="C544" i="7"/>
  <c r="C560" i="7"/>
  <c r="C576" i="7"/>
  <c r="C584" i="7"/>
  <c r="D584" i="7"/>
  <c r="C592" i="7"/>
  <c r="D592" i="7"/>
  <c r="C600" i="7"/>
  <c r="D600" i="7"/>
  <c r="C608" i="7"/>
  <c r="D608" i="7"/>
  <c r="C616" i="7"/>
  <c r="D616" i="7"/>
  <c r="C624" i="7"/>
  <c r="D624" i="7"/>
  <c r="C632" i="7"/>
  <c r="D632" i="7"/>
  <c r="C640" i="7"/>
  <c r="D640" i="7"/>
  <c r="C648" i="7"/>
  <c r="D648" i="7"/>
  <c r="C656" i="7"/>
  <c r="D656" i="7"/>
  <c r="C664" i="7"/>
  <c r="C510" i="7"/>
  <c r="D512" i="7"/>
  <c r="C526" i="7"/>
  <c r="D528" i="7"/>
  <c r="C542" i="7"/>
  <c r="D544" i="7"/>
  <c r="C558" i="7"/>
  <c r="D560" i="7"/>
  <c r="C574" i="7"/>
  <c r="C627" i="7"/>
  <c r="C635" i="7"/>
  <c r="C643" i="7"/>
  <c r="C651" i="7"/>
  <c r="C659" i="7"/>
  <c r="H5" i="8"/>
  <c r="D664" i="7"/>
  <c r="I6" i="8" l="1"/>
  <c r="I5" i="8"/>
  <c r="I3" i="8"/>
  <c r="I4"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<sst xmlns="http://schemas.openxmlformats.org/spreadsheetml/2006/main" count="145" uniqueCount="73">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</sst>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CPI'!$A$450:$A$671</c:f>
              <c:numCache>
                <c:formatCode>[$-409]mmm\-yy;@</c:formatCode>
                <c:ptCount val="222"/>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numCache>
            </c:numRef>
          </c:cat>
          <c:val>
            <c:numRef>
              <c:f>'Core CPI'!$D$450:$D$671</c:f>
              <c:numCache>
                <c:formatCode>0.00%</c:formatCode>
                <c:ptCount val="222"/>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pt idx="215">
                  <c:v>6.0757337283584879E-2</c:v>
                </c:pt>
              </c:numCache>
            </c:numRef>
          </c:val>
          <c:smooth val="0"/>
          <c:extLst>
            <c:ext xmlns:c16="http://schemas.microsoft.com/office/drawing/2014/chart" uri="{C3380CC4-5D6E-409C-BE32-E72D297353CC}">
              <c16:uniqueId val="{00000000-EB41-2746-BBC6-4C7F948030E6}"/>
            </c:ext>
          </c:extLst>
        </c:ser>
        <c:ser>
          <c:idx val="2"/>
          <c:order val="1"/>
          <c:spPr>
            <a:ln w="28575" cap="rnd">
              <a:solidFill>
                <a:schemeClr val="accent3"/>
              </a:solidFill>
              <a:prstDash val="solid"/>
              <a:round/>
            </a:ln>
          </c:spPr>
          <c:marker>
            <c:symbol val="none"/>
          </c:marker>
          <c:cat>
            <c:numRef>
              <c:f>'Core CPI'!$A$450:$A$671</c:f>
              <c:numCache>
                <c:formatCode>[$-409]mmm\-yy;@</c:formatCode>
                <c:ptCount val="222"/>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numCache>
            </c:numRef>
          </c:cat>
          <c:val>
            <c:numRef>
              <c:f>'Core CPI'!$F$450:$F$671</c:f>
              <c:numCache>
                <c:formatCode>0%</c:formatCode>
                <c:ptCount val="222"/>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numCache>
            </c:numRef>
          </c:val>
          <c:smooth val="0"/>
          <c:extLst>
            <c:ext xmlns:c16="http://schemas.microsoft.com/office/drawing/2014/chart" uri="{C3380CC4-5D6E-409C-BE32-E72D297353CC}">
              <c16:uniqueId val="{00000001-EB41-2746-BBC6-4C7F948030E6}"/>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CPI!$A$5:$A$1032</c:f>
              <c:numCache>
                <c:formatCode>[$-409]mmm\-yy;@</c:formatCode>
                <c:ptCount val="1028"/>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numCache>
            </c:numRef>
          </c:cat>
          <c:val>
            <c:numRef>
              <c:f>CPI!$D$5:$D$1032</c:f>
              <c:numCache>
                <c:formatCode>0.00%</c:formatCode>
                <c:ptCount val="1028"/>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pt idx="899">
                  <c:v>7.1234133659580992E-2</c:v>
                </c:pt>
                <c:pt idx="900">
                  <c:v>7.5132230743123418E-2</c:v>
                </c:pt>
              </c:numCache>
            </c:numRef>
          </c:val>
          <c:smooth val="0"/>
          <c:extLst>
            <c:ext xmlns:c16="http://schemas.microsoft.com/office/drawing/2014/chart" uri="{C3380CC4-5D6E-409C-BE32-E72D297353CC}">
              <c16:uniqueId val="{00000000-4FD9-3149-9D18-2A0B4097F2C5}"/>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CPI!$A$17:$A$913</c:f>
              <c:numCache>
                <c:formatCode>[$-409]mmm\-yy;@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CPI!$D$17:$D$913</c:f>
              <c:numCache>
                <c:formatCode>0.00%</c:formatCode>
                <c:ptCount val="897"/>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pt idx="887">
                  <c:v>7.1234133659580992E-2</c:v>
                </c:pt>
                <c:pt idx="888">
                  <c:v>7.5132230743123418E-2</c:v>
                </c:pt>
              </c:numCache>
            </c:numRef>
          </c:val>
          <c:smooth val="0"/>
          <c:extLst>
            <c:ext xmlns:c16="http://schemas.microsoft.com/office/drawing/2014/chart" uri="{C3380CC4-5D6E-409C-BE32-E72D297353CC}">
              <c16:uniqueId val="{00000000-DCCD-574A-B3ED-9E476092946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CPI!$A$641:$A$913</c:f>
              <c:numCache>
                <c:formatCode>[$-409]mmm\-yy;@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CPI!$D$641:$D$913</c:f>
              <c:numCache>
                <c:formatCode>0.00%</c:formatCode>
                <c:ptCount val="273"/>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pt idx="263">
                  <c:v>7.1234133659580992E-2</c:v>
                </c:pt>
                <c:pt idx="264">
                  <c:v>7.5132230743123418E-2</c:v>
                </c:pt>
              </c:numCache>
            </c:numRef>
          </c:val>
          <c:smooth val="0"/>
          <c:extLst>
            <c:ext xmlns:c16="http://schemas.microsoft.com/office/drawing/2014/chart" uri="{C3380CC4-5D6E-409C-BE32-E72D297353CC}">
              <c16:uniqueId val="{00000000-9210-2B48-8036-01A2D944A94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CPI!$A$809:$A$913</c:f>
              <c:numCache>
                <c:formatCode>[$-409]mmm\-yy;@</c:formatCode>
                <c:ptCount val="10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numCache>
            </c:numRef>
          </c:cat>
          <c:val>
            <c:numRef>
              <c:f>CPI!$D$809:$D$913</c:f>
              <c:numCache>
                <c:formatCode>0.00%</c:formatCode>
                <c:ptCount val="105"/>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pt idx="95">
                  <c:v>7.1234133659580992E-2</c:v>
                </c:pt>
                <c:pt idx="96">
                  <c:v>7.5132230743123418E-2</c:v>
                </c:pt>
              </c:numCache>
            </c:numRef>
          </c:val>
          <c:smooth val="0"/>
          <c:extLst>
            <c:ext xmlns:c16="http://schemas.microsoft.com/office/drawing/2014/chart" uri="{C3380CC4-5D6E-409C-BE32-E72D297353CC}">
              <c16:uniqueId val="{00000000-558C-D642-B6FA-DA2B62585B2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CPI!$A$293:$A$924</c:f>
              <c:numCache>
                <c:formatCode>[$-409]mmm\-yy;@</c:formatCode>
                <c:ptCount val="632"/>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numCache>
            </c:numRef>
          </c:cat>
          <c:val>
            <c:numRef>
              <c:f>CPI!$D$293:$D$924</c:f>
              <c:numCache>
                <c:formatCode>0.00%</c:formatCode>
                <c:ptCount val="632"/>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pt idx="611">
                  <c:v>7.1234133659580992E-2</c:v>
                </c:pt>
                <c:pt idx="612">
                  <c:v>7.5132230743123418E-2</c:v>
                </c:pt>
              </c:numCache>
            </c:numRef>
          </c:val>
          <c:smooth val="0"/>
          <c:extLst>
            <c:ext xmlns:c16="http://schemas.microsoft.com/office/drawing/2014/chart" uri="{C3380CC4-5D6E-409C-BE32-E72D297353CC}">
              <c16:uniqueId val="{00000000-42B4-4949-BC1E-5F4C8E10C96A}"/>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numCache>
            </c:numRef>
          </c:cat>
          <c:val>
            <c:numRef>
              <c:f>CPI!$E$293:$E$906</c:f>
              <c:numCache>
                <c:formatCode>0.00</c:formatCode>
                <c:ptCount val="61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numCache>
            </c:numRef>
          </c:val>
          <c:smooth val="0"/>
          <c:extLst>
            <c:ext xmlns:c16="http://schemas.microsoft.com/office/drawing/2014/chart" uri="{C3380CC4-5D6E-409C-BE32-E72D297353CC}">
              <c16:uniqueId val="{00000001-42B4-4949-BC1E-5F4C8E10C96A}"/>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Food'!$A$17:$A$903</c:f>
              <c:numCache>
                <c:formatCode>[$-409]mmm\-yy;@</c:formatCode>
                <c:ptCount val="887"/>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numCache>
            </c:numRef>
          </c:cat>
          <c:val>
            <c:numRef>
              <c:f>'CPI Food'!$D$17:$D$903</c:f>
              <c:numCache>
                <c:formatCode>0.00%</c:formatCode>
                <c:ptCount val="887"/>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pt idx="647">
                  <c:v>6.01448067699943E-2</c:v>
                </c:pt>
                <c:pt idx="648">
                  <c:v>6.7443340784273054E-2</c:v>
                </c:pt>
              </c:numCache>
            </c:numRef>
          </c:val>
          <c:smooth val="0"/>
          <c:extLst>
            <c:ext xmlns:c16="http://schemas.microsoft.com/office/drawing/2014/chart" uri="{C3380CC4-5D6E-409C-BE32-E72D297353CC}">
              <c16:uniqueId val="{00000000-058F-2846-8E0F-27154AAB522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Food'!$A$401:$A$903</c:f>
              <c:numCache>
                <c:formatCode>[$-409]mmm\-yy;@</c:formatCode>
                <c:ptCount val="50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'CPI Food'!$D$401:$D$903</c:f>
              <c:numCache>
                <c:formatCode>0.00%</c:formatCode>
                <c:ptCount val="503"/>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pt idx="263">
                  <c:v>6.01448067699943E-2</c:v>
                </c:pt>
                <c:pt idx="264">
                  <c:v>6.7443340784273054E-2</c:v>
                </c:pt>
              </c:numCache>
            </c:numRef>
          </c:val>
          <c:smooth val="0"/>
          <c:extLst>
            <c:ext xmlns:c16="http://schemas.microsoft.com/office/drawing/2014/chart" uri="{C3380CC4-5D6E-409C-BE32-E72D297353CC}">
              <c16:uniqueId val="{00000000-6E23-7A4E-B354-16FDB090544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Food'!$A$569:$A$903</c:f>
              <c:numCache>
                <c:formatCode>[$-409]mmm\-yy;@</c:formatCode>
                <c:ptCount val="33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numCache>
            </c:numRef>
          </c:cat>
          <c:val>
            <c:numRef>
              <c:f>'CPI Food'!$D$569:$D$903</c:f>
              <c:numCache>
                <c:formatCode>0.00%</c:formatCode>
                <c:ptCount val="335"/>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pt idx="95">
                  <c:v>6.01448067699943E-2</c:v>
                </c:pt>
                <c:pt idx="96">
                  <c:v>6.7443340784273054E-2</c:v>
                </c:pt>
              </c:numCache>
            </c:numRef>
          </c:val>
          <c:smooth val="0"/>
          <c:extLst>
            <c:ext xmlns:c16="http://schemas.microsoft.com/office/drawing/2014/chart" uri="{C3380CC4-5D6E-409C-BE32-E72D297353CC}">
              <c16:uniqueId val="{00000000-46C3-4640-8AA6-96FFECAE701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Energy'!$A$17:$A$903</c:f>
              <c:numCache>
                <c:formatCode>[$-409]mmm\-yy;@</c:formatCode>
                <c:ptCount val="887"/>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numCache>
            </c:numRef>
          </c:cat>
          <c:val>
            <c:numRef>
              <c:f>'CPI Energy'!$D$17:$D$903</c:f>
              <c:numCache>
                <c:formatCode>0.00%</c:formatCode>
                <c:ptCount val="887"/>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pt idx="647">
                  <c:v>0.29631447701702357</c:v>
                </c:pt>
                <c:pt idx="648">
                  <c:v>0.26139112616330351</c:v>
                </c:pt>
              </c:numCache>
            </c:numRef>
          </c:val>
          <c:smooth val="0"/>
          <c:extLst>
            <c:ext xmlns:c16="http://schemas.microsoft.com/office/drawing/2014/chart" uri="{C3380CC4-5D6E-409C-BE32-E72D297353CC}">
              <c16:uniqueId val="{00000000-F614-024B-A69B-8FDEC888DF7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Energy'!$A$401:$A$903</c:f>
              <c:numCache>
                <c:formatCode>[$-409]mmm\-yy;@</c:formatCode>
                <c:ptCount val="50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'CPI Energy'!$D$401:$D$903</c:f>
              <c:numCache>
                <c:formatCode>0.00%</c:formatCode>
                <c:ptCount val="503"/>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pt idx="263">
                  <c:v>0.29631447701702357</c:v>
                </c:pt>
                <c:pt idx="264">
                  <c:v>0.26139112616330351</c:v>
                </c:pt>
              </c:numCache>
            </c:numRef>
          </c:val>
          <c:smooth val="0"/>
          <c:extLst>
            <c:ext xmlns:c16="http://schemas.microsoft.com/office/drawing/2014/chart" uri="{C3380CC4-5D6E-409C-BE32-E72D297353CC}">
              <c16:uniqueId val="{00000000-C672-7046-804C-0D48BE78B68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Energy'!$A$569:$A$903</c:f>
              <c:numCache>
                <c:formatCode>[$-409]mmm\-yy;@</c:formatCode>
                <c:ptCount val="33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numCache>
            </c:numRef>
          </c:cat>
          <c:val>
            <c:numRef>
              <c:f>'CPI Energy'!$D$569:$D$903</c:f>
              <c:numCache>
                <c:formatCode>0.00%</c:formatCode>
                <c:ptCount val="335"/>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pt idx="95">
                  <c:v>0.29631447701702357</c:v>
                </c:pt>
                <c:pt idx="96">
                  <c:v>0.26139112616330351</c:v>
                </c:pt>
              </c:numCache>
            </c:numRef>
          </c:val>
          <c:smooth val="0"/>
          <c:extLst>
            <c:ext xmlns:c16="http://schemas.microsoft.com/office/drawing/2014/chart" uri="{C3380CC4-5D6E-409C-BE32-E72D297353CC}">
              <c16:uniqueId val="{00000000-BC77-4A4B-BD3D-08B83A843E3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CPI'!$A$53:$A$667</c:f>
              <c:numCache>
                <c:formatCode>[$-409]mmm\-yy;@</c:formatCode>
                <c:ptCount val="61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numCache>
            </c:numRef>
          </c:cat>
          <c:val>
            <c:numRef>
              <c:f>'Core CPI'!$D$53:$D$667</c:f>
              <c:numCache>
                <c:formatCode>0.00%</c:formatCode>
                <c:ptCount val="615"/>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pt idx="611">
                  <c:v>5.4897384603986132E-2</c:v>
                </c:pt>
                <c:pt idx="612">
                  <c:v>6.0757337283584879E-2</c:v>
                </c:pt>
              </c:numCache>
            </c:numRef>
          </c:val>
          <c:smooth val="0"/>
          <c:extLst>
            <c:ext xmlns:c16="http://schemas.microsoft.com/office/drawing/2014/chart" uri="{C3380CC4-5D6E-409C-BE32-E72D297353CC}">
              <c16:uniqueId val="{00000000-F0CE-AE47-80AC-981BCC72D555}"/>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CPI'!$A$53:$A$667</c:f>
              <c:numCache>
                <c:formatCode>[$-409]mmm\-yy;@</c:formatCode>
                <c:ptCount val="61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numCache>
            </c:numRef>
          </c:cat>
          <c:val>
            <c:numRef>
              <c:f>'Core CPI'!$E$53:$E$667</c:f>
              <c:numCache>
                <c:formatCode>0.00</c:formatCode>
                <c:ptCount val="6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numCache>
            </c:numRef>
          </c:val>
          <c:smooth val="0"/>
          <c:extLst>
            <c:ext xmlns:c16="http://schemas.microsoft.com/office/drawing/2014/chart" uri="{C3380CC4-5D6E-409C-BE32-E72D297353CC}">
              <c16:uniqueId val="{00000001-F0CE-AE47-80AC-981BCC72D555}"/>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CPI'!$A$450:$A$667</c:f>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numCache>
            </c:numRef>
          </c:cat>
          <c:val>
            <c:numRef>
              <c:f>'Core CPI'!$D$450:$D$667</c:f>
              <c:numCache>
                <c:formatCode>0.00%</c:formatCode>
                <c:ptCount val="218"/>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pt idx="215">
                  <c:v>6.0757337283584879E-2</c:v>
                </c:pt>
              </c:numCache>
            </c:numRef>
          </c:val>
          <c:smooth val="0"/>
          <c:extLst>
            <c:ext xmlns:c16="http://schemas.microsoft.com/office/drawing/2014/chart" uri="{C3380CC4-5D6E-409C-BE32-E72D297353CC}">
              <c16:uniqueId val="{00000000-E473-C447-BC99-A18E93EBB0EC}"/>
            </c:ext>
          </c:extLst>
        </c:ser>
        <c:ser>
          <c:idx val="2"/>
          <c:order val="1"/>
          <c:spPr>
            <a:ln w="28575" cap="rnd">
              <a:solidFill>
                <a:schemeClr val="accent3"/>
              </a:solidFill>
              <a:prstDash val="solid"/>
              <a:round/>
            </a:ln>
          </c:spPr>
          <c:marker>
            <c:symbol val="none"/>
          </c:marker>
          <c:cat>
            <c:numRef>
              <c:f>'Core CPI'!$A$450:$A$667</c:f>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numCache>
            </c:numRef>
          </c:cat>
          <c:val>
            <c:numRef>
              <c:f>'Core CPI'!$F$450:$F$667</c:f>
              <c:numCache>
                <c:formatCode>0%</c:formatCode>
                <c:ptCount val="21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numCache>
            </c:numRef>
          </c:val>
          <c:smooth val="0"/>
          <c:extLst>
            <c:ext xmlns:c16="http://schemas.microsoft.com/office/drawing/2014/chart" uri="{C3380CC4-5D6E-409C-BE32-E72D297353CC}">
              <c16:uniqueId val="{00000001-E473-C447-BC99-A18E93EBB0EC}"/>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CPI'!$A$17:$A$903</c:f>
              <c:numCache>
                <c:formatCode>[$-409]mmm\-yy;@</c:formatCode>
                <c:ptCount val="887"/>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numCache>
            </c:numRef>
          </c:cat>
          <c:val>
            <c:numRef>
              <c:f>'Core CPI'!$D$17:$D$903</c:f>
              <c:numCache>
                <c:formatCode>0.00%</c:formatCode>
                <c:ptCount val="887"/>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pt idx="647">
                  <c:v>5.4897384603986132E-2</c:v>
                </c:pt>
                <c:pt idx="648">
                  <c:v>6.0757337283584879E-2</c:v>
                </c:pt>
              </c:numCache>
            </c:numRef>
          </c:val>
          <c:smooth val="0"/>
          <c:extLst>
            <c:ext xmlns:c16="http://schemas.microsoft.com/office/drawing/2014/chart" uri="{C3380CC4-5D6E-409C-BE32-E72D297353CC}">
              <c16:uniqueId val="{00000000-2665-5842-829D-26DD7478BC7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CPI'!$A$401:$A$903</c:f>
              <c:numCache>
                <c:formatCode>[$-409]mmm\-yy;@</c:formatCode>
                <c:ptCount val="50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numCache>
            </c:numRef>
          </c:cat>
          <c:val>
            <c:numRef>
              <c:f>'Core CPI'!$D$401:$D$903</c:f>
              <c:numCache>
                <c:formatCode>0.00%</c:formatCode>
                <c:ptCount val="503"/>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pt idx="263">
                  <c:v>5.4897384603986132E-2</c:v>
                </c:pt>
                <c:pt idx="264">
                  <c:v>6.0757337283584879E-2</c:v>
                </c:pt>
              </c:numCache>
            </c:numRef>
          </c:val>
          <c:smooth val="0"/>
          <c:extLst>
            <c:ext xmlns:c16="http://schemas.microsoft.com/office/drawing/2014/chart" uri="{C3380CC4-5D6E-409C-BE32-E72D297353CC}">
              <c16:uniqueId val="{00000000-D9D4-E548-9C8A-E43B1722C3E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CPI'!$A$569:$A$903</c:f>
              <c:numCache>
                <c:formatCode>[$-409]mmm\-yy;@</c:formatCode>
                <c:ptCount val="33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numCache>
            </c:numRef>
          </c:cat>
          <c:val>
            <c:numRef>
              <c:f>'Core CPI'!$D$569:$D$903</c:f>
              <c:numCache>
                <c:formatCode>0.00%</c:formatCode>
                <c:ptCount val="335"/>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pt idx="96">
                  <c:v>6.0757337283584879E-2</c:v>
                </c:pt>
              </c:numCache>
            </c:numRef>
          </c:val>
          <c:smooth val="0"/>
          <c:extLst>
            <c:ext xmlns:c16="http://schemas.microsoft.com/office/drawing/2014/chart" uri="{C3380CC4-5D6E-409C-BE32-E72D297353CC}">
              <c16:uniqueId val="{00000000-D976-0A49-A405-12DF6FBF52B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CPI'!$A$449:$A$667</c:f>
              <c:numCache>
                <c:formatCode>[$-409]mmm\-yy;@</c:formatCode>
                <c:ptCount val="219"/>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numCache>
            </c:numRef>
          </c:cat>
          <c:val>
            <c:numRef>
              <c:f>'Core CPI'!$C$449:$C$667</c:f>
              <c:numCache>
                <c:formatCode>0.00%</c:formatCode>
                <c:ptCount val="219"/>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pt idx="216">
                  <c:v>5.8716318009262866E-3</c:v>
                </c:pt>
              </c:numCache>
            </c:numRef>
          </c:val>
          <c:smooth val="0"/>
          <c:extLst>
            <c:ext xmlns:c16="http://schemas.microsoft.com/office/drawing/2014/chart" uri="{C3380CC4-5D6E-409C-BE32-E72D297353CC}">
              <c16:uniqueId val="{00000000-A17D-124C-98EF-C50E93022451}"/>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CPI'!$A$449:$A$667</c:f>
              <c:numCache>
                <c:formatCode>[$-409]mmm\-yy;@</c:formatCode>
                <c:ptCount val="219"/>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numCache>
            </c:numRef>
          </c:cat>
          <c:val>
            <c:numRef>
              <c:f>'Core CPI'!$C$449:$C$667</c:f>
              <c:numCache>
                <c:formatCode>0.00%</c:formatCode>
                <c:ptCount val="219"/>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pt idx="216">
                  <c:v>5.8716318009262866E-3</c:v>
                </c:pt>
              </c:numCache>
            </c:numRef>
          </c:val>
          <c:extLst>
            <c:ext xmlns:c16="http://schemas.microsoft.com/office/drawing/2014/chart" uri="{C3380CC4-5D6E-409C-BE32-E72D297353CC}">
              <c16:uniqueId val="{00000000-7279-1F48-962F-90FA56BD1E7D}"/>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CPI'!$A$569:$A$903</c:f>
              <c:numCache>
                <c:formatCode>[$-409]mmm\-yy;@</c:formatCode>
                <c:ptCount val="335"/>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numCache>
            </c:numRef>
          </c:cat>
          <c:val>
            <c:numRef>
              <c:f>'Core CPI'!$D$569:$D$903</c:f>
              <c:numCache>
                <c:formatCode>0.00%</c:formatCode>
                <c:ptCount val="335"/>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pt idx="96">
                  <c:v>6.0757337283584879E-2</c:v>
                </c:pt>
              </c:numCache>
            </c:numRef>
          </c:val>
          <c:smooth val="0"/>
          <c:extLst>
            <c:ext xmlns:c16="http://schemas.microsoft.com/office/drawing/2014/chart" uri="{C3380CC4-5D6E-409C-BE32-E72D297353CC}">
              <c16:uniqueId val="{00000000-194B-B04F-A836-F365F16AE22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CPI'!$A$449:$A$677</c:f>
              <c:numCache>
                <c:formatCode>[$-409]mmm\-yy;@</c:formatCode>
                <c:ptCount val="229"/>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numCache>
            </c:numRef>
          </c:cat>
          <c:val>
            <c:numRef>
              <c:f>'Core CPI'!$C$449:$C$677</c:f>
              <c:numCache>
                <c:formatCode>0.00%</c:formatCode>
                <c:ptCount val="229"/>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pt idx="216">
                  <c:v>5.8716318009262866E-3</c:v>
                </c:pt>
              </c:numCache>
            </c:numRef>
          </c:val>
          <c:smooth val="0"/>
          <c:extLst>
            <c:ext xmlns:c16="http://schemas.microsoft.com/office/drawing/2014/chart" uri="{C3380CC4-5D6E-409C-BE32-E72D297353CC}">
              <c16:uniqueId val="{00000000-E935-674E-9053-A41E285B7D77}"/>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5" totalsRowShown="0" headerRowDxfId="35" dataDxfId="33" headerRowBorderDxfId="34">
  <autoFilter ref="A4:F905"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5" totalsRowShown="0" headerRowDxfId="26" dataDxfId="24" headerRowBorderDxfId="25" tableBorderDxfId="23">
  <autoFilter ref="A4:D665"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5" totalsRowShown="0" headerRowDxfId="18" dataDxfId="16" headerRowBorderDxfId="17" tableBorderDxfId="15">
  <autoFilter ref="A4:D665"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5" totalsRowShown="0" headerRowDxfId="10" dataDxfId="8" headerRowBorderDxfId="9">
  <autoFilter ref="A4:F665"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130" zoomScaleNormal="130" workbookViewId="0">
      <selection activeCell="N27" sqref="N27"/>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6" width="9.1640625" style="74" customWidth="1"/>
    <col min="27" max="16384" width="9.1640625" style="74"/>
  </cols>
  <sheetData>
    <row r="1" spans="2:19" x14ac:dyDescent="0.2">
      <c r="B1" s="86"/>
      <c r="C1" s="85"/>
      <c r="D1" s="85"/>
      <c r="E1" s="85"/>
      <c r="F1" s="85"/>
      <c r="G1" s="85"/>
      <c r="H1" s="85"/>
      <c r="I1" s="85"/>
      <c r="J1" s="85"/>
    </row>
    <row r="2" spans="2:19" ht="16" customHeight="1" thickBot="1" x14ac:dyDescent="0.25">
      <c r="B2" s="87"/>
      <c r="C2" s="87"/>
      <c r="D2" s="87"/>
      <c r="E2" s="87"/>
      <c r="F2" s="87"/>
      <c r="G2" s="87"/>
      <c r="H2" s="87"/>
      <c r="I2" s="87"/>
      <c r="J2" s="87"/>
    </row>
    <row r="3" spans="2:19" ht="16" customHeight="1" thickBot="1" x14ac:dyDescent="0.25">
      <c r="B3" s="88" t="s">
        <v>0</v>
      </c>
      <c r="C3" s="89"/>
      <c r="D3" s="89"/>
      <c r="E3" s="89"/>
      <c r="F3" s="89"/>
      <c r="G3" s="89"/>
      <c r="H3" s="89"/>
      <c r="I3" s="89"/>
      <c r="J3" s="90"/>
    </row>
    <row r="5" spans="2:19" x14ac:dyDescent="0.2">
      <c r="B5" s="78" t="s">
        <v>1</v>
      </c>
      <c r="C5" s="79"/>
      <c r="D5" s="79"/>
      <c r="E5" s="79"/>
      <c r="F5" s="79"/>
      <c r="G5" s="79"/>
      <c r="H5" s="79"/>
      <c r="I5" s="79"/>
      <c r="J5" s="80"/>
    </row>
    <row r="7" spans="2:19" ht="240.75" customHeight="1" x14ac:dyDescent="0.2">
      <c r="B7" s="91" t="s">
        <v>2</v>
      </c>
      <c r="C7" s="85"/>
      <c r="D7" s="85"/>
      <c r="E7" s="85"/>
      <c r="F7" s="85"/>
      <c r="G7" s="85"/>
      <c r="H7" s="85"/>
      <c r="I7" s="85"/>
      <c r="J7" s="85"/>
    </row>
    <row r="8" spans="2:19" ht="33.75" customHeight="1" x14ac:dyDescent="0.2">
      <c r="B8" s="92" t="s">
        <v>3</v>
      </c>
      <c r="C8" s="85"/>
      <c r="D8" s="85"/>
      <c r="E8" s="85"/>
      <c r="F8" s="85"/>
      <c r="G8" s="85"/>
      <c r="H8" s="85"/>
      <c r="I8" s="85"/>
      <c r="J8" s="85"/>
    </row>
    <row r="9" spans="2:19" x14ac:dyDescent="0.2">
      <c r="B9" s="40"/>
      <c r="C9" s="40"/>
      <c r="D9" s="40"/>
      <c r="E9" s="40"/>
    </row>
    <row r="10" spans="2:19" x14ac:dyDescent="0.2">
      <c r="B10" s="78" t="s">
        <v>4</v>
      </c>
      <c r="C10" s="79"/>
      <c r="D10" s="79"/>
      <c r="E10" s="79"/>
      <c r="F10" s="79"/>
      <c r="G10" s="79"/>
      <c r="H10" s="79"/>
      <c r="I10" s="79"/>
      <c r="J10" s="80"/>
      <c r="N10" s="78" t="s">
        <v>5</v>
      </c>
      <c r="O10" s="79"/>
      <c r="P10" s="79"/>
      <c r="Q10" s="79"/>
      <c r="R10" s="79"/>
      <c r="S10" s="80"/>
    </row>
    <row r="12" spans="2:19" x14ac:dyDescent="0.2">
      <c r="B12" s="78" t="s">
        <v>6</v>
      </c>
      <c r="C12" s="79"/>
      <c r="D12" s="79"/>
      <c r="E12" s="79"/>
      <c r="F12" s="80"/>
      <c r="G12" s="78" t="s">
        <v>7</v>
      </c>
      <c r="H12" s="79"/>
      <c r="I12" s="79"/>
      <c r="J12" s="80"/>
      <c r="N12" s="13" t="s">
        <v>8</v>
      </c>
    </row>
    <row r="13" spans="2:19" ht="16" customHeight="1" thickBot="1" x14ac:dyDescent="0.25"/>
    <row r="14" spans="2:19" x14ac:dyDescent="0.2">
      <c r="B14" s="74" t="s">
        <v>9</v>
      </c>
      <c r="G14" s="85"/>
      <c r="H14" s="85"/>
      <c r="I14" s="85"/>
      <c r="J14" s="85"/>
      <c r="P14" s="43">
        <v>44531</v>
      </c>
      <c r="Q14" s="44"/>
    </row>
    <row r="15" spans="2:19" ht="16" customHeight="1" thickBot="1" x14ac:dyDescent="0.25">
      <c r="B15" s="74" t="s">
        <v>10</v>
      </c>
      <c r="G15" s="85"/>
      <c r="H15" s="85"/>
      <c r="I15" s="85"/>
      <c r="J15" s="85"/>
      <c r="P15" s="45" t="s">
        <v>11</v>
      </c>
      <c r="Q15" s="45" t="s">
        <v>12</v>
      </c>
    </row>
    <row r="16" spans="2:19" ht="44.25" customHeight="1" x14ac:dyDescent="0.2">
      <c r="B16" s="3" t="s">
        <v>13</v>
      </c>
      <c r="G16" s="94" t="s">
        <v>14</v>
      </c>
      <c r="H16" s="85"/>
      <c r="I16" s="85"/>
      <c r="J16" s="85"/>
      <c r="N16" s="81" t="s">
        <v>15</v>
      </c>
      <c r="O16" s="82"/>
      <c r="P16" s="54">
        <f>(VLOOKUP($P$14,Database!A:D,MATCH(Note!S16,Database!A1:D1,),)-VLOOKUP($N$22,Database!A:D,MATCH(Note!S16,Database!A1:D1,),))/VLOOKUP($N$22,Database!A:D,MATCH(Note!S16,Database!A1:D1,),)</f>
        <v>4.7045324153758309E-3</v>
      </c>
      <c r="Q16" s="55">
        <f>(VLOOKUP($P$14,Database!A:D,MATCH(Note!S16,Database!A1:D1,),)-VLOOKUP($N$23,Database!A:D,MATCH(Note!S16,Database!A1:D1,),))/VLOOKUP($N$23,Database!A:D,MATCH(Note!S16,Database!A1:D1,),)</f>
        <v>7.1234133659580992E-2</v>
      </c>
      <c r="S16" s="8" t="s">
        <v>13</v>
      </c>
    </row>
    <row r="17" spans="2:19" ht="44.25" customHeight="1" x14ac:dyDescent="0.2">
      <c r="B17" s="3" t="s">
        <v>16</v>
      </c>
      <c r="G17" s="94" t="s">
        <v>17</v>
      </c>
      <c r="H17" s="85"/>
      <c r="I17" s="85"/>
      <c r="J17" s="85"/>
      <c r="N17" s="83" t="s">
        <v>18</v>
      </c>
      <c r="O17" s="80"/>
      <c r="P17" s="56">
        <f>(VLOOKUP($P$14,Database!A:D,MATCH(Note!S17,Database!A1:D1,),)-VLOOKUP($N$22,Database!A:D,MATCH(Note!S17,Database!A1:D1,),))/VLOOKUP($N$22,Database!A:D,MATCH(Note!S17,Database!A1:D1,),)</f>
        <v>4.9853423912090021E-3</v>
      </c>
      <c r="Q17" s="57">
        <f>(VLOOKUP($P$14,Database!A:D,MATCH(Note!S17,Database!A1:D1,),)-VLOOKUP($N$23,Database!A:D,MATCH(Note!S17,Database!A1:D1,),))/VLOOKUP($N$23,Database!A:D,MATCH(Note!S17,Database!A1:D1,),)</f>
        <v>6.01448067699943E-2</v>
      </c>
      <c r="S17" s="8" t="s">
        <v>19</v>
      </c>
    </row>
    <row r="18" spans="2:19" ht="44.25" customHeight="1" x14ac:dyDescent="0.2">
      <c r="B18" s="3" t="s">
        <v>19</v>
      </c>
      <c r="G18" s="84" t="s">
        <v>20</v>
      </c>
      <c r="H18" s="85"/>
      <c r="I18" s="85"/>
      <c r="J18" s="85"/>
      <c r="N18" s="83" t="s">
        <v>21</v>
      </c>
      <c r="O18" s="80"/>
      <c r="P18" s="56">
        <f>(VLOOKUP($P$14,Database!A:D,MATCH(Note!S18,Database!A1:D1,),)-VLOOKUP($N$22,Database!A:D,MATCH(Note!S18,Database!A1:D1,),))/VLOOKUP($N$22,Database!A:D,MATCH(Note!S18,Database!A1:D1,),)</f>
        <v>-3.9114805915879949E-3</v>
      </c>
      <c r="Q18" s="57">
        <f>(VLOOKUP($P$14,Database!A:D,MATCH(Note!S18,Database!A1:D1,),)-VLOOKUP($N$23,Database!A:D,MATCH(Note!S18,Database!A1:D1,),))/VLOOKUP($N$23,Database!A:D,MATCH(Note!S18,Database!A1:D1,),)</f>
        <v>0.29631447701702357</v>
      </c>
      <c r="S18" s="8" t="s">
        <v>16</v>
      </c>
    </row>
    <row r="19" spans="2:19" ht="44.25" customHeight="1" thickBot="1" x14ac:dyDescent="0.25">
      <c r="B19" s="3" t="s">
        <v>22</v>
      </c>
      <c r="G19" s="94" t="s">
        <v>23</v>
      </c>
      <c r="H19" s="85"/>
      <c r="I19" s="85"/>
      <c r="J19" s="85"/>
      <c r="N19" s="76" t="s">
        <v>24</v>
      </c>
      <c r="O19" s="77"/>
      <c r="P19" s="58">
        <f>(VLOOKUP($P$14,Database!A:E,MATCH(Note!S19,Database!A1:E1,),)-VLOOKUP($N$22,Database!A:E,MATCH(Note!S19,Database!A1:E1,),))/VLOOKUP($N$22,Database!A:E,MATCH(Note!S19,Database!A1:E1,),)</f>
        <v>5.5013930035557523E-3</v>
      </c>
      <c r="Q19" s="59">
        <f>(VLOOKUP($P$14,Database!A:E,MATCH(Note!S19,Database!A1:E1,),)-VLOOKUP($N$23,Database!A:E,MATCH(Note!S19,Database!A1:E1,),))/VLOOKUP($N$23,Database!A:E,MATCH(Note!S19,Database!A1:E1,),)</f>
        <v>5.4897384603986132E-2</v>
      </c>
      <c r="S19" s="8" t="s">
        <v>22</v>
      </c>
    </row>
    <row r="21" spans="2:19" ht="16" customHeight="1" thickBot="1" x14ac:dyDescent="0.25">
      <c r="B21" s="41"/>
    </row>
    <row r="22" spans="2:19" ht="30" customHeight="1" thickBot="1" x14ac:dyDescent="0.25">
      <c r="B22" s="93"/>
      <c r="C22" s="85"/>
      <c r="D22" s="85"/>
      <c r="E22" s="85"/>
      <c r="F22" s="85"/>
      <c r="G22" s="85"/>
      <c r="H22" s="85"/>
      <c r="I22" s="85"/>
      <c r="J22" s="85"/>
      <c r="N22" s="44">
        <f>DATE(YEAR($P$14),MONTH($P$14)-1,DAY($P$14))</f>
        <v>44501</v>
      </c>
    </row>
    <row r="23" spans="2:19" ht="16" customHeight="1" thickBot="1" x14ac:dyDescent="0.25">
      <c r="B23" s="42"/>
      <c r="N23" s="46">
        <f>DATE(YEAR($P$14)-1,MONTH($P$14),DAY($P$14))</f>
        <v>44166</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2"/>
  <sheetViews>
    <sheetView zoomScale="130" zoomScaleNormal="130" workbookViewId="0">
      <pane ySplit="1" topLeftCell="A883"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243.62</v>
      </c>
      <c r="C842">
        <v>205.49600000000001</v>
      </c>
      <c r="D842">
        <v>247.86500000000001</v>
      </c>
      <c r="E842">
        <v>250.46199999999999</v>
      </c>
    </row>
    <row r="843" spans="1:5" x14ac:dyDescent="0.2">
      <c r="A843" s="75">
        <v>42767</v>
      </c>
      <c r="B843">
        <v>243.87200000000001</v>
      </c>
      <c r="C843">
        <v>203.54400000000001</v>
      </c>
      <c r="D843">
        <v>248.44300000000001</v>
      </c>
      <c r="E843">
        <v>250.90299999999999</v>
      </c>
    </row>
    <row r="844" spans="1:5" x14ac:dyDescent="0.2">
      <c r="A844" s="75">
        <v>42795</v>
      </c>
      <c r="B844">
        <v>243.76599999999999</v>
      </c>
      <c r="C844">
        <v>202.18299999999999</v>
      </c>
      <c r="D844">
        <v>248.92599999999999</v>
      </c>
      <c r="E844">
        <v>250.83600000000001</v>
      </c>
    </row>
    <row r="845" spans="1:5" x14ac:dyDescent="0.2">
      <c r="A845" s="75">
        <v>42826</v>
      </c>
      <c r="B845">
        <v>244.274</v>
      </c>
      <c r="C845">
        <v>203.792</v>
      </c>
      <c r="D845">
        <v>249.28800000000001</v>
      </c>
      <c r="E845">
        <v>251.25200000000001</v>
      </c>
    </row>
    <row r="846" spans="1:5" x14ac:dyDescent="0.2">
      <c r="A846" s="75">
        <v>42856</v>
      </c>
      <c r="B846">
        <v>244.06899999999999</v>
      </c>
      <c r="C846">
        <v>198.72399999999999</v>
      </c>
      <c r="D846">
        <v>249.68600000000001</v>
      </c>
      <c r="E846">
        <v>251.488</v>
      </c>
    </row>
    <row r="847" spans="1:5" x14ac:dyDescent="0.2">
      <c r="A847" s="75">
        <v>42887</v>
      </c>
      <c r="B847">
        <v>244.21799999999999</v>
      </c>
      <c r="C847">
        <v>197.744</v>
      </c>
      <c r="D847">
        <v>249.53800000000001</v>
      </c>
      <c r="E847">
        <v>251.822</v>
      </c>
    </row>
    <row r="848" spans="1:5" x14ac:dyDescent="0.2">
      <c r="A848" s="75">
        <v>42917</v>
      </c>
      <c r="B848">
        <v>244.28</v>
      </c>
      <c r="C848">
        <v>195.72900000000001</v>
      </c>
      <c r="D848">
        <v>250.03200000000001</v>
      </c>
      <c r="E848">
        <v>252.047</v>
      </c>
    </row>
    <row r="849" spans="1:5" x14ac:dyDescent="0.2">
      <c r="A849" s="75">
        <v>42948</v>
      </c>
      <c r="B849">
        <v>245.20500000000001</v>
      </c>
      <c r="C849">
        <v>201.12100000000001</v>
      </c>
      <c r="D849">
        <v>250.249</v>
      </c>
      <c r="E849">
        <v>252.59700000000001</v>
      </c>
    </row>
    <row r="850" spans="1:5" x14ac:dyDescent="0.2">
      <c r="A850" s="75">
        <v>42979</v>
      </c>
      <c r="B850">
        <v>246.55099999999999</v>
      </c>
      <c r="C850">
        <v>211.929</v>
      </c>
      <c r="D850">
        <v>250.678</v>
      </c>
      <c r="E850">
        <v>253.03899999999999</v>
      </c>
    </row>
    <row r="851" spans="1:5" x14ac:dyDescent="0.2">
      <c r="A851" s="75">
        <v>43009</v>
      </c>
      <c r="B851">
        <v>246.65700000000001</v>
      </c>
      <c r="C851">
        <v>208.42699999999999</v>
      </c>
      <c r="D851">
        <v>250.91900000000001</v>
      </c>
      <c r="E851">
        <v>253.535</v>
      </c>
    </row>
    <row r="852" spans="1:5" x14ac:dyDescent="0.2">
      <c r="A852" s="75">
        <v>43040</v>
      </c>
      <c r="B852">
        <v>247.37799999999999</v>
      </c>
      <c r="C852">
        <v>214.655</v>
      </c>
      <c r="D852">
        <v>251.04499999999999</v>
      </c>
      <c r="E852">
        <v>253.744</v>
      </c>
    </row>
    <row r="853" spans="1:5" x14ac:dyDescent="0.2">
      <c r="A853" s="75">
        <v>43070</v>
      </c>
      <c r="B853">
        <v>247.73599999999999</v>
      </c>
      <c r="C853">
        <v>213.119</v>
      </c>
      <c r="D853">
        <v>251.47900000000001</v>
      </c>
      <c r="E853">
        <v>254.30799999999999</v>
      </c>
    </row>
    <row r="854" spans="1:5" x14ac:dyDescent="0.2">
      <c r="A854" s="75">
        <v>43101</v>
      </c>
      <c r="B854">
        <v>248.721</v>
      </c>
      <c r="C854">
        <v>217.273</v>
      </c>
      <c r="D854">
        <v>251.94800000000001</v>
      </c>
      <c r="E854">
        <v>255.00700000000001</v>
      </c>
    </row>
    <row r="855" spans="1:5" x14ac:dyDescent="0.2">
      <c r="A855" s="75">
        <v>43132</v>
      </c>
      <c r="B855">
        <v>249.3</v>
      </c>
      <c r="C855">
        <v>219.76499999999999</v>
      </c>
      <c r="D855">
        <v>251.96100000000001</v>
      </c>
      <c r="E855">
        <v>255.47200000000001</v>
      </c>
    </row>
    <row r="856" spans="1:5" x14ac:dyDescent="0.2">
      <c r="A856" s="75">
        <v>43160</v>
      </c>
      <c r="B856">
        <v>249.517</v>
      </c>
      <c r="C856">
        <v>216.49199999999999</v>
      </c>
      <c r="D856">
        <v>252.08199999999999</v>
      </c>
      <c r="E856">
        <v>256.11700000000002</v>
      </c>
    </row>
    <row r="857" spans="1:5" x14ac:dyDescent="0.2">
      <c r="A857" s="75">
        <v>43191</v>
      </c>
      <c r="B857">
        <v>250.27500000000001</v>
      </c>
      <c r="C857">
        <v>219.42400000000001</v>
      </c>
      <c r="D857">
        <v>252.68600000000001</v>
      </c>
      <c r="E857">
        <v>256.65600000000001</v>
      </c>
    </row>
    <row r="858" spans="1:5" x14ac:dyDescent="0.2">
      <c r="A858" s="75">
        <v>43221</v>
      </c>
      <c r="B858">
        <v>250.786</v>
      </c>
      <c r="C858">
        <v>220.77</v>
      </c>
      <c r="D858">
        <v>252.70599999999999</v>
      </c>
      <c r="E858">
        <v>257.15699999999998</v>
      </c>
    </row>
    <row r="859" spans="1:5" x14ac:dyDescent="0.2">
      <c r="A859" s="75">
        <v>43252</v>
      </c>
      <c r="B859">
        <v>251.15199999999999</v>
      </c>
      <c r="C859">
        <v>221.14500000000001</v>
      </c>
      <c r="D859">
        <v>253.06800000000001</v>
      </c>
      <c r="E859">
        <v>257.53399999999999</v>
      </c>
    </row>
    <row r="860" spans="1:5" x14ac:dyDescent="0.2">
      <c r="A860" s="75">
        <v>43282</v>
      </c>
      <c r="B860">
        <v>251.345</v>
      </c>
      <c r="C860">
        <v>219.16800000000001</v>
      </c>
      <c r="D860">
        <v>253.53100000000001</v>
      </c>
      <c r="E860">
        <v>257.93</v>
      </c>
    </row>
    <row r="861" spans="1:5" x14ac:dyDescent="0.2">
      <c r="A861" s="75">
        <v>43313</v>
      </c>
      <c r="B861">
        <v>251.73500000000001</v>
      </c>
      <c r="C861">
        <v>221.76300000000001</v>
      </c>
      <c r="D861">
        <v>253.81399999999999</v>
      </c>
      <c r="E861">
        <v>258.08</v>
      </c>
    </row>
    <row r="862" spans="1:5" x14ac:dyDescent="0.2">
      <c r="A862" s="75">
        <v>43344</v>
      </c>
      <c r="B862">
        <v>252.18299999999999</v>
      </c>
      <c r="C862">
        <v>222.392</v>
      </c>
      <c r="D862">
        <v>254.20099999999999</v>
      </c>
      <c r="E862">
        <v>258.53399999999999</v>
      </c>
    </row>
    <row r="863" spans="1:5" x14ac:dyDescent="0.2">
      <c r="A863" s="75">
        <v>43374</v>
      </c>
      <c r="B863">
        <v>252.899</v>
      </c>
      <c r="C863">
        <v>226.73500000000001</v>
      </c>
      <c r="D863">
        <v>254.06399999999999</v>
      </c>
      <c r="E863">
        <v>258.98899999999998</v>
      </c>
    </row>
    <row r="864" spans="1:5" x14ac:dyDescent="0.2">
      <c r="A864" s="75">
        <v>43405</v>
      </c>
      <c r="B864">
        <v>252.822</v>
      </c>
      <c r="C864">
        <v>221.303</v>
      </c>
      <c r="D864">
        <v>254.68600000000001</v>
      </c>
      <c r="E864">
        <v>259.41500000000002</v>
      </c>
    </row>
    <row r="865" spans="1:5" x14ac:dyDescent="0.2">
      <c r="A865" s="75">
        <v>43435</v>
      </c>
      <c r="B865">
        <v>252.49299999999999</v>
      </c>
      <c r="C865">
        <v>212.43600000000001</v>
      </c>
      <c r="D865">
        <v>255.529</v>
      </c>
      <c r="E865">
        <v>259.87299999999999</v>
      </c>
    </row>
    <row r="866" spans="1:5" x14ac:dyDescent="0.2">
      <c r="A866" s="75">
        <v>43466</v>
      </c>
      <c r="B866">
        <v>252.441</v>
      </c>
      <c r="C866">
        <v>206.32400000000001</v>
      </c>
      <c r="D866">
        <v>256.07600000000002</v>
      </c>
      <c r="E866">
        <v>260.41899999999998</v>
      </c>
    </row>
    <row r="867" spans="1:5" x14ac:dyDescent="0.2">
      <c r="A867" s="75">
        <v>43497</v>
      </c>
      <c r="B867">
        <v>252.96899999999999</v>
      </c>
      <c r="C867">
        <v>208.33600000000001</v>
      </c>
      <c r="D867">
        <v>256.916</v>
      </c>
      <c r="E867">
        <v>260.72199999999998</v>
      </c>
    </row>
    <row r="868" spans="1:5" x14ac:dyDescent="0.2">
      <c r="A868" s="75">
        <v>43525</v>
      </c>
      <c r="B868">
        <v>254.14699999999999</v>
      </c>
      <c r="C868">
        <v>215.56200000000001</v>
      </c>
      <c r="D868">
        <v>257.28500000000003</v>
      </c>
      <c r="E868">
        <v>261.339</v>
      </c>
    </row>
    <row r="869" spans="1:5" x14ac:dyDescent="0.2">
      <c r="A869" s="75">
        <v>43556</v>
      </c>
      <c r="B869">
        <v>255.32599999999999</v>
      </c>
      <c r="C869">
        <v>222.97399999999999</v>
      </c>
      <c r="D869">
        <v>257.02600000000001</v>
      </c>
      <c r="E869">
        <v>262.05</v>
      </c>
    </row>
    <row r="870" spans="1:5" x14ac:dyDescent="0.2">
      <c r="A870" s="75">
        <v>43586</v>
      </c>
      <c r="B870">
        <v>255.37100000000001</v>
      </c>
      <c r="C870">
        <v>219.84800000000001</v>
      </c>
      <c r="D870">
        <v>257.57100000000003</v>
      </c>
      <c r="E870">
        <v>262.38400000000001</v>
      </c>
    </row>
    <row r="871" spans="1:5" x14ac:dyDescent="0.2">
      <c r="A871" s="75">
        <v>43617</v>
      </c>
      <c r="B871">
        <v>255.423</v>
      </c>
      <c r="C871">
        <v>213.97900000000001</v>
      </c>
      <c r="D871">
        <v>257.70699999999999</v>
      </c>
      <c r="E871">
        <v>263.11700000000002</v>
      </c>
    </row>
    <row r="872" spans="1:5" x14ac:dyDescent="0.2">
      <c r="A872" s="75">
        <v>43647</v>
      </c>
      <c r="B872">
        <v>255.92500000000001</v>
      </c>
      <c r="C872">
        <v>214.95</v>
      </c>
      <c r="D872">
        <v>257.99799999999999</v>
      </c>
      <c r="E872">
        <v>263.61599999999999</v>
      </c>
    </row>
    <row r="873" spans="1:5" x14ac:dyDescent="0.2">
      <c r="A873" s="75">
        <v>43678</v>
      </c>
      <c r="B873">
        <v>256.11799999999999</v>
      </c>
      <c r="C873">
        <v>212.267</v>
      </c>
      <c r="D873">
        <v>258.15800000000002</v>
      </c>
      <c r="E873">
        <v>264.15100000000001</v>
      </c>
    </row>
    <row r="874" spans="1:5" x14ac:dyDescent="0.2">
      <c r="A874" s="75">
        <v>43709</v>
      </c>
      <c r="B874">
        <v>256.53199999999998</v>
      </c>
      <c r="C874">
        <v>212.05199999999999</v>
      </c>
      <c r="D874">
        <v>258.74</v>
      </c>
      <c r="E874">
        <v>264.60300000000001</v>
      </c>
    </row>
    <row r="875" spans="1:5" x14ac:dyDescent="0.2">
      <c r="A875" s="75">
        <v>43739</v>
      </c>
      <c r="B875">
        <v>257.387</v>
      </c>
      <c r="C875">
        <v>217.18600000000001</v>
      </c>
      <c r="D875">
        <v>259.21600000000001</v>
      </c>
      <c r="E875">
        <v>265.02600000000001</v>
      </c>
    </row>
    <row r="876" spans="1:5" x14ac:dyDescent="0.2">
      <c r="A876" s="75">
        <v>43770</v>
      </c>
      <c r="B876">
        <v>257.98899999999998</v>
      </c>
      <c r="C876">
        <v>219.77</v>
      </c>
      <c r="D876">
        <v>259.59800000000001</v>
      </c>
      <c r="E876">
        <v>265.42700000000002</v>
      </c>
    </row>
    <row r="877" spans="1:5" x14ac:dyDescent="0.2">
      <c r="A877" s="75">
        <v>43800</v>
      </c>
      <c r="B877">
        <v>258.20299999999997</v>
      </c>
      <c r="C877">
        <v>219.71799999999999</v>
      </c>
      <c r="D877">
        <v>259.97000000000003</v>
      </c>
      <c r="E877">
        <v>265.65100000000001</v>
      </c>
    </row>
    <row r="878" spans="1:5" x14ac:dyDescent="0.2">
      <c r="A878" s="75">
        <v>43831</v>
      </c>
      <c r="B878">
        <v>258.68700000000001</v>
      </c>
      <c r="C878">
        <v>219.11699999999999</v>
      </c>
      <c r="D878">
        <v>260.57900000000001</v>
      </c>
      <c r="E878">
        <v>266.30599999999998</v>
      </c>
    </row>
    <row r="879" spans="1:5" x14ac:dyDescent="0.2">
      <c r="A879" s="75">
        <v>43862</v>
      </c>
      <c r="B879">
        <v>258.82400000000001</v>
      </c>
      <c r="C879">
        <v>213.96299999999999</v>
      </c>
      <c r="D879">
        <v>261.41199999999998</v>
      </c>
      <c r="E879">
        <v>266.87599999999998</v>
      </c>
    </row>
    <row r="880" spans="1:5" x14ac:dyDescent="0.2">
      <c r="A880" s="75">
        <v>43891</v>
      </c>
      <c r="B880">
        <v>257.98899999999998</v>
      </c>
      <c r="C880">
        <v>202.995</v>
      </c>
      <c r="D880">
        <v>262.13200000000001</v>
      </c>
      <c r="E880">
        <v>266.82</v>
      </c>
    </row>
    <row r="881" spans="1:5" x14ac:dyDescent="0.2">
      <c r="A881" s="75">
        <v>43922</v>
      </c>
      <c r="B881">
        <v>256.19200000000001</v>
      </c>
      <c r="C881">
        <v>183.78800000000001</v>
      </c>
      <c r="D881">
        <v>265.702</v>
      </c>
      <c r="E881">
        <v>265.83600000000001</v>
      </c>
    </row>
    <row r="882" spans="1:5" x14ac:dyDescent="0.2">
      <c r="A882" s="75">
        <v>43952</v>
      </c>
      <c r="B882">
        <v>255.94200000000001</v>
      </c>
      <c r="C882">
        <v>179.61</v>
      </c>
      <c r="D882">
        <v>267.47300000000001</v>
      </c>
      <c r="E882">
        <v>265.637</v>
      </c>
    </row>
    <row r="883" spans="1:5" x14ac:dyDescent="0.2">
      <c r="A883" s="75">
        <v>43983</v>
      </c>
      <c r="B883">
        <v>257.28199999999998</v>
      </c>
      <c r="C883">
        <v>187.59100000000001</v>
      </c>
      <c r="D883">
        <v>268.84100000000001</v>
      </c>
      <c r="E883">
        <v>266.28199999999998</v>
      </c>
    </row>
    <row r="884" spans="1:5" x14ac:dyDescent="0.2">
      <c r="A884" s="75">
        <v>44013</v>
      </c>
      <c r="B884">
        <v>258.60399999999998</v>
      </c>
      <c r="C884">
        <v>191.566</v>
      </c>
      <c r="D884">
        <v>268.04700000000003</v>
      </c>
      <c r="E884">
        <v>267.72199999999998</v>
      </c>
    </row>
    <row r="885" spans="1:5" x14ac:dyDescent="0.2">
      <c r="A885" s="75">
        <v>44044</v>
      </c>
      <c r="B885">
        <v>259.51100000000002</v>
      </c>
      <c r="C885">
        <v>193.36199999999999</v>
      </c>
      <c r="D885">
        <v>268.37299999999999</v>
      </c>
      <c r="E885">
        <v>268.654</v>
      </c>
    </row>
    <row r="886" spans="1:5" x14ac:dyDescent="0.2">
      <c r="A886" s="75">
        <v>44075</v>
      </c>
      <c r="B886">
        <v>260.149</v>
      </c>
      <c r="C886">
        <v>195.995</v>
      </c>
      <c r="D886">
        <v>268.62099999999998</v>
      </c>
      <c r="E886">
        <v>269.15499999999997</v>
      </c>
    </row>
    <row r="887" spans="1:5" x14ac:dyDescent="0.2">
      <c r="A887" s="75">
        <v>44105</v>
      </c>
      <c r="B887">
        <v>260.46199999999999</v>
      </c>
      <c r="C887">
        <v>197.15700000000001</v>
      </c>
      <c r="D887">
        <v>269.16399999999999</v>
      </c>
      <c r="E887">
        <v>269.35000000000002</v>
      </c>
    </row>
    <row r="888" spans="1:5" x14ac:dyDescent="0.2">
      <c r="A888" s="75">
        <v>44136</v>
      </c>
      <c r="B888">
        <v>260.92700000000002</v>
      </c>
      <c r="C888">
        <v>198.57599999999999</v>
      </c>
      <c r="D888">
        <v>269.14999999999998</v>
      </c>
      <c r="E888">
        <v>269.81900000000002</v>
      </c>
    </row>
    <row r="889" spans="1:5" x14ac:dyDescent="0.2">
      <c r="A889" s="75">
        <v>44166</v>
      </c>
      <c r="B889">
        <v>261.56</v>
      </c>
      <c r="C889">
        <v>203.71600000000001</v>
      </c>
      <c r="D889">
        <v>270.01499999999999</v>
      </c>
      <c r="E889">
        <v>269.94</v>
      </c>
    </row>
    <row r="890" spans="1:5" x14ac:dyDescent="0.2">
      <c r="A890" s="75">
        <v>44197</v>
      </c>
      <c r="B890">
        <v>262.23099999999999</v>
      </c>
      <c r="C890">
        <v>210.822</v>
      </c>
      <c r="D890">
        <v>270.21199999999999</v>
      </c>
      <c r="E890">
        <v>270.02499999999998</v>
      </c>
    </row>
    <row r="891" spans="1:5" x14ac:dyDescent="0.2">
      <c r="A891" s="75">
        <v>44228</v>
      </c>
      <c r="B891">
        <v>263.161</v>
      </c>
      <c r="C891">
        <v>218.946</v>
      </c>
      <c r="D891">
        <v>270.60399999999998</v>
      </c>
      <c r="E891">
        <v>270.29899999999998</v>
      </c>
    </row>
    <row r="892" spans="1:5" x14ac:dyDescent="0.2">
      <c r="A892" s="75">
        <v>44256</v>
      </c>
      <c r="B892">
        <v>264.79300000000001</v>
      </c>
      <c r="C892">
        <v>229.886</v>
      </c>
      <c r="D892">
        <v>270.94600000000003</v>
      </c>
      <c r="E892">
        <v>271.214</v>
      </c>
    </row>
    <row r="893" spans="1:5" x14ac:dyDescent="0.2">
      <c r="A893" s="75">
        <v>44287</v>
      </c>
      <c r="B893">
        <v>266.83199999999999</v>
      </c>
      <c r="C893">
        <v>229.65799999999999</v>
      </c>
      <c r="D893">
        <v>271.93299999999999</v>
      </c>
      <c r="E893">
        <v>273.7</v>
      </c>
    </row>
    <row r="894" spans="1:5" x14ac:dyDescent="0.2">
      <c r="A894" s="75">
        <v>44317</v>
      </c>
      <c r="B894">
        <v>268.55099999999999</v>
      </c>
      <c r="C894">
        <v>229.63</v>
      </c>
      <c r="D894">
        <v>273.12200000000001</v>
      </c>
      <c r="E894">
        <v>275.71800000000002</v>
      </c>
    </row>
    <row r="895" spans="1:5" x14ac:dyDescent="0.2">
      <c r="A895" s="75">
        <v>44348</v>
      </c>
      <c r="B895">
        <v>270.98099999999999</v>
      </c>
      <c r="C895">
        <v>232.995</v>
      </c>
      <c r="D895">
        <v>275.18299999999999</v>
      </c>
      <c r="E895">
        <v>278.14</v>
      </c>
    </row>
    <row r="896" spans="1:5" x14ac:dyDescent="0.2">
      <c r="A896" s="75">
        <v>44378</v>
      </c>
      <c r="B896">
        <v>272.26499999999999</v>
      </c>
      <c r="C896">
        <v>236.79599999999999</v>
      </c>
      <c r="D896">
        <v>277.09100000000001</v>
      </c>
      <c r="E896">
        <v>279.05399999999997</v>
      </c>
    </row>
    <row r="897" spans="1:5" x14ac:dyDescent="0.2">
      <c r="A897" s="75">
        <v>44409</v>
      </c>
      <c r="B897">
        <v>273.012</v>
      </c>
      <c r="C897">
        <v>241.47399999999999</v>
      </c>
      <c r="D897">
        <v>278.17700000000002</v>
      </c>
      <c r="E897">
        <v>279.33800000000002</v>
      </c>
    </row>
    <row r="898" spans="1:5" x14ac:dyDescent="0.2">
      <c r="A898" s="75">
        <v>44440</v>
      </c>
      <c r="B898">
        <v>274.13799999999998</v>
      </c>
      <c r="C898">
        <v>244.565</v>
      </c>
      <c r="D898">
        <v>280.608</v>
      </c>
      <c r="E898">
        <v>280.017</v>
      </c>
    </row>
    <row r="899" spans="1:5" x14ac:dyDescent="0.2">
      <c r="A899" s="75">
        <v>44470</v>
      </c>
      <c r="B899">
        <v>276.72399999999999</v>
      </c>
      <c r="C899">
        <v>256.22699999999998</v>
      </c>
      <c r="D899">
        <v>282.952</v>
      </c>
      <c r="E899">
        <v>281.69499999999999</v>
      </c>
    </row>
    <row r="900" spans="1:5" x14ac:dyDescent="0.2">
      <c r="A900" s="75">
        <v>44501</v>
      </c>
      <c r="B900">
        <v>278.88</v>
      </c>
      <c r="C900">
        <v>265.11700000000002</v>
      </c>
      <c r="D900">
        <v>284.83499999999998</v>
      </c>
      <c r="E900">
        <v>283.20100000000002</v>
      </c>
    </row>
    <row r="901" spans="1:5" x14ac:dyDescent="0.2">
      <c r="A901" s="75">
        <v>44531</v>
      </c>
      <c r="B901">
        <v>280.19200000000001</v>
      </c>
      <c r="C901">
        <v>264.08</v>
      </c>
      <c r="D901">
        <v>286.255</v>
      </c>
      <c r="E901">
        <v>284.75900000000001</v>
      </c>
    </row>
    <row r="902" spans="1:5" x14ac:dyDescent="0.2">
      <c r="A902" s="75">
        <v>44562</v>
      </c>
      <c r="B902">
        <v>281.93299999999999</v>
      </c>
      <c r="C902">
        <v>265.92899999999997</v>
      </c>
      <c r="D902">
        <v>288.43599999999998</v>
      </c>
      <c r="E902">
        <v>286.43099999999998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12"/>
  <sheetViews>
    <sheetView zoomScale="130" zoomScaleNormal="130" workbookViewId="0">
      <pane ySplit="1" topLeftCell="A794"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3" width="9.1640625" style="74" customWidth="1"/>
    <col min="14"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82"/>
  <sheetViews>
    <sheetView zoomScale="130" zoomScaleNormal="130" workbookViewId="0">
      <pane ySplit="4" topLeftCell="A883" activePane="bottomLeft" state="frozen"/>
      <selection pane="bottomLeft" activeCell="H905" sqref="H905"/>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2.8620293540562941E-3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3.4973331609298837E-2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243.62</v>
      </c>
      <c r="C845" s="14">
        <f t="shared" si="26"/>
        <v>4.0513194607582686E-3</v>
      </c>
      <c r="D845" s="14">
        <f t="shared" si="25"/>
        <v>2.5112349149176181E-2</v>
      </c>
      <c r="E845" s="15">
        <f>VLOOKUP(Table2[[#This Row],[Date]],'Fed Fund New'!$A:$C,2,FALSE)</f>
        <v>0.75</v>
      </c>
      <c r="F845" s="15">
        <f>VLOOKUP(Table2[[#This Row],[Date]],'Fed Fund New'!$A:$C,3,FALSE)</f>
        <v>0.65</v>
      </c>
    </row>
    <row r="846" spans="1:6" x14ac:dyDescent="0.2">
      <c r="A846" s="61">
        <v>42767</v>
      </c>
      <c r="B846" s="68">
        <f>VLOOKUP(Table2[[#This Row],[Date]],Database!A:E,2,)</f>
        <v>243.87200000000001</v>
      </c>
      <c r="C846" s="14">
        <f t="shared" si="26"/>
        <v>1.0343978326902946E-3</v>
      </c>
      <c r="D846" s="14">
        <f t="shared" si="25"/>
        <v>2.7539016415545896E-2</v>
      </c>
      <c r="E846" s="15">
        <f>VLOOKUP(Table2[[#This Row],[Date]],'Fed Fund New'!$A:$C,2,FALSE)</f>
        <v>0.75</v>
      </c>
      <c r="F846" s="15">
        <f>VLOOKUP(Table2[[#This Row],[Date]],'Fed Fund New'!$A:$C,3,FALSE)</f>
        <v>0.66</v>
      </c>
    </row>
    <row r="847" spans="1:6" x14ac:dyDescent="0.2">
      <c r="A847" s="61">
        <v>42795</v>
      </c>
      <c r="B847" s="68">
        <f>VLOOKUP(Table2[[#This Row],[Date]],Database!A:E,2,)</f>
        <v>243.76599999999999</v>
      </c>
      <c r="C847" s="14">
        <f t="shared" si="26"/>
        <v>-4.3465424484985142E-4</v>
      </c>
      <c r="D847" s="14">
        <f t="shared" si="25"/>
        <v>2.3882728494623563E-2</v>
      </c>
      <c r="E847" s="15">
        <f>VLOOKUP(Table2[[#This Row],[Date]],'Fed Fund New'!$A:$C,2,FALSE)</f>
        <v>1</v>
      </c>
      <c r="F847" s="15">
        <f>VLOOKUP(Table2[[#This Row],[Date]],'Fed Fund New'!$A:$C,3,FALSE)</f>
        <v>0.79</v>
      </c>
    </row>
    <row r="848" spans="1:6" x14ac:dyDescent="0.2">
      <c r="A848" s="61">
        <v>42826</v>
      </c>
      <c r="B848" s="68">
        <f>VLOOKUP(Table2[[#This Row],[Date]],Database!A:E,2,)</f>
        <v>244.274</v>
      </c>
      <c r="C848" s="14">
        <f t="shared" si="26"/>
        <v>2.0839657704520309E-3</v>
      </c>
      <c r="D848" s="14">
        <f t="shared" si="25"/>
        <v>2.2101158197763988E-2</v>
      </c>
      <c r="E848" s="15">
        <f>VLOOKUP(Table2[[#This Row],[Date]],'Fed Fund New'!$A:$C,2,FALSE)</f>
        <v>1</v>
      </c>
      <c r="F848" s="15">
        <f>VLOOKUP(Table2[[#This Row],[Date]],'Fed Fund New'!$A:$C,3,FALSE)</f>
        <v>0.9</v>
      </c>
    </row>
    <row r="849" spans="1:6" x14ac:dyDescent="0.2">
      <c r="A849" s="61">
        <v>42856</v>
      </c>
      <c r="B849" s="68">
        <f>VLOOKUP(Table2[[#This Row],[Date]],Database!A:E,2,)</f>
        <v>244.06899999999999</v>
      </c>
      <c r="C849" s="14">
        <f t="shared" si="26"/>
        <v>-8.3922152992136907E-4</v>
      </c>
      <c r="D849" s="14">
        <f t="shared" ref="D849:D912" si="27">(B849-B837)/B837</f>
        <v>1.8834765838610438E-2</v>
      </c>
      <c r="E849" s="15">
        <f>VLOOKUP(Table2[[#This Row],[Date]],'Fed Fund New'!$A:$C,2,FALSE)</f>
        <v>1</v>
      </c>
      <c r="F849" s="15">
        <f>VLOOKUP(Table2[[#This Row],[Date]],'Fed Fund New'!$A:$C,3,FALSE)</f>
        <v>0.91</v>
      </c>
    </row>
    <row r="850" spans="1:6" x14ac:dyDescent="0.2">
      <c r="A850" s="61">
        <v>42887</v>
      </c>
      <c r="B850" s="68">
        <f>VLOOKUP(Table2[[#This Row],[Date]],Database!A:E,2,)</f>
        <v>244.21799999999999</v>
      </c>
      <c r="C850" s="14">
        <f t="shared" si="26"/>
        <v>6.1048310109026917E-4</v>
      </c>
      <c r="D850" s="14">
        <f t="shared" si="27"/>
        <v>1.6634612982990654E-2</v>
      </c>
      <c r="E850" s="15">
        <f>VLOOKUP(Table2[[#This Row],[Date]],'Fed Fund New'!$A:$C,2,FALSE)</f>
        <v>1.25</v>
      </c>
      <c r="F850" s="15">
        <f>VLOOKUP(Table2[[#This Row],[Date]],'Fed Fund New'!$A:$C,3,FALSE)</f>
        <v>1.04</v>
      </c>
    </row>
    <row r="851" spans="1:6" x14ac:dyDescent="0.2">
      <c r="A851" s="61">
        <v>42917</v>
      </c>
      <c r="B851" s="68">
        <f>VLOOKUP(Table2[[#This Row],[Date]],Database!A:E,2,)</f>
        <v>244.28</v>
      </c>
      <c r="C851" s="14">
        <f t="shared" si="26"/>
        <v>2.5387154100030231E-4</v>
      </c>
      <c r="D851" s="14">
        <f t="shared" si="27"/>
        <v>1.7405175322051977E-2</v>
      </c>
      <c r="E851" s="15">
        <f>VLOOKUP(Table2[[#This Row],[Date]],'Fed Fund New'!$A:$C,2,FALSE)</f>
        <v>1.25</v>
      </c>
      <c r="F851" s="15">
        <f>VLOOKUP(Table2[[#This Row],[Date]],'Fed Fund New'!$A:$C,3,FALSE)</f>
        <v>1.1499999999999999</v>
      </c>
    </row>
    <row r="852" spans="1:6" x14ac:dyDescent="0.2">
      <c r="A852" s="61">
        <v>42948</v>
      </c>
      <c r="B852" s="68">
        <f>VLOOKUP(Table2[[#This Row],[Date]],Database!A:E,2,)</f>
        <v>245.20500000000001</v>
      </c>
      <c r="C852" s="14">
        <f t="shared" si="26"/>
        <v>3.7866382839365129E-3</v>
      </c>
      <c r="D852" s="14">
        <f t="shared" si="27"/>
        <v>1.9372674551539317E-2</v>
      </c>
      <c r="E852" s="15">
        <f>VLOOKUP(Table2[[#This Row],[Date]],'Fed Fund New'!$A:$C,2,FALSE)</f>
        <v>1.25</v>
      </c>
      <c r="F852" s="15">
        <f>VLOOKUP(Table2[[#This Row],[Date]],'Fed Fund New'!$A:$C,3,FALSE)</f>
        <v>1.1599999999999999</v>
      </c>
    </row>
    <row r="853" spans="1:6" x14ac:dyDescent="0.2">
      <c r="A853" s="61">
        <v>42979</v>
      </c>
      <c r="B853" s="68">
        <f>VLOOKUP(Table2[[#This Row],[Date]],Database!A:E,2,)</f>
        <v>246.55099999999999</v>
      </c>
      <c r="C853" s="14">
        <f t="shared" si="26"/>
        <v>5.4892844762544609E-3</v>
      </c>
      <c r="D853" s="14">
        <f t="shared" si="27"/>
        <v>2.2286628851958735E-2</v>
      </c>
      <c r="E853" s="15">
        <f>VLOOKUP(Table2[[#This Row],[Date]],'Fed Fund New'!$A:$C,2,FALSE)</f>
        <v>1.25</v>
      </c>
      <c r="F853" s="15">
        <f>VLOOKUP(Table2[[#This Row],[Date]],'Fed Fund New'!$A:$C,3,FALSE)</f>
        <v>1.1499999999999999</v>
      </c>
    </row>
    <row r="854" spans="1:6" x14ac:dyDescent="0.2">
      <c r="A854" s="61">
        <v>43009</v>
      </c>
      <c r="B854" s="68">
        <f>VLOOKUP(Table2[[#This Row],[Date]],Database!A:E,2,)</f>
        <v>246.65700000000001</v>
      </c>
      <c r="C854" s="14">
        <f t="shared" si="26"/>
        <v>4.2993133266554576E-4</v>
      </c>
      <c r="D854" s="14">
        <f t="shared" si="27"/>
        <v>2.0335813949640302E-2</v>
      </c>
      <c r="E854" s="15">
        <f>VLOOKUP(Table2[[#This Row],[Date]],'Fed Fund New'!$A:$C,2,FALSE)</f>
        <v>1.25</v>
      </c>
      <c r="F854" s="15">
        <f>VLOOKUP(Table2[[#This Row],[Date]],'Fed Fund New'!$A:$C,3,FALSE)</f>
        <v>1.1499999999999999</v>
      </c>
    </row>
    <row r="855" spans="1:6" x14ac:dyDescent="0.2">
      <c r="A855" s="61">
        <v>43040</v>
      </c>
      <c r="B855" s="68">
        <f>VLOOKUP(Table2[[#This Row],[Date]],Database!A:E,2,)</f>
        <v>247.37799999999999</v>
      </c>
      <c r="C855" s="14">
        <f t="shared" si="26"/>
        <v>2.9230875264029611E-3</v>
      </c>
      <c r="D855" s="14">
        <f t="shared" si="27"/>
        <v>2.2113326667382742E-2</v>
      </c>
      <c r="E855" s="15">
        <f>VLOOKUP(Table2[[#This Row],[Date]],'Fed Fund New'!$A:$C,2,FALSE)</f>
        <v>1.25</v>
      </c>
      <c r="F855" s="15">
        <f>VLOOKUP(Table2[[#This Row],[Date]],'Fed Fund New'!$A:$C,3,FALSE)</f>
        <v>1.1599999999999999</v>
      </c>
    </row>
    <row r="856" spans="1:6" x14ac:dyDescent="0.2">
      <c r="A856" s="61">
        <v>43070</v>
      </c>
      <c r="B856" s="68">
        <f>VLOOKUP(Table2[[#This Row],[Date]],Database!A:E,2,)</f>
        <v>247.73599999999999</v>
      </c>
      <c r="C856" s="14">
        <f t="shared" si="26"/>
        <v>1.4471780028943726E-3</v>
      </c>
      <c r="D856" s="14">
        <f t="shared" si="27"/>
        <v>2.1014931770504869E-2</v>
      </c>
      <c r="E856" s="15">
        <f>VLOOKUP(Table2[[#This Row],[Date]],'Fed Fund New'!$A:$C,2,FALSE)</f>
        <v>1.5</v>
      </c>
      <c r="F856" s="15">
        <f>VLOOKUP(Table2[[#This Row],[Date]],'Fed Fund New'!$A:$C,3,FALSE)</f>
        <v>1.3</v>
      </c>
    </row>
    <row r="857" spans="1:6" x14ac:dyDescent="0.2">
      <c r="A857" s="61">
        <v>43101</v>
      </c>
      <c r="B857" s="68">
        <f>VLOOKUP(Table2[[#This Row],[Date]],Database!A:E,2,)</f>
        <v>248.721</v>
      </c>
      <c r="C857" s="14">
        <f t="shared" si="26"/>
        <v>3.9760067168276457E-3</v>
      </c>
      <c r="D857" s="14">
        <f t="shared" si="27"/>
        <v>2.0938346605369012E-2</v>
      </c>
      <c r="E857" s="15">
        <f>VLOOKUP(Table2[[#This Row],[Date]],'Fed Fund New'!$A:$C,2,FALSE)</f>
        <v>1.5</v>
      </c>
      <c r="F857" s="15">
        <f>VLOOKUP(Table2[[#This Row],[Date]],'Fed Fund New'!$A:$C,3,FALSE)</f>
        <v>1.41</v>
      </c>
    </row>
    <row r="858" spans="1:6" x14ac:dyDescent="0.2">
      <c r="A858" s="61">
        <v>43132</v>
      </c>
      <c r="B858" s="68">
        <f>VLOOKUP(Table2[[#This Row],[Date]],Database!A:E,2,)</f>
        <v>249.3</v>
      </c>
      <c r="C858" s="14">
        <f t="shared" si="26"/>
        <v>2.3279095854391377E-3</v>
      </c>
      <c r="D858" s="14">
        <f t="shared" si="27"/>
        <v>2.225757774570265E-2</v>
      </c>
      <c r="E858" s="15">
        <f>VLOOKUP(Table2[[#This Row],[Date]],'Fed Fund New'!$A:$C,2,FALSE)</f>
        <v>1.5</v>
      </c>
      <c r="F858" s="15">
        <f>VLOOKUP(Table2[[#This Row],[Date]],'Fed Fund New'!$A:$C,3,FALSE)</f>
        <v>1.42</v>
      </c>
    </row>
    <row r="859" spans="1:6" x14ac:dyDescent="0.2">
      <c r="A859" s="61">
        <v>43160</v>
      </c>
      <c r="B859" s="68">
        <f>VLOOKUP(Table2[[#This Row],[Date]],Database!A:E,2,)</f>
        <v>249.517</v>
      </c>
      <c r="C859" s="14">
        <f t="shared" si="26"/>
        <v>8.7043722422777583E-4</v>
      </c>
      <c r="D859" s="14">
        <f t="shared" si="27"/>
        <v>2.3592297531238995E-2</v>
      </c>
      <c r="E859" s="15">
        <f>VLOOKUP(Table2[[#This Row],[Date]],'Fed Fund New'!$A:$C,2,FALSE)</f>
        <v>1.75</v>
      </c>
      <c r="F859" s="15">
        <f>VLOOKUP(Table2[[#This Row],[Date]],'Fed Fund New'!$A:$C,3,FALSE)</f>
        <v>1.51</v>
      </c>
    </row>
    <row r="860" spans="1:6" x14ac:dyDescent="0.2">
      <c r="A860" s="61">
        <v>43191</v>
      </c>
      <c r="B860" s="68">
        <f>VLOOKUP(Table2[[#This Row],[Date]],Database!A:E,2,)</f>
        <v>250.27500000000001</v>
      </c>
      <c r="C860" s="14">
        <f t="shared" si="26"/>
        <v>3.0378691632233865E-3</v>
      </c>
      <c r="D860" s="14">
        <f t="shared" si="27"/>
        <v>2.4566675127111377E-2</v>
      </c>
      <c r="E860" s="15">
        <f>VLOOKUP(Table2[[#This Row],[Date]],'Fed Fund New'!$A:$C,2,FALSE)</f>
        <v>1.75</v>
      </c>
      <c r="F860" s="15">
        <f>VLOOKUP(Table2[[#This Row],[Date]],'Fed Fund New'!$A:$C,3,FALSE)</f>
        <v>1.69</v>
      </c>
    </row>
    <row r="861" spans="1:6" x14ac:dyDescent="0.2">
      <c r="A861" s="61">
        <v>43221</v>
      </c>
      <c r="B861" s="68">
        <f>VLOOKUP(Table2[[#This Row],[Date]],Database!A:E,2,)</f>
        <v>250.786</v>
      </c>
      <c r="C861" s="14">
        <f t="shared" si="26"/>
        <v>2.041754070522408E-3</v>
      </c>
      <c r="D861" s="14">
        <f t="shared" si="27"/>
        <v>2.7520905973310882E-2</v>
      </c>
      <c r="E861" s="15">
        <f>VLOOKUP(Table2[[#This Row],[Date]],'Fed Fund New'!$A:$C,2,FALSE)</f>
        <v>1.75</v>
      </c>
      <c r="F861" s="15">
        <f>VLOOKUP(Table2[[#This Row],[Date]],'Fed Fund New'!$A:$C,3,FALSE)</f>
        <v>1.7</v>
      </c>
    </row>
    <row r="862" spans="1:6" x14ac:dyDescent="0.2">
      <c r="A862" s="61">
        <v>43252</v>
      </c>
      <c r="B862" s="68">
        <f>VLOOKUP(Table2[[#This Row],[Date]],Database!A:E,2,)</f>
        <v>251.15199999999999</v>
      </c>
      <c r="C862" s="14">
        <f t="shared" si="26"/>
        <v>1.4594116098984211E-3</v>
      </c>
      <c r="D862" s="14">
        <f t="shared" si="27"/>
        <v>2.8392665569286449E-2</v>
      </c>
      <c r="E862" s="15">
        <f>VLOOKUP(Table2[[#This Row],[Date]],'Fed Fund New'!$A:$C,2,FALSE)</f>
        <v>2</v>
      </c>
      <c r="F862" s="15">
        <f>VLOOKUP(Table2[[#This Row],[Date]],'Fed Fund New'!$A:$C,3,FALSE)</f>
        <v>1.82</v>
      </c>
    </row>
    <row r="863" spans="1:6" x14ac:dyDescent="0.2">
      <c r="A863" s="61">
        <v>43282</v>
      </c>
      <c r="B863" s="68">
        <f>VLOOKUP(Table2[[#This Row],[Date]],Database!A:E,2,)</f>
        <v>251.345</v>
      </c>
      <c r="C863" s="14">
        <f t="shared" si="26"/>
        <v>7.6845894119900325E-4</v>
      </c>
      <c r="D863" s="14">
        <f t="shared" si="27"/>
        <v>2.8921729163255271E-2</v>
      </c>
      <c r="E863" s="15">
        <f>VLOOKUP(Table2[[#This Row],[Date]],'Fed Fund New'!$A:$C,2,FALSE)</f>
        <v>2</v>
      </c>
      <c r="F863" s="15">
        <f>VLOOKUP(Table2[[#This Row],[Date]],'Fed Fund New'!$A:$C,3,FALSE)</f>
        <v>1.91</v>
      </c>
    </row>
    <row r="864" spans="1:6" x14ac:dyDescent="0.2">
      <c r="A864" s="61">
        <v>43313</v>
      </c>
      <c r="B864" s="68">
        <f>VLOOKUP(Table2[[#This Row],[Date]],Database!A:E,2,)</f>
        <v>251.73500000000001</v>
      </c>
      <c r="C864" s="14">
        <f t="shared" si="26"/>
        <v>1.5516521116394389E-3</v>
      </c>
      <c r="D864" s="14">
        <f t="shared" si="27"/>
        <v>2.6630778328337518E-2</v>
      </c>
      <c r="E864" s="15">
        <f>VLOOKUP(Table2[[#This Row],[Date]],'Fed Fund New'!$A:$C,2,FALSE)</f>
        <v>2</v>
      </c>
      <c r="F864" s="15">
        <f>VLOOKUP(Table2[[#This Row],[Date]],'Fed Fund New'!$A:$C,3,FALSE)</f>
        <v>1.91</v>
      </c>
    </row>
    <row r="865" spans="1:6" x14ac:dyDescent="0.2">
      <c r="A865" s="61">
        <v>43344</v>
      </c>
      <c r="B865" s="68">
        <f>VLOOKUP(Table2[[#This Row],[Date]],Database!A:E,2,)</f>
        <v>252.18299999999999</v>
      </c>
      <c r="C865" s="14">
        <f t="shared" si="26"/>
        <v>1.7796492343137786E-3</v>
      </c>
      <c r="D865" s="14">
        <f t="shared" si="27"/>
        <v>2.2843144014828596E-2</v>
      </c>
      <c r="E865" s="15">
        <f>VLOOKUP(Table2[[#This Row],[Date]],'Fed Fund New'!$A:$C,2,FALSE)</f>
        <v>2.25</v>
      </c>
      <c r="F865" s="15">
        <f>VLOOKUP(Table2[[#This Row],[Date]],'Fed Fund New'!$A:$C,3,FALSE)</f>
        <v>1.95</v>
      </c>
    </row>
    <row r="866" spans="1:6" x14ac:dyDescent="0.2">
      <c r="A866" s="61">
        <v>43374</v>
      </c>
      <c r="B866" s="68">
        <f>VLOOKUP(Table2[[#This Row],[Date]],Database!A:E,2,)</f>
        <v>252.899</v>
      </c>
      <c r="C866" s="14">
        <f t="shared" si="26"/>
        <v>2.8392080354346177E-3</v>
      </c>
      <c r="D866" s="14">
        <f t="shared" si="27"/>
        <v>2.5306397142590684E-2</v>
      </c>
      <c r="E866" s="15">
        <f>VLOOKUP(Table2[[#This Row],[Date]],'Fed Fund New'!$A:$C,2,FALSE)</f>
        <v>2.25</v>
      </c>
      <c r="F866" s="15">
        <f>VLOOKUP(Table2[[#This Row],[Date]],'Fed Fund New'!$A:$C,3,FALSE)</f>
        <v>2.19</v>
      </c>
    </row>
    <row r="867" spans="1:6" x14ac:dyDescent="0.2">
      <c r="A867" s="61">
        <v>43405</v>
      </c>
      <c r="B867" s="68">
        <f>VLOOKUP(Table2[[#This Row],[Date]],Database!A:E,2,)</f>
        <v>252.822</v>
      </c>
      <c r="C867" s="14">
        <f t="shared" si="26"/>
        <v>-3.044693731489574E-4</v>
      </c>
      <c r="D867" s="14">
        <f t="shared" si="27"/>
        <v>2.200680739596899E-2</v>
      </c>
      <c r="E867" s="15">
        <f>VLOOKUP(Table2[[#This Row],[Date]],'Fed Fund New'!$A:$C,2,FALSE)</f>
        <v>2.25</v>
      </c>
      <c r="F867" s="15">
        <f>VLOOKUP(Table2[[#This Row],[Date]],'Fed Fund New'!$A:$C,3,FALSE)</f>
        <v>2.2000000000000002</v>
      </c>
    </row>
    <row r="868" spans="1:6" x14ac:dyDescent="0.2">
      <c r="A868" s="61">
        <v>43435</v>
      </c>
      <c r="B868" s="68">
        <f>VLOOKUP(Table2[[#This Row],[Date]],Database!A:E,2,)</f>
        <v>252.49299999999999</v>
      </c>
      <c r="C868" s="14">
        <f t="shared" si="26"/>
        <v>-1.3013108036484472E-3</v>
      </c>
      <c r="D868" s="14">
        <f t="shared" si="27"/>
        <v>1.920189233700393E-2</v>
      </c>
      <c r="E868" s="15">
        <f>VLOOKUP(Table2[[#This Row],[Date]],'Fed Fund New'!$A:$C,2,FALSE)</f>
        <v>2.5</v>
      </c>
      <c r="F868" s="15">
        <f>VLOOKUP(Table2[[#This Row],[Date]],'Fed Fund New'!$A:$C,3,FALSE)</f>
        <v>2.27</v>
      </c>
    </row>
    <row r="869" spans="1:6" x14ac:dyDescent="0.2">
      <c r="A869" s="61">
        <v>43466</v>
      </c>
      <c r="B869" s="68">
        <f>VLOOKUP(Table2[[#This Row],[Date]],Database!A:E,2,)</f>
        <v>252.441</v>
      </c>
      <c r="C869" s="14">
        <f t="shared" si="26"/>
        <v>-2.0594630346184843E-4</v>
      </c>
      <c r="D869" s="14">
        <f t="shared" si="27"/>
        <v>1.495651754375384E-2</v>
      </c>
      <c r="E869" s="15">
        <f>VLOOKUP(Table2[[#This Row],[Date]],'Fed Fund New'!$A:$C,2,FALSE)</f>
        <v>2.5</v>
      </c>
      <c r="F869" s="15">
        <f>VLOOKUP(Table2[[#This Row],[Date]],'Fed Fund New'!$A:$C,3,FALSE)</f>
        <v>2.4</v>
      </c>
    </row>
    <row r="870" spans="1:6" x14ac:dyDescent="0.2">
      <c r="A870" s="61">
        <v>43497</v>
      </c>
      <c r="B870" s="68">
        <f>VLOOKUP(Table2[[#This Row],[Date]],Database!A:E,2,)</f>
        <v>252.96899999999999</v>
      </c>
      <c r="C870" s="14">
        <f t="shared" si="26"/>
        <v>2.0915778340285119E-3</v>
      </c>
      <c r="D870" s="14">
        <f t="shared" si="27"/>
        <v>1.4717208182912084E-2</v>
      </c>
      <c r="E870" s="15">
        <f>VLOOKUP(Table2[[#This Row],[Date]],'Fed Fund New'!$A:$C,2,FALSE)</f>
        <v>2.5</v>
      </c>
      <c r="F870" s="15">
        <f>VLOOKUP(Table2[[#This Row],[Date]],'Fed Fund New'!$A:$C,3,FALSE)</f>
        <v>2.4</v>
      </c>
    </row>
    <row r="871" spans="1:6" x14ac:dyDescent="0.2">
      <c r="A871" s="61">
        <v>43525</v>
      </c>
      <c r="B871" s="68">
        <f>VLOOKUP(Table2[[#This Row],[Date]],Database!A:E,2,)</f>
        <v>254.14699999999999</v>
      </c>
      <c r="C871" s="14">
        <f t="shared" si="26"/>
        <v>4.6566970656483492E-3</v>
      </c>
      <c r="D871" s="14">
        <f t="shared" si="27"/>
        <v>1.8555849902010667E-2</v>
      </c>
      <c r="E871" s="15">
        <f>VLOOKUP(Table2[[#This Row],[Date]],'Fed Fund New'!$A:$C,2,FALSE)</f>
        <v>2.5</v>
      </c>
      <c r="F871" s="15">
        <f>VLOOKUP(Table2[[#This Row],[Date]],'Fed Fund New'!$A:$C,3,FALSE)</f>
        <v>2.41</v>
      </c>
    </row>
    <row r="872" spans="1:6" x14ac:dyDescent="0.2">
      <c r="A872" s="61">
        <v>43556</v>
      </c>
      <c r="B872" s="68">
        <f>VLOOKUP(Table2[[#This Row],[Date]],Database!A:E,2,)</f>
        <v>255.32599999999999</v>
      </c>
      <c r="C872" s="14">
        <f t="shared" si="26"/>
        <v>4.6390474803952126E-3</v>
      </c>
      <c r="D872" s="14">
        <f t="shared" si="27"/>
        <v>2.0181800019977974E-2</v>
      </c>
      <c r="E872" s="15">
        <f>VLOOKUP(Table2[[#This Row],[Date]],'Fed Fund New'!$A:$C,2,FALSE)</f>
        <v>2.5</v>
      </c>
      <c r="F872" s="15">
        <f>VLOOKUP(Table2[[#This Row],[Date]],'Fed Fund New'!$A:$C,3,FALSE)</f>
        <v>2.42</v>
      </c>
    </row>
    <row r="873" spans="1:6" x14ac:dyDescent="0.2">
      <c r="A873" s="61">
        <v>43586</v>
      </c>
      <c r="B873" s="68">
        <f>VLOOKUP(Table2[[#This Row],[Date]],Database!A:E,2,)</f>
        <v>255.37100000000001</v>
      </c>
      <c r="C873" s="14">
        <f t="shared" si="26"/>
        <v>1.7624527075196382E-4</v>
      </c>
      <c r="D873" s="14">
        <f t="shared" si="27"/>
        <v>1.8282519757881251E-2</v>
      </c>
      <c r="E873" s="15">
        <f>VLOOKUP(Table2[[#This Row],[Date]],'Fed Fund New'!$A:$C,2,FALSE)</f>
        <v>2.5</v>
      </c>
      <c r="F873" s="15">
        <f>VLOOKUP(Table2[[#This Row],[Date]],'Fed Fund New'!$A:$C,3,FALSE)</f>
        <v>2.39</v>
      </c>
    </row>
    <row r="874" spans="1:6" s="74" customFormat="1" x14ac:dyDescent="0.2">
      <c r="A874" s="61">
        <v>43617</v>
      </c>
      <c r="B874" s="68">
        <f>VLOOKUP(Table2[[#This Row],[Date]],Database!A:E,2,)</f>
        <v>255.423</v>
      </c>
      <c r="C874" s="14">
        <f t="shared" si="26"/>
        <v>2.0362531375916801E-4</v>
      </c>
      <c r="D874" s="14">
        <f t="shared" si="27"/>
        <v>1.7005638020003884E-2</v>
      </c>
      <c r="E874" s="15">
        <f>VLOOKUP(Table2[[#This Row],[Date]],'Fed Fund New'!$A:$C,2,FALSE)</f>
        <v>2.5</v>
      </c>
      <c r="F874" s="15">
        <f>VLOOKUP(Table2[[#This Row],[Date]],'Fed Fund New'!$A:$C,3,FALSE)</f>
        <v>2.38</v>
      </c>
    </row>
    <row r="875" spans="1:6" s="74" customFormat="1" x14ac:dyDescent="0.2">
      <c r="A875" s="61">
        <v>43647</v>
      </c>
      <c r="B875" s="68">
        <f>VLOOKUP(Table2[[#This Row],[Date]],Database!A:E,2,)</f>
        <v>255.92500000000001</v>
      </c>
      <c r="C875" s="14">
        <f t="shared" si="26"/>
        <v>1.9653672535363282E-3</v>
      </c>
      <c r="D875" s="14">
        <f t="shared" si="27"/>
        <v>1.822196582386764E-2</v>
      </c>
      <c r="E875" s="15">
        <f>VLOOKUP(Table2[[#This Row],[Date]],'Fed Fund New'!$A:$C,2,FALSE)</f>
        <v>2.5</v>
      </c>
      <c r="F875" s="15">
        <f>VLOOKUP(Table2[[#This Row],[Date]],'Fed Fund New'!$A:$C,3,FALSE)</f>
        <v>2.4</v>
      </c>
    </row>
    <row r="876" spans="1:6" s="74" customFormat="1" x14ac:dyDescent="0.2">
      <c r="A876" s="61">
        <v>43678</v>
      </c>
      <c r="B876" s="68">
        <f>VLOOKUP(Table2[[#This Row],[Date]],Database!A:E,2,)</f>
        <v>256.11799999999999</v>
      </c>
      <c r="C876" s="14">
        <f t="shared" si="26"/>
        <v>7.5412718569887126E-4</v>
      </c>
      <c r="D876" s="14">
        <f t="shared" si="27"/>
        <v>1.741116650445898E-2</v>
      </c>
      <c r="E876" s="15">
        <f>VLOOKUP(Table2[[#This Row],[Date]],'Fed Fund New'!$A:$C,2,FALSE)</f>
        <v>2.25</v>
      </c>
      <c r="F876" s="15">
        <f>VLOOKUP(Table2[[#This Row],[Date]],'Fed Fund New'!$A:$C,3,FALSE)</f>
        <v>2.13</v>
      </c>
    </row>
    <row r="877" spans="1:6" s="74" customFormat="1" x14ac:dyDescent="0.2">
      <c r="A877" s="61">
        <v>43709</v>
      </c>
      <c r="B877" s="68">
        <f>VLOOKUP(Table2[[#This Row],[Date]],Database!A:E,2,)</f>
        <v>256.53199999999998</v>
      </c>
      <c r="C877" s="14">
        <f t="shared" si="26"/>
        <v>1.6164424210714876E-3</v>
      </c>
      <c r="D877" s="14">
        <f t="shared" si="27"/>
        <v>1.724541305321925E-2</v>
      </c>
      <c r="E877" s="15">
        <f>VLOOKUP(Table2[[#This Row],[Date]],'Fed Fund New'!$A:$C,2,FALSE)</f>
        <v>2</v>
      </c>
      <c r="F877" s="15">
        <f>VLOOKUP(Table2[[#This Row],[Date]],'Fed Fund New'!$A:$C,3,FALSE)</f>
        <v>2.04</v>
      </c>
    </row>
    <row r="878" spans="1:6" s="74" customFormat="1" x14ac:dyDescent="0.2">
      <c r="A878" s="61">
        <v>43739</v>
      </c>
      <c r="B878" s="68">
        <f>VLOOKUP(Table2[[#This Row],[Date]],Database!A:E,2,)</f>
        <v>257.387</v>
      </c>
      <c r="C878" s="14">
        <f t="shared" si="26"/>
        <v>3.3329175307564682E-3</v>
      </c>
      <c r="D878" s="14">
        <f t="shared" si="27"/>
        <v>1.7746214892111079E-2</v>
      </c>
      <c r="E878" s="15">
        <f>VLOOKUP(Table2[[#This Row],[Date]],'Fed Fund New'!$A:$C,2,FALSE)</f>
        <v>1.75</v>
      </c>
      <c r="F878" s="15">
        <f>VLOOKUP(Table2[[#This Row],[Date]],'Fed Fund New'!$A:$C,3,FALSE)</f>
        <v>1.83</v>
      </c>
    </row>
    <row r="879" spans="1:6" s="74" customFormat="1" x14ac:dyDescent="0.2">
      <c r="A879" s="61">
        <v>43770</v>
      </c>
      <c r="B879" s="68">
        <f>VLOOKUP(Table2[[#This Row],[Date]],Database!A:E,2,)</f>
        <v>257.98899999999998</v>
      </c>
      <c r="C879" s="14">
        <f t="shared" si="26"/>
        <v>2.3388904645532814E-3</v>
      </c>
      <c r="D879" s="14">
        <f t="shared" si="27"/>
        <v>2.0437303715657551E-2</v>
      </c>
      <c r="E879" s="15">
        <f>VLOOKUP(Table2[[#This Row],[Date]],'Fed Fund New'!$A:$C,2,FALSE)</f>
        <v>1.75</v>
      </c>
      <c r="F879" s="15">
        <f>VLOOKUP(Table2[[#This Row],[Date]],'Fed Fund New'!$A:$C,3,FALSE)</f>
        <v>1.55</v>
      </c>
    </row>
    <row r="880" spans="1:6" s="74" customFormat="1" x14ac:dyDescent="0.2">
      <c r="A880" s="61">
        <v>43800</v>
      </c>
      <c r="B880" s="68">
        <f>VLOOKUP(Table2[[#This Row],[Date]],Database!A:E,2,)</f>
        <v>258.20299999999997</v>
      </c>
      <c r="C880" s="14">
        <f t="shared" si="26"/>
        <v>8.2949273031020178E-4</v>
      </c>
      <c r="D880" s="14">
        <f t="shared" si="27"/>
        <v>2.2614488322448462E-2</v>
      </c>
      <c r="E880" s="15">
        <f>VLOOKUP(Table2[[#This Row],[Date]],'Fed Fund New'!$A:$C,2,FALSE)</f>
        <v>1.75</v>
      </c>
      <c r="F880" s="15">
        <f>VLOOKUP(Table2[[#This Row],[Date]],'Fed Fund New'!$A:$C,3,FALSE)</f>
        <v>1.55</v>
      </c>
    </row>
    <row r="881" spans="1:6" s="74" customFormat="1" x14ac:dyDescent="0.2">
      <c r="A881" s="61">
        <v>43831</v>
      </c>
      <c r="B881" s="68">
        <f>VLOOKUP(Table2[[#This Row],[Date]],Database!A:E,2,)</f>
        <v>258.68700000000001</v>
      </c>
      <c r="C881" s="14">
        <f t="shared" si="26"/>
        <v>1.8744940996039447E-3</v>
      </c>
      <c r="D881" s="14">
        <f t="shared" si="27"/>
        <v>2.474241505936044E-2</v>
      </c>
      <c r="E881" s="15">
        <f>VLOOKUP(Table2[[#This Row],[Date]],'Fed Fund New'!$A:$C,2,FALSE)</f>
        <v>1.75</v>
      </c>
      <c r="F881" s="15">
        <f>VLOOKUP(Table2[[#This Row],[Date]],'Fed Fund New'!$A:$C,3,FALSE)</f>
        <v>1.55</v>
      </c>
    </row>
    <row r="882" spans="1:6" s="74" customFormat="1" x14ac:dyDescent="0.2">
      <c r="A882" s="61">
        <v>43862</v>
      </c>
      <c r="B882" s="68">
        <f>VLOOKUP(Table2[[#This Row],[Date]],Database!A:E,2,)</f>
        <v>258.82400000000001</v>
      </c>
      <c r="C882" s="14">
        <f t="shared" si="26"/>
        <v>5.2959754452291941E-4</v>
      </c>
      <c r="D882" s="14">
        <f t="shared" si="27"/>
        <v>2.3145128454474733E-2</v>
      </c>
      <c r="E882" s="15">
        <f>VLOOKUP(Table2[[#This Row],[Date]],'Fed Fund New'!$A:$C,2,FALSE)</f>
        <v>1.75</v>
      </c>
      <c r="F882" s="15">
        <f>VLOOKUP(Table2[[#This Row],[Date]],'Fed Fund New'!$A:$C,3,FALSE)</f>
        <v>1.58</v>
      </c>
    </row>
    <row r="883" spans="1:6" s="74" customFormat="1" x14ac:dyDescent="0.2">
      <c r="A883" s="61">
        <v>43891</v>
      </c>
      <c r="B883" s="68">
        <f>VLOOKUP(Table2[[#This Row],[Date]],Database!A:E,2,)</f>
        <v>257.98899999999998</v>
      </c>
      <c r="C883" s="14">
        <f t="shared" si="26"/>
        <v>-3.2261304979446896E-3</v>
      </c>
      <c r="D883" s="14">
        <f t="shared" si="27"/>
        <v>1.5117235300829774E-2</v>
      </c>
      <c r="E883" s="15">
        <f>VLOOKUP(Table2[[#This Row],[Date]],'Fed Fund New'!$A:$C,2,FALSE)</f>
        <v>0.25</v>
      </c>
      <c r="F883" s="15">
        <f>VLOOKUP(Table2[[#This Row],[Date]],'Fed Fund New'!$A:$C,3,FALSE)</f>
        <v>0.65</v>
      </c>
    </row>
    <row r="884" spans="1:6" s="74" customFormat="1" x14ac:dyDescent="0.2">
      <c r="A884" s="61">
        <v>43922</v>
      </c>
      <c r="B884" s="68">
        <f>VLOOKUP(Table2[[#This Row],[Date]],Database!A:E,2,)</f>
        <v>256.19200000000001</v>
      </c>
      <c r="C884" s="14">
        <f t="shared" si="26"/>
        <v>-6.9654132540533462E-3</v>
      </c>
      <c r="D884" s="14">
        <f t="shared" si="27"/>
        <v>3.3917423215810922E-3</v>
      </c>
      <c r="E884" s="15">
        <f>VLOOKUP(Table2[[#This Row],[Date]],'Fed Fund New'!$A:$C,2,FALSE)</f>
        <v>0.25</v>
      </c>
      <c r="F884" s="15">
        <f>VLOOKUP(Table2[[#This Row],[Date]],'Fed Fund New'!$A:$C,3,FALSE)</f>
        <v>0.05</v>
      </c>
    </row>
    <row r="885" spans="1:6" s="74" customFormat="1" x14ac:dyDescent="0.2">
      <c r="A885" s="61">
        <v>43952</v>
      </c>
      <c r="B885" s="68">
        <f>VLOOKUP(Table2[[#This Row],[Date]],Database!A:E,2,)</f>
        <v>255.94200000000001</v>
      </c>
      <c r="C885" s="14">
        <f t="shared" si="26"/>
        <v>-9.7583062702972763E-4</v>
      </c>
      <c r="D885" s="14">
        <f t="shared" si="27"/>
        <v>2.2359625799327171E-3</v>
      </c>
      <c r="E885" s="15">
        <f>VLOOKUP(Table2[[#This Row],[Date]],'Fed Fund New'!$A:$C,2,FALSE)</f>
        <v>0.25</v>
      </c>
      <c r="F885" s="15">
        <f>VLOOKUP(Table2[[#This Row],[Date]],'Fed Fund New'!$A:$C,3,FALSE)</f>
        <v>0.05</v>
      </c>
    </row>
    <row r="886" spans="1:6" s="74" customFormat="1" x14ac:dyDescent="0.2">
      <c r="A886" s="61">
        <v>43983</v>
      </c>
      <c r="B886" s="68">
        <f>VLOOKUP(Table2[[#This Row],[Date]],Database!A:E,2,)</f>
        <v>257.28199999999998</v>
      </c>
      <c r="C886" s="14">
        <f t="shared" si="26"/>
        <v>5.2355611818301609E-3</v>
      </c>
      <c r="D886" s="14">
        <f t="shared" si="27"/>
        <v>7.2781229568205695E-3</v>
      </c>
      <c r="E886" s="15">
        <f>VLOOKUP(Table2[[#This Row],[Date]],'Fed Fund New'!$A:$C,2,FALSE)</f>
        <v>0.25</v>
      </c>
      <c r="F886" s="15">
        <f>VLOOKUP(Table2[[#This Row],[Date]],'Fed Fund New'!$A:$C,3,FALSE)</f>
        <v>0.08</v>
      </c>
    </row>
    <row r="887" spans="1:6" s="74" customFormat="1" x14ac:dyDescent="0.2">
      <c r="A887" s="61">
        <v>44013</v>
      </c>
      <c r="B887" s="68">
        <f>VLOOKUP(Table2[[#This Row],[Date]],Database!A:E,2,)</f>
        <v>258.60399999999998</v>
      </c>
      <c r="C887" s="14">
        <f t="shared" si="26"/>
        <v>5.1383307032750163E-3</v>
      </c>
      <c r="D887" s="14">
        <f t="shared" si="27"/>
        <v>1.0467910520660246E-2</v>
      </c>
      <c r="E887" s="15">
        <f>VLOOKUP(Table2[[#This Row],[Date]],'Fed Fund New'!$A:$C,2,FALSE)</f>
        <v>0.25</v>
      </c>
      <c r="F887" s="15">
        <f>VLOOKUP(Table2[[#This Row],[Date]],'Fed Fund New'!$A:$C,3,FALSE)</f>
        <v>0.09</v>
      </c>
    </row>
    <row r="888" spans="1:6" s="74" customFormat="1" x14ac:dyDescent="0.2">
      <c r="A888" s="61">
        <v>44044</v>
      </c>
      <c r="B888" s="68">
        <f>VLOOKUP(Table2[[#This Row],[Date]],Database!A:E,2,)</f>
        <v>259.51100000000002</v>
      </c>
      <c r="C888" s="14">
        <f t="shared" si="26"/>
        <v>3.5072930039753412E-3</v>
      </c>
      <c r="D888" s="14">
        <f t="shared" si="27"/>
        <v>1.3247799842260322E-2</v>
      </c>
      <c r="E888" s="15">
        <f>VLOOKUP(Table2[[#This Row],[Date]],'Fed Fund New'!$A:$C,2,FALSE)</f>
        <v>0.25</v>
      </c>
      <c r="F888" s="15">
        <f>VLOOKUP(Table2[[#This Row],[Date]],'Fed Fund New'!$A:$C,3,FALSE)</f>
        <v>0.1</v>
      </c>
    </row>
    <row r="889" spans="1:6" s="74" customFormat="1" x14ac:dyDescent="0.2">
      <c r="A889" s="61">
        <v>44075</v>
      </c>
      <c r="B889" s="68">
        <f>VLOOKUP(Table2[[#This Row],[Date]],Database!A:E,2,)</f>
        <v>260.149</v>
      </c>
      <c r="C889" s="14">
        <f t="shared" si="26"/>
        <v>2.4584699685176225E-3</v>
      </c>
      <c r="D889" s="14">
        <f t="shared" si="27"/>
        <v>1.4099605507305206E-2</v>
      </c>
      <c r="E889" s="15">
        <f>VLOOKUP(Table2[[#This Row],[Date]],'Fed Fund New'!$A:$C,2,FALSE)</f>
        <v>0.25</v>
      </c>
      <c r="F889" s="15">
        <f>VLOOKUP(Table2[[#This Row],[Date]],'Fed Fund New'!$A:$C,3,FALSE)</f>
        <v>0.09</v>
      </c>
    </row>
    <row r="890" spans="1:6" s="74" customFormat="1" x14ac:dyDescent="0.2">
      <c r="A890" s="61">
        <v>44105</v>
      </c>
      <c r="B890" s="68">
        <f>VLOOKUP(Table2[[#This Row],[Date]],Database!A:E,2,)</f>
        <v>260.46199999999999</v>
      </c>
      <c r="C890" s="14">
        <f t="shared" si="26"/>
        <v>1.2031566525336948E-3</v>
      </c>
      <c r="D890" s="14">
        <f t="shared" si="27"/>
        <v>1.1946990329736888E-2</v>
      </c>
      <c r="E890" s="15">
        <f>VLOOKUP(Table2[[#This Row],[Date]],'Fed Fund New'!$A:$C,2,FALSE)</f>
        <v>0.25</v>
      </c>
      <c r="F890" s="15">
        <f>VLOOKUP(Table2[[#This Row],[Date]],'Fed Fund New'!$A:$C,3,FALSE)</f>
        <v>0.09</v>
      </c>
    </row>
    <row r="891" spans="1:6" s="74" customFormat="1" x14ac:dyDescent="0.2">
      <c r="A891" s="61">
        <v>44136</v>
      </c>
      <c r="B891" s="68">
        <f>VLOOKUP(Table2[[#This Row],[Date]],Database!A:E,2,)</f>
        <v>260.92700000000002</v>
      </c>
      <c r="C891" s="14">
        <f t="shared" si="26"/>
        <v>1.7852892168532526E-3</v>
      </c>
      <c r="D891" s="14">
        <f t="shared" si="27"/>
        <v>1.1388082437623485E-2</v>
      </c>
      <c r="E891" s="15">
        <f>VLOOKUP(Table2[[#This Row],[Date]],'Fed Fund New'!$A:$C,2,FALSE)</f>
        <v>0.25</v>
      </c>
      <c r="F891" s="15">
        <f>VLOOKUP(Table2[[#This Row],[Date]],'Fed Fund New'!$A:$C,3,FALSE)</f>
        <v>0.09</v>
      </c>
    </row>
    <row r="892" spans="1:6" s="74" customFormat="1" x14ac:dyDescent="0.2">
      <c r="A892" s="61">
        <v>44166</v>
      </c>
      <c r="B892" s="68">
        <f>VLOOKUP(Table2[[#This Row],[Date]],Database!A:E,2,)</f>
        <v>261.56</v>
      </c>
      <c r="C892" s="14">
        <f t="shared" si="26"/>
        <v>2.4259658831779821E-3</v>
      </c>
      <c r="D892" s="14">
        <f t="shared" si="27"/>
        <v>1.3001398124731424E-2</v>
      </c>
      <c r="E892" s="15">
        <f>VLOOKUP(Table2[[#This Row],[Date]],'Fed Fund New'!$A:$C,2,FALSE)</f>
        <v>0.25</v>
      </c>
      <c r="F892" s="15">
        <f>VLOOKUP(Table2[[#This Row],[Date]],'Fed Fund New'!$A:$C,3,FALSE)</f>
        <v>0.09</v>
      </c>
    </row>
    <row r="893" spans="1:6" s="74" customFormat="1" x14ac:dyDescent="0.2">
      <c r="A893" s="61">
        <v>44197</v>
      </c>
      <c r="B893" s="68">
        <f>VLOOKUP(Table2[[#This Row],[Date]],Database!A:E,2,)</f>
        <v>262.23099999999999</v>
      </c>
      <c r="C893" s="14">
        <f t="shared" si="26"/>
        <v>2.5653769689554682E-3</v>
      </c>
      <c r="D893" s="14">
        <f t="shared" si="27"/>
        <v>1.3699953998461394E-2</v>
      </c>
      <c r="E893" s="15">
        <f>VLOOKUP(Table2[[#This Row],[Date]],'Fed Fund New'!$A:$C,2,FALSE)</f>
        <v>0.25</v>
      </c>
      <c r="F893" s="15">
        <f>VLOOKUP(Table2[[#This Row],[Date]],'Fed Fund New'!$A:$C,3,FALSE)</f>
        <v>0.09</v>
      </c>
    </row>
    <row r="894" spans="1:6" s="74" customFormat="1" x14ac:dyDescent="0.2">
      <c r="A894" s="61">
        <v>44228</v>
      </c>
      <c r="B894" s="68">
        <f>VLOOKUP(Table2[[#This Row],[Date]],Database!A:E,2,)</f>
        <v>263.161</v>
      </c>
      <c r="C894" s="14">
        <f t="shared" si="26"/>
        <v>3.5464914521929399E-3</v>
      </c>
      <c r="D894" s="14">
        <f t="shared" si="27"/>
        <v>1.6756560442617335E-2</v>
      </c>
      <c r="E894" s="15">
        <f>VLOOKUP(Table2[[#This Row],[Date]],'Fed Fund New'!$A:$C,2,FALSE)</f>
        <v>0.25</v>
      </c>
      <c r="F894" s="15">
        <f>VLOOKUP(Table2[[#This Row],[Date]],'Fed Fund New'!$A:$C,3,FALSE)</f>
        <v>0.08</v>
      </c>
    </row>
    <row r="895" spans="1:6" s="74" customFormat="1" x14ac:dyDescent="0.2">
      <c r="A895" s="61">
        <v>44256</v>
      </c>
      <c r="B895" s="68">
        <f>VLOOKUP(Table2[[#This Row],[Date]],Database!A:E,2,)</f>
        <v>264.79300000000001</v>
      </c>
      <c r="C895" s="14">
        <f t="shared" si="26"/>
        <v>6.2015268219835192E-3</v>
      </c>
      <c r="D895" s="14">
        <f t="shared" si="27"/>
        <v>2.6373217462760161E-2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266.83199999999999</v>
      </c>
      <c r="C896" s="14">
        <f t="shared" si="26"/>
        <v>7.7003546166250136E-3</v>
      </c>
      <c r="D896" s="14">
        <f t="shared" si="27"/>
        <v>4.1531351486385155E-2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268.55099999999999</v>
      </c>
      <c r="C897" s="14">
        <f t="shared" si="26"/>
        <v>6.442255801403108E-3</v>
      </c>
      <c r="D897" s="14">
        <f t="shared" si="27"/>
        <v>4.9265067866938524E-2</v>
      </c>
      <c r="E897" s="15">
        <f>VLOOKUP(Table2[[#This Row],[Date]],'Fed Fund New'!$A:$C,2,FALSE)</f>
        <v>0.25</v>
      </c>
      <c r="F897" s="15">
        <f>VLOOKUP(Table2[[#This Row],[Date]],'Fed Fund New'!$A:$C,3,FALSE)</f>
        <v>0.06</v>
      </c>
    </row>
    <row r="898" spans="1:6" s="74" customFormat="1" x14ac:dyDescent="0.2">
      <c r="A898" s="61">
        <v>44348</v>
      </c>
      <c r="B898" s="68">
        <f>VLOOKUP(Table2[[#This Row],[Date]],Database!A:E,2,)</f>
        <v>270.98099999999999</v>
      </c>
      <c r="C898" s="14">
        <f t="shared" si="26"/>
        <v>9.04856060859951E-3</v>
      </c>
      <c r="D898" s="14">
        <f t="shared" si="27"/>
        <v>5.3245077385903457E-2</v>
      </c>
      <c r="E898" s="15">
        <f>VLOOKUP(Table2[[#This Row],[Date]],'Fed Fund New'!$A:$C,2,FALSE)</f>
        <v>0.25</v>
      </c>
      <c r="F898" s="15">
        <f>VLOOKUP(Table2[[#This Row],[Date]],'Fed Fund New'!$A:$C,3,FALSE)</f>
        <v>0.08</v>
      </c>
    </row>
    <row r="899" spans="1:6" s="74" customFormat="1" x14ac:dyDescent="0.2">
      <c r="A899" s="61">
        <v>44378</v>
      </c>
      <c r="B899" s="68">
        <f>VLOOKUP(Table2[[#This Row],[Date]],Database!A:E,2,)</f>
        <v>272.26499999999999</v>
      </c>
      <c r="C899" s="14">
        <f t="shared" si="26"/>
        <v>4.7383395883843953E-3</v>
      </c>
      <c r="D899" s="14">
        <f t="shared" si="27"/>
        <v>5.282594236748079E-2</v>
      </c>
      <c r="E899" s="15">
        <f>VLOOKUP(Table2[[#This Row],[Date]],'Fed Fund New'!$A:$C,2,FALSE)</f>
        <v>0.25</v>
      </c>
      <c r="F899" s="15">
        <f>VLOOKUP(Table2[[#This Row],[Date]],'Fed Fund New'!$A:$C,3,FALSE)</f>
        <v>0.1</v>
      </c>
    </row>
    <row r="900" spans="1:6" s="74" customFormat="1" x14ac:dyDescent="0.2">
      <c r="A900" s="61">
        <v>44409</v>
      </c>
      <c r="B900" s="68">
        <f>VLOOKUP(Table2[[#This Row],[Date]],Database!A:E,2,)</f>
        <v>273.012</v>
      </c>
      <c r="C900" s="14">
        <f t="shared" si="26"/>
        <v>2.7436504875764942E-3</v>
      </c>
      <c r="D900" s="14">
        <f t="shared" si="27"/>
        <v>5.20247696629429E-2</v>
      </c>
      <c r="E900" s="15">
        <f>VLOOKUP(Table2[[#This Row],[Date]],'Fed Fund New'!$A:$C,2,FALSE)</f>
        <v>0.25</v>
      </c>
      <c r="F900" s="15">
        <f>VLOOKUP(Table2[[#This Row],[Date]],'Fed Fund New'!$A:$C,3,FALSE)</f>
        <v>0.09</v>
      </c>
    </row>
    <row r="901" spans="1:6" s="74" customFormat="1" x14ac:dyDescent="0.2">
      <c r="A901" s="61">
        <v>44440</v>
      </c>
      <c r="B901" s="68">
        <f>VLOOKUP(Table2[[#This Row],[Date]],Database!A:E,2,)</f>
        <v>274.13799999999998</v>
      </c>
      <c r="C901" s="14">
        <f t="shared" si="26"/>
        <v>4.12436083395593E-3</v>
      </c>
      <c r="D901" s="14">
        <f t="shared" si="27"/>
        <v>5.3773030071228321E-2</v>
      </c>
      <c r="E901" s="15">
        <f>VLOOKUP(Table2[[#This Row],[Date]],'Fed Fund New'!$A:$C,2,FALSE)</f>
        <v>0.25</v>
      </c>
      <c r="F901" s="15">
        <f>VLOOKUP(Table2[[#This Row],[Date]],'Fed Fund New'!$A:$C,3,FALSE)</f>
        <v>0.08</v>
      </c>
    </row>
    <row r="902" spans="1:6" s="74" customFormat="1" x14ac:dyDescent="0.2">
      <c r="A902" s="61">
        <v>44470</v>
      </c>
      <c r="B902" s="68">
        <f>VLOOKUP(Table2[[#This Row],[Date]],Database!A:E,2,)</f>
        <v>276.72399999999999</v>
      </c>
      <c r="C902" s="14">
        <f t="shared" ref="C902:C965" si="28">(B902-B901)/B901</f>
        <v>9.4332051740364815E-3</v>
      </c>
      <c r="D902" s="14">
        <f t="shared" si="27"/>
        <v>6.2435211278420659E-2</v>
      </c>
      <c r="E902" s="15">
        <f>VLOOKUP(Table2[[#This Row],[Date]],'Fed Fund New'!$A:$C,2,FALSE)</f>
        <v>0.25</v>
      </c>
      <c r="F902" s="15">
        <f>VLOOKUP(Table2[[#This Row],[Date]],'Fed Fund New'!$A:$C,3,FALSE)</f>
        <v>0.08</v>
      </c>
    </row>
    <row r="903" spans="1:6" s="74" customFormat="1" x14ac:dyDescent="0.2">
      <c r="A903" s="61">
        <v>44501</v>
      </c>
      <c r="B903" s="68">
        <f>VLOOKUP(Table2[[#This Row],[Date]],Database!A:E,2,)</f>
        <v>278.88</v>
      </c>
      <c r="C903" s="14">
        <f t="shared" si="28"/>
        <v>7.7911565314176074E-3</v>
      </c>
      <c r="D903" s="14">
        <f t="shared" si="27"/>
        <v>6.8804684835222008E-2</v>
      </c>
      <c r="E903" s="15">
        <f>VLOOKUP(Table2[[#This Row],[Date]],'Fed Fund New'!$A:$C,2,FALSE)</f>
        <v>0.25</v>
      </c>
      <c r="F903" s="15">
        <f>VLOOKUP(Table2[[#This Row],[Date]],'Fed Fund New'!$A:$C,3,FALSE)</f>
        <v>0.08</v>
      </c>
    </row>
    <row r="904" spans="1:6" s="74" customFormat="1" x14ac:dyDescent="0.2">
      <c r="A904" s="61">
        <v>44531</v>
      </c>
      <c r="B904" s="68">
        <f>VLOOKUP(Table2[[#This Row],[Date]],Database!A:E,2,)</f>
        <v>280.19200000000001</v>
      </c>
      <c r="C904" s="14">
        <f t="shared" si="28"/>
        <v>4.7045324153758309E-3</v>
      </c>
      <c r="D904" s="14">
        <f t="shared" si="27"/>
        <v>7.1234133659580992E-2</v>
      </c>
      <c r="E904" s="15">
        <f>VLOOKUP(Table2[[#This Row],[Date]],'Fed Fund New'!$A:$C,2,FALSE)</f>
        <v>0.25</v>
      </c>
      <c r="F904" s="15">
        <f>VLOOKUP(Table2[[#This Row],[Date]],'Fed Fund New'!$A:$C,3,FALSE)</f>
        <v>0.08</v>
      </c>
    </row>
    <row r="905" spans="1:6" s="74" customFormat="1" x14ac:dyDescent="0.2">
      <c r="A905" s="61">
        <v>44562</v>
      </c>
      <c r="B905" s="68">
        <f>VLOOKUP(Table2[[#This Row],[Date]],Database!A:E,2,)</f>
        <v>281.93299999999999</v>
      </c>
      <c r="C905" s="14">
        <f t="shared" si="28"/>
        <v>6.2135963910460879E-3</v>
      </c>
      <c r="D905" s="14">
        <f t="shared" si="27"/>
        <v>7.5132230743123418E-2</v>
      </c>
      <c r="E905" s="15">
        <f>VLOOKUP(Table2[[#This Row],[Date]],'Fed Fund New'!$A:$C,2,FALSE)</f>
        <v>0.25</v>
      </c>
      <c r="F905" s="15">
        <f>VLOOKUP(Table2[[#This Row],[Date]],'Fed Fund New'!$A:$C,3,FALSE)</f>
        <v>0.08</v>
      </c>
    </row>
    <row r="906" spans="1:6" s="74" customFormat="1" x14ac:dyDescent="0.2">
      <c r="A906" s="2"/>
      <c r="B906" s="64"/>
      <c r="C906" s="2"/>
      <c r="D906" s="2"/>
      <c r="E906" s="5"/>
      <c r="F906" s="5"/>
    </row>
    <row r="907" spans="1:6" s="74" customFormat="1" x14ac:dyDescent="0.2">
      <c r="A907" s="2"/>
      <c r="B907" s="64"/>
      <c r="C907" s="2"/>
      <c r="D907" s="2"/>
      <c r="E907" s="5"/>
      <c r="F907" s="5"/>
    </row>
    <row r="908" spans="1:6" s="74" customFormat="1" x14ac:dyDescent="0.2">
      <c r="A908" s="2"/>
      <c r="B908" s="64"/>
      <c r="C908" s="2"/>
      <c r="D908" s="2"/>
      <c r="E908" s="5"/>
      <c r="F908" s="5"/>
    </row>
    <row r="909" spans="1:6" s="74" customFormat="1" x14ac:dyDescent="0.2">
      <c r="A909" s="2"/>
      <c r="B909" s="64"/>
      <c r="C909" s="2"/>
      <c r="D909" s="2"/>
      <c r="E909" s="5"/>
      <c r="F909" s="5"/>
    </row>
    <row r="910" spans="1:6" s="74" customFormat="1" x14ac:dyDescent="0.2">
      <c r="A910" s="2"/>
      <c r="B910" s="64"/>
      <c r="C910" s="2"/>
      <c r="D910" s="2"/>
      <c r="E910" s="5"/>
      <c r="F910" s="5"/>
    </row>
    <row r="911" spans="1:6" s="74" customFormat="1" x14ac:dyDescent="0.2">
      <c r="A911" s="2"/>
      <c r="B911" s="64"/>
      <c r="C911" s="2"/>
      <c r="D911" s="2"/>
      <c r="E911" s="5"/>
      <c r="F911" s="5"/>
    </row>
    <row r="912" spans="1:6" s="74" customFormat="1" x14ac:dyDescent="0.2">
      <c r="A912" s="2"/>
      <c r="B912" s="64"/>
      <c r="C912" s="2"/>
      <c r="D912" s="2"/>
      <c r="E912" s="5"/>
      <c r="F912" s="5"/>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row r="1782" spans="1:6" x14ac:dyDescent="0.2">
      <c r="A1782" s="2"/>
      <c r="B1782" s="64"/>
      <c r="C1782" s="2"/>
      <c r="D1782" s="2"/>
      <c r="E1782" s="5"/>
      <c r="F1782" s="5"/>
    </row>
  </sheetData>
  <conditionalFormatting sqref="D761:D905">
    <cfRule type="colorScale" priority="43">
      <colorScale>
        <cfvo type="min"/>
        <cfvo type="percentile" val="50"/>
        <cfvo type="max"/>
        <color rgb="FFF8696B"/>
        <color rgb="FFFFEB84"/>
        <color rgb="FF63BE7B"/>
      </colorScale>
    </cfRule>
  </conditionalFormatting>
  <conditionalFormatting sqref="C761:C90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07"/>
  <sheetViews>
    <sheetView zoomScale="120" zoomScaleNormal="120" workbookViewId="0">
      <pane ySplit="4" topLeftCell="A631" activePane="bottomLeft" state="frozen"/>
      <selection activeCell="N27" sqref="N27"/>
      <selection pane="bottomLeft" activeCell="E674" sqref="E674"/>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247.86500000000001</v>
      </c>
      <c r="C605" s="14">
        <f t="shared" si="18"/>
        <v>1.3533713085282914E-3</v>
      </c>
      <c r="D605" s="14">
        <f t="shared" si="19"/>
        <v>-4.1134505801176713E-4</v>
      </c>
    </row>
    <row r="606" spans="1:4" x14ac:dyDescent="0.2">
      <c r="A606" s="61">
        <v>42767</v>
      </c>
      <c r="B606" s="68">
        <f>VLOOKUP(Table3[[#This Row],[Date]],Database!A:E,4,)</f>
        <v>248.44300000000001</v>
      </c>
      <c r="C606" s="14">
        <f t="shared" si="18"/>
        <v>2.3319145502592254E-3</v>
      </c>
      <c r="D606" s="14">
        <f t="shared" si="19"/>
        <v>8.0163065371172029E-4</v>
      </c>
    </row>
    <row r="607" spans="1:4" x14ac:dyDescent="0.2">
      <c r="A607" s="61">
        <v>42795</v>
      </c>
      <c r="B607" s="68">
        <f>VLOOKUP(Table3[[#This Row],[Date]],Database!A:E,4,)</f>
        <v>248.92599999999999</v>
      </c>
      <c r="C607" s="14">
        <f t="shared" si="18"/>
        <v>1.9441079040261775E-3</v>
      </c>
      <c r="D607" s="14">
        <f t="shared" si="19"/>
        <v>4.9535928687640058E-3</v>
      </c>
    </row>
    <row r="608" spans="1:4" x14ac:dyDescent="0.2">
      <c r="A608" s="61">
        <v>42826</v>
      </c>
      <c r="B608" s="68">
        <f>VLOOKUP(Table3[[#This Row],[Date]],Database!A:E,4,)</f>
        <v>249.28800000000001</v>
      </c>
      <c r="C608" s="14">
        <f t="shared" si="18"/>
        <v>1.4542474470325448E-3</v>
      </c>
      <c r="D608" s="14">
        <f t="shared" si="19"/>
        <v>5.5746936338773772E-3</v>
      </c>
    </row>
    <row r="609" spans="1:4" x14ac:dyDescent="0.2">
      <c r="A609" s="61">
        <v>42856</v>
      </c>
      <c r="B609" s="68">
        <f>VLOOKUP(Table3[[#This Row],[Date]],Database!A:E,4,)</f>
        <v>249.68600000000001</v>
      </c>
      <c r="C609" s="14">
        <f t="shared" si="18"/>
        <v>1.5965469657584646E-3</v>
      </c>
      <c r="D609" s="14">
        <f t="shared" si="19"/>
        <v>8.5267090780572295E-3</v>
      </c>
    </row>
    <row r="610" spans="1:4" x14ac:dyDescent="0.2">
      <c r="A610" s="61">
        <v>42887</v>
      </c>
      <c r="B610" s="68">
        <f>VLOOKUP(Table3[[#This Row],[Date]],Database!A:E,4,)</f>
        <v>249.53800000000001</v>
      </c>
      <c r="C610" s="14">
        <f t="shared" si="18"/>
        <v>-5.9274448707575167E-4</v>
      </c>
      <c r="D610" s="14">
        <f t="shared" si="19"/>
        <v>8.5603427370464138E-3</v>
      </c>
    </row>
    <row r="611" spans="1:4" x14ac:dyDescent="0.2">
      <c r="A611" s="61">
        <v>42917</v>
      </c>
      <c r="B611" s="68">
        <f>VLOOKUP(Table3[[#This Row],[Date]],Database!A:E,4,)</f>
        <v>250.03200000000001</v>
      </c>
      <c r="C611" s="14">
        <f t="shared" si="18"/>
        <v>1.9796584087393492E-3</v>
      </c>
      <c r="D611" s="14">
        <f t="shared" si="19"/>
        <v>1.0614132236081602E-2</v>
      </c>
    </row>
    <row r="612" spans="1:4" x14ac:dyDescent="0.2">
      <c r="A612" s="61">
        <v>42948</v>
      </c>
      <c r="B612" s="68">
        <f>VLOOKUP(Table3[[#This Row],[Date]],Database!A:E,4,)</f>
        <v>250.249</v>
      </c>
      <c r="C612" s="14">
        <f t="shared" si="18"/>
        <v>8.6788891021943003E-4</v>
      </c>
      <c r="D612" s="14">
        <f t="shared" si="19"/>
        <v>1.1192868889885531E-2</v>
      </c>
    </row>
    <row r="613" spans="1:4" x14ac:dyDescent="0.2">
      <c r="A613" s="61">
        <v>42979</v>
      </c>
      <c r="B613" s="68">
        <f>VLOOKUP(Table3[[#This Row],[Date]],Database!A:E,4,)</f>
        <v>250.678</v>
      </c>
      <c r="C613" s="14">
        <f t="shared" si="18"/>
        <v>1.7142925646056609E-3</v>
      </c>
      <c r="D613" s="14">
        <f t="shared" si="19"/>
        <v>1.2725833037070576E-2</v>
      </c>
    </row>
    <row r="614" spans="1:4" x14ac:dyDescent="0.2">
      <c r="A614" s="61">
        <v>43009</v>
      </c>
      <c r="B614" s="68">
        <f>VLOOKUP(Table3[[#This Row],[Date]],Database!A:E,4,)</f>
        <v>250.91900000000001</v>
      </c>
      <c r="C614" s="14">
        <f t="shared" si="18"/>
        <v>9.613927029895478E-4</v>
      </c>
      <c r="D614" s="14">
        <f t="shared" si="19"/>
        <v>1.3421056882986832E-2</v>
      </c>
    </row>
    <row r="615" spans="1:4" x14ac:dyDescent="0.2">
      <c r="A615" s="61">
        <v>43040</v>
      </c>
      <c r="B615" s="68">
        <f>VLOOKUP(Table3[[#This Row],[Date]],Database!A:E,4,)</f>
        <v>251.04499999999999</v>
      </c>
      <c r="C615" s="14">
        <f t="shared" si="18"/>
        <v>5.021540815959586E-4</v>
      </c>
      <c r="D615" s="14">
        <f t="shared" si="19"/>
        <v>1.4220785779214148E-2</v>
      </c>
    </row>
    <row r="616" spans="1:4" x14ac:dyDescent="0.2">
      <c r="A616" s="61">
        <v>43070</v>
      </c>
      <c r="B616" s="68">
        <f>VLOOKUP(Table3[[#This Row],[Date]],Database!A:E,4,)</f>
        <v>251.47900000000001</v>
      </c>
      <c r="C616" s="14">
        <f t="shared" si="18"/>
        <v>1.7287737258261506E-3</v>
      </c>
      <c r="D616" s="14">
        <f t="shared" si="19"/>
        <v>1.5953621783218245E-2</v>
      </c>
    </row>
    <row r="617" spans="1:4" x14ac:dyDescent="0.2">
      <c r="A617" s="61">
        <v>43101</v>
      </c>
      <c r="B617" s="68">
        <f>VLOOKUP(Table3[[#This Row],[Date]],Database!A:E,4,)</f>
        <v>251.94800000000001</v>
      </c>
      <c r="C617" s="14">
        <f t="shared" si="18"/>
        <v>1.8649668560794105E-3</v>
      </c>
      <c r="D617" s="14">
        <f t="shared" si="19"/>
        <v>1.6472676658664993E-2</v>
      </c>
    </row>
    <row r="618" spans="1:4" x14ac:dyDescent="0.2">
      <c r="A618" s="61">
        <v>43132</v>
      </c>
      <c r="B618" s="68">
        <f>VLOOKUP(Table3[[#This Row],[Date]],Database!A:E,4,)</f>
        <v>251.96100000000001</v>
      </c>
      <c r="C618" s="14">
        <f t="shared" si="18"/>
        <v>5.159794878310298E-5</v>
      </c>
      <c r="D618" s="14">
        <f t="shared" si="19"/>
        <v>1.4160189661210017E-2</v>
      </c>
    </row>
    <row r="619" spans="1:4" x14ac:dyDescent="0.2">
      <c r="A619" s="61">
        <v>43160</v>
      </c>
      <c r="B619" s="68">
        <f>VLOOKUP(Table3[[#This Row],[Date]],Database!A:E,4,)</f>
        <v>252.08199999999999</v>
      </c>
      <c r="C619" s="14">
        <f t="shared" si="18"/>
        <v>4.802330519405023E-4</v>
      </c>
      <c r="D619" s="14">
        <f t="shared" si="19"/>
        <v>1.2678466692912777E-2</v>
      </c>
    </row>
    <row r="620" spans="1:4" x14ac:dyDescent="0.2">
      <c r="A620" s="61">
        <v>43191</v>
      </c>
      <c r="B620" s="68">
        <f>VLOOKUP(Table3[[#This Row],[Date]],Database!A:E,4,)</f>
        <v>252.68600000000001</v>
      </c>
      <c r="C620" s="14">
        <f t="shared" si="18"/>
        <v>2.396045731151028E-3</v>
      </c>
      <c r="D620" s="14">
        <f t="shared" si="19"/>
        <v>1.3630820577003289E-2</v>
      </c>
    </row>
    <row r="621" spans="1:4" x14ac:dyDescent="0.2">
      <c r="A621" s="61">
        <v>43221</v>
      </c>
      <c r="B621" s="68">
        <f>VLOOKUP(Table3[[#This Row],[Date]],Database!A:E,4,)</f>
        <v>252.70599999999999</v>
      </c>
      <c r="C621" s="14">
        <f t="shared" si="18"/>
        <v>7.9149616520035975E-5</v>
      </c>
      <c r="D621" s="14">
        <f t="shared" si="19"/>
        <v>1.209519156060004E-2</v>
      </c>
    </row>
    <row r="622" spans="1:4" x14ac:dyDescent="0.2">
      <c r="A622" s="61">
        <v>43252</v>
      </c>
      <c r="B622" s="68">
        <f>VLOOKUP(Table3[[#This Row],[Date]],Database!A:E,4,)</f>
        <v>253.06800000000001</v>
      </c>
      <c r="C622" s="14">
        <f t="shared" si="18"/>
        <v>1.432494677609646E-3</v>
      </c>
      <c r="D622" s="14">
        <f t="shared" si="19"/>
        <v>1.4146142070546373E-2</v>
      </c>
    </row>
    <row r="623" spans="1:4" x14ac:dyDescent="0.2">
      <c r="A623" s="61">
        <v>43282</v>
      </c>
      <c r="B623" s="68">
        <f>VLOOKUP(Table3[[#This Row],[Date]],Database!A:E,4,)</f>
        <v>253.53100000000001</v>
      </c>
      <c r="C623" s="14">
        <f t="shared" si="18"/>
        <v>1.8295477895269013E-3</v>
      </c>
      <c r="D623" s="14">
        <f t="shared" si="19"/>
        <v>1.3994208741281097E-2</v>
      </c>
    </row>
    <row r="624" spans="1:4" x14ac:dyDescent="0.2">
      <c r="A624" s="61">
        <v>43313</v>
      </c>
      <c r="B624" s="68">
        <f>VLOOKUP(Table3[[#This Row],[Date]],Database!A:E,4,)</f>
        <v>253.81399999999999</v>
      </c>
      <c r="C624" s="14">
        <f t="shared" si="18"/>
        <v>1.1162343066527841E-3</v>
      </c>
      <c r="D624" s="14">
        <f t="shared" si="19"/>
        <v>1.4245811172072607E-2</v>
      </c>
    </row>
    <row r="625" spans="1:4" x14ac:dyDescent="0.2">
      <c r="A625" s="61">
        <v>43344</v>
      </c>
      <c r="B625" s="68">
        <f>VLOOKUP(Table3[[#This Row],[Date]],Database!A:E,4,)</f>
        <v>254.20099999999999</v>
      </c>
      <c r="C625" s="14">
        <f t="shared" si="18"/>
        <v>1.524738588099949E-3</v>
      </c>
      <c r="D625" s="14">
        <f t="shared" si="19"/>
        <v>1.4053885861543479E-2</v>
      </c>
    </row>
    <row r="626" spans="1:4" x14ac:dyDescent="0.2">
      <c r="A626" s="61">
        <v>43374</v>
      </c>
      <c r="B626" s="68">
        <f>VLOOKUP(Table3[[#This Row],[Date]],Database!A:E,4,)</f>
        <v>254.06399999999999</v>
      </c>
      <c r="C626" s="14">
        <f t="shared" si="18"/>
        <v>-5.3894359188201644E-4</v>
      </c>
      <c r="D626" s="14">
        <f t="shared" si="19"/>
        <v>1.2533925290631565E-2</v>
      </c>
    </row>
    <row r="627" spans="1:4" x14ac:dyDescent="0.2">
      <c r="A627" s="61">
        <v>43405</v>
      </c>
      <c r="B627" s="68">
        <f>VLOOKUP(Table3[[#This Row],[Date]],Database!A:E,4,)</f>
        <v>254.68600000000001</v>
      </c>
      <c r="C627" s="14">
        <f t="shared" si="18"/>
        <v>2.4482020278355616E-3</v>
      </c>
      <c r="D627" s="14">
        <f t="shared" si="19"/>
        <v>1.4503375888784958E-2</v>
      </c>
    </row>
    <row r="628" spans="1:4" x14ac:dyDescent="0.2">
      <c r="A628" s="61">
        <v>43435</v>
      </c>
      <c r="B628" s="68">
        <f>VLOOKUP(Table3[[#This Row],[Date]],Database!A:E,4,)</f>
        <v>255.529</v>
      </c>
      <c r="C628" s="14">
        <f t="shared" si="18"/>
        <v>3.3099581445387234E-3</v>
      </c>
      <c r="D628" s="14">
        <f t="shared" si="19"/>
        <v>1.6104724450152826E-2</v>
      </c>
    </row>
    <row r="629" spans="1:4" x14ac:dyDescent="0.2">
      <c r="A629" s="61">
        <v>43466</v>
      </c>
      <c r="B629" s="68">
        <f>VLOOKUP(Table3[[#This Row],[Date]],Database!A:E,4,)</f>
        <v>256.07600000000002</v>
      </c>
      <c r="C629" s="14">
        <f t="shared" si="18"/>
        <v>2.1406572248160696E-3</v>
      </c>
      <c r="D629" s="14">
        <f t="shared" si="19"/>
        <v>1.638433327512032E-2</v>
      </c>
    </row>
    <row r="630" spans="1:4" x14ac:dyDescent="0.2">
      <c r="A630" s="61">
        <v>43497</v>
      </c>
      <c r="B630" s="68">
        <f>VLOOKUP(Table3[[#This Row],[Date]],Database!A:E,4,)</f>
        <v>256.916</v>
      </c>
      <c r="C630" s="14">
        <f t="shared" si="18"/>
        <v>3.2802761680125231E-3</v>
      </c>
      <c r="D630" s="14">
        <f t="shared" si="19"/>
        <v>1.9665741920376501E-2</v>
      </c>
    </row>
    <row r="631" spans="1:4" x14ac:dyDescent="0.2">
      <c r="A631" s="61">
        <v>43525</v>
      </c>
      <c r="B631" s="68">
        <f>VLOOKUP(Table3[[#This Row],[Date]],Database!A:E,4,)</f>
        <v>257.28500000000003</v>
      </c>
      <c r="C631" s="14">
        <f t="shared" si="18"/>
        <v>1.436267106758739E-3</v>
      </c>
      <c r="D631" s="14">
        <f t="shared" si="19"/>
        <v>2.0640109170825493E-2</v>
      </c>
    </row>
    <row r="632" spans="1:4" x14ac:dyDescent="0.2">
      <c r="A632" s="61">
        <v>43556</v>
      </c>
      <c r="B632" s="68">
        <f>VLOOKUP(Table3[[#This Row],[Date]],Database!A:E,4,)</f>
        <v>257.02600000000001</v>
      </c>
      <c r="C632" s="14">
        <f t="shared" si="18"/>
        <v>-1.0066657597606332E-3</v>
      </c>
      <c r="D632" s="14">
        <f t="shared" si="19"/>
        <v>1.7175466784863442E-2</v>
      </c>
    </row>
    <row r="633" spans="1:4" x14ac:dyDescent="0.2">
      <c r="A633" s="61">
        <v>43586</v>
      </c>
      <c r="B633" s="68">
        <f>VLOOKUP(Table3[[#This Row],[Date]],Database!A:E,4,)</f>
        <v>257.57100000000003</v>
      </c>
      <c r="C633" s="14">
        <f t="shared" si="18"/>
        <v>2.12040805210374E-3</v>
      </c>
      <c r="D633" s="14">
        <f t="shared" si="19"/>
        <v>1.9251620460139601E-2</v>
      </c>
    </row>
    <row r="634" spans="1:4" x14ac:dyDescent="0.2">
      <c r="A634" s="61">
        <v>43617</v>
      </c>
      <c r="B634" s="68">
        <f>VLOOKUP(Table3[[#This Row],[Date]],Database!A:E,4,)</f>
        <v>257.70699999999999</v>
      </c>
      <c r="C634" s="14">
        <f t="shared" si="18"/>
        <v>5.2800975265059828E-4</v>
      </c>
      <c r="D634" s="14">
        <f t="shared" si="19"/>
        <v>1.8331041459212469E-2</v>
      </c>
    </row>
    <row r="635" spans="1:4" x14ac:dyDescent="0.2">
      <c r="A635" s="61">
        <v>43647</v>
      </c>
      <c r="B635" s="68">
        <f>VLOOKUP(Table3[[#This Row],[Date]],Database!A:E,4,)</f>
        <v>257.99799999999999</v>
      </c>
      <c r="C635" s="14">
        <f t="shared" si="18"/>
        <v>1.1291893506967091E-3</v>
      </c>
      <c r="D635" s="14">
        <f t="shared" si="19"/>
        <v>1.761914716543533E-2</v>
      </c>
    </row>
    <row r="636" spans="1:4" s="74" customFormat="1" x14ac:dyDescent="0.2">
      <c r="A636" s="61">
        <v>43678</v>
      </c>
      <c r="B636" s="68">
        <f>VLOOKUP(Table3[[#This Row],[Date]],Database!A:E,4,)</f>
        <v>258.15800000000002</v>
      </c>
      <c r="C636" s="14">
        <f t="shared" si="18"/>
        <v>6.2015984620045509E-4</v>
      </c>
      <c r="D636" s="14">
        <f t="shared" si="19"/>
        <v>1.7114895159447557E-2</v>
      </c>
    </row>
    <row r="637" spans="1:4" s="74" customFormat="1" x14ac:dyDescent="0.2">
      <c r="A637" s="61">
        <v>43709</v>
      </c>
      <c r="B637" s="68">
        <f>VLOOKUP(Table3[[#This Row],[Date]],Database!A:E,4,)</f>
        <v>258.74</v>
      </c>
      <c r="C637" s="14">
        <f t="shared" si="18"/>
        <v>2.25443333152563E-3</v>
      </c>
      <c r="D637" s="14">
        <f t="shared" si="19"/>
        <v>1.7855948639069145E-2</v>
      </c>
    </row>
    <row r="638" spans="1:4" s="74" customFormat="1" x14ac:dyDescent="0.2">
      <c r="A638" s="61">
        <v>43739</v>
      </c>
      <c r="B638" s="68">
        <f>VLOOKUP(Table3[[#This Row],[Date]],Database!A:E,4,)</f>
        <v>259.21600000000001</v>
      </c>
      <c r="C638" s="14">
        <f t="shared" si="18"/>
        <v>1.8396846254927692E-3</v>
      </c>
      <c r="D638" s="14">
        <f t="shared" si="19"/>
        <v>2.0278355060142386E-2</v>
      </c>
    </row>
    <row r="639" spans="1:4" s="74" customFormat="1" x14ac:dyDescent="0.2">
      <c r="A639" s="61">
        <v>43770</v>
      </c>
      <c r="B639" s="68">
        <f>VLOOKUP(Table3[[#This Row],[Date]],Database!A:E,4,)</f>
        <v>259.59800000000001</v>
      </c>
      <c r="C639" s="14">
        <f t="shared" si="18"/>
        <v>1.4736744645392453E-3</v>
      </c>
      <c r="D639" s="14">
        <f t="shared" si="19"/>
        <v>1.9286493957265047E-2</v>
      </c>
    </row>
    <row r="640" spans="1:4" s="74" customFormat="1" x14ac:dyDescent="0.2">
      <c r="A640" s="61">
        <v>43800</v>
      </c>
      <c r="B640" s="68">
        <f>VLOOKUP(Table3[[#This Row],[Date]],Database!A:E,4,)</f>
        <v>259.97000000000003</v>
      </c>
      <c r="C640" s="14">
        <f t="shared" si="18"/>
        <v>1.432984845800099E-3</v>
      </c>
      <c r="D640" s="14">
        <f t="shared" si="19"/>
        <v>1.737963205741826E-2</v>
      </c>
    </row>
    <row r="641" spans="1:4" s="74" customFormat="1" x14ac:dyDescent="0.2">
      <c r="A641" s="61">
        <v>43831</v>
      </c>
      <c r="B641" s="68">
        <f>VLOOKUP(Table3[[#This Row],[Date]],Database!A:E,4,)</f>
        <v>260.57900000000001</v>
      </c>
      <c r="C641" s="14">
        <f t="shared" si="18"/>
        <v>2.3425779897679748E-3</v>
      </c>
      <c r="D641" s="14">
        <f t="shared" si="19"/>
        <v>1.7584623314953318E-2</v>
      </c>
    </row>
    <row r="642" spans="1:4" s="74" customFormat="1" x14ac:dyDescent="0.2">
      <c r="A642" s="61">
        <v>43862</v>
      </c>
      <c r="B642" s="68">
        <f>VLOOKUP(Table3[[#This Row],[Date]],Database!A:E,4,)</f>
        <v>261.41199999999998</v>
      </c>
      <c r="C642" s="14">
        <f t="shared" si="18"/>
        <v>3.1967272880775886E-3</v>
      </c>
      <c r="D642" s="14">
        <f t="shared" si="19"/>
        <v>1.7499883230316451E-2</v>
      </c>
    </row>
    <row r="643" spans="1:4" s="74" customFormat="1" x14ac:dyDescent="0.2">
      <c r="A643" s="61">
        <v>43891</v>
      </c>
      <c r="B643" s="68">
        <f>VLOOKUP(Table3[[#This Row],[Date]],Database!A:E,4,)</f>
        <v>262.13200000000001</v>
      </c>
      <c r="C643" s="14">
        <f t="shared" si="18"/>
        <v>2.754272948449296E-3</v>
      </c>
      <c r="D643" s="14">
        <f t="shared" si="19"/>
        <v>1.8839030646947856E-2</v>
      </c>
    </row>
    <row r="644" spans="1:4" s="74" customFormat="1" x14ac:dyDescent="0.2">
      <c r="A644" s="61">
        <v>43922</v>
      </c>
      <c r="B644" s="68">
        <f>VLOOKUP(Table3[[#This Row],[Date]],Database!A:E,4,)</f>
        <v>265.702</v>
      </c>
      <c r="C644" s="14">
        <f t="shared" si="18"/>
        <v>1.3619092670868086E-2</v>
      </c>
      <c r="D644" s="14">
        <f t="shared" si="19"/>
        <v>3.3755339926699976E-2</v>
      </c>
    </row>
    <row r="645" spans="1:4" s="74" customFormat="1" x14ac:dyDescent="0.2">
      <c r="A645" s="61">
        <v>43952</v>
      </c>
      <c r="B645" s="68">
        <f>VLOOKUP(Table3[[#This Row],[Date]],Database!A:E,4,)</f>
        <v>267.47300000000001</v>
      </c>
      <c r="C645" s="14">
        <f t="shared" si="18"/>
        <v>6.6653619468427603E-3</v>
      </c>
      <c r="D645" s="14">
        <f t="shared" si="19"/>
        <v>3.8443768902554971E-2</v>
      </c>
    </row>
    <row r="646" spans="1:4" s="74" customFormat="1" x14ac:dyDescent="0.2">
      <c r="A646" s="61">
        <v>43983</v>
      </c>
      <c r="B646" s="68">
        <f>VLOOKUP(Table3[[#This Row],[Date]],Database!A:E,4,)</f>
        <v>268.84100000000001</v>
      </c>
      <c r="C646" s="14">
        <f t="shared" ref="C646:C709" si="20">(B646-B645)/B645</f>
        <v>5.1145349250204504E-3</v>
      </c>
      <c r="D646" s="14">
        <f t="shared" si="19"/>
        <v>4.3204103885420321E-2</v>
      </c>
    </row>
    <row r="647" spans="1:4" s="74" customFormat="1" x14ac:dyDescent="0.2">
      <c r="A647" s="61">
        <v>44013</v>
      </c>
      <c r="B647" s="68">
        <f>VLOOKUP(Table3[[#This Row],[Date]],Database!A:E,4,)</f>
        <v>268.04700000000003</v>
      </c>
      <c r="C647" s="14">
        <f t="shared" si="20"/>
        <v>-2.9534185633887044E-3</v>
      </c>
      <c r="D647" s="14">
        <f t="shared" si="19"/>
        <v>3.8949914340421381E-2</v>
      </c>
    </row>
    <row r="648" spans="1:4" s="74" customFormat="1" x14ac:dyDescent="0.2">
      <c r="A648" s="61">
        <v>44044</v>
      </c>
      <c r="B648" s="68">
        <f>VLOOKUP(Table3[[#This Row],[Date]],Database!A:E,4,)</f>
        <v>268.37299999999999</v>
      </c>
      <c r="C648" s="14">
        <f t="shared" si="20"/>
        <v>1.2162046208312907E-3</v>
      </c>
      <c r="D648" s="14">
        <f t="shared" si="19"/>
        <v>3.9568791205385749E-2</v>
      </c>
    </row>
    <row r="649" spans="1:4" s="74" customFormat="1" x14ac:dyDescent="0.2">
      <c r="A649" s="61">
        <v>44075</v>
      </c>
      <c r="B649" s="68">
        <f>VLOOKUP(Table3[[#This Row],[Date]],Database!A:E,4,)</f>
        <v>268.62099999999998</v>
      </c>
      <c r="C649" s="14">
        <f t="shared" si="20"/>
        <v>9.2408699831946753E-4</v>
      </c>
      <c r="D649" s="14">
        <f t="shared" si="19"/>
        <v>3.8188915513642931E-2</v>
      </c>
    </row>
    <row r="650" spans="1:4" s="74" customFormat="1" x14ac:dyDescent="0.2">
      <c r="A650" s="61">
        <v>44105</v>
      </c>
      <c r="B650" s="68">
        <f>VLOOKUP(Table3[[#This Row],[Date]],Database!A:E,4,)</f>
        <v>269.16399999999999</v>
      </c>
      <c r="C650" s="14">
        <f t="shared" si="20"/>
        <v>2.0214354052736248E-3</v>
      </c>
      <c r="D650" s="14">
        <f t="shared" si="19"/>
        <v>3.8377260662921957E-2</v>
      </c>
    </row>
    <row r="651" spans="1:4" s="74" customFormat="1" x14ac:dyDescent="0.2">
      <c r="A651" s="61">
        <v>44136</v>
      </c>
      <c r="B651" s="68">
        <f>VLOOKUP(Table3[[#This Row],[Date]],Database!A:E,4,)</f>
        <v>269.14999999999998</v>
      </c>
      <c r="C651" s="14">
        <f t="shared" si="20"/>
        <v>-5.2012899199038521E-5</v>
      </c>
      <c r="D651" s="14">
        <f t="shared" si="19"/>
        <v>3.679535281473649E-2</v>
      </c>
    </row>
    <row r="652" spans="1:4" s="74" customFormat="1" x14ac:dyDescent="0.2">
      <c r="A652" s="61">
        <v>44166</v>
      </c>
      <c r="B652" s="68">
        <f>VLOOKUP(Table3[[#This Row],[Date]],Database!A:E,4,)</f>
        <v>270.01499999999999</v>
      </c>
      <c r="C652" s="14">
        <f t="shared" si="20"/>
        <v>3.2138212892439499E-3</v>
      </c>
      <c r="D652" s="14">
        <f t="shared" si="19"/>
        <v>3.8639073739277448E-2</v>
      </c>
    </row>
    <row r="653" spans="1:4" s="74" customFormat="1" x14ac:dyDescent="0.2">
      <c r="A653" s="61">
        <v>44197</v>
      </c>
      <c r="B653" s="68">
        <f>VLOOKUP(Table3[[#This Row],[Date]],Database!A:E,4,)</f>
        <v>270.21199999999999</v>
      </c>
      <c r="C653" s="14">
        <f t="shared" si="20"/>
        <v>7.2958909690203414E-4</v>
      </c>
      <c r="D653" s="14">
        <f t="shared" si="19"/>
        <v>3.6967675829594794E-2</v>
      </c>
    </row>
    <row r="654" spans="1:4" s="74" customFormat="1" x14ac:dyDescent="0.2">
      <c r="A654" s="61">
        <v>44228</v>
      </c>
      <c r="B654" s="68">
        <f>VLOOKUP(Table3[[#This Row],[Date]],Database!A:E,4,)</f>
        <v>270.60399999999998</v>
      </c>
      <c r="C654" s="14">
        <f t="shared" si="20"/>
        <v>1.4507127736739891E-3</v>
      </c>
      <c r="D654" s="14">
        <f t="shared" si="19"/>
        <v>3.5162884641868043E-2</v>
      </c>
    </row>
    <row r="655" spans="1:4" s="74" customFormat="1" x14ac:dyDescent="0.2">
      <c r="A655" s="61">
        <v>44256</v>
      </c>
      <c r="B655" s="68">
        <f>VLOOKUP(Table3[[#This Row],[Date]],Database!A:E,4,)</f>
        <v>270.94600000000003</v>
      </c>
      <c r="C655" s="14">
        <f t="shared" si="20"/>
        <v>1.2638394110953326E-3</v>
      </c>
      <c r="D655" s="14">
        <f t="shared" si="19"/>
        <v>3.3624280896647568E-2</v>
      </c>
    </row>
    <row r="656" spans="1:4" s="74" customFormat="1" x14ac:dyDescent="0.2">
      <c r="A656" s="61">
        <v>44287</v>
      </c>
      <c r="B656" s="68">
        <f>VLOOKUP(Table3[[#This Row],[Date]],Database!A:E,4,)</f>
        <v>271.93299999999999</v>
      </c>
      <c r="C656" s="14">
        <f t="shared" si="20"/>
        <v>3.6427922907146305E-3</v>
      </c>
      <c r="D656" s="14">
        <f t="shared" si="19"/>
        <v>2.3451084297445992E-2</v>
      </c>
    </row>
    <row r="657" spans="1:4" s="74" customFormat="1" x14ac:dyDescent="0.2">
      <c r="A657" s="61">
        <v>44317</v>
      </c>
      <c r="B657" s="68">
        <f>VLOOKUP(Table3[[#This Row],[Date]],Database!A:E,4,)</f>
        <v>273.12200000000001</v>
      </c>
      <c r="C657" s="14">
        <f t="shared" si="20"/>
        <v>4.3724005545484421E-3</v>
      </c>
      <c r="D657" s="14">
        <f t="shared" ref="D657:D720" si="21">(B657-B645)/B645</f>
        <v>2.1119888736433213E-2</v>
      </c>
    </row>
    <row r="658" spans="1:4" s="74" customFormat="1" x14ac:dyDescent="0.2">
      <c r="A658" s="61">
        <v>44348</v>
      </c>
      <c r="B658" s="68">
        <f>VLOOKUP(Table3[[#This Row],[Date]],Database!A:E,4,)</f>
        <v>275.18299999999999</v>
      </c>
      <c r="C658" s="14">
        <f t="shared" si="20"/>
        <v>7.5460783093268891E-3</v>
      </c>
      <c r="D658" s="14">
        <f t="shared" si="21"/>
        <v>2.3590151799762628E-2</v>
      </c>
    </row>
    <row r="659" spans="1:4" s="74" customFormat="1" x14ac:dyDescent="0.2">
      <c r="A659" s="61">
        <v>44378</v>
      </c>
      <c r="B659" s="68">
        <f>VLOOKUP(Table3[[#This Row],[Date]],Database!A:E,4,)</f>
        <v>277.09100000000001</v>
      </c>
      <c r="C659" s="14">
        <f t="shared" si="20"/>
        <v>6.9335678439439051E-3</v>
      </c>
      <c r="D659" s="14">
        <f t="shared" si="21"/>
        <v>3.3740351505519489E-2</v>
      </c>
    </row>
    <row r="660" spans="1:4" s="74" customFormat="1" x14ac:dyDescent="0.2">
      <c r="A660" s="61">
        <v>44409</v>
      </c>
      <c r="B660" s="68">
        <f>VLOOKUP(Table3[[#This Row],[Date]],Database!A:E,4,)</f>
        <v>278.17700000000002</v>
      </c>
      <c r="C660" s="14">
        <f t="shared" si="20"/>
        <v>3.9192900527264063E-3</v>
      </c>
      <c r="D660" s="14">
        <f t="shared" si="21"/>
        <v>3.6531245691630791E-2</v>
      </c>
    </row>
    <row r="661" spans="1:4" s="74" customFormat="1" x14ac:dyDescent="0.2">
      <c r="A661" s="61">
        <v>44440</v>
      </c>
      <c r="B661" s="68">
        <f>VLOOKUP(Table3[[#This Row],[Date]],Database!A:E,4,)</f>
        <v>280.608</v>
      </c>
      <c r="C661" s="14">
        <f t="shared" si="20"/>
        <v>8.7390402513506972E-3</v>
      </c>
      <c r="D661" s="14">
        <f t="shared" si="21"/>
        <v>4.4624210318627448E-2</v>
      </c>
    </row>
    <row r="662" spans="1:4" s="74" customFormat="1" x14ac:dyDescent="0.2">
      <c r="A662" s="61">
        <v>44470</v>
      </c>
      <c r="B662" s="68">
        <f>VLOOKUP(Table3[[#This Row],[Date]],Database!A:E,4,)</f>
        <v>282.952</v>
      </c>
      <c r="C662" s="14">
        <f t="shared" si="20"/>
        <v>8.3532899988595973E-3</v>
      </c>
      <c r="D662" s="14">
        <f t="shared" si="21"/>
        <v>5.1225275296845091E-2</v>
      </c>
    </row>
    <row r="663" spans="1:4" s="74" customFormat="1" x14ac:dyDescent="0.2">
      <c r="A663" s="61">
        <v>44501</v>
      </c>
      <c r="B663" s="68">
        <f>VLOOKUP(Table3[[#This Row],[Date]],Database!A:E,4,)</f>
        <v>284.83499999999998</v>
      </c>
      <c r="C663" s="14">
        <f t="shared" si="20"/>
        <v>6.6548389832903863E-3</v>
      </c>
      <c r="D663" s="14">
        <f t="shared" si="21"/>
        <v>5.8276054244844895E-2</v>
      </c>
    </row>
    <row r="664" spans="1:4" s="74" customFormat="1" x14ac:dyDescent="0.2">
      <c r="A664" s="61">
        <v>44531</v>
      </c>
      <c r="B664" s="68">
        <f>VLOOKUP(Table3[[#This Row],[Date]],Database!A:E,4,)</f>
        <v>286.255</v>
      </c>
      <c r="C664" s="14">
        <f t="shared" si="20"/>
        <v>4.9853423912090021E-3</v>
      </c>
      <c r="D664" s="14">
        <f t="shared" si="21"/>
        <v>6.01448067699943E-2</v>
      </c>
    </row>
    <row r="665" spans="1:4" s="74" customFormat="1" x14ac:dyDescent="0.2">
      <c r="A665" s="61">
        <v>44562</v>
      </c>
      <c r="B665" s="68">
        <f>VLOOKUP(Table3[[#This Row],[Date]],Database!A:E,4,)</f>
        <v>288.43599999999998</v>
      </c>
      <c r="C665" s="14">
        <f t="shared" si="20"/>
        <v>7.6190808894167203E-3</v>
      </c>
      <c r="D665" s="14">
        <f t="shared" si="21"/>
        <v>6.7443340784273054E-2</v>
      </c>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row r="907" spans="1:4" x14ac:dyDescent="0.2">
      <c r="A907" s="2"/>
      <c r="B907" s="64"/>
      <c r="C907" s="2"/>
      <c r="D907" s="2"/>
    </row>
  </sheetData>
  <conditionalFormatting sqref="D521:D665">
    <cfRule type="colorScale" priority="35">
      <colorScale>
        <cfvo type="min"/>
        <cfvo type="percentile" val="50"/>
        <cfvo type="max"/>
        <color rgb="FFF8696B"/>
        <color rgb="FFFFEB84"/>
        <color rgb="FF63BE7B"/>
      </colorScale>
    </cfRule>
  </conditionalFormatting>
  <conditionalFormatting sqref="C521:C66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58"/>
  <sheetViews>
    <sheetView zoomScale="110" zoomScaleNormal="110" workbookViewId="0">
      <pane ySplit="4" topLeftCell="A637" activePane="bottomLeft" state="frozen"/>
      <selection pane="bottomLeft" activeCell="F672" sqref="F672"/>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81"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92"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205.49600000000001</v>
      </c>
      <c r="C605" s="14">
        <f t="shared" si="20"/>
        <v>2.9988020830722831E-2</v>
      </c>
      <c r="D605" s="14">
        <f t="shared" si="21"/>
        <v>0.10937997678624446</v>
      </c>
    </row>
    <row r="606" spans="1:4" x14ac:dyDescent="0.2">
      <c r="A606" s="61">
        <v>42767</v>
      </c>
      <c r="B606" s="68">
        <f>VLOOKUP(Table4[[#This Row],[Date]],Database!A:E,3,)</f>
        <v>203.54400000000001</v>
      </c>
      <c r="C606" s="14">
        <f t="shared" si="20"/>
        <v>-9.4989683497488913E-3</v>
      </c>
      <c r="D606" s="14">
        <f t="shared" si="21"/>
        <v>0.15387100980153173</v>
      </c>
    </row>
    <row r="607" spans="1:4" x14ac:dyDescent="0.2">
      <c r="A607" s="61">
        <v>42795</v>
      </c>
      <c r="B607" s="68">
        <f>VLOOKUP(Table4[[#This Row],[Date]],Database!A:E,3,)</f>
        <v>202.18299999999999</v>
      </c>
      <c r="C607" s="14">
        <f t="shared" si="20"/>
        <v>-6.6865149549975352E-3</v>
      </c>
      <c r="D607" s="14">
        <f t="shared" si="21"/>
        <v>0.1094691440675175</v>
      </c>
    </row>
    <row r="608" spans="1:4" x14ac:dyDescent="0.2">
      <c r="A608" s="61">
        <v>42826</v>
      </c>
      <c r="B608" s="68">
        <f>VLOOKUP(Table4[[#This Row],[Date]],Database!A:E,3,)</f>
        <v>203.792</v>
      </c>
      <c r="C608" s="14">
        <f t="shared" si="20"/>
        <v>7.9581369353506921E-3</v>
      </c>
      <c r="D608" s="14">
        <f t="shared" si="21"/>
        <v>9.1471938215335877E-2</v>
      </c>
    </row>
    <row r="609" spans="1:4" x14ac:dyDescent="0.2">
      <c r="A609" s="61">
        <v>42856</v>
      </c>
      <c r="B609" s="68">
        <f>VLOOKUP(Table4[[#This Row],[Date]],Database!A:E,3,)</f>
        <v>198.72399999999999</v>
      </c>
      <c r="C609" s="14">
        <f t="shared" si="20"/>
        <v>-2.4868493365784779E-2</v>
      </c>
      <c r="D609" s="14">
        <f t="shared" si="21"/>
        <v>5.3702093363591941E-2</v>
      </c>
    </row>
    <row r="610" spans="1:4" x14ac:dyDescent="0.2">
      <c r="A610" s="61">
        <v>42887</v>
      </c>
      <c r="B610" s="68">
        <f>VLOOKUP(Table4[[#This Row],[Date]],Database!A:E,3,)</f>
        <v>197.744</v>
      </c>
      <c r="C610" s="14">
        <f t="shared" ref="C610:C641" si="22">(B610-B609)/B609</f>
        <v>-4.9314627322315863E-3</v>
      </c>
      <c r="D610" s="14">
        <f t="shared" si="21"/>
        <v>2.511677095267471E-2</v>
      </c>
    </row>
    <row r="611" spans="1:4" x14ac:dyDescent="0.2">
      <c r="A611" s="61">
        <v>42917</v>
      </c>
      <c r="B611" s="68">
        <f>VLOOKUP(Table4[[#This Row],[Date]],Database!A:E,3,)</f>
        <v>195.72900000000001</v>
      </c>
      <c r="C611" s="14">
        <f t="shared" si="22"/>
        <v>-1.0189942551986337E-2</v>
      </c>
      <c r="D611" s="14">
        <f t="shared" si="21"/>
        <v>3.535118436782593E-2</v>
      </c>
    </row>
    <row r="612" spans="1:4" x14ac:dyDescent="0.2">
      <c r="A612" s="61">
        <v>42948</v>
      </c>
      <c r="B612" s="68">
        <f>VLOOKUP(Table4[[#This Row],[Date]],Database!A:E,3,)</f>
        <v>201.12100000000001</v>
      </c>
      <c r="C612" s="14">
        <f t="shared" si="22"/>
        <v>2.754829381440663E-2</v>
      </c>
      <c r="D612" s="14">
        <f t="shared" si="21"/>
        <v>6.5417540736973798E-2</v>
      </c>
    </row>
    <row r="613" spans="1:4" x14ac:dyDescent="0.2">
      <c r="A613" s="61">
        <v>42979</v>
      </c>
      <c r="B613" s="68">
        <f>VLOOKUP(Table4[[#This Row],[Date]],Database!A:E,3,)</f>
        <v>211.929</v>
      </c>
      <c r="C613" s="14">
        <f t="shared" si="22"/>
        <v>5.3738794059297601E-2</v>
      </c>
      <c r="D613" s="14">
        <f t="shared" si="21"/>
        <v>0.10240164791435843</v>
      </c>
    </row>
    <row r="614" spans="1:4" x14ac:dyDescent="0.2">
      <c r="A614" s="61">
        <v>43009</v>
      </c>
      <c r="B614" s="68">
        <f>VLOOKUP(Table4[[#This Row],[Date]],Database!A:E,3,)</f>
        <v>208.42699999999999</v>
      </c>
      <c r="C614" s="14">
        <f t="shared" si="22"/>
        <v>-1.6524402040305995E-2</v>
      </c>
      <c r="D614" s="14">
        <f t="shared" si="21"/>
        <v>6.3517009475504912E-2</v>
      </c>
    </row>
    <row r="615" spans="1:4" x14ac:dyDescent="0.2">
      <c r="A615" s="61">
        <v>43040</v>
      </c>
      <c r="B615" s="68">
        <f>VLOOKUP(Table4[[#This Row],[Date]],Database!A:E,3,)</f>
        <v>214.655</v>
      </c>
      <c r="C615" s="14">
        <f t="shared" si="22"/>
        <v>2.9880965517903195E-2</v>
      </c>
      <c r="D615" s="14">
        <f t="shared" si="21"/>
        <v>9.3103904833682943E-2</v>
      </c>
    </row>
    <row r="616" spans="1:4" x14ac:dyDescent="0.2">
      <c r="A616" s="61">
        <v>43070</v>
      </c>
      <c r="B616" s="68">
        <f>VLOOKUP(Table4[[#This Row],[Date]],Database!A:E,3,)</f>
        <v>213.119</v>
      </c>
      <c r="C616" s="14">
        <f t="shared" si="22"/>
        <v>-7.1556683981272339E-3</v>
      </c>
      <c r="D616" s="14">
        <f t="shared" si="21"/>
        <v>6.8196057399768403E-2</v>
      </c>
    </row>
    <row r="617" spans="1:4" x14ac:dyDescent="0.2">
      <c r="A617" s="61">
        <v>43101</v>
      </c>
      <c r="B617" s="68">
        <f>VLOOKUP(Table4[[#This Row],[Date]],Database!A:E,3,)</f>
        <v>217.273</v>
      </c>
      <c r="C617" s="14">
        <f t="shared" si="22"/>
        <v>1.9491457824032565E-2</v>
      </c>
      <c r="D617" s="14">
        <f t="shared" si="21"/>
        <v>5.7310117958500342E-2</v>
      </c>
    </row>
    <row r="618" spans="1:4" x14ac:dyDescent="0.2">
      <c r="A618" s="61">
        <v>43132</v>
      </c>
      <c r="B618" s="68">
        <f>VLOOKUP(Table4[[#This Row],[Date]],Database!A:E,3,)</f>
        <v>219.76499999999999</v>
      </c>
      <c r="C618" s="14">
        <f t="shared" si="22"/>
        <v>1.1469441670156854E-2</v>
      </c>
      <c r="D618" s="14">
        <f t="shared" si="21"/>
        <v>7.9692842825138416E-2</v>
      </c>
    </row>
    <row r="619" spans="1:4" x14ac:dyDescent="0.2">
      <c r="A619" s="61">
        <v>43160</v>
      </c>
      <c r="B619" s="68">
        <f>VLOOKUP(Table4[[#This Row],[Date]],Database!A:E,3,)</f>
        <v>216.49199999999999</v>
      </c>
      <c r="C619" s="14">
        <f t="shared" si="22"/>
        <v>-1.4893181352808666E-2</v>
      </c>
      <c r="D619" s="14">
        <f t="shared" si="21"/>
        <v>7.0772517966396775E-2</v>
      </c>
    </row>
    <row r="620" spans="1:4" x14ac:dyDescent="0.2">
      <c r="A620" s="61">
        <v>43191</v>
      </c>
      <c r="B620" s="68">
        <f>VLOOKUP(Table4[[#This Row],[Date]],Database!A:E,3,)</f>
        <v>219.42400000000001</v>
      </c>
      <c r="C620" s="14">
        <f t="shared" si="22"/>
        <v>1.3543225615727216E-2</v>
      </c>
      <c r="D620" s="14">
        <f t="shared" si="21"/>
        <v>7.6705660673628037E-2</v>
      </c>
    </row>
    <row r="621" spans="1:4" x14ac:dyDescent="0.2">
      <c r="A621" s="61">
        <v>43221</v>
      </c>
      <c r="B621" s="68">
        <f>VLOOKUP(Table4[[#This Row],[Date]],Database!A:E,3,)</f>
        <v>220.77</v>
      </c>
      <c r="C621" s="14">
        <f t="shared" si="22"/>
        <v>6.134242380049601E-3</v>
      </c>
      <c r="D621" s="14">
        <f t="shared" si="21"/>
        <v>0.11093778305589673</v>
      </c>
    </row>
    <row r="622" spans="1:4" x14ac:dyDescent="0.2">
      <c r="A622" s="61">
        <v>43252</v>
      </c>
      <c r="B622" s="68">
        <f>VLOOKUP(Table4[[#This Row],[Date]],Database!A:E,3,)</f>
        <v>221.14500000000001</v>
      </c>
      <c r="C622" s="14">
        <f t="shared" si="22"/>
        <v>1.6986003533088735E-3</v>
      </c>
      <c r="D622" s="14">
        <f t="shared" si="21"/>
        <v>0.11833987377619554</v>
      </c>
    </row>
    <row r="623" spans="1:4" x14ac:dyDescent="0.2">
      <c r="A623" s="61">
        <v>43282</v>
      </c>
      <c r="B623" s="68">
        <f>VLOOKUP(Table4[[#This Row],[Date]],Database!A:E,3,)</f>
        <v>219.16800000000001</v>
      </c>
      <c r="C623" s="14">
        <f t="shared" si="22"/>
        <v>-8.9398358543037546E-3</v>
      </c>
      <c r="D623" s="14">
        <f t="shared" si="21"/>
        <v>0.11975231059270722</v>
      </c>
    </row>
    <row r="624" spans="1:4" x14ac:dyDescent="0.2">
      <c r="A624" s="61">
        <v>43313</v>
      </c>
      <c r="B624" s="68">
        <f>VLOOKUP(Table4[[#This Row],[Date]],Database!A:E,3,)</f>
        <v>221.76300000000001</v>
      </c>
      <c r="C624" s="14">
        <f t="shared" si="22"/>
        <v>1.1840232150678925E-2</v>
      </c>
      <c r="D624" s="14">
        <f t="shared" si="21"/>
        <v>0.10263473232531657</v>
      </c>
    </row>
    <row r="625" spans="1:4" x14ac:dyDescent="0.2">
      <c r="A625" s="61">
        <v>43344</v>
      </c>
      <c r="B625" s="68">
        <f>VLOOKUP(Table4[[#This Row],[Date]],Database!A:E,3,)</f>
        <v>222.392</v>
      </c>
      <c r="C625" s="14">
        <f t="shared" si="22"/>
        <v>2.8363613407105361E-3</v>
      </c>
      <c r="D625" s="14">
        <f t="shared" si="21"/>
        <v>4.9370307980502876E-2</v>
      </c>
    </row>
    <row r="626" spans="1:4" x14ac:dyDescent="0.2">
      <c r="A626" s="61">
        <v>43374</v>
      </c>
      <c r="B626" s="68">
        <f>VLOOKUP(Table4[[#This Row],[Date]],Database!A:E,3,)</f>
        <v>226.73500000000001</v>
      </c>
      <c r="C626" s="14">
        <f t="shared" si="22"/>
        <v>1.9528580164754207E-2</v>
      </c>
      <c r="D626" s="14">
        <f t="shared" si="21"/>
        <v>8.7838907627130952E-2</v>
      </c>
    </row>
    <row r="627" spans="1:4" x14ac:dyDescent="0.2">
      <c r="A627" s="61">
        <v>43405</v>
      </c>
      <c r="B627" s="68">
        <f>VLOOKUP(Table4[[#This Row],[Date]],Database!A:E,3,)</f>
        <v>221.303</v>
      </c>
      <c r="C627" s="14">
        <f t="shared" si="22"/>
        <v>-2.3957483405738045E-2</v>
      </c>
      <c r="D627" s="14">
        <f t="shared" si="21"/>
        <v>3.0970627285644387E-2</v>
      </c>
    </row>
    <row r="628" spans="1:4" x14ac:dyDescent="0.2">
      <c r="A628" s="61">
        <v>43435</v>
      </c>
      <c r="B628" s="68">
        <f>VLOOKUP(Table4[[#This Row],[Date]],Database!A:E,3,)</f>
        <v>212.43600000000001</v>
      </c>
      <c r="C628" s="14">
        <f t="shared" si="22"/>
        <v>-4.0067238130526879E-2</v>
      </c>
      <c r="D628" s="14">
        <f t="shared" si="21"/>
        <v>-3.2047823047217411E-3</v>
      </c>
    </row>
    <row r="629" spans="1:4" x14ac:dyDescent="0.2">
      <c r="A629" s="61">
        <v>43466</v>
      </c>
      <c r="B629" s="68">
        <f>VLOOKUP(Table4[[#This Row],[Date]],Database!A:E,3,)</f>
        <v>206.32400000000001</v>
      </c>
      <c r="C629" s="14">
        <f t="shared" si="22"/>
        <v>-2.8771018094861486E-2</v>
      </c>
      <c r="D629" s="14">
        <f t="shared" si="21"/>
        <v>-5.0392823774698114E-2</v>
      </c>
    </row>
    <row r="630" spans="1:4" x14ac:dyDescent="0.2">
      <c r="A630" s="61">
        <v>43497</v>
      </c>
      <c r="B630" s="68">
        <f>VLOOKUP(Table4[[#This Row],[Date]],Database!A:E,3,)</f>
        <v>208.33600000000001</v>
      </c>
      <c r="C630" s="14">
        <f t="shared" si="22"/>
        <v>9.7516527403501297E-3</v>
      </c>
      <c r="D630" s="14">
        <f t="shared" si="21"/>
        <v>-5.2005551384433253E-2</v>
      </c>
    </row>
    <row r="631" spans="1:4" x14ac:dyDescent="0.2">
      <c r="A631" s="61">
        <v>43525</v>
      </c>
      <c r="B631" s="68">
        <f>VLOOKUP(Table4[[#This Row],[Date]],Database!A:E,3,)</f>
        <v>215.56200000000001</v>
      </c>
      <c r="C631" s="14">
        <f t="shared" si="22"/>
        <v>3.4684356040242677E-2</v>
      </c>
      <c r="D631" s="14">
        <f t="shared" si="21"/>
        <v>-4.2957707444153982E-3</v>
      </c>
    </row>
    <row r="632" spans="1:4" x14ac:dyDescent="0.2">
      <c r="A632" s="61">
        <v>43556</v>
      </c>
      <c r="B632" s="68">
        <f>VLOOKUP(Table4[[#This Row],[Date]],Database!A:E,3,)</f>
        <v>222.97399999999999</v>
      </c>
      <c r="C632" s="14">
        <f t="shared" si="22"/>
        <v>3.4384539018936441E-2</v>
      </c>
      <c r="D632" s="14">
        <f t="shared" si="21"/>
        <v>1.6178722473384782E-2</v>
      </c>
    </row>
    <row r="633" spans="1:4" x14ac:dyDescent="0.2">
      <c r="A633" s="61">
        <v>43586</v>
      </c>
      <c r="B633" s="68">
        <f>VLOOKUP(Table4[[#This Row],[Date]],Database!A:E,3,)</f>
        <v>219.84800000000001</v>
      </c>
      <c r="C633" s="14">
        <f t="shared" si="22"/>
        <v>-1.4019571788638928E-2</v>
      </c>
      <c r="D633" s="14">
        <f t="shared" si="21"/>
        <v>-4.1762920686687363E-3</v>
      </c>
    </row>
    <row r="634" spans="1:4" x14ac:dyDescent="0.2">
      <c r="A634" s="61">
        <v>43617</v>
      </c>
      <c r="B634" s="68">
        <f>VLOOKUP(Table4[[#This Row],[Date]],Database!A:E,3,)</f>
        <v>213.97900000000001</v>
      </c>
      <c r="C634" s="14">
        <f t="shared" si="22"/>
        <v>-2.6695717040864594E-2</v>
      </c>
      <c r="D634" s="14">
        <f t="shared" si="21"/>
        <v>-3.2404078771846513E-2</v>
      </c>
    </row>
    <row r="635" spans="1:4" x14ac:dyDescent="0.2">
      <c r="A635" s="61">
        <v>43647</v>
      </c>
      <c r="B635" s="68">
        <f>VLOOKUP(Table4[[#This Row],[Date]],Database!A:E,3,)</f>
        <v>214.95</v>
      </c>
      <c r="C635" s="14">
        <f t="shared" si="22"/>
        <v>4.5378284784954375E-3</v>
      </c>
      <c r="D635" s="14">
        <f t="shared" ref="D635:D666" si="23">(B635-B623)/B623</f>
        <v>-1.9245510293473579E-2</v>
      </c>
    </row>
    <row r="636" spans="1:4" s="74" customFormat="1" x14ac:dyDescent="0.2">
      <c r="A636" s="61">
        <v>43678</v>
      </c>
      <c r="B636" s="68">
        <f>VLOOKUP(Table4[[#This Row],[Date]],Database!A:E,3,)</f>
        <v>212.267</v>
      </c>
      <c r="C636" s="14">
        <f t="shared" si="22"/>
        <v>-1.2481972551756189E-2</v>
      </c>
      <c r="D636" s="14">
        <f t="shared" si="23"/>
        <v>-4.2820488539567055E-2</v>
      </c>
    </row>
    <row r="637" spans="1:4" s="74" customFormat="1" x14ac:dyDescent="0.2">
      <c r="A637" s="61">
        <v>43709</v>
      </c>
      <c r="B637" s="68">
        <f>VLOOKUP(Table4[[#This Row],[Date]],Database!A:E,3,)</f>
        <v>212.05199999999999</v>
      </c>
      <c r="C637" s="14">
        <f t="shared" si="22"/>
        <v>-1.0128752938516276E-3</v>
      </c>
      <c r="D637" s="14">
        <f t="shared" si="23"/>
        <v>-4.6494478218640972E-2</v>
      </c>
    </row>
    <row r="638" spans="1:4" s="74" customFormat="1" x14ac:dyDescent="0.2">
      <c r="A638" s="61">
        <v>43739</v>
      </c>
      <c r="B638" s="68">
        <f>VLOOKUP(Table4[[#This Row],[Date]],Database!A:E,3,)</f>
        <v>217.18600000000001</v>
      </c>
      <c r="C638" s="14">
        <f t="shared" si="22"/>
        <v>2.4211042574462938E-2</v>
      </c>
      <c r="D638" s="14">
        <f t="shared" si="23"/>
        <v>-4.2115244668886609E-2</v>
      </c>
    </row>
    <row r="639" spans="1:4" s="74" customFormat="1" x14ac:dyDescent="0.2">
      <c r="A639" s="61">
        <v>43770</v>
      </c>
      <c r="B639" s="68">
        <f>VLOOKUP(Table4[[#This Row],[Date]],Database!A:E,3,)</f>
        <v>219.77</v>
      </c>
      <c r="C639" s="14">
        <f t="shared" si="22"/>
        <v>1.1897636127558881E-2</v>
      </c>
      <c r="D639" s="14">
        <f t="shared" si="23"/>
        <v>-6.9271541732375385E-3</v>
      </c>
    </row>
    <row r="640" spans="1:4" s="74" customFormat="1" x14ac:dyDescent="0.2">
      <c r="A640" s="61">
        <v>43800</v>
      </c>
      <c r="B640" s="68">
        <f>VLOOKUP(Table4[[#This Row],[Date]],Database!A:E,3,)</f>
        <v>219.71799999999999</v>
      </c>
      <c r="C640" s="14">
        <f t="shared" si="22"/>
        <v>-2.3661100241170732E-4</v>
      </c>
      <c r="D640" s="14">
        <f t="shared" si="23"/>
        <v>3.4278559189591135E-2</v>
      </c>
    </row>
    <row r="641" spans="1:4" s="74" customFormat="1" x14ac:dyDescent="0.2">
      <c r="A641" s="61">
        <v>43831</v>
      </c>
      <c r="B641" s="68">
        <f>VLOOKUP(Table4[[#This Row],[Date]],Database!A:E,3,)</f>
        <v>219.11699999999999</v>
      </c>
      <c r="C641" s="14">
        <f t="shared" si="22"/>
        <v>-2.7353243703292364E-3</v>
      </c>
      <c r="D641" s="14">
        <f t="shared" si="23"/>
        <v>6.2004420232255955E-2</v>
      </c>
    </row>
    <row r="642" spans="1:4" s="74" customFormat="1" x14ac:dyDescent="0.2">
      <c r="A642" s="61">
        <v>43862</v>
      </c>
      <c r="B642" s="68">
        <f>VLOOKUP(Table4[[#This Row],[Date]],Database!A:E,3,)</f>
        <v>213.96299999999999</v>
      </c>
      <c r="C642" s="14">
        <f t="shared" ref="C642:C673" si="24">(B642-B641)/B641</f>
        <v>-2.3521680198250235E-2</v>
      </c>
      <c r="D642" s="14">
        <f t="shared" si="23"/>
        <v>2.7009254281545103E-2</v>
      </c>
    </row>
    <row r="643" spans="1:4" s="74" customFormat="1" x14ac:dyDescent="0.2">
      <c r="A643" s="61">
        <v>43891</v>
      </c>
      <c r="B643" s="68">
        <f>VLOOKUP(Table4[[#This Row],[Date]],Database!A:E,3,)</f>
        <v>202.995</v>
      </c>
      <c r="C643" s="14">
        <f t="shared" si="24"/>
        <v>-5.126119936624552E-2</v>
      </c>
      <c r="D643" s="14">
        <f t="shared" si="23"/>
        <v>-5.8298772510924961E-2</v>
      </c>
    </row>
    <row r="644" spans="1:4" s="74" customFormat="1" x14ac:dyDescent="0.2">
      <c r="A644" s="61">
        <v>43922</v>
      </c>
      <c r="B644" s="68">
        <f>VLOOKUP(Table4[[#This Row],[Date]],Database!A:E,3,)</f>
        <v>183.78800000000001</v>
      </c>
      <c r="C644" s="14">
        <f t="shared" si="24"/>
        <v>-9.4618094041725137E-2</v>
      </c>
      <c r="D644" s="14">
        <f t="shared" si="23"/>
        <v>-0.17574246324683587</v>
      </c>
    </row>
    <row r="645" spans="1:4" s="74" customFormat="1" x14ac:dyDescent="0.2">
      <c r="A645" s="61">
        <v>43952</v>
      </c>
      <c r="B645" s="68">
        <f>VLOOKUP(Table4[[#This Row],[Date]],Database!A:E,3,)</f>
        <v>179.61</v>
      </c>
      <c r="C645" s="14">
        <f t="shared" si="24"/>
        <v>-2.2732713778919174E-2</v>
      </c>
      <c r="D645" s="14">
        <f t="shared" si="23"/>
        <v>-0.18302645464138859</v>
      </c>
    </row>
    <row r="646" spans="1:4" s="74" customFormat="1" x14ac:dyDescent="0.2">
      <c r="A646" s="61">
        <v>43983</v>
      </c>
      <c r="B646" s="68">
        <f>VLOOKUP(Table4[[#This Row],[Date]],Database!A:E,3,)</f>
        <v>187.59100000000001</v>
      </c>
      <c r="C646" s="14">
        <f t="shared" si="24"/>
        <v>4.4435165079895297E-2</v>
      </c>
      <c r="D646" s="14">
        <f t="shared" si="23"/>
        <v>-0.12332051276059802</v>
      </c>
    </row>
    <row r="647" spans="1:4" s="74" customFormat="1" x14ac:dyDescent="0.2">
      <c r="A647" s="61">
        <v>44013</v>
      </c>
      <c r="B647" s="68">
        <f>VLOOKUP(Table4[[#This Row],[Date]],Database!A:E,3,)</f>
        <v>191.566</v>
      </c>
      <c r="C647" s="14">
        <f t="shared" si="24"/>
        <v>2.1189715924537927E-2</v>
      </c>
      <c r="D647" s="14">
        <f t="shared" si="23"/>
        <v>-0.10878809025354728</v>
      </c>
    </row>
    <row r="648" spans="1:4" s="74" customFormat="1" x14ac:dyDescent="0.2">
      <c r="A648" s="61">
        <v>44044</v>
      </c>
      <c r="B648" s="68">
        <f>VLOOKUP(Table4[[#This Row],[Date]],Database!A:E,3,)</f>
        <v>193.36199999999999</v>
      </c>
      <c r="C648" s="14">
        <f t="shared" si="24"/>
        <v>9.3753588841443275E-3</v>
      </c>
      <c r="D648" s="14">
        <f t="shared" si="23"/>
        <v>-8.9062360140766114E-2</v>
      </c>
    </row>
    <row r="649" spans="1:4" s="74" customFormat="1" x14ac:dyDescent="0.2">
      <c r="A649" s="61">
        <v>44075</v>
      </c>
      <c r="B649" s="68">
        <f>VLOOKUP(Table4[[#This Row],[Date]],Database!A:E,3,)</f>
        <v>195.995</v>
      </c>
      <c r="C649" s="14">
        <f t="shared" si="24"/>
        <v>1.36169464527674E-2</v>
      </c>
      <c r="D649" s="14">
        <f t="shared" si="23"/>
        <v>-7.5721992718767034E-2</v>
      </c>
    </row>
    <row r="650" spans="1:4" s="74" customFormat="1" x14ac:dyDescent="0.2">
      <c r="A650" s="61">
        <v>44105</v>
      </c>
      <c r="B650" s="68">
        <f>VLOOKUP(Table4[[#This Row],[Date]],Database!A:E,3,)</f>
        <v>197.15700000000001</v>
      </c>
      <c r="C650" s="14">
        <f t="shared" si="24"/>
        <v>5.9287226714967532E-3</v>
      </c>
      <c r="D650" s="14">
        <f t="shared" si="23"/>
        <v>-9.2220493033620926E-2</v>
      </c>
    </row>
    <row r="651" spans="1:4" s="74" customFormat="1" x14ac:dyDescent="0.2">
      <c r="A651" s="61">
        <v>44136</v>
      </c>
      <c r="B651" s="68">
        <f>VLOOKUP(Table4[[#This Row],[Date]],Database!A:E,3,)</f>
        <v>198.57599999999999</v>
      </c>
      <c r="C651" s="14">
        <f t="shared" si="24"/>
        <v>7.1973097582129098E-3</v>
      </c>
      <c r="D651" s="14">
        <f t="shared" si="23"/>
        <v>-9.6437184329071376E-2</v>
      </c>
    </row>
    <row r="652" spans="1:4" s="74" customFormat="1" x14ac:dyDescent="0.2">
      <c r="A652" s="61">
        <v>44166</v>
      </c>
      <c r="B652" s="68">
        <f>VLOOKUP(Table4[[#This Row],[Date]],Database!A:E,3,)</f>
        <v>203.71600000000001</v>
      </c>
      <c r="C652" s="14">
        <f t="shared" si="24"/>
        <v>2.5884296188864793E-2</v>
      </c>
      <c r="D652" s="14">
        <f t="shared" si="23"/>
        <v>-7.2829718093192095E-2</v>
      </c>
    </row>
    <row r="653" spans="1:4" s="74" customFormat="1" x14ac:dyDescent="0.2">
      <c r="A653" s="61">
        <v>44197</v>
      </c>
      <c r="B653" s="68">
        <f>VLOOKUP(Table4[[#This Row],[Date]],Database!A:E,3,)</f>
        <v>210.822</v>
      </c>
      <c r="C653" s="14">
        <f t="shared" si="24"/>
        <v>3.4881894402010616E-2</v>
      </c>
      <c r="D653" s="14">
        <f t="shared" si="23"/>
        <v>-3.7856487629896303E-2</v>
      </c>
    </row>
    <row r="654" spans="1:4" s="74" customFormat="1" x14ac:dyDescent="0.2">
      <c r="A654" s="61">
        <v>44228</v>
      </c>
      <c r="B654" s="68">
        <f>VLOOKUP(Table4[[#This Row],[Date]],Database!A:E,3,)</f>
        <v>218.946</v>
      </c>
      <c r="C654" s="14">
        <f t="shared" si="24"/>
        <v>3.8534877764180187E-2</v>
      </c>
      <c r="D654" s="14">
        <f t="shared" si="23"/>
        <v>2.3289073344456773E-2</v>
      </c>
    </row>
    <row r="655" spans="1:4" s="74" customFormat="1" x14ac:dyDescent="0.2">
      <c r="A655" s="61">
        <v>44256</v>
      </c>
      <c r="B655" s="68">
        <f>VLOOKUP(Table4[[#This Row],[Date]],Database!A:E,3,)</f>
        <v>229.886</v>
      </c>
      <c r="C655" s="14">
        <f t="shared" si="24"/>
        <v>4.9966658445461429E-2</v>
      </c>
      <c r="D655" s="14">
        <f t="shared" si="23"/>
        <v>0.1324712431340673</v>
      </c>
    </row>
    <row r="656" spans="1:4" s="74" customFormat="1" x14ac:dyDescent="0.2">
      <c r="A656" s="61">
        <v>44287</v>
      </c>
      <c r="B656" s="68">
        <f>VLOOKUP(Table4[[#This Row],[Date]],Database!A:E,3,)</f>
        <v>229.65799999999999</v>
      </c>
      <c r="C656" s="14">
        <f t="shared" si="24"/>
        <v>-9.9179593363670979E-4</v>
      </c>
      <c r="D656" s="14">
        <f t="shared" si="23"/>
        <v>0.24958103902322226</v>
      </c>
    </row>
    <row r="657" spans="1:4" s="74" customFormat="1" x14ac:dyDescent="0.2">
      <c r="A657" s="61">
        <v>44317</v>
      </c>
      <c r="B657" s="68">
        <f>VLOOKUP(Table4[[#This Row],[Date]],Database!A:E,3,)</f>
        <v>229.63</v>
      </c>
      <c r="C657" s="14">
        <f t="shared" si="24"/>
        <v>-1.2192042079958716E-4</v>
      </c>
      <c r="D657" s="14">
        <f t="shared" si="23"/>
        <v>0.27849228884805954</v>
      </c>
    </row>
    <row r="658" spans="1:4" s="74" customFormat="1" x14ac:dyDescent="0.2">
      <c r="A658" s="61">
        <v>44348</v>
      </c>
      <c r="B658" s="68">
        <f>VLOOKUP(Table4[[#This Row],[Date]],Database!A:E,3,)</f>
        <v>232.995</v>
      </c>
      <c r="C658" s="14">
        <f t="shared" si="24"/>
        <v>1.4654008622566777E-2</v>
      </c>
      <c r="D658" s="14">
        <f t="shared" si="23"/>
        <v>0.24203719794659656</v>
      </c>
    </row>
    <row r="659" spans="1:4" s="74" customFormat="1" x14ac:dyDescent="0.2">
      <c r="A659" s="61">
        <v>44378</v>
      </c>
      <c r="B659" s="68">
        <f>VLOOKUP(Table4[[#This Row],[Date]],Database!A:E,3,)</f>
        <v>236.79599999999999</v>
      </c>
      <c r="C659" s="14">
        <f t="shared" si="24"/>
        <v>1.6313654799459162E-2</v>
      </c>
      <c r="D659" s="14">
        <f t="shared" si="23"/>
        <v>0.23610661599657554</v>
      </c>
    </row>
    <row r="660" spans="1:4" s="74" customFormat="1" x14ac:dyDescent="0.2">
      <c r="A660" s="61">
        <v>44409</v>
      </c>
      <c r="B660" s="68">
        <f>VLOOKUP(Table4[[#This Row],[Date]],Database!A:E,3,)</f>
        <v>241.47399999999999</v>
      </c>
      <c r="C660" s="14">
        <f t="shared" si="24"/>
        <v>1.9755401273670151E-2</v>
      </c>
      <c r="D660" s="14">
        <f t="shared" si="23"/>
        <v>0.24881827866902492</v>
      </c>
    </row>
    <row r="661" spans="1:4" s="74" customFormat="1" x14ac:dyDescent="0.2">
      <c r="A661" s="61">
        <v>44440</v>
      </c>
      <c r="B661" s="68">
        <f>VLOOKUP(Table4[[#This Row],[Date]],Database!A:E,3,)</f>
        <v>244.565</v>
      </c>
      <c r="C661" s="14">
        <f t="shared" si="24"/>
        <v>1.2800549955688845E-2</v>
      </c>
      <c r="D661" s="14">
        <f t="shared" si="23"/>
        <v>0.24781244419500492</v>
      </c>
    </row>
    <row r="662" spans="1:4" s="74" customFormat="1" x14ac:dyDescent="0.2">
      <c r="A662" s="61">
        <v>44470</v>
      </c>
      <c r="B662" s="68">
        <f>VLOOKUP(Table4[[#This Row],[Date]],Database!A:E,3,)</f>
        <v>256.22699999999998</v>
      </c>
      <c r="C662" s="14">
        <f t="shared" si="24"/>
        <v>4.7684664608590673E-2</v>
      </c>
      <c r="D662" s="14">
        <f t="shared" si="23"/>
        <v>0.29960894109770364</v>
      </c>
    </row>
    <row r="663" spans="1:4" s="74" customFormat="1" x14ac:dyDescent="0.2">
      <c r="A663" s="61">
        <v>44501</v>
      </c>
      <c r="B663" s="68">
        <f>VLOOKUP(Table4[[#This Row],[Date]],Database!A:E,3,)</f>
        <v>265.11700000000002</v>
      </c>
      <c r="C663" s="14">
        <f t="shared" si="24"/>
        <v>3.4695797086177663E-2</v>
      </c>
      <c r="D663" s="14">
        <f t="shared" si="23"/>
        <v>0.33509084682942564</v>
      </c>
    </row>
    <row r="664" spans="1:4" s="74" customFormat="1" x14ac:dyDescent="0.2">
      <c r="A664" s="61">
        <v>44531</v>
      </c>
      <c r="B664" s="68">
        <f>VLOOKUP(Table4[[#This Row],[Date]],Database!A:E,3,)</f>
        <v>264.08</v>
      </c>
      <c r="C664" s="14">
        <f t="shared" si="24"/>
        <v>-3.9114805915879949E-3</v>
      </c>
      <c r="D664" s="14">
        <f t="shared" si="23"/>
        <v>0.29631447701702357</v>
      </c>
    </row>
    <row r="665" spans="1:4" s="74" customFormat="1" x14ac:dyDescent="0.2">
      <c r="A665" s="61">
        <v>44562</v>
      </c>
      <c r="B665" s="68">
        <f>VLOOKUP(Table4[[#This Row],[Date]],Database!A:E,3,)</f>
        <v>265.92899999999997</v>
      </c>
      <c r="C665" s="14">
        <f t="shared" si="24"/>
        <v>7.0016661617691217E-3</v>
      </c>
      <c r="D665" s="14">
        <f t="shared" si="23"/>
        <v>0.26139112616330351</v>
      </c>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row r="1058" spans="1:4" x14ac:dyDescent="0.2">
      <c r="A1058" s="2"/>
      <c r="B1058" s="64"/>
      <c r="C1058" s="2"/>
      <c r="D1058" s="2"/>
    </row>
  </sheetData>
  <conditionalFormatting sqref="C545:C665">
    <cfRule type="colorScale" priority="37">
      <colorScale>
        <cfvo type="min"/>
        <cfvo type="percentile" val="50"/>
        <cfvo type="max"/>
        <color rgb="FFF8696B"/>
        <color rgb="FFFFEB84"/>
        <color rgb="FF63BE7B"/>
      </colorScale>
    </cfRule>
  </conditionalFormatting>
  <conditionalFormatting sqref="D545:D665">
    <cfRule type="colorScale" priority="38">
      <colorScale>
        <cfvo type="min"/>
        <cfvo type="percentile" val="50"/>
        <cfvo type="max"/>
        <color rgb="FFF8696B"/>
        <color rgb="FFFFEB84"/>
        <color rgb="FF63BE7B"/>
      </colorScale>
    </cfRule>
  </conditionalFormatting>
  <conditionalFormatting sqref="D521:D665">
    <cfRule type="colorScale" priority="39">
      <colorScale>
        <cfvo type="min"/>
        <cfvo type="percentile" val="50"/>
        <cfvo type="max"/>
        <color rgb="FFF8696B"/>
        <color rgb="FFFFEB84"/>
        <color rgb="FF63BE7B"/>
      </colorScale>
    </cfRule>
  </conditionalFormatting>
  <conditionalFormatting sqref="C521:C66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62"/>
  <sheetViews>
    <sheetView zoomScale="130" zoomScaleNormal="130" workbookViewId="0">
      <pane ySplit="4" topLeftCell="A616" activePane="bottomLeft" state="frozen"/>
      <selection activeCell="N27" sqref="N27"/>
      <selection pane="bottomLeft" activeCell="K667" sqref="K667"/>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250.46199999999999</v>
      </c>
      <c r="C605" s="14">
        <f t="shared" si="18"/>
        <v>2.1686939820742702E-3</v>
      </c>
      <c r="D605" s="14">
        <f t="shared" si="19"/>
        <v>2.2481680308628019E-2</v>
      </c>
      <c r="E605" s="15">
        <f>VLOOKUP(Table5[[#This Row],[Date]],'Fed Fund New'!$A:$C,2,FALSE)</f>
        <v>0.75</v>
      </c>
      <c r="F605" s="27">
        <v>0.02</v>
      </c>
    </row>
    <row r="606" spans="1:6" x14ac:dyDescent="0.2">
      <c r="A606" s="61">
        <v>42767</v>
      </c>
      <c r="B606" s="68">
        <f>VLOOKUP(Table5[[#This Row],[Date]],Database!A:E,5,)</f>
        <v>250.90299999999999</v>
      </c>
      <c r="C606" s="14">
        <f t="shared" si="18"/>
        <v>1.7607461411311997E-3</v>
      </c>
      <c r="D606" s="14">
        <f t="shared" si="19"/>
        <v>2.1966518675410374E-2</v>
      </c>
      <c r="E606" s="15">
        <f>VLOOKUP(Table5[[#This Row],[Date]],'Fed Fund New'!$A:$C,2,FALSE)</f>
        <v>0.75</v>
      </c>
      <c r="F606" s="27">
        <v>0.02</v>
      </c>
    </row>
    <row r="607" spans="1:6" x14ac:dyDescent="0.2">
      <c r="A607" s="61">
        <v>42795</v>
      </c>
      <c r="B607" s="68">
        <f>VLOOKUP(Table5[[#This Row],[Date]],Database!A:E,5,)</f>
        <v>250.83600000000001</v>
      </c>
      <c r="C607" s="14">
        <f t="shared" si="18"/>
        <v>-2.6703546788989712E-4</v>
      </c>
      <c r="D607" s="14">
        <f t="shared" si="19"/>
        <v>2.0019275109489948E-2</v>
      </c>
      <c r="E607" s="15">
        <f>VLOOKUP(Table5[[#This Row],[Date]],'Fed Fund New'!$A:$C,2,FALSE)</f>
        <v>1</v>
      </c>
      <c r="F607" s="27">
        <v>0.02</v>
      </c>
    </row>
    <row r="608" spans="1:6" x14ac:dyDescent="0.2">
      <c r="A608" s="61">
        <v>42826</v>
      </c>
      <c r="B608" s="68">
        <f>VLOOKUP(Table5[[#This Row],[Date]],Database!A:E,5,)</f>
        <v>251.25200000000001</v>
      </c>
      <c r="C608" s="14">
        <f t="shared" si="18"/>
        <v>1.6584541293913028E-3</v>
      </c>
      <c r="D608" s="14">
        <f t="shared" si="19"/>
        <v>1.9067049008116059E-2</v>
      </c>
      <c r="E608" s="15">
        <f>VLOOKUP(Table5[[#This Row],[Date]],'Fed Fund New'!$A:$C,2,FALSE)</f>
        <v>1</v>
      </c>
      <c r="F608" s="27">
        <v>0.02</v>
      </c>
    </row>
    <row r="609" spans="1:6" x14ac:dyDescent="0.2">
      <c r="A609" s="61">
        <v>42856</v>
      </c>
      <c r="B609" s="68">
        <f>VLOOKUP(Table5[[#This Row],[Date]],Database!A:E,5,)</f>
        <v>251.488</v>
      </c>
      <c r="C609" s="14">
        <f t="shared" si="18"/>
        <v>9.3929600560389566E-4</v>
      </c>
      <c r="D609" s="14">
        <f t="shared" si="19"/>
        <v>1.7605619555145523E-2</v>
      </c>
      <c r="E609" s="15">
        <f>VLOOKUP(Table5[[#This Row],[Date]],'Fed Fund New'!$A:$C,2,FALSE)</f>
        <v>1</v>
      </c>
      <c r="F609" s="27">
        <v>0.02</v>
      </c>
    </row>
    <row r="610" spans="1:6" x14ac:dyDescent="0.2">
      <c r="A610" s="61">
        <v>42887</v>
      </c>
      <c r="B610" s="68">
        <f>VLOOKUP(Table5[[#This Row],[Date]],Database!A:E,5,)</f>
        <v>251.822</v>
      </c>
      <c r="C610" s="14">
        <f t="shared" ref="C610:C641" si="20">(B610-B609)/B609</f>
        <v>1.3280951775035117E-3</v>
      </c>
      <c r="D610" s="14">
        <f t="shared" si="19"/>
        <v>1.7298214429991157E-2</v>
      </c>
      <c r="E610" s="15">
        <f>VLOOKUP(Table5[[#This Row],[Date]],'Fed Fund New'!$A:$C,2,FALSE)</f>
        <v>1.25</v>
      </c>
      <c r="F610" s="27">
        <v>0.02</v>
      </c>
    </row>
    <row r="611" spans="1:6" x14ac:dyDescent="0.2">
      <c r="A611" s="61">
        <v>42917</v>
      </c>
      <c r="B611" s="68">
        <f>VLOOKUP(Table5[[#This Row],[Date]],Database!A:E,5,)</f>
        <v>252.047</v>
      </c>
      <c r="C611" s="14">
        <f t="shared" si="20"/>
        <v>8.9348825757874339E-4</v>
      </c>
      <c r="D611" s="14">
        <f t="shared" si="19"/>
        <v>1.7019799942702384E-2</v>
      </c>
      <c r="E611" s="15">
        <f>VLOOKUP(Table5[[#This Row],[Date]],'Fed Fund New'!$A:$C,2,FALSE)</f>
        <v>1.25</v>
      </c>
      <c r="F611" s="27">
        <v>0.02</v>
      </c>
    </row>
    <row r="612" spans="1:6" x14ac:dyDescent="0.2">
      <c r="A612" s="61">
        <v>42948</v>
      </c>
      <c r="B612" s="68">
        <f>VLOOKUP(Table5[[#This Row],[Date]],Database!A:E,5,)</f>
        <v>252.59700000000001</v>
      </c>
      <c r="C612" s="14">
        <f t="shared" si="20"/>
        <v>2.1821326974731355E-3</v>
      </c>
      <c r="D612" s="14">
        <f t="shared" si="19"/>
        <v>1.680198693357703E-2</v>
      </c>
      <c r="E612" s="15">
        <f>VLOOKUP(Table5[[#This Row],[Date]],'Fed Fund New'!$A:$C,2,FALSE)</f>
        <v>1.25</v>
      </c>
      <c r="F612" s="27">
        <v>0.02</v>
      </c>
    </row>
    <row r="613" spans="1:6" x14ac:dyDescent="0.2">
      <c r="A613" s="61">
        <v>42979</v>
      </c>
      <c r="B613" s="68">
        <f>VLOOKUP(Table5[[#This Row],[Date]],Database!A:E,5,)</f>
        <v>253.03899999999999</v>
      </c>
      <c r="C613" s="14">
        <f t="shared" si="20"/>
        <v>1.7498228403345203E-3</v>
      </c>
      <c r="D613" s="14">
        <f t="shared" si="19"/>
        <v>1.6866123885839104E-2</v>
      </c>
      <c r="E613" s="15">
        <f>VLOOKUP(Table5[[#This Row],[Date]],'Fed Fund New'!$A:$C,2,FALSE)</f>
        <v>1.25</v>
      </c>
      <c r="F613" s="27">
        <v>0.02</v>
      </c>
    </row>
    <row r="614" spans="1:6" x14ac:dyDescent="0.2">
      <c r="A614" s="61">
        <v>43009</v>
      </c>
      <c r="B614" s="68">
        <f>VLOOKUP(Table5[[#This Row],[Date]],Database!A:E,5,)</f>
        <v>253.535</v>
      </c>
      <c r="C614" s="14">
        <f t="shared" si="20"/>
        <v>1.9601721473765281E-3</v>
      </c>
      <c r="D614" s="14">
        <f t="shared" si="19"/>
        <v>1.7632514790761899E-2</v>
      </c>
      <c r="E614" s="15">
        <f>VLOOKUP(Table5[[#This Row],[Date]],'Fed Fund New'!$A:$C,2,FALSE)</f>
        <v>1.25</v>
      </c>
      <c r="F614" s="27">
        <v>0.02</v>
      </c>
    </row>
    <row r="615" spans="1:6" x14ac:dyDescent="0.2">
      <c r="A615" s="61">
        <v>43040</v>
      </c>
      <c r="B615" s="68">
        <f>VLOOKUP(Table5[[#This Row],[Date]],Database!A:E,5,)</f>
        <v>253.744</v>
      </c>
      <c r="C615" s="14">
        <f t="shared" si="20"/>
        <v>8.2434377896544136E-4</v>
      </c>
      <c r="D615" s="14">
        <f t="shared" si="19"/>
        <v>1.7087473595183623E-2</v>
      </c>
      <c r="E615" s="15">
        <f>VLOOKUP(Table5[[#This Row],[Date]],'Fed Fund New'!$A:$C,2,FALSE)</f>
        <v>1.25</v>
      </c>
      <c r="F615" s="27">
        <v>0.02</v>
      </c>
    </row>
    <row r="616" spans="1:6" x14ac:dyDescent="0.2">
      <c r="A616" s="61">
        <v>43070</v>
      </c>
      <c r="B616" s="68">
        <f>VLOOKUP(Table5[[#This Row],[Date]],Database!A:E,5,)</f>
        <v>254.30799999999999</v>
      </c>
      <c r="C616" s="14">
        <f t="shared" si="20"/>
        <v>2.2227126552745798E-3</v>
      </c>
      <c r="D616" s="14">
        <f t="shared" si="19"/>
        <v>1.7557618437900151E-2</v>
      </c>
      <c r="E616" s="15">
        <f>VLOOKUP(Table5[[#This Row],[Date]],'Fed Fund New'!$A:$C,2,FALSE)</f>
        <v>1.5</v>
      </c>
      <c r="F616" s="27">
        <v>0.02</v>
      </c>
    </row>
    <row r="617" spans="1:6" x14ac:dyDescent="0.2">
      <c r="A617" s="61">
        <v>43101</v>
      </c>
      <c r="B617" s="68">
        <f>VLOOKUP(Table5[[#This Row],[Date]],Database!A:E,5,)</f>
        <v>255.00700000000001</v>
      </c>
      <c r="C617" s="14">
        <f t="shared" si="20"/>
        <v>2.7486355128427432E-3</v>
      </c>
      <c r="D617" s="14">
        <f t="shared" si="19"/>
        <v>1.8146465332066406E-2</v>
      </c>
      <c r="E617" s="15">
        <f>VLOOKUP(Table5[[#This Row],[Date]],'Fed Fund New'!$A:$C,2,FALSE)</f>
        <v>1.5</v>
      </c>
      <c r="F617" s="27">
        <v>0.02</v>
      </c>
    </row>
    <row r="618" spans="1:6" x14ac:dyDescent="0.2">
      <c r="A618" s="61">
        <v>43132</v>
      </c>
      <c r="B618" s="68">
        <f>VLOOKUP(Table5[[#This Row],[Date]],Database!A:E,5,)</f>
        <v>255.47200000000001</v>
      </c>
      <c r="C618" s="14">
        <f t="shared" si="20"/>
        <v>1.8234793554686868E-3</v>
      </c>
      <c r="D618" s="14">
        <f t="shared" si="19"/>
        <v>1.8210224668497456E-2</v>
      </c>
      <c r="E618" s="15">
        <f>VLOOKUP(Table5[[#This Row],[Date]],'Fed Fund New'!$A:$C,2,FALSE)</f>
        <v>1.5</v>
      </c>
      <c r="F618" s="27">
        <v>0.02</v>
      </c>
    </row>
    <row r="619" spans="1:6" x14ac:dyDescent="0.2">
      <c r="A619" s="61">
        <v>43160</v>
      </c>
      <c r="B619" s="68">
        <f>VLOOKUP(Table5[[#This Row],[Date]],Database!A:E,5,)</f>
        <v>256.11700000000002</v>
      </c>
      <c r="C619" s="14">
        <f t="shared" si="20"/>
        <v>2.5247385232041483E-3</v>
      </c>
      <c r="D619" s="14">
        <f t="shared" si="19"/>
        <v>2.105359677239314E-2</v>
      </c>
      <c r="E619" s="15">
        <f>VLOOKUP(Table5[[#This Row],[Date]],'Fed Fund New'!$A:$C,2,FALSE)</f>
        <v>1.75</v>
      </c>
      <c r="F619" s="27">
        <v>0.02</v>
      </c>
    </row>
    <row r="620" spans="1:6" x14ac:dyDescent="0.2">
      <c r="A620" s="61">
        <v>43191</v>
      </c>
      <c r="B620" s="68">
        <f>VLOOKUP(Table5[[#This Row],[Date]],Database!A:E,5,)</f>
        <v>256.65600000000001</v>
      </c>
      <c r="C620" s="14">
        <f t="shared" si="20"/>
        <v>2.1045069245695805E-3</v>
      </c>
      <c r="D620" s="14">
        <f t="shared" si="19"/>
        <v>2.1508286501201967E-2</v>
      </c>
      <c r="E620" s="15">
        <f>VLOOKUP(Table5[[#This Row],[Date]],'Fed Fund New'!$A:$C,2,FALSE)</f>
        <v>1.75</v>
      </c>
      <c r="F620" s="27">
        <v>0.02</v>
      </c>
    </row>
    <row r="621" spans="1:6" x14ac:dyDescent="0.2">
      <c r="A621" s="61">
        <v>43221</v>
      </c>
      <c r="B621" s="68">
        <f>VLOOKUP(Table5[[#This Row],[Date]],Database!A:E,5,)</f>
        <v>257.15699999999998</v>
      </c>
      <c r="C621" s="14">
        <f t="shared" si="20"/>
        <v>1.9520291752383593E-3</v>
      </c>
      <c r="D621" s="14">
        <f t="shared" si="19"/>
        <v>2.2541831021758423E-2</v>
      </c>
      <c r="E621" s="15">
        <f>VLOOKUP(Table5[[#This Row],[Date]],'Fed Fund New'!$A:$C,2,FALSE)</f>
        <v>1.75</v>
      </c>
      <c r="F621" s="27">
        <v>0.02</v>
      </c>
    </row>
    <row r="622" spans="1:6" x14ac:dyDescent="0.2">
      <c r="A622" s="61">
        <v>43252</v>
      </c>
      <c r="B622" s="68">
        <f>VLOOKUP(Table5[[#This Row],[Date]],Database!A:E,5,)</f>
        <v>257.53399999999999</v>
      </c>
      <c r="C622" s="14">
        <f t="shared" si="20"/>
        <v>1.4660304794347795E-3</v>
      </c>
      <c r="D622" s="14">
        <f t="shared" si="19"/>
        <v>2.2682688565732894E-2</v>
      </c>
      <c r="E622" s="15">
        <f>VLOOKUP(Table5[[#This Row],[Date]],'Fed Fund New'!$A:$C,2,FALSE)</f>
        <v>2</v>
      </c>
      <c r="F622" s="27">
        <v>0.02</v>
      </c>
    </row>
    <row r="623" spans="1:6" x14ac:dyDescent="0.2">
      <c r="A623" s="61">
        <v>43282</v>
      </c>
      <c r="B623" s="68">
        <f>VLOOKUP(Table5[[#This Row],[Date]],Database!A:E,5,)</f>
        <v>257.93</v>
      </c>
      <c r="C623" s="14">
        <f t="shared" si="20"/>
        <v>1.5376610466968051E-3</v>
      </c>
      <c r="D623" s="14">
        <f t="shared" si="19"/>
        <v>2.3340884834971293E-2</v>
      </c>
      <c r="E623" s="15">
        <f>VLOOKUP(Table5[[#This Row],[Date]],'Fed Fund New'!$A:$C,2,FALSE)</f>
        <v>2</v>
      </c>
      <c r="F623" s="27">
        <v>0.02</v>
      </c>
    </row>
    <row r="624" spans="1:6" x14ac:dyDescent="0.2">
      <c r="A624" s="61">
        <v>43313</v>
      </c>
      <c r="B624" s="68">
        <f>VLOOKUP(Table5[[#This Row],[Date]],Database!A:E,5,)</f>
        <v>258.08</v>
      </c>
      <c r="C624" s="14">
        <f t="shared" si="20"/>
        <v>5.8155313457130718E-4</v>
      </c>
      <c r="D624" s="14">
        <f t="shared" si="19"/>
        <v>2.1706512745598622E-2</v>
      </c>
      <c r="E624" s="15">
        <f>VLOOKUP(Table5[[#This Row],[Date]],'Fed Fund New'!$A:$C,2,FALSE)</f>
        <v>2</v>
      </c>
      <c r="F624" s="27">
        <v>0.02</v>
      </c>
    </row>
    <row r="625" spans="1:22" x14ac:dyDescent="0.2">
      <c r="A625" s="61">
        <v>43344</v>
      </c>
      <c r="B625" s="68">
        <f>VLOOKUP(Table5[[#This Row],[Date]],Database!A:E,5,)</f>
        <v>258.53399999999999</v>
      </c>
      <c r="C625" s="14">
        <f t="shared" si="20"/>
        <v>1.75914445133295E-3</v>
      </c>
      <c r="D625" s="14">
        <f t="shared" si="19"/>
        <v>2.171602006014885E-2</v>
      </c>
      <c r="E625" s="15">
        <f>VLOOKUP(Table5[[#This Row],[Date]],'Fed Fund New'!$A:$C,2,FALSE)</f>
        <v>2.25</v>
      </c>
      <c r="F625" s="27">
        <v>0.02</v>
      </c>
    </row>
    <row r="626" spans="1:22" x14ac:dyDescent="0.2">
      <c r="A626" s="61">
        <v>43374</v>
      </c>
      <c r="B626" s="68">
        <f>VLOOKUP(Table5[[#This Row],[Date]],Database!A:E,5,)</f>
        <v>258.98899999999998</v>
      </c>
      <c r="C626" s="14">
        <f t="shared" si="20"/>
        <v>1.7599232596098931E-3</v>
      </c>
      <c r="D626" s="14">
        <f t="shared" si="19"/>
        <v>2.1511822825250871E-2</v>
      </c>
      <c r="E626" s="15">
        <f>VLOOKUP(Table5[[#This Row],[Date]],'Fed Fund New'!$A:$C,2,FALSE)</f>
        <v>2.25</v>
      </c>
      <c r="F626" s="27">
        <v>0.02</v>
      </c>
    </row>
    <row r="627" spans="1:22" x14ac:dyDescent="0.2">
      <c r="A627" s="61">
        <v>43405</v>
      </c>
      <c r="B627" s="68">
        <f>VLOOKUP(Table5[[#This Row],[Date]],Database!A:E,5,)</f>
        <v>259.41500000000002</v>
      </c>
      <c r="C627" s="14">
        <f t="shared" si="20"/>
        <v>1.6448575036007113E-3</v>
      </c>
      <c r="D627" s="14">
        <f t="shared" si="19"/>
        <v>2.2349296929188554E-2</v>
      </c>
      <c r="E627" s="15">
        <f>VLOOKUP(Table5[[#This Row],[Date]],'Fed Fund New'!$A:$C,2,FALSE)</f>
        <v>2.25</v>
      </c>
      <c r="F627" s="27">
        <v>0.02</v>
      </c>
    </row>
    <row r="628" spans="1:22" x14ac:dyDescent="0.2">
      <c r="A628" s="61">
        <v>43435</v>
      </c>
      <c r="B628" s="68">
        <f>VLOOKUP(Table5[[#This Row],[Date]],Database!A:E,5,)</f>
        <v>259.87299999999999</v>
      </c>
      <c r="C628" s="14">
        <f t="shared" si="20"/>
        <v>1.7655108609755409E-3</v>
      </c>
      <c r="D628" s="14">
        <f t="shared" si="19"/>
        <v>2.1882913632288399E-2</v>
      </c>
      <c r="E628" s="15">
        <f>VLOOKUP(Table5[[#This Row],[Date]],'Fed Fund New'!$A:$C,2,FALSE)</f>
        <v>2.5</v>
      </c>
      <c r="F628" s="27">
        <v>0.02</v>
      </c>
    </row>
    <row r="629" spans="1:22" x14ac:dyDescent="0.2">
      <c r="A629" s="61">
        <v>43466</v>
      </c>
      <c r="B629" s="68">
        <f>VLOOKUP(Table5[[#This Row],[Date]],Database!A:E,5,)</f>
        <v>260.41899999999998</v>
      </c>
      <c r="C629" s="14">
        <f t="shared" si="20"/>
        <v>2.1010262705244186E-3</v>
      </c>
      <c r="D629" s="14">
        <f t="shared" si="19"/>
        <v>2.1222946821067568E-2</v>
      </c>
      <c r="E629" s="15">
        <f>VLOOKUP(Table5[[#This Row],[Date]],'Fed Fund New'!$A:$C,2,FALSE)</f>
        <v>2.5</v>
      </c>
      <c r="F629" s="27">
        <v>0.02</v>
      </c>
    </row>
    <row r="630" spans="1:22" x14ac:dyDescent="0.2">
      <c r="A630" s="61">
        <v>43497</v>
      </c>
      <c r="B630" s="68">
        <f>VLOOKUP(Table5[[#This Row],[Date]],Database!A:E,5,)</f>
        <v>260.72199999999998</v>
      </c>
      <c r="C630" s="14">
        <f t="shared" si="20"/>
        <v>1.163509574954198E-3</v>
      </c>
      <c r="D630" s="14">
        <f t="shared" si="19"/>
        <v>2.0550197281893796E-2</v>
      </c>
      <c r="E630" s="15">
        <f>VLOOKUP(Table5[[#This Row],[Date]],'Fed Fund New'!$A:$C,2,FALSE)</f>
        <v>2.5</v>
      </c>
      <c r="F630" s="27">
        <v>0.02</v>
      </c>
    </row>
    <row r="631" spans="1:22" x14ac:dyDescent="0.2">
      <c r="A631" s="61">
        <v>43525</v>
      </c>
      <c r="B631" s="68">
        <f>VLOOKUP(Table5[[#This Row],[Date]],Database!A:E,5,)</f>
        <v>261.339</v>
      </c>
      <c r="C631" s="14">
        <f t="shared" si="20"/>
        <v>2.3665053198426629E-3</v>
      </c>
      <c r="D631" s="14">
        <f t="shared" si="19"/>
        <v>2.0389119035440755E-2</v>
      </c>
      <c r="E631" s="15">
        <f>VLOOKUP(Table5[[#This Row],[Date]],'Fed Fund New'!$A:$C,2,FALSE)</f>
        <v>2.5</v>
      </c>
      <c r="F631" s="27">
        <v>0.02</v>
      </c>
    </row>
    <row r="632" spans="1:22" x14ac:dyDescent="0.2">
      <c r="A632" s="61">
        <v>43556</v>
      </c>
      <c r="B632" s="68">
        <f>VLOOKUP(Table5[[#This Row],[Date]],Database!A:E,5,)</f>
        <v>262.05</v>
      </c>
      <c r="C632" s="14">
        <f t="shared" si="20"/>
        <v>2.7206042726114843E-3</v>
      </c>
      <c r="D632" s="14">
        <f t="shared" si="19"/>
        <v>2.1016457826818796E-2</v>
      </c>
      <c r="E632" s="15">
        <f>VLOOKUP(Table5[[#This Row],[Date]],'Fed Fund New'!$A:$C,2,FALSE)</f>
        <v>2.5</v>
      </c>
      <c r="F632" s="27">
        <v>0.02</v>
      </c>
    </row>
    <row r="633" spans="1:22" x14ac:dyDescent="0.2">
      <c r="A633" s="61">
        <v>43586</v>
      </c>
      <c r="B633" s="68">
        <f>VLOOKUP(Table5[[#This Row],[Date]],Database!A:E,5,)</f>
        <v>262.38400000000001</v>
      </c>
      <c r="C633" s="14">
        <f t="shared" si="20"/>
        <v>1.2745659225338797E-3</v>
      </c>
      <c r="D633" s="14">
        <f t="shared" si="19"/>
        <v>2.0326104286486592E-2</v>
      </c>
      <c r="E633" s="15">
        <f>VLOOKUP(Table5[[#This Row],[Date]],'Fed Fund New'!$A:$C,2,FALSE)</f>
        <v>2.5</v>
      </c>
      <c r="F633" s="27">
        <v>0.02</v>
      </c>
    </row>
    <row r="634" spans="1:22" x14ac:dyDescent="0.2">
      <c r="A634" s="61">
        <v>43617</v>
      </c>
      <c r="B634" s="68">
        <f>VLOOKUP(Table5[[#This Row],[Date]],Database!A:E,5,)</f>
        <v>263.11700000000002</v>
      </c>
      <c r="C634" s="14">
        <f t="shared" si="20"/>
        <v>2.7936154643575981E-3</v>
      </c>
      <c r="D634" s="14">
        <f t="shared" si="19"/>
        <v>2.1678690968959542E-2</v>
      </c>
      <c r="E634" s="15">
        <f>VLOOKUP(Table5[[#This Row],[Date]],'Fed Fund New'!$A:$C,2,FALSE)</f>
        <v>2.5</v>
      </c>
      <c r="F634" s="27">
        <v>0.02</v>
      </c>
    </row>
    <row r="635" spans="1:22" x14ac:dyDescent="0.2">
      <c r="A635" s="61">
        <v>43647</v>
      </c>
      <c r="B635" s="68">
        <f>VLOOKUP(Table5[[#This Row],[Date]],Database!A:E,5,)</f>
        <v>263.61599999999999</v>
      </c>
      <c r="C635" s="14">
        <f t="shared" si="20"/>
        <v>1.8964947152786281E-3</v>
      </c>
      <c r="D635" s="14">
        <f t="shared" si="19"/>
        <v>2.2044740821152941E-2</v>
      </c>
      <c r="E635" s="15">
        <f>VLOOKUP(Table5[[#This Row],[Date]],'Fed Fund New'!$A:$C,2,FALSE)</f>
        <v>2.5</v>
      </c>
      <c r="F635" s="27">
        <v>0.02</v>
      </c>
    </row>
    <row r="636" spans="1:22" s="74" customFormat="1" x14ac:dyDescent="0.2">
      <c r="A636" s="61">
        <v>43678</v>
      </c>
      <c r="B636" s="68">
        <f>VLOOKUP(Table5[[#This Row],[Date]],Database!A:E,5,)</f>
        <v>264.15100000000001</v>
      </c>
      <c r="C636" s="14">
        <f t="shared" si="20"/>
        <v>2.0294671036660333E-3</v>
      </c>
      <c r="D636" s="14">
        <f t="shared" si="19"/>
        <v>2.3523713577185471E-2</v>
      </c>
      <c r="E636" s="15">
        <f>VLOOKUP(Table5[[#This Row],[Date]],'Fed Fund New'!$A:$C,2,FALSE)</f>
        <v>2.25</v>
      </c>
      <c r="F636" s="27">
        <v>0.02</v>
      </c>
      <c r="V636" s="10"/>
    </row>
    <row r="637" spans="1:22" s="74" customFormat="1" x14ac:dyDescent="0.2">
      <c r="A637" s="61">
        <v>43709</v>
      </c>
      <c r="B637" s="68">
        <f>VLOOKUP(Table5[[#This Row],[Date]],Database!A:E,5,)</f>
        <v>264.60300000000001</v>
      </c>
      <c r="C637" s="14">
        <f t="shared" si="20"/>
        <v>1.7111424904694594E-3</v>
      </c>
      <c r="D637" s="14">
        <f t="shared" si="19"/>
        <v>2.3474668708951308E-2</v>
      </c>
      <c r="E637" s="15">
        <f>VLOOKUP(Table5[[#This Row],[Date]],'Fed Fund New'!$A:$C,2,FALSE)</f>
        <v>2</v>
      </c>
      <c r="F637" s="27">
        <v>0.02</v>
      </c>
    </row>
    <row r="638" spans="1:22" s="74" customFormat="1" x14ac:dyDescent="0.2">
      <c r="A638" s="61">
        <v>43739</v>
      </c>
      <c r="B638" s="68">
        <f>VLOOKUP(Table5[[#This Row],[Date]],Database!A:E,5,)</f>
        <v>265.02600000000001</v>
      </c>
      <c r="C638" s="14">
        <f t="shared" si="20"/>
        <v>1.5986213308239203E-3</v>
      </c>
      <c r="D638" s="14">
        <f t="shared" si="19"/>
        <v>2.3309870303372095E-2</v>
      </c>
      <c r="E638" s="15">
        <f>VLOOKUP(Table5[[#This Row],[Date]],'Fed Fund New'!$A:$C,2,FALSE)</f>
        <v>1.75</v>
      </c>
      <c r="F638" s="27">
        <v>0.02</v>
      </c>
    </row>
    <row r="639" spans="1:22" s="74" customFormat="1" x14ac:dyDescent="0.2">
      <c r="A639" s="61">
        <v>43770</v>
      </c>
      <c r="B639" s="68">
        <f>VLOOKUP(Table5[[#This Row],[Date]],Database!A:E,5,)</f>
        <v>265.42700000000002</v>
      </c>
      <c r="C639" s="14">
        <f t="shared" si="20"/>
        <v>1.5130590960887251E-3</v>
      </c>
      <c r="D639" s="14">
        <f t="shared" si="19"/>
        <v>2.3175221170711024E-2</v>
      </c>
      <c r="E639" s="15">
        <f>VLOOKUP(Table5[[#This Row],[Date]],'Fed Fund New'!$A:$C,2,FALSE)</f>
        <v>1.75</v>
      </c>
      <c r="F639" s="27">
        <v>0.02</v>
      </c>
    </row>
    <row r="640" spans="1:22" s="74" customFormat="1" x14ac:dyDescent="0.2">
      <c r="A640" s="61">
        <v>43800</v>
      </c>
      <c r="B640" s="68">
        <f>VLOOKUP(Table5[[#This Row],[Date]],Database!A:E,5,)</f>
        <v>265.65100000000001</v>
      </c>
      <c r="C640" s="14">
        <f t="shared" si="20"/>
        <v>8.4392318791980288E-4</v>
      </c>
      <c r="D640" s="14">
        <f t="shared" si="19"/>
        <v>2.2233937346319243E-2</v>
      </c>
      <c r="E640" s="15">
        <f>VLOOKUP(Table5[[#This Row],[Date]],'Fed Fund New'!$A:$C,2,FALSE)</f>
        <v>1.75</v>
      </c>
      <c r="F640" s="27">
        <v>0.02</v>
      </c>
    </row>
    <row r="641" spans="1:6" s="74" customFormat="1" x14ac:dyDescent="0.2">
      <c r="A641" s="61">
        <v>43831</v>
      </c>
      <c r="B641" s="68">
        <f>VLOOKUP(Table5[[#This Row],[Date]],Database!A:E,5,)</f>
        <v>266.30599999999998</v>
      </c>
      <c r="C641" s="14">
        <f t="shared" si="20"/>
        <v>2.4656410101974871E-3</v>
      </c>
      <c r="D641" s="14">
        <f t="shared" si="19"/>
        <v>2.260587745133804E-2</v>
      </c>
      <c r="E641" s="15">
        <f>VLOOKUP(Table5[[#This Row],[Date]],'Fed Fund New'!$A:$C,2,FALSE)</f>
        <v>1.75</v>
      </c>
      <c r="F641" s="27">
        <v>0.02</v>
      </c>
    </row>
    <row r="642" spans="1:6" s="74" customFormat="1" x14ac:dyDescent="0.2">
      <c r="A642" s="61">
        <v>43862</v>
      </c>
      <c r="B642" s="68">
        <f>VLOOKUP(Table5[[#This Row],[Date]],Database!A:E,5,)</f>
        <v>266.87599999999998</v>
      </c>
      <c r="C642" s="14">
        <f t="shared" ref="C642:C673" si="21">(B642-B641)/B641</f>
        <v>2.1403948840806935E-3</v>
      </c>
      <c r="D642" s="14">
        <f t="shared" si="19"/>
        <v>2.3603685151233868E-2</v>
      </c>
      <c r="E642" s="15">
        <f>VLOOKUP(Table5[[#This Row],[Date]],'Fed Fund New'!$A:$C,2,FALSE)</f>
        <v>1.75</v>
      </c>
      <c r="F642" s="27">
        <v>0.02</v>
      </c>
    </row>
    <row r="643" spans="1:6" s="74" customFormat="1" x14ac:dyDescent="0.2">
      <c r="A643" s="61">
        <v>43891</v>
      </c>
      <c r="B643" s="68">
        <f>VLOOKUP(Table5[[#This Row],[Date]],Database!A:E,5,)</f>
        <v>266.82</v>
      </c>
      <c r="C643" s="14">
        <f t="shared" si="21"/>
        <v>-2.0983527930568198E-4</v>
      </c>
      <c r="D643" s="14">
        <f t="shared" si="19"/>
        <v>2.0972759519245099E-2</v>
      </c>
      <c r="E643" s="15">
        <f>VLOOKUP(Table5[[#This Row],[Date]],'Fed Fund New'!$A:$C,2,FALSE)</f>
        <v>0.25</v>
      </c>
      <c r="F643" s="27">
        <v>0.02</v>
      </c>
    </row>
    <row r="644" spans="1:6" s="74" customFormat="1" x14ac:dyDescent="0.2">
      <c r="A644" s="61">
        <v>43922</v>
      </c>
      <c r="B644" s="68">
        <f>VLOOKUP(Table5[[#This Row],[Date]],Database!A:E,5,)</f>
        <v>265.83600000000001</v>
      </c>
      <c r="C644" s="14">
        <f t="shared" si="21"/>
        <v>-3.6878794693050764E-3</v>
      </c>
      <c r="D644" s="14">
        <f t="shared" si="19"/>
        <v>1.4447624499141391E-2</v>
      </c>
      <c r="E644" s="15">
        <f>VLOOKUP(Table5[[#This Row],[Date]],'Fed Fund New'!$A:$C,2,FALSE)</f>
        <v>0.25</v>
      </c>
      <c r="F644" s="27">
        <v>0.02</v>
      </c>
    </row>
    <row r="645" spans="1:6" s="74" customFormat="1" x14ac:dyDescent="0.2">
      <c r="A645" s="61">
        <v>43952</v>
      </c>
      <c r="B645" s="68">
        <f>VLOOKUP(Table5[[#This Row],[Date]],Database!A:E,5,)</f>
        <v>265.637</v>
      </c>
      <c r="C645" s="14">
        <f t="shared" si="21"/>
        <v>-7.4858183240799692E-4</v>
      </c>
      <c r="D645" s="14">
        <f t="shared" si="19"/>
        <v>1.2397859625586871E-2</v>
      </c>
      <c r="E645" s="15">
        <f>VLOOKUP(Table5[[#This Row],[Date]],'Fed Fund New'!$A:$C,2,FALSE)</f>
        <v>0.25</v>
      </c>
      <c r="F645" s="27">
        <v>0.02</v>
      </c>
    </row>
    <row r="646" spans="1:6" s="74" customFormat="1" x14ac:dyDescent="0.2">
      <c r="A646" s="61">
        <v>43983</v>
      </c>
      <c r="B646" s="68">
        <f>VLOOKUP(Table5[[#This Row],[Date]],Database!A:E,5,)</f>
        <v>266.28199999999998</v>
      </c>
      <c r="C646" s="14">
        <f t="shared" si="21"/>
        <v>2.4281255999728268E-3</v>
      </c>
      <c r="D646" s="14">
        <f t="shared" si="19"/>
        <v>1.202886928628695E-2</v>
      </c>
      <c r="E646" s="15">
        <f>VLOOKUP(Table5[[#This Row],[Date]],'Fed Fund New'!$A:$C,2,FALSE)</f>
        <v>0.25</v>
      </c>
      <c r="F646" s="27">
        <v>0.02</v>
      </c>
    </row>
    <row r="647" spans="1:6" s="74" customFormat="1" x14ac:dyDescent="0.2">
      <c r="A647" s="61">
        <v>44013</v>
      </c>
      <c r="B647" s="68">
        <f>VLOOKUP(Table5[[#This Row],[Date]],Database!A:E,5,)</f>
        <v>267.72199999999998</v>
      </c>
      <c r="C647" s="14">
        <f t="shared" si="21"/>
        <v>5.4078007525855962E-3</v>
      </c>
      <c r="D647" s="14">
        <f t="shared" si="19"/>
        <v>1.5575685846079126E-2</v>
      </c>
      <c r="E647" s="15">
        <f>VLOOKUP(Table5[[#This Row],[Date]],'Fed Fund New'!$A:$C,2,FALSE)</f>
        <v>0.25</v>
      </c>
      <c r="F647" s="27">
        <v>0.02</v>
      </c>
    </row>
    <row r="648" spans="1:6" s="74" customFormat="1" x14ac:dyDescent="0.2">
      <c r="A648" s="61">
        <v>44044</v>
      </c>
      <c r="B648" s="68">
        <f>VLOOKUP(Table5[[#This Row],[Date]],Database!A:E,5,)</f>
        <v>268.654</v>
      </c>
      <c r="C648" s="14">
        <f t="shared" si="21"/>
        <v>3.481223059741136E-3</v>
      </c>
      <c r="D648" s="14">
        <f t="shared" si="19"/>
        <v>1.7047067775628279E-2</v>
      </c>
      <c r="E648" s="15">
        <f>VLOOKUP(Table5[[#This Row],[Date]],'Fed Fund New'!$A:$C,2,FALSE)</f>
        <v>0.25</v>
      </c>
      <c r="F648" s="27">
        <v>0.02</v>
      </c>
    </row>
    <row r="649" spans="1:6" s="74" customFormat="1" x14ac:dyDescent="0.2">
      <c r="A649" s="61">
        <v>44075</v>
      </c>
      <c r="B649" s="68">
        <f>VLOOKUP(Table5[[#This Row],[Date]],Database!A:E,5,)</f>
        <v>269.15499999999997</v>
      </c>
      <c r="C649" s="14">
        <f t="shared" si="21"/>
        <v>1.8648521890609348E-3</v>
      </c>
      <c r="D649" s="14">
        <f t="shared" si="19"/>
        <v>1.7203130727920561E-2</v>
      </c>
      <c r="E649" s="15">
        <f>VLOOKUP(Table5[[#This Row],[Date]],'Fed Fund New'!$A:$C,2,FALSE)</f>
        <v>0.25</v>
      </c>
      <c r="F649" s="27">
        <v>0.02</v>
      </c>
    </row>
    <row r="650" spans="1:6" s="74" customFormat="1" x14ac:dyDescent="0.2">
      <c r="A650" s="61">
        <v>44105</v>
      </c>
      <c r="B650" s="68">
        <f>VLOOKUP(Table5[[#This Row],[Date]],Database!A:E,5,)</f>
        <v>269.35000000000002</v>
      </c>
      <c r="C650" s="14">
        <f t="shared" si="21"/>
        <v>7.2448960636083311E-4</v>
      </c>
      <c r="D650" s="14">
        <f t="shared" si="19"/>
        <v>1.6315380377774302E-2</v>
      </c>
      <c r="E650" s="15">
        <f>VLOOKUP(Table5[[#This Row],[Date]],'Fed Fund New'!$A:$C,2,FALSE)</f>
        <v>0.25</v>
      </c>
      <c r="F650" s="27">
        <v>0.02</v>
      </c>
    </row>
    <row r="651" spans="1:6" s="74" customFormat="1" x14ac:dyDescent="0.2">
      <c r="A651" s="61">
        <v>44136</v>
      </c>
      <c r="B651" s="68">
        <f>VLOOKUP(Table5[[#This Row],[Date]],Database!A:E,5,)</f>
        <v>269.81900000000002</v>
      </c>
      <c r="C651" s="14">
        <f t="shared" si="21"/>
        <v>1.7412288843511939E-3</v>
      </c>
      <c r="D651" s="14">
        <f t="shared" si="19"/>
        <v>1.6546922505999751E-2</v>
      </c>
      <c r="E651" s="15">
        <f>VLOOKUP(Table5[[#This Row],[Date]],'Fed Fund New'!$A:$C,2,FALSE)</f>
        <v>0.25</v>
      </c>
      <c r="F651" s="27">
        <v>0.02</v>
      </c>
    </row>
    <row r="652" spans="1:6" s="74" customFormat="1" x14ac:dyDescent="0.2">
      <c r="A652" s="61">
        <v>44166</v>
      </c>
      <c r="B652" s="68">
        <f>VLOOKUP(Table5[[#This Row],[Date]],Database!A:E,5,)</f>
        <v>269.94</v>
      </c>
      <c r="C652" s="14">
        <f t="shared" si="21"/>
        <v>4.4844877491941222E-4</v>
      </c>
      <c r="D652" s="14">
        <f t="shared" si="19"/>
        <v>1.614524319501898E-2</v>
      </c>
      <c r="E652" s="15">
        <f>VLOOKUP(Table5[[#This Row],[Date]],'Fed Fund New'!$A:$C,2,FALSE)</f>
        <v>0.25</v>
      </c>
      <c r="F652" s="27">
        <v>0.02</v>
      </c>
    </row>
    <row r="653" spans="1:6" s="74" customFormat="1" x14ac:dyDescent="0.2">
      <c r="A653" s="61">
        <v>44197</v>
      </c>
      <c r="B653" s="68">
        <f>VLOOKUP(Table5[[#This Row],[Date]],Database!A:E,5,)</f>
        <v>270.02499999999998</v>
      </c>
      <c r="C653" s="14">
        <f t="shared" si="21"/>
        <v>3.1488478921234178E-4</v>
      </c>
      <c r="D653" s="14">
        <f t="shared" si="19"/>
        <v>1.396513784894067E-2</v>
      </c>
      <c r="E653" s="15">
        <f>VLOOKUP(Table5[[#This Row],[Date]],'Fed Fund New'!$A:$C,2,FALSE)</f>
        <v>0.25</v>
      </c>
      <c r="F653" s="27">
        <v>0.02</v>
      </c>
    </row>
    <row r="654" spans="1:6" s="74" customFormat="1" x14ac:dyDescent="0.2">
      <c r="A654" s="61">
        <v>44228</v>
      </c>
      <c r="B654" s="68">
        <f>VLOOKUP(Table5[[#This Row],[Date]],Database!A:E,5,)</f>
        <v>270.29899999999998</v>
      </c>
      <c r="C654" s="14">
        <f t="shared" si="21"/>
        <v>1.0147208591797091E-3</v>
      </c>
      <c r="D654" s="14">
        <f t="shared" si="19"/>
        <v>1.2826181447563671E-2</v>
      </c>
      <c r="E654" s="15">
        <f>VLOOKUP(Table5[[#This Row],[Date]],'Fed Fund New'!$A:$C,2,FALSE)</f>
        <v>0.25</v>
      </c>
      <c r="F654" s="27">
        <v>0.02</v>
      </c>
    </row>
    <row r="655" spans="1:6" s="74" customFormat="1" x14ac:dyDescent="0.2">
      <c r="A655" s="61">
        <v>44256</v>
      </c>
      <c r="B655" s="68">
        <f>VLOOKUP(Table5[[#This Row],[Date]],Database!A:E,5,)</f>
        <v>271.214</v>
      </c>
      <c r="C655" s="14">
        <f t="shared" si="21"/>
        <v>3.3851401596011106E-3</v>
      </c>
      <c r="D655" s="14">
        <f t="shared" si="19"/>
        <v>1.6468030882242732E-2</v>
      </c>
      <c r="E655" s="15">
        <f>VLOOKUP(Table5[[#This Row],[Date]],'Fed Fund New'!$A:$C,2,FALSE)</f>
        <v>0.25</v>
      </c>
      <c r="F655" s="27">
        <v>0.02</v>
      </c>
    </row>
    <row r="656" spans="1:6" s="74" customFormat="1" x14ac:dyDescent="0.2">
      <c r="A656" s="61">
        <v>44287</v>
      </c>
      <c r="B656" s="68">
        <f>VLOOKUP(Table5[[#This Row],[Date]],Database!A:E,5,)</f>
        <v>273.7</v>
      </c>
      <c r="C656" s="14">
        <f t="shared" si="21"/>
        <v>9.1661934855869903E-3</v>
      </c>
      <c r="D656" s="14">
        <f t="shared" si="19"/>
        <v>2.9582148392241742E-2</v>
      </c>
      <c r="E656" s="15">
        <f>VLOOKUP(Table5[[#This Row],[Date]],'Fed Fund New'!$A:$C,2,FALSE)</f>
        <v>0.25</v>
      </c>
      <c r="F656" s="27">
        <v>0.02</v>
      </c>
    </row>
    <row r="657" spans="1:6" s="74" customFormat="1" x14ac:dyDescent="0.2">
      <c r="A657" s="61">
        <v>44317</v>
      </c>
      <c r="B657" s="68">
        <f>VLOOKUP(Table5[[#This Row],[Date]],Database!A:E,5,)</f>
        <v>275.71800000000002</v>
      </c>
      <c r="C657" s="14">
        <f t="shared" si="21"/>
        <v>7.3730361709902414E-3</v>
      </c>
      <c r="D657" s="14">
        <f t="shared" ref="D657:D720" si="22">(B657-B645)/B645</f>
        <v>3.7950285540041553E-2</v>
      </c>
      <c r="E657" s="15">
        <f>VLOOKUP(Table5[[#This Row],[Date]],'Fed Fund New'!$A:$C,2,FALSE)</f>
        <v>0.25</v>
      </c>
      <c r="F657" s="27">
        <v>0.02</v>
      </c>
    </row>
    <row r="658" spans="1:6" s="74" customFormat="1" x14ac:dyDescent="0.2">
      <c r="A658" s="61">
        <v>44348</v>
      </c>
      <c r="B658" s="68">
        <f>VLOOKUP(Table5[[#This Row],[Date]],Database!A:E,5,)</f>
        <v>278.14</v>
      </c>
      <c r="C658" s="14">
        <f t="shared" si="21"/>
        <v>8.7843376203220989E-3</v>
      </c>
      <c r="D658" s="14">
        <f t="shared" si="22"/>
        <v>4.4531737030666756E-2</v>
      </c>
      <c r="E658" s="15">
        <f>VLOOKUP(Table5[[#This Row],[Date]],'Fed Fund New'!$A:$C,2,FALSE)</f>
        <v>0.25</v>
      </c>
      <c r="F658" s="27">
        <v>0.02</v>
      </c>
    </row>
    <row r="659" spans="1:6" s="74" customFormat="1" x14ac:dyDescent="0.2">
      <c r="A659" s="61">
        <v>44378</v>
      </c>
      <c r="B659" s="68">
        <f>VLOOKUP(Table5[[#This Row],[Date]],Database!A:E,5,)</f>
        <v>279.05399999999997</v>
      </c>
      <c r="C659" s="14">
        <f t="shared" si="21"/>
        <v>3.2861149061623185E-3</v>
      </c>
      <c r="D659" s="14">
        <f t="shared" si="22"/>
        <v>4.2327488962431159E-2</v>
      </c>
      <c r="E659" s="15">
        <f>VLOOKUP(Table5[[#This Row],[Date]],'Fed Fund New'!$A:$C,2,FALSE)</f>
        <v>0.25</v>
      </c>
      <c r="F659" s="27">
        <v>0.02</v>
      </c>
    </row>
    <row r="660" spans="1:6" s="74" customFormat="1" x14ac:dyDescent="0.2">
      <c r="A660" s="61">
        <v>44409</v>
      </c>
      <c r="B660" s="68">
        <f>VLOOKUP(Table5[[#This Row],[Date]],Database!A:E,5,)</f>
        <v>279.33800000000002</v>
      </c>
      <c r="C660" s="14">
        <f t="shared" si="21"/>
        <v>1.0177241680823378E-3</v>
      </c>
      <c r="D660" s="14">
        <f t="shared" si="22"/>
        <v>3.9768624327201629E-2</v>
      </c>
      <c r="E660" s="15">
        <f>VLOOKUP(Table5[[#This Row],[Date]],'Fed Fund New'!$A:$C,2,FALSE)</f>
        <v>0.25</v>
      </c>
      <c r="F660" s="27">
        <v>0.02</v>
      </c>
    </row>
    <row r="661" spans="1:6" s="74" customFormat="1" x14ac:dyDescent="0.2">
      <c r="A661" s="61">
        <v>44440</v>
      </c>
      <c r="B661" s="68">
        <f>VLOOKUP(Table5[[#This Row],[Date]],Database!A:E,5,)</f>
        <v>280.017</v>
      </c>
      <c r="C661" s="14">
        <f t="shared" si="21"/>
        <v>2.4307469803606153E-3</v>
      </c>
      <c r="D661" s="14">
        <f t="shared" si="22"/>
        <v>4.0355928739945472E-2</v>
      </c>
      <c r="E661" s="15">
        <f>VLOOKUP(Table5[[#This Row],[Date]],'Fed Fund New'!$A:$C,2,FALSE)</f>
        <v>0.25</v>
      </c>
      <c r="F661" s="27">
        <v>0.02</v>
      </c>
    </row>
    <row r="662" spans="1:6" s="74" customFormat="1" x14ac:dyDescent="0.2">
      <c r="A662" s="61">
        <v>44470</v>
      </c>
      <c r="B662" s="68">
        <f>VLOOKUP(Table5[[#This Row],[Date]],Database!A:E,5,)</f>
        <v>281.69499999999999</v>
      </c>
      <c r="C662" s="14">
        <f t="shared" si="21"/>
        <v>5.9924933129059926E-3</v>
      </c>
      <c r="D662" s="14">
        <f t="shared" si="22"/>
        <v>4.5832559866344789E-2</v>
      </c>
      <c r="E662" s="15">
        <f>VLOOKUP(Table5[[#This Row],[Date]],'Fed Fund New'!$A:$C,2,FALSE)</f>
        <v>0.25</v>
      </c>
      <c r="F662" s="27">
        <v>0.02</v>
      </c>
    </row>
    <row r="663" spans="1:6" s="74" customFormat="1" x14ac:dyDescent="0.2">
      <c r="A663" s="61">
        <v>44501</v>
      </c>
      <c r="B663" s="68">
        <f>VLOOKUP(Table5[[#This Row],[Date]],Database!A:E,5,)</f>
        <v>283.20100000000002</v>
      </c>
      <c r="C663" s="14">
        <f t="shared" si="21"/>
        <v>5.3462077779159326E-3</v>
      </c>
      <c r="D663" s="14">
        <f t="shared" si="22"/>
        <v>4.9596210793161358E-2</v>
      </c>
      <c r="E663" s="15">
        <f>VLOOKUP(Table5[[#This Row],[Date]],'Fed Fund New'!$A:$C,2,FALSE)</f>
        <v>0.25</v>
      </c>
      <c r="F663" s="27">
        <v>0.02</v>
      </c>
    </row>
    <row r="664" spans="1:6" s="74" customFormat="1" x14ac:dyDescent="0.2">
      <c r="A664" s="61">
        <v>44531</v>
      </c>
      <c r="B664" s="68">
        <f>VLOOKUP(Table5[[#This Row],[Date]],Database!A:E,5,)</f>
        <v>284.75900000000001</v>
      </c>
      <c r="C664" s="14">
        <f t="shared" si="21"/>
        <v>5.5013930035557523E-3</v>
      </c>
      <c r="D664" s="14">
        <f t="shared" si="22"/>
        <v>5.4897384603986132E-2</v>
      </c>
      <c r="E664" s="15">
        <f>VLOOKUP(Table5[[#This Row],[Date]],'Fed Fund New'!$A:$C,2,FALSE)</f>
        <v>0.25</v>
      </c>
      <c r="F664" s="27">
        <v>0.02</v>
      </c>
    </row>
    <row r="665" spans="1:6" s="74" customFormat="1" x14ac:dyDescent="0.2">
      <c r="A665" s="61">
        <v>44562</v>
      </c>
      <c r="B665" s="68">
        <f>VLOOKUP(Table5[[#This Row],[Date]],Database!A:E,5,)</f>
        <v>286.43099999999998</v>
      </c>
      <c r="C665" s="14">
        <f t="shared" si="21"/>
        <v>5.8716318009262866E-3</v>
      </c>
      <c r="D665" s="14">
        <f t="shared" si="22"/>
        <v>6.0757337283584879E-2</v>
      </c>
      <c r="E665" s="15">
        <f>VLOOKUP(Table5[[#This Row],[Date]],'Fed Fund New'!$A:$C,2,FALSE)</f>
        <v>0.25</v>
      </c>
      <c r="F665" s="27">
        <v>0.02</v>
      </c>
    </row>
    <row r="666" spans="1:6" s="74" customFormat="1" x14ac:dyDescent="0.2">
      <c r="A666" s="2"/>
      <c r="B666" s="64"/>
      <c r="C666" s="2"/>
      <c r="D666" s="2"/>
      <c r="E666" s="11"/>
      <c r="F666" s="5"/>
    </row>
    <row r="667" spans="1:6" s="74" customFormat="1" x14ac:dyDescent="0.2">
      <c r="A667" s="2"/>
      <c r="B667" s="64"/>
      <c r="C667" s="2"/>
      <c r="D667" s="2"/>
      <c r="E667" s="11"/>
      <c r="F667" s="5"/>
    </row>
    <row r="668" spans="1:6" s="74" customFormat="1" x14ac:dyDescent="0.2">
      <c r="A668" s="2"/>
      <c r="B668" s="64"/>
      <c r="C668" s="2"/>
      <c r="D668" s="2"/>
      <c r="E668" s="11"/>
      <c r="F668" s="5"/>
    </row>
    <row r="669" spans="1:6" s="74" customFormat="1" x14ac:dyDescent="0.2">
      <c r="A669" s="2"/>
      <c r="B669" s="64"/>
      <c r="C669" s="2"/>
      <c r="D669" s="2"/>
      <c r="E669" s="11"/>
      <c r="F669" s="5"/>
    </row>
    <row r="670" spans="1:6" s="74" customFormat="1" x14ac:dyDescent="0.2">
      <c r="A670" s="2"/>
      <c r="B670" s="64"/>
      <c r="C670" s="2"/>
      <c r="D670" s="2"/>
      <c r="E670" s="11"/>
      <c r="F670" s="5"/>
    </row>
    <row r="671" spans="1:6" s="74" customFormat="1" x14ac:dyDescent="0.2">
      <c r="A671" s="2"/>
      <c r="B671" s="64"/>
      <c r="C671" s="2"/>
      <c r="D671" s="2"/>
      <c r="E671" s="11"/>
      <c r="F671" s="5"/>
    </row>
    <row r="672" spans="1:6" s="74" customFormat="1" x14ac:dyDescent="0.2">
      <c r="A672" s="2"/>
      <c r="B672" s="64"/>
      <c r="C672" s="2"/>
      <c r="D672" s="2"/>
      <c r="E672" s="11"/>
      <c r="F672" s="5"/>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row r="1262" spans="1:6" x14ac:dyDescent="0.2">
      <c r="A1262" s="2"/>
      <c r="B1262" s="64"/>
      <c r="C1262" s="2"/>
      <c r="D1262" s="2"/>
      <c r="E1262" s="11"/>
      <c r="F1262" s="5"/>
    </row>
  </sheetData>
  <conditionalFormatting sqref="C545:C665">
    <cfRule type="colorScale" priority="32">
      <colorScale>
        <cfvo type="min"/>
        <cfvo type="percentile" val="50"/>
        <cfvo type="max"/>
        <color rgb="FFF8696B"/>
        <color rgb="FFFFEB84"/>
        <color rgb="FF63BE7B"/>
      </colorScale>
    </cfRule>
  </conditionalFormatting>
  <conditionalFormatting sqref="D545:D665">
    <cfRule type="colorScale" priority="33">
      <colorScale>
        <cfvo type="min"/>
        <cfvo type="percentile" val="50"/>
        <cfvo type="max"/>
        <color rgb="FFF8696B"/>
        <color rgb="FFFFEB84"/>
        <color rgb="FF63BE7B"/>
      </colorScale>
    </cfRule>
  </conditionalFormatting>
  <conditionalFormatting sqref="C521:C665">
    <cfRule type="colorScale" priority="2">
      <colorScale>
        <cfvo type="min"/>
        <cfvo type="percentile" val="50"/>
        <cfvo type="max"/>
        <color rgb="FFF8696B"/>
        <color rgb="FFFFEB84"/>
        <color rgb="FF63BE7B"/>
      </colorScale>
    </cfRule>
  </conditionalFormatting>
  <conditionalFormatting sqref="D521:D66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opLeftCell="A3" zoomScale="160" zoomScaleNormal="160" workbookViewId="0">
      <selection activeCell="D6" sqref="D6"/>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6" width="9.1640625" style="74" customWidth="1"/>
    <col min="17"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44197</v>
      </c>
      <c r="E3" s="28"/>
      <c r="F3" s="28"/>
      <c r="G3" s="35" t="s">
        <v>15</v>
      </c>
      <c r="H3" s="48">
        <f>(VLOOKUP($D$5,CPI!A:B,2,)-VLOOKUP(Recap!$D$4,CPI!A:B,2,))/VLOOKUP(Recap!$D$4,CPI!A:B,2,)</f>
        <v>6.2135963910460879E-3</v>
      </c>
      <c r="I3" s="49">
        <f>(VLOOKUP($D$5,CPI!A:B,2,)-VLOOKUP(Recap!$D$3,CPI!A:B,2,))/VLOOKUP(Recap!$D$3,CPI!A:B,2,)</f>
        <v>7.5132230743123418E-2</v>
      </c>
    </row>
    <row r="4" spans="1:9" ht="16" customHeight="1" x14ac:dyDescent="0.2">
      <c r="C4" s="31" t="s">
        <v>45</v>
      </c>
      <c r="D4" s="32">
        <f>DATE(YEAR(D5),MONTH(D5)-1,DAY(D5))</f>
        <v>44531</v>
      </c>
      <c r="E4" s="28"/>
      <c r="F4" s="28"/>
      <c r="G4" s="36" t="s">
        <v>18</v>
      </c>
      <c r="H4" s="50">
        <f>(VLOOKUP($D$5,'CPI Food'!A:B,2,)-VLOOKUP(Recap!$D$4,'CPI Food'!A:B,2,))/VLOOKUP(Recap!$D$4,'CPI Food'!A:B,2,)</f>
        <v>7.6190808894167203E-3</v>
      </c>
      <c r="I4" s="51">
        <f>(VLOOKUP($D$5,'CPI Food'!A:B,2,)-VLOOKUP(Recap!$D$3,'CPI Food'!A:B,2,))/VLOOKUP(Recap!$D$3,'CPI Food'!A:B,2,)</f>
        <v>6.7443340784273054E-2</v>
      </c>
    </row>
    <row r="5" spans="1:9" ht="17" customHeight="1" thickBot="1" x14ac:dyDescent="0.25">
      <c r="C5" s="33" t="s">
        <v>46</v>
      </c>
      <c r="D5" s="34">
        <v>44562</v>
      </c>
      <c r="E5" s="28"/>
      <c r="F5" s="28"/>
      <c r="G5" s="36" t="s">
        <v>21</v>
      </c>
      <c r="H5" s="50">
        <f>(VLOOKUP($D$5,'CPI Energy'!A:B,2,)-VLOOKUP(Recap!$D$4,'CPI Energy'!A:B,2,))/VLOOKUP(Recap!$D$4,'CPI Energy'!A:B,2,)</f>
        <v>7.0016661617691217E-3</v>
      </c>
      <c r="I5" s="51">
        <f>(VLOOKUP($D$5,'CPI Energy'!A:B,2,)-VLOOKUP(Recap!$D$3,'CPI Energy'!A:B,2,))/VLOOKUP(Recap!$D$3,'CPI Energy'!A:B,2,)</f>
        <v>0.26139112616330351</v>
      </c>
    </row>
    <row r="6" spans="1:9" ht="17" customHeight="1" thickBot="1" x14ac:dyDescent="0.25">
      <c r="C6" s="28"/>
      <c r="D6" s="28"/>
      <c r="E6" s="28"/>
      <c r="F6" s="28"/>
      <c r="G6" s="37" t="s">
        <v>24</v>
      </c>
      <c r="H6" s="52">
        <f>(VLOOKUP($D$5,'Core CPI'!A:B,2,)-VLOOKUP(Recap!$D$4,'Core CPI'!A:B,2,))/VLOOKUP(Recap!$D$4,'Core CPI'!A:B,2,)</f>
        <v>5.8716318009262866E-3</v>
      </c>
      <c r="I6" s="53">
        <f>(VLOOKUP($D$5,'Core CPI'!A:B,2,)-VLOOKUP(Recap!$D$3,'Core CPI'!A:B,2,))/VLOOKUP(Recap!$D$3,'Core CPI'!A:B,2,)</f>
        <v>6.0757337283584879E-2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2022-02-16T07:10:51Z</dcterms:modified>
</cp:coreProperties>
</file>