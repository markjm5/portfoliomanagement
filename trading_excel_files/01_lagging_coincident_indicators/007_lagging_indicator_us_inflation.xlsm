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9500" yWindow="740" windowWidth="49740" windowHeight="2204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pt idx="217">
                  <v>0.06488234383180802</v>
                </pt>
                <pt idx="218">
                  <v>0.06121666057727437</v>
                </pt>
                <pt idx="219">
                  <v>0.06010126288454134</v>
                </pt>
                <pt idx="220">
                  <v>0.05829438412310347</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CPI!$A$5:$A$1037</f>
              <numCache>
                <formatCode>[$-409]mmm\-yy;@</formatCode>
                <ptCount val="1033"/>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numCache>
            </numRef>
          </cat>
          <val>
            <numRef>
              <f>CPI!$D$5:$D$1037</f>
              <numCache>
                <formatCode>0.00%</formatCode>
                <ptCount val="1033"/>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pt idx="901">
                  <v>0.07987885742948239</v>
                </pt>
                <pt idx="902">
                  <v>0.08653929673367505</v>
                </pt>
                <pt idx="903">
                  <v>0.08181552437488764</v>
                </pt>
                <pt idx="904">
                  <v>0.08535808840778848</v>
                </pt>
                <pt idx="905">
                  <v>0.08984762769345445</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CPI!$A$17:$A$918</f>
              <numCache>
                <formatCode>[$-409]mmm\-yy;@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numCache>
            </numRef>
          </cat>
          <val>
            <numRef>
              <f>CPI!$D$17:$D$918</f>
              <numCache>
                <formatCode>0.00%</formatCode>
                <ptCount val="902"/>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pt idx="889">
                  <v>0.07987885742948239</v>
                </pt>
                <pt idx="890">
                  <v>0.08653929673367505</v>
                </pt>
                <pt idx="891">
                  <v>0.08181552437488764</v>
                </pt>
                <pt idx="892">
                  <v>0.08535808840778848</v>
                </pt>
                <pt idx="893">
                  <v>0.08984762769345445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CPI!$A$641:$A$918</f>
              <numCache>
                <formatCode>[$-409]mmm\-yy;@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CPI!$D$641:$D$918</f>
              <numCache>
                <formatCode>0.00%</formatCode>
                <ptCount val="278"/>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pt idx="265">
                  <v>0.07987885742948239</v>
                </pt>
                <pt idx="266">
                  <v>0.08653929673367505</v>
                </pt>
                <pt idx="267">
                  <v>0.08181552437488764</v>
                </pt>
                <pt idx="268">
                  <v>0.08535808840778848</v>
                </pt>
                <pt idx="269">
                  <v>0.08984762769345445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CPI!$A$809:$A$918</f>
              <numCache>
                <formatCode>[$-409]mmm\-yy;@</formatCode>
                <ptCount val="11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CPI!$D$809:$D$918</f>
              <numCache>
                <formatCode>0.00%</formatCode>
                <ptCount val="110"/>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pt idx="97">
                  <v>0.07987885742948239</v>
                </pt>
                <pt idx="98">
                  <v>0.08653929673367505</v>
                </pt>
                <pt idx="99">
                  <v>0.08181552437488764</v>
                </pt>
                <pt idx="100">
                  <v>0.08535808840778848</v>
                </pt>
                <pt idx="101">
                  <v>0.08984762769345445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CPI!$A$293:$A$929</f>
              <numCache>
                <formatCode>[$-409]mmm\-yy;@</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CPI!$D$293:$D$929</f>
              <numCache>
                <formatCode>0.00%</formatCode>
                <ptCount val="637"/>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pt idx="613">
                  <v>0.07987885742948239</v>
                </pt>
                <pt idx="614">
                  <v>0.08653929673367505</v>
                </pt>
                <pt idx="615">
                  <v>0.08181552437488764</v>
                </pt>
                <pt idx="616">
                  <v>0.08535808840778848</v>
                </pt>
                <pt idx="617">
                  <v>0.08984762769345445</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CPI!$A$293:$A$911</f>
              <numCache>
                <formatCode>[$-409]mmm\-yy;@</formatCode>
                <ptCount val="61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CPI!$E$293:$E$911</f>
              <numCache>
                <formatCode>0.00</formatCode>
                <ptCount val="619"/>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Food'!$D$17:$D$908</f>
              <numCache>
                <formatCode>0.00%</formatCode>
                <ptCount val="892"/>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pt idx="649">
                  <v>0.0765731474774948</v>
                </pt>
                <pt idx="650">
                  <v>0.08552626722667986</v>
                </pt>
                <pt idx="651">
                  <v>0.09065468332273019</v>
                </pt>
                <pt idx="652">
                  <v>0.09819421357488579</v>
                </pt>
                <pt idx="653">
                  <v>0.1003768401391075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Food'!$D$401:$D$908</f>
              <numCache>
                <formatCode>0.00%</formatCode>
                <ptCount val="508"/>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pt idx="265">
                  <v>0.0765731474774948</v>
                </pt>
                <pt idx="266">
                  <v>0.08552626722667986</v>
                </pt>
                <pt idx="267">
                  <v>0.09065468332273019</v>
                </pt>
                <pt idx="268">
                  <v>0.09819421357488579</v>
                </pt>
                <pt idx="269">
                  <v>0.1003768401391075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Food'!$D$569:$D$908</f>
              <numCache>
                <formatCode>0.00%</formatCode>
                <ptCount val="340"/>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pt idx="97">
                  <v>0.0765731474774948</v>
                </pt>
                <pt idx="98">
                  <v>0.08552626722667986</v>
                </pt>
                <pt idx="99">
                  <v>0.09065468332273019</v>
                </pt>
                <pt idx="100">
                  <v>0.09819421357488579</v>
                </pt>
                <pt idx="101">
                  <v>0.1003768401391075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'CPI Energy'!$D$17:$D$908</f>
              <numCache>
                <formatCode>0.00%</formatCode>
                <ptCount val="892"/>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pt idx="649">
                  <v>0.2567939126542619</v>
                </pt>
                <pt idx="650">
                  <v>0.3287847019827219</v>
                </pt>
                <pt idx="651">
                  <v>0.2942418726976636</v>
                </pt>
                <pt idx="652">
                  <v>0.3449418629969952</v>
                </pt>
                <pt idx="653">
                  <v>0.42529668018627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'CPI Energy'!$D$401:$D$908</f>
              <numCache>
                <formatCode>0.00%</formatCode>
                <ptCount val="508"/>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pt idx="265">
                  <v>0.2567939126542619</v>
                </pt>
                <pt idx="266">
                  <v>0.3287847019827219</v>
                </pt>
                <pt idx="267">
                  <v>0.2942418726976636</v>
                </pt>
                <pt idx="268">
                  <v>0.3449418629969952</v>
                </pt>
                <pt idx="269">
                  <v>0.42529668018627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'CPI Energy'!$D$569:$D$908</f>
              <numCache>
                <formatCode>0.00%</formatCode>
                <ptCount val="340"/>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pt idx="97">
                  <v>0.2567939126542619</v>
                </pt>
                <pt idx="98">
                  <v>0.3287847019827219</v>
                </pt>
                <pt idx="99">
                  <v>0.2942418726976636</v>
                </pt>
                <pt idx="100">
                  <v>0.3449418629969952</v>
                </pt>
                <pt idx="101">
                  <v>0.42529668018627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CPI'!$D$53:$D$672</f>
              <numCache>
                <formatCode>0.00%</formatCode>
                <ptCount val="620"/>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pt idx="613">
                  <v>0.06503538673838974</v>
                </pt>
                <pt idx="614">
                  <v>0.06488234383180802</v>
                </pt>
                <pt idx="615">
                  <v>0.06121666057727437</v>
                </pt>
                <pt idx="616">
                  <v>0.06010126288454134</v>
                </pt>
                <pt idx="617">
                  <v>0.05829438412310347</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CPI'!$A$53:$A$672</f>
              <numCache>
                <formatCode>[$-409]mmm\-yy;@</formatCode>
                <ptCount val="62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numCache>
            </numRef>
          </cat>
          <val>
            <numRef>
              <f>'Core CPI'!$E$53:$E$672</f>
              <numCache>
                <formatCode>0.00</formatCode>
                <ptCount val="620"/>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pt idx="217">
                  <v>0.06488234383180802</v>
                </pt>
                <pt idx="218">
                  <v>0.06121666057727437</v>
                </pt>
                <pt idx="219">
                  <v>0.06010126288454134</v>
                </pt>
                <pt idx="220">
                  <v>0.05829438412310347</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CPI'!$A$17:$A$908</f>
              <numCache>
                <formatCode>[$-409]mmm\-yy;@</formatCode>
                <ptCount val="892"/>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numCache>
            </numRef>
          </cat>
          <val>
            <numRef>
              <f>'Core CPI'!$D$17:$D$908</f>
              <numCache>
                <formatCode>0.00%</formatCode>
                <ptCount val="892"/>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pt idx="649">
                  <v>0.06503538673838974</v>
                </pt>
                <pt idx="650">
                  <v>0.06488234383180802</v>
                </pt>
                <pt idx="651">
                  <v>0.06121666057727437</v>
                </pt>
                <pt idx="652">
                  <v>0.06010126288454134</v>
                </pt>
                <pt idx="653">
                  <v>0.05829438412310347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CPI'!$A$401:$A$908</f>
              <numCache>
                <formatCode>[$-409]mmm\-yy;@</formatCode>
                <ptCount val="50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'Core CPI'!$D$401:$D$908</f>
              <numCache>
                <formatCode>0.00%</formatCode>
                <ptCount val="508"/>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pt idx="265">
                  <v>0.06503538673838974</v>
                </pt>
                <pt idx="266">
                  <v>0.06488234383180802</v>
                </pt>
                <pt idx="267">
                  <v>0.06121666057727437</v>
                </pt>
                <pt idx="268">
                  <v>0.06010126288454134</v>
                </pt>
                <pt idx="269">
                  <v>0.05829438412310347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pt idx="98">
                  <v>0.06488234383180802</v>
                </pt>
                <pt idx="99">
                  <v>0.06121666057727437</v>
                </pt>
                <pt idx="100">
                  <v>0.06010126288454134</v>
                </pt>
                <pt idx="101">
                  <v>0.05829438412310347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CPI'!$A$449:$A$672</f>
              <numCache>
                <formatCode>[$-409]mmm\-yy;@</formatCode>
                <ptCount val="22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CPI'!$C$449:$C$672</f>
              <numCache>
                <formatCode>0.00%</formatCode>
                <ptCount val="22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pt idx="218">
                  <v>0.003240956238406522</v>
                </pt>
                <pt idx="219">
                  <v>0.005692303963491714</v>
                </pt>
                <pt idx="220">
                  <v>0.006314231120139104</v>
                </pt>
                <pt idx="221">
                  <v>0.007064925467602263</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CPI'!$A$569:$A$908</f>
              <numCache>
                <formatCode>[$-409]mmm\-yy;@</formatCode>
                <ptCount val="340"/>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numCache>
            </numRef>
          </cat>
          <val>
            <numRef>
              <f>'Core CPI'!$D$569:$D$908</f>
              <numCache>
                <formatCode>0.00%</formatCode>
                <ptCount val="340"/>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pt idx="98">
                  <v>0.06488234383180802</v>
                </pt>
                <pt idx="99">
                  <v>0.06121666057727437</v>
                </pt>
                <pt idx="100">
                  <v>0.06010126288454134</v>
                </pt>
                <pt idx="101">
                  <v>0.05829438412310347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CPI'!$A$449:$A$682</f>
              <numCache>
                <formatCode>[$-409]mmm\-yy;@</formatCode>
                <ptCount val="234"/>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numCache>
            </numRef>
          </cat>
          <val>
            <numRef>
              <f>'Core CPI'!$C$449:$C$682</f>
              <numCache>
                <formatCode>0.00%</formatCode>
                <ptCount val="234"/>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pt idx="218">
                  <v>0.003240956238406522</v>
                </pt>
                <pt idx="219">
                  <v>0.005692303963491714</v>
                </pt>
                <pt idx="220">
                  <v>0.006314231120139104</v>
                </pt>
                <pt idx="221">
                  <v>0.007064925467602263</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0" headerRowCount="1" totalsRowShown="0" headerRowDxfId="37" dataDxfId="35" headerRowBorderDxfId="36">
  <autoFilter ref="A4:F910"/>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0" headerRowCount="1" totalsRowShown="0" headerRowDxfId="28" dataDxfId="26" headerRowBorderDxfId="27" tableBorderDxfId="25">
  <autoFilter ref="A4:D670"/>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0" headerRowCount="1" totalsRowShown="0" headerRowDxfId="20" dataDxfId="18" headerRowBorderDxfId="19" tableBorderDxfId="17">
  <autoFilter ref="A4:D670"/>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0" headerRowCount="1" totalsRowShown="0" headerRowDxfId="12" dataDxfId="10" headerRowBorderDxfId="11">
  <autoFilter ref="A4:F670"/>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28"/>
    <col width="9.1640625" customWidth="1" style="85" min="29"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44531</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7"/>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7"/>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5"/>
    <col width="9.1640625" customWidth="1" style="85" min="16"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7"/>
  <sheetViews>
    <sheetView zoomScale="130" zoomScaleNormal="130" workbookViewId="0">
      <pane ySplit="4" topLeftCell="A883" activePane="bottomLeft" state="frozen"/>
      <selection pane="bottomLeft" activeCell="G915" sqref="G915"/>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85">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85">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85">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85">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85">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85">
      <c r="A911" s="2" t="n"/>
      <c r="B911" s="64" t="n"/>
      <c r="C911" s="2" t="n"/>
      <c r="D911" s="2" t="n"/>
      <c r="E911" s="5" t="n"/>
      <c r="F911" s="5" t="n"/>
    </row>
    <row r="912" customFormat="1" s="85">
      <c r="A912" s="2" t="n"/>
      <c r="B912" s="64" t="n"/>
      <c r="C912" s="2" t="n"/>
      <c r="D912" s="2" t="n"/>
      <c r="E912" s="5" t="n"/>
      <c r="F912" s="5" t="n"/>
    </row>
    <row r="913" customFormat="1" s="85">
      <c r="A913" s="2" t="n"/>
      <c r="B913" s="64" t="n"/>
      <c r="C913" s="2" t="n"/>
      <c r="D913" s="2" t="n"/>
      <c r="E913" s="5" t="n"/>
      <c r="F913" s="5" t="n"/>
    </row>
    <row r="914" customFormat="1" s="85">
      <c r="A914" s="2" t="n"/>
      <c r="B914" s="64" t="n"/>
      <c r="C914" s="2" t="n"/>
      <c r="D914" s="2" t="n"/>
      <c r="E914" s="5" t="n"/>
      <c r="F914" s="5" t="n"/>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sheetData>
  <conditionalFormatting sqref="D761:D910">
    <cfRule type="colorScale" priority="43">
      <colorScale>
        <cfvo type="min"/>
        <cfvo type="percentile" val="50"/>
        <cfvo type="max"/>
        <color rgb="FFF8696B"/>
        <color rgb="FFFFEB84"/>
        <color rgb="FF63BE7B"/>
      </colorScale>
    </cfRule>
  </conditionalFormatting>
  <conditionalFormatting sqref="C761:C910">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2"/>
  <sheetViews>
    <sheetView zoomScale="120" zoomScaleNormal="120" workbookViewId="0">
      <pane ySplit="4" topLeftCell="A630" activePane="bottomLeft" state="frozen"/>
      <selection activeCell="N27" sqref="N27"/>
      <selection pane="bottomLeft" activeCell="G685" sqref="G685"/>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61" t="n">
        <v>44562</v>
      </c>
      <c r="B665" s="68">
        <f>VLOOKUP(Table3[[#This Row],[Date]],Database!A:E,4,)</f>
        <v/>
      </c>
      <c r="C665" s="14">
        <f>(B665-B664)/B664</f>
        <v/>
      </c>
      <c r="D665" s="14">
        <f>(B665-B653)/B653</f>
        <v/>
      </c>
    </row>
    <row r="666" customFormat="1" s="85">
      <c r="A666" s="61" t="n">
        <v>44593</v>
      </c>
      <c r="B666" s="68">
        <f>VLOOKUP(Table3[[#This Row],[Date]],Database!A:E,4,)</f>
        <v/>
      </c>
      <c r="C666" s="14">
        <f>(B666-B665)/B665</f>
        <v/>
      </c>
      <c r="D666" s="14">
        <f>(B666-B654)/B654</f>
        <v/>
      </c>
    </row>
    <row r="667" customFormat="1" s="85">
      <c r="A667" s="61" t="n">
        <v>44621</v>
      </c>
      <c r="B667" s="68">
        <f>VLOOKUP(Table3[[#This Row],[Date]],Database!A:E,4,)</f>
        <v/>
      </c>
      <c r="C667" s="14">
        <f>(B667-B666)/B666</f>
        <v/>
      </c>
      <c r="D667" s="14">
        <f>(B667-B655)/B655</f>
        <v/>
      </c>
    </row>
    <row r="668" customFormat="1" s="85">
      <c r="A668" s="61" t="n">
        <v>44652</v>
      </c>
      <c r="B668" s="68">
        <f>VLOOKUP(Table3[[#This Row],[Date]],Database!A:E,4,)</f>
        <v/>
      </c>
      <c r="C668" s="14">
        <f>(B668-B667)/B667</f>
        <v/>
      </c>
      <c r="D668" s="14">
        <f>(B668-B656)/B656</f>
        <v/>
      </c>
    </row>
    <row r="669" customFormat="1" s="85">
      <c r="A669" s="61" t="n">
        <v>44682</v>
      </c>
      <c r="B669" s="68">
        <f>VLOOKUP(Table3[[#This Row],[Date]],Database!A:E,4,)</f>
        <v/>
      </c>
      <c r="C669" s="14">
        <f>(B669-B668)/B668</f>
        <v/>
      </c>
      <c r="D669" s="14">
        <f>(B669-B657)/B657</f>
        <v/>
      </c>
    </row>
    <row r="670" customFormat="1" s="85">
      <c r="A670" s="61" t="n">
        <v>44713</v>
      </c>
      <c r="B670" s="68">
        <f>VLOOKUP(Table3[[#This Row],[Date]],Database!A:E,4,)</f>
        <v/>
      </c>
      <c r="C670" s="14">
        <f>(B670-B669)/B669</f>
        <v/>
      </c>
      <c r="D670" s="14">
        <f>(B670-B658)/B658</f>
        <v/>
      </c>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sheetData>
  <conditionalFormatting sqref="D521:D670">
    <cfRule type="colorScale" priority="35">
      <colorScale>
        <cfvo type="min"/>
        <cfvo type="percentile" val="50"/>
        <cfvo type="max"/>
        <color rgb="FFF8696B"/>
        <color rgb="FFFFEB84"/>
        <color rgb="FF63BE7B"/>
      </colorScale>
    </cfRule>
  </conditionalFormatting>
  <conditionalFormatting sqref="C521:C670">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3"/>
  <sheetViews>
    <sheetView zoomScale="110" zoomScaleNormal="110" workbookViewId="0">
      <pane ySplit="4" topLeftCell="A625" activePane="bottomLeft" state="frozen"/>
      <selection pane="bottomLeft" activeCell="F662" sqref="F662"/>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61" t="n">
        <v>44562</v>
      </c>
      <c r="B665" s="68">
        <f>VLOOKUP(Table4[[#This Row],[Date]],Database!A:E,3,)</f>
        <v/>
      </c>
      <c r="C665" s="14">
        <f>(B665-B664)/B664</f>
        <v/>
      </c>
      <c r="D665" s="14">
        <f>(B665-B653)/B653</f>
        <v/>
      </c>
    </row>
    <row r="666" customFormat="1" s="85">
      <c r="A666" s="61" t="n">
        <v>44593</v>
      </c>
      <c r="B666" s="68">
        <f>VLOOKUP(Table4[[#This Row],[Date]],Database!A:E,3,)</f>
        <v/>
      </c>
      <c r="C666" s="14">
        <f>(B666-B665)/B665</f>
        <v/>
      </c>
      <c r="D666" s="14">
        <f>(B666-B654)/B654</f>
        <v/>
      </c>
    </row>
    <row r="667" customFormat="1" s="85">
      <c r="A667" s="61" t="n">
        <v>44621</v>
      </c>
      <c r="B667" s="68">
        <f>VLOOKUP(Table4[[#This Row],[Date]],Database!A:E,3,)</f>
        <v/>
      </c>
      <c r="C667" s="14">
        <f>(B667-B666)/B666</f>
        <v/>
      </c>
      <c r="D667" s="14">
        <f>(B667-B655)/B655</f>
        <v/>
      </c>
    </row>
    <row r="668" customFormat="1" s="85">
      <c r="A668" s="61" t="n">
        <v>44652</v>
      </c>
      <c r="B668" s="68">
        <f>VLOOKUP(Table4[[#This Row],[Date]],Database!A:E,3,)</f>
        <v/>
      </c>
      <c r="C668" s="14">
        <f>(B668-B667)/B667</f>
        <v/>
      </c>
      <c r="D668" s="14">
        <f>(B668-B656)/B656</f>
        <v/>
      </c>
    </row>
    <row r="669" customFormat="1" s="85">
      <c r="A669" s="61" t="n">
        <v>44682</v>
      </c>
      <c r="B669" s="68">
        <f>VLOOKUP(Table4[[#This Row],[Date]],Database!A:E,3,)</f>
        <v/>
      </c>
      <c r="C669" s="14">
        <f>(B669-B668)/B668</f>
        <v/>
      </c>
      <c r="D669" s="14">
        <f>(B669-B657)/B657</f>
        <v/>
      </c>
    </row>
    <row r="670" customFormat="1" s="85">
      <c r="A670" s="61" t="n">
        <v>44713</v>
      </c>
      <c r="B670" s="68">
        <f>VLOOKUP(Table4[[#This Row],[Date]],Database!A:E,3,)</f>
        <v/>
      </c>
      <c r="C670" s="14">
        <f>(B670-B669)/B669</f>
        <v/>
      </c>
      <c r="D670" s="14">
        <f>(B670-B658)/B658</f>
        <v/>
      </c>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sheetData>
  <conditionalFormatting sqref="C545:C670">
    <cfRule type="colorScale" priority="37">
      <colorScale>
        <cfvo type="min"/>
        <cfvo type="percentile" val="50"/>
        <cfvo type="max"/>
        <color rgb="FFF8696B"/>
        <color rgb="FFFFEB84"/>
        <color rgb="FF63BE7B"/>
      </colorScale>
    </cfRule>
  </conditionalFormatting>
  <conditionalFormatting sqref="D545:D670">
    <cfRule type="colorScale" priority="38">
      <colorScale>
        <cfvo type="min"/>
        <cfvo type="percentile" val="50"/>
        <cfvo type="max"/>
        <color rgb="FFF8696B"/>
        <color rgb="FFFFEB84"/>
        <color rgb="FF63BE7B"/>
      </colorScale>
    </cfRule>
  </conditionalFormatting>
  <conditionalFormatting sqref="D521:D670">
    <cfRule type="colorScale" priority="39">
      <colorScale>
        <cfvo type="min"/>
        <cfvo type="percentile" val="50"/>
        <cfvo type="max"/>
        <color rgb="FFF8696B"/>
        <color rgb="FFFFEB84"/>
        <color rgb="FF63BE7B"/>
      </colorScale>
    </cfRule>
  </conditionalFormatting>
  <conditionalFormatting sqref="C521:C670">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7"/>
  <sheetViews>
    <sheetView zoomScale="130" zoomScaleNormal="130" workbookViewId="0">
      <pane ySplit="4" topLeftCell="A616" activePane="bottomLeft" state="frozen"/>
      <selection activeCell="N27" sqref="N27"/>
      <selection pane="bottomLeft" activeCell="O684" sqref="O684"/>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61" t="n">
        <v>44562</v>
      </c>
      <c r="B665" s="68">
        <f>VLOOKUP(Table5[[#This Row],[Date]],Database!A:E,5,)</f>
        <v/>
      </c>
      <c r="C665" s="14">
        <f>(B665-B664)/B664</f>
        <v/>
      </c>
      <c r="D665" s="14">
        <f>(B665-B653)/B653</f>
        <v/>
      </c>
      <c r="E665" s="15">
        <f>VLOOKUP(Table5[[#This Row],[Date]],'Fed Fund New'!$A:$C,2,FALSE)</f>
        <v/>
      </c>
      <c r="F665" s="27" t="n">
        <v>0.02</v>
      </c>
    </row>
    <row r="666" customFormat="1" s="85">
      <c r="A666" s="61" t="n">
        <v>44593</v>
      </c>
      <c r="B666" s="68">
        <f>VLOOKUP(Table5[[#This Row],[Date]],Database!A:E,5,)</f>
        <v/>
      </c>
      <c r="C666" s="14">
        <f>(B666-B665)/B665</f>
        <v/>
      </c>
      <c r="D666" s="14">
        <f>(B666-B654)/B654</f>
        <v/>
      </c>
      <c r="E666" s="15">
        <f>VLOOKUP(Table5[[#This Row],[Date]],'Fed Fund New'!$A:$C,2,FALSE)</f>
        <v/>
      </c>
      <c r="F666" s="27" t="n">
        <v>0.02</v>
      </c>
    </row>
    <row r="667" customFormat="1" s="85">
      <c r="A667" s="61" t="n">
        <v>44621</v>
      </c>
      <c r="B667" s="68">
        <f>VLOOKUP(Table5[[#This Row],[Date]],Database!A:E,5,)</f>
        <v/>
      </c>
      <c r="C667" s="14">
        <f>(B667-B666)/B666</f>
        <v/>
      </c>
      <c r="D667" s="14">
        <f>(B667-B655)/B655</f>
        <v/>
      </c>
      <c r="E667" s="15">
        <f>VLOOKUP(Table5[[#This Row],[Date]],'Fed Fund New'!$A:$C,2,FALSE)</f>
        <v/>
      </c>
      <c r="F667" s="27" t="n">
        <v>0.02</v>
      </c>
    </row>
    <row r="668" customFormat="1" s="85">
      <c r="A668" s="61" t="n">
        <v>44652</v>
      </c>
      <c r="B668" s="68">
        <f>VLOOKUP(Table5[[#This Row],[Date]],Database!A:E,5,)</f>
        <v/>
      </c>
      <c r="C668" s="14">
        <f>(B668-B667)/B667</f>
        <v/>
      </c>
      <c r="D668" s="14">
        <f>(B668-B656)/B656</f>
        <v/>
      </c>
      <c r="E668" s="15">
        <f>VLOOKUP(Table5[[#This Row],[Date]],'Fed Fund New'!$A:$C,2,FALSE)</f>
        <v/>
      </c>
      <c r="F668" s="27" t="n">
        <v>0.02</v>
      </c>
    </row>
    <row r="669" customFormat="1" s="85">
      <c r="A669" s="61" t="n">
        <v>44682</v>
      </c>
      <c r="B669" s="68">
        <f>VLOOKUP(Table5[[#This Row],[Date]],Database!A:E,5,)</f>
        <v/>
      </c>
      <c r="C669" s="14">
        <f>(B669-B668)/B668</f>
        <v/>
      </c>
      <c r="D669" s="14">
        <f>(B669-B657)/B657</f>
        <v/>
      </c>
      <c r="E669" s="15">
        <f>VLOOKUP(Table5[[#This Row],[Date]],'Fed Fund New'!$A:$C,2,FALSE)</f>
        <v/>
      </c>
      <c r="F669" s="27" t="n">
        <v>0.02</v>
      </c>
    </row>
    <row r="670" customFormat="1" s="85">
      <c r="A670" s="61" t="n">
        <v>44713</v>
      </c>
      <c r="B670" s="68">
        <f>VLOOKUP(Table5[[#This Row],[Date]],Database!A:E,5,)</f>
        <v/>
      </c>
      <c r="C670" s="14">
        <f>(B670-B669)/B669</f>
        <v/>
      </c>
      <c r="D670" s="14">
        <f>(B670-B658)/B658</f>
        <v/>
      </c>
      <c r="E670" s="15">
        <f>VLOOKUP(Table5[[#This Row],[Date]],'Fed Fund New'!$A:$C,2,FALSE)</f>
        <v/>
      </c>
      <c r="F670" s="27" t="n">
        <v>0.02</v>
      </c>
    </row>
    <row r="671" customFormat="1" s="85">
      <c r="A671" s="2" t="n"/>
      <c r="B671" s="64" t="n"/>
      <c r="C671" s="2" t="n"/>
      <c r="D671" s="2" t="n"/>
      <c r="E671" s="11" t="n"/>
      <c r="F671" s="5" t="n"/>
    </row>
    <row r="672" customFormat="1" s="85">
      <c r="A672" s="2" t="n"/>
      <c r="B672" s="64" t="n"/>
      <c r="C672" s="2" t="n"/>
      <c r="D672" s="2" t="n"/>
      <c r="E672" s="11" t="n"/>
      <c r="F672" s="5" t="n"/>
    </row>
    <row r="673" customFormat="1" s="85">
      <c r="A673" s="2" t="n"/>
      <c r="B673" s="64" t="n"/>
      <c r="C673" s="2" t="n"/>
      <c r="D673" s="2" t="n"/>
      <c r="E673" s="11" t="n"/>
      <c r="F673" s="5" t="n"/>
    </row>
    <row r="674" customFormat="1" s="85">
      <c r="A674" s="2" t="n"/>
      <c r="B674" s="64" t="n"/>
      <c r="C674" s="2" t="n"/>
      <c r="D674" s="2" t="n"/>
      <c r="E674" s="11" t="n"/>
      <c r="F674" s="5" t="n"/>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sheetData>
  <conditionalFormatting sqref="C545:C670">
    <cfRule type="colorScale" priority="32">
      <colorScale>
        <cfvo type="min"/>
        <cfvo type="percentile" val="50"/>
        <cfvo type="max"/>
        <color rgb="FFF8696B"/>
        <color rgb="FFFFEB84"/>
        <color rgb="FF63BE7B"/>
      </colorScale>
    </cfRule>
  </conditionalFormatting>
  <conditionalFormatting sqref="D545:D670">
    <cfRule type="colorScale" priority="33">
      <colorScale>
        <cfvo type="min"/>
        <cfvo type="percentile" val="50"/>
        <cfvo type="max"/>
        <color rgb="FFF8696B"/>
        <color rgb="FFFFEB84"/>
        <color rgb="FF63BE7B"/>
      </colorScale>
    </cfRule>
  </conditionalFormatting>
  <conditionalFormatting sqref="C521:C670">
    <cfRule type="colorScale" priority="2">
      <colorScale>
        <cfvo type="min"/>
        <cfvo type="percentile" val="50"/>
        <cfvo type="max"/>
        <color rgb="FFF8696B"/>
        <color rgb="FFFFEB84"/>
        <color rgb="FF63BE7B"/>
      </colorScale>
    </cfRule>
  </conditionalFormatting>
  <conditionalFormatting sqref="D521:D67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I6" sqref="G2:I6"/>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18"/>
    <col width="9.1640625" customWidth="1" style="85" min="19"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44713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2022-07-17T17:21:35Z</dcterms:modified>
  <cp:lastModifiedBy>Mark Mukherjee</cp:lastModifiedBy>
</cp:coreProperties>
</file>